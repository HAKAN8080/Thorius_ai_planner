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akan.ugur\Desktop\"/>
    </mc:Choice>
  </mc:AlternateContent>
  <xr:revisionPtr revIDLastSave="0" documentId="13_ncr:1_{3F1FC2E0-D1B5-4FBD-8622-7E08137FF115}" xr6:coauthVersionLast="47" xr6:coauthVersionMax="47" xr10:uidLastSave="{00000000-0000-0000-0000-000000000000}"/>
  <bookViews>
    <workbookView xWindow="-110" yWindow="-110" windowWidth="19420" windowHeight="11620" activeTab="1" xr2:uid="{5D71E823-9670-464F-9CD6-D112009A61A1}"/>
  </bookViews>
  <sheets>
    <sheet name="Trading Sunum" sheetId="1" r:id="rId1"/>
    <sheet name="Trading" sheetId="2" r:id="rId2"/>
    <sheet name="offline vs online" sheetId="3" r:id="rId3"/>
  </sheets>
  <definedNames>
    <definedName name="Dilimleyici_DistrubitionChannelDesc3">#N/A</definedName>
    <definedName name="Dilimleyici_H_MainGroup1">#N/A</definedName>
    <definedName name="Dilimleyici_H_Merch">#N/A</definedName>
    <definedName name="Dilimleyici_H_SalesChannel3">#N/A</definedName>
    <definedName name="Dilimleyici_MainGroupDesc3">#N/A</definedName>
    <definedName name="Dilimleyici_MerchMonth2">#N/A</definedName>
    <definedName name="Dilimleyici_MerchMonth4">#N/A</definedName>
    <definedName name="Dilimleyici_MerchWeek2">#N/A</definedName>
    <definedName name="Dilimleyici_MerchWeek4">#N/A</definedName>
    <definedName name="Dilimleyici_MerchYear3">#N/A</definedName>
  </definedNames>
  <calcPr calcId="191029"/>
  <pivotCaches>
    <pivotCache cacheId="0" r:id="rId4"/>
    <pivotCache cacheId="1" r:id="rId5"/>
    <pivotCache cacheId="2" r:id="rId6"/>
    <pivotCache cacheId="3" r:id="rId7"/>
    <pivotCache cacheId="9" r:id="rId8"/>
  </pivotCaches>
  <extLst>
    <ext xmlns:x14="http://schemas.microsoft.com/office/spreadsheetml/2009/9/main" uri="{876F7934-8845-4945-9796-88D515C7AA90}">
      <x14:pivotCaches>
        <pivotCache cacheId="5" r:id="rId9"/>
        <pivotCache cacheId="6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8" i="3" l="1"/>
  <c r="Y198" i="3"/>
  <c r="X198" i="3"/>
  <c r="U198" i="3"/>
  <c r="T198" i="3"/>
  <c r="S198" i="3"/>
  <c r="R198" i="3"/>
  <c r="Q198" i="3"/>
  <c r="P198" i="3"/>
  <c r="Z197" i="3"/>
  <c r="Y197" i="3"/>
  <c r="X197" i="3"/>
  <c r="U197" i="3"/>
  <c r="T197" i="3"/>
  <c r="S197" i="3"/>
  <c r="R197" i="3"/>
  <c r="Q197" i="3"/>
  <c r="P197" i="3"/>
  <c r="Z196" i="3"/>
  <c r="Y196" i="3"/>
  <c r="X196" i="3"/>
  <c r="U196" i="3"/>
  <c r="T196" i="3"/>
  <c r="S196" i="3"/>
  <c r="R196" i="3"/>
  <c r="Q196" i="3"/>
  <c r="P196" i="3"/>
  <c r="Z195" i="3"/>
  <c r="Y195" i="3"/>
  <c r="X195" i="3"/>
  <c r="U195" i="3"/>
  <c r="T195" i="3"/>
  <c r="S195" i="3"/>
  <c r="R195" i="3"/>
  <c r="Q195" i="3"/>
  <c r="P195" i="3"/>
  <c r="Z194" i="3"/>
  <c r="Y194" i="3"/>
  <c r="X194" i="3"/>
  <c r="U194" i="3"/>
  <c r="T194" i="3"/>
  <c r="S194" i="3"/>
  <c r="R194" i="3"/>
  <c r="Q194" i="3"/>
  <c r="P194" i="3"/>
  <c r="Z193" i="3"/>
  <c r="Y193" i="3"/>
  <c r="X193" i="3"/>
  <c r="U193" i="3"/>
  <c r="T193" i="3"/>
  <c r="S193" i="3"/>
  <c r="R193" i="3"/>
  <c r="Q193" i="3"/>
  <c r="P193" i="3"/>
  <c r="Z192" i="3"/>
  <c r="Y192" i="3"/>
  <c r="X192" i="3"/>
  <c r="U192" i="3"/>
  <c r="T192" i="3"/>
  <c r="S192" i="3"/>
  <c r="R192" i="3"/>
  <c r="Q192" i="3"/>
  <c r="P192" i="3"/>
  <c r="Z191" i="3"/>
  <c r="Y191" i="3"/>
  <c r="X191" i="3"/>
  <c r="U191" i="3"/>
  <c r="T191" i="3"/>
  <c r="S191" i="3"/>
  <c r="R191" i="3"/>
  <c r="Q191" i="3"/>
  <c r="P191" i="3"/>
  <c r="Z190" i="3"/>
  <c r="Y190" i="3"/>
  <c r="X190" i="3"/>
  <c r="U190" i="3"/>
  <c r="T190" i="3"/>
  <c r="S190" i="3"/>
  <c r="R190" i="3"/>
  <c r="Q190" i="3"/>
  <c r="P190" i="3"/>
  <c r="Z189" i="3"/>
  <c r="Y189" i="3"/>
  <c r="X189" i="3"/>
  <c r="U189" i="3"/>
  <c r="T189" i="3"/>
  <c r="S189" i="3"/>
  <c r="R189" i="3"/>
  <c r="Q189" i="3"/>
  <c r="P189" i="3"/>
  <c r="Z188" i="3"/>
  <c r="Y188" i="3"/>
  <c r="X188" i="3"/>
  <c r="U188" i="3"/>
  <c r="T188" i="3"/>
  <c r="S188" i="3"/>
  <c r="R188" i="3"/>
  <c r="Q188" i="3"/>
  <c r="P188" i="3"/>
  <c r="Z187" i="3"/>
  <c r="Y187" i="3"/>
  <c r="X187" i="3"/>
  <c r="U187" i="3"/>
  <c r="T187" i="3"/>
  <c r="S187" i="3"/>
  <c r="R187" i="3"/>
  <c r="Q187" i="3"/>
  <c r="P187" i="3"/>
  <c r="Z186" i="3"/>
  <c r="Y186" i="3"/>
  <c r="X186" i="3"/>
  <c r="U186" i="3"/>
  <c r="T186" i="3"/>
  <c r="S186" i="3"/>
  <c r="R186" i="3"/>
  <c r="Q186" i="3"/>
  <c r="P186" i="3"/>
  <c r="AL88" i="3"/>
  <c r="AJ88" i="3"/>
  <c r="AI88" i="3"/>
  <c r="AK88" i="3" s="1"/>
  <c r="AH88" i="3"/>
  <c r="AG88" i="3"/>
  <c r="AF88" i="3"/>
  <c r="AE88" i="3"/>
  <c r="AD88" i="3"/>
  <c r="AL87" i="3"/>
  <c r="AJ87" i="3"/>
  <c r="AK87" i="3" s="1"/>
  <c r="AI87" i="3"/>
  <c r="AH87" i="3"/>
  <c r="AG87" i="3"/>
  <c r="AF87" i="3"/>
  <c r="AE87" i="3"/>
  <c r="AD87" i="3"/>
  <c r="AL86" i="3"/>
  <c r="AJ86" i="3"/>
  <c r="AI86" i="3"/>
  <c r="AK86" i="3" s="1"/>
  <c r="AH86" i="3"/>
  <c r="AG86" i="3"/>
  <c r="AF86" i="3"/>
  <c r="AE86" i="3"/>
  <c r="AD86" i="3"/>
  <c r="AL85" i="3"/>
  <c r="AK85" i="3"/>
  <c r="AJ85" i="3"/>
  <c r="AI85" i="3"/>
  <c r="AH85" i="3"/>
  <c r="AG85" i="3"/>
  <c r="AF85" i="3"/>
  <c r="AE85" i="3"/>
  <c r="AD85" i="3"/>
  <c r="AL84" i="3"/>
  <c r="AK84" i="3"/>
  <c r="AJ84" i="3"/>
  <c r="AI84" i="3"/>
  <c r="AH84" i="3"/>
  <c r="AG84" i="3"/>
  <c r="AF84" i="3"/>
  <c r="AE84" i="3"/>
  <c r="AD84" i="3"/>
  <c r="AL83" i="3"/>
  <c r="AJ83" i="3"/>
  <c r="AK83" i="3" s="1"/>
  <c r="AI83" i="3"/>
  <c r="AH83" i="3"/>
  <c r="AG83" i="3"/>
  <c r="AF83" i="3"/>
  <c r="AE83" i="3"/>
  <c r="AD83" i="3"/>
  <c r="AL82" i="3"/>
  <c r="AK82" i="3"/>
  <c r="AJ82" i="3"/>
  <c r="AI82" i="3"/>
  <c r="AH82" i="3"/>
  <c r="AG82" i="3"/>
  <c r="AF82" i="3"/>
  <c r="AE82" i="3"/>
  <c r="AD82" i="3"/>
  <c r="AL81" i="3"/>
  <c r="AK81" i="3"/>
  <c r="AJ81" i="3"/>
  <c r="AI81" i="3"/>
  <c r="AH81" i="3"/>
  <c r="AG81" i="3"/>
  <c r="AF81" i="3"/>
  <c r="AE81" i="3"/>
  <c r="AD81" i="3"/>
  <c r="AL80" i="3"/>
  <c r="AK80" i="3"/>
  <c r="AJ80" i="3"/>
  <c r="AI80" i="3"/>
  <c r="AH80" i="3"/>
  <c r="AG80" i="3"/>
  <c r="AF80" i="3"/>
  <c r="AE80" i="3"/>
  <c r="AD80" i="3"/>
  <c r="AL79" i="3"/>
  <c r="AJ79" i="3"/>
  <c r="AK79" i="3" s="1"/>
  <c r="AI79" i="3"/>
  <c r="AH79" i="3"/>
  <c r="AG79" i="3"/>
  <c r="AF79" i="3"/>
  <c r="AE79" i="3"/>
  <c r="AD79" i="3"/>
  <c r="AL78" i="3"/>
  <c r="AK78" i="3"/>
  <c r="AJ78" i="3"/>
  <c r="AI78" i="3"/>
  <c r="AH78" i="3"/>
  <c r="AG78" i="3"/>
  <c r="AF78" i="3"/>
  <c r="AE78" i="3"/>
  <c r="AD78" i="3"/>
  <c r="AL77" i="3"/>
  <c r="AK77" i="3"/>
  <c r="AJ77" i="3"/>
  <c r="AI77" i="3"/>
  <c r="AH77" i="3"/>
  <c r="AG77" i="3"/>
  <c r="AF77" i="3"/>
  <c r="AE77" i="3"/>
  <c r="AD77" i="3"/>
  <c r="AL76" i="3"/>
  <c r="AK76" i="3"/>
  <c r="AJ76" i="3"/>
  <c r="AI76" i="3"/>
  <c r="AH76" i="3"/>
  <c r="AG76" i="3"/>
  <c r="AF76" i="3"/>
  <c r="AE76" i="3"/>
  <c r="AD76" i="3"/>
  <c r="AL75" i="3"/>
  <c r="AJ75" i="3"/>
  <c r="AK75" i="3" s="1"/>
  <c r="AI75" i="3"/>
  <c r="AH75" i="3"/>
  <c r="AG75" i="3"/>
  <c r="AF75" i="3"/>
  <c r="AE75" i="3"/>
  <c r="AD75" i="3"/>
  <c r="AL74" i="3"/>
  <c r="AK74" i="3"/>
  <c r="AJ74" i="3"/>
  <c r="AI74" i="3"/>
  <c r="AH74" i="3"/>
  <c r="AG74" i="3"/>
  <c r="AF74" i="3"/>
  <c r="AE74" i="3"/>
  <c r="AD74" i="3"/>
  <c r="AL73" i="3"/>
  <c r="AK73" i="3"/>
  <c r="AJ73" i="3"/>
  <c r="AI73" i="3"/>
  <c r="AH73" i="3"/>
  <c r="AG73" i="3"/>
  <c r="AF73" i="3"/>
  <c r="AE73" i="3"/>
  <c r="AD73" i="3"/>
  <c r="AL72" i="3"/>
  <c r="AK72" i="3"/>
  <c r="AJ72" i="3"/>
  <c r="AI72" i="3"/>
  <c r="AH72" i="3"/>
  <c r="AG72" i="3"/>
  <c r="AF72" i="3"/>
  <c r="AE72" i="3"/>
  <c r="AD72" i="3"/>
  <c r="AL71" i="3"/>
  <c r="AJ71" i="3"/>
  <c r="AK71" i="3" s="1"/>
  <c r="AI71" i="3"/>
  <c r="AH71" i="3"/>
  <c r="AG71" i="3"/>
  <c r="AF71" i="3"/>
  <c r="AE71" i="3"/>
  <c r="AD71" i="3"/>
  <c r="AL70" i="3"/>
  <c r="AK70" i="3"/>
  <c r="AJ70" i="3"/>
  <c r="AI70" i="3"/>
  <c r="AH70" i="3"/>
  <c r="AG70" i="3"/>
  <c r="AF70" i="3"/>
  <c r="AE70" i="3"/>
  <c r="AD70" i="3"/>
  <c r="AL69" i="3"/>
  <c r="AK69" i="3"/>
  <c r="AJ69" i="3"/>
  <c r="AI69" i="3"/>
  <c r="AH69" i="3"/>
  <c r="AG69" i="3"/>
  <c r="AF69" i="3"/>
  <c r="AE69" i="3"/>
  <c r="AD69" i="3"/>
  <c r="AL68" i="3"/>
  <c r="AK68" i="3"/>
  <c r="AJ68" i="3"/>
  <c r="AI68" i="3"/>
  <c r="AH68" i="3"/>
  <c r="AG68" i="3"/>
  <c r="AF68" i="3"/>
  <c r="AE68" i="3"/>
  <c r="AD68" i="3"/>
  <c r="AL67" i="3"/>
  <c r="AJ67" i="3"/>
  <c r="AK67" i="3" s="1"/>
  <c r="AI67" i="3"/>
  <c r="AH67" i="3"/>
  <c r="AG67" i="3"/>
  <c r="AF67" i="3"/>
  <c r="AE67" i="3"/>
  <c r="AD67" i="3"/>
  <c r="AL66" i="3"/>
  <c r="AK66" i="3"/>
  <c r="AJ66" i="3"/>
  <c r="AI66" i="3"/>
  <c r="AH66" i="3"/>
  <c r="AG66" i="3"/>
  <c r="AF66" i="3"/>
  <c r="AE66" i="3"/>
  <c r="AD66" i="3"/>
  <c r="AD65" i="3"/>
  <c r="AW37" i="1"/>
  <c r="AV37" i="1"/>
  <c r="AW36" i="1"/>
  <c r="AV36" i="1"/>
  <c r="AW35" i="1"/>
  <c r="AV35" i="1"/>
  <c r="AW34" i="1"/>
  <c r="AV34" i="1"/>
  <c r="AW33" i="1"/>
  <c r="AV33" i="1"/>
  <c r="AW32" i="1"/>
  <c r="AV32" i="1"/>
  <c r="AW31" i="1"/>
  <c r="AV31" i="1"/>
  <c r="AW30" i="1"/>
  <c r="AV30" i="1"/>
  <c r="AW29" i="1"/>
  <c r="AV29" i="1"/>
  <c r="AW28" i="1"/>
  <c r="AV28" i="1"/>
  <c r="AW27" i="1"/>
  <c r="AV27" i="1"/>
  <c r="AW26" i="1"/>
  <c r="AV26" i="1"/>
  <c r="AW25" i="1"/>
  <c r="AV25" i="1"/>
  <c r="AW24" i="1"/>
  <c r="AV24" i="1"/>
  <c r="AW23" i="1"/>
  <c r="AV23" i="1"/>
  <c r="AW22" i="1"/>
  <c r="AV22" i="1"/>
  <c r="AW21" i="1"/>
  <c r="AV21" i="1"/>
  <c r="AW20" i="1"/>
  <c r="AV20" i="1"/>
  <c r="AW19" i="1"/>
  <c r="AV19" i="1"/>
  <c r="AW18" i="1"/>
  <c r="AV18" i="1"/>
  <c r="AW17" i="1"/>
  <c r="AV17" i="1"/>
  <c r="AW16" i="1"/>
  <c r="AV16" i="1"/>
  <c r="AW38" i="1" l="1"/>
  <c r="AV3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F2A578B-8656-4111-AD79-0DFE387CFA1B}" odcFile="C:\Users\ibrahim.caliskan\Documents\Veri Kaynaklarım\DataHome CURE Model.odc" keepAlive="1" name="DataHome CURE Model" type="5" refreshedVersion="8" background="1">
    <dbPr connection="Provider=MSOLAP.8;Integrated Security=SSPI;Persist Security Info=True;Initial Catalog=CURE;Data Source=DataHome;MDX Compatibility=1;Safety Options=2;MDX Missing Member Mode=Error;Update Isolation Level=2" command="Model" commandType="1"/>
    <olapPr sendLocale="1" rowDrillCount="1000"/>
  </connection>
  <connection id="2" xr16:uid="{EF2A578B-8656-4111-AD79-0DFE387CFA1B}" odcFile="C:\Users\ibrahim.caliskan\Documents\Veri Kaynaklarım\DataHome CURE Model.odc" keepAlive="1" name="DataHome CURE Model1" type="5" refreshedVersion="8" background="1">
    <dbPr connection="Provider=MSOLAP.8;Integrated Security=SSPI;Persist Security Info=True;Initial Catalog=CURE;Data Source=DataHome;MDX Compatibility=1;Safety Options=2;MDX Missing Member Mode=Error;Update Isolation Level=2" command="Model" commandType="1"/>
    <olapPr sendLocale="1" rowDrillCount="1000"/>
  </connection>
  <connection id="3" xr16:uid="{EF2A578B-8656-4111-AD79-0DFE387CFA1B}" odcFile="C:\Users\ibrahim.caliskan\Documents\Veri Kaynaklarım\DataHome CURE Model.odc" keepAlive="1" name="DataHome CURE Model2" type="5" refreshedVersion="8" background="1">
    <dbPr connection="Provider=MSOLAP.8;Integrated Security=SSPI;Persist Security Info=True;Initial Catalog=CURE;Data Source=DataHome;MDX Compatibility=1;Safety Options=2;MDX Missing Member Mode=Error;Update Isolation Level=2" command="Model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5">
    <s v="DataHome CURE Model2"/>
    <s v="{[Material].[MerchProduct].&amp;[Merch]}"/>
    <s v="{[Material].[TextileProduct].[All]}"/>
    <s v="{[SalesChannel].[DistrubitionChannelDesc].&amp;[Perakende Satış]}"/>
    <s v="{[SalesChannel].[CountryName].[All]}"/>
    <s v="{[Calendar].[LastNDays].&amp;[1],[Calendar].[LastNDays].&amp;[2],[Calendar].[LastNDays].&amp;[3],[Calendar].[LastNDays].&amp;[4],[Calendar].[LastNDays].&amp;[5],[Calendar].[LastNDays].&amp;[6],[Calendar].[LastNDays].&amp;[7]}"/>
    <s v="DataHome CURE Model"/>
    <s v="{[Calendar].[MerchYearMonth].[All]}"/>
    <s v="{[Store].[LocationCountry].[All]}"/>
    <s v="{[SalesChannel].[SalesOrgType].&amp;[İştirak]}"/>
    <s v="{[Material].[MaterialDesc].[All]}"/>
    <s v="DataHome CURE Model1"/>
    <s v="{[SalesChannel].[CountryName].&amp;[TÜRKİYE]}"/>
    <s v="{[Material].[H_MainGroup].[All]}"/>
    <s v="{[Calendar].[H_Merch].[All]}"/>
    <s v="{[Calendar].[LastNDays].&amp;[0],[Calendar].[LastNDays].&amp;[1],[Calendar].[LastNDays].&amp;[2],[Calendar].[LastNDays].&amp;[3],[Calendar].[LastNDays].&amp;[4],[Calendar].[LastNDays].&amp;[5],[Calendar].[LastNDays].&amp;[6],[Calendar].[LastNDays].&amp;[7],[Calendar].[LastNDays].&amp;[8],[Calendar].[LastNDays].&amp;[9],[Calendar].[LastNDays].&amp;[10],[Calendar].[LastNDays].&amp;[11],[Calendar].[LastNDays].&amp;[12],[Calendar].[LastNDays].&amp;[13],[Calendar].[LastNDays].&amp;[14]}"/>
    <s v="{[Calendar].[H_Merch].[MerchYearMonthName].&amp;[2025-Mart]}"/>
    <s v="{[Calendar].[MerchWeek].[All]}"/>
    <s v="{[Material].[MainGroupDesc].[All]}"/>
    <s v="{[Store].[LocationCountry].&amp;[TR]}"/>
    <s v="{[Material].[MainGroupDesc].&amp;[Aksesuar],[Material].[MainGroupDesc].&amp;[Banyo],[Material].[MainGroupDesc].&amp;[Battaniye],[Material].[MainGroupDesc].&amp;[Bebe - Çocuk],[Material].[MainGroupDesc].&amp;[Bornoz],[Material].[MainGroupDesc].&amp;[Ev Giysisi],[Material].[MainGroupDesc].&amp;[Halı - Kilim],[Material].[MainGroupDesc].&amp;[Havlu],[Material].[MainGroupDesc].&amp;[Kozmetik],[Material].[MainGroupDesc].&amp;[Masa Örtüsü],[Material].[MainGroupDesc].&amp;[Mobilya Satış],[Material].[MainGroupDesc].&amp;[Mutfak],[Material].[MainGroupDesc].&amp;[Nevresim],[Material].[MainGroupDesc].&amp;[Pike],[Material].[MainGroupDesc].&amp;[Pişirme],[Material].[MainGroupDesc].&amp;[Salon],[Material].[MainGroupDesc].&amp;[Yastık],[Material].[MainGroupDesc].&amp;[Yatak Örtüsü],[Material].[MainGroupDesc].&amp;[Yorgan],[Material].[MainGroupDesc].&amp;[#NA],[Material].[MainGroupDesc].&amp;[EBA],[Material].[MainGroupDesc].&amp;[Cafe],[Material].[MainGroupDesc].&amp;[Yatak],[Material].[MainGroupDesc].&amp;[Mobilya],[Material].[MainGroupDesc].&amp;[Planlama],[Material].[MainGroupDesc].&amp;[Pazarlama],[Material].[MainGroupDesc].&amp;[Yarı Mamul],[Material].[MainGroupDesc].&amp;[Entegrasyon],[Material].[MainGroupDesc].&amp;[Bilgi Sistemleri],[Material].[MainGroupDesc].&amp;[İnsan Kaynakları],[Material].[MainGroupDesc].&amp;[Mağaza Yatırım ve Proje]}"/>
    <s v="{[Material].[H_MainGroup].[MainGroupDesc].&amp;[Aksesuar],[Material].[H_MainGroup].[MainGroupDesc].&amp;[Banyo],[Material].[H_MainGroup].[MainGroupDesc].&amp;[Battaniye],[Material].[H_MainGroup].[MainGroupDesc].&amp;[Bebe - Çocuk],[Material].[H_MainGroup].[MainGroupDesc].&amp;[Bornoz],[Material].[H_MainGroup].[MainGroupDesc].&amp;[Ev Giysisi],[Material].[H_MainGroup].[MainGroupDesc].&amp;[Halı - Kilim],[Material].[H_MainGroup].[MainGroupDesc].&amp;[Havlu],[Material].[H_MainGroup].[MainGroupDesc].&amp;[Kozmetik],[Material].[H_MainGroup].[MainGroupDesc].&amp;[Masa Örtüsü],[Material].[H_MainGroup].[MainGroupDesc].&amp;[Mobilya Satış],[Material].[H_MainGroup].[MainGroupDesc].&amp;[Mutfak],[Material].[H_MainGroup].[MainGroupDesc].&amp;[Nevresim],[Material].[H_MainGroup].[MainGroupDesc].&amp;[Pike],[Material].[H_MainGroup].[MainGroupDesc].&amp;[Pişirme],[Material].[H_MainGroup].[MainGroupDesc].&amp;[Salon],[Material].[H_MainGroup].[MainGroupDesc].&amp;[Yastık],[Material].[H_MainGroup].[MainGroupDesc].&amp;[Yatak Örtüsü],[Material].[H_MainGroup].[MainGroupDesc].&amp;[Yorgan],[Material].[H_MainGroup].[MainGroupDesc].&amp;[Yatak],[Material].[H_MainGroup].[MainGroupDesc].&amp;[Mobilya],[Material].[H_MainGroup].[MainGroupDesc].&amp;[White Collection],[Material].[H_MainGroup].[MainGroupDesc].&amp;[Küçük Elektrikli Ev Aletleri]}"/>
    <s v="{[Calendar].[LastNWeeks].[All]}"/>
    <s v="{[Calendar].[H_Merch].[MerchYear].&amp;[2026]}"/>
    <s v="{[SalesChannel].[H_SalesChannel].[SalesOrgType].&amp;[İştirak].&amp;[TÜRKİYE]}"/>
  </metadataStrings>
  <mdxMetadata count="29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6" f="s">
      <ms ns="1" c="0"/>
    </mdx>
    <mdx n="6" f="s">
      <ms ns="7" c="0"/>
    </mdx>
    <mdx n="6" f="s">
      <ms ns="8" c="0"/>
    </mdx>
    <mdx n="6" f="s">
      <ms ns="9" c="0"/>
    </mdx>
    <mdx n="6" f="s">
      <ms ns="10" c="0"/>
    </mdx>
    <mdx n="11" f="s">
      <ms ns="12" c="0"/>
    </mdx>
    <mdx n="11" f="s">
      <ms ns="3" c="0"/>
    </mdx>
    <mdx n="11" f="s">
      <ms ns="9" c="0"/>
    </mdx>
    <mdx n="11" f="s">
      <ms ns="1" c="0"/>
    </mdx>
    <mdx n="11" f="s">
      <ms ns="13" c="0"/>
    </mdx>
    <mdx n="11" f="s">
      <ms ns="8" c="0"/>
    </mdx>
    <mdx n="11" f="s">
      <ms ns="14" c="0"/>
    </mdx>
    <mdx n="11" f="s">
      <ms ns="15" c="0"/>
    </mdx>
    <mdx n="11" f="s">
      <ms ns="16" c="0"/>
    </mdx>
    <mdx n="11" f="s">
      <ms ns="17" c="0"/>
    </mdx>
    <mdx n="11" f="s">
      <ms ns="18" c="0"/>
    </mdx>
    <mdx n="11" f="s">
      <ms ns="19" c="0"/>
    </mdx>
    <mdx n="11" f="s">
      <ms ns="20" c="0"/>
    </mdx>
    <mdx n="11" f="s">
      <ms ns="21" c="0"/>
    </mdx>
    <mdx n="6" f="s">
      <ms ns="22" c="0"/>
    </mdx>
    <mdx n="6" f="s">
      <ms ns="5" c="0"/>
    </mdx>
    <mdx n="6" f="s">
      <ms ns="23" c="0"/>
    </mdx>
    <mdx n="6" f="s">
      <ms ns="24" c="0"/>
    </mdx>
    <mdx n="6" f="s">
      <ms ns="3" c="0"/>
    </mdx>
  </mdxMetadata>
  <valueMetadata count="2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</valueMetadata>
</metadata>
</file>

<file path=xl/sharedStrings.xml><?xml version="1.0" encoding="utf-8"?>
<sst xmlns="http://schemas.openxmlformats.org/spreadsheetml/2006/main" count="1625" uniqueCount="861">
  <si>
    <t>MerchProduct</t>
  </si>
  <si>
    <t>Merch</t>
  </si>
  <si>
    <t>TextileProduct</t>
  </si>
  <si>
    <t>All</t>
  </si>
  <si>
    <t>DistrubitionChannelDesc</t>
  </si>
  <si>
    <t>Perakende Satış</t>
  </si>
  <si>
    <t>CountryName</t>
  </si>
  <si>
    <t>LastNDays</t>
  </si>
  <si>
    <t>(Birden Çok Öğe)</t>
  </si>
  <si>
    <t>STOK</t>
  </si>
  <si>
    <t>SATIŞ ADET</t>
  </si>
  <si>
    <t>TUTAR</t>
  </si>
  <si>
    <t>KAR</t>
  </si>
  <si>
    <t>KAR MARJI</t>
  </si>
  <si>
    <t>BİRİM MALİYET</t>
  </si>
  <si>
    <t>FİYAT</t>
  </si>
  <si>
    <t>COVER</t>
  </si>
  <si>
    <t>DEVİR HIZI</t>
  </si>
  <si>
    <t>GMROI</t>
  </si>
  <si>
    <t>İNDİRİM</t>
  </si>
  <si>
    <t>MARK UP</t>
  </si>
  <si>
    <t>FİŞ KONTROL</t>
  </si>
  <si>
    <t>GİRİŞ SAYISI</t>
  </si>
  <si>
    <t>BÜTÇE HEDEF</t>
  </si>
  <si>
    <t>Değerler</t>
  </si>
  <si>
    <t>CategoryLeader</t>
  </si>
  <si>
    <t>TribeLeader</t>
  </si>
  <si>
    <t>Ana Grup</t>
  </si>
  <si>
    <t>Alt Grup</t>
  </si>
  <si>
    <t>LY LFL Avg Store Stock Unit</t>
  </si>
  <si>
    <t>TY Avg Store Stock Unit</t>
  </si>
  <si>
    <t>LFL Store Stock Unit TYvsLY%</t>
  </si>
  <si>
    <t>LFL Stock Cost TYvsLY TRY%</t>
  </si>
  <si>
    <t>LY LFL Sales Unit</t>
  </si>
  <si>
    <t>TY Sales Unit</t>
  </si>
  <si>
    <t>LFL Sales Unit TYvsLY%</t>
  </si>
  <si>
    <t>LY LFL Sales Value TRY</t>
  </si>
  <si>
    <t>TY Sales Value TRY</t>
  </si>
  <si>
    <t>LFL Sales Value TYvsLY TRY%</t>
  </si>
  <si>
    <t>LFL Sales Profit TYvsLY TRY%</t>
  </si>
  <si>
    <t>LY LFL Gross Marjin TRY%</t>
  </si>
  <si>
    <t>TY Gross Marjin TRY%</t>
  </si>
  <si>
    <t>LY LFL Unit Cost TRY</t>
  </si>
  <si>
    <t>TY Unit Cost TRY</t>
  </si>
  <si>
    <t>LFL Unit Cost TYvsLY TRY%</t>
  </si>
  <si>
    <t>LY LFL Unit Sales Price TRY</t>
  </si>
  <si>
    <t>TY Unit Sales Price TRY</t>
  </si>
  <si>
    <t>LFL Unit Sales Price TYvsLY TRY%</t>
  </si>
  <si>
    <t>LY LFL Store Back Cover Unit</t>
  </si>
  <si>
    <t>TY Store Back Cover Unit</t>
  </si>
  <si>
    <t>LY Store Turnover Unit</t>
  </si>
  <si>
    <t>TY Store Turnover Unit</t>
  </si>
  <si>
    <t>LY GMROII LC</t>
  </si>
  <si>
    <t>TY GMROII LC</t>
  </si>
  <si>
    <t>TY Actual MarkDown TRY%</t>
  </si>
  <si>
    <t>LY Actual MarkUp TRY</t>
  </si>
  <si>
    <t>TY Actual MarkUp TRY</t>
  </si>
  <si>
    <t>LY LFL Invoice Count</t>
  </si>
  <si>
    <t>TY Invoice Count</t>
  </si>
  <si>
    <t>TY Customer Entry Count</t>
  </si>
  <si>
    <t>LY LFL Customer Entry Count</t>
  </si>
  <si>
    <t>TY Sales Budget Unit</t>
  </si>
  <si>
    <t>TY Sales Budget Value LC</t>
  </si>
  <si>
    <t>TY Sales Budget Profit Value LC</t>
  </si>
  <si>
    <t>V1</t>
  </si>
  <si>
    <t>V2</t>
  </si>
  <si>
    <t>Behiye Arlı</t>
  </si>
  <si>
    <t>Aykut Karakuşoğlu</t>
  </si>
  <si>
    <t>KEA</t>
  </si>
  <si>
    <t>YEDEK PARÇA</t>
  </si>
  <si>
    <t>Cansu Yücel</t>
  </si>
  <si>
    <t>Sevgi Babacan</t>
  </si>
  <si>
    <t>Toplam Behiye Arlı</t>
  </si>
  <si>
    <t>Esat Müfettişoğlu</t>
  </si>
  <si>
    <t>Eda Şıvgın</t>
  </si>
  <si>
    <t>Sofra</t>
  </si>
  <si>
    <t>Gökhan Açıkgöz</t>
  </si>
  <si>
    <t>Sofra Takımları</t>
  </si>
  <si>
    <t>Merve Türkyılmaz</t>
  </si>
  <si>
    <t>Şule Kumbasar</t>
  </si>
  <si>
    <t>Pişirme</t>
  </si>
  <si>
    <t>Mutfak</t>
  </si>
  <si>
    <t>Toplam Esat Müfettişoğlu</t>
  </si>
  <si>
    <t>Nihal Kaya</t>
  </si>
  <si>
    <t>İlker Ölge</t>
  </si>
  <si>
    <t>Aksesuar</t>
  </si>
  <si>
    <t>Ömer Can Bengül</t>
  </si>
  <si>
    <t>Kozmetik</t>
  </si>
  <si>
    <t>Halı - Kilim</t>
  </si>
  <si>
    <t>Salon</t>
  </si>
  <si>
    <t>Ev Giysisi</t>
  </si>
  <si>
    <t>Toplam Nihal Kaya</t>
  </si>
  <si>
    <t>Simla Ünlü</t>
  </si>
  <si>
    <t>Aslıhan Köksal</t>
  </si>
  <si>
    <t>Nevresim</t>
  </si>
  <si>
    <t>Çarşaf</t>
  </si>
  <si>
    <t>Yorgan</t>
  </si>
  <si>
    <t>Yastık</t>
  </si>
  <si>
    <t>Fatma Gök İnce</t>
  </si>
  <si>
    <t>Havlu</t>
  </si>
  <si>
    <t>Banyo</t>
  </si>
  <si>
    <t>Bornoz</t>
  </si>
  <si>
    <t>White Collection</t>
  </si>
  <si>
    <t>Mert Sucaklı</t>
  </si>
  <si>
    <t>Yatak Örtüsü</t>
  </si>
  <si>
    <t>Pike</t>
  </si>
  <si>
    <t>Battaniye</t>
  </si>
  <si>
    <t>Toplam Simla Ünlü</t>
  </si>
  <si>
    <t>Genel Toplam</t>
  </si>
  <si>
    <t>MerchYearMonth</t>
  </si>
  <si>
    <t>LocationCountry</t>
  </si>
  <si>
    <t>SalesOrgType</t>
  </si>
  <si>
    <t>İştirak</t>
  </si>
  <si>
    <t>H_Merch</t>
  </si>
  <si>
    <t>MaterialDesc</t>
  </si>
  <si>
    <t>Invoice</t>
  </si>
  <si>
    <t>Sales Unit</t>
  </si>
  <si>
    <t>Sales Value</t>
  </si>
  <si>
    <t>Profit</t>
  </si>
  <si>
    <t>Stock</t>
  </si>
  <si>
    <t>Cover</t>
  </si>
  <si>
    <t>Unit Price</t>
  </si>
  <si>
    <t>Gross Margin</t>
  </si>
  <si>
    <t>TR Stock</t>
  </si>
  <si>
    <t xml:space="preserve">LFL Change </t>
  </si>
  <si>
    <t>MainGroupDesc</t>
  </si>
  <si>
    <t>TY Sales Value LC</t>
  </si>
  <si>
    <t>LY LFL Sales Value LC</t>
  </si>
  <si>
    <t>TY Gross Profit LC</t>
  </si>
  <si>
    <t>LY Gross Profit LC</t>
  </si>
  <si>
    <t>TY Store Cover Unit</t>
  </si>
  <si>
    <t>LY Store Cover Unit</t>
  </si>
  <si>
    <t>TY Unit Sales Price LC</t>
  </si>
  <si>
    <t>LY LFL Unit Sales Price LC</t>
  </si>
  <si>
    <t>TY Gross Marjin LC%</t>
  </si>
  <si>
    <t>LY Gross Marjin LC%</t>
  </si>
  <si>
    <t>TY Avg DC Stock Unit</t>
  </si>
  <si>
    <t>LY Avg DC Stock Unit</t>
  </si>
  <si>
    <t>LFL Sales Value TYvsLY LC%</t>
  </si>
  <si>
    <t>LFL Sales Profit TYvsLY LC%</t>
  </si>
  <si>
    <t>TÜRKİYE</t>
  </si>
  <si>
    <t>H_MainGroup</t>
  </si>
  <si>
    <t>MerchWeek</t>
  </si>
  <si>
    <t>Date</t>
  </si>
  <si>
    <t>DayName</t>
  </si>
  <si>
    <t>TY Gross Invoice Count</t>
  </si>
  <si>
    <t>TY Return Invoice Count</t>
  </si>
  <si>
    <t>TY Sales Cost LC</t>
  </si>
  <si>
    <t>TY Avg Store Transit Stock Unit</t>
  </si>
  <si>
    <t>Salı</t>
  </si>
  <si>
    <t>Çarşamba</t>
  </si>
  <si>
    <t>Perşembe</t>
  </si>
  <si>
    <t>Cuma</t>
  </si>
  <si>
    <t>Cumartesi</t>
  </si>
  <si>
    <t>Pazar</t>
  </si>
  <si>
    <t>Pazartesi</t>
  </si>
  <si>
    <t>2025-Mart</t>
  </si>
  <si>
    <t>E - Ticaret</t>
  </si>
  <si>
    <t>Ülke Online Payı</t>
  </si>
  <si>
    <t>TY Avg Store Stock Unit %</t>
  </si>
  <si>
    <t>TY Sales Unit %</t>
  </si>
  <si>
    <t>TY Sales Value LC %</t>
  </si>
  <si>
    <t>TY Gross Profit LC2</t>
  </si>
  <si>
    <t>TY Sales Profit LC</t>
  </si>
  <si>
    <t>Birim marj Katkısı_Ecom</t>
  </si>
  <si>
    <t>Birim marj Katkısı_Offline</t>
  </si>
  <si>
    <t>Fark</t>
  </si>
  <si>
    <t>Ecom Ciro Payı</t>
  </si>
  <si>
    <t>TR</t>
  </si>
  <si>
    <t>MerchYear</t>
  </si>
  <si>
    <t>MerchYearMonthName</t>
  </si>
  <si>
    <t>MerchYearWeek</t>
  </si>
  <si>
    <t>Online GM %</t>
  </si>
  <si>
    <t>Offline GM %</t>
  </si>
  <si>
    <t>Online DH</t>
  </si>
  <si>
    <t>Offline DH</t>
  </si>
  <si>
    <t>2021</t>
  </si>
  <si>
    <t>2022</t>
  </si>
  <si>
    <t>2023</t>
  </si>
  <si>
    <t>2023-Ocak</t>
  </si>
  <si>
    <t>2023-Şubat</t>
  </si>
  <si>
    <t>2023-Mart</t>
  </si>
  <si>
    <t>2023-Nisan</t>
  </si>
  <si>
    <t>202314</t>
  </si>
  <si>
    <t>202315</t>
  </si>
  <si>
    <t>202316</t>
  </si>
  <si>
    <t>202317</t>
  </si>
  <si>
    <t>202318</t>
  </si>
  <si>
    <t>Toplam 2023-Nisan</t>
  </si>
  <si>
    <t>2023-Mayıs</t>
  </si>
  <si>
    <t>2023-Haziran</t>
  </si>
  <si>
    <t>2023-Temmuz</t>
  </si>
  <si>
    <t>2023-Ağustos</t>
  </si>
  <si>
    <t>2023-Eylül</t>
  </si>
  <si>
    <t>2023-Ekim</t>
  </si>
  <si>
    <t>2023-Kasım</t>
  </si>
  <si>
    <t>2023-Aralık</t>
  </si>
  <si>
    <t>Toplam 2023</t>
  </si>
  <si>
    <t>2024</t>
  </si>
  <si>
    <t>2025</t>
  </si>
  <si>
    <t>2026</t>
  </si>
  <si>
    <t>Dünya Markaları</t>
  </si>
  <si>
    <t>Sofra İçecek</t>
  </si>
  <si>
    <t>Sofra Sunum</t>
  </si>
  <si>
    <t>5</t>
  </si>
  <si>
    <t>27.01.2026</t>
  </si>
  <si>
    <t>28.01.2026</t>
  </si>
  <si>
    <t>29.01.2026</t>
  </si>
  <si>
    <t>30.01.2026</t>
  </si>
  <si>
    <t>31.01.2026</t>
  </si>
  <si>
    <t>1.02.2026</t>
  </si>
  <si>
    <t>Toplam 5</t>
  </si>
  <si>
    <t>6</t>
  </si>
  <si>
    <t>2.02.2026</t>
  </si>
  <si>
    <t>3.02.2026</t>
  </si>
  <si>
    <t>4.02.2026</t>
  </si>
  <si>
    <t>5.02.2026</t>
  </si>
  <si>
    <t>6.02.2026</t>
  </si>
  <si>
    <t>7.02.2026</t>
  </si>
  <si>
    <t>8.02.2026</t>
  </si>
  <si>
    <t>Toplam 6</t>
  </si>
  <si>
    <t>7</t>
  </si>
  <si>
    <t>9.02.2026</t>
  </si>
  <si>
    <t>Toplam 7</t>
  </si>
  <si>
    <t>Store Stock Cost TyTWvsTyLW TRY%</t>
  </si>
  <si>
    <t>Store Stock Unit TyTWvsTyLW%</t>
  </si>
  <si>
    <t>Sales Unit TyTWvsTyLW%</t>
  </si>
  <si>
    <t>Sales Value TyTWvsTyLW TRY%</t>
  </si>
  <si>
    <t>Unit Sales Price TyTWvsTyLW TRY%</t>
  </si>
  <si>
    <t>SubGroupDesc</t>
  </si>
  <si>
    <t>Kahve Fincanı</t>
  </si>
  <si>
    <t>Kupa</t>
  </si>
  <si>
    <t>Bardak</t>
  </si>
  <si>
    <t>Çay Fincanı</t>
  </si>
  <si>
    <t>Kadeh</t>
  </si>
  <si>
    <t>Çay Seti</t>
  </si>
  <si>
    <t>Meşrubat Bardağı</t>
  </si>
  <si>
    <t>Çay-Kahve Takımı</t>
  </si>
  <si>
    <t>Çay Takımı</t>
  </si>
  <si>
    <t>Su Bardağı</t>
  </si>
  <si>
    <t>Pipetli Bardak</t>
  </si>
  <si>
    <t>Likör Bardağı</t>
  </si>
  <si>
    <t>Mug</t>
  </si>
  <si>
    <t>Şarap Kadehi</t>
  </si>
  <si>
    <t>Bira Bardağı</t>
  </si>
  <si>
    <t>Espresso Bardağı</t>
  </si>
  <si>
    <t>Detoks Bardağı</t>
  </si>
  <si>
    <t>Kokteyl Bardağı</t>
  </si>
  <si>
    <t>Nevresim Takımı</t>
  </si>
  <si>
    <t>Nevresim Seti</t>
  </si>
  <si>
    <t>Çocuk Nevresim Takım</t>
  </si>
  <si>
    <t>Bebe Nevresim Takımı</t>
  </si>
  <si>
    <t>Düz Çarşaf NVR TK</t>
  </si>
  <si>
    <t>Bebe Yastık Kılıfı</t>
  </si>
  <si>
    <t>Bebe Nevresim Seti</t>
  </si>
  <si>
    <t>Bebe Nevresim</t>
  </si>
  <si>
    <t>Çocuk Nevresim Seti</t>
  </si>
  <si>
    <t>Çay Makinesi</t>
  </si>
  <si>
    <t>Türk Kahve M.</t>
  </si>
  <si>
    <t>Stand Mikseri</t>
  </si>
  <si>
    <t>Kişisel Blender</t>
  </si>
  <si>
    <t>Sürahi Blender</t>
  </si>
  <si>
    <t>Airfryer</t>
  </si>
  <si>
    <t>Mini Blender Seti</t>
  </si>
  <si>
    <t>Multi Blender Seti</t>
  </si>
  <si>
    <t>Izgara Ve Tost M.</t>
  </si>
  <si>
    <t>Tost Makinesi</t>
  </si>
  <si>
    <t>Doğrayıcı</t>
  </si>
  <si>
    <t>El Blenderı</t>
  </si>
  <si>
    <t>Waffle Makinesi</t>
  </si>
  <si>
    <t>Filtre Kahve M.</t>
  </si>
  <si>
    <t>El Mikseri</t>
  </si>
  <si>
    <t>Su Isıtıcı</t>
  </si>
  <si>
    <t>Ekmek Kızartma M.</t>
  </si>
  <si>
    <t>Su Arıtma Sürahisi</t>
  </si>
  <si>
    <t>Su Arıtma Filtresi</t>
  </si>
  <si>
    <t>Masa Örtüsü</t>
  </si>
  <si>
    <t>Sunumluk</t>
  </si>
  <si>
    <t>Tepsi</t>
  </si>
  <si>
    <t>Sürahi</t>
  </si>
  <si>
    <t>Kase</t>
  </si>
  <si>
    <t>Servis Standı</t>
  </si>
  <si>
    <t>Çerezlik</t>
  </si>
  <si>
    <t>Amerikan Servis</t>
  </si>
  <si>
    <t>Cup</t>
  </si>
  <si>
    <t>Kayık Tabak</t>
  </si>
  <si>
    <t>Servis Tamamlayıcı</t>
  </si>
  <si>
    <t>Runner</t>
  </si>
  <si>
    <t>Pasta Tabağı</t>
  </si>
  <si>
    <t>Kahvaltılık</t>
  </si>
  <si>
    <t>Şişe</t>
  </si>
  <si>
    <t>Servis Tabağı</t>
  </si>
  <si>
    <t>Yağdanlık</t>
  </si>
  <si>
    <t>Kağıt Peçete</t>
  </si>
  <si>
    <t>Su Takımı</t>
  </si>
  <si>
    <t>Çukur Tabak</t>
  </si>
  <si>
    <t>Mutfak Seti</t>
  </si>
  <si>
    <t>Meşrubatlık</t>
  </si>
  <si>
    <t>Mutfak Önlüğü</t>
  </si>
  <si>
    <t>Kurulama Bezi</t>
  </si>
  <si>
    <t>Sunum Tahtası</t>
  </si>
  <si>
    <t>Peçete Halkası</t>
  </si>
  <si>
    <t>Misafir Peçetesi</t>
  </si>
  <si>
    <t>Tereyağlık</t>
  </si>
  <si>
    <t>Supla</t>
  </si>
  <si>
    <t>Kek Fanus</t>
  </si>
  <si>
    <t>Sosluk</t>
  </si>
  <si>
    <t>Salata Kasesi</t>
  </si>
  <si>
    <t>Bebe Mama Takımı</t>
  </si>
  <si>
    <t>Başucu Sürahi</t>
  </si>
  <si>
    <t>Peynir Tahtası</t>
  </si>
  <si>
    <t>Sunum Seti</t>
  </si>
  <si>
    <t>Buz Kovası</t>
  </si>
  <si>
    <t>Tatlı Tabağı</t>
  </si>
  <si>
    <t>Reçellik</t>
  </si>
  <si>
    <t>Sunum Kasesi</t>
  </si>
  <si>
    <t>Mutfak Bezi</t>
  </si>
  <si>
    <t>Çocuk Önlüğü</t>
  </si>
  <si>
    <t>Lokumluk</t>
  </si>
  <si>
    <t>Sunum Tabağı</t>
  </si>
  <si>
    <t>Piknik Çantası</t>
  </si>
  <si>
    <t>Kokteyl Seti</t>
  </si>
  <si>
    <t>Çocuk Fırın Eldiveni</t>
  </si>
  <si>
    <t>Supla Altı</t>
  </si>
  <si>
    <t>Tutaç</t>
  </si>
  <si>
    <t>Tuzluk</t>
  </si>
  <si>
    <t>Tabak</t>
  </si>
  <si>
    <t>Şekerlik</t>
  </si>
  <si>
    <t>Sehpa Örtüsü</t>
  </si>
  <si>
    <t>Mutfak Minderi</t>
  </si>
  <si>
    <t>Piknik Örtüsü.</t>
  </si>
  <si>
    <t>Karaf</t>
  </si>
  <si>
    <t>Pizza Tabağı</t>
  </si>
  <si>
    <t>Kurabiyelik</t>
  </si>
  <si>
    <t>Çorba Kasesi</t>
  </si>
  <si>
    <t>Aşçı Eldiven</t>
  </si>
  <si>
    <t>Peynir Tabağı</t>
  </si>
  <si>
    <t>Damacana Kılıfı</t>
  </si>
  <si>
    <t>Mutfak Masa Örtüsü</t>
  </si>
  <si>
    <t>Karaf Seti</t>
  </si>
  <si>
    <t>Dekoratif Şekerlik</t>
  </si>
  <si>
    <t>Peçete Yüzüğü</t>
  </si>
  <si>
    <t>Mutfak Runnerı</t>
  </si>
  <si>
    <t>Vazo</t>
  </si>
  <si>
    <t>Dekoratif Tepsi</t>
  </si>
  <si>
    <t>Çerçeve</t>
  </si>
  <si>
    <t>Banyo Seti</t>
  </si>
  <si>
    <t>Saklama Kutusu</t>
  </si>
  <si>
    <t>Dekoratif Kutu</t>
  </si>
  <si>
    <t>Dekoratif</t>
  </si>
  <si>
    <t>Sepet</t>
  </si>
  <si>
    <t>Çamaşır Sepeti</t>
  </si>
  <si>
    <t>Tek Dal Yapay Çiçek</t>
  </si>
  <si>
    <t>Şamdan</t>
  </si>
  <si>
    <t>Biblo</t>
  </si>
  <si>
    <t>Abajur</t>
  </si>
  <si>
    <t>Banyo Sıvı Sabunluk</t>
  </si>
  <si>
    <t>Dekoratif Aydınlatma</t>
  </si>
  <si>
    <t>Duş Kaydırmaz</t>
  </si>
  <si>
    <t>Kar Küresi</t>
  </si>
  <si>
    <t>Hurç</t>
  </si>
  <si>
    <t>Organizer</t>
  </si>
  <si>
    <t>Fener</t>
  </si>
  <si>
    <t>Dekoratif Obje</t>
  </si>
  <si>
    <t>Saksı</t>
  </si>
  <si>
    <t>Sıcak Su Torbası</t>
  </si>
  <si>
    <t>Masa Saati</t>
  </si>
  <si>
    <t>Mum</t>
  </si>
  <si>
    <t>Askılı Aksesuar</t>
  </si>
  <si>
    <t>Müzik Kutusu</t>
  </si>
  <si>
    <t>Kum Saati</t>
  </si>
  <si>
    <t>Duvar Aksesuarı</t>
  </si>
  <si>
    <t>Duvar Saati</t>
  </si>
  <si>
    <t>Mum Söndürme Aleti</t>
  </si>
  <si>
    <t>Dekoratif Peçetelik</t>
  </si>
  <si>
    <t>Kapı Süsü</t>
  </si>
  <si>
    <t>Mum Bakım Seti</t>
  </si>
  <si>
    <t>Kandil</t>
  </si>
  <si>
    <t>Vazolu Yapay Çiçek</t>
  </si>
  <si>
    <t>Alışveriş Çantası</t>
  </si>
  <si>
    <t>Yapay Ağaç</t>
  </si>
  <si>
    <t>Ayna</t>
  </si>
  <si>
    <t>Diş Fırçalık</t>
  </si>
  <si>
    <t>Şezlong</t>
  </si>
  <si>
    <t>Küllük</t>
  </si>
  <si>
    <t>Elbise Kılıfı</t>
  </si>
  <si>
    <t>Sandalye</t>
  </si>
  <si>
    <t>Tütsülük</t>
  </si>
  <si>
    <t>Sabunluk</t>
  </si>
  <si>
    <t>Sehpa.</t>
  </si>
  <si>
    <t>Ayakkabı Saklama Kts</t>
  </si>
  <si>
    <t>Oyuncak Sepeti</t>
  </si>
  <si>
    <t>Katlanır Tabure</t>
  </si>
  <si>
    <t>Tablo</t>
  </si>
  <si>
    <t>Kandil Yağı</t>
  </si>
  <si>
    <t>Duvar Süsü</t>
  </si>
  <si>
    <t>Hamak</t>
  </si>
  <si>
    <t>Kandil Fitili</t>
  </si>
  <si>
    <t>Fırçalı Faraş</t>
  </si>
  <si>
    <t>Temizlik Fırçası</t>
  </si>
  <si>
    <t>Takılık</t>
  </si>
  <si>
    <t>Keyif Tepsisi</t>
  </si>
  <si>
    <t>Maske</t>
  </si>
  <si>
    <t>Tavla</t>
  </si>
  <si>
    <t>Bebe Mama Önlüğü</t>
  </si>
  <si>
    <t>Cam Sileceği</t>
  </si>
  <si>
    <t>Çocuk Duvar Saati</t>
  </si>
  <si>
    <t>Bereket Kuşu</t>
  </si>
  <si>
    <t>Saç Bandı</t>
  </si>
  <si>
    <t>Kumbara</t>
  </si>
  <si>
    <t>Maske Kutusu</t>
  </si>
  <si>
    <t>Çocuk Maske</t>
  </si>
  <si>
    <t>Kapı Önü Ağırlığı</t>
  </si>
  <si>
    <t>Uyku Gözlüğü</t>
  </si>
  <si>
    <t>Yapay Çiçek</t>
  </si>
  <si>
    <t>Kalemlik</t>
  </si>
  <si>
    <t>Telefon Kılıfı</t>
  </si>
  <si>
    <t>Büyüteç</t>
  </si>
  <si>
    <t>Vakumlu Poşet</t>
  </si>
  <si>
    <t>Dekoratif Raf</t>
  </si>
  <si>
    <t>Süpürgelik</t>
  </si>
  <si>
    <t>Havluluk</t>
  </si>
  <si>
    <t>Ayakkabı Rampası</t>
  </si>
  <si>
    <t>Hesap Makinesi</t>
  </si>
  <si>
    <t>Cüzdan</t>
  </si>
  <si>
    <t>Mop</t>
  </si>
  <si>
    <t>Showroom Hibe</t>
  </si>
  <si>
    <t>Hobi Kumaşı</t>
  </si>
  <si>
    <t>Taç</t>
  </si>
  <si>
    <t>Armut Hamak</t>
  </si>
  <si>
    <t>Kurdele</t>
  </si>
  <si>
    <t>Kitap Tutucu</t>
  </si>
  <si>
    <t>Etamin</t>
  </si>
  <si>
    <t>Not Defteri</t>
  </si>
  <si>
    <t>Boyunluk</t>
  </si>
  <si>
    <t>Şemsiye</t>
  </si>
  <si>
    <t>Bebek Sepeti</t>
  </si>
  <si>
    <t>Bardak Tutacağı</t>
  </si>
  <si>
    <t>Canlı Çiçek</t>
  </si>
  <si>
    <t>Elbise Askısı</t>
  </si>
  <si>
    <t>Pet Yatağı</t>
  </si>
  <si>
    <t>Kitap Ayracı</t>
  </si>
  <si>
    <t>Tasma Kayışı</t>
  </si>
  <si>
    <t>Bileklik</t>
  </si>
  <si>
    <t>Bereket Fili</t>
  </si>
  <si>
    <t>Saç Tokası</t>
  </si>
  <si>
    <t>Tuvalet Kağıtlığı</t>
  </si>
  <si>
    <t>Bebe Hurç</t>
  </si>
  <si>
    <t>Yılbaşı Aksesuar</t>
  </si>
  <si>
    <t>Askı</t>
  </si>
  <si>
    <t>Salıncak</t>
  </si>
  <si>
    <t>Çocuk Duvar Kağıdı</t>
  </si>
  <si>
    <t>Kapı Numarası</t>
  </si>
  <si>
    <t>Yoga Mat</t>
  </si>
  <si>
    <t>Lambader</t>
  </si>
  <si>
    <t>TV Battaniye</t>
  </si>
  <si>
    <t>Bebe Battaniye</t>
  </si>
  <si>
    <t>Çocuk Battaniye</t>
  </si>
  <si>
    <t>Yüz Havlusu</t>
  </si>
  <si>
    <t>Banyo Havlusu</t>
  </si>
  <si>
    <t>El Havlusu</t>
  </si>
  <si>
    <t>Ayak Havlusu</t>
  </si>
  <si>
    <t>Banyo Havlusu Takımı</t>
  </si>
  <si>
    <t>Çocuk Bornoz</t>
  </si>
  <si>
    <t>El Havlusu Seti</t>
  </si>
  <si>
    <t>Bornoz Seti</t>
  </si>
  <si>
    <t>Yüz Havlusu Seti</t>
  </si>
  <si>
    <t>Bebe Havlu</t>
  </si>
  <si>
    <t>Banyo Terliği</t>
  </si>
  <si>
    <t>Peştamal</t>
  </si>
  <si>
    <t>Plaj Havlusu</t>
  </si>
  <si>
    <t>Saç Bonesi</t>
  </si>
  <si>
    <t>Bebe Ağız Silme Bezi</t>
  </si>
  <si>
    <t>Bebe Banyo Havlu Set</t>
  </si>
  <si>
    <t>Bebe El Havlusu</t>
  </si>
  <si>
    <t>Bebek Ter Havlusu</t>
  </si>
  <si>
    <t>Bebe Banyo Havlusu</t>
  </si>
  <si>
    <t>Hediyelik Havlu</t>
  </si>
  <si>
    <t>Çocuk Plaj Havlusu</t>
  </si>
  <si>
    <t>Kutulu Havlu</t>
  </si>
  <si>
    <t>Havlu Seti</t>
  </si>
  <si>
    <t>Tencere</t>
  </si>
  <si>
    <t>Tencere Seti</t>
  </si>
  <si>
    <t>Tava</t>
  </si>
  <si>
    <t>Kek Kalıbı</t>
  </si>
  <si>
    <t>Sahan</t>
  </si>
  <si>
    <t>Fırın Kabı</t>
  </si>
  <si>
    <t>Fırın Tencere</t>
  </si>
  <si>
    <t>Tava Seti</t>
  </si>
  <si>
    <t>Bakraç</t>
  </si>
  <si>
    <t>Sos Tenceresi</t>
  </si>
  <si>
    <t>Pişir-Sakla Set</t>
  </si>
  <si>
    <t>Sahan Seti</t>
  </si>
  <si>
    <t>Kek Kalıp Set</t>
  </si>
  <si>
    <t>Pişirme Seti</t>
  </si>
  <si>
    <t>Tencere-Tava Seti</t>
  </si>
  <si>
    <t>Tart Kalıbı</t>
  </si>
  <si>
    <t>Grıll Tava</t>
  </si>
  <si>
    <t>Wok Tava</t>
  </si>
  <si>
    <t>Mini Tava</t>
  </si>
  <si>
    <t>Mini Tencere</t>
  </si>
  <si>
    <t>Çaydanlık</t>
  </si>
  <si>
    <t>Saklama Kabı</t>
  </si>
  <si>
    <t>Demleme Ürünleri</t>
  </si>
  <si>
    <t>Kavanoz</t>
  </si>
  <si>
    <t>Termos</t>
  </si>
  <si>
    <t>Mutfak Gereci</t>
  </si>
  <si>
    <t>Doğrayıcılar</t>
  </si>
  <si>
    <t>Yemek Hazırlama</t>
  </si>
  <si>
    <t>Servis Gereçleri</t>
  </si>
  <si>
    <t>Kesme Tahtası</t>
  </si>
  <si>
    <t>Değirmen</t>
  </si>
  <si>
    <t>Hazırlık Seti</t>
  </si>
  <si>
    <t>Moka Pot</t>
  </si>
  <si>
    <t>Yumurta Fırçası</t>
  </si>
  <si>
    <t>Fondü Seti</t>
  </si>
  <si>
    <t>Kağıt Havluluk</t>
  </si>
  <si>
    <t>Merdane</t>
  </si>
  <si>
    <t>Servis Kaşığı</t>
  </si>
  <si>
    <t>Çocuk Suluk</t>
  </si>
  <si>
    <t>Spagetti Kaşığı</t>
  </si>
  <si>
    <t>Poşet Klipsi</t>
  </si>
  <si>
    <t>Şişe Tıpası</t>
  </si>
  <si>
    <t>Ölçü Kaşığı</t>
  </si>
  <si>
    <t>Huni</t>
  </si>
  <si>
    <t>Bal Kavanozu</t>
  </si>
  <si>
    <t>Perforated Spatula</t>
  </si>
  <si>
    <t>Pizza Kesici</t>
  </si>
  <si>
    <t>İbrik</t>
  </si>
  <si>
    <t>Süt Potu</t>
  </si>
  <si>
    <t>Piknik Seti</t>
  </si>
  <si>
    <t>Isıtıcı</t>
  </si>
  <si>
    <t>Kurabiye Kutusu</t>
  </si>
  <si>
    <t>Kahve Ölçü Kaşığı</t>
  </si>
  <si>
    <t>Saklama Kabı Seti</t>
  </si>
  <si>
    <t>Yumurtalık</t>
  </si>
  <si>
    <t>Açacak</t>
  </si>
  <si>
    <t>Shaker</t>
  </si>
  <si>
    <t>Havan</t>
  </si>
  <si>
    <t>Çekmece Düzenleyici</t>
  </si>
  <si>
    <t>Sufle Kabı</t>
  </si>
  <si>
    <t>Ölçü Kabı</t>
  </si>
  <si>
    <t>Poşet Torbalığı</t>
  </si>
  <si>
    <t>Kavanoz Kapağı</t>
  </si>
  <si>
    <t>Ekmek Kutusu</t>
  </si>
  <si>
    <t>Hamur ruleti</t>
  </si>
  <si>
    <t>Kettle</t>
  </si>
  <si>
    <t>Düzenleyici Set</t>
  </si>
  <si>
    <t>Sofra Seti</t>
  </si>
  <si>
    <t>Bardak Altı</t>
  </si>
  <si>
    <t>Bulaşık Seti</t>
  </si>
  <si>
    <t>Coffee Maker</t>
  </si>
  <si>
    <t>Piknik Sepeti</t>
  </si>
  <si>
    <t>Satır</t>
  </si>
  <si>
    <t>Çatal Bıçaklık</t>
  </si>
  <si>
    <t>Salata Seti</t>
  </si>
  <si>
    <t>Krep Tava</t>
  </si>
  <si>
    <t>Kupalık</t>
  </si>
  <si>
    <t>Yemek Takımı</t>
  </si>
  <si>
    <t>Kahvaltı Takımı</t>
  </si>
  <si>
    <t>Pasta Seti</t>
  </si>
  <si>
    <t>Çatal Kaşık Bıçak Tk</t>
  </si>
  <si>
    <t>Çay Tabağı</t>
  </si>
  <si>
    <t>Yemek Bıçağı</t>
  </si>
  <si>
    <t>Yemek Çatalı</t>
  </si>
  <si>
    <t>Yemek Kaşığı</t>
  </si>
  <si>
    <t>Kokteyl Karıştırıcı</t>
  </si>
  <si>
    <t>Kokteyl Çatalı</t>
  </si>
  <si>
    <t>Tatlı Kaşığı</t>
  </si>
  <si>
    <t>Çay Kaşığı</t>
  </si>
  <si>
    <t>Tatlı Bıçağı</t>
  </si>
  <si>
    <t>Tatlı Çatalı</t>
  </si>
  <si>
    <t>Lastikli Çarşaf</t>
  </si>
  <si>
    <t>Yastık Kılıfı</t>
  </si>
  <si>
    <t>Lastikli Çarşaf Tkm</t>
  </si>
  <si>
    <t>Bebe Las. Çarşaf Tkm</t>
  </si>
  <si>
    <t>Çocuk Las.Çarşaf Tkm</t>
  </si>
  <si>
    <t>Bebe Lastikli Çarşaf</t>
  </si>
  <si>
    <t>Bebe Çarşaf Takımı</t>
  </si>
  <si>
    <t>Çubuklu Oda Kokusu</t>
  </si>
  <si>
    <t>Oda Spreyi</t>
  </si>
  <si>
    <t>Kokulu Mum</t>
  </si>
  <si>
    <t>Kokulu Kese</t>
  </si>
  <si>
    <t>Aromaterapi Set</t>
  </si>
  <si>
    <t>Kolonya</t>
  </si>
  <si>
    <t>El Kremi</t>
  </si>
  <si>
    <t>Oto Kokusu</t>
  </si>
  <si>
    <t>Tütsü</t>
  </si>
  <si>
    <t>Esansiyel Koku Yağı</t>
  </si>
  <si>
    <t>Çamaşır Kokusu</t>
  </si>
  <si>
    <t>Katı Sabun</t>
  </si>
  <si>
    <t>Koku Barı</t>
  </si>
  <si>
    <t>Vücut Losyonu</t>
  </si>
  <si>
    <t>Sıvı Sabun</t>
  </si>
  <si>
    <t>Nemlendirici Jel</t>
  </si>
  <si>
    <t>Body Mist</t>
  </si>
  <si>
    <t>Yüz Maskesi</t>
  </si>
  <si>
    <t>Kokulu Set</t>
  </si>
  <si>
    <t>Yüz &amp; Vücut Spreyi</t>
  </si>
  <si>
    <t>Duş Jeli</t>
  </si>
  <si>
    <t>Sprey Kolonya</t>
  </si>
  <si>
    <t>Sabun</t>
  </si>
  <si>
    <t>TEALIGHT MUM</t>
  </si>
  <si>
    <t>Makyaj Çantası</t>
  </si>
  <si>
    <t>Pudra Ponponu</t>
  </si>
  <si>
    <t>Katı Sabun Set</t>
  </si>
  <si>
    <t>Dezenfektan</t>
  </si>
  <si>
    <t>Su Torbası</t>
  </si>
  <si>
    <t>Parfüm</t>
  </si>
  <si>
    <t>Çok Amaçlı Kutu</t>
  </si>
  <si>
    <t>Kolonyalı Mendil</t>
  </si>
  <si>
    <t>Kokulu Taş</t>
  </si>
  <si>
    <t>Alez Yastık Kılıfı</t>
  </si>
  <si>
    <t>Kırlent Yastık</t>
  </si>
  <si>
    <t>Bebe Yastık</t>
  </si>
  <si>
    <t>Yastık Alezi</t>
  </si>
  <si>
    <t>Çocuk Yastık Kılıfı</t>
  </si>
  <si>
    <t>Dekoratif Yastık</t>
  </si>
  <si>
    <t>Çocuk Yastık</t>
  </si>
  <si>
    <t>Bel Yastığı</t>
  </si>
  <si>
    <t>Alez</t>
  </si>
  <si>
    <t>Bebe Yorgan</t>
  </si>
  <si>
    <t>Uyku Seti</t>
  </si>
  <si>
    <t>Yastık ve Yorgan Tk</t>
  </si>
  <si>
    <t>Bebe Alez</t>
  </si>
  <si>
    <t>Bebe Yorgan Set</t>
  </si>
  <si>
    <t>Yatak Pedi.</t>
  </si>
  <si>
    <t>Kırlent</t>
  </si>
  <si>
    <t>Koltuk Şalı</t>
  </si>
  <si>
    <t>Ev Terliği</t>
  </si>
  <si>
    <t>Sandalye Minderi</t>
  </si>
  <si>
    <t>Dolgulu Kırlent</t>
  </si>
  <si>
    <t>Çanta.</t>
  </si>
  <si>
    <t>Panduf Ev Botu</t>
  </si>
  <si>
    <t>Soket Çorap</t>
  </si>
  <si>
    <t>Panduf Ev Babeti</t>
  </si>
  <si>
    <t>Babet Çorap</t>
  </si>
  <si>
    <t>Patik Çorap</t>
  </si>
  <si>
    <t>Pijama Takımı</t>
  </si>
  <si>
    <t>Peluş Çorap</t>
  </si>
  <si>
    <t>Dekoratif Minder</t>
  </si>
  <si>
    <t>Sokak Terliği</t>
  </si>
  <si>
    <t>Yer Minderi</t>
  </si>
  <si>
    <t>Puf.</t>
  </si>
  <si>
    <t>Koltuk Örtüsü</t>
  </si>
  <si>
    <t>Plaj Terliği</t>
  </si>
  <si>
    <t>Ten Çorap</t>
  </si>
  <si>
    <t>Sneaker Çorap</t>
  </si>
  <si>
    <t>Sallanan Koltuk</t>
  </si>
  <si>
    <t>Dekoratif Koltuk</t>
  </si>
  <si>
    <t>Gecelik</t>
  </si>
  <si>
    <t>Plaj Çantası.</t>
  </si>
  <si>
    <t>Büyük Kırlent</t>
  </si>
  <si>
    <t>Bebe Çorap</t>
  </si>
  <si>
    <t>Çocuk Terliği</t>
  </si>
  <si>
    <t>Bebe Müslin Set</t>
  </si>
  <si>
    <t>Sabahlık</t>
  </si>
  <si>
    <t>Diğer</t>
  </si>
  <si>
    <t>Bebe Hediyelik Set</t>
  </si>
  <si>
    <t>Kısa Gecelik</t>
  </si>
  <si>
    <t>Çorap</t>
  </si>
  <si>
    <t>Dekoratif Puf</t>
  </si>
  <si>
    <t>Yaslanma Minderi</t>
  </si>
  <si>
    <t>Tül Perde</t>
  </si>
  <si>
    <t>Şort Takım</t>
  </si>
  <si>
    <t>Uzun Gecelik</t>
  </si>
  <si>
    <t>Berjer</t>
  </si>
  <si>
    <t>Bebe Kundak Set</t>
  </si>
  <si>
    <t>Tek Uzun Alt</t>
  </si>
  <si>
    <t>Çocuk Çanta</t>
  </si>
  <si>
    <t>Bebe Sandalyesi</t>
  </si>
  <si>
    <t>Seyahat Çantası</t>
  </si>
  <si>
    <t>Boxer</t>
  </si>
  <si>
    <t>Çocuk Çorap</t>
  </si>
  <si>
    <t>Braçol</t>
  </si>
  <si>
    <t>Deniz Şortu</t>
  </si>
  <si>
    <t>Duvar Kağıdı</t>
  </si>
  <si>
    <t>Eldiven</t>
  </si>
  <si>
    <t>Pijama Üst</t>
  </si>
  <si>
    <t>Ev Elbisesi</t>
  </si>
  <si>
    <t>Bebe Uyku Tulumu</t>
  </si>
  <si>
    <t>Bebe Örtü</t>
  </si>
  <si>
    <t>Fanila</t>
  </si>
  <si>
    <t>Plaj Elbisesi</t>
  </si>
  <si>
    <t>Fon Perde</t>
  </si>
  <si>
    <t>Bebe Puset Örtüsü</t>
  </si>
  <si>
    <t>Çocuk Boxer</t>
  </si>
  <si>
    <t>Hasır Çanta</t>
  </si>
  <si>
    <t>Panço</t>
  </si>
  <si>
    <t>İç Çamaşır Takımı</t>
  </si>
  <si>
    <t>Kapri Takım</t>
  </si>
  <si>
    <t>Bluz</t>
  </si>
  <si>
    <t>Ayaklı Tepsi</t>
  </si>
  <si>
    <t>Klozet Adaptörü</t>
  </si>
  <si>
    <t>Plaj Pantolonu</t>
  </si>
  <si>
    <t>Bebe Şapka</t>
  </si>
  <si>
    <t>Bebe Body</t>
  </si>
  <si>
    <t>Çocuk Çarşaf</t>
  </si>
  <si>
    <t>Çocuk Atlet</t>
  </si>
  <si>
    <t>Tayt</t>
  </si>
  <si>
    <t>Bebe Önlük</t>
  </si>
  <si>
    <t>Bebe Alt Açma Yedek</t>
  </si>
  <si>
    <t>Düzenleyici</t>
  </si>
  <si>
    <t>Çocuk Pijama Takımı</t>
  </si>
  <si>
    <t>Şort</t>
  </si>
  <si>
    <t>Spor Tshirt</t>
  </si>
  <si>
    <t>Bebe Tulum</t>
  </si>
  <si>
    <t>Stor Perde</t>
  </si>
  <si>
    <t>Tek Alt</t>
  </si>
  <si>
    <t>Külot</t>
  </si>
  <si>
    <t>Çocuk Eldiven</t>
  </si>
  <si>
    <t>Küpe</t>
  </si>
  <si>
    <t>Çocuk Panço</t>
  </si>
  <si>
    <t>Omuz Şalı</t>
  </si>
  <si>
    <t>Atlet</t>
  </si>
  <si>
    <t>Evcil Hayvan Yatağı</t>
  </si>
  <si>
    <t>Banyo Paspası Seti</t>
  </si>
  <si>
    <t>Banyo Paspası</t>
  </si>
  <si>
    <t>Post</t>
  </si>
  <si>
    <t>Peluş Halı</t>
  </si>
  <si>
    <t>Dokuma Kilim</t>
  </si>
  <si>
    <t>Bukle Kilim</t>
  </si>
  <si>
    <t>Dekoratif Jüt Kilim</t>
  </si>
  <si>
    <t>Dokuma Halı</t>
  </si>
  <si>
    <t>Dekoratif Halı</t>
  </si>
  <si>
    <t>Kapı Önü Paspası</t>
  </si>
  <si>
    <t>Makine Halısı</t>
  </si>
  <si>
    <t>Kilim</t>
  </si>
  <si>
    <t>Halı</t>
  </si>
  <si>
    <t>Mutfak Paspası</t>
  </si>
  <si>
    <t>Bebek Halısı</t>
  </si>
  <si>
    <t>Çocuk Halısı</t>
  </si>
  <si>
    <t>Dış Mekan Kilim</t>
  </si>
  <si>
    <t>Yatak Örtüsü Takımı</t>
  </si>
  <si>
    <t>Çok Amaçlı Örtü</t>
  </si>
  <si>
    <t>Bebe Yatak K. Koruma</t>
  </si>
  <si>
    <t>Pike Takımı</t>
  </si>
  <si>
    <t>Bebe Pike</t>
  </si>
  <si>
    <t>Çocuk Pike Takımı</t>
  </si>
  <si>
    <t>Pike Seti</t>
  </si>
  <si>
    <t>Çay Makinesi YP</t>
  </si>
  <si>
    <t>El Blen.Multi Set YP</t>
  </si>
  <si>
    <t>Sofra YP</t>
  </si>
  <si>
    <t>Stand Mikser YP</t>
  </si>
  <si>
    <t>Pişirme YP</t>
  </si>
  <si>
    <t>Türk Kahve M. YP</t>
  </si>
  <si>
    <t>El Mikseri YP</t>
  </si>
  <si>
    <t>Airfryer YP</t>
  </si>
  <si>
    <t>Filtre Kahve M.YP</t>
  </si>
  <si>
    <t>Waffle Makinesi YP</t>
  </si>
  <si>
    <t>Doğrayıcı YP</t>
  </si>
  <si>
    <t>Sürahi Blender YP</t>
  </si>
  <si>
    <t>Sarf YP</t>
  </si>
  <si>
    <t>Izgara ve Tost M. YP</t>
  </si>
  <si>
    <t>Kişisel Blender YP</t>
  </si>
  <si>
    <t>DM Doğrayıcılar</t>
  </si>
  <si>
    <t>LastNWeeks</t>
  </si>
  <si>
    <t>Cibinlik</t>
  </si>
  <si>
    <t>Nevr. ve Yastık Klf</t>
  </si>
  <si>
    <t>Dizüstü Tepsi</t>
  </si>
  <si>
    <t>Yağ-Sirke-Tuz-Bbr</t>
  </si>
  <si>
    <t>Kokteyl Peçetesi</t>
  </si>
  <si>
    <t>Tuzluk - Biberlik</t>
  </si>
  <si>
    <t>Katlı Servis</t>
  </si>
  <si>
    <t>Kahve Fincan Takımı</t>
  </si>
  <si>
    <t>Fincan</t>
  </si>
  <si>
    <t>Çay Bardağı</t>
  </si>
  <si>
    <t>Tuvalet Fırçalığı</t>
  </si>
  <si>
    <t>Magnet</t>
  </si>
  <si>
    <t>El Aynası</t>
  </si>
  <si>
    <t>Şemsiyelik</t>
  </si>
  <si>
    <t>Not Panosu</t>
  </si>
  <si>
    <t>Güneş Kremi</t>
  </si>
  <si>
    <t>WHT Oda Spreyi</t>
  </si>
  <si>
    <t>Dolap İçi Koku</t>
  </si>
  <si>
    <t>Askılı Koku</t>
  </si>
  <si>
    <t>Espresso Makinesi</t>
  </si>
  <si>
    <t>Saç Kurutma Makinesi</t>
  </si>
  <si>
    <t>Ütüleme Sistemleri</t>
  </si>
  <si>
    <t>Şarjlı Dikey Süpürge</t>
  </si>
  <si>
    <t>Kablolu Dikey Süpürg</t>
  </si>
  <si>
    <t>Kepçe</t>
  </si>
  <si>
    <t>El Rondosu</t>
  </si>
  <si>
    <t>Pipet</t>
  </si>
  <si>
    <t>Baharatlık</t>
  </si>
  <si>
    <t>Matara</t>
  </si>
  <si>
    <t>Bebe Bornoz</t>
  </si>
  <si>
    <t>Yatak Eteği</t>
  </si>
  <si>
    <t>Destekli Yastık</t>
  </si>
  <si>
    <t>Çocuk Yatak Örtü Tkm</t>
  </si>
  <si>
    <t>Bebe Yatak Koruma</t>
  </si>
  <si>
    <t>Sütyen</t>
  </si>
  <si>
    <t>Puset</t>
  </si>
  <si>
    <t>Bebe Pijama Takımı</t>
  </si>
  <si>
    <t>İçlik</t>
  </si>
  <si>
    <t>Kartela Kumaşı</t>
  </si>
  <si>
    <t>Çocuk Ev Ayakkabısı</t>
  </si>
  <si>
    <t>Çocuk Üst</t>
  </si>
  <si>
    <t>Klozet Seti</t>
  </si>
  <si>
    <t>DM Tencere</t>
  </si>
  <si>
    <t>DM Buharlı Ütü</t>
  </si>
  <si>
    <t>DM Buhar Kazanlı Ütü</t>
  </si>
  <si>
    <t>DM Torbasız Süpürge</t>
  </si>
  <si>
    <t>DM Şarjlı Dikey Süpü</t>
  </si>
  <si>
    <t>DM Tava</t>
  </si>
  <si>
    <t>DM Espresso Makinesi</t>
  </si>
  <si>
    <t>DM Tencere Seti</t>
  </si>
  <si>
    <t>DM Buharlı Düzleştir</t>
  </si>
  <si>
    <t>DM Filtre Kahve M.</t>
  </si>
  <si>
    <t>DM Bıçak</t>
  </si>
  <si>
    <t>DM Sahan</t>
  </si>
  <si>
    <t>DM Saklama Termosu</t>
  </si>
  <si>
    <t>DM Saklama Kabı</t>
  </si>
  <si>
    <t>DM Bıçak Seti</t>
  </si>
  <si>
    <t>DM Ekmek Kızartma M.</t>
  </si>
  <si>
    <t>DM Doğrayıcı</t>
  </si>
  <si>
    <t>DM Soyacak</t>
  </si>
  <si>
    <t>DM Bardak</t>
  </si>
  <si>
    <t>DM Tava Seti</t>
  </si>
  <si>
    <t>DMNarenciye Sıkacağı</t>
  </si>
  <si>
    <t>DM Stand Mikseri</t>
  </si>
  <si>
    <t>DM Izgara Ve Tost M.</t>
  </si>
  <si>
    <t>DM Sürahi Blender</t>
  </si>
  <si>
    <t>DM Değirmen</t>
  </si>
  <si>
    <t>DM Su Isıtıcı</t>
  </si>
  <si>
    <t>Saç Kurutma YP</t>
  </si>
  <si>
    <t>Şarjlı Süpürge YP.</t>
  </si>
  <si>
    <t>Elektrikli Süpürge Y</t>
  </si>
  <si>
    <t>SSH YP</t>
  </si>
  <si>
    <t>Su Isıtıcısı YP.</t>
  </si>
  <si>
    <t>Kozmetik YP</t>
  </si>
  <si>
    <t>Mutfak YP</t>
  </si>
  <si>
    <t>H_SalesChannel</t>
  </si>
  <si>
    <t>LW vs TW Change</t>
  </si>
  <si>
    <t>Achieved TY Sales Budget Unit</t>
  </si>
  <si>
    <t>Sofra İçecek Total</t>
  </si>
  <si>
    <t>Nevresim Total</t>
  </si>
  <si>
    <t>Sofra Sunum Total</t>
  </si>
  <si>
    <t>Aksesuar Total</t>
  </si>
  <si>
    <t>Pişirme Total</t>
  </si>
  <si>
    <t>Sofra Takımları Total</t>
  </si>
  <si>
    <t>Kozmetik Total</t>
  </si>
  <si>
    <t>Çarşaf Total</t>
  </si>
  <si>
    <t>KEA Total</t>
  </si>
  <si>
    <t>Mutfak Total</t>
  </si>
  <si>
    <t>Havlu Total</t>
  </si>
  <si>
    <t>Battaniye Total</t>
  </si>
  <si>
    <t>Yorgan Total</t>
  </si>
  <si>
    <t>Yastık Total</t>
  </si>
  <si>
    <t>Yatak Örtüsü Total</t>
  </si>
  <si>
    <t>Salon Total</t>
  </si>
  <si>
    <t>Banyo Total</t>
  </si>
  <si>
    <t>Dünya Markaları Total</t>
  </si>
  <si>
    <t>Halı - Kilim Total</t>
  </si>
  <si>
    <t>Pike Total</t>
  </si>
  <si>
    <t>KEA YP</t>
  </si>
  <si>
    <t>YEDEK PARÇA Total</t>
  </si>
  <si>
    <t>(Multiple Items)</t>
  </si>
  <si>
    <t>Achieved TY Sales Budget Value TRY</t>
  </si>
  <si>
    <t>Achieved TY Sales Budget Profit Value TRY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</si>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</sst>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* #,##0.00_-;\-* #,##0.00_-;_-* &quot;-&quot;??_-;_-@_-"/>
    <numFmt numFmtId="165" formatCode="_-* #,##0_-;\-* #,##0_-;_-* &quot;-&quot;??_-;_-@_-"/>
    <numFmt numFmtId="166" formatCode="0.0%"/>
    <numFmt numFmtId="167" formatCode="0.0"/>
    <numFmt numFmtId="168" formatCode="#,##0.0"/>
    <numFmt numFmtId="169" formatCode="0.0%;\-0.0%;0.0%"/>
    <numFmt numFmtId="170" formatCode="#,##0.0%;\-#,##0.0%;#,##0.0%"/>
  </numFmts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2"/>
      <color theme="0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65" fontId="0" fillId="0" borderId="3" xfId="0" applyNumberForma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3" fontId="0" fillId="0" borderId="5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166" fontId="3" fillId="0" borderId="6" xfId="0" applyNumberFormat="1" applyFon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6" fontId="3" fillId="0" borderId="7" xfId="0" applyNumberFormat="1" applyFont="1" applyBorder="1" applyAlignment="1">
      <alignment horizontal="center" vertical="center"/>
    </xf>
    <xf numFmtId="166" fontId="0" fillId="0" borderId="6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8" fontId="3" fillId="0" borderId="6" xfId="0" applyNumberFormat="1" applyFont="1" applyBorder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9" fontId="0" fillId="0" borderId="7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3" fontId="0" fillId="0" borderId="0" xfId="0" applyNumberFormat="1"/>
    <xf numFmtId="3" fontId="0" fillId="0" borderId="8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3" fillId="0" borderId="9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68" fontId="3" fillId="0" borderId="0" xfId="0" applyNumberFormat="1" applyFont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167" fontId="0" fillId="0" borderId="9" xfId="0" applyNumberFormat="1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6" fontId="3" fillId="0" borderId="12" xfId="0" applyNumberFormat="1" applyFon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4" fontId="0" fillId="0" borderId="11" xfId="0" applyNumberFormat="1" applyBorder="1" applyAlignment="1">
      <alignment horizontal="center" vertical="center"/>
    </xf>
    <xf numFmtId="167" fontId="0" fillId="0" borderId="11" xfId="0" applyNumberFormat="1" applyBorder="1" applyAlignment="1">
      <alignment horizontal="center" vertical="center"/>
    </xf>
    <xf numFmtId="168" fontId="3" fillId="0" borderId="11" xfId="0" applyNumberFormat="1" applyFon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12" xfId="0" applyNumberFormat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Continuous"/>
    </xf>
    <xf numFmtId="0" fontId="0" fillId="3" borderId="3" xfId="0" applyFill="1" applyBorder="1" applyAlignment="1">
      <alignment horizontal="centerContinuous"/>
    </xf>
    <xf numFmtId="0" fontId="0" fillId="4" borderId="1" xfId="0" applyFill="1" applyBorder="1" applyAlignment="1">
      <alignment horizontal="centerContinuous"/>
    </xf>
    <xf numFmtId="0" fontId="0" fillId="4" borderId="3" xfId="0" applyFill="1" applyBorder="1" applyAlignment="1">
      <alignment horizontal="centerContinuous"/>
    </xf>
    <xf numFmtId="0" fontId="0" fillId="4" borderId="2" xfId="0" applyFill="1" applyBorder="1" applyAlignment="1">
      <alignment horizontal="centerContinuous"/>
    </xf>
    <xf numFmtId="165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165" fontId="0" fillId="0" borderId="0" xfId="0" applyNumberFormat="1"/>
    <xf numFmtId="3" fontId="0" fillId="5" borderId="0" xfId="0" applyNumberFormat="1" applyFill="1"/>
    <xf numFmtId="167" fontId="0" fillId="0" borderId="0" xfId="0" applyNumberFormat="1"/>
    <xf numFmtId="4" fontId="0" fillId="0" borderId="0" xfId="0" applyNumberFormat="1"/>
    <xf numFmtId="169" fontId="0" fillId="0" borderId="0" xfId="0" applyNumberFormat="1"/>
    <xf numFmtId="0" fontId="4" fillId="0" borderId="0" xfId="0" applyFont="1"/>
    <xf numFmtId="9" fontId="4" fillId="0" borderId="0" xfId="0" applyNumberFormat="1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Continuous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65" fontId="0" fillId="0" borderId="8" xfId="0" applyNumberForma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165" fontId="0" fillId="0" borderId="9" xfId="0" applyNumberFormat="1" applyBorder="1" applyAlignment="1">
      <alignment horizontal="center" vertical="center" wrapText="1"/>
    </xf>
    <xf numFmtId="0" fontId="4" fillId="6" borderId="13" xfId="0" applyFont="1" applyFill="1" applyBorder="1" applyAlignment="1">
      <alignment horizontal="center" vertical="center" wrapText="1"/>
    </xf>
    <xf numFmtId="165" fontId="4" fillId="7" borderId="13" xfId="0" applyNumberFormat="1" applyFont="1" applyFill="1" applyBorder="1" applyAlignment="1">
      <alignment horizontal="center" vertical="center" wrapText="1"/>
    </xf>
    <xf numFmtId="165" fontId="4" fillId="7" borderId="0" xfId="0" applyNumberFormat="1" applyFont="1" applyFill="1" applyAlignment="1">
      <alignment horizontal="center" vertical="center" wrapText="1"/>
    </xf>
    <xf numFmtId="165" fontId="6" fillId="7" borderId="0" xfId="0" applyNumberFormat="1" applyFont="1" applyFill="1" applyAlignment="1">
      <alignment horizontal="center" vertical="center" wrapText="1"/>
    </xf>
    <xf numFmtId="10" fontId="0" fillId="0" borderId="5" xfId="0" applyNumberFormat="1" applyBorder="1"/>
    <xf numFmtId="10" fontId="0" fillId="0" borderId="6" xfId="0" applyNumberFormat="1" applyBorder="1"/>
    <xf numFmtId="165" fontId="0" fillId="0" borderId="6" xfId="0" applyNumberFormat="1" applyBorder="1"/>
    <xf numFmtId="3" fontId="0" fillId="0" borderId="6" xfId="0" applyNumberFormat="1" applyBorder="1"/>
    <xf numFmtId="169" fontId="0" fillId="0" borderId="6" xfId="0" applyNumberFormat="1" applyBorder="1"/>
    <xf numFmtId="167" fontId="0" fillId="0" borderId="6" xfId="0" applyNumberFormat="1" applyBorder="1"/>
    <xf numFmtId="4" fontId="0" fillId="0" borderId="6" xfId="0" applyNumberFormat="1" applyBorder="1"/>
    <xf numFmtId="10" fontId="4" fillId="0" borderId="5" xfId="0" applyNumberFormat="1" applyFont="1" applyBorder="1"/>
    <xf numFmtId="4" fontId="0" fillId="0" borderId="7" xfId="0" applyNumberFormat="1" applyBorder="1"/>
    <xf numFmtId="166" fontId="0" fillId="0" borderId="0" xfId="2" applyNumberFormat="1" applyFont="1"/>
    <xf numFmtId="10" fontId="0" fillId="0" borderId="0" xfId="0" applyNumberFormat="1"/>
    <xf numFmtId="10" fontId="6" fillId="0" borderId="0" xfId="0" applyNumberFormat="1" applyFont="1"/>
    <xf numFmtId="9" fontId="0" fillId="0" borderId="0" xfId="2" applyFont="1"/>
    <xf numFmtId="10" fontId="0" fillId="0" borderId="8" xfId="0" applyNumberFormat="1" applyBorder="1"/>
    <xf numFmtId="4" fontId="0" fillId="0" borderId="9" xfId="0" applyNumberFormat="1" applyBorder="1"/>
    <xf numFmtId="0" fontId="0" fillId="0" borderId="10" xfId="0" applyBorder="1" applyAlignment="1">
      <alignment horizontal="center" vertical="center" wrapText="1"/>
    </xf>
    <xf numFmtId="10" fontId="0" fillId="0" borderId="1" xfId="0" applyNumberFormat="1" applyBorder="1"/>
    <xf numFmtId="10" fontId="0" fillId="0" borderId="2" xfId="0" applyNumberFormat="1" applyBorder="1"/>
    <xf numFmtId="165" fontId="0" fillId="0" borderId="2" xfId="0" applyNumberFormat="1" applyBorder="1"/>
    <xf numFmtId="3" fontId="0" fillId="0" borderId="2" xfId="0" applyNumberFormat="1" applyBorder="1"/>
    <xf numFmtId="169" fontId="0" fillId="0" borderId="2" xfId="0" applyNumberFormat="1" applyBorder="1"/>
    <xf numFmtId="167" fontId="0" fillId="0" borderId="2" xfId="0" applyNumberFormat="1" applyBorder="1"/>
    <xf numFmtId="4" fontId="0" fillId="0" borderId="2" xfId="0" applyNumberFormat="1" applyBorder="1"/>
    <xf numFmtId="4" fontId="0" fillId="0" borderId="3" xfId="0" applyNumberFormat="1" applyBorder="1"/>
    <xf numFmtId="0" fontId="6" fillId="0" borderId="0" xfId="0" applyFont="1"/>
    <xf numFmtId="0" fontId="0" fillId="0" borderId="1" xfId="0" applyBorder="1"/>
    <xf numFmtId="0" fontId="4" fillId="0" borderId="0" xfId="0" applyFont="1" applyAlignment="1">
      <alignment horizontal="centerContinuous"/>
    </xf>
    <xf numFmtId="165" fontId="0" fillId="0" borderId="5" xfId="0" applyNumberFormat="1" applyBorder="1"/>
    <xf numFmtId="3" fontId="0" fillId="0" borderId="7" xfId="0" applyNumberFormat="1" applyBorder="1"/>
    <xf numFmtId="164" fontId="0" fillId="0" borderId="0" xfId="1" applyFont="1"/>
    <xf numFmtId="165" fontId="0" fillId="0" borderId="8" xfId="0" applyNumberFormat="1" applyBorder="1"/>
    <xf numFmtId="3" fontId="0" fillId="0" borderId="9" xfId="0" applyNumberFormat="1" applyBorder="1"/>
    <xf numFmtId="165" fontId="0" fillId="8" borderId="8" xfId="0" applyNumberFormat="1" applyFill="1" applyBorder="1"/>
    <xf numFmtId="3" fontId="0" fillId="8" borderId="9" xfId="0" applyNumberFormat="1" applyFill="1" applyBorder="1"/>
    <xf numFmtId="165" fontId="0" fillId="9" borderId="8" xfId="0" applyNumberFormat="1" applyFill="1" applyBorder="1"/>
    <xf numFmtId="165" fontId="0" fillId="9" borderId="0" xfId="0" applyNumberFormat="1" applyFill="1"/>
    <xf numFmtId="3" fontId="0" fillId="9" borderId="0" xfId="0" applyNumberFormat="1" applyFill="1"/>
    <xf numFmtId="3" fontId="0" fillId="9" borderId="9" xfId="0" applyNumberFormat="1" applyFill="1" applyBorder="1"/>
    <xf numFmtId="165" fontId="0" fillId="0" borderId="1" xfId="0" applyNumberFormat="1" applyBorder="1"/>
    <xf numFmtId="3" fontId="0" fillId="0" borderId="3" xfId="0" applyNumberFormat="1" applyBorder="1"/>
    <xf numFmtId="0" fontId="0" fillId="0" borderId="0" xfId="0" pivotButton="1" applyAlignment="1">
      <alignment horizontal="center"/>
    </xf>
    <xf numFmtId="0" fontId="0" fillId="0" borderId="0" xfId="0" pivotButton="1"/>
    <xf numFmtId="0" fontId="0" fillId="0" borderId="0" xfId="0" pivotButton="1" applyAlignment="1">
      <alignment horizontal="center" vertical="center" wrapText="1"/>
    </xf>
    <xf numFmtId="0" fontId="0" fillId="0" borderId="5" xfId="0" pivotButton="1" applyBorder="1" applyAlignment="1">
      <alignment vertical="center" wrapText="1"/>
    </xf>
    <xf numFmtId="165" fontId="0" fillId="8" borderId="0" xfId="0" applyNumberFormat="1" applyFill="1"/>
    <xf numFmtId="3" fontId="0" fillId="8" borderId="0" xfId="0" applyNumberFormat="1" applyFill="1"/>
    <xf numFmtId="0" fontId="0" fillId="0" borderId="5" xfId="0" pivotButton="1" applyBorder="1" applyAlignment="1">
      <alignment horizontal="center" vertical="center" wrapText="1"/>
    </xf>
    <xf numFmtId="0" fontId="0" fillId="9" borderId="0" xfId="0" applyFill="1"/>
    <xf numFmtId="4" fontId="0" fillId="9" borderId="0" xfId="0" applyNumberFormat="1" applyFill="1"/>
    <xf numFmtId="167" fontId="0" fillId="9" borderId="0" xfId="0" applyNumberFormat="1" applyFill="1"/>
    <xf numFmtId="169" fontId="0" fillId="9" borderId="0" xfId="0" applyNumberFormat="1" applyFill="1"/>
    <xf numFmtId="170" fontId="0" fillId="0" borderId="0" xfId="0" applyNumberFormat="1"/>
    <xf numFmtId="170" fontId="0" fillId="9" borderId="0" xfId="0" applyNumberFormat="1" applyFill="1"/>
    <xf numFmtId="0" fontId="0" fillId="0" borderId="0" xfId="0" applyAlignment="1">
      <alignment horizontal="center" vertical="top" wrapText="1"/>
    </xf>
    <xf numFmtId="0" fontId="0" fillId="3" borderId="8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 vertical="center" wrapText="1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/>
    </xf>
    <xf numFmtId="0" fontId="0" fillId="0" borderId="3" xfId="0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378"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3" formatCode="#,##0"/>
    </dxf>
    <dxf>
      <alignment horizontal="center"/>
    </dxf>
    <dxf>
      <alignment vertical="center"/>
    </dxf>
    <dxf>
      <alignment wrapText="1"/>
    </dxf>
    <dxf>
      <numFmt numFmtId="165" formatCode="_-* #,##0_-;\-* #,##0_-;_-* &quot;-&quot;??_-;_-@_-"/>
    </dxf>
    <dxf>
      <fill>
        <patternFill patternType="solid">
          <bgColor theme="0" tint="-0.14999847407452621"/>
        </patternFill>
      </fill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wrapText="1"/>
    </dxf>
    <dxf>
      <numFmt numFmtId="3" formatCode="#,##0"/>
    </dxf>
    <dxf>
      <numFmt numFmtId="3" formatCode="#,##0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wrapText="1"/>
    </dxf>
    <dxf>
      <fill>
        <patternFill>
          <bgColor theme="3" tint="0.79998168889431442"/>
        </patternFill>
      </fill>
    </dxf>
    <dxf>
      <fill>
        <patternFill>
          <bgColor theme="6" tint="0.59999389629810485"/>
        </patternFill>
      </fill>
    </dxf>
    <dxf>
      <alignment horizontal="center" vertical="center" wrapText="1"/>
    </dxf>
    <dxf>
      <alignment horizontal="center" vertical="center" wrapText="1"/>
    </dxf>
    <dxf>
      <numFmt numFmtId="165" formatCode="_-* #,##0_-;\-* #,##0_-;_-* &quot;-&quot;??_-;_-@_-"/>
    </dxf>
    <dxf>
      <alignment horizontal="center" vertical="center" wrapText="1"/>
    </dxf>
    <dxf>
      <alignment vertical="top"/>
    </dxf>
    <dxf>
      <alignment horizontal="center"/>
    </dxf>
    <dxf>
      <alignment wrapText="1"/>
    </dxf>
    <dxf>
      <numFmt numFmtId="3" formatCode="#,##0"/>
    </dxf>
    <dxf>
      <numFmt numFmtId="14" formatCode="0.00%"/>
    </dxf>
    <dxf>
      <border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</border>
    </dxf>
    <dxf>
      <alignment wrapText="1"/>
    </dxf>
    <dxf>
      <alignment vertical="center"/>
    </dxf>
    <dxf>
      <font>
        <b/>
      </font>
    </dxf>
    <dxf>
      <border>
        <left style="thin">
          <color indexed="64"/>
        </left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5" formatCode="_-* #,##0_-;\-* #,##0_-;_-* &quot;-&quot;??_-;_-@_-"/>
    </dxf>
    <dxf>
      <alignment horizontal="center" vertical="center" wrapText="1"/>
    </dxf>
    <dxf>
      <alignment wrapText="1"/>
    </dxf>
    <dxf>
      <alignment vertical="center"/>
    </dxf>
    <dxf>
      <alignment horizontal="center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font>
        <b/>
      </font>
    </dxf>
    <dxf>
      <numFmt numFmtId="14" formatCode="0.00%"/>
    </dxf>
    <dxf>
      <numFmt numFmtId="14" formatCode="0.00%"/>
    </dxf>
    <dxf>
      <numFmt numFmtId="14" formatCode="0.00%"/>
    </dxf>
    <dxf>
      <font>
        <b/>
      </font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fill>
        <patternFill patternType="solid">
          <bgColor theme="0" tint="-0.14999847407452621"/>
        </patternFill>
      </fill>
    </dxf>
    <dxf>
      <numFmt numFmtId="165" formatCode="_-* #,##0_-;\-* #,##0_-;_-* &quot;-&quot;??_-;_-@_-"/>
    </dxf>
    <dxf>
      <alignment wrapText="1"/>
    </dxf>
    <dxf>
      <alignment vertic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horizontal="center" vertical="center" wrapText="1"/>
    </dxf>
    <dxf>
      <numFmt numFmtId="165" formatCode="_-* #,##0_-;\-* #,##0_-;_-* &quot;-&quot;??_-;_-@_-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79998168889431442"/>
        </patternFill>
      </fill>
    </dxf>
    <dxf>
      <numFmt numFmtId="3" formatCode="#,##0"/>
    </dxf>
    <dxf>
      <border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</border>
    </dxf>
    <dxf>
      <alignment wrapText="1"/>
    </dxf>
    <dxf>
      <alignment vertical="center"/>
    </dxf>
    <dxf>
      <border>
        <left style="thin">
          <color indexed="64"/>
        </left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horizontal="center"/>
    </dxf>
    <dxf>
      <numFmt numFmtId="165" formatCode="_-* #,##0_-;\-* #,##0_-;_-* &quot;-&quot;??_-;_-@_-"/>
    </dxf>
    <dxf>
      <alignment horizontal="center" vertical="center" wrapText="1"/>
    </dxf>
    <dxf>
      <alignment wrapText="1"/>
    </dxf>
    <dxf>
      <alignment vertical="center"/>
    </dxf>
    <dxf>
      <alignment horizontal="center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numFmt numFmtId="165" formatCode="_-* #,##0_-;\-* #,##0_-;_-* &quot;-&quot;??_-;_-@_-"/>
    </dxf>
    <dxf>
      <numFmt numFmtId="2" formatCode="0.00"/>
    </dxf>
    <dxf>
      <alignment horizontal="center" vertical="center" wrapText="1"/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vertical="center"/>
    </dxf>
    <dxf>
      <alignment wrapText="1"/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/>
    </dxf>
    <dxf>
      <alignment horizontal="center"/>
    </dxf>
    <dxf>
      <alignment vertical="center"/>
    </dxf>
    <dxf>
      <border>
        <right style="thin">
          <color indexed="64"/>
        </right>
      </border>
    </dxf>
    <dxf>
      <border>
        <left/>
        <right/>
        <top/>
        <bottom/>
        <horizontal/>
      </border>
    </dxf>
    <dxf>
      <alignment wrapText="1"/>
    </dxf>
    <dxf>
      <alignment horizontal="center"/>
    </dxf>
    <dxf>
      <alignment vertical="center"/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vertical="center"/>
    </dxf>
    <dxf>
      <alignment wrapText="1"/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0.0%"/>
    </dxf>
    <dxf>
      <alignment wrapText="1"/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numFmt numFmtId="166" formatCode="0.0%"/>
    </dxf>
    <dxf>
      <alignment horizontal="center"/>
    </dxf>
    <dxf>
      <alignment vertical="center"/>
    </dxf>
    <dxf>
      <alignment wrapText="1"/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>
        <left/>
        <right/>
        <top/>
        <bottom/>
        <horizontal/>
      </border>
    </dxf>
    <dxf>
      <numFmt numFmtId="166" formatCode="0.0%"/>
    </dxf>
    <dxf>
      <numFmt numFmtId="166" formatCode="0.0%"/>
    </dxf>
    <dxf>
      <numFmt numFmtId="166" formatCode="0.0%"/>
    </dxf>
    <dxf>
      <numFmt numFmtId="166" formatCode="0.0%"/>
    </dxf>
    <dxf>
      <alignment wrapText="1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vertical="center"/>
    </dxf>
    <dxf>
      <alignment wrapText="1"/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vertical="center"/>
    </dxf>
    <dxf>
      <alignment wrapText="1"/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0.0%"/>
    </dxf>
    <dxf>
      <alignment horizontal="center"/>
    </dxf>
    <dxf>
      <alignment vertical="center"/>
    </dxf>
    <dxf>
      <border>
        <left/>
        <right/>
        <top/>
        <bottom/>
        <horizontal/>
      </border>
    </dxf>
    <dxf>
      <numFmt numFmtId="168" formatCode="#,##0.0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numFmt numFmtId="4" formatCode="#,##0.00"/>
    </dxf>
    <dxf>
      <numFmt numFmtId="166" formatCode="0.0%"/>
    </dxf>
    <dxf>
      <alignment horizontal="center"/>
    </dxf>
    <dxf>
      <alignment vertical="center"/>
    </dxf>
    <dxf>
      <numFmt numFmtId="166" formatCode="0.0%"/>
    </dxf>
    <dxf>
      <alignment horizontal="center"/>
    </dxf>
    <dxf>
      <alignment vertical="center"/>
    </dxf>
    <dxf>
      <numFmt numFmtId="3" formatCode="#,##0"/>
    </dxf>
    <dxf>
      <alignment horizontal="center"/>
    </dxf>
    <dxf>
      <alignment vertical="center"/>
    </dxf>
    <dxf>
      <numFmt numFmtId="3" formatCode="#,##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numFmt numFmtId="3" formatCode="#,##0"/>
    </dxf>
    <dxf>
      <numFmt numFmtId="165" formatCode="_-* #,##0_-;\-* #,##0_-;_-* &quot;-&quot;??_-;_-@_-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wrapText="1"/>
    </dxf>
    <dxf>
      <alignment horizontal="center"/>
    </dxf>
    <dxf>
      <alignment vertical="top"/>
    </dxf>
    <dxf>
      <alignment horizontal="center" vertical="center" wrapText="1"/>
    </dxf>
    <dxf>
      <numFmt numFmtId="165" formatCode="_-* #,##0_-;\-* #,##0_-;_-* &quot;-&quot;??_-;_-@_-"/>
    </dxf>
    <dxf>
      <alignment horizontal="center" vertical="center" wrapText="1"/>
    </dxf>
    <dxf>
      <alignment horizontal="center" vertical="center" wrapText="1"/>
    </dxf>
    <dxf>
      <fill>
        <patternFill>
          <bgColor theme="6" tint="0.59999389629810485"/>
        </patternFill>
      </fill>
    </dxf>
    <dxf>
      <fill>
        <patternFill>
          <bgColor theme="3" tint="0.79998168889431442"/>
        </patternFill>
      </fill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3" formatCode="#,##0"/>
    </dxf>
    <dxf>
      <numFmt numFmtId="3" formatCode="#,##0"/>
    </dxf>
    <dxf>
      <alignment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fill>
        <patternFill patternType="solid">
          <bgColor theme="0" tint="-0.14999847407452621"/>
        </patternFill>
      </fill>
    </dxf>
    <dxf>
      <numFmt numFmtId="165" formatCode="_-* #,##0_-;\-* #,##0_-;_-* &quot;-&quot;??_-;_-@_-"/>
    </dxf>
    <dxf>
      <alignment wrapText="1"/>
    </dxf>
    <dxf>
      <alignment vertic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font>
        <color theme="0"/>
      </font>
      <fill>
        <patternFill>
          <bgColor theme="3"/>
        </patternFill>
      </fill>
    </dxf>
    <dxf>
      <font>
        <color theme="0"/>
      </font>
      <fill>
        <patternFill>
          <bgColor theme="3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ont>
        <b/>
        <i val="0"/>
      </font>
    </dxf>
    <dxf>
      <font>
        <color theme="0"/>
      </font>
      <fill>
        <patternFill>
          <bgColor theme="3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2" defaultTableStyle="TableStyleMedium2" defaultPivotStyle="PivotStyleLight16">
    <tableStyle name="EHM Dilimleyici Taslak" pivot="0" table="0" count="4" xr9:uid="{F04E949F-DF17-4ADD-9FE4-67B77E3CDB27}">
      <tableStyleElement type="wholeTable" dxfId="377"/>
      <tableStyleElement type="headerRow" dxfId="376"/>
    </tableStyle>
    <tableStyle name="EHM Taslak" table="0" count="8" xr9:uid="{D0CCD6C5-E124-49C3-A7C7-D33FB2988CF0}">
      <tableStyleElement type="headerRow" dxfId="375"/>
      <tableStyleElement type="totalRow" dxfId="374"/>
      <tableStyleElement type="firstColumn" dxfId="373"/>
      <tableStyleElement type="firstSubtotalRow" dxfId="372"/>
      <tableStyleElement type="secondSubtotalRow" dxfId="371"/>
      <tableStyleElement type="thirdSubtotalRow" dxfId="370"/>
      <tableStyleElement type="pageFieldLabels" dxfId="369"/>
      <tableStyleElement type="pageFieldValues" dxfId="368"/>
    </tableStyle>
  </tableStyles>
  <extLst>
    <ext xmlns:x14="http://schemas.microsoft.com/office/spreadsheetml/2009/9/main" uri="{46F421CA-312F-682f-3DD2-61675219B42D}">
      <x14:dxfs count="2">
        <dxf>
          <font>
            <color theme="0"/>
          </font>
          <fill>
            <patternFill>
              <bgColor theme="5"/>
            </patternFill>
          </fill>
        </dxf>
        <dxf>
          <font>
            <b/>
            <i val="0"/>
            <color theme="1"/>
          </font>
          <fill>
            <patternFill>
              <bgColor theme="3" tint="0.3999450666829432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HM Dilimleyici Taslak">
          <x14:slicerStyleElements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microsoft.com/office/2007/relationships/slicerCache" Target="slicerCaches/slicerCache3.xml"/><Relationship Id="rId18" Type="http://schemas.microsoft.com/office/2007/relationships/slicerCache" Target="slicerCaches/slicerCache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pivotCacheDefinition" Target="pivotCache/pivotCacheDefinition4.xml"/><Relationship Id="rId12" Type="http://schemas.microsoft.com/office/2007/relationships/slicerCache" Target="slicerCaches/slicerCache2.xml"/><Relationship Id="rId17" Type="http://schemas.microsoft.com/office/2007/relationships/slicerCache" Target="slicerCaches/slicerCache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microsoft.com/office/2007/relationships/slicerCache" Target="slicerCaches/slicerCache6.xml"/><Relationship Id="rId20" Type="http://schemas.microsoft.com/office/2007/relationships/slicerCache" Target="slicerCaches/slicerCache1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24" Type="http://schemas.openxmlformats.org/officeDocument/2006/relationships/sharedStrings" Target="sharedStrings.xml"/><Relationship Id="rId5" Type="http://schemas.openxmlformats.org/officeDocument/2006/relationships/pivotCacheDefinition" Target="pivotCache/pivotCacheDefinition2.xml"/><Relationship Id="rId15" Type="http://schemas.microsoft.com/office/2007/relationships/slicerCache" Target="slicerCaches/slicerCache5.xml"/><Relationship Id="rId23" Type="http://schemas.openxmlformats.org/officeDocument/2006/relationships/styles" Target="styles.xml"/><Relationship Id="rId10" Type="http://schemas.openxmlformats.org/officeDocument/2006/relationships/pivotCacheDefinition" Target="pivotCache/pivotCacheDefinition7.xml"/><Relationship Id="rId19" Type="http://schemas.microsoft.com/office/2007/relationships/slicerCache" Target="slicerCaches/slicerCache9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microsoft.com/office/2007/relationships/slicerCache" Target="slicerCaches/slicerCache4.xml"/><Relationship Id="rId22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582723</xdr:colOff>
      <xdr:row>7</xdr:row>
      <xdr:rowOff>31463</xdr:rowOff>
    </xdr:from>
    <xdr:to>
      <xdr:col>8</xdr:col>
      <xdr:colOff>501725</xdr:colOff>
      <xdr:row>12</xdr:row>
      <xdr:rowOff>111578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untryName 4">
              <a:extLst>
                <a:ext uri="{FF2B5EF4-FFF2-40B4-BE49-F238E27FC236}">
                  <a16:creationId xmlns:a16="http://schemas.microsoft.com/office/drawing/2014/main" id="{6FD82D16-FB02-4EEB-B771-B218E317DFFA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Nam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85834" y="28288"/>
              <a:ext cx="3966673" cy="11582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45238</xdr:colOff>
      <xdr:row>7</xdr:row>
      <xdr:rowOff>31462</xdr:rowOff>
    </xdr:from>
    <xdr:to>
      <xdr:col>1</xdr:col>
      <xdr:colOff>551801</xdr:colOff>
      <xdr:row>12</xdr:row>
      <xdr:rowOff>111578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trubitionChannelDesc 3">
              <a:extLst>
                <a:ext uri="{FF2B5EF4-FFF2-40B4-BE49-F238E27FC236}">
                  <a16:creationId xmlns:a16="http://schemas.microsoft.com/office/drawing/2014/main" id="{653C0F52-BBCB-4451-8B1E-3FE98583820B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trubitionChannelDesc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413" y="28287"/>
              <a:ext cx="1809674" cy="11582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absolute">
    <xdr:from>
      <xdr:col>12</xdr:col>
      <xdr:colOff>838559</xdr:colOff>
      <xdr:row>7</xdr:row>
      <xdr:rowOff>45547</xdr:rowOff>
    </xdr:from>
    <xdr:to>
      <xdr:col>17</xdr:col>
      <xdr:colOff>769248</xdr:colOff>
      <xdr:row>12</xdr:row>
      <xdr:rowOff>107345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erchMonth 4">
              <a:extLst>
                <a:ext uri="{FF2B5EF4-FFF2-40B4-BE49-F238E27FC236}">
                  <a16:creationId xmlns:a16="http://schemas.microsoft.com/office/drawing/2014/main" id="{19B1F2F2-CF74-4A74-A4E2-C3F80EE3F2B7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rchMonth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7880" y="48722"/>
              <a:ext cx="2546436" cy="1130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806770</xdr:colOff>
      <xdr:row>7</xdr:row>
      <xdr:rowOff>45547</xdr:rowOff>
    </xdr:from>
    <xdr:to>
      <xdr:col>23</xdr:col>
      <xdr:colOff>0</xdr:colOff>
      <xdr:row>12</xdr:row>
      <xdr:rowOff>107345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rchWeek 4">
              <a:extLst>
                <a:ext uri="{FF2B5EF4-FFF2-40B4-BE49-F238E27FC236}">
                  <a16:creationId xmlns:a16="http://schemas.microsoft.com/office/drawing/2014/main" id="{7FDD9D0E-6064-4E08-A61E-08F6D9238666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rchWeek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11838" y="48722"/>
              <a:ext cx="2687091" cy="1130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absolute">
    <xdr:from>
      <xdr:col>8</xdr:col>
      <xdr:colOff>543166</xdr:colOff>
      <xdr:row>7</xdr:row>
      <xdr:rowOff>45548</xdr:rowOff>
    </xdr:from>
    <xdr:to>
      <xdr:col>12</xdr:col>
      <xdr:colOff>761882</xdr:colOff>
      <xdr:row>12</xdr:row>
      <xdr:rowOff>107345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rchYear 3">
              <a:extLst>
                <a:ext uri="{FF2B5EF4-FFF2-40B4-BE49-F238E27FC236}">
                  <a16:creationId xmlns:a16="http://schemas.microsoft.com/office/drawing/2014/main" id="{1D83F17D-8115-498F-8D9A-2C4F9823E0AF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rchYear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87598" y="48723"/>
              <a:ext cx="1963605" cy="11304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absolute">
    <xdr:from>
      <xdr:col>30</xdr:col>
      <xdr:colOff>28098</xdr:colOff>
      <xdr:row>7</xdr:row>
      <xdr:rowOff>31462</xdr:rowOff>
    </xdr:from>
    <xdr:to>
      <xdr:col>38</xdr:col>
      <xdr:colOff>713422</xdr:colOff>
      <xdr:row>12</xdr:row>
      <xdr:rowOff>111578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ainGroupDesc 5">
              <a:extLst>
                <a:ext uri="{FF2B5EF4-FFF2-40B4-BE49-F238E27FC236}">
                  <a16:creationId xmlns:a16="http://schemas.microsoft.com/office/drawing/2014/main" id="{B3F01700-F2D4-45CF-BC7B-E37CFEA9C1BE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inGroupDesc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230202" y="28287"/>
              <a:ext cx="7842681" cy="11582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415636</xdr:colOff>
      <xdr:row>0</xdr:row>
      <xdr:rowOff>86015</xdr:rowOff>
    </xdr:from>
    <xdr:to>
      <xdr:col>10</xdr:col>
      <xdr:colOff>516659</xdr:colOff>
      <xdr:row>9</xdr:row>
      <xdr:rowOff>87168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B4B93C85-3F29-45D3-BF0C-610AA6DAE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25779" y="82840"/>
              <a:ext cx="2442153" cy="18715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571497</xdr:colOff>
      <xdr:row>0</xdr:row>
      <xdr:rowOff>111990</xdr:rowOff>
    </xdr:from>
    <xdr:to>
      <xdr:col>15</xdr:col>
      <xdr:colOff>189777</xdr:colOff>
      <xdr:row>9</xdr:row>
      <xdr:rowOff>92362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ainGroupDesc 3">
              <a:extLst>
                <a:ext uri="{FF2B5EF4-FFF2-40B4-BE49-F238E27FC236}">
                  <a16:creationId xmlns:a16="http://schemas.microsoft.com/office/drawing/2014/main" id="{E51F32D9-3991-4FAC-BCE0-90D1F365B96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inGroupDesc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22770" y="111990"/>
              <a:ext cx="3047280" cy="18507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135657</xdr:colOff>
      <xdr:row>0</xdr:row>
      <xdr:rowOff>91787</xdr:rowOff>
    </xdr:from>
    <xdr:to>
      <xdr:col>20</xdr:col>
      <xdr:colOff>123391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GroupDesc 3">
              <a:extLst>
                <a:ext uri="{FF2B5EF4-FFF2-40B4-BE49-F238E27FC236}">
                  <a16:creationId xmlns:a16="http://schemas.microsoft.com/office/drawing/2014/main" id="{DF32D370-EEE4-492F-BF27-0881B2877C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GroupDesc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15930" y="88612"/>
              <a:ext cx="3731636" cy="19055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71005</xdr:colOff>
      <xdr:row>0</xdr:row>
      <xdr:rowOff>27132</xdr:rowOff>
    </xdr:from>
    <xdr:to>
      <xdr:col>4</xdr:col>
      <xdr:colOff>644956</xdr:colOff>
      <xdr:row>9</xdr:row>
      <xdr:rowOff>150090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rchMonth 2">
              <a:extLst>
                <a:ext uri="{FF2B5EF4-FFF2-40B4-BE49-F238E27FC236}">
                  <a16:creationId xmlns:a16="http://schemas.microsoft.com/office/drawing/2014/main" id="{12EC86EB-E9E7-46EC-A2D4-AEEB4FB0FB4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rchMonth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82875" y="30307"/>
              <a:ext cx="1841354" cy="1990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547254</xdr:colOff>
      <xdr:row>0</xdr:row>
      <xdr:rowOff>87745</xdr:rowOff>
    </xdr:from>
    <xdr:to>
      <xdr:col>7</xdr:col>
      <xdr:colOff>545525</xdr:colOff>
      <xdr:row>9</xdr:row>
      <xdr:rowOff>92363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rchWeek 2">
              <a:extLst>
                <a:ext uri="{FF2B5EF4-FFF2-40B4-BE49-F238E27FC236}">
                  <a16:creationId xmlns:a16="http://schemas.microsoft.com/office/drawing/2014/main" id="{30324818-2B3C-4F57-A78A-B8AA4FB5C8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rchWeek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23352" y="84570"/>
              <a:ext cx="2232316" cy="18781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ehmet Fatih Başol" refreshedDate="45761.521551736114" backgroundQuery="1" createdVersion="8" refreshedVersion="8" minRefreshableVersion="3" recordCount="0" supportSubquery="1" supportAdvancedDrill="1" xr:uid="{08638922-5E7E-4F59-B023-9EF3577C1E77}">
  <cacheSource type="external" connectionId="3"/>
  <cacheFields count="58">
    <cacheField name="[SalesChannel].[DistrubitionChannelDesc].[DistrubitionChannelDesc]" caption="DistrubitionChannelDesc" numFmtId="0" hierarchy="146" level="1">
      <sharedItems count="1">
        <s v="[SalesChannel].[DistrubitionChannelDesc].&amp;[E - Ticaret]" c="E - Ticaret"/>
      </sharedItems>
    </cacheField>
    <cacheField name="[Measures].[TY Sales Unit]" caption="TY Sales Unit" numFmtId="0" hierarchy="792" level="32767"/>
    <cacheField name="[Measures].[TY Avg Store Stock Unit]" caption="TY Avg Store Stock Unit" numFmtId="0" hierarchy="703" level="32767"/>
    <cacheField name="[Calendar].[H_Merch].[MerchYear]" caption="MerchYear" numFmtId="0" hierarchy="6" level="1">
      <sharedItems containsSemiMixedTypes="0" containsString="0"/>
    </cacheField>
    <cacheField name="[Calendar].[H_Merch].[MerchYearMonthName]" caption="MerchYearMonthName" numFmtId="0" hierarchy="6" level="2">
      <sharedItems containsSemiMixedTypes="0" containsString="0"/>
    </cacheField>
    <cacheField name="[Calendar].[H_Merch].[MerchYearWeek]" caption="MerchYearWeek" numFmtId="0" hierarchy="6" level="3">
      <sharedItems containsSemiMixedTypes="0" containsString="0"/>
    </cacheField>
    <cacheField name="[Calendar].[H_Merch].[Date]" caption="Date" numFmtId="0" hierarchy="6" level="4">
      <sharedItems containsSemiMixedTypes="0" containsString="0"/>
    </cacheField>
    <cacheField name="[Material].[H_MainGroup].[MainGroupDesc]" caption="MainGroupDesc" numFmtId="0" hierarchy="65" level="1">
      <sharedItems containsSemiMixedTypes="0" containsString="0"/>
    </cacheField>
    <cacheField name="[Material].[H_MainGroup].[SubGroupDesc]" caption="SubGroupDesc" numFmtId="0" hierarchy="65" level="2">
      <sharedItems containsSemiMixedTypes="0" containsString="0"/>
    </cacheField>
    <cacheField name="[Measures].[LY LFL Sales Unit]" caption="LY LFL Sales Unit" numFmtId="0" hierarchy="877" level="32767"/>
    <cacheField name="[Measures].[LY LFL Avg Store Stock Unit]" caption="LY LFL Avg Store Stock Unit" numFmtId="0" hierarchy="728" level="32767"/>
    <cacheField name="[Material].[MainGroupDesc].[MainGroupDesc]" caption="MainGroupDesc" numFmtId="0" hierarchy="71" level="1">
      <sharedItems count="22">
        <s v="[Material].[MainGroupDesc].&amp;[KEA]" c="KEA"/>
        <s v="[Material].[MainGroupDesc].&amp;[YEDEK PARÇA]" c="YEDEK PARÇA"/>
        <s v="[Material].[MainGroupDesc].&amp;[Sofra]" c="Sofra"/>
        <s v="[Material].[MainGroupDesc].&amp;[Sofra Takımları]" c="Sofra Takımları"/>
        <s v="[Material].[MainGroupDesc].&amp;[Mutfak]" c="Mutfak"/>
        <s v="[Material].[MainGroupDesc].&amp;[Pişirme]" c="Pişirme"/>
        <s v="[Material].[MainGroupDesc].&amp;[Aksesuar]" c="Aksesuar"/>
        <s v="[Material].[MainGroupDesc].&amp;[Ev Giysisi]" c="Ev Giysisi"/>
        <s v="[Material].[MainGroupDesc].&amp;[Halı - Kilim]" c="Halı - Kilim"/>
        <s v="[Material].[MainGroupDesc].&amp;[Kozmetik]" c="Kozmetik"/>
        <s v="[Material].[MainGroupDesc].&amp;[Salon]" c="Salon"/>
        <s v="[Material].[MainGroupDesc].&amp;[Çarşaf]" c="Çarşaf"/>
        <s v="[Material].[MainGroupDesc].&amp;[Nevresim]" c="Nevresim"/>
        <s v="[Material].[MainGroupDesc].&amp;[Yastık]" c="Yastık"/>
        <s v="[Material].[MainGroupDesc].&amp;[Yorgan]" c="Yorgan"/>
        <s v="[Material].[MainGroupDesc].&amp;[Banyo]" c="Banyo"/>
        <s v="[Material].[MainGroupDesc].&amp;[Bornoz]" c="Bornoz"/>
        <s v="[Material].[MainGroupDesc].&amp;[Havlu]" c="Havlu"/>
        <s v="[Material].[MainGroupDesc].&amp;[White Collection]" c="White Collection"/>
        <s v="[Material].[MainGroupDesc].&amp;[Battaniye]" c="Battaniye"/>
        <s v="[Material].[MainGroupDesc].&amp;[Pike]" c="Pike"/>
        <s v="[Material].[MainGroupDesc].&amp;[Yatak Örtüsü]" c="Yatak Örtüsü"/>
      </sharedItems>
    </cacheField>
    <cacheField name="[Material].[SubGroupDesc].[SubGroupDesc]" caption="SubGroupDesc" numFmtId="0" hierarchy="106" level="1">
      <sharedItems count="168">
        <s v="[Material].[SubGroupDesc].&amp;[Açacak]" c="Açacak"/>
        <s v="[Material].[SubGroupDesc].&amp;[Baharatlık]" c="Baharatlık"/>
        <s v="[Material].[SubGroupDesc].&amp;[Bakliyat Torbası]" c="Bakliyat Torbası"/>
        <s v="[Material].[SubGroupDesc].&amp;[Bakraç]" c="Bakraç"/>
        <s v="[Material].[SubGroupDesc].&amp;[Bal Kavanozu]" c="Bal Kavanozu"/>
        <s v="[Material].[SubGroupDesc].&amp;[Barbekü]" c="Barbekü"/>
        <s v="[Material].[SubGroupDesc].&amp;[Barbekü Izgarası]" c="Barbekü Izgarası"/>
        <s v="[Material].[SubGroupDesc].&amp;[Bardak Altı]" c="Bardak Altı"/>
        <s v="[Material].[SubGroupDesc].&amp;[Bardak Kapağı]" c="Bardak Kapağı"/>
        <s v="[Material].[SubGroupDesc].&amp;[Bıçak]" c="Bıçak"/>
        <s v="[Material].[SubGroupDesc].&amp;[Bisküvi Kutusu]" c="Bisküvi Kutusu"/>
        <s v="[Material].[SubGroupDesc].&amp;[Bulaşık Seti]" c="Bulaşık Seti"/>
        <s v="[Material].[SubGroupDesc].&amp;[Bulaşıklık]" c="Bulaşıklık"/>
        <s v="[Material].[SubGroupDesc].&amp;[Buz Kalıbı]" c="Buz Kalıbı"/>
        <s v="[Material].[SubGroupDesc].&amp;[Çatal Bıçaklık]" c="Çatal Bıçaklık"/>
        <s v="[Material].[SubGroupDesc].&amp;[Çay Kutusu]" c="Çay Kutusu"/>
        <s v="[Material].[SubGroupDesc].&amp;[Çay Saklama Kabı]" c="Çay Saklama Kabı"/>
        <s v="[Material].[SubGroupDesc].&amp;[Çaydanlık]" c="Çaydanlık"/>
        <s v="[Material].[SubGroupDesc].&amp;[Çaydanlık Sck Tutma]" c="Çaydanlık Sck Tutma"/>
        <s v="[Material].[SubGroupDesc].&amp;[Çekmece Düzenleyici]" c="Çekmece Düzenleyici"/>
        <s v="[Material].[SubGroupDesc].&amp;[Çeyiz Seti]" c="Çeyiz Seti"/>
        <s v="[Material].[SubGroupDesc].&amp;[Cezve]" c="Cezve"/>
        <s v="[Material].[SubGroupDesc].&amp;[Çikolata Kalıbı]" c="Çikolata Kalıbı"/>
        <s v="[Material].[SubGroupDesc].&amp;[Çırpıcı]" c="Çırpıcı"/>
        <s v="[Material].[SubGroupDesc].&amp;[Çocuk Suluk]" c="Çocuk Suluk"/>
        <s v="[Material].[SubGroupDesc].&amp;[Coffee Maker]" c="Coffee Maker"/>
        <s v="[Material].[SubGroupDesc].&amp;[Cupcake Kağıdı]" c="Cupcake Kağıdı"/>
        <s v="[Material].[SubGroupDesc].&amp;[Cupcake Set]" c="Cupcake Set"/>
        <s v="[Material].[SubGroupDesc].&amp;[Değirmen]" c="Değirmen"/>
        <s v="[Material].[SubGroupDesc].&amp;[Demlik]" c="Demlik"/>
        <s v="[Material].[SubGroupDesc].&amp;[Demlik Seti]" c="Demlik Seti"/>
        <s v="[Material].[SubGroupDesc].&amp;[Dondurma Kaşığı]" c="Dondurma Kaşığı"/>
        <s v="[Material].[SubGroupDesc].&amp;[Düdüklü Tencere]" c="Düdüklü Tencere"/>
        <s v="[Material].[SubGroupDesc].&amp;[Düzenleyici Set]" c="Düzenleyici Set"/>
        <s v="[Material].[SubGroupDesc].&amp;[Ekmek Kutusu]" c="Ekmek Kutusu"/>
        <s v="[Material].[SubGroupDesc].&amp;[Ekmek Torbası]" c="Ekmek Torbası"/>
        <s v="[Material].[SubGroupDesc].&amp;[El Rondosu]" c="El Rondosu"/>
        <s v="[Material].[SubGroupDesc].&amp;[Erzak Kabı]" c="Erzak Kabı"/>
        <s v="[Material].[SubGroupDesc].&amp;[Fındık Ceviz Kırcağı]" c="Fındık Ceviz Kırcağı"/>
        <s v="[Material].[SubGroupDesc].&amp;[Fırın Kabı]" c="Fırın Kabı"/>
        <s v="[Material].[SubGroupDesc].&amp;[Fırın Tencere]" c="Fırın Tencere"/>
        <s v="[Material].[SubGroupDesc].&amp;[Fondü Seti]" c="Fondü Seti"/>
        <s v="[Material].[SubGroupDesc].&amp;[French Press]" c="French Press"/>
        <s v="[Material].[SubGroupDesc].&amp;[Grıll Tava]" c="Grıll Tava"/>
        <s v="[Material].[SubGroupDesc].&amp;[Hamur ruleti]" c="Hamur ruleti"/>
        <s v="[Material].[SubGroupDesc].&amp;[Havan]" c="Havan"/>
        <s v="[Material].[SubGroupDesc].&amp;[Hazırlık Seti]" c="Hazırlık Seti"/>
        <s v="[Material].[SubGroupDesc].&amp;[Huni]" c="Huni"/>
        <s v="[Material].[SubGroupDesc].&amp;[İbrik]" c="İbrik"/>
        <s v="[Material].[SubGroupDesc].&amp;[Isıtıcı]" c="Isıtıcı"/>
        <s v="[Material].[SubGroupDesc].&amp;[Izgara Set]" c="Izgara Set"/>
        <s v="[Material].[SubGroupDesc].&amp;[Kağıt Havluluk]" c="Kağıt Havluluk"/>
        <s v="[Material].[SubGroupDesc].&amp;[Kahve Ölçü Kaşığı]" c="Kahve Ölçü Kaşığı"/>
        <s v="[Material].[SubGroupDesc].&amp;[Karıştırma Kabı]" c="Karıştırma Kabı"/>
        <s v="[Material].[SubGroupDesc].&amp;[Karıştır-Sakla Set]" c="Karıştır-Sakla Set"/>
        <s v="[Material].[SubGroupDesc].&amp;[Kaşıklık]" c="Kaşıklık"/>
        <s v="[Material].[SubGroupDesc].&amp;[Kavanoz]" c="Kavanoz"/>
        <s v="[Material].[SubGroupDesc].&amp;[Kavanoz Kapağı]" c="Kavanoz Kapağı"/>
        <s v="[Material].[SubGroupDesc].&amp;[Kavanoz Örtüsü]" c="Kavanoz Örtüsü"/>
        <s v="[Material].[SubGroupDesc].&amp;[Kavanoz Seti]" c="Kavanoz Seti"/>
        <s v="[Material].[SubGroupDesc].&amp;[Kavun Oyucu]" c="Kavun Oyucu"/>
        <s v="[Material].[SubGroupDesc].&amp;[Kek Kalıbı]" c="Kek Kalıbı"/>
        <s v="[Material].[SubGroupDesc].&amp;[Kek Kalıp Set]" c="Kek Kalıp Set"/>
        <s v="[Material].[SubGroupDesc].&amp;[Kek Spatula Seti]" c="Kek Spatula Seti"/>
        <s v="[Material].[SubGroupDesc].&amp;[Kek Spatulası]" c="Kek Spatulası"/>
        <s v="[Material].[SubGroupDesc].&amp;[Kepçe]" c="Kepçe"/>
        <s v="[Material].[SubGroupDesc].&amp;[Kesme Tahtası]" c="Kesme Tahtası"/>
        <s v="[Material].[SubGroupDesc].&amp;[Kestane Çizici]" c="Kestane Çizici"/>
        <s v="[Material].[SubGroupDesc].&amp;[Kettle]" c="Kettle"/>
        <s v="[Material].[SubGroupDesc].&amp;[Kevgir]" c="Kevgir"/>
        <s v="[Material].[SubGroupDesc].&amp;[Kızartma Tenceresi]" c="Kızartma Tenceresi"/>
        <s v="[Material].[SubGroupDesc].&amp;[Kova]" c="Kova"/>
        <s v="[Material].[SubGroupDesc].&amp;[Krema Pompası]" c="Krema Pompası"/>
        <s v="[Material].[SubGroupDesc].&amp;[Krep Tava]" c="Krep Tava"/>
        <s v="[Material].[SubGroupDesc].&amp;[Kupalık]" c="Kupalık"/>
        <s v="[Material].[SubGroupDesc].&amp;[Kurabiye Kalıbı]" c="Kurabiye Kalıbı"/>
        <s v="[Material].[SubGroupDesc].&amp;[Kurabiye Kutusu]" c="Kurabiye Kutusu"/>
        <s v="[Material].[SubGroupDesc].&amp;[Limon Sıkacağı]" c="Limon Sıkacağı"/>
        <s v="[Material].[SubGroupDesc].&amp;[Lunch box]" c="Lunch box"/>
        <s v="[Material].[SubGroupDesc].&amp;[Maşa]" c="Maşa"/>
        <s v="[Material].[SubGroupDesc].&amp;[Matara]" c="Matara"/>
        <s v="[Material].[SubGroupDesc].&amp;[Merdane]" c="Merdane"/>
        <s v="[Material].[SubGroupDesc].&amp;[Meşrubat Bardağı Set]" c="Meşrubat Bardağı Set"/>
        <s v="[Material].[SubGroupDesc].&amp;[Mikser Kabı]" c="Mikser Kabı"/>
        <s v="[Material].[SubGroupDesc].&amp;[Mini Tava]" c="Mini Tava"/>
        <s v="[Material].[SubGroupDesc].&amp;[Mini Tencere]" c="Mini Tencere"/>
        <s v="[Material].[SubGroupDesc].&amp;[Mısır Kovası]" c="Mısır Kovası"/>
        <s v="[Material].[SubGroupDesc].&amp;[Mısır Patlatma]" c="Mısır Patlatma"/>
        <s v="[Material].[SubGroupDesc].&amp;[Moka Pot]" c="Moka Pot"/>
        <s v="[Material].[SubGroupDesc].&amp;[Muffin Oyacağı]" c="Muffin Oyacağı"/>
        <s v="[Material].[SubGroupDesc].&amp;[Mutfak Çöp Kutusu]" c="Mutfak Çöp Kutusu"/>
        <s v="[Material].[SubGroupDesc].&amp;[Mutfak Düzenleyici]" c="Mutfak Düzenleyici"/>
        <s v="[Material].[SubGroupDesc].&amp;[Mutfak Gereci]" c="Mutfak Gereci"/>
        <s v="[Material].[SubGroupDesc].&amp;[Mutfak Saklama Kutu]" c="Mutfak Saklama Kutu"/>
        <s v="[Material].[SubGroupDesc].&amp;[Mutfak Sepeti]" c="Mutfak Sepeti"/>
        <s v="[Material].[SubGroupDesc].&amp;[Mutfak Sıvı Sabunluk]" c="Mutfak Sıvı Sabunluk"/>
        <s v="[Material].[SubGroupDesc].&amp;[Nar Ayık-Narency Sık]" c="Nar Ayık-Narency Sık"/>
        <s v="[Material].[SubGroupDesc].&amp;[Narenciye Sıkacağı]" c="Narenciye Sıkacağı"/>
        <s v="[Material].[SubGroupDesc].&amp;[Nihale]" c="Nihale"/>
        <s v="[Material].[SubGroupDesc].&amp;[Ölçü Kabı]" c="Ölçü Kabı"/>
        <s v="[Material].[SubGroupDesc].&amp;[Ölçü Kaşığı]" c="Ölçü Kaşığı"/>
        <s v="[Material].[SubGroupDesc].&amp;[Oto Termos]" c="Oto Termos"/>
        <s v="[Material].[SubGroupDesc].&amp;[Pankek Tavası]" c="Pankek Tavası"/>
        <s v="[Material].[SubGroupDesc].&amp;[Pasta - Börek Kabı]" c="Pasta - Börek Kabı"/>
        <s v="[Material].[SubGroupDesc].&amp;[Pasta Mumluğu]" c="Pasta Mumluğu"/>
        <s v="[Material].[SubGroupDesc].&amp;[Patates Dilimleyici]" c="Patates Dilimleyici"/>
        <s v="[Material].[SubGroupDesc].&amp;[Piknik Sepeti]" c="Piknik Sepeti"/>
        <s v="[Material].[SubGroupDesc].&amp;[Piknik Seti]" c="Piknik Seti"/>
        <s v="[Material].[SubGroupDesc].&amp;[Pilav Ve Tatlı Kalıp]" c="Pilav Ve Tatlı Kalıp"/>
        <s v="[Material].[SubGroupDesc].&amp;[Pişirme Seti]" c="Pişirme Seti"/>
        <s v="[Material].[SubGroupDesc].&amp;[Pişir-Sakla Set]" c="Pişir-Sakla Set"/>
        <s v="[Material].[SubGroupDesc].&amp;[Pizza Kesici]" c="Pizza Kesici"/>
        <s v="[Material].[SubGroupDesc].&amp;[Poşet Klipsi]" c="Poşet Klipsi"/>
        <s v="[Material].[SubGroupDesc].&amp;[Poşet Torbalığı]" c="Poşet Torbalığı"/>
        <s v="[Material].[SubGroupDesc].&amp;[Rende]" c="Rende"/>
        <s v="[Material].[SubGroupDesc].&amp;[Sac Tava]" c="Sac Tava"/>
        <s v="[Material].[SubGroupDesc].&amp;[Sahan]" c="Sahan"/>
        <s v="[Material].[SubGroupDesc].&amp;[Sahan Seti]" c="Sahan Seti"/>
        <s v="[Material].[SubGroupDesc].&amp;[Saklama Kabı]" c="Saklama Kabı"/>
        <s v="[Material].[SubGroupDesc].&amp;[Saklama Kabı Seti]" c="Saklama Kabı Seti"/>
        <s v="[Material].[SubGroupDesc].&amp;[Saklama Termosu]" c="Saklama Termosu"/>
        <s v="[Material].[SubGroupDesc].&amp;[Salata Kurutucu]" c="Salata Kurutucu"/>
        <s v="[Material].[SubGroupDesc].&amp;[Salata Maşası]" c="Salata Maşası"/>
        <s v="[Material].[SubGroupDesc].&amp;[Salata Servisi]" c="Salata Servisi"/>
        <s v="[Material].[SubGroupDesc].&amp;[Salata Seti]" c="Salata Seti"/>
        <s v="[Material].[SubGroupDesc].&amp;[Sarımsak Ezici]" c="Sarımsak Ezici"/>
        <s v="[Material].[SubGroupDesc].&amp;[Sarmsk Ez-Çekrdk Çık]" c="Sarmsk Ez-Çekrdk Çık"/>
        <s v="[Material].[SubGroupDesc].&amp;[Satır]" c="Satır"/>
        <s v="[Material].[SubGroupDesc].&amp;[Şeker Hmr Şekllendrc]" c="Şeker Hmr Şekllendrc"/>
        <s v="[Material].[SubGroupDesc].&amp;[Şeker Poşeti/Etiketi]" c="Şeker Poşeti/Etiketi"/>
        <s v="[Material].[SubGroupDesc].&amp;[Servis Gereci]" c="Servis Gereci"/>
        <s v="[Material].[SubGroupDesc].&amp;[Servis Kaşığı]" c="Servis Kaşığı"/>
        <s v="[Material].[SubGroupDesc].&amp;[Servis Seti]" c="Servis Seti"/>
        <s v="[Material].[SubGroupDesc].&amp;[Shaker]" c="Shaker"/>
        <s v="[Material].[SubGroupDesc].&amp;[Sılpat]" c="Sılpat"/>
        <s v="[Material].[SubGroupDesc].&amp;[Şişe Kapağı]" c="Şişe Kapağı"/>
        <s v="[Material].[SubGroupDesc].&amp;[Şişe Tıpası]" c="Şişe Tıpası"/>
        <s v="[Material].[SubGroupDesc].&amp;[Sofra Seti]" c="Sofra Seti"/>
        <s v="[Material].[SubGroupDesc].&amp;[Sos Tenceresi]" c="Sos Tenceresi"/>
        <s v="[Material].[SubGroupDesc].&amp;[Soyacak]" c="Soyacak"/>
        <s v="[Material].[SubGroupDesc].&amp;[Soyucu]" c="Soyucu"/>
        <s v="[Material].[SubGroupDesc].&amp;[Spagetti Kaşığı]" c="Spagetti Kaşığı"/>
        <s v="[Material].[SubGroupDesc].&amp;[Spatula]" c="Spatula"/>
        <s v="[Material].[SubGroupDesc].&amp;[Sufle Kabı]" c="Sufle Kabı"/>
        <s v="[Material].[SubGroupDesc].&amp;[Süngerlik]" c="Süngerlik"/>
        <s v="[Material].[SubGroupDesc].&amp;[Sürme Fırçası]" c="Sürme Fırçası"/>
        <s v="[Material].[SubGroupDesc].&amp;[Süt Potu]" c="Süt Potu"/>
        <s v="[Material].[SubGroupDesc].&amp;[Sütlük]" c="Sütlük"/>
        <s v="[Material].[SubGroupDesc].&amp;[Süzgeç]" c="Süzgeç"/>
        <s v="[Material].[SubGroupDesc].&amp;[Süzgeç Set]" c="Süzgeç Set"/>
        <s v="[Material].[SubGroupDesc].&amp;[Tabaklık]" c="Tabaklık"/>
        <s v="[Material].[SubGroupDesc].&amp;[Tart Kalıbı]" c="Tart Kalıbı"/>
        <s v="[Material].[SubGroupDesc].&amp;[Tatlı Kabı]" c="Tatlı Kabı"/>
        <s v="[Material].[SubGroupDesc].&amp;[Tava]" c="Tava"/>
        <s v="[Material].[SubGroupDesc].&amp;[Tava Seti]" c="Tava Seti"/>
        <s v="[Material].[SubGroupDesc].&amp;[Tencere]" c="Tencere"/>
        <s v="[Material].[SubGroupDesc].&amp;[Tencere Seti]" c="Tencere Seti"/>
        <s v="[Material].[SubGroupDesc].&amp;[Tencere-Tava Seti]" c="Tencere-Tava Seti"/>
        <s v="[Material].[SubGroupDesc].&amp;[Termos]" c="Termos"/>
        <s v="[Material].[SubGroupDesc].&amp;[Top Kek Süsü]" c="Top Kek Süsü"/>
        <s v="[Material].[SubGroupDesc].&amp;[Travel Mug]" c="Travel Mug"/>
        <s v="[Material].[SubGroupDesc].&amp;[Un Eleği]" c="Un Eleği"/>
        <s v="[Material].[SubGroupDesc].&amp;[Wok Tava]" c="Wok Tava"/>
        <s v="[Material].[SubGroupDesc].&amp;[Yardımcı Set]" c="Yardımcı Set"/>
        <s v="[Material].[SubGroupDesc].&amp;[Yedek Filtre]" c="Yedek Filtre"/>
        <s v="[Material].[SubGroupDesc].&amp;[Yumurta Fırçası]" c="Yumurta Fırçası"/>
        <s v="[Material].[SubGroupDesc].&amp;[Yumurta Saklama Kabı]" c="Yumurta Saklama Kabı"/>
        <s v="[Material].[SubGroupDesc].&amp;[Yumurtalık]" c="Yumurtalık"/>
      </sharedItems>
    </cacheField>
    <cacheField name="[Material].[FacricDesc].[FacricDesc]" caption="FacricDesc" numFmtId="0" hierarchy="64" level="1">
      <sharedItems count="38">
        <s v="[Material].[FacricDesc].&amp;[#]" c="#"/>
        <s v="[Material].[FacricDesc].&amp;[#NA]" c="#NA"/>
        <s v="[Material].[FacricDesc].&amp;[Antik Boyama]" c="Antik Boyama"/>
        <s v="[Material].[FacricDesc].&amp;[Bambu]" c="Bambu"/>
        <s v="[Material].[FacricDesc].&amp;[Bambu Pamuk]" c="Bambu Pamuk"/>
        <s v="[Material].[FacricDesc].&amp;[Bambu Saten]" c="Bambu Saten"/>
        <s v="[Material].[FacricDesc].&amp;[Bold Stripe Twill]" c="Bold Stripe Twill"/>
        <s v="[Material].[FacricDesc].&amp;[Çizgili Pamuk Saten]" c="Çizgili Pamuk Saten"/>
        <s v="[Material].[FacricDesc].&amp;[Dijital Pamuklu]" c="Dijital Pamuklu"/>
        <s v="[Material].[FacricDesc].&amp;[Düz Flamlı]" c="Düz Flamlı"/>
        <s v="[Material].[FacricDesc].&amp;[Fırfırlı Flamlı]" c="Fırfırlı Flamlı"/>
        <s v="[Material].[FacricDesc].&amp;[Flamlı Çizgili]" c="Flamlı Çizgili"/>
        <s v="[Material].[FacricDesc].&amp;[Flanel]" c="Flanel"/>
        <s v="[Material].[FacricDesc].&amp;[Gofre]" c="Gofre"/>
        <s v="[Material].[FacricDesc].&amp;[İpeksi Twill]" c="İpeksi Twill"/>
        <s v="[Material].[FacricDesc].&amp;[İpliği Boyalı]" c="İpliği Boyalı"/>
        <s v="[Material].[FacricDesc].&amp;[Kabartma Jakar]" c="Kabartma Jakar"/>
        <s v="[Material].[FacricDesc].&amp;[Kolay Ütülenir]" c="Kolay Ütülenir"/>
        <s v="[Material].[FacricDesc].&amp;[Krep]" c="Krep"/>
        <s v="[Material].[FacricDesc].&amp;[Melange Twill]" c="Melange Twill"/>
        <s v="[Material].[FacricDesc].&amp;[Müslin]" c="Müslin"/>
        <s v="[Material].[FacricDesc].&amp;[Pamuk]" c="Pamuk"/>
        <s v="[Material].[FacricDesc].&amp;[Pamuk Polyester]" c="Pamuk Polyester"/>
        <s v="[Material].[FacricDesc].&amp;[Pamuk Saten]" c="Pamuk Saten"/>
        <s v="[Material].[FacricDesc].&amp;[Pamuk Saten Wedding]" c="Pamuk Saten Wedding"/>
        <s v="[Material].[FacricDesc].&amp;[Pamuk/Keten]" c="Pamuk/Keten"/>
        <s v="[Material].[FacricDesc].&amp;[Pamuk/Viskon]" c="Pamuk/Viskon"/>
        <s v="[Material].[FacricDesc].&amp;[Pamuklu]" c="Pamuklu"/>
        <s v="[Material].[FacricDesc].&amp;[Parça boyama]" c="Parça boyama"/>
        <s v="[Material].[FacricDesc].&amp;[Parça Yıkamalı]" c="Parça Yıkamalı"/>
        <s v="[Material].[FacricDesc].&amp;[Penye]" c="Penye"/>
        <s v="[Material].[FacricDesc].&amp;[Polycotton]" c="Polycotton"/>
        <s v="[Material].[FacricDesc].&amp;[Poplin]" c="Poplin"/>
        <s v="[Material].[FacricDesc].&amp;[Saten]" c="Saten"/>
        <s v="[Material].[FacricDesc].&amp;[Simli Gofre]" c="Simli Gofre"/>
        <s v="[Material].[FacricDesc].&amp;[Twill Suit]" c="Twill Suit"/>
        <s v="[Material].[FacricDesc].&amp;[Waffle]" c="Waffle"/>
        <s v="[Material].[FacricDesc].&amp;[Winter Soft]" c="Winter Soft"/>
      </sharedItems>
    </cacheField>
    <cacheField name="[Material].[MaterialDesc].[MaterialDesc]" caption="MaterialDesc" numFmtId="0" hierarchy="76" level="1">
      <sharedItems count="27">
        <s v="[Material].[MaterialDesc].&amp;[Blue Blanc Nevresim Takımı 160x220 cm An]" c="Blue Blanc Nevresim Takımı 160x220 cm An"/>
        <s v="[Material].[MaterialDesc].&amp;[Blue Blanc Nevresim Takımı 160x220 cm Ma]" c="Blue Blanc Nevresim Takımı 160x220 cm Ma"/>
        <s v="[Material].[MaterialDesc].&amp;[Blue Blanc Nevresim Takımı 200x220 cm An]" c="Blue Blanc Nevresim Takımı 200x220 cm An"/>
        <s v="[Material].[MaterialDesc].&amp;[Blue Blanc Nevresim Takımı 200x220 cm Ma]" c="Blue Blanc Nevresim Takımı 200x220 cm Ma"/>
        <s v="[Material].[MaterialDesc].&amp;[Liberty Blossom Nevresim Takımı 160x220]" c="Liberty Blossom Nevresim Takımı 160x220"/>
        <s v="[Material].[MaterialDesc].&amp;[Liberty Blossom Nevresim Takımı 200x220]" c="Liberty Blossom Nevresim Takımı 200x220"/>
        <s v="[Material].[MaterialDesc].&amp;[Modest Nevresim Takımı 160x220 cm Gece M]" c="Modest Nevresim Takımı 160x220 cm Gece M"/>
        <s v="[Material].[MaterialDesc].&amp;[Modest Nevresim Takımı 160x220 cm Gül Ku]" c="Modest Nevresim Takımı 160x220 cm Gül Ku"/>
        <s v="[Material].[MaterialDesc].&amp;[Modest Nevresim Takımı 160x220 cm Kiremi]" c="Modest Nevresim Takımı 160x220 cm Kiremi"/>
        <s v="[Material].[MaterialDesc].&amp;[Modest Nevresim Takımı 160x220 cm Kömür]" c="Modest Nevresim Takımı 160x220 cm Kömür"/>
        <s v="[Material].[MaterialDesc].&amp;[Modest Nevresim Takımı 160x220 cm Petrol]" c="Modest Nevresim Takımı 160x220 cm Petrol"/>
        <s v="[Material].[MaterialDesc].&amp;[Modest Nevresim Takımı 160x220 cm Zeytin]" c="Modest Nevresim Takımı 160x220 cm Zeytin"/>
        <s v="[Material].[MaterialDesc].&amp;[Modest Nevresim Takımı 200x220 cm Gece M]" c="Modest Nevresim Takımı 200x220 cm Gece M"/>
        <s v="[Material].[MaterialDesc].&amp;[Modest Nevresim Takımı 200x220 cm Gül Ku]" c="Modest Nevresim Takımı 200x220 cm Gül Ku"/>
        <s v="[Material].[MaterialDesc].&amp;[Modest Nevresim Takımı 200x220 cm Kiremi]" c="Modest Nevresim Takımı 200x220 cm Kiremi"/>
        <s v="[Material].[MaterialDesc].&amp;[Modest Nevresim Takımı 200x220 cm Kömür]" c="Modest Nevresim Takımı 200x220 cm Kömür"/>
        <s v="[Material].[MaterialDesc].&amp;[Modest Nevresim Takımı 200x220 cm Petrol]" c="Modest Nevresim Takımı 200x220 cm Petrol"/>
        <s v="[Material].[MaterialDesc].&amp;[Oxford Nevresim Takımı 160x220 cm Lacive]" c="Oxford Nevresim Takımı 160x220 cm Lacive"/>
        <s v="[Material].[MaterialDesc].&amp;[Oxford Nevresim Takımı 200x220 cm Lacive]" c="Oxford Nevresim Takımı 200x220 cm Lacive"/>
        <s v="[Material].[MaterialDesc].&amp;[Petit Florets Nevresim Takımı 160x220 cm]" c="Petit Florets Nevresim Takımı 160x220 cm"/>
        <s v="[Material].[MaterialDesc].&amp;[Petit Florets Nevresim Takımı 200x220 cm]" c="Petit Florets Nevresim Takımı 200x220 cm"/>
        <s v="[Material].[MaterialDesc].&amp;[Pure Magnolia Nevresim Takımı 160x220 cm]" c="Pure Magnolia Nevresim Takımı 160x220 cm"/>
        <s v="[Material].[MaterialDesc].&amp;[Pure Magnolia Nevresim Takımı 200x220 cm]" c="Pure Magnolia Nevresim Takımı 200x220 cm"/>
        <s v="[Material].[MaterialDesc].&amp;[Romantic Bloom Nevresim Takımı 160x220 c]" c="Romantic Bloom Nevresim Takımı 160x220 c"/>
        <s v="[Material].[MaterialDesc].&amp;[Romantic Bloom Nevresim Takımı 200x220 c]" c="Romantic Bloom Nevresim Takımı 200x220 c"/>
        <s v="[Material].[MaterialDesc].&amp;[Romantic Ivy Nevresim Takımı 160x220 cm]" c="Romantic Ivy Nevresim Takımı 160x220 cm"/>
        <s v="[Material].[MaterialDesc].&amp;[Romantic Ivy Nevresim Takımı 200x220 cm]" c="Romantic Ivy Nevresim Takımı 200x220 cm"/>
      </sharedItems>
    </cacheField>
    <cacheField name="[Calendar].[MerchYear].[MerchYear]" caption="MerchYear" numFmtId="0" hierarchy="13" level="1">
      <sharedItems containsSemiMixedTypes="0" containsString="0"/>
    </cacheField>
    <cacheField name="[SalesChannel].[CountryName].[CountryName]" caption="CountryName" numFmtId="0" hierarchy="144" level="1">
      <sharedItems containsSemiMixedTypes="0" containsString="0"/>
    </cacheField>
    <cacheField name="[Measures].[TY Sales Value TRY]" caption="TY Sales Value TRY" numFmtId="0" hierarchy="802" level="32767"/>
    <cacheField name="[Measures].[LY LFL Sales Value TRY]" caption="LY LFL Sales Value TRY" numFmtId="0" hierarchy="887" level="32767"/>
    <cacheField name="[Measures].[TY Gross Marjin TRY%]" caption="TY Gross Marjin TRY%" numFmtId="0" hierarchy="1056" level="32767"/>
    <cacheField name="[Measures].[LY LFL Gross Marjin TRY%]" caption="LY LFL Gross Marjin TRY%" numFmtId="0" hierarchy="1066" level="32767"/>
    <cacheField name="[Material].[MerchProduct].[MerchProduct]" caption="MerchProduct" numFmtId="0" hierarchy="94" level="1">
      <sharedItems containsSemiMixedTypes="0" containsString="0"/>
    </cacheField>
    <cacheField name="[Material].[TextileProduct].[TextileProduct]" caption="TextileProduct" numFmtId="0" hierarchy="107" level="1">
      <sharedItems containsSemiMixedTypes="0" containsString="0"/>
    </cacheField>
    <cacheField name="[Measures].[TY Unit Cost TRY]" caption="TY Unit Cost TRY" numFmtId="0" hierarchy="919" level="32767"/>
    <cacheField name="[Measures].[TY Unit Sales Price TRY]" caption="TY Unit Sales Price TRY" numFmtId="0" hierarchy="918" level="32767"/>
    <cacheField name="[Measures].[TY Store Back Cover Unit]" caption="TY Store Back Cover Unit" numFmtId="0" hierarchy="1069" level="32767"/>
    <cacheField name="[Measures].[LFL Sales Unit TYvsLY%]" caption="LFL Sales Unit TYvsLY%" numFmtId="0" hierarchy="1122" level="32767"/>
    <cacheField name="[Measures].[LY LFL Unit Cost TRY]" caption="LY LFL Unit Cost TRY" numFmtId="0" hierarchy="928" level="32767"/>
    <cacheField name="[Measures].[LY LFL Unit Sales Price TRY]" caption="LY LFL Unit Sales Price TRY" numFmtId="0" hierarchy="927" level="32767"/>
    <cacheField name="[Measures].[LY LFL Store Back Cover Unit]" caption="LY LFL Store Back Cover Unit" numFmtId="0" hierarchy="1105" level="32767"/>
    <cacheField name="[Measures].[LFL Sales Value TYvsLY TRY%]" caption="LFL Sales Value TYvsLY TRY%" numFmtId="0" hierarchy="1124" level="32767"/>
    <cacheField name="[Measures].[LFL Sales Profit TYvsLY TRY%]" caption="LFL Sales Profit TYvsLY TRY%" numFmtId="0" hierarchy="1164" level="32767"/>
    <cacheField name="[Measures].[LFL Unit Cost TYvsLY TRY%]" caption="LFL Unit Cost TYvsLY TRY%" numFmtId="0" hierarchy="1144" level="32767"/>
    <cacheField name="[Measures].[LFL Unit Sales Price TYvsLY TRY%]" caption="LFL Unit Sales Price TYvsLY TRY%" numFmtId="0" hierarchy="1138" level="32767"/>
    <cacheField name="[Measures].[LFL Stock Cost TYvsLY TRY%]" caption="LFL Stock Cost TYvsLY TRY%" numFmtId="0" hierarchy="1132" level="32767"/>
    <cacheField name="[Measures].[LFL Store Stock Unit TYvsLY%]" caption="LFL Store Stock Unit TYvsLY%" numFmtId="0" hierarchy="1130" level="32767"/>
    <cacheField name="[Measures].[TY Store Turnover Unit]" caption="TY Store Turnover Unit" numFmtId="0" hierarchy="1070" level="32767"/>
    <cacheField name="[Measures].[LY Store Turnover Unit]" caption="LY Store Turnover Unit" numFmtId="0" hierarchy="1080" level="32767"/>
    <cacheField name="[Measures].[TY Actual MarkUp TRY]" caption="TY Actual MarkUp TRY" numFmtId="0" hierarchy="1093" level="32767"/>
    <cacheField name="[Measures].[TY Actual MarkDown TRY%]" caption="TY Actual MarkDown TRY%" numFmtId="0" hierarchy="1075" level="32767"/>
    <cacheField name="[Measures].[LY Actual MarkUp TRY]" caption="LY Actual MarkUp TRY" numFmtId="0" hierarchy="1096" level="32767"/>
    <cacheField name="[Measures].[TY Invoice Count]" caption="TY Invoice Count" numFmtId="0" hierarchy="809" level="32767"/>
    <cacheField name="[Measures].[LY LFL Invoice Count]" caption="LY LFL Invoice Count" numFmtId="0" hierarchy="896" level="32767"/>
    <cacheField name="[Measures].[TY Customer Entry Count]" caption="TY Customer Entry Count" numFmtId="0" hierarchy="1315" level="32767"/>
    <cacheField name="[Measures].[LY LFL Customer Entry Count]" caption="LY LFL Customer Entry Count" numFmtId="0" hierarchy="1318" level="32767"/>
    <cacheField name="[Measures].[TY Sales Budget Unit]" caption="TY Sales Budget Unit" numFmtId="0" hierarchy="993" level="32767"/>
    <cacheField name="[Measures].[TY Sales Budget Value LC]" caption="TY Sales Budget Value LC" numFmtId="0" hierarchy="994" level="32767"/>
    <cacheField name="[Measures].[TY Sales Budget Profit Value LC]" caption="TY Sales Budget Profit Value LC" numFmtId="0" hierarchy="996" level="32767"/>
    <cacheField name="[Measures].[LY GMROII LC]" caption="LY GMROII LC" numFmtId="0" hierarchy="1180" level="32767"/>
    <cacheField name="[Measures].[TY GMROII LC]" caption="TY GMROII LC" numFmtId="0" hierarchy="1177" level="32767"/>
    <cacheField name="[SalesChannel].[H_SalesChannel].[SalesOrgType]" caption="SalesOrgType" numFmtId="0" hierarchy="148" level="1">
      <sharedItems containsSemiMixedTypes="0" containsString="0"/>
    </cacheField>
    <cacheField name="[SalesChannel].[H_SalesChannel].[CountryName]" caption="CountryName" numFmtId="0" hierarchy="148" level="2">
      <sharedItems containsSemiMixedTypes="0" containsString="0"/>
    </cacheField>
    <cacheField name="[SalesChannel].[H_SalesChannel].[DistrubitionChannelDesc]" caption="DistrubitionChannelDesc" numFmtId="0" hierarchy="148" level="3">
      <sharedItems containsSemiMixedTypes="0" containsString="0"/>
    </cacheField>
    <cacheField name="[Calendar].[LastNDays].[LastNDays]" caption="LastNDays" numFmtId="0" hierarchy="9" level="1">
      <sharedItems containsSemiMixedTypes="0" containsString="0"/>
    </cacheField>
    <cacheField name="[Material].[CategoryLeader].[CategoryLeader]" caption="CategoryLeader" numFmtId="0" hierarchy="49" level="1">
      <sharedItems count="4">
        <s v="[Material].[CategoryLeader].&amp;[Behiye Arlı]" c="Behiye Arlı"/>
        <s v="[Material].[CategoryLeader].&amp;[Esat Müfettişoğlu]" c="Esat Müfettişoğlu"/>
        <s v="[Material].[CategoryLeader].&amp;[Nihal Kaya]" c="Nihal Kaya"/>
        <s v="[Material].[CategoryLeader].&amp;[Simla Ünlü]" c="Simla Ünlü"/>
      </sharedItems>
    </cacheField>
    <cacheField name="[Material].[TribeLeader].[TribeLeader]" caption="TribeLeader" numFmtId="0" hierarchy="109" level="1">
      <sharedItems count="13">
        <s v="[Material].[TribeLeader].&amp;[Aykut Karakuşoğlu]" c="Aykut Karakuşoğlu"/>
        <s v="[Material].[TribeLeader].&amp;[Behiye Arlı]" c="Behiye Arlı"/>
        <s v="[Material].[TribeLeader].&amp;[Cansu Yücel]" c="Cansu Yücel"/>
        <s v="[Material].[TribeLeader].&amp;[Sevgi Babacan]" c="Sevgi Babacan"/>
        <s v="[Material].[TribeLeader].&amp;[Eda Şıvgın]" c="Eda Şıvgın"/>
        <s v="[Material].[TribeLeader].&amp;[Gökhan Açıkgöz]" c="Gökhan Açıkgöz"/>
        <s v="[Material].[TribeLeader].&amp;[Merve Türkyılmaz]" c="Merve Türkyılmaz"/>
        <s v="[Material].[TribeLeader].&amp;[Şule Kumbasar]" c="Şule Kumbasar"/>
        <s v="[Material].[TribeLeader].&amp;[İlker Ölge]" c="İlker Ölge"/>
        <s v="[Material].[TribeLeader].&amp;[Ömer Can Bengül]" c="Ömer Can Bengül"/>
        <s v="[Material].[TribeLeader].&amp;[Aslıhan Köksal]" c="Aslıhan Köksal"/>
        <s v="[Material].[TribeLeader].&amp;[Fatma Gök İnce]" c="Fatma Gök İnce"/>
        <s v="[Material].[TribeLeader].&amp;[Mert Sucaklı]" c="Mert Sucaklı"/>
      </sharedItems>
    </cacheField>
    <cacheField name="[Calendar].[MerchMonth].[MerchMonth]" caption="MerchMonth" numFmtId="0" hierarchy="10" level="1">
      <sharedItems containsSemiMixedTypes="0" containsString="0"/>
    </cacheField>
    <cacheField name="[Calendar].[MerchWeek].[MerchWeek]" caption="MerchWeek" numFmtId="0" hierarchy="12" level="1">
      <sharedItems containsSemiMixedTypes="0" containsString="0"/>
    </cacheField>
  </cacheFields>
  <cacheHierarchies count="1490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ID]" caption="DateID" attribute="1" time="1" defaultMemberUniqueName="[Calendar].[DateID].[All]" allUniqueName="[Calendar].[DateID].[All]" dimensionUniqueName="[Calendar]" displayFolder="" count="0" unbalanced="0"/>
    <cacheHierarchy uniqueName="[Calendar].[DayName]" caption="DayName" attribute="1" time="1" defaultMemberUniqueName="[Calendar].[DayName].[All]" allUniqueName="[Calendar].[DayName].[All]" dimensionUniqueName="[Calendar]" displayFolder="" count="0" unbalanced="0"/>
    <cacheHierarchy uniqueName="[Calendar].[DayOfMonth]" caption="DayOfMonth" attribute="1" time="1" defaultMemberUniqueName="[Calendar].[DayOfMonth].[All]" allUniqueName="[Calendar].[DayOfMonth].[All]" dimensionUniqueName="[Calendar]" displayFolder="Gregorian" count="0" unbalanced="0"/>
    <cacheHierarchy uniqueName="[Calendar].[DayOfWeek]" caption="DayOfWeek" attribute="1" time="1" defaultMemberUniqueName="[Calendar].[DayOfWeek].[All]" allUniqueName="[Calendar].[DayOfWeek].[All]" dimensionUniqueName="[Calendar]" displayFolder="Gregorian" count="0" unbalanced="0"/>
    <cacheHierarchy uniqueName="[Calendar].[H_Gregorian]" caption="H_Gregorian" time="1" defaultMemberUniqueName="[Calendar].[H_Gregorian].[All]" allUniqueName="[Calendar].[H_Gregorian].[All]" dimensionUniqueName="[Calendar]" displayFolder="" count="0" unbalanced="0"/>
    <cacheHierarchy uniqueName="[Calendar].[H_Merch]" caption="H_Merch" time="1" defaultMemberUniqueName="[Calendar].[H_Merch].[All]" allUniqueName="[Calendar].[H_Merch].[All]" dimensionUniqueName="[Calendar]" displayFolder="" count="5" unbalanced="0">
      <fieldsUsage count="5">
        <fieldUsage x="-1"/>
        <fieldUsage x="3"/>
        <fieldUsage x="4"/>
        <fieldUsage x="5"/>
        <fieldUsage x="6"/>
      </fieldsUsage>
    </cacheHierarchy>
    <cacheHierarchy uniqueName="[Calendar].[IsWeekend]" caption="IsWeekend" attribute="1" time="1" defaultMemberUniqueName="[Calendar].[IsWeekend].[All]" allUniqueName="[Calendar].[IsWeekend].[All]" dimensionUniqueName="[Calendar]" displayFolder="" count="0" unbalanced="0"/>
    <cacheHierarchy uniqueName="[Calendar].[Last7DaysPartSequence]" caption="Last7DaysPartSequence" attribute="1" time="1" defaultMemberUniqueName="[Calendar].[Last7DaysPartSequence].[All]" allUniqueName="[Calendar].[Last7DaysPartSequence].[All]" dimensionUniqueName="[Calendar]" displayFolder="" count="0" unbalanced="0"/>
    <cacheHierarchy uniqueName="[Calendar].[LastNDays]" caption="LastNDays" attribute="1" time="1" defaultMemberUniqueName="[Calendar].[LastNDays].[All]" allUniqueName="[Calendar].[LastNDays].[All]" dimensionUniqueName="[Calendar]" displayFolder="" count="2" unbalanced="0">
      <fieldsUsage count="2">
        <fieldUsage x="-1"/>
        <fieldUsage x="53"/>
      </fieldsUsage>
    </cacheHierarchy>
    <cacheHierarchy uniqueName="[Calendar].[MerchMonth]" caption="MerchMonth" attribute="1" time="1" defaultMemberUniqueName="[Calendar].[MerchMonth].[All]" allUniqueName="[Calendar].[MerchMonth].[All]" dimensionUniqueName="[Calendar]" displayFolder="Merch" count="2" unbalanced="0">
      <fieldsUsage count="2">
        <fieldUsage x="-1"/>
        <fieldUsage x="56"/>
      </fieldsUsage>
    </cacheHierarchy>
    <cacheHierarchy uniqueName="[Calendar].[MerchMonthName]" caption="MerchMonthName" attribute="1" time="1" defaultMemberUniqueName="[Calendar].[MerchMonthName].[All]" allUniqueName="[Calendar].[MerchMonthName].[All]" dimensionUniqueName="[Calendar]" displayFolder="Merch" count="0" unbalanced="0"/>
    <cacheHierarchy uniqueName="[Calendar].[MerchWeek]" caption="MerchWeek" attribute="1" time="1" defaultMemberUniqueName="[Calendar].[MerchWeek].[All]" allUniqueName="[Calendar].[MerchWeek].[All]" dimensionUniqueName="[Calendar]" displayFolder="Merch" count="2" unbalanced="0">
      <fieldsUsage count="2">
        <fieldUsage x="-1"/>
        <fieldUsage x="57"/>
      </fieldsUsage>
    </cacheHierarchy>
    <cacheHierarchy uniqueName="[Calendar].[MerchYear]" caption="MerchYear" attribute="1" time="1" defaultMemberUniqueName="[Calendar].[MerchYear].[All]" allUniqueName="[Calendar].[MerchYear].[All]" dimensionUniqueName="[Calendar]" displayFolder="Merch" count="2" unbalanced="0">
      <fieldsUsage count="2">
        <fieldUsage x="-1"/>
        <fieldUsage x="15"/>
      </fieldsUsage>
    </cacheHierarchy>
    <cacheHierarchy uniqueName="[Calendar].[MerchYearMonth]" caption="MerchYearMonth" attribute="1" time="1" defaultMemberUniqueName="[Calendar].[MerchYearMonth].[All]" allUniqueName="[Calendar].[MerchYearMonth].[All]" dimensionUniqueName="[Calendar]" displayFolder="Merch" count="0" unbalanced="0"/>
    <cacheHierarchy uniqueName="[Calendar].[MerchYearMonthName]" caption="MerchYearMonthName" attribute="1" time="1" defaultMemberUniqueName="[Calendar].[MerchYearMonthName].[All]" allUniqueName="[Calendar].[MerchYearMonthName].[All]" dimensionUniqueName="[Calendar]" displayFolder="Merch" count="0" unbalanced="0"/>
    <cacheHierarchy uniqueName="[Calendar].[MerchYearWeek]" caption="MerchYearWeek" attribute="1" time="1" defaultMemberUniqueName="[Calendar].[MerchYearWeek].[All]" allUniqueName="[Calendar].[MerchYearWeek].[All]" dimensionUniqueName="[Calendar]" displayFolder="Merch" count="0" unbalanced="0"/>
    <cacheHierarchy uniqueName="[Calendar].[Month]" caption="Month" attribute="1" time="1" defaultMemberUniqueName="[Calendar].[Month].[All]" allUniqueName="[Calendar].[Month].[All]" dimensionUniqueName="[Calendar]" displayFolder="Gregorian" count="0" unbalanced="0"/>
    <cacheHierarchy uniqueName="[Calendar].[MonthName]" caption="MonthName" attribute="1" time="1" defaultMemberUniqueName="[Calendar].[MonthName].[All]" allUniqueName="[Calendar].[MonthName].[All]" dimensionUniqueName="[Calendar]" displayFolder="Gregorian" count="0" unbalanced="0"/>
    <cacheHierarchy uniqueName="[Calendar].[MonthPeriod]" caption="MonthPeriod" attribute="1" time="1" defaultMemberUniqueName="[Calendar].[MonthPeriod].[All]" allUniqueName="[Calendar].[MonthPeriod].[All]" dimensionUniqueName="[Calendar]" displayFolder="" count="0" unbalanced="0"/>
    <cacheHierarchy uniqueName="[Calendar].[PastDate]" caption="PastDate" attribute="1" time="1" defaultMemberUniqueName="[Calendar].[PastDate].[All]" allUniqueName="[Calendar].[PastDate].[All]" dimensionUniqueName="[Calendar]" displayFolder="" count="0" unbalanced="0"/>
    <cacheHierarchy uniqueName="[Calendar].[Week]" caption="Week" attribute="1" time="1" defaultMemberUniqueName="[Calendar].[Week].[All]" allUniqueName="[Calendar].[Week].[All]" dimensionUniqueName="[Calendar]" displayFolder="Gregorian" count="0" unbalanced="0"/>
    <cacheHierarchy uniqueName="[Calendar].[WeekPartSequence]" caption="WeekPartSequence" attribute="1" time="1" defaultMemberUniqueName="[Calendar].[WeekPartSequence].[All]" allUniqueName="[Calendar].[WeekPartSequence].[All]" dimensionUniqueName="[Calendar]" displayFolder="" count="0" unbalanced="0"/>
    <cacheHierarchy uniqueName="[Calendar].[WeekPeriod]" caption="WeekPeriod" attribute="1" time="1" defaultMemberUniqueName="[Calendar].[WeekPeriod].[All]" allUniqueName="[Calendar].[WeekPeriod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Gregorian" count="0" unbalanced="0"/>
    <cacheHierarchy uniqueName="[Calendar].[YearMonth]" caption="YearMonth" attribute="1" time="1" defaultMemberUniqueName="[Calendar].[YearMonth].[All]" allUniqueName="[Calendar].[YearMonth].[All]" dimensionUniqueName="[Calendar]" displayFolder="Gregorian" count="0" unbalanced="0"/>
    <cacheHierarchy uniqueName="[Calendar].[YearMonthName]" caption="YearMonthName" attribute="1" time="1" defaultMemberUniqueName="[Calendar].[YearMonthName].[All]" allUniqueName="[Calendar].[YearMonthName].[All]" dimensionUniqueName="[Calendar]" displayFolder="Gregorian" count="0" unbalanced="0"/>
    <cacheHierarchy uniqueName="[Calendar].[YearPeriod]" caption="YearPeriod" attribute="1" time="1" defaultMemberUniqueName="[Calendar].[YearPeriod].[All]" allUniqueName="[Calendar].[YearPeriod].[All]" dimensionUniqueName="[Calendar]" displayFolder="" count="0" unbalanced="0"/>
    <cacheHierarchy uniqueName="[Calendar].[YearWeek]" caption="YearWeek" attribute="1" time="1" defaultMemberUniqueName="[Calendar].[YearWeek].[All]" allUniqueName="[Calendar].[YearWeek].[All]" dimensionUniqueName="[Calendar]" displayFolder="Gregorian" count="0" unbalanced="0"/>
    <cacheHierarchy uniqueName="[DCWarehouse].[DCCompanyCode]" caption="DCCompanyCode" attribute="1" defaultMemberUniqueName="[DCWarehouse].[DCCompanyCode].[All]" allUniqueName="[DCWarehouse].[DCCompanyCode].[All]" dimensionUniqueName="[DCWarehouse]" displayFolder="" count="0" unbalanced="0"/>
    <cacheHierarchy uniqueName="[DCWarehouse].[DCCompanyName]" caption="DCCompanyName" attribute="1" defaultMemberUniqueName="[DCWarehouse].[DCCompanyName].[All]" allUniqueName="[DCWarehouse].[DCCompanyName].[All]" dimensionUniqueName="[DCWarehouse]" displayFolder="" count="0" unbalanced="0"/>
    <cacheHierarchy uniqueName="[DCWarehouse].[DCCompanyRegion]" caption="DCCompanyRegion" attribute="1" defaultMemberUniqueName="[DCWarehouse].[DCCompanyRegion].[All]" allUniqueName="[DCWarehouse].[DCCompanyRegion].[All]" dimensionUniqueName="[DCWarehouse]" displayFolder="" count="0" unbalanced="0"/>
    <cacheHierarchy uniqueName="[DCWarehouse].[DCDistrubitionChannelCode]" caption="DCDistrubitionChannelCode" attribute="1" defaultMemberUniqueName="[DCWarehouse].[DCDistrubitionChannelCode].[All]" allUniqueName="[DCWarehouse].[DCDistrubitionChannelCode].[All]" dimensionUniqueName="[DCWarehouse]" displayFolder="" count="0" unbalanced="0"/>
    <cacheHierarchy uniqueName="[DCWarehouse].[DCSalesOrgCode]" caption="DCSalesOrgCode" attribute="1" defaultMemberUniqueName="[DCWarehouse].[DCSalesOrgCode].[All]" allUniqueName="[DCWarehouse].[DCSalesOrgCode].[All]" dimensionUniqueName="[DCWarehouse]" displayFolder="" count="0" unbalanced="0"/>
    <cacheHierarchy uniqueName="[DCWarehouse].[DCSalesOrgType]" caption="DCSalesOrgType" attribute="1" defaultMemberUniqueName="[DCWarehouse].[DCSalesOrgType].[All]" allUniqueName="[DCWarehouse].[DCSalesOrgType].[All]" dimensionUniqueName="[DCWarehouse]" displayFolder="" count="0" unbalanced="0"/>
    <cacheHierarchy uniqueName="[DCWarehouse].[DCSubWarehouseCode]" caption="DCSubWarehouseCode" attribute="1" defaultMemberUniqueName="[DCWarehouse].[DCSubWarehouseCode].[All]" allUniqueName="[DCWarehouse].[DCSubWarehouseCode].[All]" dimensionUniqueName="[DCWarehouse]" displayFolder="" count="0" unbalanced="0"/>
    <cacheHierarchy uniqueName="[DCWarehouse].[DCSubWarehouseKey]" caption="DCSubWarehouseKey" attribute="1" defaultMemberUniqueName="[DCWarehouse].[DCSubWarehouseKey].[All]" allUniqueName="[DCWarehouse].[DCSubWarehouseKey].[All]" dimensionUniqueName="[DCWarehouse]" displayFolder="Key" count="0" unbalanced="0"/>
    <cacheHierarchy uniqueName="[DCWarehouse].[DCWarehouseCode]" caption="DCWarehouseCode" attribute="1" defaultMemberUniqueName="[DCWarehouse].[DCWarehouseCode].[All]" allUniqueName="[DCWarehouse].[DCWarehouseCode].[All]" dimensionUniqueName="[DCWarehouse]" displayFolder="" count="0" unbalanced="0"/>
    <cacheHierarchy uniqueName="[DCWarehouse].[DCWarehouseDataType]" caption="DCWarehouseDataType" attribute="1" defaultMemberUniqueName="[DCWarehouse].[DCWarehouseDataType].[All]" allUniqueName="[DCWarehouse].[DCWarehouseDataType].[All]" dimensionUniqueName="[DCWarehouse]" displayFolder="" count="0" unbalanced="0"/>
    <cacheHierarchy uniqueName="[DCWarehouse].[DCWarehouseDesc]" caption="DCWarehouseDesc" attribute="1" defaultMemberUniqueName="[DCWarehouse].[DCWarehouseDesc].[All]" allUniqueName="[DCWarehouse].[DCWarehouseDesc].[All]" dimensionUniqueName="[DCWarehouse]" displayFolder="" count="0" unbalanced="0"/>
    <cacheHierarchy uniqueName="[DCWarehouse].[DCWarehouseKey]" caption="DCWarehouseKey" attribute="1" defaultMemberUniqueName="[DCWarehouse].[DCWarehouseKey].[All]" allUniqueName="[DCWarehouse].[DCWarehouseKey].[All]" dimensionUniqueName="[DCWarehouse]" displayFolder="Key" count="0" unbalanced="0"/>
    <cacheHierarchy uniqueName="[ISPUnitPrice].[ISPLCPriceGroup100]" caption="ISPLCPriceGroup100" attribute="1" defaultMemberUniqueName="[ISPUnitPrice].[ISPLCPriceGroup100].[All]" allUniqueName="[ISPUnitPrice].[ISPLCPriceGroup100].[All]" dimensionUniqueName="[ISPUnitPrice]" displayFolder="" count="0" unbalanced="0"/>
    <cacheHierarchy uniqueName="[ISPUnitPrice].[ISPLCPriceVAT]" caption="ISPLCPriceVAT" attribute="1" defaultMemberUniqueName="[ISPUnitPrice].[ISPLCPriceVAT].[All]" allUniqueName="[ISPUnitPrice].[ISPLCPriceVAT].[All]" dimensionUniqueName="[ISPUnitPrice]" displayFolder="" count="0" unbalanced="0"/>
    <cacheHierarchy uniqueName="[Material].[Barcode]" caption="Barcode" attribute="1" defaultMemberUniqueName="[Material].[Barcode].[All]" allUniqueName="[Material].[Barcode].[All]" dimensionUniqueName="[Material]" displayFolder="" count="0" unbalanced="0"/>
    <cacheHierarchy uniqueName="[Material].[BrandCode]" caption="BrandCode" attribute="1" defaultMemberUniqueName="[Material].[BrandCode].[All]" allUniqueName="[Material].[BrandCode].[All]" dimensionUniqueName="[Material]" displayFolder="" count="0" unbalanced="0"/>
    <cacheHierarchy uniqueName="[Material].[BrandDesc]" caption="BrandDesc" attribute="1" defaultMemberUniqueName="[Material].[BrandDesc].[All]" allUniqueName="[Material].[BrandDesc].[All]" dimensionUniqueName="[Material]" displayFolder="" count="0" unbalanced="0"/>
    <cacheHierarchy uniqueName="[Material].[BudgetGroupCode]" caption="BudgetGroupCode" attribute="1" defaultMemberUniqueName="[Material].[BudgetGroupCode].[All]" allUniqueName="[Material].[BudgetGroupCode].[All]" dimensionUniqueName="[Material]" displayFolder="" count="0" unbalanced="0"/>
    <cacheHierarchy uniqueName="[Material].[BudgetGroupDesc]" caption="BudgetGroupDesc" attribute="1" defaultMemberUniqueName="[Material].[BudgetGroupDesc].[All]" allUniqueName="[Material].[BudgetGroupDesc].[All]" dimensionUniqueName="[Material]" displayFolder="" count="0" unbalanced="0"/>
    <cacheHierarchy uniqueName="[Material].[Category]" caption="Category" attribute="1" defaultMemberUniqueName="[Material].[Category].[All]" allUniqueName="[Material].[Category].[All]" dimensionUniqueName="[Material]" displayFolder="" count="0" unbalanced="0"/>
    <cacheHierarchy uniqueName="[Material].[CategoryLeader]" caption="CategoryLeader" attribute="1" defaultMemberUniqueName="[Material].[CategoryLeader].[All]" allUniqueName="[Material].[CategoryLeader].[All]" dimensionUniqueName="[Material]" displayFolder="" count="2" unbalanced="0">
      <fieldsUsage count="2">
        <fieldUsage x="-1"/>
        <fieldUsage x="54"/>
      </fieldsUsage>
    </cacheHierarchy>
    <cacheHierarchy uniqueName="[Material].[CatlCode]" caption="CatlCode" attribute="1" defaultMemberUniqueName="[Material].[CatlCode].[All]" allUniqueName="[Material].[CatlCode].[All]" dimensionUniqueName="[Material]" displayFolder="" count="0" unbalanced="0"/>
    <cacheHierarchy uniqueName="[Material].[CatlDesc]" caption="CatlDesc" attribute="1" defaultMemberUniqueName="[Material].[CatlDesc].[All]" allUniqueName="[Material].[CatlDesc].[All]" dimensionUniqueName="[Material]" displayFolder="" count="0" unbalanced="0"/>
    <cacheHierarchy uniqueName="[Material].[ColorCode]" caption="ColorCode" attribute="1" defaultMemberUniqueName="[Material].[ColorCode].[All]" allUniqueName="[Material].[ColorCode].[All]" dimensionUniqueName="[Material]" displayFolder="" count="0" unbalanced="0"/>
    <cacheHierarchy uniqueName="[Material].[ColorDesc]" caption="ColorDesc" attribute="1" defaultMemberUniqueName="[Material].[ColorDesc].[All]" allUniqueName="[Material].[ColorDesc].[All]" dimensionUniqueName="[Material]" displayFolder="" count="0" unbalanced="0"/>
    <cacheHierarchy uniqueName="[Material].[CombineCode]" caption="CombineCode" attribute="1" defaultMemberUniqueName="[Material].[CombineCode].[All]" allUniqueName="[Material].[CombineCode].[All]" dimensionUniqueName="[Material]" displayFolder="" count="0" unbalanced="0"/>
    <cacheHierarchy uniqueName="[Material].[CombineDesc]" caption="CombineDesc" attribute="1" defaultMemberUniqueName="[Material].[CombineDesc].[All]" allUniqueName="[Material].[CombineDesc].[All]" dimensionUniqueName="[Material]" displayFolder="" count="0" unbalanced="0"/>
    <cacheHierarchy uniqueName="[Material].[CurProductStateID]" caption="CurProductStateID" attribute="1" defaultMemberUniqueName="[Material].[CurProductStateID].[All]" allUniqueName="[Material].[CurProductStateID].[All]" dimensionUniqueName="[Material]" displayFolder="" count="0" unbalanced="0"/>
    <cacheHierarchy uniqueName="[Material].[CurProductStateName]" caption="CurProductStateName" attribute="1" defaultMemberUniqueName="[Material].[CurProductStateName].[All]" allUniqueName="[Material].[CurProductStateName].[All]" dimensionUniqueName="[Material]" displayFolder="" count="0" unbalanced="0"/>
    <cacheHierarchy uniqueName="[Material].[CurSalesSeasonID]" caption="CurSalesSeasonID" attribute="1" defaultMemberUniqueName="[Material].[CurSalesSeasonID].[All]" allUniqueName="[Material].[CurSalesSeasonID].[All]" dimensionUniqueName="[Material]" displayFolder="" count="0" unbalanced="0"/>
    <cacheHierarchy uniqueName="[Material].[CurSalesSeasonName]" caption="CurSalesSeasonName" attribute="1" defaultMemberUniqueName="[Material].[CurSalesSeasonName].[All]" allUniqueName="[Material].[CurSalesSeasonName].[All]" dimensionUniqueName="[Material]" displayFolder="" count="0" unbalanced="0"/>
    <cacheHierarchy uniqueName="[Material].[DesingCode]" caption="DesingCode" attribute="1" defaultMemberUniqueName="[Material].[DesingCode].[All]" allUniqueName="[Material].[DesingCode].[All]" dimensionUniqueName="[Material]" displayFolder="" count="0" unbalanced="0"/>
    <cacheHierarchy uniqueName="[Material].[DesingDesc]" caption="DesingDesc" attribute="1" defaultMemberUniqueName="[Material].[DesingDesc].[All]" allUniqueName="[Material].[DesingDesc].[All]" dimensionUniqueName="[Material]" displayFolder="" count="0" unbalanced="0"/>
    <cacheHierarchy uniqueName="[Material].[EtlDate]" caption="EtlDate" attribute="1" defaultMemberUniqueName="[Material].[EtlDate].[All]" allUniqueName="[Material].[EtlDate].[All]" dimensionUniqueName="[Material]" displayFolder="" count="0" unbalanced="0"/>
    <cacheHierarchy uniqueName="[Material].[FabricCode]" caption="FabricCode" attribute="1" defaultMemberUniqueName="[Material].[FabricCode].[All]" allUniqueName="[Material].[FabricCode].[All]" dimensionUniqueName="[Material]" displayFolder="" count="0" unbalanced="0"/>
    <cacheHierarchy uniqueName="[Material].[FacricDesc]" caption="FacricDesc" attribute="1" defaultMemberUniqueName="[Material].[FacricDesc].[All]" allUniqueName="[Material].[FacricDesc].[All]" dimensionUniqueName="[Material]" displayFolder="" count="2" unbalanced="0">
      <fieldsUsage count="2">
        <fieldUsage x="-1"/>
        <fieldUsage x="13"/>
      </fieldsUsage>
    </cacheHierarchy>
    <cacheHierarchy uniqueName="[Material].[H_MainGroup]" caption="H_MainGroup" defaultMemberUniqueName="[Material].[H_MainGroup].[All]" allUniqueName="[Material].[H_MainGroup].[All]" dimensionUniqueName="[Material]" displayFolder="" count="3" unbalanced="0">
      <fieldsUsage count="3">
        <fieldUsage x="-1"/>
        <fieldUsage x="7"/>
        <fieldUsage x="8"/>
      </fieldsUsage>
    </cacheHierarchy>
    <cacheHierarchy uniqueName="[Material].[HygieneCode]" caption="HygieneCode" attribute="1" defaultMemberUniqueName="[Material].[HygieneCode].[All]" allUniqueName="[Material].[HygieneCode].[All]" dimensionUniqueName="[Material]" displayFolder="" count="0" unbalanced="0"/>
    <cacheHierarchy uniqueName="[Material].[HygieneDesc]" caption="HygieneDesc" attribute="1" defaultMemberUniqueName="[Material].[HygieneDesc].[All]" allUniqueName="[Material].[HygieneDesc].[All]" dimensionUniqueName="[Material]" displayFolder="" count="0" unbalanced="0"/>
    <cacheHierarchy uniqueName="[Material].[ImageURL]" caption="ImageURL" attribute="1" defaultMemberUniqueName="[Material].[ImageURL].[All]" allUniqueName="[Material].[ImageURL].[All]" dimensionUniqueName="[Material]" displayFolder="" count="0" unbalanced="0"/>
    <cacheHierarchy uniqueName="[Material].[LivingArea]" caption="LivingArea" attribute="1" defaultMemberUniqueName="[Material].[LivingArea].[All]" allUniqueName="[Material].[LivingArea].[All]" dimensionUniqueName="[Material]" displayFolder="" count="0" unbalanced="0"/>
    <cacheHierarchy uniqueName="[Material].[MainGroupCode]" caption="MainGroupCode" attribute="1" defaultMemberUniqueName="[Material].[MainGroupCode].[All]" allUniqueName="[Material].[MainGroupCode].[All]" dimensionUniqueName="[Material]" displayFolder="" count="0" unbalanced="0"/>
    <cacheHierarchy uniqueName="[Material].[MainGroupDesc]" caption="MainGroupDesc" attribute="1" defaultMemberUniqueName="[Material].[MainGroupDesc].[All]" allUniqueName="[Material].[MainGroupDesc].[All]" dimensionUniqueName="[Material]" displayFolder="" count="2" unbalanced="0">
      <fieldsUsage count="2">
        <fieldUsage x="-1"/>
        <fieldUsage x="11"/>
      </fieldsUsage>
    </cacheHierarchy>
    <cacheHierarchy uniqueName="[Material].[MatDim]" caption="MatDim" attribute="1" defaultMemberUniqueName="[Material].[MatDim].[All]" allUniqueName="[Material].[MatDim].[All]" dimensionUniqueName="[Material]" displayFolder="" count="0" unbalanced="0"/>
    <cacheHierarchy uniqueName="[Material].[MatDimUnit]" caption="MatDimUnit" attribute="1" defaultMemberUniqueName="[Material].[MatDimUnit].[All]" allUniqueName="[Material].[MatDimUnit].[All]" dimensionUniqueName="[Material]" displayFolder="" count="0" unbalanced="0"/>
    <cacheHierarchy uniqueName="[Material].[MaterialCode]" caption="MaterialCode" attribute="1" defaultMemberUniqueName="[Material].[MaterialCode].[All]" allUniqueName="[Material].[MaterialCode].[All]" dimensionUniqueName="[Material]" displayFolder="" count="0" unbalanced="0"/>
    <cacheHierarchy uniqueName="[Material].[MaterialCodeWoZero]" caption="MaterialCodeWoZero" attribute="1" defaultMemberUniqueName="[Material].[MaterialCodeWoZero].[All]" allUniqueName="[Material].[MaterialCodeWoZero].[All]" dimensionUniqueName="[Material]" displayFolder="" count="0" unbalanced="0"/>
    <cacheHierarchy uniqueName="[Material].[MaterialDesc]" caption="MaterialDesc" attribute="1" defaultMemberUniqueName="[Material].[MaterialDesc].[All]" allUniqueName="[Material].[MaterialDesc].[All]" dimensionUniqueName="[Material]" displayFolder="" count="2" unbalanced="0">
      <fieldsUsage count="2">
        <fieldUsage x="-1"/>
        <fieldUsage x="14"/>
      </fieldsUsage>
    </cacheHierarchy>
    <cacheHierarchy uniqueName="[Material].[MaterialDm3]" caption="MaterialDm3" attribute="1" defaultMemberUniqueName="[Material].[MaterialDm3].[All]" allUniqueName="[Material].[MaterialDm3].[All]" dimensionUniqueName="[Material]" displayFolder="" count="0" unbalanced="0"/>
    <cacheHierarchy uniqueName="[Material].[MaterialFeatureCode]" caption="MaterialFeatureCode" attribute="1" defaultMemberUniqueName="[Material].[MaterialFeatureCode].[All]" allUniqueName="[Material].[MaterialFeatureCode].[All]" dimensionUniqueName="[Material]" displayFolder="" count="0" unbalanced="0"/>
    <cacheHierarchy uniqueName="[Material].[MaterialFeatureDesc]" caption="MaterialFeatureDesc" attribute="1" defaultMemberUniqueName="[Material].[MaterialFeatureDesc].[All]" allUniqueName="[Material].[MaterialFeatureDesc].[All]" dimensionUniqueName="[Material]" displayFolder="" count="0" unbalanced="0"/>
    <cacheHierarchy uniqueName="[Material].[MaterialKey]" caption="MaterialKey" attribute="1" defaultMemberUniqueName="[Material].[MaterialKey].[All]" allUniqueName="[Material].[MaterialKey].[All]" dimensionUniqueName="[Material]" displayFolder="" count="0" unbalanced="0"/>
    <cacheHierarchy uniqueName="[Material].[MaterialOtherFeatureCode]" caption="MaterialOtherFeatureCode" attribute="1" defaultMemberUniqueName="[Material].[MaterialOtherFeatureCode].[All]" allUniqueName="[Material].[MaterialOtherFeatureCode].[All]" dimensionUniqueName="[Material]" displayFolder="" count="0" unbalanced="0"/>
    <cacheHierarchy uniqueName="[Material].[MaterialOtherFeatureDesc]" caption="MaterialOtherFeatureDesc" attribute="1" defaultMemberUniqueName="[Material].[MaterialOtherFeatureDesc].[All]" allUniqueName="[Material].[MaterialOtherFeatureDesc].[All]" dimensionUniqueName="[Material]" displayFolder="" count="0" unbalanced="0"/>
    <cacheHierarchy uniqueName="[Material].[MaterialSpecialFeatureCode]" caption="MaterialSpecialFeatureCode" attribute="1" defaultMemberUniqueName="[Material].[MaterialSpecialFeatureCode].[All]" allUniqueName="[Material].[MaterialSpecialFeatureCode].[All]" dimensionUniqueName="[Material]" displayFolder="" count="0" unbalanced="0"/>
    <cacheHierarchy uniqueName="[Material].[MaterialSpecialFeatureDesc]" caption="MaterialSpecialFeatureDesc" attribute="1" defaultMemberUniqueName="[Material].[MaterialSpecialFeatureDesc].[All]" allUniqueName="[Material].[MaterialSpecialFeatureDesc].[All]" dimensionUniqueName="[Material]" displayFolder="" count="0" unbalanced="0"/>
    <cacheHierarchy uniqueName="[Material].[MaterialTypeCode]" caption="MaterialTypeCode" attribute="1" defaultMemberUniqueName="[Material].[MaterialTypeCode].[All]" allUniqueName="[Material].[MaterialTypeCode].[All]" dimensionUniqueName="[Material]" displayFolder="" count="0" unbalanced="0"/>
    <cacheHierarchy uniqueName="[Material].[MaterialTypeDesc]" caption="MaterialTypeDesc" attribute="1" defaultMemberUniqueName="[Material].[MaterialTypeDesc].[All]" allUniqueName="[Material].[MaterialTypeDesc].[All]" dimensionUniqueName="[Material]" displayFolder="" count="0" unbalanced="0"/>
    <cacheHierarchy uniqueName="[Material].[MatHeight]" caption="MatHeight" attribute="1" defaultMemberUniqueName="[Material].[MatHeight].[All]" allUniqueName="[Material].[MatHeight].[All]" dimensionUniqueName="[Material]" displayFolder="" count="0" unbalanced="0"/>
    <cacheHierarchy uniqueName="[Material].[MatLenght]" caption="MatLenght" attribute="1" defaultMemberUniqueName="[Material].[MatLenght].[All]" allUniqueName="[Material].[MatLenght].[All]" dimensionUniqueName="[Material]" displayFolder="" count="0" unbalanced="0"/>
    <cacheHierarchy uniqueName="[Material].[MatVolume]" caption="MatVolume" attribute="1" defaultMemberUniqueName="[Material].[MatVolume].[All]" allUniqueName="[Material].[MatVolume].[All]" dimensionUniqueName="[Material]" displayFolder="" count="0" unbalanced="0"/>
    <cacheHierarchy uniqueName="[Material].[MatVolumeUnit]" caption="MatVolumeUnit" attribute="1" defaultMemberUniqueName="[Material].[MatVolumeUnit].[All]" allUniqueName="[Material].[MatVolumeUnit].[All]" dimensionUniqueName="[Material]" displayFolder="" count="0" unbalanced="0"/>
    <cacheHierarchy uniqueName="[Material].[MatWeight]" caption="MatWeight" attribute="1" defaultMemberUniqueName="[Material].[MatWeight].[All]" allUniqueName="[Material].[MatWeight].[All]" dimensionUniqueName="[Material]" displayFolder="" count="0" unbalanced="0"/>
    <cacheHierarchy uniqueName="[Material].[MatWeightUnit]" caption="MatWeightUnit" attribute="1" defaultMemberUniqueName="[Material].[MatWeightUnit].[All]" allUniqueName="[Material].[MatWeightUnit].[All]" dimensionUniqueName="[Material]" displayFolder="" count="0" unbalanced="0"/>
    <cacheHierarchy uniqueName="[Material].[MatWidth]" caption="MatWidth" attribute="1" defaultMemberUniqueName="[Material].[MatWidth].[All]" allUniqueName="[Material].[MatWidth].[All]" dimensionUniqueName="[Material]" displayFolder="" count="0" unbalanced="0"/>
    <cacheHierarchy uniqueName="[Material].[MerchProduct]" caption="MerchProduct" attribute="1" defaultMemberUniqueName="[Material].[MerchProduct].[All]" allUniqueName="[Material].[MerchProduct].[All]" dimensionUniqueName="[Material]" displayFolder="" count="2" unbalanced="0">
      <fieldsUsage count="2">
        <fieldUsage x="-1"/>
        <fieldUsage x="21"/>
      </fieldsUsage>
    </cacheHierarchy>
    <cacheHierarchy uniqueName="[Material].[PlaningQualityCode]" caption="PlaningQualityCode" attribute="1" defaultMemberUniqueName="[Material].[PlaningQualityCode].[All]" allUniqueName="[Material].[PlaningQualityCode].[All]" dimensionUniqueName="[Material]" displayFolder="" count="0" unbalanced="0"/>
    <cacheHierarchy uniqueName="[Material].[PlaningQualityDesc]" caption="PlaningQualityDesc" attribute="1" defaultMemberUniqueName="[Material].[PlaningQualityDesc].[All]" allUniqueName="[Material].[PlaningQualityDesc].[All]" dimensionUniqueName="[Material]" displayFolder="" count="0" unbalanced="0"/>
    <cacheHierarchy uniqueName="[Material].[QtyInBox]" caption="QtyInBox" attribute="1" defaultMemberUniqueName="[Material].[QtyInBox].[All]" allUniqueName="[Material].[QtyInBox].[All]" dimensionUniqueName="[Material]" displayFolder="" count="0" unbalanced="0"/>
    <cacheHierarchy uniqueName="[Material].[QtyInPackage]" caption="QtyInPackage" attribute="1" defaultMemberUniqueName="[Material].[QtyInPackage].[All]" allUniqueName="[Material].[QtyInPackage].[All]" dimensionUniqueName="[Material]" displayFolder="" count="0" unbalanced="0"/>
    <cacheHierarchy uniqueName="[Material].[QtyInPallet]" caption="QtyInPallet" attribute="1" defaultMemberUniqueName="[Material].[QtyInPallet].[All]" allUniqueName="[Material].[QtyInPallet].[All]" dimensionUniqueName="[Material]" displayFolder="" count="0" unbalanced="0"/>
    <cacheHierarchy uniqueName="[Material].[Season]" caption="Season" attribute="1" defaultMemberUniqueName="[Material].[Season].[All]" allUniqueName="[Material].[Season].[All]" dimensionUniqueName="[Material]" displayFolder="" count="0" unbalanced="0"/>
    <cacheHierarchy uniqueName="[Material].[SeasonYear]" caption="SeasonYear" attribute="1" defaultMemberUniqueName="[Material].[SeasonYear].[All]" allUniqueName="[Material].[SeasonYear].[All]" dimensionUniqueName="[Material]" displayFolder="" count="0" unbalanced="0"/>
    <cacheHierarchy uniqueName="[Material].[Size_Code]" caption="Size_Code" attribute="1" defaultMemberUniqueName="[Material].[Size_Code].[All]" allUniqueName="[Material].[Size_Code].[All]" dimensionUniqueName="[Material]" displayFolder="" count="0" unbalanced="0"/>
    <cacheHierarchy uniqueName="[Material].[Size_Desc]" caption="Size_Desc" attribute="1" defaultMemberUniqueName="[Material].[Size_Desc].[All]" allUniqueName="[Material].[Size_Desc].[All]" dimensionUniqueName="[Material]" displayFolder="" count="0" unbalanced="0"/>
    <cacheHierarchy uniqueName="[Material].[Status]" caption="Status" attribute="1" defaultMemberUniqueName="[Material].[Status].[All]" allUniqueName="[Material].[Status].[All]" dimensionUniqueName="[Material]" displayFolder="" count="0" unbalanced="0"/>
    <cacheHierarchy uniqueName="[Material].[SubGroupCode]" caption="SubGroupCode" attribute="1" defaultMemberUniqueName="[Material].[SubGroupCode].[All]" allUniqueName="[Material].[SubGroupCode].[All]" dimensionUniqueName="[Material]" displayFolder="" count="0" unbalanced="0"/>
    <cacheHierarchy uniqueName="[Material].[SubGroupDesc]" caption="SubGroupDesc" attribute="1" defaultMemberUniqueName="[Material].[SubGroupDesc].[All]" allUniqueName="[Material].[SubGroupDesc].[All]" dimensionUniqueName="[Material]" displayFolder="" count="2" unbalanced="0">
      <fieldsUsage count="2">
        <fieldUsage x="-1"/>
        <fieldUsage x="12"/>
      </fieldsUsage>
    </cacheHierarchy>
    <cacheHierarchy uniqueName="[Material].[TextileProduct]" caption="TextileProduct" attribute="1" defaultMemberUniqueName="[Material].[TextileProduct].[All]" allUniqueName="[Material].[TextileProduct].[All]" dimensionUniqueName="[Material]" displayFolder="" count="2" unbalanced="0">
      <fieldsUsage count="2">
        <fieldUsage x="-1"/>
        <fieldUsage x="22"/>
      </fieldsUsage>
    </cacheHierarchy>
    <cacheHierarchy uniqueName="[Material].[Theme]" caption="Theme" attribute="1" defaultMemberUniqueName="[Material].[Theme].[All]" allUniqueName="[Material].[Theme].[All]" dimensionUniqueName="[Material]" displayFolder="" count="0" unbalanced="0"/>
    <cacheHierarchy uniqueName="[Material].[TribeLeader]" caption="TribeLeader" attribute="1" defaultMemberUniqueName="[Material].[TribeLeader].[All]" allUniqueName="[Material].[TribeLeader].[All]" dimensionUniqueName="[Material]" displayFolder="" count="2" unbalanced="0">
      <fieldsUsage count="2">
        <fieldUsage x="-1"/>
        <fieldUsage x="55"/>
      </fieldsUsage>
    </cacheHierarchy>
    <cacheHierarchy uniqueName="[Material].[VendorCode]" caption="VendorCode" attribute="1" defaultMemberUniqueName="[Material].[VendorCode].[All]" allUniqueName="[Material].[VendorCode].[All]" dimensionUniqueName="[Material]" displayFolder="" count="0" unbalanced="0"/>
    <cacheHierarchy uniqueName="[Material].[VendorCountry]" caption="VendorCountry" attribute="1" defaultMemberUniqueName="[Material].[VendorCountry].[All]" allUniqueName="[Material].[VendorCountry].[All]" dimensionUniqueName="[Material]" displayFolder="" count="0" unbalanced="0"/>
    <cacheHierarchy uniqueName="[Material].[VendorKey]" caption="VendorKey" attribute="1" defaultMemberUniqueName="[Material].[VendorKey].[All]" allUniqueName="[Material].[VendorKey].[All]" dimensionUniqueName="[Material]" displayFolder="" count="0" unbalanced="0"/>
    <cacheHierarchy uniqueName="[Material].[VendorName]" caption="VendorName" attribute="1" defaultMemberUniqueName="[Material].[VendorName].[All]" allUniqueName="[Material].[VendorName].[All]" dimensionUniqueName="[Material]" displayFolder="" count="0" unbalanced="0"/>
    <cacheHierarchy uniqueName="[Material].[YearSeason]" caption="YearSeason" attribute="1" defaultMemberUniqueName="[Material].[YearSeason].[All]" allUniqueName="[Material].[YearSeason].[All]" dimensionUniqueName="[Material]" displayFolder="" count="0" unbalanced="0"/>
    <cacheHierarchy uniqueName="[PurchaseOrder].[ProductStateID]" caption="ProductStateID" attribute="1" defaultMemberUniqueName="[PurchaseOrder].[ProductStateID].[All]" allUniqueName="[PurchaseOrder].[ProductStateID].[All]" dimensionUniqueName="[PurchaseOrder]" displayFolder="" count="0" unbalanced="0"/>
    <cacheHierarchy uniqueName="[PurchaseOrder].[PurchaseOrderCode]" caption="PurchaseOrderCode" attribute="1" defaultMemberUniqueName="[PurchaseOrder].[PurchaseOrderCode].[All]" allUniqueName="[PurchaseOrder].[PurchaseOrderCode].[All]" dimensionUniqueName="[PurchaseOrder]" displayFolder="" count="0" unbalanced="0"/>
    <cacheHierarchy uniqueName="[PurchaseOrder].[SalesSeasonID]" caption="SalesSeasonID" attribute="1" defaultMemberUniqueName="[PurchaseOrder].[SalesSeasonID].[All]" allUniqueName="[PurchaseOrder].[SalesSeasonID].[All]" dimensionUniqueName="[PurchaseOrder]" displayFolder="" count="0" unbalanced="0"/>
    <cacheHierarchy uniqueName="[PurchaseOrderGR].[DCSubWarehouseKey]" caption="DCSubWarehouseKey" attribute="1" defaultMemberUniqueName="[PurchaseOrderGR].[DCSubWarehouseKey].[All]" allUniqueName="[PurchaseOrderGR].[DCSubWarehouseKey].[All]" dimensionUniqueName="[PurchaseOrderGR]" displayFolder="" count="0" unbalanced="0"/>
    <cacheHierarchy uniqueName="[PurchaseOrderGR].[DeadLine]" caption="DeadLine" attribute="1" defaultMemberUniqueName="[PurchaseOrderGR].[DeadLine].[All]" allUniqueName="[PurchaseOrderGR].[DeadLine].[All]" dimensionUniqueName="[PurchaseOrderGR]" displayFolder="" count="0" unbalanced="0"/>
    <cacheHierarchy uniqueName="[PurchaseOrderGR].[DWSourceKey]" caption="DWSourceKey" attribute="1" defaultMemberUniqueName="[PurchaseOrderGR].[DWSourceKey].[All]" allUniqueName="[PurchaseOrderGR].[DWSourceKey].[All]" dimensionUniqueName="[PurchaseOrderGR]" displayFolder="" count="0" unbalanced="0"/>
    <cacheHierarchy uniqueName="[PurchaseOrderGR].[EstimatedExcRateLC]" caption="EstimatedExcRateLC" attribute="1" defaultMemberUniqueName="[PurchaseOrderGR].[EstimatedExcRateLC].[All]" allUniqueName="[PurchaseOrderGR].[EstimatedExcRateLC].[All]" dimensionUniqueName="[PurchaseOrderGR]" displayFolder="" count="0" unbalanced="0"/>
    <cacheHierarchy uniqueName="[PurchaseOrderGR].[EtlDate]" caption="EtlDate" attribute="1" defaultMemberUniqueName="[PurchaseOrderGR].[EtlDate].[All]" allUniqueName="[PurchaseOrderGR].[EtlDate].[All]" dimensionUniqueName="[PurchaseOrderGR]" displayFolder="" count="0" unbalanced="0"/>
    <cacheHierarchy uniqueName="[PurchaseOrderGR].[Factor]" caption="Factor" attribute="1" defaultMemberUniqueName="[PurchaseOrderGR].[Factor].[All]" allUniqueName="[PurchaseOrderGR].[Factor].[All]" dimensionUniqueName="[PurchaseOrderGR]" displayFolder="" count="0" unbalanced="0"/>
    <cacheHierarchy uniqueName="[PurchaseOrderGR].[GoodReceiptValueNavlunLC]" caption="GoodReceiptValueNavlunLC" attribute="1" defaultMemberUniqueName="[PurchaseOrderGR].[GoodReceiptValueNavlunLC].[All]" allUniqueName="[PurchaseOrderGR].[GoodReceiptValueNavlunLC].[All]" dimensionUniqueName="[PurchaseOrderGR]" displayFolder="" count="0" unbalanced="0"/>
    <cacheHierarchy uniqueName="[PurchaseOrderGR].[GoodsReceiptDate]" caption="GoodsReceiptDate" attribute="1" defaultMemberUniqueName="[PurchaseOrderGR].[GoodsReceiptDate].[All]" allUniqueName="[PurchaseOrderGR].[GoodsReceiptDate].[All]" dimensionUniqueName="[PurchaseOrderGR]" displayFolder="" count="0" unbalanced="0"/>
    <cacheHierarchy uniqueName="[PurchaseOrderGR].[GoodsReceiptUnit]" caption="GoodsReceiptUnit" attribute="1" defaultMemberUniqueName="[PurchaseOrderGR].[GoodsReceiptUnit].[All]" allUniqueName="[PurchaseOrderGR].[GoodsReceiptUnit].[All]" dimensionUniqueName="[PurchaseOrderGR]" displayFolder="" count="0" unbalanced="0"/>
    <cacheHierarchy uniqueName="[PurchaseOrderGR].[GoodsReceiptValueLC]" caption="GoodsReceiptValueLC" attribute="1" defaultMemberUniqueName="[PurchaseOrderGR].[GoodsReceiptValueLC].[All]" allUniqueName="[PurchaseOrderGR].[GoodsReceiptValueLC].[All]" dimensionUniqueName="[PurchaseOrderGR]" displayFolder="" count="0" unbalanced="0"/>
    <cacheHierarchy uniqueName="[PurchaseOrderGR].[LocalCurrencyCode]" caption="LocalCurrencyCode" attribute="1" defaultMemberUniqueName="[PurchaseOrderGR].[LocalCurrencyCode].[All]" allUniqueName="[PurchaseOrderGR].[LocalCurrencyCode].[All]" dimensionUniqueName="[PurchaseOrderGR]" displayFolder="" count="0" unbalanced="0"/>
    <cacheHierarchy uniqueName="[PurchaseOrderGR].[MaterialKey]" caption="MaterialKey" attribute="1" defaultMemberUniqueName="[PurchaseOrderGR].[MaterialKey].[All]" allUniqueName="[PurchaseOrderGR].[MaterialKey].[All]" dimensionUniqueName="[PurchaseOrderGR]" displayFolder="" count="0" unbalanced="0"/>
    <cacheHierarchy uniqueName="[PurchaseOrderGR].[OrderCurrencyCode]" caption="OrderCurrencyCode" attribute="1" defaultMemberUniqueName="[PurchaseOrderGR].[OrderCurrencyCode].[All]" allUniqueName="[PurchaseOrderGR].[OrderCurrencyCode].[All]" dimensionUniqueName="[PurchaseOrderGR]" displayFolder="" count="0" unbalanced="0"/>
    <cacheHierarchy uniqueName="[PurchaseOrderGR].[OtherMerchantGoodsReceiptUnit]" caption="OtherMerchantGoodsReceiptUnit" attribute="1" defaultMemberUniqueName="[PurchaseOrderGR].[OtherMerchantGoodsReceiptUnit].[All]" allUniqueName="[PurchaseOrderGR].[OtherMerchantGoodsReceiptUnit].[All]" dimensionUniqueName="[PurchaseOrderGR]" displayFolder="" count="0" unbalanced="0"/>
    <cacheHierarchy uniqueName="[PurchaseOrderGR].[OtherMerchantGoodsReceiptValueLC]" caption="OtherMerchantGoodsReceiptValueLC" attribute="1" defaultMemberUniqueName="[PurchaseOrderGR].[OtherMerchantGoodsReceiptValueLC].[All]" allUniqueName="[PurchaseOrderGR].[OtherMerchantGoodsReceiptValueLC].[All]" dimensionUniqueName="[PurchaseOrderGR]" displayFolder="" count="0" unbalanced="0"/>
    <cacheHierarchy uniqueName="[PurchaseOrderGR].[ProductStateID]" caption="ProductStateID" attribute="1" defaultMemberUniqueName="[PurchaseOrderGR].[ProductStateID].[All]" allUniqueName="[PurchaseOrderGR].[ProductStateID].[All]" dimensionUniqueName="[PurchaseOrderGR]" displayFolder="" count="0" unbalanced="0"/>
    <cacheHierarchy uniqueName="[PurchaseOrderGR].[PurchaseOrderCode]" caption="PurchaseOrderCode" attribute="1" defaultMemberUniqueName="[PurchaseOrderGR].[PurchaseOrderCode].[All]" allUniqueName="[PurchaseOrderGR].[PurchaseOrderCode].[All]" dimensionUniqueName="[PurchaseOrderGR]" displayFolder="" count="0" unbalanced="0"/>
    <cacheHierarchy uniqueName="[PurchaseOrderGR].[SalesChannelKey]" caption="SalesChannelKey" attribute="1" defaultMemberUniqueName="[PurchaseOrderGR].[SalesChannelKey].[All]" allUniqueName="[PurchaseOrderGR].[SalesChannelKey].[All]" dimensionUniqueName="[PurchaseOrderGR]" displayFolder="" count="0" unbalanced="0"/>
    <cacheHierarchy uniqueName="[PurchaseOrderGR].[SalesSeasonID]" caption="SalesSeasonID" attribute="1" defaultMemberUniqueName="[PurchaseOrderGR].[SalesSeasonID].[All]" allUniqueName="[PurchaseOrderGR].[SalesSeasonID].[All]" dimensionUniqueName="[PurchaseOrderGR]" displayFolder="" count="0" unbalanced="0"/>
    <cacheHierarchy uniqueName="[SalesBudget].[BudgetTypeName]" caption="BudgetTypeName" attribute="1" defaultMemberUniqueName="[SalesBudget].[BudgetTypeName].[All]" allUniqueName="[SalesBudget].[BudgetTypeName].[All]" dimensionUniqueName="[SalesBudget]" displayFolder="" count="0" unbalanced="0"/>
    <cacheHierarchy uniqueName="[SalesChannel].[CompanyCode]" caption="CompanyCode" attribute="1" defaultMemberUniqueName="[SalesChannel].[CompanyCode].[All]" allUniqueName="[SalesChannel].[CompanyCode].[All]" dimensionUniqueName="[SalesChannel]" displayFolder="SalesChannelCode" count="0" unbalanced="0"/>
    <cacheHierarchy uniqueName="[SalesChannel].[CompanyCurrency]" caption="CompanyCurrency" attribute="1" defaultMemberUniqueName="[SalesChannel].[CompanyCurrency].[All]" allUniqueName="[SalesChannel].[CompanyCurrency].[All]" dimensionUniqueName="[SalesChannel]" displayFolder="SalesChannelCode" count="0" unbalanced="0"/>
    <cacheHierarchy uniqueName="[SalesChannel].[CompanyKey]" caption="CompanyKey" attribute="1" defaultMemberUniqueName="[SalesChannel].[CompanyKey].[All]" allUniqueName="[SalesChannel].[CompanyKey].[All]" dimensionUniqueName="[SalesChannel]" displayFolder="SalesChannelCode" count="0" unbalanced="0"/>
    <cacheHierarchy uniqueName="[SalesChannel].[CompanyName]" caption="CompanyName" attribute="1" defaultMemberUniqueName="[SalesChannel].[CompanyName].[All]" allUniqueName="[SalesChannel].[CompanyName].[All]" dimensionUniqueName="[SalesChannel]" displayFolder="SalesChannelName" count="0" unbalanced="0"/>
    <cacheHierarchy uniqueName="[SalesChannel].[CompanyRegion]" caption="CompanyRegion" attribute="1" defaultMemberUniqueName="[SalesChannel].[CompanyRegion].[All]" allUniqueName="[SalesChannel].[CompanyRegion].[All]" dimensionUniqueName="[SalesChannel]" displayFolder="" count="0" unbalanced="0"/>
    <cacheHierarchy uniqueName="[SalesChannel].[CountryCode]" caption="CountryCode" attribute="1" defaultMemberUniqueName="[SalesChannel].[CountryCode].[All]" allUniqueName="[SalesChannel].[CountryCode].[All]" dimensionUniqueName="[SalesChannel]" displayFolder="SalesChannelCode" count="0" unbalanced="0"/>
    <cacheHierarchy uniqueName="[SalesChannel].[CountryName]" caption="CountryName" attribute="1" defaultMemberUniqueName="[SalesChannel].[CountryName].[All]" allUniqueName="[SalesChannel].[CountryName].[All]" dimensionUniqueName="[SalesChannel]" displayFolder="SalesChannelName" count="2" unbalanced="0">
      <fieldsUsage count="2">
        <fieldUsage x="-1"/>
        <fieldUsage x="16"/>
      </fieldsUsage>
    </cacheHierarchy>
    <cacheHierarchy uniqueName="[SalesChannel].[DistrubitionChannelCode]" caption="DistrubitionChannelCode" attribute="1" defaultMemberUniqueName="[SalesChannel].[DistrubitionChannelCode].[All]" allUniqueName="[SalesChannel].[DistrubitionChannelCode].[All]" dimensionUniqueName="[SalesChannel]" displayFolder="SalesChannelCode" count="0" unbalanced="0"/>
    <cacheHierarchy uniqueName="[SalesChannel].[DistrubitionChannelDesc]" caption="DistrubitionChannelDesc" attribute="1" defaultMemberUniqueName="[SalesChannel].[DistrubitionChannelDesc].[All]" allUniqueName="[SalesChannel].[DistrubitionChannelDesc].[All]" dimensionUniqueName="[SalesChannel]" displayFolder="SalesChannelName" count="2" unbalanced="0">
      <fieldsUsage count="2">
        <fieldUsage x="-1"/>
        <fieldUsage x="0"/>
      </fieldsUsage>
    </cacheHierarchy>
    <cacheHierarchy uniqueName="[SalesChannel].[DistrubitionChannelKey]" caption="DistrubitionChannelKey" attribute="1" defaultMemberUniqueName="[SalesChannel].[DistrubitionChannelKey].[All]" allUniqueName="[SalesChannel].[DistrubitionChannelKey].[All]" dimensionUniqueName="[SalesChannel]" displayFolder="SalesChannelCode" count="0" unbalanced="0"/>
    <cacheHierarchy uniqueName="[SalesChannel].[H_SalesChannel]" caption="H_SalesChannel" defaultMemberUniqueName="[SalesChannel].[H_SalesChannel].[All]" allUniqueName="[SalesChannel].[H_SalesChannel].[All]" dimensionUniqueName="[SalesChannel]" displayFolder="" count="4" unbalanced="0">
      <fieldsUsage count="4">
        <fieldUsage x="-1"/>
        <fieldUsage x="50"/>
        <fieldUsage x="51"/>
        <fieldUsage x="52"/>
      </fieldsUsage>
    </cacheHierarchy>
    <cacheHierarchy uniqueName="[SalesChannel].[SalesChannelCode]" caption="SalesChannelCode" attribute="1" defaultMemberUniqueName="[SalesChannel].[SalesChannelCode].[All]" allUniqueName="[SalesChannel].[SalesChannelCode].[All]" dimensionUniqueName="[SalesChannel]" displayFolder="SalesChannelCode" count="0" unbalanced="0"/>
    <cacheHierarchy uniqueName="[SalesChannel].[SalesChannelKey]" caption="SalesChannelKey" attribute="1" defaultMemberUniqueName="[SalesChannel].[SalesChannelKey].[All]" allUniqueName="[SalesChannel].[SalesChannelKey].[All]" dimensionUniqueName="[SalesChannel]" displayFolder="SalesChannelCode" count="0" unbalanced="0"/>
    <cacheHierarchy uniqueName="[SalesChannel].[SalesOrgCode]" caption="SalesOrgCode" attribute="1" defaultMemberUniqueName="[SalesChannel].[SalesOrgCode].[All]" allUniqueName="[SalesChannel].[SalesOrgCode].[All]" dimensionUniqueName="[SalesChannel]" displayFolder="SalesChannelCode" count="0" unbalanced="0"/>
    <cacheHierarchy uniqueName="[SalesChannel].[SalesOrgDesc]" caption="SalesOrgDesc" attribute="1" defaultMemberUniqueName="[SalesChannel].[SalesOrgDesc].[All]" allUniqueName="[SalesChannel].[SalesOrgDesc].[All]" dimensionUniqueName="[SalesChannel]" displayFolder="SalesChannelName" count="0" unbalanced="0"/>
    <cacheHierarchy uniqueName="[SalesChannel].[SalesOrgKey]" caption="SalesOrgKey" attribute="1" defaultMemberUniqueName="[SalesChannel].[SalesOrgKey].[All]" allUniqueName="[SalesChannel].[SalesOrgKey].[All]" dimensionUniqueName="[SalesChannel]" displayFolder="SalesChannelCode" count="0" unbalanced="0"/>
    <cacheHierarchy uniqueName="[SalesChannel].[SalesOrgType]" caption="SalesOrgType" attribute="1" defaultMemberUniqueName="[SalesChannel].[SalesOrgType].[All]" allUniqueName="[SalesChannel].[SalesOrgType].[All]" dimensionUniqueName="[SalesChannel]" displayFolder="" count="0" unbalanced="0"/>
    <cacheHierarchy uniqueName="[SalesSeason].[EtlDate]" caption="EtlDate" attribute="1" defaultMemberUniqueName="[SalesSeason].[EtlDate].[All]" allUniqueName="[SalesSeason].[EtlDate].[All]" dimensionUniqueName="[SalesSeason]" displayFolder="" count="0" unbalanced="0"/>
    <cacheHierarchy uniqueName="[SalesSeason].[SalesSeasonCode]" caption="SalesSeasonCode" attribute="1" defaultMemberUniqueName="[SalesSeason].[SalesSeasonCode].[All]" allUniqueName="[SalesSeason].[SalesSeasonCode].[All]" dimensionUniqueName="[SalesSeason]" displayFolder="" count="0" unbalanced="0"/>
    <cacheHierarchy uniqueName="[SalesSeason].[SalesSeasonID]" caption="SalesSeasonID" attribute="1" defaultMemberUniqueName="[SalesSeason].[SalesSeasonID].[All]" allUniqueName="[SalesSeason].[SalesSeasonID].[All]" dimensionUniqueName="[SalesSeason]" displayFolder="" count="0" unbalanced="0"/>
    <cacheHierarchy uniqueName="[SalesSeason].[SalesSeasonName]" caption="SalesSeasonName" attribute="1" defaultMemberUniqueName="[SalesSeason].[SalesSeasonName].[All]" allUniqueName="[SalesSeason].[SalesSeasonName].[All]" dimensionUniqueName="[SalesSeason]" displayFolder="" count="0" unbalanced="0"/>
    <cacheHierarchy uniqueName="[StockList].[StockList]" caption="StockList" attribute="1" defaultMemberUniqueName="[StockList].[StockList].[All]" allUniqueName="[StockList].[StockList].[All]" dimensionUniqueName="[StockList]" displayFolder="" count="0" unbalanced="0"/>
    <cacheHierarchy uniqueName="[StockList].[StockListChannelName]" caption="StockListChannelName" attribute="1" defaultMemberUniqueName="[StockList].[StockListChannelName].[All]" allUniqueName="[StockList].[StockListChannelName].[All]" dimensionUniqueName="[StockList]" displayFolder="" count="0" unbalanced="0"/>
    <cacheHierarchy uniqueName="[StockList].[StockListCode]" caption="StockListCode" attribute="1" defaultMemberUniqueName="[StockList].[StockListCode].[All]" allUniqueName="[StockList].[StockListCode].[All]" dimensionUniqueName="[StockList]" displayFolder="" count="0" unbalanced="0"/>
    <cacheHierarchy uniqueName="[StockList].[StockListKey]" caption="StockListKey" attribute="1" defaultMemberUniqueName="[StockList].[StockListKey].[All]" allUniqueName="[StockList].[StockListKey].[All]" dimensionUniqueName="[StockList]" displayFolder="" count="0" unbalanced="0"/>
    <cacheHierarchy uniqueName="[Store].[AllocationSpecialist]" caption="AllocationSpecialist" attribute="1" defaultMemberUniqueName="[Store].[AllocationSpecialist].[All]" allUniqueName="[Store].[AllocationSpecialist].[All]" dimensionUniqueName="[Store]" displayFolder="" count="0" unbalanced="0"/>
    <cacheHierarchy uniqueName="[Store].[BackStoreM2]" caption="BackStoreM2" attribute="1" defaultMemberUniqueName="[Store].[BackStoreM2].[All]" allUniqueName="[Store].[BackStoreM2].[All]" dimensionUniqueName="[Store]" displayFolder="" count="0" unbalanced="0"/>
    <cacheHierarchy uniqueName="[Store].[CapacityClusterCode]" caption="CapacityClusterCode" attribute="1" defaultMemberUniqueName="[Store].[CapacityClusterCode].[All]" allUniqueName="[Store].[CapacityClusterCode].[All]" dimensionUniqueName="[Store]" displayFolder="" count="0" unbalanced="0"/>
    <cacheHierarchy uniqueName="[Store].[CapacityClusterDesc]" caption="CapacityClusterDesc" attribute="1" defaultMemberUniqueName="[Store].[CapacityClusterDesc].[All]" allUniqueName="[Store].[CapacityClusterDesc].[All]" dimensionUniqueName="[Store]" displayFolder="" count="0" unbalanced="0"/>
    <cacheHierarchy uniqueName="[Store].[CapacityUnit]" caption="CapacityUnit" attribute="1" defaultMemberUniqueName="[Store].[CapacityUnit].[All]" allUniqueName="[Store].[CapacityUnit].[All]" dimensionUniqueName="[Store]" displayFolder="" count="0" unbalanced="0"/>
    <cacheHierarchy uniqueName="[Store].[CityCode]" caption="CityCode" attribute="1" defaultMemberUniqueName="[Store].[CityCode].[All]" allUniqueName="[Store].[CityCode].[All]" dimensionUniqueName="[Store]" displayFolder="" count="0" unbalanced="0"/>
    <cacheHierarchy uniqueName="[Store].[GrossAreaMeters]" caption="GrossAreaMeters" attribute="1" defaultMemberUniqueName="[Store].[GrossAreaMeters].[All]" allUniqueName="[Store].[GrossAreaMeters].[All]" dimensionUniqueName="[Store]" displayFolder="" count="0" unbalanced="0"/>
    <cacheHierarchy uniqueName="[Store].[Latitude]" caption="Latitude" attribute="1" defaultMemberUniqueName="[Store].[Latitude].[All]" allUniqueName="[Store].[Latitude].[All]" dimensionUniqueName="[Store]" displayFolder="" count="0" unbalanced="0"/>
    <cacheHierarchy uniqueName="[Store].[LocationCityDesc]" caption="LocationCityDesc" attribute="1" defaultMemberUniqueName="[Store].[LocationCityDesc].[All]" allUniqueName="[Store].[LocationCityDesc].[All]" dimensionUniqueName="[Store]" displayFolder="" count="0" unbalanced="0"/>
    <cacheHierarchy uniqueName="[Store].[LocationCountry]" caption="LocationCountry" attribute="1" defaultMemberUniqueName="[Store].[LocationCountry].[All]" allUniqueName="[Store].[LocationCountry].[All]" dimensionUniqueName="[Store]" displayFolder="" count="0" unbalanced="0"/>
    <cacheHierarchy uniqueName="[Store].[LocationCurrencyCode]" caption="LocationCurrencyCode" attribute="1" defaultMemberUniqueName="[Store].[LocationCurrencyCode].[All]" allUniqueName="[Store].[LocationCurrencyCode].[All]" dimensionUniqueName="[Store]" displayFolder="" count="0" unbalanced="0"/>
    <cacheHierarchy uniqueName="[Store].[LocationKey]" caption="LocationKey" attribute="1" defaultMemberUniqueName="[Store].[LocationKey].[All]" allUniqueName="[Store].[LocationKey].[All]" dimensionUniqueName="[Store]" displayFolder="" count="0" unbalanced="0"/>
    <cacheHierarchy uniqueName="[Store].[LocationType]" caption="LocationType" attribute="1" defaultMemberUniqueName="[Store].[LocationType].[All]" allUniqueName="[Store].[LocationType].[All]" dimensionUniqueName="[Store]" displayFolder="" count="0" unbalanced="0"/>
    <cacheHierarchy uniqueName="[Store].[Longitude]" caption="Longitude" attribute="1" defaultMemberUniqueName="[Store].[Longitude].[All]" allUniqueName="[Store].[Longitude].[All]" dimensionUniqueName="[Store]" displayFolder="" count="0" unbalanced="0"/>
    <cacheHierarchy uniqueName="[Store].[OperationRegionCode]" caption="OperationRegionCode" attribute="1" defaultMemberUniqueName="[Store].[OperationRegionCode].[All]" allUniqueName="[Store].[OperationRegionCode].[All]" dimensionUniqueName="[Store]" displayFolder="" count="0" unbalanced="0"/>
    <cacheHierarchy uniqueName="[Store].[OperationRegionDesc]" caption="OperationRegionDesc" attribute="1" defaultMemberUniqueName="[Store].[OperationRegionDesc].[All]" allUniqueName="[Store].[OperationRegionDesc].[All]" dimensionUniqueName="[Store]" displayFolder="" count="0" unbalanced="0"/>
    <cacheHierarchy uniqueName="[Store].[RegionManager1]" caption="RegionManager1" attribute="1" defaultMemberUniqueName="[Store].[RegionManager1].[All]" allUniqueName="[Store].[RegionManager1].[All]" dimensionUniqueName="[Store]" displayFolder="" count="0" unbalanced="0"/>
    <cacheHierarchy uniqueName="[Store].[RegionManager2]" caption="RegionManager2" attribute="1" defaultMemberUniqueName="[Store].[RegionManager2].[All]" allUniqueName="[Store].[RegionManager2].[All]" dimensionUniqueName="[Store]" displayFolder="" count="0" unbalanced="0"/>
    <cacheHierarchy uniqueName="[Store].[RegionOpManager]" caption="RegionOpManager" attribute="1" defaultMemberUniqueName="[Store].[RegionOpManager].[All]" allUniqueName="[Store].[RegionOpManager].[All]" dimensionUniqueName="[Store]" displayFolder="" count="0" unbalanced="0"/>
    <cacheHierarchy uniqueName="[Store].[SalesOrgRegion]" caption="SalesOrgRegion" attribute="1" defaultMemberUniqueName="[Store].[SalesOrgRegion].[All]" allUniqueName="[Store].[SalesOrgRegion].[All]" dimensionUniqueName="[Store]" displayFolder="" count="0" unbalanced="0"/>
    <cacheHierarchy uniqueName="[Store].[SquareMeters]" caption="SquareMeters" attribute="1" defaultMemberUniqueName="[Store].[SquareMeters].[All]" allUniqueName="[Store].[SquareMeters].[All]" dimensionUniqueName="[Store]" displayFolder="" count="0" unbalanced="0"/>
    <cacheHierarchy uniqueName="[Store].[StoreClass]" caption="StoreClass" attribute="1" defaultMemberUniqueName="[Store].[StoreClass].[All]" allUniqueName="[Store].[StoreClass].[All]" dimensionUniqueName="[Store]" displayFolder="" count="0" unbalanced="0"/>
    <cacheHierarchy uniqueName="[Store].[StoreCloseDate]" caption="StoreCloseDate" attribute="1" defaultMemberUniqueName="[Store].[StoreCloseDate].[All]" allUniqueName="[Store].[StoreCloseDate].[All]" dimensionUniqueName="[Store]" displayFolder="" count="0" unbalanced="0"/>
    <cacheHierarchy uniqueName="[Store].[StoreCode]" caption="StoreCode" attribute="1" defaultMemberUniqueName="[Store].[StoreCode].[All]" allUniqueName="[Store].[StoreCode].[All]" dimensionUniqueName="[Store]" displayFolder="" count="0" unbalanced="0"/>
    <cacheHierarchy uniqueName="[Store].[StoreCompanyRegion]" caption="StoreCompanyRegion" attribute="1" defaultMemberUniqueName="[Store].[StoreCompanyRegion].[All]" allUniqueName="[Store].[StoreCompanyRegion].[All]" dimensionUniqueName="[Store]" displayFolder="" count="0" unbalanced="0"/>
    <cacheHierarchy uniqueName="[Store].[StoreCustomerCluster]" caption="StoreCustomerCluster" attribute="1" defaultMemberUniqueName="[Store].[StoreCustomerCluster].[All]" allUniqueName="[Store].[StoreCustomerCluster].[All]" dimensionUniqueName="[Store]" displayFolder="" count="0" unbalanced="0"/>
    <cacheHierarchy uniqueName="[Store].[StoreDistChannelCode]" caption="StoreDistChannelCode" attribute="1" defaultMemberUniqueName="[Store].[StoreDistChannelCode].[All]" allUniqueName="[Store].[StoreDistChannelCode].[All]" dimensionUniqueName="[Store]" displayFolder="" count="0" unbalanced="0"/>
    <cacheHierarchy uniqueName="[Store].[StoreDistChannelDesc]" caption="StoreDistChannelDesc" attribute="1" defaultMemberUniqueName="[Store].[StoreDistChannelDesc].[All]" allUniqueName="[Store].[StoreDistChannelDesc].[All]" dimensionUniqueName="[Store]" displayFolder="" count="0" unbalanced="0"/>
    <cacheHierarchy uniqueName="[Store].[StoreIN_Outlet]" caption="StoreIN_Outlet" attribute="1" defaultMemberUniqueName="[Store].[StoreIN_Outlet].[All]" allUniqueName="[Store].[StoreIN_Outlet].[All]" dimensionUniqueName="[Store]" displayFolder="" count="0" unbalanced="0"/>
    <cacheHierarchy uniqueName="[Store].[StoreName]" caption="StoreName" attribute="1" defaultMemberUniqueName="[Store].[StoreName].[All]" allUniqueName="[Store].[StoreName].[All]" dimensionUniqueName="[Store]" displayFolder="" count="0" unbalanced="0"/>
    <cacheHierarchy uniqueName="[Store].[StoreOpenDate]" caption="StoreOpenDate" attribute="1" defaultMemberUniqueName="[Store].[StoreOpenDate].[All]" allUniqueName="[Store].[StoreOpenDate].[All]" dimensionUniqueName="[Store]" displayFolder="" count="0" unbalanced="0"/>
    <cacheHierarchy uniqueName="[Store].[StorePriceChannel]" caption="StorePriceChannel" attribute="1" defaultMemberUniqueName="[Store].[StorePriceChannel].[All]" allUniqueName="[Store].[StorePriceChannel].[All]" dimensionUniqueName="[Store]" displayFolder="" count="0" unbalanced="0"/>
    <cacheHierarchy uniqueName="[Store].[StoreRegionCode]" caption="StoreRegionCode" attribute="1" defaultMemberUniqueName="[Store].[StoreRegionCode].[All]" allUniqueName="[Store].[StoreRegionCode].[All]" dimensionUniqueName="[Store]" displayFolder="" count="0" unbalanced="0"/>
    <cacheHierarchy uniqueName="[Store].[StoreRegionDesc]" caption="StoreRegionDesc" attribute="1" defaultMemberUniqueName="[Store].[StoreRegionDesc].[All]" allUniqueName="[Store].[StoreRegionDesc].[All]" dimensionUniqueName="[Store]" displayFolder="" count="0" unbalanced="0"/>
    <cacheHierarchy uniqueName="[Store].[StoreSeasonDesc]" caption="StoreSeasonDesc" attribute="1" defaultMemberUniqueName="[Store].[StoreSeasonDesc].[All]" allUniqueName="[Store].[StoreSeasonDesc].[All]" dimensionUniqueName="[Store]" displayFolder="" count="0" unbalanced="0"/>
    <cacheHierarchy uniqueName="[Store].[StoreSize]" caption="StoreSize" attribute="1" defaultMemberUniqueName="[Store].[StoreSize].[All]" allUniqueName="[Store].[StoreSize].[All]" dimensionUniqueName="[Store]" displayFolder="" count="0" unbalanced="0"/>
    <cacheHierarchy uniqueName="[Store].[StoreStatus]" caption="StoreStatus" attribute="1" defaultMemberUniqueName="[Store].[StoreStatus].[All]" allUniqueName="[Store].[StoreStatus].[All]" dimensionUniqueName="[Store]" displayFolder="" count="0" unbalanced="0"/>
    <cacheHierarchy uniqueName="[Store].[StoreTopType]" caption="StoreTopType" attribute="1" defaultMemberUniqueName="[Store].[StoreTopType].[All]" allUniqueName="[Store].[StoreTopType].[All]" dimensionUniqueName="[Store]" displayFolder="" count="0" unbalanced="0"/>
    <cacheHierarchy uniqueName="[Store].[StoreType]" caption="StoreType" attribute="1" defaultMemberUniqueName="[Store].[StoreType].[All]" allUniqueName="[Store].[StoreType].[All]" dimensionUniqueName="[Store]" displayFolder="" count="0" unbalanced="0"/>
    <cacheHierarchy uniqueName="[Store].[Tourist]" caption="Tourist" attribute="1" defaultMemberUniqueName="[Store].[Tourist].[All]" allUniqueName="[Store].[Tourist].[All]" dimensionUniqueName="[Store]" displayFolder="" count="0" unbalanced="0"/>
    <cacheHierarchy uniqueName="[StoreLFLStatu].[StoreLFLStatuDesc]" caption="StoreLFLStatuDesc" attribute="1" defaultMemberUniqueName="[StoreLFLStatu].[StoreLFLStatuDesc].[All]" allUniqueName="[StoreLFLStatu].[StoreLFLStatuDesc].[All]" dimensionUniqueName="[StoreLFLStatu]" displayFolder="" count="0" unbalanced="0"/>
    <cacheHierarchy uniqueName="[StoreLFLStatu].[StoreLFLStatuGroupDesc]" caption="StoreLFLStatuGroupDesc" attribute="1" defaultMemberUniqueName="[StoreLFLStatu].[StoreLFLStatuGroupDesc].[All]" allUniqueName="[StoreLFLStatu].[StoreLFLStatuGroupDesc].[All]" dimensionUniqueName="[StoreLFLStatu]" displayFolder="" count="0" unbalanced="0"/>
    <cacheHierarchy uniqueName="[StoreLFLStatu].[StoreLFLStatuKey]" caption="StoreLFLStatuKey" attribute="1" defaultMemberUniqueName="[StoreLFLStatu].[StoreLFLStatuKey].[All]" allUniqueName="[StoreLFLStatu].[StoreLFLStatuKey].[All]" dimensionUniqueName="[StoreLFLStatu]" displayFolder="" count="0" unbalanced="0"/>
    <cacheHierarchy uniqueName="[SubDistChannel].[SubDistChannelCode]" caption="SubDistChannelCode" attribute="1" defaultMemberUniqueName="[SubDistChannel].[SubDistChannelCode].[All]" allUniqueName="[SubDistChannel].[SubDistChannelCode].[All]" dimensionUniqueName="[SubDistChannel]" displayFolder="" count="0" unbalanced="0"/>
    <cacheHierarchy uniqueName="[SubDistChannel].[SubDistChannelDesc]" caption="SubDistChannelDesc" attribute="1" defaultMemberUniqueName="[SubDistChannel].[SubDistChannelDesc].[All]" allUniqueName="[SubDistChannel].[SubDistChannelDesc].[All]" dimensionUniqueName="[SubDistChannel]" displayFolder="" count="0" unbalanced="0"/>
    <cacheHierarchy uniqueName="[SubDistChannel].[SubDistChannelKey]" caption="SubDistChannelKey" attribute="1" defaultMemberUniqueName="[SubDistChannel].[SubDistChannelKey].[All]" allUniqueName="[SubDistChannel].[SubDistChannelKey].[All]" dimensionUniqueName="[SubDistChannel]" displayFolder="" count="0" unbalanced="0"/>
    <cacheHierarchy uniqueName="[Calendar].[EtlDate]" caption="EtlDate" attribute="1" time="1" defaultMemberUniqueName="[Calendar].[EtlDate].[All]" allUniqueName="[Calendar].[EtlDate].[All]" dimensionUniqueName="[Calendar]" displayFolder="" count="0" unbalanced="0" hidden="1"/>
    <cacheHierarchy uniqueName="[Capacity].[Date]" caption="Date" attribute="1" defaultMemberUniqueName="[Capacity].[Date].[All]" allUniqueName="[Capacity].[Date].[All]" dimensionUniqueName="[Capacity]" displayFolder="" count="0" unbalanced="0" hidden="1"/>
    <cacheHierarchy uniqueName="[Capacity].[InitialSalesPriceID]" caption="InitialSalesPriceID" attribute="1" defaultMemberUniqueName="[Capacity].[InitialSalesPriceID].[All]" allUniqueName="[Capacity].[InitialSalesPriceID].[All]" dimensionUniqueName="[Capacity]" displayFolder="" count="0" unbalanced="0" hidden="1"/>
    <cacheHierarchy uniqueName="[Capacity].[LFLFactor]" caption="LFLFactor" attribute="1" defaultMemberUniqueName="[Capacity].[LFLFactor].[All]" allUniqueName="[Capacity].[LFLFactor].[All]" dimensionUniqueName="[Capacity]" displayFolder="" count="0" unbalanced="0" hidden="1"/>
    <cacheHierarchy uniqueName="[Capacity].[LocationKey]" caption="LocationKey" attribute="1" defaultMemberUniqueName="[Capacity].[LocationKey].[All]" allUniqueName="[Capacity].[LocationKey].[All]" dimensionUniqueName="[Capacity]" displayFolder="" count="0" unbalanced="0" hidden="1"/>
    <cacheHierarchy uniqueName="[Capacity].[MaterialKey]" caption="MaterialKey" attribute="1" defaultMemberUniqueName="[Capacity].[MaterialKey].[All]" allUniqueName="[Capacity].[MaterialKey].[All]" dimensionUniqueName="[Capacity]" displayFolder="" count="0" unbalanced="0" hidden="1"/>
    <cacheHierarchy uniqueName="[Capacity].[OutletID]" caption="OutletID" attribute="1" defaultMemberUniqueName="[Capacity].[OutletID].[All]" allUniqueName="[Capacity].[OutletID].[All]" dimensionUniqueName="[Capacity]" displayFolder="" count="0" unbalanced="0" hidden="1"/>
    <cacheHierarchy uniqueName="[Capacity].[SalesChannelKey]" caption="SalesChannelKey" attribute="1" defaultMemberUniqueName="[Capacity].[SalesChannelKey].[All]" allUniqueName="[Capacity].[SalesChannelKey].[All]" dimensionUniqueName="[Capacity]" displayFolder="" count="0" unbalanced="0" hidden="1"/>
    <cacheHierarchy uniqueName="[Capacity].[SalesSeasonID]" caption="SalesSeasonID" attribute="1" defaultMemberUniqueName="[Capacity].[SalesSeasonID].[All]" allUniqueName="[Capacity].[SalesSeasonID].[All]" dimensionUniqueName="[Capacity]" displayFolder="" count="0" unbalanced="0" hidden="1"/>
    <cacheHierarchy uniqueName="[Capacity].[SubDistChannelKey]" caption="SubDistChannelKey" attribute="1" defaultMemberUniqueName="[Capacity].[SubDistChannelKey].[All]" allUniqueName="[Capacity].[SubDistChannelKey].[All]" dimensionUniqueName="[Capacity]" displayFolder="" count="0" unbalanced="0" hidden="1"/>
    <cacheHierarchy uniqueName="[Capacity].[TYCapacityPlanUnit]" caption="TYCapacityPlanUnit" attribute="1" defaultMemberUniqueName="[Capacity].[TYCapacityPlanUnit].[All]" allUniqueName="[Capacity].[TYCapacityPlanUnit].[All]" dimensionUniqueName="[Capacity]" displayFolder="" count="0" unbalanced="0" hidden="1"/>
    <cacheHierarchy uniqueName="[CapacityPlanTY].[Date]" caption="Date" attribute="1" defaultMemberUniqueName="[CapacityPlanTY].[Date].[All]" allUniqueName="[CapacityPlanTY].[Date].[All]" dimensionUniqueName="[CapacityPlanTY]" displayFolder="" count="0" unbalanced="0" hidden="1"/>
    <cacheHierarchy uniqueName="[CapacityPlanTY].[DistrubitionChannelCode]" caption="DistrubitionChannelCode" attribute="1" defaultMemberUniqueName="[CapacityPlanTY].[DistrubitionChannelCode].[All]" allUniqueName="[CapacityPlanTY].[DistrubitionChannelCode].[All]" dimensionUniqueName="[CapacityPlanTY]" displayFolder="" count="0" unbalanced="0" hidden="1"/>
    <cacheHierarchy uniqueName="[CapacityPlanTY].[DWSourceKey]" caption="DWSourceKey" attribute="1" defaultMemberUniqueName="[CapacityPlanTY].[DWSourceKey].[All]" allUniqueName="[CapacityPlanTY].[DWSourceKey].[All]" dimensionUniqueName="[CapacityPlanTY]" displayFolder="" count="0" unbalanced="0" hidden="1"/>
    <cacheHierarchy uniqueName="[CapacityPlanTY].[ETLDate]" caption="ETLDate" attribute="1" defaultMemberUniqueName="[CapacityPlanTY].[ETLDate].[All]" allUniqueName="[CapacityPlanTY].[ETLDate].[All]" dimensionUniqueName="[CapacityPlanTY]" displayFolder="" count="0" unbalanced="0" hidden="1"/>
    <cacheHierarchy uniqueName="[CapacityPlanTY].[EURExcRate]" caption="EURExcRate" attribute="1" defaultMemberUniqueName="[CapacityPlanTY].[EURExcRate].[All]" allUniqueName="[CapacityPlanTY].[EURExcRate].[All]" dimensionUniqueName="[CapacityPlanTY]" displayFolder="" count="0" unbalanced="0" hidden="1"/>
    <cacheHierarchy uniqueName="[CapacityPlanTY].[LFLPlanAvgStoreStockCostLC]" caption="LFLPlanAvgStoreStockCostLC" attribute="1" defaultMemberUniqueName="[CapacityPlanTY].[LFLPlanAvgStoreStockCostLC].[All]" allUniqueName="[CapacityPlanTY].[LFLPlanAvgStoreStockCostLC].[All]" dimensionUniqueName="[CapacityPlanTY]" displayFolder="" count="0" unbalanced="0" hidden="1"/>
    <cacheHierarchy uniqueName="[CapacityPlanTY].[LFLPlanAvgStoreStockUnit]" caption="LFLPlanAvgStoreStockUnit" attribute="1" defaultMemberUniqueName="[CapacityPlanTY].[LFLPlanAvgStoreStockUnit].[All]" allUniqueName="[CapacityPlanTY].[LFLPlanAvgStoreStockUnit].[All]" dimensionUniqueName="[CapacityPlanTY]" displayFolder="" count="0" unbalanced="0" hidden="1"/>
    <cacheHierarchy uniqueName="[CapacityPlanTY].[LocationCurrencyCode]" caption="LocationCurrencyCode" attribute="1" defaultMemberUniqueName="[CapacityPlanTY].[LocationCurrencyCode].[All]" allUniqueName="[CapacityPlanTY].[LocationCurrencyCode].[All]" dimensionUniqueName="[CapacityPlanTY]" displayFolder="" count="0" unbalanced="0" hidden="1"/>
    <cacheHierarchy uniqueName="[CapacityPlanTY].[LocationKey]" caption="LocationKey" attribute="1" defaultMemberUniqueName="[CapacityPlanTY].[LocationKey].[All]" allUniqueName="[CapacityPlanTY].[LocationKey].[All]" dimensionUniqueName="[CapacityPlanTY]" displayFolder="" count="0" unbalanced="0" hidden="1"/>
    <cacheHierarchy uniqueName="[CapacityPlanTY].[MainGroupCode]" caption="MainGroupCode" attribute="1" defaultMemberUniqueName="[CapacityPlanTY].[MainGroupCode].[All]" allUniqueName="[CapacityPlanTY].[MainGroupCode].[All]" dimensionUniqueName="[CapacityPlanTY]" displayFolder="" count="0" unbalanced="0" hidden="1"/>
    <cacheHierarchy uniqueName="[CapacityPlanTY].[MaterialKey]" caption="MaterialKey" attribute="1" defaultMemberUniqueName="[CapacityPlanTY].[MaterialKey].[All]" allUniqueName="[CapacityPlanTY].[MaterialKey].[All]" dimensionUniqueName="[CapacityPlanTY]" displayFolder="" count="0" unbalanced="0" hidden="1"/>
    <cacheHierarchy uniqueName="[CapacityPlanTY].[PlanAvgStoreStockCostLC]" caption="PlanAvgStoreStockCostLC" attribute="1" defaultMemberUniqueName="[CapacityPlanTY].[PlanAvgStoreStockCostLC].[All]" allUniqueName="[CapacityPlanTY].[PlanAvgStoreStockCostLC].[All]" dimensionUniqueName="[CapacityPlanTY]" displayFolder="" count="0" unbalanced="0" hidden="1"/>
    <cacheHierarchy uniqueName="[CapacityPlanTY].[PlanAvgStoreStockUnit]" caption="PlanAvgStoreStockUnit" attribute="1" defaultMemberUniqueName="[CapacityPlanTY].[PlanAvgStoreStockUnit].[All]" allUniqueName="[CapacityPlanTY].[PlanAvgStoreStockUnit].[All]" dimensionUniqueName="[CapacityPlanTY]" displayFolder="" count="0" unbalanced="0" hidden="1"/>
    <cacheHierarchy uniqueName="[CapacityPlanTY].[SalesChannelKey]" caption="SalesChannelKey" attribute="1" defaultMemberUniqueName="[CapacityPlanTY].[SalesChannelKey].[All]" allUniqueName="[CapacityPlanTY].[SalesChannelKey].[All]" dimensionUniqueName="[CapacityPlanTY]" displayFolder="" count="0" unbalanced="0" hidden="1"/>
    <cacheHierarchy uniqueName="[CapacityPlanTY].[SalesOrgCode]" caption="SalesOrgCode" attribute="1" defaultMemberUniqueName="[CapacityPlanTY].[SalesOrgCode].[All]" allUniqueName="[CapacityPlanTY].[SalesOrgCode].[All]" dimensionUniqueName="[CapacityPlanTY]" displayFolder="" count="0" unbalanced="0" hidden="1"/>
    <cacheHierarchy uniqueName="[CapacityPlanTY].[SubDistChannelKey]" caption="SubDistChannelKey" attribute="1" defaultMemberUniqueName="[CapacityPlanTY].[SubDistChannelKey].[All]" allUniqueName="[CapacityPlanTY].[SubDistChannelKey].[All]" dimensionUniqueName="[CapacityPlanTY]" displayFolder="" count="0" unbalanced="0" hidden="1"/>
    <cacheHierarchy uniqueName="[CapacityPlanTY].[SubGroupCode]" caption="SubGroupCode" attribute="1" defaultMemberUniqueName="[CapacityPlanTY].[SubGroupCode].[All]" allUniqueName="[CapacityPlanTY].[SubGroupCode].[All]" dimensionUniqueName="[CapacityPlanTY]" displayFolder="" count="0" unbalanced="0" hidden="1"/>
    <cacheHierarchy uniqueName="[CapacityPlanTY].[TRYExcRate]" caption="TRYExcRate" attribute="1" defaultMemberUniqueName="[CapacityPlanTY].[TRYExcRate].[All]" allUniqueName="[CapacityPlanTY].[TRYExcRate].[All]" dimensionUniqueName="[CapacityPlanTY]" displayFolder="" count="0" unbalanced="0" hidden="1"/>
    <cacheHierarchy uniqueName="[CapacityPlanTY].[USDExcRate]" caption="USDExcRate" attribute="1" defaultMemberUniqueName="[CapacityPlanTY].[USDExcRate].[All]" allUniqueName="[CapacityPlanTY].[USDExcRate].[All]" dimensionUniqueName="[CapacityPlanTY]" displayFolder="" count="0" unbalanced="0" hidden="1"/>
    <cacheHierarchy uniqueName="[CapacityPlanTY].[YearMonth]" caption="YearMonth" attribute="1" defaultMemberUniqueName="[CapacityPlanTY].[YearMonth].[All]" allUniqueName="[CapacityPlanTY].[YearMonth].[All]" dimensionUniqueName="[CapacityPlanTY]" displayFolder="" count="0" unbalanced="0" hidden="1"/>
    <cacheHierarchy uniqueName="[CurrentStockStore].[CompanyUnitCost]" caption="CompanyUnitCost" attribute="1" defaultMemberUniqueName="[CurrentStockStore].[CompanyUnitCost].[All]" allUniqueName="[CurrentStockStore].[CompanyUnitCost].[All]" dimensionUniqueName="[CurrentStockStore]" displayFolder="" count="0" unbalanced="0" hidden="1"/>
    <cacheHierarchy uniqueName="[CurrentStockStore].[EURExcRate]" caption="EURExcRate" attribute="1" defaultMemberUniqueName="[CurrentStockStore].[EURExcRate].[All]" allUniqueName="[CurrentStockStore].[EURExcRate].[All]" dimensionUniqueName="[CurrentStockStore]" displayFolder="" count="0" unbalanced="0" hidden="1"/>
    <cacheHierarchy uniqueName="[CurrentStockStore].[InitialSalesPriceID]" caption="InitialSalesPriceID" attribute="1" defaultMemberUniqueName="[CurrentStockStore].[InitialSalesPriceID].[All]" allUniqueName="[CurrentStockStore].[InitialSalesPriceID].[All]" dimensionUniqueName="[CurrentStockStore]" displayFolder="" count="0" unbalanced="0" hidden="1"/>
    <cacheHierarchy uniqueName="[CurrentStockStore].[ISPLCPriceVAT]" caption="ISPLCPriceVAT" attribute="1" defaultMemberUniqueName="[CurrentStockStore].[ISPLCPriceVAT].[All]" allUniqueName="[CurrentStockStore].[ISPLCPriceVAT].[All]" dimensionUniqueName="[CurrentStockStore]" displayFolder="" count="0" unbalanced="0" hidden="1"/>
    <cacheHierarchy uniqueName="[CurrentStockStore].[LCExcRate]" caption="LCExcRate" attribute="1" defaultMemberUniqueName="[CurrentStockStore].[LCExcRate].[All]" allUniqueName="[CurrentStockStore].[LCExcRate].[All]" dimensionUniqueName="[CurrentStockStore]" displayFolder="" count="0" unbalanced="0" hidden="1"/>
    <cacheHierarchy uniqueName="[CurrentStockStore].[LFLFactor]" caption="LFLFactor" attribute="1" defaultMemberUniqueName="[CurrentStockStore].[LFLFactor].[All]" allUniqueName="[CurrentStockStore].[LFLFactor].[All]" dimensionUniqueName="[CurrentStockStore]" displayFolder="" count="0" unbalanced="0" hidden="1"/>
    <cacheHierarchy uniqueName="[CurrentStockStore].[LocationKey]" caption="LocationKey" attribute="1" defaultMemberUniqueName="[CurrentStockStore].[LocationKey].[All]" allUniqueName="[CurrentStockStore].[LocationKey].[All]" dimensionUniqueName="[CurrentStockStore]" displayFolder="" count="0" unbalanced="0" hidden="1"/>
    <cacheHierarchy uniqueName="[CurrentStockStore].[MaterialKey]" caption="MaterialKey" attribute="1" defaultMemberUniqueName="[CurrentStockStore].[MaterialKey].[All]" allUniqueName="[CurrentStockStore].[MaterialKey].[All]" dimensionUniqueName="[CurrentStockStore]" displayFolder="" count="0" unbalanced="0" hidden="1"/>
    <cacheHierarchy uniqueName="[CurrentStockStore].[OtherStockUnit]" caption="OtherStockUnit" attribute="1" defaultMemberUniqueName="[CurrentStockStore].[OtherStockUnit].[All]" allUniqueName="[CurrentStockStore].[OtherStockUnit].[All]" dimensionUniqueName="[CurrentStockStore]" displayFolder="" count="0" unbalanced="0" hidden="1"/>
    <cacheHierarchy uniqueName="[CurrentStockStore].[OutletID]" caption="OutletID" attribute="1" defaultMemberUniqueName="[CurrentStockStore].[OutletID].[All]" allUniqueName="[CurrentStockStore].[OutletID].[All]" dimensionUniqueName="[CurrentStockStore]" displayFolder="" count="0" unbalanced="0" hidden="1"/>
    <cacheHierarchy uniqueName="[CurrentStockStore].[SalesChannelKey]" caption="SalesChannelKey" attribute="1" defaultMemberUniqueName="[CurrentStockStore].[SalesChannelKey].[All]" allUniqueName="[CurrentStockStore].[SalesChannelKey].[All]" dimensionUniqueName="[CurrentStockStore]" displayFolder="" count="0" unbalanced="0" hidden="1"/>
    <cacheHierarchy uniqueName="[CurrentStockStore].[SalesSeasonID]" caption="SalesSeasonID" attribute="1" defaultMemberUniqueName="[CurrentStockStore].[SalesSeasonID].[All]" allUniqueName="[CurrentStockStore].[SalesSeasonID].[All]" dimensionUniqueName="[CurrentStockStore]" displayFolder="" count="0" unbalanced="0" hidden="1"/>
    <cacheHierarchy uniqueName="[CurrentStockStore].[StockDate]" caption="StockDate" attribute="1" defaultMemberUniqueName="[CurrentStockStore].[StockDate].[All]" allUniqueName="[CurrentStockStore].[StockDate].[All]" dimensionUniqueName="[CurrentStockStore]" displayFolder="" count="0" unbalanced="0" hidden="1"/>
    <cacheHierarchy uniqueName="[CurrentStockStore].[StockUnit]" caption="StockUnit" attribute="1" defaultMemberUniqueName="[CurrentStockStore].[StockUnit].[All]" allUniqueName="[CurrentStockStore].[StockUnit].[All]" dimensionUniqueName="[CurrentStockStore]" displayFolder="" count="0" unbalanced="0" hidden="1"/>
    <cacheHierarchy uniqueName="[CurrentStockStore].[TransitStockUnit]" caption="TransitStockUnit" attribute="1" defaultMemberUniqueName="[CurrentStockStore].[TransitStockUnit].[All]" allUniqueName="[CurrentStockStore].[TransitStockUnit].[All]" dimensionUniqueName="[CurrentStockStore]" displayFolder="" count="0" unbalanced="0" hidden="1"/>
    <cacheHierarchy uniqueName="[CurrentStockStore].[TRYExcRate]" caption="TRYExcRate" attribute="1" defaultMemberUniqueName="[CurrentStockStore].[TRYExcRate].[All]" allUniqueName="[CurrentStockStore].[TRYExcRate].[All]" dimensionUniqueName="[CurrentStockStore]" displayFolder="" count="0" unbalanced="0" hidden="1"/>
    <cacheHierarchy uniqueName="[CurrentStockStore].[UnitCost]" caption="UnitCost" attribute="1" defaultMemberUniqueName="[CurrentStockStore].[UnitCost].[All]" allUniqueName="[CurrentStockStore].[UnitCost].[All]" dimensionUniqueName="[CurrentStockStore]" displayFolder="" count="0" unbalanced="0" hidden="1"/>
    <cacheHierarchy uniqueName="[CurrentStockStore].[USDExcRate]" caption="USDExcRate" attribute="1" defaultMemberUniqueName="[CurrentStockStore].[USDExcRate].[All]" allUniqueName="[CurrentStockStore].[USDExcRate].[All]" dimensionUniqueName="[CurrentStockStore]" displayFolder="" count="0" unbalanced="0" hidden="1"/>
    <cacheHierarchy uniqueName="[ISPUnitPrice].[ISPUnitPriceKey]" caption="ISPUnitPriceKey" attribute="1" defaultMemberUniqueName="[ISPUnitPrice].[ISPUnitPriceKey].[All]" allUniqueName="[ISPUnitPrice].[ISPUnitPriceKey].[All]" dimensionUniqueName="[ISPUnitPrice]" displayFolder="" count="0" unbalanced="0" hidden="1"/>
    <cacheHierarchy uniqueName="[KPI].[Ly]" caption="Ly" attribute="1" defaultMemberUniqueName="[KPI].[Ly].[All]" allUniqueName="[KPI].[Ly].[All]" dimensionUniqueName="[KPI]" displayFolder="" count="0" unbalanced="0" hidden="1"/>
    <cacheHierarchy uniqueName="[KPI].[Ly_LC]" caption="Ly_LC" attribute="1" defaultMemberUniqueName="[KPI].[Ly_LC].[All]" allUniqueName="[KPI].[Ly_LC].[All]" dimensionUniqueName="[KPI]" displayFolder="" count="0" unbalanced="0" hidden="1"/>
    <cacheHierarchy uniqueName="[KPI].[Ly_TRY]" caption="Ly_TRY" attribute="1" defaultMemberUniqueName="[KPI].[Ly_TRY].[All]" allUniqueName="[KPI].[Ly_TRY].[All]" dimensionUniqueName="[KPI]" displayFolder="" count="0" unbalanced="0" hidden="1"/>
    <cacheHierarchy uniqueName="[KPI].[Ly_USD]" caption="Ly_USD" attribute="1" defaultMemberUniqueName="[KPI].[Ly_USD].[All]" allUniqueName="[KPI].[Ly_USD].[All]" dimensionUniqueName="[KPI]" displayFolder="" count="0" unbalanced="0" hidden="1"/>
    <cacheHierarchy uniqueName="[KPI].[LyLFL]" caption="LyLFL" attribute="1" defaultMemberUniqueName="[KPI].[LyLFL].[All]" allUniqueName="[KPI].[LyLFL].[All]" dimensionUniqueName="[KPI]" displayFolder="" count="0" unbalanced="0" hidden="1"/>
    <cacheHierarchy uniqueName="[KPI].[LyLFL_LC]" caption="LyLFL_LC" attribute="1" defaultMemberUniqueName="[KPI].[LyLFL_LC].[All]" allUniqueName="[KPI].[LyLFL_LC].[All]" dimensionUniqueName="[KPI]" displayFolder="" count="0" unbalanced="0" hidden="1"/>
    <cacheHierarchy uniqueName="[KPI].[LyLFL_TRY]" caption="LyLFL_TRY" attribute="1" defaultMemberUniqueName="[KPI].[LyLFL_TRY].[All]" allUniqueName="[KPI].[LyLFL_TRY].[All]" dimensionUniqueName="[KPI]" displayFolder="" count="0" unbalanced="0" hidden="1"/>
    <cacheHierarchy uniqueName="[KPI].[LyLFL_USD]" caption="LyLFL_USD" attribute="1" defaultMemberUniqueName="[KPI].[LyLFL_USD].[All]" allUniqueName="[KPI].[LyLFL_USD].[All]" dimensionUniqueName="[KPI]" displayFolder="" count="0" unbalanced="0" hidden="1"/>
    <cacheHierarchy uniqueName="[KPI].[MeasureBlokLY02]" caption="MeasureBlokLY02" attribute="1" defaultMemberUniqueName="[KPI].[MeasureBlokLY02].[All]" allUniqueName="[KPI].[MeasureBlokLY02].[All]" dimensionUniqueName="[KPI]" displayFolder="" count="0" unbalanced="0" hidden="1"/>
    <cacheHierarchy uniqueName="[KPI].[MeasureBlokLYLFL04]" caption="MeasureBlokLYLFL04" attribute="1" defaultMemberUniqueName="[KPI].[MeasureBlokLYLFL04].[All]" allUniqueName="[KPI].[MeasureBlokLYLFL04].[All]" dimensionUniqueName="[KPI]" displayFolder="" count="0" unbalanced="0" hidden="1"/>
    <cacheHierarchy uniqueName="[KPI].[MeasureBlokTY01]" caption="MeasureBlokTY01" attribute="1" defaultMemberUniqueName="[KPI].[MeasureBlokTY01].[All]" allUniqueName="[KPI].[MeasureBlokTY01].[All]" dimensionUniqueName="[KPI]" displayFolder="" count="0" unbalanced="0" hidden="1"/>
    <cacheHierarchy uniqueName="[KPI].[MeasureBlokTYLFL03]" caption="MeasureBlokTYLFL03" attribute="1" defaultMemberUniqueName="[KPI].[MeasureBlokTYLFL03].[All]" allUniqueName="[KPI].[MeasureBlokTYLFL03].[All]" dimensionUniqueName="[KPI]" displayFolder="" count="0" unbalanced="0" hidden="1"/>
    <cacheHierarchy uniqueName="[KPI].[ProcessTime]" caption="ProcessTime" attribute="1" defaultMemberUniqueName="[KPI].[ProcessTime].[All]" allUniqueName="[KPI].[ProcessTime].[All]" dimensionUniqueName="[KPI]" displayFolder="" count="0" unbalanced="0" hidden="1"/>
    <cacheHierarchy uniqueName="[KPI].[Ty]" caption="Ty" attribute="1" defaultMemberUniqueName="[KPI].[Ty].[All]" allUniqueName="[KPI].[Ty].[All]" dimensionUniqueName="[KPI]" displayFolder="" count="0" unbalanced="0" hidden="1"/>
    <cacheHierarchy uniqueName="[KPI].[Ty_LC]" caption="Ty_LC" attribute="1" defaultMemberUniqueName="[KPI].[Ty_LC].[All]" allUniqueName="[KPI].[Ty_LC].[All]" dimensionUniqueName="[KPI]" displayFolder="" count="0" unbalanced="0" hidden="1"/>
    <cacheHierarchy uniqueName="[KPI].[Ty_TRY]" caption="Ty_TRY" attribute="1" defaultMemberUniqueName="[KPI].[Ty_TRY].[All]" allUniqueName="[KPI].[Ty_TRY].[All]" dimensionUniqueName="[KPI]" displayFolder="" count="0" unbalanced="0" hidden="1"/>
    <cacheHierarchy uniqueName="[KPI].[Ty_USD]" caption="Ty_USD" attribute="1" defaultMemberUniqueName="[KPI].[Ty_USD].[All]" allUniqueName="[KPI].[Ty_USD].[All]" dimensionUniqueName="[KPI]" displayFolder="" count="0" unbalanced="0" hidden="1"/>
    <cacheHierarchy uniqueName="[KPI].[TyLfl]" caption="TyLfl" attribute="1" defaultMemberUniqueName="[KPI].[TyLfl].[All]" allUniqueName="[KPI].[TyLfl].[All]" dimensionUniqueName="[KPI]" displayFolder="" count="0" unbalanced="0" hidden="1"/>
    <cacheHierarchy uniqueName="[KPI].[TyLfl_LC]" caption="TyLfl_LC" attribute="1" defaultMemberUniqueName="[KPI].[TyLfl_LC].[All]" allUniqueName="[KPI].[TyLfl_LC].[All]" dimensionUniqueName="[KPI]" displayFolder="" count="0" unbalanced="0" hidden="1"/>
    <cacheHierarchy uniqueName="[KPI].[TyLfl_TRY]" caption="TyLfl_TRY" attribute="1" defaultMemberUniqueName="[KPI].[TyLfl_TRY].[All]" allUniqueName="[KPI].[TyLfl_TRY].[All]" dimensionUniqueName="[KPI]" displayFolder="" count="0" unbalanced="0" hidden="1"/>
    <cacheHierarchy uniqueName="[KPI].[TyLfl_USD]" caption="TyLfl_USD" attribute="1" defaultMemberUniqueName="[KPI].[TyLfl_USD].[All]" allUniqueName="[KPI].[TyLfl_USD].[All]" dimensionUniqueName="[KPI]" displayFolder="" count="0" unbalanced="0" hidden="1"/>
    <cacheHierarchy uniqueName="[LFLDate].[LFLDate]" caption="LFLDate" attribute="1" defaultMemberUniqueName="[LFLDate].[LFLDate].[All]" allUniqueName="[LFLDate].[LFLDate].[All]" dimensionUniqueName="[LFLDate]" displayFolder="" count="0" unbalanced="0" hidden="1"/>
    <cacheHierarchy uniqueName="[LFLDate].[SalesChannelKey]" caption="SalesChannelKey" attribute="1" defaultMemberUniqueName="[LFLDate].[SalesChannelKey].[All]" allUniqueName="[LFLDate].[SalesChannelKey].[All]" dimensionUniqueName="[LFLDate]" displayFolder="" count="0" unbalanced="0" hidden="1"/>
    <cacheHierarchy uniqueName="[LFLDate].[SCKeyLFLDate]" caption="SCKeyLFLDate" attribute="1" defaultMemberUniqueName="[LFLDate].[SCKeyLFLDate].[All]" allUniqueName="[LFLDate].[SCKeyLFLDate].[All]" dimensionUniqueName="[LFLDate]" displayFolder="" count="0" unbalanced="0" hidden="1"/>
    <cacheHierarchy uniqueName="[LFLDate].[TYDate]" caption="TYDate" attribute="1" defaultMemberUniqueName="[LFLDate].[TYDate].[All]" allUniqueName="[LFLDate].[TYDate].[All]" dimensionUniqueName="[LFLDate]" displayFolder="" count="0" unbalanced="0" hidden="1"/>
    <cacheHierarchy uniqueName="[OpenImportsDCStock].[AvailableStockUnit]" caption="AvailableStockUnit" attribute="1" defaultMemberUniqueName="[OpenImportsDCStock].[AvailableStockUnit].[All]" allUniqueName="[OpenImportsDCStock].[AvailableStockUnit].[All]" dimensionUniqueName="[OpenImportsDCStock]" displayFolder="" count="0" unbalanced="0" hidden="1"/>
    <cacheHierarchy uniqueName="[OpenImportsDCStock].[BufferStockUnit]" caption="BufferStockUnit" attribute="1" defaultMemberUniqueName="[OpenImportsDCStock].[BufferStockUnit].[All]" allUniqueName="[OpenImportsDCStock].[BufferStockUnit].[All]" dimensionUniqueName="[OpenImportsDCStock]" displayFolder="" count="0" unbalanced="0" hidden="1"/>
    <cacheHierarchy uniqueName="[OpenImportsDCStock].[CUROpenImportsDCStockUnit]" caption="CUROpenImportsDCStockUnit" attribute="1" defaultMemberUniqueName="[OpenImportsDCStock].[CUROpenImportsDCStockUnit].[All]" allUniqueName="[OpenImportsDCStock].[CUROpenImportsDCStockUnit].[All]" dimensionUniqueName="[OpenImportsDCStock]" displayFolder="" count="0" unbalanced="0" hidden="1"/>
    <cacheHierarchy uniqueName="[OpenImportsDCStock].[CUROpenTransferDCStockUnit]" caption="CUROpenTransferDCStockUnit" attribute="1" defaultMemberUniqueName="[OpenImportsDCStock].[CUROpenTransferDCStockUnit].[All]" allUniqueName="[OpenImportsDCStock].[CUROpenTransferDCStockUnit].[All]" dimensionUniqueName="[OpenImportsDCStock]" displayFolder="" count="0" unbalanced="0" hidden="1"/>
    <cacheHierarchy uniqueName="[OpenImportsDCStock].[CURUnapprovedOrderDCStockUnit]" caption="CURUnapprovedOrderDCStockUnit" attribute="1" defaultMemberUniqueName="[OpenImportsDCStock].[CURUnapprovedOrderDCStockUnit].[All]" allUniqueName="[OpenImportsDCStock].[CURUnapprovedOrderDCStockUnit].[All]" dimensionUniqueName="[OpenImportsDCStock]" displayFolder="" count="0" unbalanced="0" hidden="1"/>
    <cacheHierarchy uniqueName="[OpenImportsDCStock].[LocationKey]" caption="LocationKey" attribute="1" defaultMemberUniqueName="[OpenImportsDCStock].[LocationKey].[All]" allUniqueName="[OpenImportsDCStock].[LocationKey].[All]" dimensionUniqueName="[OpenImportsDCStock]" displayFolder="" count="0" unbalanced="0" hidden="1"/>
    <cacheHierarchy uniqueName="[OpenImportsDCStock].[LocationType]" caption="LocationType" attribute="1" defaultMemberUniqueName="[OpenImportsDCStock].[LocationType].[All]" allUniqueName="[OpenImportsDCStock].[LocationType].[All]" dimensionUniqueName="[OpenImportsDCStock]" displayFolder="" count="0" unbalanced="0" hidden="1"/>
    <cacheHierarchy uniqueName="[OpenImportsDCStock].[MaterialKey]" caption="MaterialKey" attribute="1" defaultMemberUniqueName="[OpenImportsDCStock].[MaterialKey].[All]" allUniqueName="[OpenImportsDCStock].[MaterialKey].[All]" dimensionUniqueName="[OpenImportsDCStock]" displayFolder="" count="0" unbalanced="0" hidden="1"/>
    <cacheHierarchy uniqueName="[OpenImportsDCStock].[OpenDeliveryStockUnit]" caption="OpenDeliveryStockUnit" attribute="1" defaultMemberUniqueName="[OpenImportsDCStock].[OpenDeliveryStockUnit].[All]" allUniqueName="[OpenImportsDCStock].[OpenDeliveryStockUnit].[All]" dimensionUniqueName="[OpenImportsDCStock]" displayFolder="" count="0" unbalanced="0" hidden="1"/>
    <cacheHierarchy uniqueName="[OpenImportsDCStock].[OpenOrderStockUnit]" caption="OpenOrderStockUnit" attribute="1" defaultMemberUniqueName="[OpenImportsDCStock].[OpenOrderStockUnit].[All]" allUniqueName="[OpenImportsDCStock].[OpenOrderStockUnit].[All]" dimensionUniqueName="[OpenImportsDCStock]" displayFolder="" count="0" unbalanced="0" hidden="1"/>
    <cacheHierarchy uniqueName="[OpenImportsDCStock].[OpenStoStockUnit]" caption="OpenStoStockUnit" attribute="1" defaultMemberUniqueName="[OpenImportsDCStock].[OpenStoStockUnit].[All]" allUniqueName="[OpenImportsDCStock].[OpenStoStockUnit].[All]" dimensionUniqueName="[OpenImportsDCStock]" displayFolder="" count="0" unbalanced="0" hidden="1"/>
    <cacheHierarchy uniqueName="[OpenImportsDCStock].[RealStockUnit]" caption="RealStockUnit" attribute="1" defaultMemberUniqueName="[OpenImportsDCStock].[RealStockUnit].[All]" allUniqueName="[OpenImportsDCStock].[RealStockUnit].[All]" dimensionUniqueName="[OpenImportsDCStock]" displayFolder="" count="0" unbalanced="0" hidden="1"/>
    <cacheHierarchy uniqueName="[OpenImportsDCStock].[SafetyStockUnit]" caption="SafetyStockUnit" attribute="1" defaultMemberUniqueName="[OpenImportsDCStock].[SafetyStockUnit].[All]" allUniqueName="[OpenImportsDCStock].[SafetyStockUnit].[All]" dimensionUniqueName="[OpenImportsDCStock]" displayFolder="" count="0" unbalanced="0" hidden="1"/>
    <cacheHierarchy uniqueName="[OpenImportsDCStock].[SalesChannelKey]" caption="SalesChannelKey" attribute="1" defaultMemberUniqueName="[OpenImportsDCStock].[SalesChannelKey].[All]" allUniqueName="[OpenImportsDCStock].[SalesChannelKey].[All]" dimensionUniqueName="[OpenImportsDCStock]" displayFolder="" count="0" unbalanced="0" hidden="1"/>
    <cacheHierarchy uniqueName="[OpenImportsDCStock].[StockListKey]" caption="StockListKey" attribute="1" defaultMemberUniqueName="[OpenImportsDCStock].[StockListKey].[All]" allUniqueName="[OpenImportsDCStock].[StockListKey].[All]" dimensionUniqueName="[OpenImportsDCStock]" displayFolder="" count="0" unbalanced="0" hidden="1"/>
    <cacheHierarchy uniqueName="[OpenImportsDCStock].[SubLocationKey]" caption="SubLocationKey" attribute="1" defaultMemberUniqueName="[OpenImportsDCStock].[SubLocationKey].[All]" allUniqueName="[OpenImportsDCStock].[SubLocationKey].[All]" dimensionUniqueName="[OpenImportsDCStock]" displayFolder="" count="0" unbalanced="0" hidden="1"/>
    <cacheHierarchy uniqueName="[OpenImportsStoreStock].[AvailableStockUnit]" caption="AvailableStockUnit" attribute="1" defaultMemberUniqueName="[OpenImportsStoreStock].[AvailableStockUnit].[All]" allUniqueName="[OpenImportsStoreStock].[AvailableStockUnit].[All]" dimensionUniqueName="[OpenImportsStoreStock]" displayFolder="" count="0" unbalanced="0" hidden="1"/>
    <cacheHierarchy uniqueName="[OpenImportsStoreStock].[BufferStockUnit]" caption="BufferStockUnit" attribute="1" defaultMemberUniqueName="[OpenImportsStoreStock].[BufferStockUnit].[All]" allUniqueName="[OpenImportsStoreStock].[BufferStockUnit].[All]" dimensionUniqueName="[OpenImportsStoreStock]" displayFolder="" count="0" unbalanced="0" hidden="1"/>
    <cacheHierarchy uniqueName="[OpenImportsStoreStock].[CUROpenImportsStoreStockUnit]" caption="CUROpenImportsStoreStockUnit" attribute="1" defaultMemberUniqueName="[OpenImportsStoreStock].[CUROpenImportsStoreStockUnit].[All]" allUniqueName="[OpenImportsStoreStock].[CUROpenImportsStoreStockUnit].[All]" dimensionUniqueName="[OpenImportsStoreStock]" displayFolder="" count="0" unbalanced="0" hidden="1"/>
    <cacheHierarchy uniqueName="[OpenImportsStoreStock].[CUROpenTransferStoreStockUnit]" caption="CUROpenTransferStoreStockUnit" attribute="1" defaultMemberUniqueName="[OpenImportsStoreStock].[CUROpenTransferStoreStockUnit].[All]" allUniqueName="[OpenImportsStoreStock].[CUROpenTransferStoreStockUnit].[All]" dimensionUniqueName="[OpenImportsStoreStock]" displayFolder="" count="0" unbalanced="0" hidden="1"/>
    <cacheHierarchy uniqueName="[OpenImportsStoreStock].[CURUnapprovedOrderStoreStockUnit]" caption="CURUnapprovedOrderStoreStockUnit" attribute="1" defaultMemberUniqueName="[OpenImportsStoreStock].[CURUnapprovedOrderStoreStockUnit].[All]" allUniqueName="[OpenImportsStoreStock].[CURUnapprovedOrderStoreStockUnit].[All]" dimensionUniqueName="[OpenImportsStoreStock]" displayFolder="" count="0" unbalanced="0" hidden="1"/>
    <cacheHierarchy uniqueName="[OpenImportsStoreStock].[LocationKey]" caption="LocationKey" attribute="1" defaultMemberUniqueName="[OpenImportsStoreStock].[LocationKey].[All]" allUniqueName="[OpenImportsStoreStock].[LocationKey].[All]" dimensionUniqueName="[OpenImportsStoreStock]" displayFolder="" count="0" unbalanced="0" hidden="1"/>
    <cacheHierarchy uniqueName="[OpenImportsStoreStock].[LocationType]" caption="LocationType" attribute="1" defaultMemberUniqueName="[OpenImportsStoreStock].[LocationType].[All]" allUniqueName="[OpenImportsStoreStock].[LocationType].[All]" dimensionUniqueName="[OpenImportsStoreStock]" displayFolder="" count="0" unbalanced="0" hidden="1"/>
    <cacheHierarchy uniqueName="[OpenImportsStoreStock].[MaterialKey]" caption="MaterialKey" attribute="1" defaultMemberUniqueName="[OpenImportsStoreStock].[MaterialKey].[All]" allUniqueName="[OpenImportsStoreStock].[MaterialKey].[All]" dimensionUniqueName="[OpenImportsStoreStock]" displayFolder="" count="0" unbalanced="0" hidden="1"/>
    <cacheHierarchy uniqueName="[OpenImportsStoreStock].[OpenDeliveryStockUnit]" caption="OpenDeliveryStockUnit" attribute="1" defaultMemberUniqueName="[OpenImportsStoreStock].[OpenDeliveryStockUnit].[All]" allUniqueName="[OpenImportsStoreStock].[OpenDeliveryStockUnit].[All]" dimensionUniqueName="[OpenImportsStoreStock]" displayFolder="" count="0" unbalanced="0" hidden="1"/>
    <cacheHierarchy uniqueName="[OpenImportsStoreStock].[OpenOrderStockUnit]" caption="OpenOrderStockUnit" attribute="1" defaultMemberUniqueName="[OpenImportsStoreStock].[OpenOrderStockUnit].[All]" allUniqueName="[OpenImportsStoreStock].[OpenOrderStockUnit].[All]" dimensionUniqueName="[OpenImportsStoreStock]" displayFolder="" count="0" unbalanced="0" hidden="1"/>
    <cacheHierarchy uniqueName="[OpenImportsStoreStock].[OpenStoStockUnit]" caption="OpenStoStockUnit" attribute="1" defaultMemberUniqueName="[OpenImportsStoreStock].[OpenStoStockUnit].[All]" allUniqueName="[OpenImportsStoreStock].[OpenStoStockUnit].[All]" dimensionUniqueName="[OpenImportsStoreStock]" displayFolder="" count="0" unbalanced="0" hidden="1"/>
    <cacheHierarchy uniqueName="[OpenImportsStoreStock].[RealStockUnit]" caption="RealStockUnit" attribute="1" defaultMemberUniqueName="[OpenImportsStoreStock].[RealStockUnit].[All]" allUniqueName="[OpenImportsStoreStock].[RealStockUnit].[All]" dimensionUniqueName="[OpenImportsStoreStock]" displayFolder="" count="0" unbalanced="0" hidden="1"/>
    <cacheHierarchy uniqueName="[OpenImportsStoreStock].[SafetyStockUnit]" caption="SafetyStockUnit" attribute="1" defaultMemberUniqueName="[OpenImportsStoreStock].[SafetyStockUnit].[All]" allUniqueName="[OpenImportsStoreStock].[SafetyStockUnit].[All]" dimensionUniqueName="[OpenImportsStoreStock]" displayFolder="" count="0" unbalanced="0" hidden="1"/>
    <cacheHierarchy uniqueName="[OpenImportsStoreStock].[SalesChannelKey]" caption="SalesChannelKey" attribute="1" defaultMemberUniqueName="[OpenImportsStoreStock].[SalesChannelKey].[All]" allUniqueName="[OpenImportsStoreStock].[SalesChannelKey].[All]" dimensionUniqueName="[OpenImportsStoreStock]" displayFolder="" count="0" unbalanced="0" hidden="1"/>
    <cacheHierarchy uniqueName="[OpenImportsStoreStock].[StockListKey]" caption="StockListKey" attribute="1" defaultMemberUniqueName="[OpenImportsStoreStock].[StockListKey].[All]" allUniqueName="[OpenImportsStoreStock].[StockListKey].[All]" dimensionUniqueName="[OpenImportsStoreStock]" displayFolder="" count="0" unbalanced="0" hidden="1"/>
    <cacheHierarchy uniqueName="[PurchaseOrder].[DCSubWarehouseKey]" caption="DCSubWarehouseKey" attribute="1" defaultMemberUniqueName="[PurchaseOrder].[DCSubWarehouseKey].[All]" allUniqueName="[PurchaseOrder].[DCSubWarehouseKey].[All]" dimensionUniqueName="[PurchaseOrder]" displayFolder="" count="0" unbalanced="0" hidden="1"/>
    <cacheHierarchy uniqueName="[PurchaseOrder].[DeadLine]" caption="DeadLine" attribute="1" defaultMemberUniqueName="[PurchaseOrder].[DeadLine].[All]" allUniqueName="[PurchaseOrder].[DeadLine].[All]" dimensionUniqueName="[PurchaseOrder]" displayFolder="" count="0" unbalanced="0" hidden="1"/>
    <cacheHierarchy uniqueName="[PurchaseOrder].[DWSourceKey]" caption="DWSourceKey" attribute="1" defaultMemberUniqueName="[PurchaseOrder].[DWSourceKey].[All]" allUniqueName="[PurchaseOrder].[DWSourceKey].[All]" dimensionUniqueName="[PurchaseOrder]" displayFolder="" count="0" unbalanced="0" hidden="1"/>
    <cacheHierarchy uniqueName="[PurchaseOrder].[EstimatedExcRateLC]" caption="EstimatedExcRateLC" attribute="1" defaultMemberUniqueName="[PurchaseOrder].[EstimatedExcRateLC].[All]" allUniqueName="[PurchaseOrder].[EstimatedExcRateLC].[All]" dimensionUniqueName="[PurchaseOrder]" displayFolder="" count="0" unbalanced="0" hidden="1"/>
    <cacheHierarchy uniqueName="[PurchaseOrder].[EtlDate]" caption="EtlDate" attribute="1" defaultMemberUniqueName="[PurchaseOrder].[EtlDate].[All]" allUniqueName="[PurchaseOrder].[EtlDate].[All]" dimensionUniqueName="[PurchaseOrder]" displayFolder="" count="0" unbalanced="0" hidden="1"/>
    <cacheHierarchy uniqueName="[PurchaseOrder].[Factor]" caption="Factor" attribute="1" defaultMemberUniqueName="[PurchaseOrder].[Factor].[All]" allUniqueName="[PurchaseOrder].[Factor].[All]" dimensionUniqueName="[PurchaseOrder]" displayFolder="" count="0" unbalanced="0" hidden="1"/>
    <cacheHierarchy uniqueName="[PurchaseOrder].[GoodsReceiptDate]" caption="GoodsReceiptDate" attribute="1" defaultMemberUniqueName="[PurchaseOrder].[GoodsReceiptDate].[All]" allUniqueName="[PurchaseOrder].[GoodsReceiptDate].[All]" dimensionUniqueName="[PurchaseOrder]" displayFolder="" count="0" unbalanced="0" hidden="1"/>
    <cacheHierarchy uniqueName="[PurchaseOrder].[GoodsReceiptUnit]" caption="GoodsReceiptUnit" attribute="1" defaultMemberUniqueName="[PurchaseOrder].[GoodsReceiptUnit].[All]" allUniqueName="[PurchaseOrder].[GoodsReceiptUnit].[All]" dimensionUniqueName="[PurchaseOrder]" displayFolder="" count="0" unbalanced="0" hidden="1"/>
    <cacheHierarchy uniqueName="[PurchaseOrder].[GoodsReceiptValueLC]" caption="GoodsReceiptValueLC" attribute="1" defaultMemberUniqueName="[PurchaseOrder].[GoodsReceiptValueLC].[All]" allUniqueName="[PurchaseOrder].[GoodsReceiptValueLC].[All]" dimensionUniqueName="[PurchaseOrder]" displayFolder="" count="0" unbalanced="0" hidden="1"/>
    <cacheHierarchy uniqueName="[PurchaseOrder].[LocalCurrencyCode]" caption="LocalCurrencyCode" attribute="1" defaultMemberUniqueName="[PurchaseOrder].[LocalCurrencyCode].[All]" allUniqueName="[PurchaseOrder].[LocalCurrencyCode].[All]" dimensionUniqueName="[PurchaseOrder]" displayFolder="" count="0" unbalanced="0" hidden="1"/>
    <cacheHierarchy uniqueName="[PurchaseOrder].[MaterialKey]" caption="MaterialKey" attribute="1" defaultMemberUniqueName="[PurchaseOrder].[MaterialKey].[All]" allUniqueName="[PurchaseOrder].[MaterialKey].[All]" dimensionUniqueName="[PurchaseOrder]" displayFolder="" count="0" unbalanced="0" hidden="1"/>
    <cacheHierarchy uniqueName="[PurchaseOrder].[OrderCurrencyCode]" caption="OrderCurrencyCode" attribute="1" defaultMemberUniqueName="[PurchaseOrder].[OrderCurrencyCode].[All]" allUniqueName="[PurchaseOrder].[OrderCurrencyCode].[All]" dimensionUniqueName="[PurchaseOrder]" displayFolder="" count="0" unbalanced="0" hidden="1"/>
    <cacheHierarchy uniqueName="[PurchaseOrder].[OtherMerchantGoodsReceiptUnit]" caption="OtherMerchantGoodsReceiptUnit" attribute="1" defaultMemberUniqueName="[PurchaseOrder].[OtherMerchantGoodsReceiptUnit].[All]" allUniqueName="[PurchaseOrder].[OtherMerchantGoodsReceiptUnit].[All]" dimensionUniqueName="[PurchaseOrder]" displayFolder="" count="0" unbalanced="0" hidden="1"/>
    <cacheHierarchy uniqueName="[PurchaseOrder].[OtherMerchantGoodsReceiptValueLC]" caption="OtherMerchantGoodsReceiptValueLC" attribute="1" defaultMemberUniqueName="[PurchaseOrder].[OtherMerchantGoodsReceiptValueLC].[All]" allUniqueName="[PurchaseOrder].[OtherMerchantGoodsReceiptValueLC].[All]" dimensionUniqueName="[PurchaseOrder]" displayFolder="" count="0" unbalanced="0" hidden="1"/>
    <cacheHierarchy uniqueName="[PurchaseOrder].[OtherMerchantPendingPONetValue]" caption="OtherMerchantPendingPONetValue" attribute="1" defaultMemberUniqueName="[PurchaseOrder].[OtherMerchantPendingPONetValue].[All]" allUniqueName="[PurchaseOrder].[OtherMerchantPendingPONetValue].[All]" dimensionUniqueName="[PurchaseOrder]" displayFolder="" count="0" unbalanced="0" hidden="1"/>
    <cacheHierarchy uniqueName="[PurchaseOrder].[OtherMerchantPendingPurchaseOrderUnit]" caption="OtherMerchantPendingPurchaseOrderUnit" attribute="1" defaultMemberUniqueName="[PurchaseOrder].[OtherMerchantPendingPurchaseOrderUnit].[All]" allUniqueName="[PurchaseOrder].[OtherMerchantPendingPurchaseOrderUnit].[All]" dimensionUniqueName="[PurchaseOrder]" displayFolder="" count="0" unbalanced="0" hidden="1"/>
    <cacheHierarchy uniqueName="[PurchaseOrder].[OtherMerchantPurchaseOrderUnit]" caption="OtherMerchantPurchaseOrderUnit" attribute="1" defaultMemberUniqueName="[PurchaseOrder].[OtherMerchantPurchaseOrderUnit].[All]" allUniqueName="[PurchaseOrder].[OtherMerchantPurchaseOrderUnit].[All]" dimensionUniqueName="[PurchaseOrder]" displayFolder="" count="0" unbalanced="0" hidden="1"/>
    <cacheHierarchy uniqueName="[PurchaseOrder].[PendingPONetValue]" caption="PendingPONetValue" attribute="1" defaultMemberUniqueName="[PurchaseOrder].[PendingPONetValue].[All]" allUniqueName="[PurchaseOrder].[PendingPONetValue].[All]" dimensionUniqueName="[PurchaseOrder]" displayFolder="" count="0" unbalanced="0" hidden="1"/>
    <cacheHierarchy uniqueName="[PurchaseOrder].[PendingPurchaseOrderUnit]" caption="PendingPurchaseOrderUnit" attribute="1" defaultMemberUniqueName="[PurchaseOrder].[PendingPurchaseOrderUnit].[All]" allUniqueName="[PurchaseOrder].[PendingPurchaseOrderUnit].[All]" dimensionUniqueName="[PurchaseOrder]" displayFolder="" count="0" unbalanced="0" hidden="1"/>
    <cacheHierarchy uniqueName="[PurchaseOrder].[PONetValue]" caption="PONetValue" attribute="1" defaultMemberUniqueName="[PurchaseOrder].[PONetValue].[All]" allUniqueName="[PurchaseOrder].[PONetValue].[All]" dimensionUniqueName="[PurchaseOrder]" displayFolder="" count="0" unbalanced="0" hidden="1"/>
    <cacheHierarchy uniqueName="[PurchaseOrder].[PurchaseOrderUnit]" caption="PurchaseOrderUnit" attribute="1" defaultMemberUniqueName="[PurchaseOrder].[PurchaseOrderUnit].[All]" allUniqueName="[PurchaseOrder].[PurchaseOrderUnit].[All]" dimensionUniqueName="[PurchaseOrder]" displayFolder="" count="0" unbalanced="0" hidden="1"/>
    <cacheHierarchy uniqueName="[PurchaseOrder].[SalesChannelKey]" caption="SalesChannelKey" attribute="1" defaultMemberUniqueName="[PurchaseOrder].[SalesChannelKey].[All]" allUniqueName="[PurchaseOrder].[SalesChannelKey].[All]" dimensionUniqueName="[PurchaseOrder]" displayFolder="" count="0" unbalanced="0" hidden="1"/>
    <cacheHierarchy uniqueName="[PurchaseOrder].[UnitPrice]" caption="UnitPrice" attribute="1" defaultMemberUniqueName="[PurchaseOrder].[UnitPrice].[All]" allUniqueName="[PurchaseOrder].[UnitPrice].[All]" dimensionUniqueName="[PurchaseOrder]" displayFolder="" count="0" unbalanced="0" hidden="1"/>
    <cacheHierarchy uniqueName="[Sales].[Ly]" caption="Ly" attribute="1" defaultMemberUniqueName="[Sales].[Ly].[All]" allUniqueName="[Sales].[Ly].[All]" dimensionUniqueName="[Sales]" displayFolder="" count="0" unbalanced="0" hidden="1"/>
    <cacheHierarchy uniqueName="[Sales].[LyLFL]" caption="LyLFL" attribute="1" defaultMemberUniqueName="[Sales].[LyLFL].[All]" allUniqueName="[Sales].[LyLFL].[All]" dimensionUniqueName="[Sales]" displayFolder="" count="0" unbalanced="0" hidden="1"/>
    <cacheHierarchy uniqueName="[Sales].[MeasureBlokLY02]" caption="MeasureBlokLY02" attribute="1" defaultMemberUniqueName="[Sales].[MeasureBlokLY02].[All]" allUniqueName="[Sales].[MeasureBlokLY02].[All]" dimensionUniqueName="[Sales]" displayFolder="" count="0" unbalanced="0" hidden="1"/>
    <cacheHierarchy uniqueName="[Sales].[MeasureBlokLYLFL04]" caption="MeasureBlokLYLFL04" attribute="1" defaultMemberUniqueName="[Sales].[MeasureBlokLYLFL04].[All]" allUniqueName="[Sales].[MeasureBlokLYLFL04].[All]" dimensionUniqueName="[Sales]" displayFolder="" count="0" unbalanced="0" hidden="1"/>
    <cacheHierarchy uniqueName="[Sales].[MeasureBlokTY01]" caption="MeasureBlokTY01" attribute="1" defaultMemberUniqueName="[Sales].[MeasureBlokTY01].[All]" allUniqueName="[Sales].[MeasureBlokTY01].[All]" dimensionUniqueName="[Sales]" displayFolder="" count="0" unbalanced="0" hidden="1"/>
    <cacheHierarchy uniqueName="[Sales].[MeasureBlokTYLFL03]" caption="MeasureBlokTYLFL03" attribute="1" defaultMemberUniqueName="[Sales].[MeasureBlokTYLFL03].[All]" allUniqueName="[Sales].[MeasureBlokTYLFL03].[All]" dimensionUniqueName="[Sales]" displayFolder="" count="0" unbalanced="0" hidden="1"/>
    <cacheHierarchy uniqueName="[Sales].[MeasureGroupName]" caption="MeasureGroupName" attribute="1" defaultMemberUniqueName="[Sales].[MeasureGroupName].[All]" allUniqueName="[Sales].[MeasureGroupName].[All]" dimensionUniqueName="[Sales]" displayFolder="" count="0" unbalanced="0" hidden="1"/>
    <cacheHierarchy uniqueName="[Sales].[ProcessTime]" caption="ProcessTime" attribute="1" defaultMemberUniqueName="[Sales].[ProcessTime].[All]" allUniqueName="[Sales].[ProcessTime].[All]" dimensionUniqueName="[Sales]" displayFolder="" count="0" unbalanced="0" hidden="1"/>
    <cacheHierarchy uniqueName="[Sales].[Ty]" caption="Ty" attribute="1" defaultMemberUniqueName="[Sales].[Ty].[All]" allUniqueName="[Sales].[Ty].[All]" dimensionUniqueName="[Sales]" displayFolder="" count="0" unbalanced="0" hidden="1"/>
    <cacheHierarchy uniqueName="[Sales].[TyLfl]" caption="TyLfl" attribute="1" defaultMemberUniqueName="[Sales].[TyLfl].[All]" allUniqueName="[Sales].[TyLfl].[All]" dimensionUniqueName="[Sales]" displayFolder="" count="0" unbalanced="0" hidden="1"/>
    <cacheHierarchy uniqueName="[SalesBudget].[BudgetCost]" caption="BudgetCost" attribute="1" defaultMemberUniqueName="[SalesBudget].[BudgetCost].[All]" allUniqueName="[SalesBudget].[BudgetCost].[All]" dimensionUniqueName="[SalesBudget]" displayFolder="" count="0" unbalanced="0" hidden="1"/>
    <cacheHierarchy uniqueName="[SalesBudget].[BudgetInitialSalesPrice]" caption="BudgetInitialSalesPrice" attribute="1" defaultMemberUniqueName="[SalesBudget].[BudgetInitialSalesPrice].[All]" allUniqueName="[SalesBudget].[BudgetInitialSalesPrice].[All]" dimensionUniqueName="[SalesBudget]" displayFolder="" count="0" unbalanced="0" hidden="1"/>
    <cacheHierarchy uniqueName="[SalesBudget].[BudgetProfitValue]" caption="BudgetProfitValue" attribute="1" defaultMemberUniqueName="[SalesBudget].[BudgetProfitValue].[All]" allUniqueName="[SalesBudget].[BudgetProfitValue].[All]" dimensionUniqueName="[SalesBudget]" displayFolder="" count="0" unbalanced="0" hidden="1"/>
    <cacheHierarchy uniqueName="[SalesBudget].[BudgetUnit]" caption="BudgetUnit" attribute="1" defaultMemberUniqueName="[SalesBudget].[BudgetUnit].[All]" allUniqueName="[SalesBudget].[BudgetUnit].[All]" dimensionUniqueName="[SalesBudget]" displayFolder="" count="0" unbalanced="0" hidden="1"/>
    <cacheHierarchy uniqueName="[SalesBudget].[BudgetValue]" caption="BudgetValue" attribute="1" defaultMemberUniqueName="[SalesBudget].[BudgetValue].[All]" allUniqueName="[SalesBudget].[BudgetValue].[All]" dimensionUniqueName="[SalesBudget]" displayFolder="" count="0" unbalanced="0" hidden="1"/>
    <cacheHierarchy uniqueName="[SalesBudget].[EURExcRate]" caption="EURExcRate" attribute="1" defaultMemberUniqueName="[SalesBudget].[EURExcRate].[All]" allUniqueName="[SalesBudget].[EURExcRate].[All]" dimensionUniqueName="[SalesBudget]" displayFolder="" count="0" unbalanced="0" hidden="1"/>
    <cacheHierarchy uniqueName="[SalesBudget].[LocationCurrencyCode]" caption="LocationCurrencyCode" attribute="1" defaultMemberUniqueName="[SalesBudget].[LocationCurrencyCode].[All]" allUniqueName="[SalesBudget].[LocationCurrencyCode].[All]" dimensionUniqueName="[SalesBudget]" displayFolder="" count="0" unbalanced="0" hidden="1"/>
    <cacheHierarchy uniqueName="[SalesBudget].[LocationKey]" caption="LocationKey" attribute="1" defaultMemberUniqueName="[SalesBudget].[LocationKey].[All]" allUniqueName="[SalesBudget].[LocationKey].[All]" dimensionUniqueName="[SalesBudget]" displayFolder="" count="0" unbalanced="0" hidden="1"/>
    <cacheHierarchy uniqueName="[SalesBudget].[MaterialKey]" caption="MaterialKey" attribute="1" defaultMemberUniqueName="[SalesBudget].[MaterialKey].[All]" allUniqueName="[SalesBudget].[MaterialKey].[All]" dimensionUniqueName="[SalesBudget]" displayFolder="" count="0" unbalanced="0" hidden="1"/>
    <cacheHierarchy uniqueName="[SalesBudget].[SalesChannelKey]" caption="SalesChannelKey" attribute="1" defaultMemberUniqueName="[SalesBudget].[SalesChannelKey].[All]" allUniqueName="[SalesBudget].[SalesChannelKey].[All]" dimensionUniqueName="[SalesBudget]" displayFolder="" count="0" unbalanced="0" hidden="1"/>
    <cacheHierarchy uniqueName="[SalesBudget].[SubDistChannelCode]" caption="SubDistChannelCode" attribute="1" defaultMemberUniqueName="[SalesBudget].[SubDistChannelCode].[All]" allUniqueName="[SalesBudget].[SubDistChannelCode].[All]" dimensionUniqueName="[SalesBudget]" displayFolder="" count="0" unbalanced="0" hidden="1"/>
    <cacheHierarchy uniqueName="[SalesBudget].[SubDistChannelKey]" caption="SubDistChannelKey" attribute="1" defaultMemberUniqueName="[SalesBudget].[SubDistChannelKey].[All]" allUniqueName="[SalesBudget].[SubDistChannelKey].[All]" dimensionUniqueName="[SalesBudget]" displayFolder="" count="0" unbalanced="0" hidden="1"/>
    <cacheHierarchy uniqueName="[SalesBudget].[TRYExcRate]" caption="TRYExcRate" attribute="1" defaultMemberUniqueName="[SalesBudget].[TRYExcRate].[All]" allUniqueName="[SalesBudget].[TRYExcRate].[All]" dimensionUniqueName="[SalesBudget]" displayFolder="" count="0" unbalanced="0" hidden="1"/>
    <cacheHierarchy uniqueName="[SalesBudget].[TYDate]" caption="TYDate" attribute="1" defaultMemberUniqueName="[SalesBudget].[TYDate].[All]" allUniqueName="[SalesBudget].[TYDate].[All]" dimensionUniqueName="[SalesBudget]" displayFolder="" count="0" unbalanced="0" hidden="1"/>
    <cacheHierarchy uniqueName="[SalesBudget].[USDExcRate]" caption="USDExcRate" attribute="1" defaultMemberUniqueName="[SalesBudget].[USDExcRate].[All]" allUniqueName="[SalesBudget].[USDExcRate].[All]" dimensionUniqueName="[SalesBudget]" displayFolder="" count="0" unbalanced="0" hidden="1"/>
    <cacheHierarchy uniqueName="[SalesBudgetLY].[BudgetTypeName]" caption="BudgetTypeName" attribute="1" defaultMemberUniqueName="[SalesBudgetLY].[BudgetTypeName].[All]" allUniqueName="[SalesBudgetLY].[BudgetTypeName].[All]" dimensionUniqueName="[SalesBudgetLY]" displayFolder="" count="0" unbalanced="0" hidden="1"/>
    <cacheHierarchy uniqueName="[SalesBudgetLY].[EURExcRate]" caption="EURExcRate" attribute="1" defaultMemberUniqueName="[SalesBudgetLY].[EURExcRate].[All]" allUniqueName="[SalesBudgetLY].[EURExcRate].[All]" dimensionUniqueName="[SalesBudgetLY]" displayFolder="" count="0" unbalanced="0" hidden="1"/>
    <cacheHierarchy uniqueName="[SalesBudgetLY].[LocationCurrencyCode]" caption="LocationCurrencyCode" attribute="1" defaultMemberUniqueName="[SalesBudgetLY].[LocationCurrencyCode].[All]" allUniqueName="[SalesBudgetLY].[LocationCurrencyCode].[All]" dimensionUniqueName="[SalesBudgetLY]" displayFolder="" count="0" unbalanced="0" hidden="1"/>
    <cacheHierarchy uniqueName="[SalesBudgetLY].[LocationKey]" caption="LocationKey" attribute="1" defaultMemberUniqueName="[SalesBudgetLY].[LocationKey].[All]" allUniqueName="[SalesBudgetLY].[LocationKey].[All]" dimensionUniqueName="[SalesBudgetLY]" displayFolder="" count="0" unbalanced="0" hidden="1"/>
    <cacheHierarchy uniqueName="[SalesBudgetLY].[LYBudgetCost]" caption="LYBudgetCost" attribute="1" defaultMemberUniqueName="[SalesBudgetLY].[LYBudgetCost].[All]" allUniqueName="[SalesBudgetLY].[LYBudgetCost].[All]" dimensionUniqueName="[SalesBudgetLY]" displayFolder="" count="0" unbalanced="0" hidden="1"/>
    <cacheHierarchy uniqueName="[SalesBudgetLY].[LYBudgetInitialSalesPrice]" caption="LYBudgetInitialSalesPrice" attribute="1" defaultMemberUniqueName="[SalesBudgetLY].[LYBudgetInitialSalesPrice].[All]" allUniqueName="[SalesBudgetLY].[LYBudgetInitialSalesPrice].[All]" dimensionUniqueName="[SalesBudgetLY]" displayFolder="" count="0" unbalanced="0" hidden="1"/>
    <cacheHierarchy uniqueName="[SalesBudgetLY].[LYBudgetProfitValue]" caption="LYBudgetProfitValue" attribute="1" defaultMemberUniqueName="[SalesBudgetLY].[LYBudgetProfitValue].[All]" allUniqueName="[SalesBudgetLY].[LYBudgetProfitValue].[All]" dimensionUniqueName="[SalesBudgetLY]" displayFolder="" count="0" unbalanced="0" hidden="1"/>
    <cacheHierarchy uniqueName="[SalesBudgetLY].[LYBudgetUnit]" caption="LYBudgetUnit" attribute="1" defaultMemberUniqueName="[SalesBudgetLY].[LYBudgetUnit].[All]" allUniqueName="[SalesBudgetLY].[LYBudgetUnit].[All]" dimensionUniqueName="[SalesBudgetLY]" displayFolder="" count="0" unbalanced="0" hidden="1"/>
    <cacheHierarchy uniqueName="[SalesBudgetLY].[LYBudgetValue]" caption="LYBudgetValue" attribute="1" defaultMemberUniqueName="[SalesBudgetLY].[LYBudgetValue].[All]" allUniqueName="[SalesBudgetLY].[LYBudgetValue].[All]" dimensionUniqueName="[SalesBudgetLY]" displayFolder="" count="0" unbalanced="0" hidden="1"/>
    <cacheHierarchy uniqueName="[SalesBudgetLY].[MaterialKey]" caption="MaterialKey" attribute="1" defaultMemberUniqueName="[SalesBudgetLY].[MaterialKey].[All]" allUniqueName="[SalesBudgetLY].[MaterialKey].[All]" dimensionUniqueName="[SalesBudgetLY]" displayFolder="" count="0" unbalanced="0" hidden="1"/>
    <cacheHierarchy uniqueName="[SalesBudgetLY].[SalesChannelKey]" caption="SalesChannelKey" attribute="1" defaultMemberUniqueName="[SalesBudgetLY].[SalesChannelKey].[All]" allUniqueName="[SalesBudgetLY].[SalesChannelKey].[All]" dimensionUniqueName="[SalesBudgetLY]" displayFolder="" count="0" unbalanced="0" hidden="1"/>
    <cacheHierarchy uniqueName="[SalesBudgetLY].[SubDistChannelCode]" caption="SubDistChannelCode" attribute="1" defaultMemberUniqueName="[SalesBudgetLY].[SubDistChannelCode].[All]" allUniqueName="[SalesBudgetLY].[SubDistChannelCode].[All]" dimensionUniqueName="[SalesBudgetLY]" displayFolder="" count="0" unbalanced="0" hidden="1"/>
    <cacheHierarchy uniqueName="[SalesBudgetLY].[SubDistChannelKey]" caption="SubDistChannelKey" attribute="1" defaultMemberUniqueName="[SalesBudgetLY].[SubDistChannelKey].[All]" allUniqueName="[SalesBudgetLY].[SubDistChannelKey].[All]" dimensionUniqueName="[SalesBudgetLY]" displayFolder="" count="0" unbalanced="0" hidden="1"/>
    <cacheHierarchy uniqueName="[SalesBudgetLY].[TRYExcRate]" caption="TRYExcRate" attribute="1" defaultMemberUniqueName="[SalesBudgetLY].[TRYExcRate].[All]" allUniqueName="[SalesBudgetLY].[TRYExcRate].[All]" dimensionUniqueName="[SalesBudgetLY]" displayFolder="" count="0" unbalanced="0" hidden="1"/>
    <cacheHierarchy uniqueName="[SalesBudgetLY].[TYDate]" caption="TYDate" attribute="1" defaultMemberUniqueName="[SalesBudgetLY].[TYDate].[All]" allUniqueName="[SalesBudgetLY].[TYDate].[All]" dimensionUniqueName="[SalesBudgetLY]" displayFolder="" count="0" unbalanced="0" hidden="1"/>
    <cacheHierarchy uniqueName="[SalesBudgetLY].[USDExcRate]" caption="USDExcRate" attribute="1" defaultMemberUniqueName="[SalesBudgetLY].[USDExcRate].[All]" allUniqueName="[SalesBudgetLY].[USDExcRate].[All]" dimensionUniqueName="[SalesBudgetLY]" displayFolder="" count="0" unbalanced="0" hidden="1"/>
    <cacheHierarchy uniqueName="[SalesChannel].[CountryRank]" caption="CountryRank" attribute="1" defaultMemberUniqueName="[SalesChannel].[CountryRank].[All]" allUniqueName="[SalesChannel].[CountryRank].[All]" dimensionUniqueName="[SalesChannel]" displayFolder="" count="0" unbalanced="0" hidden="1"/>
    <cacheHierarchy uniqueName="[SalesChannel].[SalesOrgTypeRank]" caption="SalesOrgTypeRank" attribute="1" defaultMemberUniqueName="[SalesChannel].[SalesOrgTypeRank].[All]" allUniqueName="[SalesChannel].[SalesOrgTypeRank].[All]" dimensionUniqueName="[SalesChannel]" displayFolder="" count="0" unbalanced="0" hidden="1"/>
    <cacheHierarchy uniqueName="[SalesLY].[CurrentSalesPriceID]" caption="CurrentSalesPriceID" attribute="1" defaultMemberUniqueName="[SalesLY].[CurrentSalesPriceID].[All]" allUniqueName="[SalesLY].[CurrentSalesPriceID].[All]" dimensionUniqueName="[SalesLY]" displayFolder="" count="0" unbalanced="0" hidden="1"/>
    <cacheHierarchy uniqueName="[SalesLY].[InitialSalesPriceID]" caption="InitialSalesPriceID" attribute="1" defaultMemberUniqueName="[SalesLY].[InitialSalesPriceID].[All]" allUniqueName="[SalesLY].[InitialSalesPriceID].[All]" dimensionUniqueName="[SalesLY]" displayFolder="" count="0" unbalanced="0" hidden="1"/>
    <cacheHierarchy uniqueName="[SalesLY].[LFLFactor]" caption="LFLFactor" attribute="1" defaultMemberUniqueName="[SalesLY].[LFLFactor].[All]" allUniqueName="[SalesLY].[LFLFactor].[All]" dimensionUniqueName="[SalesLY]" displayFolder="" count="0" unbalanced="0" hidden="1"/>
    <cacheHierarchy uniqueName="[SalesLY].[LocationKey]" caption="LocationKey" attribute="1" defaultMemberUniqueName="[SalesLY].[LocationKey].[All]" allUniqueName="[SalesLY].[LocationKey].[All]" dimensionUniqueName="[SalesLY]" displayFolder="" count="0" unbalanced="0" hidden="1"/>
    <cacheHierarchy uniqueName="[SalesLY].[LYSalesCostLC]" caption="LYSalesCostLC" attribute="1" defaultMemberUniqueName="[SalesLY].[LYSalesCostLC].[All]" allUniqueName="[SalesLY].[LYSalesCostLC].[All]" dimensionUniqueName="[SalesLY]" displayFolder="" count="0" unbalanced="0" hidden="1"/>
    <cacheHierarchy uniqueName="[SalesLY].[LYSalesCostTRY]" caption="LYSalesCostTRY" attribute="1" defaultMemberUniqueName="[SalesLY].[LYSalesCostTRY].[All]" allUniqueName="[SalesLY].[LYSalesCostTRY].[All]" dimensionUniqueName="[SalesLY]" displayFolder="" count="0" unbalanced="0" hidden="1"/>
    <cacheHierarchy uniqueName="[SalesLY].[LYSalesCostUSD]" caption="LYSalesCostUSD" attribute="1" defaultMemberUniqueName="[SalesLY].[LYSalesCostUSD].[All]" allUniqueName="[SalesLY].[LYSalesCostUSD].[All]" dimensionUniqueName="[SalesLY]" displayFolder="" count="0" unbalanced="0" hidden="1"/>
    <cacheHierarchy uniqueName="[SalesLY].[LYSalesCostVATLC]" caption="LYSalesCostVATLC" attribute="1" defaultMemberUniqueName="[SalesLY].[LYSalesCostVATLC].[All]" allUniqueName="[SalesLY].[LYSalesCostVATLC].[All]" dimensionUniqueName="[SalesLY]" displayFolder="" count="0" unbalanced="0" hidden="1"/>
    <cacheHierarchy uniqueName="[SalesLY].[LYSalesCostVATTRY]" caption="LYSalesCostVATTRY" attribute="1" defaultMemberUniqueName="[SalesLY].[LYSalesCostVATTRY].[All]" allUniqueName="[SalesLY].[LYSalesCostVATTRY].[All]" dimensionUniqueName="[SalesLY]" displayFolder="" count="0" unbalanced="0" hidden="1"/>
    <cacheHierarchy uniqueName="[SalesLY].[LYSalesCostVATUSD]" caption="LYSalesCostVATUSD" attribute="1" defaultMemberUniqueName="[SalesLY].[LYSalesCostVATUSD].[All]" allUniqueName="[SalesLY].[LYSalesCostVATUSD].[All]" dimensionUniqueName="[SalesLY]" displayFolder="" count="0" unbalanced="0" hidden="1"/>
    <cacheHierarchy uniqueName="[SalesLY].[LYSalesDiscountValueLC]" caption="LYSalesDiscountValueLC" attribute="1" defaultMemberUniqueName="[SalesLY].[LYSalesDiscountValueLC].[All]" allUniqueName="[SalesLY].[LYSalesDiscountValueLC].[All]" dimensionUniqueName="[SalesLY]" displayFolder="" count="0" unbalanced="0" hidden="1"/>
    <cacheHierarchy uniqueName="[SalesLY].[LYSalesDiscountValueTRY]" caption="LYSalesDiscountValueTRY" attribute="1" defaultMemberUniqueName="[SalesLY].[LYSalesDiscountValueTRY].[All]" allUniqueName="[SalesLY].[LYSalesDiscountValueTRY].[All]" dimensionUniqueName="[SalesLY]" displayFolder="" count="0" unbalanced="0" hidden="1"/>
    <cacheHierarchy uniqueName="[SalesLY].[LYSalesDiscountValueUSD]" caption="LYSalesDiscountValueUSD" attribute="1" defaultMemberUniqueName="[SalesLY].[LYSalesDiscountValueUSD].[All]" allUniqueName="[SalesLY].[LYSalesDiscountValueUSD].[All]" dimensionUniqueName="[SalesLY]" displayFolder="" count="0" unbalanced="0" hidden="1"/>
    <cacheHierarchy uniqueName="[SalesLY].[LYSalesDiscountValueVATLC]" caption="LYSalesDiscountValueVATLC" attribute="1" defaultMemberUniqueName="[SalesLY].[LYSalesDiscountValueVATLC].[All]" allUniqueName="[SalesLY].[LYSalesDiscountValueVATLC].[All]" dimensionUniqueName="[SalesLY]" displayFolder="" count="0" unbalanced="0" hidden="1"/>
    <cacheHierarchy uniqueName="[SalesLY].[LYSalesDiscountValueVATTRY]" caption="LYSalesDiscountValueVATTRY" attribute="1" defaultMemberUniqueName="[SalesLY].[LYSalesDiscountValueVATTRY].[All]" allUniqueName="[SalesLY].[LYSalesDiscountValueVATTRY].[All]" dimensionUniqueName="[SalesLY]" displayFolder="" count="0" unbalanced="0" hidden="1"/>
    <cacheHierarchy uniqueName="[SalesLY].[LYSalesDiscountValueVATUSD]" caption="LYSalesDiscountValueVATUSD" attribute="1" defaultMemberUniqueName="[SalesLY].[LYSalesDiscountValueVATUSD].[All]" allUniqueName="[SalesLY].[LYSalesDiscountValueVATUSD].[All]" dimensionUniqueName="[SalesLY]" displayFolder="" count="0" unbalanced="0" hidden="1"/>
    <cacheHierarchy uniqueName="[SalesLY].[LYSalesGrossProfitLC]" caption="LYSalesGrossProfitLC" attribute="1" defaultMemberUniqueName="[SalesLY].[LYSalesGrossProfitLC].[All]" allUniqueName="[SalesLY].[LYSalesGrossProfitLC].[All]" dimensionUniqueName="[SalesLY]" displayFolder="" count="0" unbalanced="0" hidden="1"/>
    <cacheHierarchy uniqueName="[SalesLY].[LYSalesGrossProfitTRY]" caption="LYSalesGrossProfitTRY" attribute="1" defaultMemberUniqueName="[SalesLY].[LYSalesGrossProfitTRY].[All]" allUniqueName="[SalesLY].[LYSalesGrossProfitTRY].[All]" dimensionUniqueName="[SalesLY]" displayFolder="" count="0" unbalanced="0" hidden="1"/>
    <cacheHierarchy uniqueName="[SalesLY].[LYSalesGrossProfitUSD]" caption="LYSalesGrossProfitUSD" attribute="1" defaultMemberUniqueName="[SalesLY].[LYSalesGrossProfitUSD].[All]" allUniqueName="[SalesLY].[LYSalesGrossProfitUSD].[All]" dimensionUniqueName="[SalesLY]" displayFolder="" count="0" unbalanced="0" hidden="1"/>
    <cacheHierarchy uniqueName="[SalesLY].[LYSalesGrossProfitVATLC]" caption="LYSalesGrossProfitVATLC" attribute="1" defaultMemberUniqueName="[SalesLY].[LYSalesGrossProfitVATLC].[All]" allUniqueName="[SalesLY].[LYSalesGrossProfitVATLC].[All]" dimensionUniqueName="[SalesLY]" displayFolder="" count="0" unbalanced="0" hidden="1"/>
    <cacheHierarchy uniqueName="[SalesLY].[LYSalesGrossProfitVATTRY]" caption="LYSalesGrossProfitVATTRY" attribute="1" defaultMemberUniqueName="[SalesLY].[LYSalesGrossProfitVATTRY].[All]" allUniqueName="[SalesLY].[LYSalesGrossProfitVATTRY].[All]" dimensionUniqueName="[SalesLY]" displayFolder="" count="0" unbalanced="0" hidden="1"/>
    <cacheHierarchy uniqueName="[SalesLY].[LYSalesGrossProfitVATUSD]" caption="LYSalesGrossProfitVATUSD" attribute="1" defaultMemberUniqueName="[SalesLY].[LYSalesGrossProfitVATUSD].[All]" allUniqueName="[SalesLY].[LYSalesGrossProfitVATUSD].[All]" dimensionUniqueName="[SalesLY]" displayFolder="" count="0" unbalanced="0" hidden="1"/>
    <cacheHierarchy uniqueName="[SalesLY].[LYSalesUnit]" caption="LYSalesUnit" attribute="1" defaultMemberUniqueName="[SalesLY].[LYSalesUnit].[All]" allUniqueName="[SalesLY].[LYSalesUnit].[All]" dimensionUniqueName="[SalesLY]" displayFolder="" count="0" unbalanced="0" hidden="1"/>
    <cacheHierarchy uniqueName="[SalesLY].[LYSalesValueCSPLC]" caption="LYSalesValueCSPLC" attribute="1" defaultMemberUniqueName="[SalesLY].[LYSalesValueCSPLC].[All]" allUniqueName="[SalesLY].[LYSalesValueCSPLC].[All]" dimensionUniqueName="[SalesLY]" displayFolder="" count="0" unbalanced="0" hidden="1"/>
    <cacheHierarchy uniqueName="[SalesLY].[LYSalesValueCSPTRY]" caption="LYSalesValueCSPTRY" attribute="1" defaultMemberUniqueName="[SalesLY].[LYSalesValueCSPTRY].[All]" allUniqueName="[SalesLY].[LYSalesValueCSPTRY].[All]" dimensionUniqueName="[SalesLY]" displayFolder="" count="0" unbalanced="0" hidden="1"/>
    <cacheHierarchy uniqueName="[SalesLY].[LYSalesValueCSPUSD]" caption="LYSalesValueCSPUSD" attribute="1" defaultMemberUniqueName="[SalesLY].[LYSalesValueCSPUSD].[All]" allUniqueName="[SalesLY].[LYSalesValueCSPUSD].[All]" dimensionUniqueName="[SalesLY]" displayFolder="" count="0" unbalanced="0" hidden="1"/>
    <cacheHierarchy uniqueName="[SalesLY].[LYSalesValueISPLC]" caption="LYSalesValueISPLC" attribute="1" defaultMemberUniqueName="[SalesLY].[LYSalesValueISPLC].[All]" allUniqueName="[SalesLY].[LYSalesValueISPLC].[All]" dimensionUniqueName="[SalesLY]" displayFolder="" count="0" unbalanced="0" hidden="1"/>
    <cacheHierarchy uniqueName="[SalesLY].[LYSalesValueISPTRY]" caption="LYSalesValueISPTRY" attribute="1" defaultMemberUniqueName="[SalesLY].[LYSalesValueISPTRY].[All]" allUniqueName="[SalesLY].[LYSalesValueISPTRY].[All]" dimensionUniqueName="[SalesLY]" displayFolder="" count="0" unbalanced="0" hidden="1"/>
    <cacheHierarchy uniqueName="[SalesLY].[LYSalesValueISPUSD]" caption="LYSalesValueISPUSD" attribute="1" defaultMemberUniqueName="[SalesLY].[LYSalesValueISPUSD].[All]" allUniqueName="[SalesLY].[LYSalesValueISPUSD].[All]" dimensionUniqueName="[SalesLY]" displayFolder="" count="0" unbalanced="0" hidden="1"/>
    <cacheHierarchy uniqueName="[SalesLY].[LYSalesValueLC]" caption="LYSalesValueLC" attribute="1" defaultMemberUniqueName="[SalesLY].[LYSalesValueLC].[All]" allUniqueName="[SalesLY].[LYSalesValueLC].[All]" dimensionUniqueName="[SalesLY]" displayFolder="" count="0" unbalanced="0" hidden="1"/>
    <cacheHierarchy uniqueName="[SalesLY].[LYSalesValueTRY]" caption="LYSalesValueTRY" attribute="1" defaultMemberUniqueName="[SalesLY].[LYSalesValueTRY].[All]" allUniqueName="[SalesLY].[LYSalesValueTRY].[All]" dimensionUniqueName="[SalesLY]" displayFolder="" count="0" unbalanced="0" hidden="1"/>
    <cacheHierarchy uniqueName="[SalesLY].[LYSalesValueUSD]" caption="LYSalesValueUSD" attribute="1" defaultMemberUniqueName="[SalesLY].[LYSalesValueUSD].[All]" allUniqueName="[SalesLY].[LYSalesValueUSD].[All]" dimensionUniqueName="[SalesLY]" displayFolder="" count="0" unbalanced="0" hidden="1"/>
    <cacheHierarchy uniqueName="[SalesLY].[LYSalesValueVATCSPLC]" caption="LYSalesValueVATCSPLC" attribute="1" defaultMemberUniqueName="[SalesLY].[LYSalesValueVATCSPLC].[All]" allUniqueName="[SalesLY].[LYSalesValueVATCSPLC].[All]" dimensionUniqueName="[SalesLY]" displayFolder="" count="0" unbalanced="0" hidden="1"/>
    <cacheHierarchy uniqueName="[SalesLY].[LYSalesValueVATCSPTRY]" caption="LYSalesValueVATCSPTRY" attribute="1" defaultMemberUniqueName="[SalesLY].[LYSalesValueVATCSPTRY].[All]" allUniqueName="[SalesLY].[LYSalesValueVATCSPTRY].[All]" dimensionUniqueName="[SalesLY]" displayFolder="" count="0" unbalanced="0" hidden="1"/>
    <cacheHierarchy uniqueName="[SalesLY].[LYSalesValueVATCSPUSD]" caption="LYSalesValueVATCSPUSD" attribute="1" defaultMemberUniqueName="[SalesLY].[LYSalesValueVATCSPUSD].[All]" allUniqueName="[SalesLY].[LYSalesValueVATCSPUSD].[All]" dimensionUniqueName="[SalesLY]" displayFolder="" count="0" unbalanced="0" hidden="1"/>
    <cacheHierarchy uniqueName="[SalesLY].[LYSalesValueVATISPLC]" caption="LYSalesValueVATISPLC" attribute="1" defaultMemberUniqueName="[SalesLY].[LYSalesValueVATISPLC].[All]" allUniqueName="[SalesLY].[LYSalesValueVATISPLC].[All]" dimensionUniqueName="[SalesLY]" displayFolder="" count="0" unbalanced="0" hidden="1"/>
    <cacheHierarchy uniqueName="[SalesLY].[LYSalesValueVATISPTRY]" caption="LYSalesValueVATISPTRY" attribute="1" defaultMemberUniqueName="[SalesLY].[LYSalesValueVATISPTRY].[All]" allUniqueName="[SalesLY].[LYSalesValueVATISPTRY].[All]" dimensionUniqueName="[SalesLY]" displayFolder="" count="0" unbalanced="0" hidden="1"/>
    <cacheHierarchy uniqueName="[SalesLY].[LYSalesValueVATISPUSD]" caption="LYSalesValueVATISPUSD" attribute="1" defaultMemberUniqueName="[SalesLY].[LYSalesValueVATISPUSD].[All]" allUniqueName="[SalesLY].[LYSalesValueVATISPUSD].[All]" dimensionUniqueName="[SalesLY]" displayFolder="" count="0" unbalanced="0" hidden="1"/>
    <cacheHierarchy uniqueName="[SalesLY].[LYSalesValueVATLC]" caption="LYSalesValueVATLC" attribute="1" defaultMemberUniqueName="[SalesLY].[LYSalesValueVATLC].[All]" allUniqueName="[SalesLY].[LYSalesValueVATLC].[All]" dimensionUniqueName="[SalesLY]" displayFolder="" count="0" unbalanced="0" hidden="1"/>
    <cacheHierarchy uniqueName="[SalesLY].[LYSalesValueVATTRY]" caption="LYSalesValueVATTRY" attribute="1" defaultMemberUniqueName="[SalesLY].[LYSalesValueVATTRY].[All]" allUniqueName="[SalesLY].[LYSalesValueVATTRY].[All]" dimensionUniqueName="[SalesLY]" displayFolder="" count="0" unbalanced="0" hidden="1"/>
    <cacheHierarchy uniqueName="[SalesLY].[LYSalesValueVATUSD]" caption="LYSalesValueVATUSD" attribute="1" defaultMemberUniqueName="[SalesLY].[LYSalesValueVATUSD].[All]" allUniqueName="[SalesLY].[LYSalesValueVATUSD].[All]" dimensionUniqueName="[SalesLY]" displayFolder="" count="0" unbalanced="0" hidden="1"/>
    <cacheHierarchy uniqueName="[SalesLY].[MaterialKey]" caption="MaterialKey" attribute="1" defaultMemberUniqueName="[SalesLY].[MaterialKey].[All]" allUniqueName="[SalesLY].[MaterialKey].[All]" dimensionUniqueName="[SalesLY]" displayFolder="" count="0" unbalanced="0" hidden="1"/>
    <cacheHierarchy uniqueName="[SalesLY].[OutletID]" caption="OutletID" attribute="1" defaultMemberUniqueName="[SalesLY].[OutletID].[All]" allUniqueName="[SalesLY].[OutletID].[All]" dimensionUniqueName="[SalesLY]" displayFolder="" count="0" unbalanced="0" hidden="1"/>
    <cacheHierarchy uniqueName="[SalesLY].[SalesChannelKey]" caption="SalesChannelKey" attribute="1" defaultMemberUniqueName="[SalesLY].[SalesChannelKey].[All]" allUniqueName="[SalesLY].[SalesChannelKey].[All]" dimensionUniqueName="[SalesLY]" displayFolder="" count="0" unbalanced="0" hidden="1"/>
    <cacheHierarchy uniqueName="[SalesLY].[SalesHour]" caption="SalesHour" attribute="1" defaultMemberUniqueName="[SalesLY].[SalesHour].[All]" allUniqueName="[SalesLY].[SalesHour].[All]" dimensionUniqueName="[SalesLY]" displayFolder="" count="0" unbalanced="0" hidden="1"/>
    <cacheHierarchy uniqueName="[SalesLY].[SalesInvoiceItem]" caption="SalesInvoiceItem" attribute="1" defaultMemberUniqueName="[SalesLY].[SalesInvoiceItem].[All]" allUniqueName="[SalesLY].[SalesInvoiceItem].[All]" dimensionUniqueName="[SalesLY]" displayFolder="" count="0" unbalanced="0" hidden="1"/>
    <cacheHierarchy uniqueName="[SalesLY].[SalesInvoiceNumber]" caption="SalesInvoiceNumber" attribute="1" defaultMemberUniqueName="[SalesLY].[SalesInvoiceNumber].[All]" allUniqueName="[SalesLY].[SalesInvoiceNumber].[All]" dimensionUniqueName="[SalesLY]" displayFolder="" count="0" unbalanced="0" hidden="1"/>
    <cacheHierarchy uniqueName="[SalesLY].[SalesSeasonID]" caption="SalesSeasonID" attribute="1" defaultMemberUniqueName="[SalesLY].[SalesSeasonID].[All]" allUniqueName="[SalesLY].[SalesSeasonID].[All]" dimensionUniqueName="[SalesLY]" displayFolder="" count="0" unbalanced="0" hidden="1"/>
    <cacheHierarchy uniqueName="[SalesLY].[SalesType]" caption="SalesType" attribute="1" defaultMemberUniqueName="[SalesLY].[SalesType].[All]" allUniqueName="[SalesLY].[SalesType].[All]" dimensionUniqueName="[SalesLY]" displayFolder="" count="0" unbalanced="0" hidden="1"/>
    <cacheHierarchy uniqueName="[SalesLY].[SalesUOM]" caption="SalesUOM" attribute="1" defaultMemberUniqueName="[SalesLY].[SalesUOM].[All]" allUniqueName="[SalesLY].[SalesUOM].[All]" dimensionUniqueName="[SalesLY]" displayFolder="" count="0" unbalanced="0" hidden="1"/>
    <cacheHierarchy uniqueName="[SalesLY].[SubDistChannelKey]" caption="SubDistChannelKey" attribute="1" defaultMemberUniqueName="[SalesLY].[SubDistChannelKey].[All]" allUniqueName="[SalesLY].[SubDistChannelKey].[All]" dimensionUniqueName="[SalesLY]" displayFolder="" count="0" unbalanced="0" hidden="1"/>
    <cacheHierarchy uniqueName="[SalesLY].[TYDate]" caption="TYDate" attribute="1" defaultMemberUniqueName="[SalesLY].[TYDate].[All]" allUniqueName="[SalesLY].[TYDate].[All]" dimensionUniqueName="[SalesLY]" displayFolder="" count="0" unbalanced="0" hidden="1"/>
    <cacheHierarchy uniqueName="[SalesTY].[CurrentSalesPriceID]" caption="CurrentSalesPriceID" attribute="1" defaultMemberUniqueName="[SalesTY].[CurrentSalesPriceID].[All]" allUniqueName="[SalesTY].[CurrentSalesPriceID].[All]" dimensionUniqueName="[SalesTY]" displayFolder="" count="0" unbalanced="0" hidden="1"/>
    <cacheHierarchy uniqueName="[SalesTY].[CustomerCode]" caption="CustomerCode" attribute="1" defaultMemberUniqueName="[SalesTY].[CustomerCode].[All]" allUniqueName="[SalesTY].[CustomerCode].[All]" dimensionUniqueName="[SalesTY]" displayFolder="" count="0" unbalanced="0" hidden="1"/>
    <cacheHierarchy uniqueName="[SalesTY].[InitialSalesPriceID]" caption="InitialSalesPriceID" attribute="1" defaultMemberUniqueName="[SalesTY].[InitialSalesPriceID].[All]" allUniqueName="[SalesTY].[InitialSalesPriceID].[All]" dimensionUniqueName="[SalesTY]" displayFolder="" count="0" unbalanced="0" hidden="1"/>
    <cacheHierarchy uniqueName="[SalesTY].[LFLFactor]" caption="LFLFactor" attribute="1" defaultMemberUniqueName="[SalesTY].[LFLFactor].[All]" allUniqueName="[SalesTY].[LFLFactor].[All]" dimensionUniqueName="[SalesTY]" displayFolder="" count="0" unbalanced="0" hidden="1"/>
    <cacheHierarchy uniqueName="[SalesTY].[LocationKey]" caption="LocationKey" attribute="1" defaultMemberUniqueName="[SalesTY].[LocationKey].[All]" allUniqueName="[SalesTY].[LocationKey].[All]" dimensionUniqueName="[SalesTY]" displayFolder="" count="0" unbalanced="0" hidden="1"/>
    <cacheHierarchy uniqueName="[SalesTY].[MaterialKey]" caption="MaterialKey" attribute="1" defaultMemberUniqueName="[SalesTY].[MaterialKey].[All]" allUniqueName="[SalesTY].[MaterialKey].[All]" dimensionUniqueName="[SalesTY]" displayFolder="" count="0" unbalanced="0" hidden="1"/>
    <cacheHierarchy uniqueName="[SalesTY].[OutletID]" caption="OutletID" attribute="1" defaultMemberUniqueName="[SalesTY].[OutletID].[All]" allUniqueName="[SalesTY].[OutletID].[All]" dimensionUniqueName="[SalesTY]" displayFolder="" count="0" unbalanced="0" hidden="1"/>
    <cacheHierarchy uniqueName="[SalesTY].[SalesChannelKey]" caption="SalesChannelKey" attribute="1" defaultMemberUniqueName="[SalesTY].[SalesChannelKey].[All]" allUniqueName="[SalesTY].[SalesChannelKey].[All]" dimensionUniqueName="[SalesTY]" displayFolder="" count="0" unbalanced="0" hidden="1"/>
    <cacheHierarchy uniqueName="[SalesTY].[SalesDate]" caption="SalesDate" attribute="1" defaultMemberUniqueName="[SalesTY].[SalesDate].[All]" allUniqueName="[SalesTY].[SalesDate].[All]" dimensionUniqueName="[SalesTY]" displayFolder="" count="0" unbalanced="0" hidden="1"/>
    <cacheHierarchy uniqueName="[SalesTY].[SalesHour]" caption="SalesHour" attribute="1" defaultMemberUniqueName="[SalesTY].[SalesHour].[All]" allUniqueName="[SalesTY].[SalesHour].[All]" dimensionUniqueName="[SalesTY]" displayFolder="" count="0" unbalanced="0" hidden="1"/>
    <cacheHierarchy uniqueName="[SalesTY].[SalesInvoiceItem]" caption="SalesInvoiceItem" attribute="1" defaultMemberUniqueName="[SalesTY].[SalesInvoiceItem].[All]" allUniqueName="[SalesTY].[SalesInvoiceItem].[All]" dimensionUniqueName="[SalesTY]" displayFolder="" count="0" unbalanced="0" hidden="1"/>
    <cacheHierarchy uniqueName="[SalesTY].[SalesInvoiceNumber]" caption="SalesInvoiceNumber" attribute="1" defaultMemberUniqueName="[SalesTY].[SalesInvoiceNumber].[All]" allUniqueName="[SalesTY].[SalesInvoiceNumber].[All]" dimensionUniqueName="[SalesTY]" displayFolder="" count="0" unbalanced="0" hidden="1"/>
    <cacheHierarchy uniqueName="[SalesTY].[SalesSeasonID]" caption="SalesSeasonID" attribute="1" defaultMemberUniqueName="[SalesTY].[SalesSeasonID].[All]" allUniqueName="[SalesTY].[SalesSeasonID].[All]" dimensionUniqueName="[SalesTY]" displayFolder="" count="0" unbalanced="0" hidden="1"/>
    <cacheHierarchy uniqueName="[SalesTY].[SalesType]" caption="SalesType" attribute="1" defaultMemberUniqueName="[SalesTY].[SalesType].[All]" allUniqueName="[SalesTY].[SalesType].[All]" dimensionUniqueName="[SalesTY]" displayFolder="" count="0" unbalanced="0" hidden="1"/>
    <cacheHierarchy uniqueName="[SalesTY].[SalesUOM]" caption="SalesUOM" attribute="1" defaultMemberUniqueName="[SalesTY].[SalesUOM].[All]" allUniqueName="[SalesTY].[SalesUOM].[All]" dimensionUniqueName="[SalesTY]" displayFolder="" count="0" unbalanced="0" hidden="1"/>
    <cacheHierarchy uniqueName="[SalesTY].[SubDistChannelKey]" caption="SubDistChannelKey" attribute="1" defaultMemberUniqueName="[SalesTY].[SubDistChannelKey].[All]" allUniqueName="[SalesTY].[SubDistChannelKey].[All]" dimensionUniqueName="[SalesTY]" displayFolder="" count="0" unbalanced="0" hidden="1"/>
    <cacheHierarchy uniqueName="[SalesTY].[TYSalesCostLC]" caption="TYSalesCostLC" attribute="1" defaultMemberUniqueName="[SalesTY].[TYSalesCostLC].[All]" allUniqueName="[SalesTY].[TYSalesCostLC].[All]" dimensionUniqueName="[SalesTY]" displayFolder="" count="0" unbalanced="0" hidden="1"/>
    <cacheHierarchy uniqueName="[SalesTY].[TYSalesCostLC_Orj]" caption="TYSalesCostLC_Orj" attribute="1" defaultMemberUniqueName="[SalesTY].[TYSalesCostLC_Orj].[All]" allUniqueName="[SalesTY].[TYSalesCostLC_Orj].[All]" dimensionUniqueName="[SalesTY]" displayFolder="" count="0" unbalanced="0" hidden="1"/>
    <cacheHierarchy uniqueName="[SalesTY].[TYSalesCostTRY]" caption="TYSalesCostTRY" attribute="1" defaultMemberUniqueName="[SalesTY].[TYSalesCostTRY].[All]" allUniqueName="[SalesTY].[TYSalesCostTRY].[All]" dimensionUniqueName="[SalesTY]" displayFolder="" count="0" unbalanced="0" hidden="1"/>
    <cacheHierarchy uniqueName="[SalesTY].[TYSalesCostUSD]" caption="TYSalesCostUSD" attribute="1" defaultMemberUniqueName="[SalesTY].[TYSalesCostUSD].[All]" allUniqueName="[SalesTY].[TYSalesCostUSD].[All]" dimensionUniqueName="[SalesTY]" displayFolder="" count="0" unbalanced="0" hidden="1"/>
    <cacheHierarchy uniqueName="[SalesTY].[TYSalesCostVATLC]" caption="TYSalesCostVATLC" attribute="1" defaultMemberUniqueName="[SalesTY].[TYSalesCostVATLC].[All]" allUniqueName="[SalesTY].[TYSalesCostVATLC].[All]" dimensionUniqueName="[SalesTY]" displayFolder="" count="0" unbalanced="0" hidden="1"/>
    <cacheHierarchy uniqueName="[SalesTY].[TYSalesCostVATTRY]" caption="TYSalesCostVATTRY" attribute="1" defaultMemberUniqueName="[SalesTY].[TYSalesCostVATTRY].[All]" allUniqueName="[SalesTY].[TYSalesCostVATTRY].[All]" dimensionUniqueName="[SalesTY]" displayFolder="" count="0" unbalanced="0" hidden="1"/>
    <cacheHierarchy uniqueName="[SalesTY].[TYSalesCostVATUSD]" caption="TYSalesCostVATUSD" attribute="1" defaultMemberUniqueName="[SalesTY].[TYSalesCostVATUSD].[All]" allUniqueName="[SalesTY].[TYSalesCostVATUSD].[All]" dimensionUniqueName="[SalesTY]" displayFolder="" count="0" unbalanced="0" hidden="1"/>
    <cacheHierarchy uniqueName="[SalesTY].[TYSalesDiscountValueLC]" caption="TYSalesDiscountValueLC" attribute="1" defaultMemberUniqueName="[SalesTY].[TYSalesDiscountValueLC].[All]" allUniqueName="[SalesTY].[TYSalesDiscountValueLC].[All]" dimensionUniqueName="[SalesTY]" displayFolder="" count="0" unbalanced="0" hidden="1"/>
    <cacheHierarchy uniqueName="[SalesTY].[TYSalesDiscountValueTRY]" caption="TYSalesDiscountValueTRY" attribute="1" defaultMemberUniqueName="[SalesTY].[TYSalesDiscountValueTRY].[All]" allUniqueName="[SalesTY].[TYSalesDiscountValueTRY].[All]" dimensionUniqueName="[SalesTY]" displayFolder="" count="0" unbalanced="0" hidden="1"/>
    <cacheHierarchy uniqueName="[SalesTY].[TYSalesDiscountValueUSD]" caption="TYSalesDiscountValueUSD" attribute="1" defaultMemberUniqueName="[SalesTY].[TYSalesDiscountValueUSD].[All]" allUniqueName="[SalesTY].[TYSalesDiscountValueUSD].[All]" dimensionUniqueName="[SalesTY]" displayFolder="" count="0" unbalanced="0" hidden="1"/>
    <cacheHierarchy uniqueName="[SalesTY].[TYSalesDiscountValueVATLC]" caption="TYSalesDiscountValueVATLC" attribute="1" defaultMemberUniqueName="[SalesTY].[TYSalesDiscountValueVATLC].[All]" allUniqueName="[SalesTY].[TYSalesDiscountValueVATLC].[All]" dimensionUniqueName="[SalesTY]" displayFolder="" count="0" unbalanced="0" hidden="1"/>
    <cacheHierarchy uniqueName="[SalesTY].[TYSalesDiscountValueVATTRY]" caption="TYSalesDiscountValueVATTRY" attribute="1" defaultMemberUniqueName="[SalesTY].[TYSalesDiscountValueVATTRY].[All]" allUniqueName="[SalesTY].[TYSalesDiscountValueVATTRY].[All]" dimensionUniqueName="[SalesTY]" displayFolder="" count="0" unbalanced="0" hidden="1"/>
    <cacheHierarchy uniqueName="[SalesTY].[TYSalesDiscountValueVATUSD]" caption="TYSalesDiscountValueVATUSD" attribute="1" defaultMemberUniqueName="[SalesTY].[TYSalesDiscountValueVATUSD].[All]" allUniqueName="[SalesTY].[TYSalesDiscountValueVATUSD].[All]" dimensionUniqueName="[SalesTY]" displayFolder="" count="0" unbalanced="0" hidden="1"/>
    <cacheHierarchy uniqueName="[SalesTY].[TYSalesGrossProfitLC]" caption="TYSalesGrossProfitLC" attribute="1" defaultMemberUniqueName="[SalesTY].[TYSalesGrossProfitLC].[All]" allUniqueName="[SalesTY].[TYSalesGrossProfitLC].[All]" dimensionUniqueName="[SalesTY]" displayFolder="" count="0" unbalanced="0" hidden="1"/>
    <cacheHierarchy uniqueName="[SalesTY].[TYSalesGrossProfitTRY]" caption="TYSalesGrossProfitTRY" attribute="1" defaultMemberUniqueName="[SalesTY].[TYSalesGrossProfitTRY].[All]" allUniqueName="[SalesTY].[TYSalesGrossProfitTRY].[All]" dimensionUniqueName="[SalesTY]" displayFolder="" count="0" unbalanced="0" hidden="1"/>
    <cacheHierarchy uniqueName="[SalesTY].[TYSalesGrossProfitUSD]" caption="TYSalesGrossProfitUSD" attribute="1" defaultMemberUniqueName="[SalesTY].[TYSalesGrossProfitUSD].[All]" allUniqueName="[SalesTY].[TYSalesGrossProfitUSD].[All]" dimensionUniqueName="[SalesTY]" displayFolder="" count="0" unbalanced="0" hidden="1"/>
    <cacheHierarchy uniqueName="[SalesTY].[TYSalesGrossProfitVATLC]" caption="TYSalesGrossProfitVATLC" attribute="1" defaultMemberUniqueName="[SalesTY].[TYSalesGrossProfitVATLC].[All]" allUniqueName="[SalesTY].[TYSalesGrossProfitVATLC].[All]" dimensionUniqueName="[SalesTY]" displayFolder="" count="0" unbalanced="0" hidden="1"/>
    <cacheHierarchy uniqueName="[SalesTY].[TYSalesGrossProfitVATTRY]" caption="TYSalesGrossProfitVATTRY" attribute="1" defaultMemberUniqueName="[SalesTY].[TYSalesGrossProfitVATTRY].[All]" allUniqueName="[SalesTY].[TYSalesGrossProfitVATTRY].[All]" dimensionUniqueName="[SalesTY]" displayFolder="" count="0" unbalanced="0" hidden="1"/>
    <cacheHierarchy uniqueName="[SalesTY].[TYSalesGrossProfitVATUSD]" caption="TYSalesGrossProfitVATUSD" attribute="1" defaultMemberUniqueName="[SalesTY].[TYSalesGrossProfitVATUSD].[All]" allUniqueName="[SalesTY].[TYSalesGrossProfitVATUSD].[All]" dimensionUniqueName="[SalesTY]" displayFolder="" count="0" unbalanced="0" hidden="1"/>
    <cacheHierarchy uniqueName="[SalesTY].[TYSalesUnit]" caption="TYSalesUnit" attribute="1" defaultMemberUniqueName="[SalesTY].[TYSalesUnit].[All]" allUniqueName="[SalesTY].[TYSalesUnit].[All]" dimensionUniqueName="[SalesTY]" displayFolder="" count="0" unbalanced="0" hidden="1"/>
    <cacheHierarchy uniqueName="[SalesTY].[TYSalesValueCSPLC]" caption="TYSalesValueCSPLC" attribute="1" defaultMemberUniqueName="[SalesTY].[TYSalesValueCSPLC].[All]" allUniqueName="[SalesTY].[TYSalesValueCSPLC].[All]" dimensionUniqueName="[SalesTY]" displayFolder="" count="0" unbalanced="0" hidden="1"/>
    <cacheHierarchy uniqueName="[SalesTY].[TYSalesValueCSPTRY]" caption="TYSalesValueCSPTRY" attribute="1" defaultMemberUniqueName="[SalesTY].[TYSalesValueCSPTRY].[All]" allUniqueName="[SalesTY].[TYSalesValueCSPTRY].[All]" dimensionUniqueName="[SalesTY]" displayFolder="" count="0" unbalanced="0" hidden="1"/>
    <cacheHierarchy uniqueName="[SalesTY].[TYSalesValueCSPUSD]" caption="TYSalesValueCSPUSD" attribute="1" defaultMemberUniqueName="[SalesTY].[TYSalesValueCSPUSD].[All]" allUniqueName="[SalesTY].[TYSalesValueCSPUSD].[All]" dimensionUniqueName="[SalesTY]" displayFolder="" count="0" unbalanced="0" hidden="1"/>
    <cacheHierarchy uniqueName="[SalesTY].[TYSalesValueISPLC]" caption="TYSalesValueISPLC" attribute="1" defaultMemberUniqueName="[SalesTY].[TYSalesValueISPLC].[All]" allUniqueName="[SalesTY].[TYSalesValueISPLC].[All]" dimensionUniqueName="[SalesTY]" displayFolder="" count="0" unbalanced="0" hidden="1"/>
    <cacheHierarchy uniqueName="[SalesTY].[TYSalesValueISPTRY]" caption="TYSalesValueISPTRY" attribute="1" defaultMemberUniqueName="[SalesTY].[TYSalesValueISPTRY].[All]" allUniqueName="[SalesTY].[TYSalesValueISPTRY].[All]" dimensionUniqueName="[SalesTY]" displayFolder="" count="0" unbalanced="0" hidden="1"/>
    <cacheHierarchy uniqueName="[SalesTY].[TYSalesValueISPUSD]" caption="TYSalesValueISPUSD" attribute="1" defaultMemberUniqueName="[SalesTY].[TYSalesValueISPUSD].[All]" allUniqueName="[SalesTY].[TYSalesValueISPUSD].[All]" dimensionUniqueName="[SalesTY]" displayFolder="" count="0" unbalanced="0" hidden="1"/>
    <cacheHierarchy uniqueName="[SalesTY].[TYSalesValueLC]" caption="TYSalesValueLC" attribute="1" defaultMemberUniqueName="[SalesTY].[TYSalesValueLC].[All]" allUniqueName="[SalesTY].[TYSalesValueLC].[All]" dimensionUniqueName="[SalesTY]" displayFolder="" count="0" unbalanced="0" hidden="1"/>
    <cacheHierarchy uniqueName="[SalesTY].[TYSalesValueTRY]" caption="TYSalesValueTRY" attribute="1" defaultMemberUniqueName="[SalesTY].[TYSalesValueTRY].[All]" allUniqueName="[SalesTY].[TYSalesValueTRY].[All]" dimensionUniqueName="[SalesTY]" displayFolder="" count="0" unbalanced="0" hidden="1"/>
    <cacheHierarchy uniqueName="[SalesTY].[TYSalesValueUSD]" caption="TYSalesValueUSD" attribute="1" defaultMemberUniqueName="[SalesTY].[TYSalesValueUSD].[All]" allUniqueName="[SalesTY].[TYSalesValueUSD].[All]" dimensionUniqueName="[SalesTY]" displayFolder="" count="0" unbalanced="0" hidden="1"/>
    <cacheHierarchy uniqueName="[SalesTY].[TYSalesValueVATCSPLC]" caption="TYSalesValueVATCSPLC" attribute="1" defaultMemberUniqueName="[SalesTY].[TYSalesValueVATCSPLC].[All]" allUniqueName="[SalesTY].[TYSalesValueVATCSPLC].[All]" dimensionUniqueName="[SalesTY]" displayFolder="" count="0" unbalanced="0" hidden="1"/>
    <cacheHierarchy uniqueName="[SalesTY].[TYSalesValueVATCSPTRY]" caption="TYSalesValueVATCSPTRY" attribute="1" defaultMemberUniqueName="[SalesTY].[TYSalesValueVATCSPTRY].[All]" allUniqueName="[SalesTY].[TYSalesValueVATCSPTRY].[All]" dimensionUniqueName="[SalesTY]" displayFolder="" count="0" unbalanced="0" hidden="1"/>
    <cacheHierarchy uniqueName="[SalesTY].[TYSalesValueVATCSPUSD]" caption="TYSalesValueVATCSPUSD" attribute="1" defaultMemberUniqueName="[SalesTY].[TYSalesValueVATCSPUSD].[All]" allUniqueName="[SalesTY].[TYSalesValueVATCSPUSD].[All]" dimensionUniqueName="[SalesTY]" displayFolder="" count="0" unbalanced="0" hidden="1"/>
    <cacheHierarchy uniqueName="[SalesTY].[TYSalesValueVATISPLC]" caption="TYSalesValueVATISPLC" attribute="1" defaultMemberUniqueName="[SalesTY].[TYSalesValueVATISPLC].[All]" allUniqueName="[SalesTY].[TYSalesValueVATISPLC].[All]" dimensionUniqueName="[SalesTY]" displayFolder="" count="0" unbalanced="0" hidden="1"/>
    <cacheHierarchy uniqueName="[SalesTY].[TYSalesValueVATISPTRY]" caption="TYSalesValueVATISPTRY" attribute="1" defaultMemberUniqueName="[SalesTY].[TYSalesValueVATISPTRY].[All]" allUniqueName="[SalesTY].[TYSalesValueVATISPTRY].[All]" dimensionUniqueName="[SalesTY]" displayFolder="" count="0" unbalanced="0" hidden="1"/>
    <cacheHierarchy uniqueName="[SalesTY].[TYSalesValueVATISPUSD]" caption="TYSalesValueVATISPUSD" attribute="1" defaultMemberUniqueName="[SalesTY].[TYSalesValueVATISPUSD].[All]" allUniqueName="[SalesTY].[TYSalesValueVATISPUSD].[All]" dimensionUniqueName="[SalesTY]" displayFolder="" count="0" unbalanced="0" hidden="1"/>
    <cacheHierarchy uniqueName="[SalesTY].[TYSalesValueVATLC]" caption="TYSalesValueVATLC" attribute="1" defaultMemberUniqueName="[SalesTY].[TYSalesValueVATLC].[All]" allUniqueName="[SalesTY].[TYSalesValueVATLC].[All]" dimensionUniqueName="[SalesTY]" displayFolder="" count="0" unbalanced="0" hidden="1"/>
    <cacheHierarchy uniqueName="[SalesTY].[TYSalesValueVATTRY]" caption="TYSalesValueVATTRY" attribute="1" defaultMemberUniqueName="[SalesTY].[TYSalesValueVATTRY].[All]" allUniqueName="[SalesTY].[TYSalesValueVATTRY].[All]" dimensionUniqueName="[SalesTY]" displayFolder="" count="0" unbalanced="0" hidden="1"/>
    <cacheHierarchy uniqueName="[SalesTY].[TYSalesValueVATUSD]" caption="TYSalesValueVATUSD" attribute="1" defaultMemberUniqueName="[SalesTY].[TYSalesValueVATUSD].[All]" allUniqueName="[SalesTY].[TYSalesValueVATUSD].[All]" dimensionUniqueName="[SalesTY]" displayFolder="" count="0" unbalanced="0" hidden="1"/>
    <cacheHierarchy uniqueName="[StockDC].[CompanyUnitCost]" caption="CompanyUnitCost" attribute="1" defaultMemberUniqueName="[StockDC].[CompanyUnitCost].[All]" allUniqueName="[StockDC].[CompanyUnitCost].[All]" dimensionUniqueName="[StockDC]" displayFolder="" count="0" unbalanced="0" hidden="1"/>
    <cacheHierarchy uniqueName="[StockDC].[EURExcRate]" caption="EURExcRate" attribute="1" defaultMemberUniqueName="[StockDC].[EURExcRate].[All]" allUniqueName="[StockDC].[EURExcRate].[All]" dimensionUniqueName="[StockDC]" displayFolder="" count="0" unbalanced="0" hidden="1"/>
    <cacheHierarchy uniqueName="[StockDC].[InitialSalesPriceID]" caption="InitialSalesPriceID" attribute="1" defaultMemberUniqueName="[StockDC].[InitialSalesPriceID].[All]" allUniqueName="[StockDC].[InitialSalesPriceID].[All]" dimensionUniqueName="[StockDC]" displayFolder="" count="0" unbalanced="0" hidden="1"/>
    <cacheHierarchy uniqueName="[StockDC].[LCExcRate]" caption="LCExcRate" attribute="1" defaultMemberUniqueName="[StockDC].[LCExcRate].[All]" allUniqueName="[StockDC].[LCExcRate].[All]" dimensionUniqueName="[StockDC]" displayFolder="" count="0" unbalanced="0" hidden="1"/>
    <cacheHierarchy uniqueName="[StockDC].[LFLFactor]" caption="LFLFactor" attribute="1" defaultMemberUniqueName="[StockDC].[LFLFactor].[All]" allUniqueName="[StockDC].[LFLFactor].[All]" dimensionUniqueName="[StockDC]" displayFolder="" count="0" unbalanced="0" hidden="1"/>
    <cacheHierarchy uniqueName="[StockDC].[MaterialKey]" caption="MaterialKey" attribute="1" defaultMemberUniqueName="[StockDC].[MaterialKey].[All]" allUniqueName="[StockDC].[MaterialKey].[All]" dimensionUniqueName="[StockDC]" displayFolder="" count="0" unbalanced="0" hidden="1"/>
    <cacheHierarchy uniqueName="[StockDC].[OutletID]" caption="OutletID" attribute="1" defaultMemberUniqueName="[StockDC].[OutletID].[All]" allUniqueName="[StockDC].[OutletID].[All]" dimensionUniqueName="[StockDC]" displayFolder="" count="0" unbalanced="0" hidden="1"/>
    <cacheHierarchy uniqueName="[StockDC].[SalesChannelKey]" caption="SalesChannelKey" attribute="1" defaultMemberUniqueName="[StockDC].[SalesChannelKey].[All]" allUniqueName="[StockDC].[SalesChannelKey].[All]" dimensionUniqueName="[StockDC]" displayFolder="" count="0" unbalanced="0" hidden="1"/>
    <cacheHierarchy uniqueName="[StockDC].[SalesSeasonID]" caption="SalesSeasonID" attribute="1" defaultMemberUniqueName="[StockDC].[SalesSeasonID].[All]" allUniqueName="[StockDC].[SalesSeasonID].[All]" dimensionUniqueName="[StockDC]" displayFolder="" count="0" unbalanced="0" hidden="1"/>
    <cacheHierarchy uniqueName="[StockDC].[StockDate]" caption="StockDate" attribute="1" defaultMemberUniqueName="[StockDC].[StockDate].[All]" allUniqueName="[StockDC].[StockDate].[All]" dimensionUniqueName="[StockDC]" displayFolder="" count="0" unbalanced="0" hidden="1"/>
    <cacheHierarchy uniqueName="[StockDC].[StockUnit]" caption="StockUnit" attribute="1" defaultMemberUniqueName="[StockDC].[StockUnit].[All]" allUniqueName="[StockDC].[StockUnit].[All]" dimensionUniqueName="[StockDC]" displayFolder="" count="0" unbalanced="0" hidden="1"/>
    <cacheHierarchy uniqueName="[StockDC].[SubLocationKey]" caption="SubLocationKey" attribute="1" defaultMemberUniqueName="[StockDC].[SubLocationKey].[All]" allUniqueName="[StockDC].[SubLocationKey].[All]" dimensionUniqueName="[StockDC]" displayFolder="" count="0" unbalanced="0" hidden="1"/>
    <cacheHierarchy uniqueName="[StockDC].[TransitStockUnit]" caption="TransitStockUnit" attribute="1" defaultMemberUniqueName="[StockDC].[TransitStockUnit].[All]" allUniqueName="[StockDC].[TransitStockUnit].[All]" dimensionUniqueName="[StockDC]" displayFolder="" count="0" unbalanced="0" hidden="1"/>
    <cacheHierarchy uniqueName="[StockDC].[TRYExcRate]" caption="TRYExcRate" attribute="1" defaultMemberUniqueName="[StockDC].[TRYExcRate].[All]" allUniqueName="[StockDC].[TRYExcRate].[All]" dimensionUniqueName="[StockDC]" displayFolder="" count="0" unbalanced="0" hidden="1"/>
    <cacheHierarchy uniqueName="[StockDC].[UnitCost]" caption="UnitCost" attribute="1" defaultMemberUniqueName="[StockDC].[UnitCost].[All]" allUniqueName="[StockDC].[UnitCost].[All]" dimensionUniqueName="[StockDC]" displayFolder="" count="0" unbalanced="0" hidden="1"/>
    <cacheHierarchy uniqueName="[StockDC].[USDExcRate]" caption="USDExcRate" attribute="1" defaultMemberUniqueName="[StockDC].[USDExcRate].[All]" allUniqueName="[StockDC].[USDExcRate].[All]" dimensionUniqueName="[StockDC]" displayFolder="" count="0" unbalanced="0" hidden="1"/>
    <cacheHierarchy uniqueName="[StockDCLY].[CompanyUnitCost]" caption="CompanyUnitCost" attribute="1" defaultMemberUniqueName="[StockDCLY].[CompanyUnitCost].[All]" allUniqueName="[StockDCLY].[CompanyUnitCost].[All]" dimensionUniqueName="[StockDCLY]" displayFolder="" count="0" unbalanced="0" hidden="1"/>
    <cacheHierarchy uniqueName="[StockDCLY].[InitialSalesPriceID]" caption="InitialSalesPriceID" attribute="1" defaultMemberUniqueName="[StockDCLY].[InitialSalesPriceID].[All]" allUniqueName="[StockDCLY].[InitialSalesPriceID].[All]" dimensionUniqueName="[StockDCLY]" displayFolder="" count="0" unbalanced="0" hidden="1"/>
    <cacheHierarchy uniqueName="[StockDCLY].[MaterialKey]" caption="MaterialKey" attribute="1" defaultMemberUniqueName="[StockDCLY].[MaterialKey].[All]" allUniqueName="[StockDCLY].[MaterialKey].[All]" dimensionUniqueName="[StockDCLY]" displayFolder="" count="0" unbalanced="0" hidden="1"/>
    <cacheHierarchy uniqueName="[StockDCLY].[OutletID]" caption="OutletID" attribute="1" defaultMemberUniqueName="[StockDCLY].[OutletID].[All]" allUniqueName="[StockDCLY].[OutletID].[All]" dimensionUniqueName="[StockDCLY]" displayFolder="" count="0" unbalanced="0" hidden="1"/>
    <cacheHierarchy uniqueName="[StockDCLY].[SalesChannelKey]" caption="SalesChannelKey" attribute="1" defaultMemberUniqueName="[StockDCLY].[SalesChannelKey].[All]" allUniqueName="[StockDCLY].[SalesChannelKey].[All]" dimensionUniqueName="[StockDCLY]" displayFolder="" count="0" unbalanced="0" hidden="1"/>
    <cacheHierarchy uniqueName="[StockDCLY].[SalesSeasonID]" caption="SalesSeasonID" attribute="1" defaultMemberUniqueName="[StockDCLY].[SalesSeasonID].[All]" allUniqueName="[StockDCLY].[SalesSeasonID].[All]" dimensionUniqueName="[StockDCLY]" displayFolder="" count="0" unbalanced="0" hidden="1"/>
    <cacheHierarchy uniqueName="[StockDCLY].[StockUnit]" caption="StockUnit" attribute="1" defaultMemberUniqueName="[StockDCLY].[StockUnit].[All]" allUniqueName="[StockDCLY].[StockUnit].[All]" dimensionUniqueName="[StockDCLY]" displayFolder="" count="0" unbalanced="0" hidden="1"/>
    <cacheHierarchy uniqueName="[StockDCLY].[SubLocationKey]" caption="SubLocationKey" attribute="1" defaultMemberUniqueName="[StockDCLY].[SubLocationKey].[All]" allUniqueName="[StockDCLY].[SubLocationKey].[All]" dimensionUniqueName="[StockDCLY]" displayFolder="" count="0" unbalanced="0" hidden="1"/>
    <cacheHierarchy uniqueName="[StockDCLY].[TRYExcRate]" caption="TRYExcRate" attribute="1" defaultMemberUniqueName="[StockDCLY].[TRYExcRate].[All]" allUniqueName="[StockDCLY].[TRYExcRate].[All]" dimensionUniqueName="[StockDCLY]" displayFolder="" count="0" unbalanced="0" hidden="1"/>
    <cacheHierarchy uniqueName="[StockDCLY].[TYDate]" caption="TYDate" attribute="1" defaultMemberUniqueName="[StockDCLY].[TYDate].[All]" allUniqueName="[StockDCLY].[TYDate].[All]" dimensionUniqueName="[StockDCLY]" displayFolder="" count="0" unbalanced="0" hidden="1"/>
    <cacheHierarchy uniqueName="[StockDCLY].[UnitCost]" caption="UnitCost" attribute="1" defaultMemberUniqueName="[StockDCLY].[UnitCost].[All]" allUniqueName="[StockDCLY].[UnitCost].[All]" dimensionUniqueName="[StockDCLY]" displayFolder="" count="0" unbalanced="0" hidden="1"/>
    <cacheHierarchy uniqueName="[StockDCLY].[USDExcRate]" caption="USDExcRate" attribute="1" defaultMemberUniqueName="[StockDCLY].[USDExcRate].[All]" allUniqueName="[StockDCLY].[USDExcRate].[All]" dimensionUniqueName="[StockDCLY]" displayFolder="" count="0" unbalanced="0" hidden="1"/>
    <cacheHierarchy uniqueName="[StockStore].[CompanyUnitCost]" caption="CompanyUnitCost" attribute="1" defaultMemberUniqueName="[StockStore].[CompanyUnitCost].[All]" allUniqueName="[StockStore].[CompanyUnitCost].[All]" dimensionUniqueName="[StockStore]" displayFolder="" count="0" unbalanced="0" hidden="1"/>
    <cacheHierarchy uniqueName="[StockStore].[EURExcRate]" caption="EURExcRate" attribute="1" defaultMemberUniqueName="[StockStore].[EURExcRate].[All]" allUniqueName="[StockStore].[EURExcRate].[All]" dimensionUniqueName="[StockStore]" displayFolder="" count="0" unbalanced="0" hidden="1"/>
    <cacheHierarchy uniqueName="[StockStore].[InitialSalesPriceID]" caption="InitialSalesPriceID" attribute="1" defaultMemberUniqueName="[StockStore].[InitialSalesPriceID].[All]" allUniqueName="[StockStore].[InitialSalesPriceID].[All]" dimensionUniqueName="[StockStore]" displayFolder="" count="0" unbalanced="0" hidden="1"/>
    <cacheHierarchy uniqueName="[StockStore].[LCExcRate]" caption="LCExcRate" attribute="1" defaultMemberUniqueName="[StockStore].[LCExcRate].[All]" allUniqueName="[StockStore].[LCExcRate].[All]" dimensionUniqueName="[StockStore]" displayFolder="" count="0" unbalanced="0" hidden="1"/>
    <cacheHierarchy uniqueName="[StockStore].[LFLFactor]" caption="LFLFactor" attribute="1" defaultMemberUniqueName="[StockStore].[LFLFactor].[All]" allUniqueName="[StockStore].[LFLFactor].[All]" dimensionUniqueName="[StockStore]" displayFolder="" count="0" unbalanced="0" hidden="1"/>
    <cacheHierarchy uniqueName="[StockStore].[LocationKey]" caption="LocationKey" attribute="1" defaultMemberUniqueName="[StockStore].[LocationKey].[All]" allUniqueName="[StockStore].[LocationKey].[All]" dimensionUniqueName="[StockStore]" displayFolder="" count="0" unbalanced="0" hidden="1"/>
    <cacheHierarchy uniqueName="[StockStore].[MaterialKey]" caption="MaterialKey" attribute="1" defaultMemberUniqueName="[StockStore].[MaterialKey].[All]" allUniqueName="[StockStore].[MaterialKey].[All]" dimensionUniqueName="[StockStore]" displayFolder="" count="0" unbalanced="0" hidden="1"/>
    <cacheHierarchy uniqueName="[StockStore].[OtherStockUnit]" caption="OtherStockUnit" attribute="1" defaultMemberUniqueName="[StockStore].[OtherStockUnit].[All]" allUniqueName="[StockStore].[OtherStockUnit].[All]" dimensionUniqueName="[StockStore]" displayFolder="" count="0" unbalanced="0" hidden="1"/>
    <cacheHierarchy uniqueName="[StockStore].[OutletID]" caption="OutletID" attribute="1" defaultMemberUniqueName="[StockStore].[OutletID].[All]" allUniqueName="[StockStore].[OutletID].[All]" dimensionUniqueName="[StockStore]" displayFolder="" count="0" unbalanced="0" hidden="1"/>
    <cacheHierarchy uniqueName="[StockStore].[SalesChannelKey]" caption="SalesChannelKey" attribute="1" defaultMemberUniqueName="[StockStore].[SalesChannelKey].[All]" allUniqueName="[StockStore].[SalesChannelKey].[All]" dimensionUniqueName="[StockStore]" displayFolder="" count="0" unbalanced="0" hidden="1"/>
    <cacheHierarchy uniqueName="[StockStore].[SalesSeasonID]" caption="SalesSeasonID" attribute="1" defaultMemberUniqueName="[StockStore].[SalesSeasonID].[All]" allUniqueName="[StockStore].[SalesSeasonID].[All]" dimensionUniqueName="[StockStore]" displayFolder="" count="0" unbalanced="0" hidden="1"/>
    <cacheHierarchy uniqueName="[StockStore].[StockDate]" caption="StockDate" attribute="1" defaultMemberUniqueName="[StockStore].[StockDate].[All]" allUniqueName="[StockStore].[StockDate].[All]" dimensionUniqueName="[StockStore]" displayFolder="" count="0" unbalanced="0" hidden="1"/>
    <cacheHierarchy uniqueName="[StockStore].[StockUnit]" caption="StockUnit" attribute="1" defaultMemberUniqueName="[StockStore].[StockUnit].[All]" allUniqueName="[StockStore].[StockUnit].[All]" dimensionUniqueName="[StockStore]" displayFolder="" count="0" unbalanced="0" hidden="1"/>
    <cacheHierarchy uniqueName="[StockStore].[TransitStockUnit]" caption="TransitStockUnit" attribute="1" defaultMemberUniqueName="[StockStore].[TransitStockUnit].[All]" allUniqueName="[StockStore].[TransitStockUnit].[All]" dimensionUniqueName="[StockStore]" displayFolder="" count="0" unbalanced="0" hidden="1"/>
    <cacheHierarchy uniqueName="[StockStore].[TRYExcRate]" caption="TRYExcRate" attribute="1" defaultMemberUniqueName="[StockStore].[TRYExcRate].[All]" allUniqueName="[StockStore].[TRYExcRate].[All]" dimensionUniqueName="[StockStore]" displayFolder="" count="0" unbalanced="0" hidden="1"/>
    <cacheHierarchy uniqueName="[StockStore].[UnitCost]" caption="UnitCost" attribute="1" defaultMemberUniqueName="[StockStore].[UnitCost].[All]" allUniqueName="[StockStore].[UnitCost].[All]" dimensionUniqueName="[StockStore]" displayFolder="" count="0" unbalanced="0" hidden="1"/>
    <cacheHierarchy uniqueName="[StockStore].[USDExcRate]" caption="USDExcRate" attribute="1" defaultMemberUniqueName="[StockStore].[USDExcRate].[All]" allUniqueName="[StockStore].[USDExcRate].[All]" dimensionUniqueName="[StockStore]" displayFolder="" count="0" unbalanced="0" hidden="1"/>
    <cacheHierarchy uniqueName="[StockStoreLY].[CompanyUnitCost]" caption="CompanyUnitCost" attribute="1" defaultMemberUniqueName="[StockStoreLY].[CompanyUnitCost].[All]" allUniqueName="[StockStoreLY].[CompanyUnitCost].[All]" dimensionUniqueName="[StockStoreLY]" displayFolder="" count="0" unbalanced="0" hidden="1"/>
    <cacheHierarchy uniqueName="[StockStoreLY].[InitialSalesPriceID]" caption="InitialSalesPriceID" attribute="1" defaultMemberUniqueName="[StockStoreLY].[InitialSalesPriceID].[All]" allUniqueName="[StockStoreLY].[InitialSalesPriceID].[All]" dimensionUniqueName="[StockStoreLY]" displayFolder="" count="0" unbalanced="0" hidden="1"/>
    <cacheHierarchy uniqueName="[StockStoreLY].[LFLFactor]" caption="LFLFactor" attribute="1" defaultMemberUniqueName="[StockStoreLY].[LFLFactor].[All]" allUniqueName="[StockStoreLY].[LFLFactor].[All]" dimensionUniqueName="[StockStoreLY]" displayFolder="" count="0" unbalanced="0" hidden="1"/>
    <cacheHierarchy uniqueName="[StockStoreLY].[LocationKey]" caption="LocationKey" attribute="1" defaultMemberUniqueName="[StockStoreLY].[LocationKey].[All]" allUniqueName="[StockStoreLY].[LocationKey].[All]" dimensionUniqueName="[StockStoreLY]" displayFolder="" count="0" unbalanced="0" hidden="1"/>
    <cacheHierarchy uniqueName="[StockStoreLY].[MaterialKey]" caption="MaterialKey" attribute="1" defaultMemberUniqueName="[StockStoreLY].[MaterialKey].[All]" allUniqueName="[StockStoreLY].[MaterialKey].[All]" dimensionUniqueName="[StockStoreLY]" displayFolder="" count="0" unbalanced="0" hidden="1"/>
    <cacheHierarchy uniqueName="[StockStoreLY].[OtherStockUnit]" caption="OtherStockUnit" attribute="1" defaultMemberUniqueName="[StockStoreLY].[OtherStockUnit].[All]" allUniqueName="[StockStoreLY].[OtherStockUnit].[All]" dimensionUniqueName="[StockStoreLY]" displayFolder="" count="0" unbalanced="0" hidden="1"/>
    <cacheHierarchy uniqueName="[StockStoreLY].[OutletID]" caption="OutletID" attribute="1" defaultMemberUniqueName="[StockStoreLY].[OutletID].[All]" allUniqueName="[StockStoreLY].[OutletID].[All]" dimensionUniqueName="[StockStoreLY]" displayFolder="" count="0" unbalanced="0" hidden="1"/>
    <cacheHierarchy uniqueName="[StockStoreLY].[SalesChannelKey]" caption="SalesChannelKey" attribute="1" defaultMemberUniqueName="[StockStoreLY].[SalesChannelKey].[All]" allUniqueName="[StockStoreLY].[SalesChannelKey].[All]" dimensionUniqueName="[StockStoreLY]" displayFolder="" count="0" unbalanced="0" hidden="1"/>
    <cacheHierarchy uniqueName="[StockStoreLY].[SalesSeasonID]" caption="SalesSeasonID" attribute="1" defaultMemberUniqueName="[StockStoreLY].[SalesSeasonID].[All]" allUniqueName="[StockStoreLY].[SalesSeasonID].[All]" dimensionUniqueName="[StockStoreLY]" displayFolder="" count="0" unbalanced="0" hidden="1"/>
    <cacheHierarchy uniqueName="[StockStoreLY].[StockUnit]" caption="StockUnit" attribute="1" defaultMemberUniqueName="[StockStoreLY].[StockUnit].[All]" allUniqueName="[StockStoreLY].[StockUnit].[All]" dimensionUniqueName="[StockStoreLY]" displayFolder="" count="0" unbalanced="0" hidden="1"/>
    <cacheHierarchy uniqueName="[StockStoreLY].[TransitStockUnit]" caption="TransitStockUnit" attribute="1" defaultMemberUniqueName="[StockStoreLY].[TransitStockUnit].[All]" allUniqueName="[StockStoreLY].[TransitStockUnit].[All]" dimensionUniqueName="[StockStoreLY]" displayFolder="" count="0" unbalanced="0" hidden="1"/>
    <cacheHierarchy uniqueName="[StockStoreLY].[TRYExcRate]" caption="TRYExcRate" attribute="1" defaultMemberUniqueName="[StockStoreLY].[TRYExcRate].[All]" allUniqueName="[StockStoreLY].[TRYExcRate].[All]" dimensionUniqueName="[StockStoreLY]" displayFolder="" count="0" unbalanced="0" hidden="1"/>
    <cacheHierarchy uniqueName="[StockStoreLY].[TYDate]" caption="TYDate" attribute="1" defaultMemberUniqueName="[StockStoreLY].[TYDate].[All]" allUniqueName="[StockStoreLY].[TYDate].[All]" dimensionUniqueName="[StockStoreLY]" displayFolder="" count="0" unbalanced="0" hidden="1"/>
    <cacheHierarchy uniqueName="[StockStoreLY].[UnitCost]" caption="UnitCost" attribute="1" defaultMemberUniqueName="[StockStoreLY].[UnitCost].[All]" allUniqueName="[StockStoreLY].[UnitCost].[All]" dimensionUniqueName="[StockStoreLY]" displayFolder="" count="0" unbalanced="0" hidden="1"/>
    <cacheHierarchy uniqueName="[StockStoreLY].[USDExcRate]" caption="USDExcRate" attribute="1" defaultMemberUniqueName="[StockStoreLY].[USDExcRate].[All]" allUniqueName="[StockStoreLY].[USDExcRate].[All]" dimensionUniqueName="[StockStoreLY]" displayFolder="" count="0" unbalanced="0" hidden="1"/>
    <cacheHierarchy uniqueName="[Store].[StoreSalesChannelKey]" caption="StoreSalesChannelKey" attribute="1" defaultMemberUniqueName="[Store].[StoreSalesChannelKey].[All]" allUniqueName="[Store].[StoreSalesChannelKey].[All]" dimensionUniqueName="[Store]" displayFolder="" count="0" unbalanced="0" hidden="1"/>
    <cacheHierarchy uniqueName="[StoreCapacity].[BackStoreCapacityArea]" caption="BackStoreCapacityArea" attribute="1" defaultMemberUniqueName="[StoreCapacity].[BackStoreCapacityArea].[All]" allUniqueName="[StoreCapacity].[BackStoreCapacityArea].[All]" dimensionUniqueName="[StoreCapacity]" displayFolder="" count="0" unbalanced="0" hidden="1"/>
    <cacheHierarchy uniqueName="[StoreCapacity].[BackStoreCapacitydm3]" caption="BackStoreCapacitydm3" attribute="1" defaultMemberUniqueName="[StoreCapacity].[BackStoreCapacitydm3].[All]" allUniqueName="[StoreCapacity].[BackStoreCapacitydm3].[All]" dimensionUniqueName="[StoreCapacity]" displayFolder="" count="0" unbalanced="0" hidden="1"/>
    <cacheHierarchy uniqueName="[StoreCapacity].[BackStoreCapacityQuantity]" caption="BackStoreCapacityQuantity" attribute="1" defaultMemberUniqueName="[StoreCapacity].[BackStoreCapacityQuantity].[All]" allUniqueName="[StoreCapacity].[BackStoreCapacityQuantity].[All]" dimensionUniqueName="[StoreCapacity]" displayFolder="" count="0" unbalanced="0" hidden="1"/>
    <cacheHierarchy uniqueName="[StoreCapacity].[DWSourceKey]" caption="DWSourceKey" attribute="1" defaultMemberUniqueName="[StoreCapacity].[DWSourceKey].[All]" allUniqueName="[StoreCapacity].[DWSourceKey].[All]" dimensionUniqueName="[StoreCapacity]" displayFolder="" count="0" unbalanced="0" hidden="1"/>
    <cacheHierarchy uniqueName="[StoreCapacity].[ETLDate]" caption="ETLDate" attribute="1" defaultMemberUniqueName="[StoreCapacity].[ETLDate].[All]" allUniqueName="[StoreCapacity].[ETLDate].[All]" dimensionUniqueName="[StoreCapacity]" displayFolder="" count="0" unbalanced="0" hidden="1"/>
    <cacheHierarchy uniqueName="[StoreCapacity].[InitialSalesPriceID]" caption="InitialSalesPriceID" attribute="1" defaultMemberUniqueName="[StoreCapacity].[InitialSalesPriceID].[All]" allUniqueName="[StoreCapacity].[InitialSalesPriceID].[All]" dimensionUniqueName="[StoreCapacity]" displayFolder="" count="0" unbalanced="0" hidden="1"/>
    <cacheHierarchy uniqueName="[StoreCapacity].[LFLFactor]" caption="LFLFactor" attribute="1" defaultMemberUniqueName="[StoreCapacity].[LFLFactor].[All]" allUniqueName="[StoreCapacity].[LFLFactor].[All]" dimensionUniqueName="[StoreCapacity]" displayFolder="" count="0" unbalanced="0" hidden="1"/>
    <cacheHierarchy uniqueName="[StoreCapacity].[LocationKey]" caption="LocationKey" attribute="1" defaultMemberUniqueName="[StoreCapacity].[LocationKey].[All]" allUniqueName="[StoreCapacity].[LocationKey].[All]" dimensionUniqueName="[StoreCapacity]" displayFolder="" count="0" unbalanced="0" hidden="1"/>
    <cacheHierarchy uniqueName="[StoreCapacity].[MainGroupKey]" caption="MainGroupKey" attribute="1" defaultMemberUniqueName="[StoreCapacity].[MainGroupKey].[All]" allUniqueName="[StoreCapacity].[MainGroupKey].[All]" dimensionUniqueName="[StoreCapacity]" displayFolder="" count="0" unbalanced="0" hidden="1"/>
    <cacheHierarchy uniqueName="[StoreCapacity].[OutletID]" caption="OutletID" attribute="1" defaultMemberUniqueName="[StoreCapacity].[OutletID].[All]" allUniqueName="[StoreCapacity].[OutletID].[All]" dimensionUniqueName="[StoreCapacity]" displayFolder="" count="0" unbalanced="0" hidden="1"/>
    <cacheHierarchy uniqueName="[StoreCapacity].[SalesChannelKey]" caption="SalesChannelKey" attribute="1" defaultMemberUniqueName="[StoreCapacity].[SalesChannelKey].[All]" allUniqueName="[StoreCapacity].[SalesChannelKey].[All]" dimensionUniqueName="[StoreCapacity]" displayFolder="" count="0" unbalanced="0" hidden="1"/>
    <cacheHierarchy uniqueName="[StoreCapacity].[SalesSeasonID]" caption="SalesSeasonID" attribute="1" defaultMemberUniqueName="[StoreCapacity].[SalesSeasonID].[All]" allUniqueName="[StoreCapacity].[SalesSeasonID].[All]" dimensionUniqueName="[StoreCapacity]" displayFolder="" count="0" unbalanced="0" hidden="1"/>
    <cacheHierarchy uniqueName="[StoreCapacity].[StoreCapacitydm3]" caption="StoreCapacitydm3" attribute="1" defaultMemberUniqueName="[StoreCapacity].[StoreCapacitydm3].[All]" allUniqueName="[StoreCapacity].[StoreCapacitydm3].[All]" dimensionUniqueName="[StoreCapacity]" displayFolder="" count="0" unbalanced="0" hidden="1"/>
    <cacheHierarchy uniqueName="[StoreCapacity].[StoreCapacityQuantity]" caption="StoreCapacityQuantity" attribute="1" defaultMemberUniqueName="[StoreCapacity].[StoreCapacityQuantity].[All]" allUniqueName="[StoreCapacity].[StoreCapacityQuantity].[All]" dimensionUniqueName="[StoreCapacity]" displayFolder="" count="0" unbalanced="0" hidden="1"/>
    <cacheHierarchy uniqueName="[StoreCapacity].[StoreCode]" caption="StoreCode" attribute="1" defaultMemberUniqueName="[StoreCapacity].[StoreCode].[All]" allUniqueName="[StoreCapacity].[StoreCode].[All]" dimensionUniqueName="[StoreCapacity]" displayFolder="" count="0" unbalanced="0" hidden="1"/>
    <cacheHierarchy uniqueName="[StoreCapacity].[SubDistChannelKey]" caption="SubDistChannelKey" attribute="1" defaultMemberUniqueName="[StoreCapacity].[SubDistChannelKey].[All]" allUniqueName="[StoreCapacity].[SubDistChannelKey].[All]" dimensionUniqueName="[StoreCapacity]" displayFolder="" count="0" unbalanced="0" hidden="1"/>
    <cacheHierarchy uniqueName="[StoreLFLStatu].[EtlDate]" caption="EtlDate" attribute="1" defaultMemberUniqueName="[StoreLFLStatu].[EtlDate].[All]" allUniqueName="[StoreLFLStatu].[EtlDate].[All]" dimensionUniqueName="[StoreLFLStatu]" displayFolder="" count="0" unbalanced="0" hidden="1"/>
    <cacheHierarchy uniqueName="[StoreTarget].[Cancelled]" caption="Cancelled" attribute="1" defaultMemberUniqueName="[StoreTarget].[Cancelled].[All]" allUniqueName="[StoreTarget].[Cancelled].[All]" dimensionUniqueName="[StoreTarget]" displayFolder="" count="0" unbalanced="0" hidden="1"/>
    <cacheHierarchy uniqueName="[StoreTarget].[ChangeByUser]" caption="ChangeByUser" attribute="1" defaultMemberUniqueName="[StoreTarget].[ChangeByUser].[All]" allUniqueName="[StoreTarget].[ChangeByUser].[All]" dimensionUniqueName="[StoreTarget]" displayFolder="" count="0" unbalanced="0" hidden="1"/>
    <cacheHierarchy uniqueName="[StoreTarget].[ChangeDate]" caption="ChangeDate" attribute="1" defaultMemberUniqueName="[StoreTarget].[ChangeDate].[All]" allUniqueName="[StoreTarget].[ChangeDate].[All]" dimensionUniqueName="[StoreTarget]" displayFolder="" count="0" unbalanced="0" hidden="1"/>
    <cacheHierarchy uniqueName="[StoreTarget].[ChangeTime]" caption="ChangeTime" attribute="1" defaultMemberUniqueName="[StoreTarget].[ChangeTime].[All]" allUniqueName="[StoreTarget].[ChangeTime].[All]" dimensionUniqueName="[StoreTarget]" displayFolder="" count="0" unbalanced="0" hidden="1"/>
    <cacheHierarchy uniqueName="[StoreTarget].[CreatedByUser]" caption="CreatedByUser" attribute="1" defaultMemberUniqueName="[StoreTarget].[CreatedByUser].[All]" allUniqueName="[StoreTarget].[CreatedByUser].[All]" dimensionUniqueName="[StoreTarget]" displayFolder="" count="0" unbalanced="0" hidden="1"/>
    <cacheHierarchy uniqueName="[StoreTarget].[CreationDate]" caption="CreationDate" attribute="1" defaultMemberUniqueName="[StoreTarget].[CreationDate].[All]" allUniqueName="[StoreTarget].[CreationDate].[All]" dimensionUniqueName="[StoreTarget]" displayFolder="" count="0" unbalanced="0" hidden="1"/>
    <cacheHierarchy uniqueName="[StoreTarget].[CreationTime]" caption="CreationTime" attribute="1" defaultMemberUniqueName="[StoreTarget].[CreationTime].[All]" allUniqueName="[StoreTarget].[CreationTime].[All]" dimensionUniqueName="[StoreTarget]" displayFolder="" count="0" unbalanced="0" hidden="1"/>
    <cacheHierarchy uniqueName="[StoreTarget].[Currency]" caption="Currency" attribute="1" defaultMemberUniqueName="[StoreTarget].[Currency].[All]" allUniqueName="[StoreTarget].[Currency].[All]" dimensionUniqueName="[StoreTarget]" displayFolder="" count="0" unbalanced="0" hidden="1"/>
    <cacheHierarchy uniqueName="[StoreTarget].[DwSourceKey]" caption="DwSourceKey" attribute="1" defaultMemberUniqueName="[StoreTarget].[DwSourceKey].[All]" allUniqueName="[StoreTarget].[DwSourceKey].[All]" dimensionUniqueName="[StoreTarget]" displayFolder="" count="0" unbalanced="0" hidden="1"/>
    <cacheHierarchy uniqueName="[StoreTarget].[EtlDate]" caption="EtlDate" attribute="1" defaultMemberUniqueName="[StoreTarget].[EtlDate].[All]" allUniqueName="[StoreTarget].[EtlDate].[All]" dimensionUniqueName="[StoreTarget]" displayFolder="" count="0" unbalanced="0" hidden="1"/>
    <cacheHierarchy uniqueName="[StoreTarget].[LfLFactor]" caption="LfLFactor" attribute="1" defaultMemberUniqueName="[StoreTarget].[LfLFactor].[All]" allUniqueName="[StoreTarget].[LfLFactor].[All]" dimensionUniqueName="[StoreTarget]" displayFolder="" count="0" unbalanced="0" hidden="1"/>
    <cacheHierarchy uniqueName="[StoreTarget].[LocationCode]" caption="LocationCode" attribute="1" defaultMemberUniqueName="[StoreTarget].[LocationCode].[All]" allUniqueName="[StoreTarget].[LocationCode].[All]" dimensionUniqueName="[StoreTarget]" displayFolder="" count="0" unbalanced="0" hidden="1"/>
    <cacheHierarchy uniqueName="[StoreTarget].[LocationKey]" caption="LocationKey" attribute="1" defaultMemberUniqueName="[StoreTarget].[LocationKey].[All]" allUniqueName="[StoreTarget].[LocationKey].[All]" dimensionUniqueName="[StoreTarget]" displayFolder="" count="0" unbalanced="0" hidden="1"/>
    <cacheHierarchy uniqueName="[StoreTarget].[QuantityUnit]" caption="QuantityUnit" attribute="1" defaultMemberUniqueName="[StoreTarget].[QuantityUnit].[All]" allUniqueName="[StoreTarget].[QuantityUnit].[All]" dimensionUniqueName="[StoreTarget]" displayFolder="" count="0" unbalanced="0" hidden="1"/>
    <cacheHierarchy uniqueName="[StoreTarget].[SalesChannelKey]" caption="SalesChannelKey" attribute="1" defaultMemberUniqueName="[StoreTarget].[SalesChannelKey].[All]" allUniqueName="[StoreTarget].[SalesChannelKey].[All]" dimensionUniqueName="[StoreTarget]" displayFolder="" count="0" unbalanced="0" hidden="1"/>
    <cacheHierarchy uniqueName="[StoreTarget].[TargetConversionRate]" caption="TargetConversionRate" attribute="1" defaultMemberUniqueName="[StoreTarget].[TargetConversionRate].[All]" allUniqueName="[StoreTarget].[TargetConversionRate].[All]" dimensionUniqueName="[StoreTarget]" displayFolder="" count="0" unbalanced="0" hidden="1"/>
    <cacheHierarchy uniqueName="[StoreTarget].[TargetDate]" caption="TargetDate" attribute="1" defaultMemberUniqueName="[StoreTarget].[TargetDate].[All]" allUniqueName="[StoreTarget].[TargetDate].[All]" dimensionUniqueName="[StoreTarget]" displayFolder="" count="0" unbalanced="0" hidden="1"/>
    <cacheHierarchy uniqueName="[StoreTarget].[TargetSalesValueLC]" caption="TargetSalesValueLC" attribute="1" defaultMemberUniqueName="[StoreTarget].[TargetSalesValueLC].[All]" allUniqueName="[StoreTarget].[TargetSalesValueLC].[All]" dimensionUniqueName="[StoreTarget]" displayFolder="" count="0" unbalanced="0" hidden="1"/>
    <cacheHierarchy uniqueName="[StoreTarget].[TargetSalesValueTRY]" caption="TargetSalesValueTRY" attribute="1" defaultMemberUniqueName="[StoreTarget].[TargetSalesValueTRY].[All]" allUniqueName="[StoreTarget].[TargetSalesValueTRY].[All]" dimensionUniqueName="[StoreTarget]" displayFolder="" count="0" unbalanced="0" hidden="1"/>
    <cacheHierarchy uniqueName="[StoreTarget].[TargetSalesValueUSD]" caption="TargetSalesValueUSD" attribute="1" defaultMemberUniqueName="[StoreTarget].[TargetSalesValueUSD].[All]" allUniqueName="[StoreTarget].[TargetSalesValueUSD].[All]" dimensionUniqueName="[StoreTarget]" displayFolder="" count="0" unbalanced="0" hidden="1"/>
    <cacheHierarchy uniqueName="[StoreTarget].[TargetType]" caption="TargetType" attribute="1" defaultMemberUniqueName="[StoreTarget].[TargetType].[All]" allUniqueName="[StoreTarget].[TargetType].[All]" dimensionUniqueName="[StoreTarget]" displayFolder="" count="0" unbalanced="0" hidden="1"/>
    <cacheHierarchy uniqueName="[StoreTargetLY].[Cancelled]" caption="Cancelled" attribute="1" defaultMemberUniqueName="[StoreTargetLY].[Cancelled].[All]" allUniqueName="[StoreTargetLY].[Cancelled].[All]" dimensionUniqueName="[StoreTargetLY]" displayFolder="" count="0" unbalanced="0" hidden="1"/>
    <cacheHierarchy uniqueName="[StoreTargetLY].[ChangeByUser]" caption="ChangeByUser" attribute="1" defaultMemberUniqueName="[StoreTargetLY].[ChangeByUser].[All]" allUniqueName="[StoreTargetLY].[ChangeByUser].[All]" dimensionUniqueName="[StoreTargetLY]" displayFolder="" count="0" unbalanced="0" hidden="1"/>
    <cacheHierarchy uniqueName="[StoreTargetLY].[ChangeDate]" caption="ChangeDate" attribute="1" defaultMemberUniqueName="[StoreTargetLY].[ChangeDate].[All]" allUniqueName="[StoreTargetLY].[ChangeDate].[All]" dimensionUniqueName="[StoreTargetLY]" displayFolder="" count="0" unbalanced="0" hidden="1"/>
    <cacheHierarchy uniqueName="[StoreTargetLY].[ChangeTime]" caption="ChangeTime" attribute="1" defaultMemberUniqueName="[StoreTargetLY].[ChangeTime].[All]" allUniqueName="[StoreTargetLY].[ChangeTime].[All]" dimensionUniqueName="[StoreTargetLY]" displayFolder="" count="0" unbalanced="0" hidden="1"/>
    <cacheHierarchy uniqueName="[StoreTargetLY].[CreatedByUser]" caption="CreatedByUser" attribute="1" defaultMemberUniqueName="[StoreTargetLY].[CreatedByUser].[All]" allUniqueName="[StoreTargetLY].[CreatedByUser].[All]" dimensionUniqueName="[StoreTargetLY]" displayFolder="" count="0" unbalanced="0" hidden="1"/>
    <cacheHierarchy uniqueName="[StoreTargetLY].[CreationDate]" caption="CreationDate" attribute="1" defaultMemberUniqueName="[StoreTargetLY].[CreationDate].[All]" allUniqueName="[StoreTargetLY].[CreationDate].[All]" dimensionUniqueName="[StoreTargetLY]" displayFolder="" count="0" unbalanced="0" hidden="1"/>
    <cacheHierarchy uniqueName="[StoreTargetLY].[CreationTime]" caption="CreationTime" attribute="1" defaultMemberUniqueName="[StoreTargetLY].[CreationTime].[All]" allUniqueName="[StoreTargetLY].[CreationTime].[All]" dimensionUniqueName="[StoreTargetLY]" displayFolder="" count="0" unbalanced="0" hidden="1"/>
    <cacheHierarchy uniqueName="[StoreTargetLY].[Currency]" caption="Currency" attribute="1" defaultMemberUniqueName="[StoreTargetLY].[Currency].[All]" allUniqueName="[StoreTargetLY].[Currency].[All]" dimensionUniqueName="[StoreTargetLY]" displayFolder="" count="0" unbalanced="0" hidden="1"/>
    <cacheHierarchy uniqueName="[StoreTargetLY].[DwSourceKey]" caption="DwSourceKey" attribute="1" defaultMemberUniqueName="[StoreTargetLY].[DwSourceKey].[All]" allUniqueName="[StoreTargetLY].[DwSourceKey].[All]" dimensionUniqueName="[StoreTargetLY]" displayFolder="" count="0" unbalanced="0" hidden="1"/>
    <cacheHierarchy uniqueName="[StoreTargetLY].[EtlDate]" caption="EtlDate" attribute="1" defaultMemberUniqueName="[StoreTargetLY].[EtlDate].[All]" allUniqueName="[StoreTargetLY].[EtlDate].[All]" dimensionUniqueName="[StoreTargetLY]" displayFolder="" count="0" unbalanced="0" hidden="1"/>
    <cacheHierarchy uniqueName="[StoreTargetLY].[LfLFactor]" caption="LfLFactor" attribute="1" defaultMemberUniqueName="[StoreTargetLY].[LfLFactor].[All]" allUniqueName="[StoreTargetLY].[LfLFactor].[All]" dimensionUniqueName="[StoreTargetLY]" displayFolder="" count="0" unbalanced="0" hidden="1"/>
    <cacheHierarchy uniqueName="[StoreTargetLY].[LocationCode]" caption="LocationCode" attribute="1" defaultMemberUniqueName="[StoreTargetLY].[LocationCode].[All]" allUniqueName="[StoreTargetLY].[LocationCode].[All]" dimensionUniqueName="[StoreTargetLY]" displayFolder="" count="0" unbalanced="0" hidden="1"/>
    <cacheHierarchy uniqueName="[StoreTargetLY].[LocationKey]" caption="LocationKey" attribute="1" defaultMemberUniqueName="[StoreTargetLY].[LocationKey].[All]" allUniqueName="[StoreTargetLY].[LocationKey].[All]" dimensionUniqueName="[StoreTargetLY]" displayFolder="" count="0" unbalanced="0" hidden="1"/>
    <cacheHierarchy uniqueName="[StoreTargetLY].[QuantityUnit]" caption="QuantityUnit" attribute="1" defaultMemberUniqueName="[StoreTargetLY].[QuantityUnit].[All]" allUniqueName="[StoreTargetLY].[QuantityUnit].[All]" dimensionUniqueName="[StoreTargetLY]" displayFolder="" count="0" unbalanced="0" hidden="1"/>
    <cacheHierarchy uniqueName="[StoreTargetLY].[SalesChannelKey]" caption="SalesChannelKey" attribute="1" defaultMemberUniqueName="[StoreTargetLY].[SalesChannelKey].[All]" allUniqueName="[StoreTargetLY].[SalesChannelKey].[All]" dimensionUniqueName="[StoreTargetLY]" displayFolder="" count="0" unbalanced="0" hidden="1"/>
    <cacheHierarchy uniqueName="[StoreTargetLY].[TargetConversionRate]" caption="TargetConversionRate" attribute="1" defaultMemberUniqueName="[StoreTargetLY].[TargetConversionRate].[All]" allUniqueName="[StoreTargetLY].[TargetConversionRate].[All]" dimensionUniqueName="[StoreTargetLY]" displayFolder="" count="0" unbalanced="0" hidden="1"/>
    <cacheHierarchy uniqueName="[StoreTargetLY].[TargetSalesValueLC]" caption="TargetSalesValueLC" attribute="1" defaultMemberUniqueName="[StoreTargetLY].[TargetSalesValueLC].[All]" allUniqueName="[StoreTargetLY].[TargetSalesValueLC].[All]" dimensionUniqueName="[StoreTargetLY]" displayFolder="" count="0" unbalanced="0" hidden="1"/>
    <cacheHierarchy uniqueName="[StoreTargetLY].[TargetSalesValueTRY]" caption="TargetSalesValueTRY" attribute="1" defaultMemberUniqueName="[StoreTargetLY].[TargetSalesValueTRY].[All]" allUniqueName="[StoreTargetLY].[TargetSalesValueTRY].[All]" dimensionUniqueName="[StoreTargetLY]" displayFolder="" count="0" unbalanced="0" hidden="1"/>
    <cacheHierarchy uniqueName="[StoreTargetLY].[TargetSalesValueUSD]" caption="TargetSalesValueUSD" attribute="1" defaultMemberUniqueName="[StoreTargetLY].[TargetSalesValueUSD].[All]" allUniqueName="[StoreTargetLY].[TargetSalesValueUSD].[All]" dimensionUniqueName="[StoreTargetLY]" displayFolder="" count="0" unbalanced="0" hidden="1"/>
    <cacheHierarchy uniqueName="[StoreTargetLY].[TargetType]" caption="TargetType" attribute="1" defaultMemberUniqueName="[StoreTargetLY].[TargetType].[All]" allUniqueName="[StoreTargetLY].[TargetType].[All]" dimensionUniqueName="[StoreTargetLY]" displayFolder="" count="0" unbalanced="0" hidden="1"/>
    <cacheHierarchy uniqueName="[StoreTargetLY].[TYDate]" caption="TYDate" attribute="1" defaultMemberUniqueName="[StoreTargetLY].[TYDate].[All]" allUniqueName="[StoreTargetLY].[TYDate].[All]" dimensionUniqueName="[StoreTargetLY]" displayFolder="" count="0" unbalanced="0" hidden="1"/>
    <cacheHierarchy uniqueName="[SubDistChannel].[DistrubitionChannelCode]" caption="DistrubitionChannelCode" attribute="1" defaultMemberUniqueName="[SubDistChannel].[DistrubitionChannelCode].[All]" allUniqueName="[SubDistChannel].[DistrubitionChannelCode].[All]" dimensionUniqueName="[SubDistChannel]" displayFolder="" count="0" unbalanced="0" hidden="1"/>
    <cacheHierarchy uniqueName="[SubDistChannel].[DistrubitionChannelDesc]" caption="DistrubitionChannelDesc" attribute="1" defaultMemberUniqueName="[SubDistChannel].[DistrubitionChannelDesc].[All]" allUniqueName="[SubDistChannel].[DistrubitionChannelDesc].[All]" dimensionUniqueName="[SubDistChannel]" displayFolder="" count="0" unbalanced="0" hidden="1"/>
    <cacheHierarchy uniqueName="[SubDistChannel].[DistrubitionChannelKey]" caption="DistrubitionChannelKey" attribute="1" defaultMemberUniqueName="[SubDistChannel].[DistrubitionChannelKey].[All]" allUniqueName="[SubDistChannel].[DistrubitionChannelKey].[All]" dimensionUniqueName="[SubDistChannel]" displayFolder="" count="0" unbalanced="0" hidden="1"/>
    <cacheHierarchy uniqueName="[SubDistChannel].[DWSourceKey]" caption="DWSourceKey" attribute="1" defaultMemberUniqueName="[SubDistChannel].[DWSourceKey].[All]" allUniqueName="[SubDistChannel].[DWSourceKey].[All]" dimensionUniqueName="[SubDistChannel]" displayFolder="" count="0" unbalanced="0" hidden="1"/>
    <cacheHierarchy uniqueName="[SubDistChannel].[EtlDate]" caption="EtlDate" attribute="1" defaultMemberUniqueName="[SubDistChannel].[EtlDate].[All]" allUniqueName="[SubDistChannel].[EtlDate].[All]" dimensionUniqueName="[SubDistChannel]" displayFolder="" count="0" unbalanced="0" hidden="1"/>
    <cacheHierarchy uniqueName="[Visitor].[AdjustedCCR]" caption="AdjustedCCR" attribute="1" defaultMemberUniqueName="[Visitor].[AdjustedCCR].[All]" allUniqueName="[Visitor].[AdjustedCCR].[All]" dimensionUniqueName="[Visitor]" displayFolder="" count="0" unbalanced="0" hidden="1"/>
    <cacheHierarchy uniqueName="[Visitor].[AdjustedVisitorCount]" caption="AdjustedVisitorCount" attribute="1" defaultMemberUniqueName="[Visitor].[AdjustedVisitorCount].[All]" allUniqueName="[Visitor].[AdjustedVisitorCount].[All]" dimensionUniqueName="[Visitor]" displayFolder="" count="0" unbalanced="0" hidden="1"/>
    <cacheHierarchy uniqueName="[Visitor].[CCR_Source]" caption="CCR_Source" attribute="1" defaultMemberUniqueName="[Visitor].[CCR_Source].[All]" allUniqueName="[Visitor].[CCR_Source].[All]" dimensionUniqueName="[Visitor]" displayFolder="" count="0" unbalanced="0" hidden="1"/>
    <cacheHierarchy uniqueName="[Visitor].[CompanyKey]" caption="CompanyKey" attribute="1" defaultMemberUniqueName="[Visitor].[CompanyKey].[All]" allUniqueName="[Visitor].[CompanyKey].[All]" dimensionUniqueName="[Visitor]" displayFolder="" count="0" unbalanced="0" hidden="1"/>
    <cacheHierarchy uniqueName="[Visitor].[CustomerConversionRate]" caption="CustomerConversionRate" attribute="1" defaultMemberUniqueName="[Visitor].[CustomerConversionRate].[All]" allUniqueName="[Visitor].[CustomerConversionRate].[All]" dimensionUniqueName="[Visitor]" displayFolder="" count="0" unbalanced="0" hidden="1"/>
    <cacheHierarchy uniqueName="[Visitor].[DailyInvoiceCount]" caption="DailyInvoiceCount" attribute="1" defaultMemberUniqueName="[Visitor].[DailyInvoiceCount].[All]" allUniqueName="[Visitor].[DailyInvoiceCount].[All]" dimensionUniqueName="[Visitor]" displayFolder="" count="0" unbalanced="0" hidden="1"/>
    <cacheHierarchy uniqueName="[Visitor].[DailyInvoiceReturn]" caption="DailyInvoiceReturn" attribute="1" defaultMemberUniqueName="[Visitor].[DailyInvoiceReturn].[All]" allUniqueName="[Visitor].[DailyInvoiceReturn].[All]" dimensionUniqueName="[Visitor]" displayFolder="" count="0" unbalanced="0" hidden="1"/>
    <cacheHierarchy uniqueName="[Visitor].[DailyInvoiceSale]" caption="DailyInvoiceSale" attribute="1" defaultMemberUniqueName="[Visitor].[DailyInvoiceSale].[All]" allUniqueName="[Visitor].[DailyInvoiceSale].[All]" dimensionUniqueName="[Visitor]" displayFolder="" count="0" unbalanced="0" hidden="1"/>
    <cacheHierarchy uniqueName="[Visitor].[DailyVisitorCount]" caption="DailyVisitorCount" attribute="1" defaultMemberUniqueName="[Visitor].[DailyVisitorCount].[All]" allUniqueName="[Visitor].[DailyVisitorCount].[All]" dimensionUniqueName="[Visitor]" displayFolder="" count="0" unbalanced="0" hidden="1"/>
    <cacheHierarchy uniqueName="[Visitor].[DayoftheWeek]" caption="DayoftheWeek" attribute="1" defaultMemberUniqueName="[Visitor].[DayoftheWeek].[All]" allUniqueName="[Visitor].[DayoftheWeek].[All]" dimensionUniqueName="[Visitor]" displayFolder="" count="0" unbalanced="0" hidden="1"/>
    <cacheHierarchy uniqueName="[Visitor].[DIC_Country]" caption="DIC_Country" attribute="1" defaultMemberUniqueName="[Visitor].[DIC_Country].[All]" allUniqueName="[Visitor].[DIC_Country].[All]" dimensionUniqueName="[Visitor]" displayFolder="" count="0" unbalanced="0" hidden="1"/>
    <cacheHierarchy uniqueName="[Visitor].[DVC_Country]" caption="DVC_Country" attribute="1" defaultMemberUniqueName="[Visitor].[DVC_Country].[All]" allUniqueName="[Visitor].[DVC_Country].[All]" dimensionUniqueName="[Visitor]" displayFolder="" count="0" unbalanced="0" hidden="1"/>
    <cacheHierarchy uniqueName="[Visitor].[ETLDate]" caption="ETLDate" attribute="1" defaultMemberUniqueName="[Visitor].[ETLDate].[All]" allUniqueName="[Visitor].[ETLDate].[All]" dimensionUniqueName="[Visitor]" displayFolder="" count="0" unbalanced="0" hidden="1"/>
    <cacheHierarchy uniqueName="[Visitor].[isAdjustmentRequired]" caption="isAdjustmentRequired" attribute="1" defaultMemberUniqueName="[Visitor].[isAdjustmentRequired].[All]" allUniqueName="[Visitor].[isAdjustmentRequired].[All]" dimensionUniqueName="[Visitor]" displayFolder="" count="0" unbalanced="0" hidden="1"/>
    <cacheHierarchy uniqueName="[Visitor].[LocationKey]" caption="LocationKey" attribute="1" defaultMemberUniqueName="[Visitor].[LocationKey].[All]" allUniqueName="[Visitor].[LocationKey].[All]" dimensionUniqueName="[Visitor]" displayFolder="" count="0" unbalanced="0" hidden="1"/>
    <cacheHierarchy uniqueName="[Visitor].[StoreLfLStatuKey]" caption="StoreLfLStatuKey" attribute="1" defaultMemberUniqueName="[Visitor].[StoreLfLStatuKey].[All]" allUniqueName="[Visitor].[StoreLfLStatuKey].[All]" dimensionUniqueName="[Visitor]" displayFolder="" count="0" unbalanced="0" hidden="1"/>
    <cacheHierarchy uniqueName="[Visitor].[VisitDate]" caption="VisitDate" attribute="1" defaultMemberUniqueName="[Visitor].[VisitDate].[All]" allUniqueName="[Visitor].[VisitDate].[All]" dimensionUniqueName="[Visitor]" displayFolder="" count="0" unbalanced="0" hidden="1"/>
    <cacheHierarchy uniqueName="[VisitorHourly].[LocationKey]" caption="LocationKey" attribute="1" defaultMemberUniqueName="[VisitorHourly].[LocationKey].[All]" allUniqueName="[VisitorHourly].[LocationKey].[All]" dimensionUniqueName="[VisitorHourly]" displayFolder="" count="0" unbalanced="0" hidden="1"/>
    <cacheHierarchy uniqueName="[VisitorHourly].[LYCustomerEntryCount]" caption="LYCustomerEntryCount" attribute="1" defaultMemberUniqueName="[VisitorHourly].[LYCustomerEntryCount].[All]" allUniqueName="[VisitorHourly].[LYCustomerEntryCount].[All]" dimensionUniqueName="[VisitorHourly]" displayFolder="" count="0" unbalanced="0" hidden="1"/>
    <cacheHierarchy uniqueName="[VisitorHourly].[LYLFLFactor]" caption="LYLFLFactor" attribute="1" defaultMemberUniqueName="[VisitorHourly].[LYLFLFactor].[All]" allUniqueName="[VisitorHourly].[LYLFLFactor].[All]" dimensionUniqueName="[VisitorHourly]" displayFolder="" count="0" unbalanced="0" hidden="1"/>
    <cacheHierarchy uniqueName="[VisitorHourly].[SalesChannelKey]" caption="SalesChannelKey" attribute="1" defaultMemberUniqueName="[VisitorHourly].[SalesChannelKey].[All]" allUniqueName="[VisitorHourly].[SalesChannelKey].[All]" dimensionUniqueName="[VisitorHourly]" displayFolder="" count="0" unbalanced="0" hidden="1"/>
    <cacheHierarchy uniqueName="[VisitorHourly].[TYCustomerEntryCount]" caption="TYCustomerEntryCount" attribute="1" defaultMemberUniqueName="[VisitorHourly].[TYCustomerEntryCount].[All]" allUniqueName="[VisitorHourly].[TYCustomerEntryCount].[All]" dimensionUniqueName="[VisitorHourly]" displayFolder="" count="0" unbalanced="0" hidden="1"/>
    <cacheHierarchy uniqueName="[VisitorHourly].[TYLFLFactor]" caption="TYLFLFactor" attribute="1" defaultMemberUniqueName="[VisitorHourly].[TYLFLFactor].[All]" allUniqueName="[VisitorHourly].[TYLFLFactor].[All]" dimensionUniqueName="[VisitorHourly]" displayFolder="" count="0" unbalanced="0" hidden="1"/>
    <cacheHierarchy uniqueName="[VisitorHourly].[VisitDate]" caption="VisitDate" attribute="1" defaultMemberUniqueName="[VisitorHourly].[VisitDate].[All]" allUniqueName="[VisitorHourly].[VisitDate].[All]" dimensionUniqueName="[VisitorHourly]" displayFolder="" count="0" unbalanced="0" hidden="1"/>
    <cacheHierarchy uniqueName="[VisitorHourly].[VisitTimeHH]" caption="VisitTimeHH" attribute="1" defaultMemberUniqueName="[VisitorHourly].[VisitTimeHH].[All]" allUniqueName="[VisitorHourly].[VisitTimeHH].[All]" dimensionUniqueName="[VisitorHourly]" displayFolder="" count="0" unbalanced="0" hidden="1"/>
    <cacheHierarchy uniqueName="[Measures].[TY Avg DC Stock Unit]" caption="TY Avg DC Stock Unit" measure="1" displayFolder="01_TY\_UNIT" measureGroup="StockDC" count="0"/>
    <cacheHierarchy uniqueName="[Measures].[TY Avg DC Cus Stock Unit]" caption="TY Avg DC Cus Stock Unit" measure="1" displayFolder="01_TY\_UNIT" measureGroup="StockDC" count="0"/>
    <cacheHierarchy uniqueName="[Measures].[TY Avg DC Transit Stock Unit]" caption="TY Avg DC Transit Stock Unit" measure="1" displayFolder="01_TY\_UNIT" measureGroup="StockDC" count="0"/>
    <cacheHierarchy uniqueName="[Measures].[TY Avg DC Stock Cost LC]" caption="TY Avg DC Stock Cost LC" measure="1" displayFolder="01_TY\LC" measureGroup="StockDC" count="0"/>
    <cacheHierarchy uniqueName="[Measures].[TY Avg DC Transit Stock Cost LC]" caption="TY Avg DC Transit Stock Cost LC" measure="1" displayFolder="01_TY\LC" measureGroup="StockDC" count="0"/>
    <cacheHierarchy uniqueName="[Measures].[TY Avg DC Cus Stock Cost LC]" caption="TY Avg DC Cus Stock Cost LC" measure="1" displayFolder="01_TY\LC" measureGroup="StockDC" count="0"/>
    <cacheHierarchy uniqueName="[Measures].[TY Avg DC Stock Cost TRY]" caption="TY Avg DC Stock Cost TRY" measure="1" displayFolder="01_TY\TRY" measureGroup="StockDC" count="0"/>
    <cacheHierarchy uniqueName="[Measures].[TY Avg DC Transit Stock Cost TRY]" caption="TY Avg DC Transit Stock Cost TRY" measure="1" displayFolder="01_TY\TRY" measureGroup="StockDC" count="0"/>
    <cacheHierarchy uniqueName="[Measures].[TY Avg DC Cus Stock Cost TRY]" caption="TY Avg DC Cus Stock Cost TRY" measure="1" displayFolder="01_TY\TRY" measureGroup="StockDC" count="0"/>
    <cacheHierarchy uniqueName="[Measures].[TY Avg DC Stock Cost USD]" caption="TY Avg DC Stock Cost USD" measure="1" displayFolder="01_TY\USD" measureGroup="StockDC" count="0"/>
    <cacheHierarchy uniqueName="[Measures].[TY Avg DC Transit Stock Cost USD]" caption="TY Avg DC Transit Stock Cost USD" measure="1" displayFolder="01_TY\USD" measureGroup="StockDC" count="0"/>
    <cacheHierarchy uniqueName="[Measures].[TY Avg DC Cus Stock Cost USD]" caption="TY Avg DC Cus Stock Cost USD" measure="1" displayFolder="01_TY\USD" measureGroup="StockDC" count="0"/>
    <cacheHierarchy uniqueName="[Measures].[LY Avg DC Stock Unit]" caption="LY Avg DC Stock Unit" measure="1" displayFolder="02_LY\_UNIT" measureGroup="StockDC" count="0"/>
    <cacheHierarchy uniqueName="[Measures].[LY Avg DC Transit Stock Unit]" caption="LY Avg DC Transit Stock Unit" measure="1" displayFolder="02_LY\_UNIT" measureGroup="StockDC" count="0"/>
    <cacheHierarchy uniqueName="[Measures].[LY Avg DC Cus Stock Unit]" caption="LY Avg DC Cus Stock Unit" measure="1" displayFolder="02_LY\_UNIT" measureGroup="StockDC" count="0"/>
    <cacheHierarchy uniqueName="[Measures].[LY Avg DC Stock Cost LC]" caption="LY Avg DC Stock Cost LC" measure="1" displayFolder="02_LY\LC" measureGroup="StockDC" count="0"/>
    <cacheHierarchy uniqueName="[Measures].[LY Avg DC Transit Stock Cost LC]" caption="LY Avg DC Transit Stock Cost LC" measure="1" displayFolder="02_LY\LC" measureGroup="StockDC" count="0"/>
    <cacheHierarchy uniqueName="[Measures].[LY Avg DC Cus Stock Cost LC]" caption="LY Avg DC Cus Stock Cost LC" measure="1" displayFolder="02_LY\LC" measureGroup="StockDC" count="0"/>
    <cacheHierarchy uniqueName="[Measures].[LY Avg DC Stock Cost TRY]" caption="LY Avg DC Stock Cost TRY" measure="1" displayFolder="02_LY\TRY" measureGroup="StockDC" count="0"/>
    <cacheHierarchy uniqueName="[Measures].[LY Avg DC Transit Stock Cost TRY]" caption="LY Avg DC Transit Stock Cost TRY" measure="1" displayFolder="02_LY\TRY" measureGroup="StockDC" count="0"/>
    <cacheHierarchy uniqueName="[Measures].[LY Avg DC Cus Stock Cost TRY]" caption="LY Avg DC Cus Stock Cost TRY" measure="1" displayFolder="02_LY\TRY" measureGroup="StockDC" count="0"/>
    <cacheHierarchy uniqueName="[Measures].[LY Avg DC Stock Cost USD]" caption="LY Avg DC Stock Cost USD" measure="1" displayFolder="02_LY\USD" measureGroup="StockDC" count="0"/>
    <cacheHierarchy uniqueName="[Measures].[LY Avg DC Transit Stock Cost USD]" caption="LY Avg DC Transit Stock Cost USD" measure="1" displayFolder="02_LY\USD" measureGroup="StockDC" count="0"/>
    <cacheHierarchy uniqueName="[Measures].[LY Avg DC Cus Stock Cost USD]" caption="LY Avg DC Cus Stock Cost USD" measure="1" displayFolder="02_LY\USD" measureGroup="StockDC" count="0"/>
    <cacheHierarchy uniqueName="[Measures].[CUR Open Imports DC Stock Unit]" caption="CUR Open Imports DC Stock Unit" measure="1" displayFolder="00_CURRENT" measureGroup="StockDC" count="0"/>
    <cacheHierarchy uniqueName="[Measures].[CUR Open Transfer DC Stock Unit]" caption="CUR Open Transfer DC Stock Unit" measure="1" displayFolder="00_CURRENT" measureGroup="StockDC" count="0"/>
    <cacheHierarchy uniqueName="[Measures].[EOP TY Avg DC Stock Unit]" caption="EOP TY Avg DC Stock Unit" measure="1" displayFolder="01_TY\_UNIT" measureGroup="StockDC" count="0"/>
    <cacheHierarchy uniqueName="[Measures].[EOP TY Avg DC Transit Stock Unit]" caption="EOP TY Avg DC Transit Stock Unit" measure="1" displayFolder="01_TY\_UNIT" measureGroup="StockDC" count="0"/>
    <cacheHierarchy uniqueName="[Measures].[EOP TY Avg DC Cus Stock Unit]" caption="EOP TY Avg DC Cus Stock Unit" measure="1" displayFolder="01_TY\_UNIT" measureGroup="StockDC" count="0"/>
    <cacheHierarchy uniqueName="[Measures].[EOP TY Avg DC Stock Cost LC]" caption="EOP TY Avg DC Stock Cost LC" measure="1" displayFolder="01_TY\LC" measureGroup="StockDC" count="0"/>
    <cacheHierarchy uniqueName="[Measures].[EOP TY Avg DC Transit Stock Cost LC]" caption="EOP TY Avg DC Transit Stock Cost LC" measure="1" displayFolder="01_TY\LC" measureGroup="StockDC" count="0"/>
    <cacheHierarchy uniqueName="[Measures].[EOP TY Avg DC CUS Stock Cost LC]" caption="EOP TY Avg DC CUS Stock Cost LC" measure="1" displayFolder="01_TY\LC" measureGroup="StockDC" count="0"/>
    <cacheHierarchy uniqueName="[Measures].[EOP TY Avg DC Stock Cost TRY]" caption="EOP TY Avg DC Stock Cost TRY" measure="1" displayFolder="01_TY\TRY" measureGroup="StockDC" count="0"/>
    <cacheHierarchy uniqueName="[Measures].[EOP TY Avg DC Cus Stock Cost TRY]" caption="EOP TY Avg DC Cus Stock Cost TRY" measure="1" displayFolder="01_TY\TRY" measureGroup="StockDC" count="0"/>
    <cacheHierarchy uniqueName="[Measures].[EOP TY Avg DC Transit Stock Cost TRY]" caption="EOP TY Avg DC Transit Stock Cost TRY" measure="1" displayFolder="01_TY\TRY" measureGroup="StockDC" count="0"/>
    <cacheHierarchy uniqueName="[Measures].[TY Avg DC Other Stock Unit]" caption="TY Avg DC Other Stock Unit" measure="1" displayFolder="01_TY\_UNIT" measureGroup="StockDC" count="0"/>
    <cacheHierarchy uniqueName="[Measures].[EOP TY Avg DC Other Stock Unit]" caption="EOP TY Avg DC Other Stock Unit" measure="1" displayFolder="01_TY\_UNIT" measureGroup="StockDC" count="0"/>
    <cacheHierarchy uniqueName="[Measures].[TY Avg DC Other Stock Cost LC]" caption="TY Avg DC Other Stock Cost LC" measure="1" displayFolder="01_TY\LC" measureGroup="StockDC" count="0"/>
    <cacheHierarchy uniqueName="[Measures].[EOP TY Avg DC Other Stock Cost LC]" caption="EOP TY Avg DC Other Stock Cost LC" measure="1" displayFolder="01_TY\LC" measureGroup="StockDC" count="0"/>
    <cacheHierarchy uniqueName="[Measures].[TY Avg DC Other Stock Cost TRY]" caption="TY Avg DC Other Stock Cost TRY" measure="1" displayFolder="01_TY\TRY" measureGroup="StockDC" count="0"/>
    <cacheHierarchy uniqueName="[Measures].[EOP TY Avg DC Other Stock Cost TRY]" caption="EOP TY Avg DC Other Stock Cost TRY" measure="1" displayFolder="01_TY\TRY" measureGroup="StockDC" count="0"/>
    <cacheHierarchy uniqueName="[Measures].[TY Avg DC Other Stock Cost USD]" caption="TY Avg DC Other Stock Cost USD" measure="1" displayFolder="01_TY\USD" measureGroup="StockDC" count="0"/>
    <cacheHierarchy uniqueName="[Measures].[EOP TY Avg DC Stock Cost USD]" caption="EOP TY Avg DC Stock Cost USD" measure="1" displayFolder="01_TY\USD" measureGroup="StockDC" count="0"/>
    <cacheHierarchy uniqueName="[Measures].[EOP TY Avg DC Transit Stock Cost USD]" caption="EOP TY Avg DC Transit Stock Cost USD" measure="1" displayFolder="01_TY\USD" measureGroup="StockDC" count="0"/>
    <cacheHierarchy uniqueName="[Measures].[EOP TY Avg DC Cus Stock Cost USD]" caption="EOP TY Avg DC Cus Stock Cost USD" measure="1" displayFolder="01_TY\USD" measureGroup="StockDC" count="0"/>
    <cacheHierarchy uniqueName="[Measures].[EOP TY Avg DC Other Stock Cost USD]" caption="EOP TY Avg DC Other Stock Cost USD" measure="1" displayFolder="01_TY\USD" measureGroup="StockDC" count="0"/>
    <cacheHierarchy uniqueName="[Measures].[LY Avg DC Other Stock Unit]" caption="LY Avg DC Other Stock Unit" measure="1" displayFolder="02_LY\_UNIT" measureGroup="StockDC" count="0"/>
    <cacheHierarchy uniqueName="[Measures].[LY Avg DC Other Stock Cost LC]" caption="LY Avg DC Other Stock Cost LC" measure="1" displayFolder="02_LY\LC" measureGroup="StockDC" count="0"/>
    <cacheHierarchy uniqueName="[Measures].[LY Avg DC Other Stock Cost TRY]" caption="LY Avg DC Other Stock Cost TRY" measure="1" displayFolder="02_LY\TRY" measureGroup="StockDC" count="0"/>
    <cacheHierarchy uniqueName="[Measures].[LY Avg DC Other Stock Cost USD]" caption="LY Avg DC Other Stock Cost USD" measure="1" displayFolder="02_LY\USD" measureGroup="StockDC" count="0"/>
    <cacheHierarchy uniqueName="[Measures].[EOP Goods Receipt PO DC Stock Unit]" caption="EOP Goods Receipt PO DC Stock Unit" measure="1" displayFolder="01_TY\_UNIT" measureGroup="StockDC" count="0"/>
    <cacheHierarchy uniqueName="[Measures].[EOP Goods Receipt PO DC Transit Stock Unit]" caption="EOP Goods Receipt PO DC Transit Stock Unit" measure="1" displayFolder="01_TY\_UNIT" measureGroup="StockDC" count="0"/>
    <cacheHierarchy uniqueName="[Measures].[EOP Goods Receipt PO DC Cus Stock Unit]" caption="EOP Goods Receipt PO DC Cus Stock Unit" measure="1" displayFolder="01_TY\_UNIT" measureGroup="StockDC" count="0"/>
    <cacheHierarchy uniqueName="[Measures].[EOP Goods Receipt PO DC Other Stock Unit]" caption="EOP Goods Receipt PO DC Other Stock Unit" measure="1" displayFolder="01_TY\_UNIT" measureGroup="StockDC" count="0"/>
    <cacheHierarchy uniqueName="[Measures].[CUR Available DC Stock Unit]" caption="CUR Available DC Stock Unit" measure="1" displayFolder="00_CURRENT" measureGroup="StockDC" count="0"/>
    <cacheHierarchy uniqueName="[Measures].[CUR Real DC Stock Unit]" caption="CUR Real DC Stock Unit" measure="1" displayFolder="00_CURRENT" measureGroup="StockDC" count="0"/>
    <cacheHierarchy uniqueName="[Measures].[CUR Open Delivery DC Stock Unit]" caption="CUR Open Delivery DC Stock Unit" measure="1" displayFolder="00_CURRENT" measureGroup="StockDC" count="0"/>
    <cacheHierarchy uniqueName="[Measures].[CUR Open Order DC Stock Unit]" caption="CUR Open Order DC Stock Unit" measure="1" displayFolder="00_CURRENT" measureGroup="StockDC" count="0"/>
    <cacheHierarchy uniqueName="[Measures].[CUR Open Sto DC Stock Unit]" caption="CUR Open Sto DC Stock Unit" measure="1" displayFolder="00_CURRENT" measureGroup="StockDC" count="0"/>
    <cacheHierarchy uniqueName="[Measures].[CUR Safety DC Stock Unit]" caption="CUR Safety DC Stock Unit" measure="1" displayFolder="00_CURRENT" measureGroup="StockDC" count="0"/>
    <cacheHierarchy uniqueName="[Measures].[CUR Buffer DC Stock Unit]" caption="CUR Buffer DC Stock Unit" measure="1" displayFolder="00_CURRENT" measureGroup="StockDC" count="0"/>
    <cacheHierarchy uniqueName="[Measures].[CUR Unapproved Order DC Stock Unit]" caption="CUR Unapproved Order DC Stock Unit" measure="1" displayFolder="00_CURRENT" measureGroup="StockDC" count="0"/>
    <cacheHierarchy uniqueName="[Measures].[EOP LY DC Transit Stock Unit]" caption="EOP LY DC Transit Stock Unit" measure="1" displayFolder="02_LY\_UNIT" measureGroup="StockDC" count="0"/>
    <cacheHierarchy uniqueName="[Measures].[EOP LY DC Cus Stock Unit]" caption="EOP LY DC Cus Stock Unit" measure="1" displayFolder="02_LY\_UNIT" measureGroup="StockDC" count="0"/>
    <cacheHierarchy uniqueName="[Measures].[EOP LY DC Other Stock Unit]" caption="EOP LY DC Other Stock Unit" measure="1" displayFolder="02_LY\_UNIT" measureGroup="StockDC" count="0"/>
    <cacheHierarchy uniqueName="[Measures].[EOP LY DC Stock Unit]" caption="EOP LY DC Stock Unit" measure="1" displayFolder="02_LY\_UNIT" measureGroup="StockDC" count="0"/>
    <cacheHierarchy uniqueName="[Measures].[TY Avg Store Stock Unit]" caption="TY Avg Store Stock Unit" measure="1" displayFolder="01_TY\_UNIT" measureGroup="StockStore" count="0" oneField="1">
      <fieldsUsage count="1">
        <fieldUsage x="2"/>
      </fieldsUsage>
    </cacheHierarchy>
    <cacheHierarchy uniqueName="[Measures].[TY Avg Store Transit Stock Unit]" caption="TY Avg Store Transit Stock Unit" measure="1" displayFolder="01_TY\_UNIT" measureGroup="StockStore" count="0"/>
    <cacheHierarchy uniqueName="[Measures].[TY Avg Store Stock Cost LC]" caption="TY Avg Store Stock Cost LC" measure="1" displayFolder="01_TY\LC" measureGroup="StockStore" count="0"/>
    <cacheHierarchy uniqueName="[Measures].[TY Avg Store Transit Stock Cost LC]" caption="TY Avg Store Transit Stock Cost LC" measure="1" displayFolder="01_TY\LC" measureGroup="StockStore" count="0"/>
    <cacheHierarchy uniqueName="[Measures].[TY LFL Avg Store Stock Unit]" caption="TY LFL Avg Store Stock Unit" measure="1" displayFolder="02_TYLFL\_UNIT" measureGroup="StockStore" count="0"/>
    <cacheHierarchy uniqueName="[Measures].[TY LFL Avg Store Transit Stock Unit]" caption="TY LFL Avg Store Transit Stock Unit" measure="1" displayFolder="02_TYLFL\_UNIT" measureGroup="StockStore" count="0"/>
    <cacheHierarchy uniqueName="[Measures].[TY LFL Avg Store Stock Cost LC]" caption="TY LFL Avg Store Stock Cost LC" measure="1" displayFolder="02_TYLFL\LC" measureGroup="StockStore" count="0"/>
    <cacheHierarchy uniqueName="[Measures].[TY LFL Avg Store Transit Stock Cost LC]" caption="TY LFL Avg Store Transit Stock Cost LC" measure="1" displayFolder="02_TYLFL\LC" measureGroup="StockStore" count="0"/>
    <cacheHierarchy uniqueName="[Measures].[TY Avg Store Stock Cost TRY]" caption="TY Avg Store Stock Cost TRY" measure="1" displayFolder="01_TY\TRY" measureGroup="StockStore" count="0"/>
    <cacheHierarchy uniqueName="[Measures].[TY Avg Store Transit Stock Cost TRY]" caption="TY Avg Store Transit Stock Cost TRY" measure="1" displayFolder="01_TY\TRY" measureGroup="StockStore" count="0"/>
    <cacheHierarchy uniqueName="[Measures].[TY Avg Store Stock Cost USD]" caption="TY Avg Store Stock Cost USD" measure="1" displayFolder="01_TY\USD" measureGroup="StockStore" count="0"/>
    <cacheHierarchy uniqueName="[Measures].[TY Avg Store Transit Stock Cost USD]" caption="TY Avg Store Transit Stock Cost USD" measure="1" displayFolder="01_TY\USD" measureGroup="StockStore" count="0"/>
    <cacheHierarchy uniqueName="[Measures].[TY LFL Avg Store Stock Cost TRY]" caption="TY LFL Avg Store Stock Cost TRY" measure="1" displayFolder="02_TYLFL\TRY" measureGroup="StockStore" count="0"/>
    <cacheHierarchy uniqueName="[Measures].[TY LFL Avg Store Transit Stock Cost TRY]" caption="TY LFL Avg Store Transit Stock Cost TRY" measure="1" displayFolder="02_TYLFL\TRY" measureGroup="StockStore" count="0"/>
    <cacheHierarchy uniqueName="[Measures].[TY LFL Avg Store Stock Cost USD]" caption="TY LFL Avg Store Stock Cost USD" measure="1" displayFolder="02_TYLFL\USD" measureGroup="StockStore" count="0"/>
    <cacheHierarchy uniqueName="[Measures].[TY LFL Avg Store Transit Stock Cost USD]" caption="TY LFL Avg Store Transit Stock Cost USD" measure="1" displayFolder="02_TYLFL\USD" measureGroup="StockStore" count="0"/>
    <cacheHierarchy uniqueName="[Measures].[StockLastProcessTime]" caption="StockLastProcessTime" measure="1" displayFolder="00_INFO" measureGroup="StockStore" count="0"/>
    <cacheHierarchy uniqueName="[Measures].[LY Avg Store Stock Unit]" caption="LY Avg Store Stock Unit" measure="1" displayFolder="03_LY\_UNIT" measureGroup="StockStore" count="0"/>
    <cacheHierarchy uniqueName="[Measures].[LY Avg Store Transit Stock Unit]" caption="LY Avg Store Transit Stock Unit" measure="1" displayFolder="03_LY\_UNIT" measureGroup="StockStore" count="0"/>
    <cacheHierarchy uniqueName="[Measures].[LY Avg Store Stock Cost LC]" caption="LY Avg Store Stock Cost LC" measure="1" displayFolder="03_LY\LC" measureGroup="StockStore" count="0"/>
    <cacheHierarchy uniqueName="[Measures].[LY Avg Store Transit Stock Cost LC]" caption="LY Avg Store Transit Stock Cost LC" measure="1" displayFolder="03_LY\LC" measureGroup="StockStore" count="0"/>
    <cacheHierarchy uniqueName="[Measures].[LY Avg Store Stock Cost TRY]" caption="LY Avg Store Stock Cost TRY" measure="1" displayFolder="03_LY\TRY" measureGroup="StockStore" count="0"/>
    <cacheHierarchy uniqueName="[Measures].[LY Avg Store Transit Stock Cost TRY]" caption="LY Avg Store Transit Stock Cost TRY" measure="1" displayFolder="03_LY\TRY" measureGroup="StockStore" count="0"/>
    <cacheHierarchy uniqueName="[Measures].[LY Avg Store Stock Cost USD]" caption="LY Avg Store Stock Cost USD" measure="1" displayFolder="03_LY\USD" measureGroup="StockStore" count="0"/>
    <cacheHierarchy uniqueName="[Measures].[LY Avg Store Transit Stock Cost USD]" caption="LY Avg Store Transit Stock Cost USD" measure="1" displayFolder="03_LY\USD" measureGroup="StockStore" count="0"/>
    <cacheHierarchy uniqueName="[Measures].[LY LFL Avg Store Stock Unit]" caption="LY LFL Avg Store Stock Unit" measure="1" displayFolder="04_LYLFL\_UNIT" measureGroup="StockStore" count="0" oneField="1">
      <fieldsUsage count="1">
        <fieldUsage x="10"/>
      </fieldsUsage>
    </cacheHierarchy>
    <cacheHierarchy uniqueName="[Measures].[LY LFL Avg Store Transit Stock Unit]" caption="LY LFL Avg Store Transit Stock Unit" measure="1" displayFolder="04_LYLFL\_UNIT" measureGroup="StockStore" count="0"/>
    <cacheHierarchy uniqueName="[Measures].[LY LFL Avg Store Stock Cost LC]" caption="LY LFL Avg Store Stock Cost LC" measure="1" displayFolder="04_LYLFL\LC" measureGroup="StockStore" count="0"/>
    <cacheHierarchy uniqueName="[Measures].[LY LFL Avg Store Transit Stock Cost LC]" caption="LY LFL Avg Store Transit Stock Cost LC" measure="1" displayFolder="04_LYLFL\LC" measureGroup="StockStore" count="0"/>
    <cacheHierarchy uniqueName="[Measures].[LY LFL Avg Store Stock Cost TRY]" caption="LY LFL Avg Store Stock Cost TRY" measure="1" displayFolder="04_LYLFL\TRY" measureGroup="StockStore" count="0"/>
    <cacheHierarchy uniqueName="[Measures].[LY LFL Avg Store Transit Stock Cost TRY]" caption="LY LFL Avg Store Transit Stock Cost TRY" measure="1" displayFolder="04_LYLFL\TRY" measureGroup="StockStore" count="0"/>
    <cacheHierarchy uniqueName="[Measures].[LY LFL Avg Store Stock Cost USD]" caption="LY LFL Avg Store Stock Cost USD" measure="1" displayFolder="04_LYLFL\USD" measureGroup="StockStore" count="0"/>
    <cacheHierarchy uniqueName="[Measures].[LY LFL Avg Store Transit Stock Cost USD]" caption="LY LFL Avg Store Transit Stock Cost USD" measure="1" displayFolder="04_LYLFL\USD" measureGroup="StockStore" count="0"/>
    <cacheHierarchy uniqueName="[Measures].[CUR Open Imports Store Stock Unit]" caption="CUR Open Imports Store Stock Unit" measure="1" displayFolder="00_CURRENT" measureGroup="StockStore" count="0"/>
    <cacheHierarchy uniqueName="[Measures].[CUR Open Transfer Store Stock Unit]" caption="CUR Open Transfer Store Stock Unit" measure="1" displayFolder="00_CURRENT" measureGroup="StockStore" count="0"/>
    <cacheHierarchy uniqueName="[Measures].[EOP TY Store Stock Unit]" caption="EOP TY Store Stock Unit" measure="1" displayFolder="01_TY\_UNIT" measureGroup="StockStore" count="0"/>
    <cacheHierarchy uniqueName="[Measures].[EOP TY Avg Store Stock Cost LC]" caption="EOP TY Avg Store Stock Cost LC" measure="1" displayFolder="01_TY\LC" measureGroup="StockStore" count="0"/>
    <cacheHierarchy uniqueName="[Measures].[EOP TY Store Transit Stock Unit]" caption="EOP TY Store Transit Stock Unit" measure="1" displayFolder="01_TY\_UNIT" measureGroup="StockStore" count="0"/>
    <cacheHierarchy uniqueName="[Measures].[EOP TY Avg Store Transit Stock Cost LC]" caption="EOP TY Avg Store Transit Stock Cost LC" measure="1" displayFolder="01_TY\LC" measureGroup="StockStore" count="0"/>
    <cacheHierarchy uniqueName="[Measures].[EOP TY Avg Store Stock Cost TRY]" caption="EOP TY Avg Store Stock Cost TRY" measure="1" displayFolder="01_TY\TRY" measureGroup="StockStore" count="0"/>
    <cacheHierarchy uniqueName="[Measures].[EOP TY Avg Store Transit Stock Cost TRY]" caption="EOP TY Avg Store Transit Stock Cost TRY" measure="1" displayFolder="01_TY\TRY" measureGroup="StockStore" count="0"/>
    <cacheHierarchy uniqueName="[Measures].[EOP LY Store Stock Unit]" caption="EOP LY Store Stock Unit" measure="1" displayFolder="03_LY\_UNIT" measureGroup="StockStore" count="0"/>
    <cacheHierarchy uniqueName="[Measures].[EOP LY Store Transit Stock Unit]" caption="EOP LY Store Transit Stock Unit" measure="1" displayFolder="03_LY\_UNIT" measureGroup="StockStore" count="0"/>
    <cacheHierarchy uniqueName="[Measures].[EOP LY Avg Store Stock Cost LC]" caption="EOP LY Avg Store Stock Cost LC" measure="1" displayFolder="03_LY\LC" measureGroup="StockStore" count="0"/>
    <cacheHierarchy uniqueName="[Measures].[EOP LY Avg Store Transit Stock Cost LC]" caption="EOP LY Avg Store Transit Stock Cost LC" measure="1" displayFolder="03_LY\LC" measureGroup="StockStore" count="0"/>
    <cacheHierarchy uniqueName="[Measures].[EOP LY Avg Store Stock Cost TRY]" caption="EOP LY Avg Store Stock Cost TRY" measure="1" displayFolder="03_LY\TRY" measureGroup="StockStore" count="0"/>
    <cacheHierarchy uniqueName="[Measures].[EOP LY Avg Store Transit Stock Cost TRY]" caption="EOP LY Avg Store Transit Stock Cost TRY" measure="1" displayFolder="03_LY\TRY" measureGroup="StockStore" count="0"/>
    <cacheHierarchy uniqueName="[Measures].[TY Avg Store Other Stock Unit]" caption="TY Avg Store Other Stock Unit" measure="1" displayFolder="01_TY\_UNIT" measureGroup="StockStore" count="0"/>
    <cacheHierarchy uniqueName="[Measures].[TY LFL Avg Store Other Stock Unit]" caption="TY LFL Avg Store Other Stock Unit" measure="1" displayFolder="02_TYLFL\_UNIT" measureGroup="StockStore" count="0"/>
    <cacheHierarchy uniqueName="[Measures].[LY Avg Store Other Stock Unit]" caption="LY Avg Store Other Stock Unit" measure="1" displayFolder="03_LY\_UNIT" measureGroup="StockStore" count="0"/>
    <cacheHierarchy uniqueName="[Measures].[LY LFL Avg Store Other Stock Unit]" caption="LY LFL Avg Store Other Stock Unit" measure="1" displayFolder="04_LYLFL\_UNIT" measureGroup="StockStore" count="0"/>
    <cacheHierarchy uniqueName="[Measures].[TY Avg Company Stock Unit]" caption="TY Avg Company Stock Unit" measure="1" displayFolder="01_TY\_UNIT" measureGroup="StockStore" count="0"/>
    <cacheHierarchy uniqueName="[Measures].[TY Avg Store Other Stock Cost TRY]" caption="TY Avg Store Other Stock Cost TRY" measure="1" displayFolder="01_TY\TRY" measureGroup="StockStore" count="0"/>
    <cacheHierarchy uniqueName="[Measures].[EOP TY Avg Company Stock Cost TRY]" caption="EOP TY Avg Company Stock Cost TRY" measure="1" displayFolder="01_TY\TRY" measureGroup="StockStore" count="0"/>
    <cacheHierarchy uniqueName="[Measures].[EOP TY Avg Store Other Stock Cost TRY]" caption="EOP TY Avg Store Other Stock Cost TRY" measure="1" displayFolder="01_TY\TRY" measureGroup="StockStore" count="0"/>
    <cacheHierarchy uniqueName="[Measures].[TY Avg StoreOther Stock Cost LC]" caption="TY Avg StoreOther Stock Cost LC" measure="1" displayFolder="01_TY\LC" measureGroup="StockStore" count="0"/>
    <cacheHierarchy uniqueName="[Measures].[EOP TY Avg Store Other Stock Cost LC]" caption="EOP TY Avg Store Other Stock Cost LC" measure="1" displayFolder="01_TY\LC" measureGroup="StockStore" count="0"/>
    <cacheHierarchy uniqueName="[Measures].[TY Avg Store Other Stock Cost USD]" caption="TY Avg Store Other Stock Cost USD" measure="1" displayFolder="01_TY\USD" measureGroup="StockStore" count="0"/>
    <cacheHierarchy uniqueName="[Measures].[TY Avg Company Stock Cost TRY]" caption="TY Avg Company Stock Cost TRY" measure="1" displayFolder="01_TY\TRY" measureGroup="StockStore" count="0"/>
    <cacheHierarchy uniqueName="[Measures].[TY Avg Company Stock Cost LC]" caption="TY Avg Company Stock Cost LC" measure="1" displayFolder="01_TY\LC" measureGroup="StockStore" count="0"/>
    <cacheHierarchy uniqueName="[Measures].[TY Avg Company Stock Cost USD]" caption="TY Avg Company Stock Cost USD" measure="1" displayFolder="01_TY\USD" measureGroup="StockStore" count="0"/>
    <cacheHierarchy uniqueName="[Measures].[TY Avg Store Other Stock Cost LC]" caption="TY Avg Store Other Stock Cost LC" measure="1" displayFolder="01_TY\LC" measureGroup="StockStore" count="0"/>
    <cacheHierarchy uniqueName="[Measures].[LY Avg Company Stock Unit]" caption="LY Avg Company Stock Unit" measure="1" displayFolder="03_LY\_UNIT" measureGroup="StockStore" count="0"/>
    <cacheHierarchy uniqueName="[Measures].[LY Avg Company Stock Cost LC]" caption="LY Avg Company Stock Cost LC" measure="1" displayFolder="03_LY\LC" measureGroup="StockStore" count="0"/>
    <cacheHierarchy uniqueName="[Measures].[LY Avg Store Other Stock Cost LC]" caption="LY Avg Store Other Stock Cost LC" measure="1" displayFolder="03_LY\LC" measureGroup="StockStore" count="0"/>
    <cacheHierarchy uniqueName="[Measures].[LY Avg Company Stock Cost TRY]" caption="LY Avg Company Stock Cost TRY" measure="1" displayFolder="03_LY\TRY" measureGroup="StockStore" count="0"/>
    <cacheHierarchy uniqueName="[Measures].[LY Avg Company Stock Cost USD]" caption="LY Avg Company Stock Cost USD" measure="1" displayFolder="03_LY\USD" measureGroup="StockStore" count="0"/>
    <cacheHierarchy uniqueName="[Measures].[EOP TY Company Stock Unit]" caption="EOP TY Company Stock Unit" measure="1" displayFolder="01_TY\_UNIT" measureGroup="StockStore" count="0"/>
    <cacheHierarchy uniqueName="[Measures].[EOP TY Store Other Stock Unit]" caption="EOP TY Store Other Stock Unit" measure="1" displayFolder="01_TY\_UNIT" measureGroup="StockStore" count="0"/>
    <cacheHierarchy uniqueName="[Measures].[EOP TY Company Stock Cost TRY]" caption="EOP TY Company Stock Cost TRY" measure="1" displayFolder="01_TY\TRY" measureGroup="StockStore" count="0"/>
    <cacheHierarchy uniqueName="[Measures].[Cur Unit ISP VAT LC]" caption="Cur Unit ISP VAT LC" measure="1" displayFolder="00_CURRENT" measureGroup="StockStore" count="0"/>
    <cacheHierarchy uniqueName="[Measures].[Cur Discounted Unit ISP VAT LC]" caption="Cur Discounted Unit ISP VAT LC" measure="1" displayFolder="00_CURRENT" measureGroup="StockStore" count="0"/>
    <cacheHierarchy uniqueName="[Measures].[CUR Available Store Stock Unit]" caption="CUR Available Store Stock Unit" measure="1" displayFolder="00_CURRENT" measureGroup="StockStore" count="0"/>
    <cacheHierarchy uniqueName="[Measures].[CUR Real Store Stock Unit]" caption="CUR Real Store Stock Unit" measure="1" displayFolder="00_CURRENT" measureGroup="StockStore" count="0"/>
    <cacheHierarchy uniqueName="[Measures].[CUR Open Delivery Store Stock Unit]" caption="CUR Open Delivery Store Stock Unit" measure="1" displayFolder="00_CURRENT" measureGroup="StockStore" count="0"/>
    <cacheHierarchy uniqueName="[Measures].[CUR Open Sto Store Stock Unit]" caption="CUR Open Sto Store Stock Unit" measure="1" displayFolder="00_CURRENT" measureGroup="StockStore" count="0"/>
    <cacheHierarchy uniqueName="[Measures].[CUR Safety Store Stock Unit]" caption="CUR Safety Store Stock Unit" measure="1" displayFolder="00_CURRENT" measureGroup="StockStore" count="0"/>
    <cacheHierarchy uniqueName="[Measures].[CUR Buffer Store Stock Unit]" caption="CUR Buffer Store Stock Unit" measure="1" displayFolder="00_CURRENT" measureGroup="StockStore" count="0"/>
    <cacheHierarchy uniqueName="[Measures].[CUR Unapproved Order Store Stock Unit]" caption="CUR Unapproved Order Store Stock Unit" measure="1" displayFolder="00_CURRENT" measureGroup="StockStore" count="0"/>
    <cacheHierarchy uniqueName="[Measures].[OrderLastProcessTime]" caption="OrderLastProcessTime" measure="1" displayFolder="00_INFO" measureGroup="StockStore" count="0"/>
    <cacheHierarchy uniqueName="[Measures].[AvailableStockProcessTime]" caption="AvailableStockProcessTime" measure="1" displayFolder="00_INFO" measureGroup="StockStore" count="0"/>
    <cacheHierarchy uniqueName="[Measures].[EOP LY Company Stock Unit]" caption="EOP LY Company Stock Unit" measure="1" displayFolder="03_LY\_UNIT" measureGroup="StockStore" count="0"/>
    <cacheHierarchy uniqueName="[Measures].[EOP LY Store Other Stock Unit]" caption="EOP LY Store Other Stock Unit" measure="1" displayFolder="03_LY\_UNIT" measureGroup="StockStore" count="0"/>
    <cacheHierarchy uniqueName="[Measures].[CUR Open Order Store Stock Unit]" caption="CUR Open Order Store Stock Unit" measure="1" displayFolder="00_CURRENT" measureGroup="StockStore" count="0"/>
    <cacheHierarchy uniqueName="[Measures].[EOP TY Store Stock Dm3]" caption="EOP TY Store Stock Dm3" measure="1" displayFolder="01_TY\_VOLUME" measureGroup="StockStore" count="0"/>
    <cacheHierarchy uniqueName="[Measures].[TY Avg Store Stock Dm3]" caption="TY Avg Store Stock Dm3" measure="1" displayFolder="01_TY\_VOLUME" measureGroup="StockStore" count="0"/>
    <cacheHierarchy uniqueName="[Measures].[EOP TY Store Transit Stock Dm3]" caption="EOP TY Store Transit Stock Dm3" measure="1" displayFolder="01_TY\_VOLUME" measureGroup="StockStore" count="0"/>
    <cacheHierarchy uniqueName="[Measures].[CUR Open Transfer Store Stock Dm3]" caption="CUR Open Transfer Store Stock Dm3" measure="1" displayFolder="00_CURRENT" measureGroup="StockStore" count="0"/>
    <cacheHierarchy uniqueName="[Measures].[CUR Unapproved Order Store Stock Dm3]" caption="CUR Unapproved Order Store Stock Dm3" measure="1" displayFolder="00_CURRENT" measureGroup="StockStore" count="0"/>
    <cacheHierarchy uniqueName="[Measures].[TY Sales Unit]" caption="TY Sales Unit" measure="1" displayFolder="01_TY\_UNIT" measureGroup="Sales" count="0" oneField="1">
      <fieldsUsage count="1">
        <fieldUsage x="1"/>
      </fieldsUsage>
    </cacheHierarchy>
    <cacheHierarchy uniqueName="[Measures].[TY Sales Value VAT LC]" caption="TY Sales Value VAT LC" measure="1" displayFolder="01_TY\LC" measureGroup="Sales" count="0"/>
    <cacheHierarchy uniqueName="[Measures].[TY Sales Value LC]" caption="TY Sales Value LC" measure="1" displayFolder="01_TY\LC" measureGroup="Sales" count="0"/>
    <cacheHierarchy uniqueName="[Measures].[TY Sales Cost VAT LC]" caption="TY Sales Cost VAT LC" measure="1" displayFolder="01_TY\LC" measureGroup="Sales" count="0"/>
    <cacheHierarchy uniqueName="[Measures].[TY Sales Cost LC]" caption="TY Sales Cost LC" measure="1" displayFolder="01_TY\LC" measureGroup="Sales" count="0"/>
    <cacheHierarchy uniqueName="[Measures].[TY ISP Sales Value VAT LC]" caption="TY ISP Sales Value VAT LC" measure="1" displayFolder="01_TY\LC" measureGroup="Sales" count="0"/>
    <cacheHierarchy uniqueName="[Measures].[TY ISP Sales Value LC]" caption="TY ISP Sales Value LC" measure="1" displayFolder="01_TY\LC" measureGroup="Sales" count="0"/>
    <cacheHierarchy uniqueName="[Measures].[TY Sales Discount Value VAT LC]" caption="TY Sales Discount Value VAT LC" measure="1" displayFolder="01_TY\LC" measureGroup="Sales" count="0"/>
    <cacheHierarchy uniqueName="[Measures].[TY Sales Discount Value LC]" caption="TY Sales Discount Value LC" measure="1" displayFolder="01_TY\LC" measureGroup="Sales" count="0"/>
    <cacheHierarchy uniqueName="[Measures].[TY Sales Value VAT TRY]" caption="TY Sales Value VAT TRY" measure="1" displayFolder="01_TY\TRY" measureGroup="Sales" count="0"/>
    <cacheHierarchy uniqueName="[Measures].[TY Sales Value TRY]" caption="TY Sales Value TRY" measure="1" displayFolder="01_TY\TRY" measureGroup="Sales" count="0" oneField="1">
      <fieldsUsage count="1">
        <fieldUsage x="17"/>
      </fieldsUsage>
    </cacheHierarchy>
    <cacheHierarchy uniqueName="[Measures].[TY Sales Cost VAT TRY]" caption="TY Sales Cost VAT TRY" measure="1" displayFolder="01_TY\TRY" measureGroup="Sales" count="0"/>
    <cacheHierarchy uniqueName="[Measures].[TY Sales Cost TRY]" caption="TY Sales Cost TRY" measure="1" displayFolder="01_TY\TRY" measureGroup="Sales" count="0"/>
    <cacheHierarchy uniqueName="[Measures].[TY ISP Sales Value VAT TRY]" caption="TY ISP Sales Value VAT TRY" measure="1" displayFolder="01_TY\TRY" measureGroup="Sales" count="0"/>
    <cacheHierarchy uniqueName="[Measures].[TY ISP Sales Value TRY]" caption="TY ISP Sales Value TRY" measure="1" displayFolder="01_TY\TRY" measureGroup="Sales" count="0"/>
    <cacheHierarchy uniqueName="[Measures].[TY Sales Discount Value VAT TRY]" caption="TY Sales Discount Value VAT TRY" measure="1" displayFolder="01_TY\TRY" measureGroup="Sales" count="0"/>
    <cacheHierarchy uniqueName="[Measures].[TY Sales Discount Value TRY]" caption="TY Sales Discount Value TRY" measure="1" displayFolder="01_TY\TRY" measureGroup="Sales" count="0"/>
    <cacheHierarchy uniqueName="[Measures].[TY Invoice Count]" caption="TY Invoice Count" measure="1" displayFolder="01_TY\_UNIT" measureGroup="Sales" count="0" oneField="1">
      <fieldsUsage count="1">
        <fieldUsage x="41"/>
      </fieldsUsage>
    </cacheHierarchy>
    <cacheHierarchy uniqueName="[Measures].[TY Return Invoice Count]" caption="TY Return Invoice Count" measure="1" displayFolder="01_TY\_UNIT" measureGroup="Sales" count="0"/>
    <cacheHierarchy uniqueName="[Measures].[TY Gross Invoice Count]" caption="TY Gross Invoice Count" measure="1" displayFolder="01_TY\_UNIT" measureGroup="Sales" count="0"/>
    <cacheHierarchy uniqueName="[Measures].[SalesLastProcessTime]" caption="SalesLastProcessTime" measure="1" displayFolder="00_INFO" measureGroup="Sales" count="0"/>
    <cacheHierarchy uniqueName="[Measures].[TY LFL Gross Invoice Count]" caption="TY LFL Gross Invoice Count" measure="1" displayFolder="02_TYLFL\_UNIT" measureGroup="Sales" count="0"/>
    <cacheHierarchy uniqueName="[Measures].[TY LFL Return Invoice Count]" caption="TY LFL Return Invoice Count" measure="1" displayFolder="02_TYLFL\_UNIT" measureGroup="Sales" count="0"/>
    <cacheHierarchy uniqueName="[Measures].[TY LFL Invoice Count]" caption="TY LFL Invoice Count" measure="1" displayFolder="02_TYLFL\_UNIT" measureGroup="Sales" count="0"/>
    <cacheHierarchy uniqueName="[Measures].[LY Sales Unit]" caption="LY Sales Unit" measure="1" displayFolder="03_LY\_UNIT" measureGroup="Sales" count="0"/>
    <cacheHierarchy uniqueName="[Measures].[LY Sales Value VAT LC]" caption="LY Sales Value VAT LC" measure="1" displayFolder="03_LY\LC" measureGroup="Sales" count="0"/>
    <cacheHierarchy uniqueName="[Measures].[LY Sales Value LC]" caption="LY Sales Value LC" measure="1" displayFolder="03_LY\LC" measureGroup="Sales" count="0"/>
    <cacheHierarchy uniqueName="[Measures].[LY Sales Cost VAT LC]" caption="LY Sales Cost VAT LC" measure="1" displayFolder="03_LY\LC" measureGroup="Sales" count="0"/>
    <cacheHierarchy uniqueName="[Measures].[LY Sales Cost LC]" caption="LY Sales Cost LC" measure="1" displayFolder="03_LY\LC" measureGroup="Sales" count="0"/>
    <cacheHierarchy uniqueName="[Measures].[LY ISP Sales Value VAT LC]" caption="LY ISP Sales Value VAT LC" measure="1" displayFolder="03_LY\LC" measureGroup="Sales" count="0"/>
    <cacheHierarchy uniqueName="[Measures].[LY ISP Sales Value LC]" caption="LY ISP Sales Value LC" measure="1" displayFolder="03_LY\LC" measureGroup="Sales" count="0"/>
    <cacheHierarchy uniqueName="[Measures].[LY Sales Discount Value VAT LC]" caption="LY Sales Discount Value VAT LC" measure="1" displayFolder="03_LY\LC" measureGroup="Sales" count="0"/>
    <cacheHierarchy uniqueName="[Measures].[LY Sales Discount Value LC]" caption="LY Sales Discount Value LC" measure="1" displayFolder="03_LY\LC" measureGroup="Sales" count="0"/>
    <cacheHierarchy uniqueName="[Measures].[LY Invoice Count]" caption="LY Invoice Count" measure="1" displayFolder="03_LY\_UNIT" measureGroup="Sales" count="0"/>
    <cacheHierarchy uniqueName="[Measures].[LY Gross Invoice Count]" caption="LY Gross Invoice Count" measure="1" displayFolder="03_LY\_UNIT" measureGroup="Sales" count="0"/>
    <cacheHierarchy uniqueName="[Measures].[LY Return Invoice Count]" caption="LY Return Invoice Count" measure="1" displayFolder="03_LY\_UNIT" measureGroup="Sales" count="0"/>
    <cacheHierarchy uniqueName="[Measures].[TY LFL Sales Unit]" caption="TY LFL Sales Unit" measure="1" displayFolder="02_TYLFL\_UNIT" measureGroup="Sales" count="0"/>
    <cacheHierarchy uniqueName="[Measures].[TY LFL Sales Value VAT LC]" caption="TY LFL Sales Value VAT LC" measure="1" displayFolder="02_TYLFL\LC" measureGroup="Sales" count="0"/>
    <cacheHierarchy uniqueName="[Measures].[TY LFL Sales Value LC]" caption="TY LFL Sales Value LC" measure="1" displayFolder="02_TYLFL\LC" measureGroup="Sales" count="0"/>
    <cacheHierarchy uniqueName="[Measures].[TY LFL Sales Cost VAT LC]" caption="TY LFL Sales Cost VAT LC" measure="1" displayFolder="02_TYLFL\LC" measureGroup="Sales" count="0"/>
    <cacheHierarchy uniqueName="[Measures].[TY LFL Sales Cost LC]" caption="TY LFL Sales Cost LC" measure="1" displayFolder="02_TYLFL\LC" measureGroup="Sales" count="0"/>
    <cacheHierarchy uniqueName="[Measures].[TY LFL ISP Sales Value VAT LC]" caption="TY LFL ISP Sales Value VAT LC" measure="1" displayFolder="02_TYLFL\LC" measureGroup="Sales" count="0"/>
    <cacheHierarchy uniqueName="[Measures].[TY LFL ISP Sales Value LC]" caption="TY LFL ISP Sales Value LC" measure="1" displayFolder="02_TYLFL\LC" measureGroup="Sales" count="0"/>
    <cacheHierarchy uniqueName="[Measures].[TY LFL Sales Discount Value VAT LC]" caption="TY LFL Sales Discount Value VAT LC" measure="1" displayFolder="02_TYLFL\LC" measureGroup="Sales" count="0"/>
    <cacheHierarchy uniqueName="[Measures].[TY LFL Sales Discount Value LC]" caption="TY LFL Sales Discount Value LC" measure="1" displayFolder="02_TYLFL\LC" measureGroup="Sales" count="0"/>
    <cacheHierarchy uniqueName="[Measures].[TY Sales Value VAT USD]" caption="TY Sales Value VAT USD" measure="1" displayFolder="01_TY\USD" measureGroup="Sales" count="0"/>
    <cacheHierarchy uniqueName="[Measures].[TY Sales Value USD]" caption="TY Sales Value USD" measure="1" displayFolder="01_TY\USD" measureGroup="Sales" count="0"/>
    <cacheHierarchy uniqueName="[Measures].[TY Sales Cost VAT USD]" caption="TY Sales Cost VAT USD" measure="1" displayFolder="01_TY\USD" measureGroup="Sales" count="0"/>
    <cacheHierarchy uniqueName="[Measures].[TY Sales Cost USD]" caption="TY Sales Cost USD" measure="1" displayFolder="01_TY\USD" measureGroup="Sales" count="0"/>
    <cacheHierarchy uniqueName="[Measures].[TY ISP Sales Value VAT USD]" caption="TY ISP Sales Value VAT USD" measure="1" displayFolder="01_TY\USD" measureGroup="Sales" count="0"/>
    <cacheHierarchy uniqueName="[Measures].[TY ISP Sales Value USD]" caption="TY ISP Sales Value USD" measure="1" displayFolder="01_TY\USD" measureGroup="Sales" count="0"/>
    <cacheHierarchy uniqueName="[Measures].[TY Sales Discount Value VAT USD]" caption="TY Sales Discount Value VAT USD" measure="1" displayFolder="01_TY\USD" measureGroup="Sales" count="0"/>
    <cacheHierarchy uniqueName="[Measures].[TY Sales Discount Value USD]" caption="TY Sales Discount Value USD" measure="1" displayFolder="01_TY\USD" measureGroup="Sales" count="0"/>
    <cacheHierarchy uniqueName="[Measures].[TY LFL Sales Value VAT TRY]" caption="TY LFL Sales Value VAT TRY" measure="1" displayFolder="02_TYLFL\TRY" measureGroup="Sales" count="0"/>
    <cacheHierarchy uniqueName="[Measures].[TY LFL Sales Value TRY]" caption="TY LFL Sales Value TRY" measure="1" displayFolder="02_TYLFL\TRY" measureGroup="Sales" count="0"/>
    <cacheHierarchy uniqueName="[Measures].[TY LFL Sales Cost VAT TRY]" caption="TY LFL Sales Cost VAT TRY" measure="1" displayFolder="02_TYLFL\TRY" measureGroup="Sales" count="0"/>
    <cacheHierarchy uniqueName="[Measures].[TY LFL Sales Cost TRY]" caption="TY LFL Sales Cost TRY" measure="1" displayFolder="02_TYLFL\TRY" measureGroup="Sales" count="0"/>
    <cacheHierarchy uniqueName="[Measures].[TY LFL ISP Sales Value VAT TRY]" caption="TY LFL ISP Sales Value VAT TRY" measure="1" displayFolder="02_TYLFL\TRY" measureGroup="Sales" count="0"/>
    <cacheHierarchy uniqueName="[Measures].[TY LFL ISP Sales Value TRY]" caption="TY LFL ISP Sales Value TRY" measure="1" displayFolder="02_TYLFL\TRY" measureGroup="Sales" count="0"/>
    <cacheHierarchy uniqueName="[Measures].[TY LFL Sales Discount Value VAT TRY]" caption="TY LFL Sales Discount Value VAT TRY" measure="1" displayFolder="02_TYLFL\TRY" measureGroup="Sales" count="0"/>
    <cacheHierarchy uniqueName="[Measures].[TY LFL Sales Discount Value TRY]" caption="TY LFL Sales Discount Value TRY" measure="1" displayFolder="02_TYLFL\TRY" measureGroup="Sales" count="0"/>
    <cacheHierarchy uniqueName="[Measures].[TY LFL Sales Value VAT USD]" caption="TY LFL Sales Value VAT USD" measure="1" displayFolder="02_TYLFL\USD" measureGroup="Sales" count="0"/>
    <cacheHierarchy uniqueName="[Measures].[TY LFL Sales Value USD]" caption="TY LFL Sales Value USD" measure="1" displayFolder="02_TYLFL\USD" measureGroup="Sales" count="0"/>
    <cacheHierarchy uniqueName="[Measures].[TY LFL Sales Cost VAT USD]" caption="TY LFL Sales Cost VAT USD" measure="1" displayFolder="02_TYLFL\USD" measureGroup="Sales" count="0"/>
    <cacheHierarchy uniqueName="[Measures].[TY LFL Sales Cost USD]" caption="TY LFL Sales Cost USD" measure="1" displayFolder="02_TYLFL\USD" measureGroup="Sales" count="0"/>
    <cacheHierarchy uniqueName="[Measures].[TY LFL ISP Sales Value VAT USD]" caption="TY LFL ISP Sales Value VAT USD" measure="1" displayFolder="02_TYLFL\USD" measureGroup="Sales" count="0"/>
    <cacheHierarchy uniqueName="[Measures].[TY LFL ISP Sales Value USD]" caption="TY LFL ISP Sales Value USD" measure="1" displayFolder="02_TYLFL\USD" measureGroup="Sales" count="0"/>
    <cacheHierarchy uniqueName="[Measures].[TY LFL Sales Discount Value VAT USD]" caption="TY LFL Sales Discount Value VAT USD" measure="1" displayFolder="02_TYLFL\USD" measureGroup="Sales" count="0"/>
    <cacheHierarchy uniqueName="[Measures].[TY LFL Sales Discount Value USD]" caption="TY LFL Sales Discount Value USD" measure="1" displayFolder="02_TYLFL\USD" measureGroup="Sales" count="0"/>
    <cacheHierarchy uniqueName="[Measures].[LY Sales Value VAT TRY]" caption="LY Sales Value VAT TRY" measure="1" displayFolder="03_LY\TRY" measureGroup="Sales" count="0"/>
    <cacheHierarchy uniqueName="[Measures].[LY Sales Value TRY]" caption="LY Sales Value TRY" measure="1" displayFolder="03_LY\TRY" measureGroup="Sales" count="0"/>
    <cacheHierarchy uniqueName="[Measures].[LY Sales Cost VAT TRY]" caption="LY Sales Cost VAT TRY" measure="1" displayFolder="03_LY\TRY" measureGroup="Sales" count="0"/>
    <cacheHierarchy uniqueName="[Measures].[LY Sales Cost TRY]" caption="LY Sales Cost TRY" measure="1" displayFolder="03_LY\TRY" measureGroup="Sales" count="0"/>
    <cacheHierarchy uniqueName="[Measures].[LY ISP Sales Value VAT TRY]" caption="LY ISP Sales Value VAT TRY" measure="1" displayFolder="03_LY\TRY" measureGroup="Sales" count="0"/>
    <cacheHierarchy uniqueName="[Measures].[LY ISP Sales Value TRY]" caption="LY ISP Sales Value TRY" measure="1" displayFolder="03_LY\TRY" measureGroup="Sales" count="0"/>
    <cacheHierarchy uniqueName="[Measures].[LY Sales Discount Value VAT TRY]" caption="LY Sales Discount Value VAT TRY" measure="1" displayFolder="03_LY\TRY" measureGroup="Sales" count="0"/>
    <cacheHierarchy uniqueName="[Measures].[LY Sales Discount Value TRY]" caption="LY Sales Discount Value TRY" measure="1" displayFolder="03_LY\TRY" measureGroup="Sales" count="0"/>
    <cacheHierarchy uniqueName="[Measures].[LY Sales Value VAT USD]" caption="LY Sales Value VAT USD" measure="1" displayFolder="03_LY\USD" measureGroup="Sales" count="0"/>
    <cacheHierarchy uniqueName="[Measures].[LY Sales Value USD]" caption="LY Sales Value USD" measure="1" displayFolder="03_LY\USD" measureGroup="Sales" count="0"/>
    <cacheHierarchy uniqueName="[Measures].[LY Sales Cost VAT USD]" caption="LY Sales Cost VAT USD" measure="1" displayFolder="03_LY\USD" measureGroup="Sales" count="0"/>
    <cacheHierarchy uniqueName="[Measures].[LY Sales Cost USD]" caption="LY Sales Cost USD" measure="1" displayFolder="03_LY\USD" measureGroup="Sales" count="0"/>
    <cacheHierarchy uniqueName="[Measures].[LY ISP Sales Value VAT USD]" caption="LY ISP Sales Value VAT USD" measure="1" displayFolder="03_LY\USD" measureGroup="Sales" count="0"/>
    <cacheHierarchy uniqueName="[Measures].[LY ISP Sales Value USD]" caption="LY ISP Sales Value USD" measure="1" displayFolder="03_LY\USD" measureGroup="Sales" count="0"/>
    <cacheHierarchy uniqueName="[Measures].[LY Sales Discount Value VAT USD]" caption="LY Sales Discount Value VAT USD" measure="1" displayFolder="03_LY\USD" measureGroup="Sales" count="0"/>
    <cacheHierarchy uniqueName="[Measures].[LY Sales Discount Value USD]" caption="LY Sales Discount Value USD" measure="1" displayFolder="03_LY\USD" measureGroup="Sales" count="0"/>
    <cacheHierarchy uniqueName="[Measures].[LY LFL Sales Unit]" caption="LY LFL Sales Unit" measure="1" displayFolder="04_LYLFL\_UNIT" measureGroup="Sales" count="0" oneField="1">
      <fieldsUsage count="1">
        <fieldUsage x="9"/>
      </fieldsUsage>
    </cacheHierarchy>
    <cacheHierarchy uniqueName="[Measures].[LY LFL Sales Value VAT LC]" caption="LY LFL Sales Value VAT LC" measure="1" displayFolder="04_LYLFL\LC" measureGroup="Sales" count="0"/>
    <cacheHierarchy uniqueName="[Measures].[LY LFL Sales Value LC]" caption="LY LFL Sales Value LC" measure="1" displayFolder="04_LYLFL\LC" measureGroup="Sales" count="0"/>
    <cacheHierarchy uniqueName="[Measures].[LY LFL Sales Cost VAT LC]" caption="LY LFL Sales Cost VAT LC" measure="1" displayFolder="04_LYLFL\LC" measureGroup="Sales" count="0"/>
    <cacheHierarchy uniqueName="[Measures].[LY LFL Sales Cost LC]" caption="LY LFL Sales Cost LC" measure="1" displayFolder="04_LYLFL\LC" measureGroup="Sales" count="0"/>
    <cacheHierarchy uniqueName="[Measures].[LY LFL ISP Sales Value VAT LC]" caption="LY LFL ISP Sales Value VAT LC" measure="1" displayFolder="04_LYLFL\LC" measureGroup="Sales" count="0"/>
    <cacheHierarchy uniqueName="[Measures].[LY LFL ISP Sales Value LC]" caption="LY LFL ISP Sales Value LC" measure="1" displayFolder="04_LYLFL\LC" measureGroup="Sales" count="0"/>
    <cacheHierarchy uniqueName="[Measures].[LY LFL Sales Discount Value VAT LC]" caption="LY LFL Sales Discount Value VAT LC" measure="1" displayFolder="04_LYLFL\LC" measureGroup="Sales" count="0"/>
    <cacheHierarchy uniqueName="[Measures].[LY LFL Sales Discount Value LC]" caption="LY LFL Sales Discount Value LC" measure="1" displayFolder="04_LYLFL\LC" measureGroup="Sales" count="0"/>
    <cacheHierarchy uniqueName="[Measures].[LY LFL Sales Value VAT TRY]" caption="LY LFL Sales Value VAT TRY" measure="1" displayFolder="04_LYLFL\TRY" measureGroup="Sales" count="0"/>
    <cacheHierarchy uniqueName="[Measures].[LY LFL Sales Value TRY]" caption="LY LFL Sales Value TRY" measure="1" displayFolder="04_LYLFL\TRY" measureGroup="Sales" count="0" oneField="1">
      <fieldsUsage count="1">
        <fieldUsage x="18"/>
      </fieldsUsage>
    </cacheHierarchy>
    <cacheHierarchy uniqueName="[Measures].[LY LFL Sales Cost VAT TRY]" caption="LY LFL Sales Cost VAT TRY" measure="1" displayFolder="04_LYLFL\TRY" measureGroup="Sales" count="0"/>
    <cacheHierarchy uniqueName="[Measures].[LY LFL Sales Cost TRY]" caption="LY LFL Sales Cost TRY" measure="1" displayFolder="04_LYLFL\TRY" measureGroup="Sales" count="0"/>
    <cacheHierarchy uniqueName="[Measures].[LY LFL ISP Sales Value VAT TRY]" caption="LY LFL ISP Sales Value VAT TRY" measure="1" displayFolder="04_LYLFL\TRY" measureGroup="Sales" count="0"/>
    <cacheHierarchy uniqueName="[Measures].[LY LFL ISP Sales Value TRY]" caption="LY LFL ISP Sales Value TRY" measure="1" displayFolder="04_LYLFL\TRY" measureGroup="Sales" count="0"/>
    <cacheHierarchy uniqueName="[Measures].[LY LFL Sales Discount Value VAT TRY]" caption="LY LFL Sales Discount Value VAT TRY" measure="1" displayFolder="04_LYLFL\TRY" measureGroup="Sales" count="0"/>
    <cacheHierarchy uniqueName="[Measures].[LY LFL Sales Discount Value TRY]" caption="LY LFL Sales Discount Value TRY" measure="1" displayFolder="04_LYLFL\TRY" measureGroup="Sales" count="0"/>
    <cacheHierarchy uniqueName="[Measures].[LY LFL Gross Invoice Count]" caption="LY LFL Gross Invoice Count" measure="1" displayFolder="04_LYLFL\_UNIT" measureGroup="Sales" count="0"/>
    <cacheHierarchy uniqueName="[Measures].[LY LFL Return Invoice Count]" caption="LY LFL Return Invoice Count" measure="1" displayFolder="04_LYLFL\_UNIT" measureGroup="Sales" count="0"/>
    <cacheHierarchy uniqueName="[Measures].[LY LFL Invoice Count]" caption="LY LFL Invoice Count" measure="1" displayFolder="04_LYLFL\_UNIT" measureGroup="Sales" count="0" oneField="1">
      <fieldsUsage count="1">
        <fieldUsage x="42"/>
      </fieldsUsage>
    </cacheHierarchy>
    <cacheHierarchy uniqueName="[Measures].[LY LFL Sales Value VAT USD]" caption="LY LFL Sales Value VAT USD" measure="1" displayFolder="04_LYLFL\USD" measureGroup="Sales" count="0"/>
    <cacheHierarchy uniqueName="[Measures].[LY LFL Sales Value USD]" caption="LY LFL Sales Value USD" measure="1" displayFolder="04_LYLFL\USD" measureGroup="Sales" count="0"/>
    <cacheHierarchy uniqueName="[Measures].[LY LFL Sales Cost VAT USD]" caption="LY LFL Sales Cost VAT USD" measure="1" displayFolder="04_LYLFL\USD" measureGroup="Sales" count="0"/>
    <cacheHierarchy uniqueName="[Measures].[LY LFL Sales Cost USD]" caption="LY LFL Sales Cost USD" measure="1" displayFolder="04_LYLFL\USD" measureGroup="Sales" count="0"/>
    <cacheHierarchy uniqueName="[Measures].[LY LFL ISP Sales Value VAT USD]" caption="LY LFL ISP Sales Value VAT USD" measure="1" displayFolder="04_LYLFL\USD" measureGroup="Sales" count="0"/>
    <cacheHierarchy uniqueName="[Measures].[LY LFL ISP Sales Value USD]" caption="LY LFL ISP Sales Value USD" measure="1" displayFolder="04_LYLFL\USD" measureGroup="Sales" count="0"/>
    <cacheHierarchy uniqueName="[Measures].[LY LFL Sales Discount Value VAT USD]" caption="LY LFL Sales Discount Value VAT USD" measure="1" displayFolder="04_LYLFL\USD" measureGroup="Sales" count="0"/>
    <cacheHierarchy uniqueName="[Measures].[LY LFL Sales Discount Value USD]" caption="LY LFL Sales Discount Value USD" measure="1" displayFolder="04_LYLFL\USD" measureGroup="Sales" count="0"/>
    <cacheHierarchy uniqueName="[Measures].[MinLflDate]" caption="MinLflDate" measure="1" displayFolder="00_INFO" measureGroup="Sales" count="0"/>
    <cacheHierarchy uniqueName="[Measures].[TY Unit Sales Price LC]" caption="TY Unit Sales Price LC" measure="1" displayFolder="01_TY\LC" measureGroup="Sales" count="0"/>
    <cacheHierarchy uniqueName="[Measures].[TY Unit Cost LC]" caption="TY Unit Cost LC" measure="1" displayFolder="01_TY\LC" measureGroup="Sales" count="0"/>
    <cacheHierarchy uniqueName="[Measures].[TY Unit ISP LC]" caption="TY Unit ISP LC" measure="1" displayFolder="01_TY\LC" measureGroup="Sales" count="0"/>
    <cacheHierarchy uniqueName="[Measures].[LY Unit Sales Price LC]" caption="LY Unit Sales Price LC" measure="1" displayFolder="03_LY\LC" measureGroup="Sales" count="0"/>
    <cacheHierarchy uniqueName="[Measures].[LY Unit Cost LC]" caption="LY Unit Cost LC" measure="1" displayFolder="03_LY\LC" measureGroup="Sales" count="0"/>
    <cacheHierarchy uniqueName="[Measures].[LY Unit ISP LC]" caption="LY Unit ISP LC" measure="1" displayFolder="03_LY\LC" measureGroup="Sales" count="0"/>
    <cacheHierarchy uniqueName="[Measures].[TY LFL Unit Sales Price LC]" caption="TY LFL Unit Sales Price LC" measure="1" displayFolder="02_TYLFL\LC" measureGroup="Sales" count="0"/>
    <cacheHierarchy uniqueName="[Measures].[TY LFL Unit Cost LC]" caption="TY LFL Unit Cost LC" measure="1" displayFolder="02_TYLFL\LC" measureGroup="Sales" count="0"/>
    <cacheHierarchy uniqueName="[Measures].[TY LFL Unit ISP LC]" caption="TY LFL Unit ISP LC" measure="1" displayFolder="02_TYLFL\LC" measureGroup="Sales" count="0"/>
    <cacheHierarchy uniqueName="[Measures].[LY LFL Unit Sales Price LC]" caption="LY LFL Unit Sales Price LC" measure="1" displayFolder="04_LYLFL\LC" measureGroup="Sales" count="0"/>
    <cacheHierarchy uniqueName="[Measures].[LY LFL Unit Cost LC]" caption="LY LFL Unit Cost LC" measure="1" displayFolder="04_LYLFL\LC" measureGroup="Sales" count="0"/>
    <cacheHierarchy uniqueName="[Measures].[LY LFL Unit ISP LC]" caption="LY LFL Unit ISP LC" measure="1" displayFolder="04_LYLFL\LC" measureGroup="Sales" count="0"/>
    <cacheHierarchy uniqueName="[Measures].[TY Unit Sales Price TRY]" caption="TY Unit Sales Price TRY" measure="1" displayFolder="01_TY\TRY" measureGroup="Sales" count="0" oneField="1">
      <fieldsUsage count="1">
        <fieldUsage x="24"/>
      </fieldsUsage>
    </cacheHierarchy>
    <cacheHierarchy uniqueName="[Measures].[TY Unit Cost TRY]" caption="TY Unit Cost TRY" measure="1" displayFolder="01_TY\TRY" measureGroup="Sales" count="0" oneField="1">
      <fieldsUsage count="1">
        <fieldUsage x="23"/>
      </fieldsUsage>
    </cacheHierarchy>
    <cacheHierarchy uniqueName="[Measures].[TY Unit ISP TRY]" caption="TY Unit ISP TRY" measure="1" displayFolder="01_TY\TRY" measureGroup="Sales" count="0"/>
    <cacheHierarchy uniqueName="[Measures].[LY Unit Sales Price TRY]" caption="LY Unit Sales Price TRY" measure="1" displayFolder="03_LY\TRY" measureGroup="Sales" count="0"/>
    <cacheHierarchy uniqueName="[Measures].[LY Unit Cost TRY]" caption="LY Unit Cost TRY" measure="1" displayFolder="03_LY\TRY" measureGroup="Sales" count="0"/>
    <cacheHierarchy uniqueName="[Measures].[LY Unit ISP TRY]" caption="LY Unit ISP TRY" measure="1" displayFolder="03_LY\TRY" measureGroup="Sales" count="0"/>
    <cacheHierarchy uniqueName="[Measures].[TY LFL Unit Sales Price TRY]" caption="TY LFL Unit Sales Price TRY" measure="1" displayFolder="02_TYLFL\TRY" measureGroup="Sales" count="0"/>
    <cacheHierarchy uniqueName="[Measures].[TY LFL Unit Cost TRY]" caption="TY LFL Unit Cost TRY" measure="1" displayFolder="02_TYLFL\TRY" measureGroup="Sales" count="0"/>
    <cacheHierarchy uniqueName="[Measures].[TY LFL Unit ISP TRY]" caption="TY LFL Unit ISP TRY" measure="1" displayFolder="02_TYLFL\TRY" measureGroup="Sales" count="0"/>
    <cacheHierarchy uniqueName="[Measures].[LY LFL Unit Sales Price TRY]" caption="LY LFL Unit Sales Price TRY" measure="1" displayFolder="04_LYLFL\TRY" measureGroup="Sales" count="0" oneField="1">
      <fieldsUsage count="1">
        <fieldUsage x="28"/>
      </fieldsUsage>
    </cacheHierarchy>
    <cacheHierarchy uniqueName="[Measures].[LY LFL Unit Cost TRY]" caption="LY LFL Unit Cost TRY" measure="1" displayFolder="04_LYLFL\TRY" measureGroup="Sales" count="0" oneField="1">
      <fieldsUsage count="1">
        <fieldUsage x="27"/>
      </fieldsUsage>
    </cacheHierarchy>
    <cacheHierarchy uniqueName="[Measures].[LY LFL Unit ISP TRY]" caption="LY LFL Unit ISP TRY" measure="1" displayFolder="04_LYLFL\TRY" measureGroup="Sales" count="0"/>
    <cacheHierarchy uniqueName="[Measures].[TY Unit Sales Price USD]" caption="TY Unit Sales Price USD" measure="1" displayFolder="01_TY\USD" measureGroup="Sales" count="0"/>
    <cacheHierarchy uniqueName="[Measures].[TY Unit Cost USD]" caption="TY Unit Cost USD" measure="1" displayFolder="01_TY\USD" measureGroup="Sales" count="0"/>
    <cacheHierarchy uniqueName="[Measures].[TY Unit ISP USD]" caption="TY Unit ISP USD" measure="1" displayFolder="01_TY\USD" measureGroup="Sales" count="0"/>
    <cacheHierarchy uniqueName="[Measures].[LY Unit Sales Price USD]" caption="LY Unit Sales Price USD" measure="1" displayFolder="03_LY\USD" measureGroup="Sales" count="0"/>
    <cacheHierarchy uniqueName="[Measures].[LY Unit Cost USD]" caption="LY Unit Cost USD" measure="1" displayFolder="03_LY\USD" measureGroup="Sales" count="0"/>
    <cacheHierarchy uniqueName="[Measures].[LY Unit ISP USD]" caption="LY Unit ISP USD" measure="1" displayFolder="03_LY\USD" measureGroup="Sales" count="0"/>
    <cacheHierarchy uniqueName="[Measures].[TY LFL Unit Sales Price USD]" caption="TY LFL Unit Sales Price USD" measure="1" displayFolder="02_TYLFL\USD" measureGroup="Sales" count="0"/>
    <cacheHierarchy uniqueName="[Measures].[TY LFL Unit Cost USD]" caption="TY LFL Unit Cost USD" measure="1" displayFolder="02_TYLFL\USD" measureGroup="Sales" count="0"/>
    <cacheHierarchy uniqueName="[Measures].[TY LFL Unit ISP USD]" caption="TY LFL Unit ISP USD" measure="1" displayFolder="02_TYLFL\USD" measureGroup="Sales" count="0"/>
    <cacheHierarchy uniqueName="[Measures].[LY LFL Unit Sales Price USD]" caption="LY LFL Unit Sales Price USD" measure="1" displayFolder="04_LYLFL\USD" measureGroup="Sales" count="0"/>
    <cacheHierarchy uniqueName="[Measures].[LY LFL Unit Cost USD]" caption="LY LFL Unit Cost USD" measure="1" displayFolder="04_LYLFL\USD" measureGroup="Sales" count="0"/>
    <cacheHierarchy uniqueName="[Measures].[LY LFL Unit ISP USD]" caption="LY LFL Unit ISP USD" measure="1" displayFolder="04_LYLFL\USD" measureGroup="Sales" count="0"/>
    <cacheHierarchy uniqueName="[Measures].[TY Gross Profit LC]" caption="TY Gross Profit LC" measure="1" displayFolder="01_TY\LC" measureGroup="Sales" count="0"/>
    <cacheHierarchy uniqueName="[Measures].[TY Gross Profit VAT LC]" caption="TY Gross Profit VAT LC" measure="1" displayFolder="01_TY\LC" measureGroup="Sales" count="0"/>
    <cacheHierarchy uniqueName="[Measures].[LY Gross Profit LC]" caption="LY Gross Profit LC" measure="1" displayFolder="03_LY\LC" measureGroup="Sales" count="0"/>
    <cacheHierarchy uniqueName="[Measures].[LY Gross Profit VAT LC]" caption="LY Gross Profit VAT LC" measure="1" displayFolder="03_LY\LC" measureGroup="Sales" count="0"/>
    <cacheHierarchy uniqueName="[Measures].[TY Gross Profit TRY]" caption="TY Gross Profit TRY" measure="1" displayFolder="01_TY\TRY" measureGroup="Sales" count="0"/>
    <cacheHierarchy uniqueName="[Measures].[TY Gross Profit VAT TRY]" caption="TY Gross Profit VAT TRY" measure="1" displayFolder="01_TY\TRY" measureGroup="Sales" count="0"/>
    <cacheHierarchy uniqueName="[Measures].[TY Gross Profit USD]" caption="TY Gross Profit USD" measure="1" displayFolder="01_TY\USD" measureGroup="Sales" count="0"/>
    <cacheHierarchy uniqueName="[Measures].[TY Gross Profit VAT USD]" caption="TY Gross Profit VAT USD" measure="1" displayFolder="01_TY\USD" measureGroup="Sales" count="0"/>
    <cacheHierarchy uniqueName="[Measures].[LY Gross Profit TRY]" caption="LY Gross Profit TRY" measure="1" displayFolder="03_LY\TRY" measureGroup="Sales" count="0"/>
    <cacheHierarchy uniqueName="[Measures].[LY Gross Profit VAT TRY]" caption="LY Gross Profit VAT TRY" measure="1" displayFolder="03_LY\TRY" measureGroup="Sales" count="0"/>
    <cacheHierarchy uniqueName="[Measures].[LY Gross Profit USD]" caption="LY Gross Profit USD" measure="1" displayFolder="03_LY\USD" measureGroup="Sales" count="0"/>
    <cacheHierarchy uniqueName="[Measures].[LY Gross Profit VAT USD]" caption="LY Gross Profit VAT USD" measure="1" displayFolder="03_LY\USD" measureGroup="Sales" count="0"/>
    <cacheHierarchy uniqueName="[Measures].[TY LFL Gross Profit LC]" caption="TY LFL Gross Profit LC" measure="1" displayFolder="02_TYLFL\LC" measureGroup="Sales" count="0"/>
    <cacheHierarchy uniqueName="[Measures].[TY LFL Gross Profit VAT LC]" caption="TY LFL Gross Profit VAT LC" measure="1" displayFolder="02_TYLFL\LC" measureGroup="Sales" count="0"/>
    <cacheHierarchy uniqueName="[Measures].[TY LFL Gross Profit TRY]" caption="TY LFL Gross Profit TRY" measure="1" displayFolder="02_TYLFL\TRY" measureGroup="Sales" count="0"/>
    <cacheHierarchy uniqueName="[Measures].[TY LFL Gross Profit VAT TRY]" caption="TY LFL Gross Profit VAT TRY" measure="1" displayFolder="02_TYLFL\TRY" measureGroup="Sales" count="0"/>
    <cacheHierarchy uniqueName="[Measures].[TY LFL Gross Profit USD]" caption="TY LFL Gross Profit USD" measure="1" displayFolder="02_TYLFL\USD" measureGroup="Sales" count="0"/>
    <cacheHierarchy uniqueName="[Measures].[TY LFL Gross Profit VAT USD]" caption="TY LFL Gross Profit VAT USD" measure="1" displayFolder="02_TYLFL\USD" measureGroup="Sales" count="0"/>
    <cacheHierarchy uniqueName="[Measures].[LY LFL Gross Profit LC]" caption="LY LFL Gross Profit LC" measure="1" displayFolder="04_LYLFL\LC" measureGroup="Sales" count="0"/>
    <cacheHierarchy uniqueName="[Measures].[LY LFL Gross Profit VAT LC]" caption="LY LFL Gross Profit VAT LC" measure="1" displayFolder="04_LYLFL\LC" measureGroup="Sales" count="0"/>
    <cacheHierarchy uniqueName="[Measures].[LY LFL Gross Profit TRY]" caption="LY LFL Gross Profit TRY" measure="1" displayFolder="04_LYLFL\TRY" measureGroup="Sales" count="0"/>
    <cacheHierarchy uniqueName="[Measures].[LY LFL Gross Profit VAT TRY]" caption="LY LFL Gross Profit VAT TRY" measure="1" displayFolder="04_LYLFL\TRY" measureGroup="Sales" count="0"/>
    <cacheHierarchy uniqueName="[Measures].[LY LFL Gross Profit USD]" caption="LY LFL Gross Profit USD" measure="1" displayFolder="04_LYLFL\USD" measureGroup="Sales" count="0"/>
    <cacheHierarchy uniqueName="[Measures].[LY LFL Gross Profit VAT USD]" caption="LY LFL Gross Profit VAT USD" measure="1" displayFolder="04_LYLFL\USD" measureGroup="Sales" count="0"/>
    <cacheHierarchy uniqueName="[Measures].[TY Unit ISP VAT LC]" caption="TY Unit ISP VAT LC" measure="1" displayFolder="01_TY\LC" measureGroup="Sales" count="0"/>
    <cacheHierarchy uniqueName="[Measures].[LY Unit ISP VAT LC]" caption="LY Unit ISP VAT LC" measure="1" displayFolder="03_LY\LC" measureGroup="Sales" count="0"/>
    <cacheHierarchy uniqueName="[Measures].[TY LFL Unit ISP VAT LC]" caption="TY LFL Unit ISP VAT LC" measure="1" displayFolder="02_TYLFL\LC" measureGroup="Sales" count="0"/>
    <cacheHierarchy uniqueName="[Measures].[LY LFL Unit ISP VAT LC]" caption="LY LFL Unit ISP VAT LC" measure="1" displayFolder="02_TYLFL\LC" measureGroup="Sales" count="0"/>
    <cacheHierarchy uniqueName="[Measures].[TY Unit ISP VAT TRY]" caption="TY Unit ISP VAT TRY" measure="1" displayFolder="01_TY\TRY" measureGroup="Sales" count="0"/>
    <cacheHierarchy uniqueName="[Measures].[LY Unit ISP VAT TRY]" caption="LY Unit ISP VAT TRY" measure="1" displayFolder="03_LY\TRY" measureGroup="Sales" count="0"/>
    <cacheHierarchy uniqueName="[Measures].[TY LFL Unit ISP VAT TRY]" caption="TY LFL Unit ISP VAT TRY" measure="1" displayFolder="02_TYLFL\TRY" measureGroup="Sales" count="0"/>
    <cacheHierarchy uniqueName="[Measures].[LY LFL Unit ISP VAT TRY]" caption="LY LFL Unit ISP VAT TRY" measure="1" displayFolder="04_LYLFL\TRY" measureGroup="Sales" count="0"/>
    <cacheHierarchy uniqueName="[Measures].[TY Unit ISP VAT USD]" caption="TY Unit ISP VAT USD" measure="1" displayFolder="01_TY\USD" measureGroup="Sales" count="0"/>
    <cacheHierarchy uniqueName="[Measures].[LY Unit ISP VAT USD]" caption="LY Unit ISP VAT USD" measure="1" displayFolder="03_LY\USD" measureGroup="Sales" count="0"/>
    <cacheHierarchy uniqueName="[Measures].[TY LFL Unit ISP VAT USD]" caption="TY LFL Unit ISP VAT USD" measure="1" displayFolder="02_TYLFL\USD" measureGroup="Sales" count="0"/>
    <cacheHierarchy uniqueName="[Measures].[LY LFL Unit ISP VAT USD]" caption="LY LFL Unit ISP VAT USD" measure="1" displayFolder="04_LYLFL\USD" measureGroup="Sales" count="0"/>
    <cacheHierarchy uniqueName="[Measures].[TY Target Sales Value LC]" caption="TY Target Sales Value LC" measure="1" displayFolder="01_TY\LC" measureGroup="Sales" count="0"/>
    <cacheHierarchy uniqueName="[Measures].[TY Target Sales Value TRY]" caption="TY Target Sales Value TRY" measure="1" displayFolder="01_TY\TRY" measureGroup="Sales" count="0"/>
    <cacheHierarchy uniqueName="[Measures].[TY Target Sales Value USD]" caption="TY Target Sales Value USD" measure="1" displayFolder="01_TY\USD" measureGroup="Sales" count="0"/>
    <cacheHierarchy uniqueName="[Measures].[LY Target Sales Value LC]" caption="LY Target Sales Value LC" measure="1" displayFolder="03_LY\LC" measureGroup="Sales" count="0"/>
    <cacheHierarchy uniqueName="[Measures].[LY Target Sales Value TRY]" caption="LY Target Sales Value TRY" measure="1" displayFolder="03_LY\TRY" measureGroup="Sales" count="0"/>
    <cacheHierarchy uniqueName="[Measures].[LY Target Sales Value USD]" caption="LY Target Sales Value USD" measure="1" displayFolder="03_LY\USD" measureGroup="Sales" count="0"/>
    <cacheHierarchy uniqueName="[Measures].[TY LFL Target Sales Value LC]" caption="TY LFL Target Sales Value LC" measure="1" displayFolder="02_TYLFL\LC" measureGroup="Sales" count="0"/>
    <cacheHierarchy uniqueName="[Measures].[TY LFL Target Sales Value TRY]" caption="TY LFL Target Sales Value TRY" measure="1" displayFolder="02_TYLFL\TRY" measureGroup="Sales" count="0"/>
    <cacheHierarchy uniqueName="[Measures].[TY LFL Target Sales Value USD]" caption="TY LFL Target Sales Value USD" measure="1" displayFolder="02_TYLFL\USD" measureGroup="Sales" count="0"/>
    <cacheHierarchy uniqueName="[Measures].[LY LFL Target Sales Value LC]" caption="LY LFL Target Sales Value LC" measure="1" displayFolder="04_LYLFL\LC" measureGroup="Sales" count="0"/>
    <cacheHierarchy uniqueName="[Measures].[LY LFL Target Sales Value TRY]" caption="LY LFL Target Sales Value TRY" measure="1" displayFolder="04_LYLFL\TRY" measureGroup="Sales" count="0"/>
    <cacheHierarchy uniqueName="[Measures].[LY LFL Target Sales Value USD]" caption="LY LFL Target Sales Value USD" measure="1" displayFolder="04_LYLFL\USD" measureGroup="Sales" count="0"/>
    <cacheHierarchy uniqueName="[Measures].[TY Sales Cost LC Forecast]" caption="TY Sales Cost LC Forecast" measure="1" displayFolder="01_TY\LC" measureGroup="Sales" count="0"/>
    <cacheHierarchy uniqueName="[Measures].[TY Gross Profit LC Forecast]" caption="TY Gross Profit LC Forecast" measure="1" displayFolder="01_TY\LC" measureGroup="Sales" count="0"/>
    <cacheHierarchy uniqueName="[Measures].[TY Gross Marjin LC% Forecast]" caption="TY Gross Marjin LC% Forecast" measure="1" displayFolder="01_TY\LC" measureGroup="Sales" count="0"/>
    <cacheHierarchy uniqueName="[Measures].[TY Sales Budget Unit]" caption="TY Sales Budget Unit" measure="1" displayFolder="TY\_UNIT" measureGroup="SalesBudget" count="0" oneField="1">
      <fieldsUsage count="1">
        <fieldUsage x="45"/>
      </fieldsUsage>
    </cacheHierarchy>
    <cacheHierarchy uniqueName="[Measures].[TY Sales Budget Value LC]" caption="TY Sales Budget Value LC" measure="1" displayFolder="TY\LC" measureGroup="SalesBudget" count="0" oneField="1">
      <fieldsUsage count="1">
        <fieldUsage x="46"/>
      </fieldsUsage>
    </cacheHierarchy>
    <cacheHierarchy uniqueName="[Measures].[TY Sales Budget Cost LC]" caption="TY Sales Budget Cost LC" measure="1" displayFolder="TY\LC" measureGroup="SalesBudget" count="0"/>
    <cacheHierarchy uniqueName="[Measures].[TY Sales Budget Profit Value LC]" caption="TY Sales Budget Profit Value LC" measure="1" displayFolder="TY\LC" measureGroup="SalesBudget" count="0" oneField="1">
      <fieldsUsage count="1">
        <fieldUsage x="47"/>
      </fieldsUsage>
    </cacheHierarchy>
    <cacheHierarchy uniqueName="[Measures].[Achieved TY Sales Budget Unit]" caption="Achieved TY Sales Budget Unit" measure="1" displayFolder="TY\_UNIT" measureGroup="SalesBudget" count="0"/>
    <cacheHierarchy uniqueName="[Measures].[Achieved TY Sales Budget Value LC]" caption="Achieved TY Sales Budget Value LC" measure="1" displayFolder="TY\LC" measureGroup="SalesBudget" count="0"/>
    <cacheHierarchy uniqueName="[Measures].[Achieved TY Sales Budget Cost LC]" caption="Achieved TY Sales Budget Cost LC" measure="1" displayFolder="TY\LC" measureGroup="SalesBudget" count="0"/>
    <cacheHierarchy uniqueName="[Measures].[Achieved TY Sales Budget Profit Value LC]" caption="Achieved TY Sales Budget Profit Value LC" measure="1" displayFolder="TY\LC" measureGroup="SalesBudget" count="0"/>
    <cacheHierarchy uniqueName="[Measures].[TY Budget Unit Gap]" caption="TY Budget Unit Gap" measure="1" displayFolder="TY\_UNIT" measureGroup="SalesBudget" count="0"/>
    <cacheHierarchy uniqueName="[Measures].[TY Sales Budget Value LC Gap]" caption="TY Sales Budget Value LC Gap" measure="1" displayFolder="TY\LC" measureGroup="SalesBudget" count="0"/>
    <cacheHierarchy uniqueName="[Measures].[TY Sales Budget Cost LC Gap]" caption="TY Sales Budget Cost LC Gap" measure="1" displayFolder="TY\LC" measureGroup="SalesBudget" count="0"/>
    <cacheHierarchy uniqueName="[Measures].[TY Sales Budget Profit Value LC Gap]" caption="TY Sales Budget Profit Value LC Gap" measure="1" displayFolder="TY\LC" measureGroup="SalesBudget" count="0"/>
    <cacheHierarchy uniqueName="[Measures].[TY Sales Budget Value TRY]" caption="TY Sales Budget Value TRY" measure="1" displayFolder="TY\TRY" measureGroup="SalesBudget" count="0"/>
    <cacheHierarchy uniqueName="[Measures].[TY Sales Budget Cost TRY]" caption="TY Sales Budget Cost TRY" measure="1" displayFolder="TY\TRY" measureGroup="SalesBudget" count="0"/>
    <cacheHierarchy uniqueName="[Measures].[TY Sales Budget Profit Value TRY]" caption="TY Sales Budget Profit Value TRY" measure="1" displayFolder="TY\TRY" measureGroup="SalesBudget" count="0"/>
    <cacheHierarchy uniqueName="[Measures].[TY Sales Budget Value USD]" caption="TY Sales Budget Value USD" measure="1" displayFolder="TY\USD" measureGroup="SalesBudget" count="0"/>
    <cacheHierarchy uniqueName="[Measures].[TY Sales Budget Cost USD]" caption="TY Sales Budget Cost USD" measure="1" displayFolder="TY\USD" measureGroup="SalesBudget" count="0"/>
    <cacheHierarchy uniqueName="[Measures].[Achieved TY Sales Budget Value TRY]" caption="Achieved TY Sales Budget Value TRY" measure="1" displayFolder="TY\TRY" measureGroup="SalesBudget" count="0"/>
    <cacheHierarchy uniqueName="[Measures].[Achieved TY Sales Budget Cost TRY]" caption="Achieved TY Sales Budget Cost TRY" measure="1" displayFolder="TY\TRY" measureGroup="SalesBudget" count="0"/>
    <cacheHierarchy uniqueName="[Measures].[Achieved TY Sales Budget Profit Value TRY]" caption="Achieved TY Sales Budget Profit Value TRY" measure="1" displayFolder="TY\TRY" measureGroup="SalesBudget" count="0"/>
    <cacheHierarchy uniqueName="[Measures].[Achieved TY Sales Budget Value USD]" caption="Achieved TY Sales Budget Value USD" measure="1" displayFolder="TY\USD" measureGroup="SalesBudget" count="0"/>
    <cacheHierarchy uniqueName="[Measures].[TY Sales Budget Profit Value USD]" caption="TY Sales Budget Profit Value USD" measure="1" displayFolder="TY\USD" measureGroup="SalesBudget" count="0"/>
    <cacheHierarchy uniqueName="[Measures].[Achieved TY Sales Budget Cost USD]" caption="Achieved TY Sales Budget Cost USD" measure="1" displayFolder="TY\USD" measureGroup="SalesBudget" count="0"/>
    <cacheHierarchy uniqueName="[Measures].[TY Sales Budget Value TRY Gap]" caption="TY Sales Budget Value TRY Gap" measure="1" displayFolder="TY\TRY" measureGroup="SalesBudget" count="0"/>
    <cacheHierarchy uniqueName="[Measures].[TY Sales Budget Cost TRY Gap]" caption="TY Sales Budget Cost TRY Gap" measure="1" displayFolder="TY\TRY" measureGroup="SalesBudget" count="0"/>
    <cacheHierarchy uniqueName="[Measures].[TY Sales Budget Profit Value TRY Gap]" caption="TY Sales Budget Profit Value TRY Gap" measure="1" displayFolder="TY\TRY" measureGroup="SalesBudget" count="0"/>
    <cacheHierarchy uniqueName="[Measures].[Achieved TY Sales Budget Profit Value USD]" caption="Achieved TY Sales Budget Profit Value USD" measure="1" displayFolder="TY\USD" measureGroup="SalesBudget" count="0"/>
    <cacheHierarchy uniqueName="[Measures].[TY Sales Budget Value USD Gap]" caption="TY Sales Budget Value USD Gap" measure="1" displayFolder="TY\USD" measureGroup="SalesBudget" count="0"/>
    <cacheHierarchy uniqueName="[Measures].[TY Sales Budget Cost USD Gap]" caption="TY Sales Budget Cost USD Gap" measure="1" displayFolder="TY\USD" measureGroup="SalesBudget" count="0"/>
    <cacheHierarchy uniqueName="[Measures].[TY Sales Budget Profit Value USD Gap]" caption="TY Sales Budget Profit Value USD Gap" measure="1" displayFolder="TY\USD" measureGroup="SalesBudget" count="0"/>
    <cacheHierarchy uniqueName="[Measures].[LY Sales Budget Unit]" caption="LY Sales Budget Unit" measure="1" displayFolder="LY\_UNIT" measureGroup="SalesBudget" count="0"/>
    <cacheHierarchy uniqueName="[Measures].[Achieved LY Sales Budget Unit]" caption="Achieved LY Sales Budget Unit" measure="1" displayFolder="LY\_UNIT" measureGroup="SalesBudget" count="0"/>
    <cacheHierarchy uniqueName="[Measures].[LY Budget Unit Gap]" caption="LY Budget Unit Gap" measure="1" displayFolder="LY\_UNIT" measureGroup="SalesBudget" count="0"/>
    <cacheHierarchy uniqueName="[Measures].[LY Sales Budget Value LC]" caption="LY Sales Budget Value LC" measure="1" displayFolder="LY\LC" measureGroup="SalesBudget" count="0"/>
    <cacheHierarchy uniqueName="[Measures].[LY Sales Budget Cost LC]" caption="LY Sales Budget Cost LC" measure="1" displayFolder="LY\LC" measureGroup="SalesBudget" count="0"/>
    <cacheHierarchy uniqueName="[Measures].[LY Sales Budget Profit Value LC]" caption="LY Sales Budget Profit Value LC" measure="1" displayFolder="LY\LC" measureGroup="SalesBudget" count="0"/>
    <cacheHierarchy uniqueName="[Measures].[Achieved LY Sales Budget Value LC]" caption="Achieved LY Sales Budget Value LC" measure="1" displayFolder="LY\LC" measureGroup="SalesBudget" count="0"/>
    <cacheHierarchy uniqueName="[Measures].[Achieved LY Sales Budget Cost LC]" caption="Achieved LY Sales Budget Cost LC" measure="1" displayFolder="LY\LC" measureGroup="SalesBudget" count="0"/>
    <cacheHierarchy uniqueName="[Measures].[Achieved LY Sales Budget Profit Value LC]" caption="Achieved LY Sales Budget Profit Value LC" measure="1" displayFolder="LY\LC" measureGroup="SalesBudget" count="0"/>
    <cacheHierarchy uniqueName="[Measures].[LY Sales Budget Value LC Gap]" caption="LY Sales Budget Value LC Gap" measure="1" displayFolder="LY\LC" measureGroup="SalesBudget" count="0"/>
    <cacheHierarchy uniqueName="[Measures].[LY Sales Budget Cost LC Gap]" caption="LY Sales Budget Cost LC Gap" measure="1" displayFolder="LY\LC" measureGroup="SalesBudget" count="0"/>
    <cacheHierarchy uniqueName="[Measures].[LY Sales Budget Profit Value LC Gap]" caption="LY Sales Budget Profit Value LC Gap" measure="1" displayFolder="LY\LC" measureGroup="SalesBudget" count="0"/>
    <cacheHierarchy uniqueName="[Measures].[LY Sales Budget Value TRY]" caption="LY Sales Budget Value TRY" measure="1" displayFolder="LY\TRY" measureGroup="SalesBudget" count="0"/>
    <cacheHierarchy uniqueName="[Measures].[LY Sales Budget Cost TRY]" caption="LY Sales Budget Cost TRY" measure="1" displayFolder="LY\TRY" measureGroup="SalesBudget" count="0"/>
    <cacheHierarchy uniqueName="[Measures].[LY Sales Budget Profit Value TRY]" caption="LY Sales Budget Profit Value TRY" measure="1" displayFolder="LY\TRY" measureGroup="SalesBudget" count="0"/>
    <cacheHierarchy uniqueName="[Measures].[LY Sales Budget Value USD]" caption="LY Sales Budget Value USD" measure="1" displayFolder="LY\USD" measureGroup="SalesBudget" count="0"/>
    <cacheHierarchy uniqueName="[Measures].[LY Sales Budget Cost USD]" caption="LY Sales Budget Cost USD" measure="1" displayFolder="LY\USD" measureGroup="SalesBudget" count="0"/>
    <cacheHierarchy uniqueName="[Measures].[Achieved LY Sales Budget Value TRY]" caption="Achieved LY Sales Budget Value TRY" measure="1" displayFolder="LY\TRY" measureGroup="SalesBudget" count="0"/>
    <cacheHierarchy uniqueName="[Measures].[Achieved LY Sales Budget Cost TRY]" caption="Achieved LY Sales Budget Cost TRY" measure="1" displayFolder="LY\TRY" measureGroup="SalesBudget" count="0"/>
    <cacheHierarchy uniqueName="[Measures].[Achieved LY Sales Budget Profit Value TRY]" caption="Achieved LY Sales Budget Profit Value TRY" measure="1" displayFolder="LY\TRY" measureGroup="SalesBudget" count="0"/>
    <cacheHierarchy uniqueName="[Measures].[Achieved LY Sales Budget Value USD]" caption="Achieved LY Sales Budget Value USD" measure="1" displayFolder="LY\USD" measureGroup="SalesBudget" count="0"/>
    <cacheHierarchy uniqueName="[Measures].[LY Sales Budget Profit Value USD]" caption="LY Sales Budget Profit Value USD" measure="1" displayFolder="LY\USD" measureGroup="SalesBudget" count="0"/>
    <cacheHierarchy uniqueName="[Measures].[Achieved LY Sales Budget Cost USD]" caption="Achieved LY Sales Budget Cost USD" measure="1" displayFolder="LY\USD" measureGroup="SalesBudget" count="0"/>
    <cacheHierarchy uniqueName="[Measures].[LY Sales Budget Value TRY Gap]" caption="LY Sales Budget Value TRY Gap" measure="1" displayFolder="LY\TRY" measureGroup="SalesBudget" count="0"/>
    <cacheHierarchy uniqueName="[Measures].[LY Sales Budget Cost TRY Gap]" caption="LY Sales Budget Cost TRY Gap" measure="1" displayFolder="LY\TRY" measureGroup="SalesBudget" count="0"/>
    <cacheHierarchy uniqueName="[Measures].[LY Sales Budget Profit Value TRY Gap]" caption="LY Sales Budget Profit Value TRY Gap" measure="1" displayFolder="LY\TRY" measureGroup="SalesBudget" count="0"/>
    <cacheHierarchy uniqueName="[Measures].[Achieved LY Sales Budget Profit Value USD]" caption="Achieved LY Sales Budget Profit Value USD" measure="1" displayFolder="LY\USD" measureGroup="SalesBudget" count="0"/>
    <cacheHierarchy uniqueName="[Measures].[LY Sales Budget Value USD Gap]" caption="LY Sales Budget Value USD Gap" measure="1" displayFolder="LY\USD" measureGroup="SalesBudget" count="0"/>
    <cacheHierarchy uniqueName="[Measures].[LY Sales Budget Cost USD Gap]" caption="LY Sales Budget Cost USD Gap" measure="1" displayFolder="LY\USD" measureGroup="SalesBudget" count="0"/>
    <cacheHierarchy uniqueName="[Measures].[LY Sales Budget Profit Value USD Gap]" caption="LY Sales Budget Profit Value USD Gap" measure="1" displayFolder="LY\USD" measureGroup="SalesBudget" count="0"/>
    <cacheHierarchy uniqueName="[Measures].[TY Sales Budget Gross Marjin TRY%]" caption="TY Sales Budget Gross Marjin TRY%" measure="1" displayFolder="TY\TRY" measureGroup="SalesBudget" count="0"/>
    <cacheHierarchy uniqueName="[Measures].[TY Sales Budget Gross _x0009_Marjin LC%]" caption="TY Sales Budget Gross _x0009_Marjin LC%" measure="1" displayFolder="TY\LC" measureGroup="SalesBudget" count="0"/>
    <cacheHierarchy uniqueName="[Measures].[TY Sales Budget Gross Marjin USD%]" caption="TY Sales Budget Gross Marjin USD%" measure="1" displayFolder="TY\USD" measureGroup="SalesBudget" count="0"/>
    <cacheHierarchy uniqueName="[Measures].[TY Gross Marjin TRY%]" caption="TY Gross Marjin TRY%" measure="1" displayFolder="01_TY\TRY" measureGroup="KPI" count="0" oneField="1">
      <fieldsUsage count="1">
        <fieldUsage x="19"/>
      </fieldsUsage>
    </cacheHierarchy>
    <cacheHierarchy uniqueName="[Measures].[TY Gross Marjin LC%]" caption="TY Gross Marjin LC%" measure="1" displayFolder="01_TY\LC" measureGroup="KPI" count="0"/>
    <cacheHierarchy uniqueName="[Measures].[TY Gross Marjin USD%]" caption="TY Gross Marjin USD%" measure="1" displayFolder="01_TY\USD" measureGroup="KPI" count="0"/>
    <cacheHierarchy uniqueName="[Measures].[LY Gross Marjin LC%]" caption="LY Gross Marjin LC%" measure="1" displayFolder="03_LY\LC" measureGroup="KPI" count="0"/>
    <cacheHierarchy uniqueName="[Measures].[LY Gross Marjin TRY%]" caption="LY Gross Marjin TRY%" measure="1" displayFolder="03_LY\TRY" measureGroup="KPI" count="0"/>
    <cacheHierarchy uniqueName="[Measures].[LY Gross Marjin USD%]" caption="LY Gross Marjin USD%" measure="1" displayFolder="03_LY\USD" measureGroup="KPI" count="0"/>
    <cacheHierarchy uniqueName="[Measures].[TY LFL Gross Marjin LC%]" caption="TY LFL Gross Marjin LC%" measure="1" displayFolder="02_TYLFL\LC" measureGroup="KPI" count="0"/>
    <cacheHierarchy uniqueName="[Measures].[TY LFL Gross Marjin TRY%]" caption="TY LFL Gross Marjin TRY%" measure="1" displayFolder="02_TYLFL\TRY" measureGroup="KPI" count="0"/>
    <cacheHierarchy uniqueName="[Measures].[TY LFL Gross Marjin USD%]" caption="TY LFL Gross Marjin USD%" measure="1" displayFolder="02_TYLFL\USD" measureGroup="KPI" count="0"/>
    <cacheHierarchy uniqueName="[Measures].[LY LFL Gross Marjin LC%]" caption="LY LFL Gross Marjin LC%" measure="1" displayFolder="04_LYLFL\LC" measureGroup="KPI" count="0"/>
    <cacheHierarchy uniqueName="[Measures].[LY LFL Gross Marjin TRY%]" caption="LY LFL Gross Marjin TRY%" measure="1" displayFolder="04_LYLFL\TRY" measureGroup="KPI" count="0" oneField="1">
      <fieldsUsage count="1">
        <fieldUsage x="20"/>
      </fieldsUsage>
    </cacheHierarchy>
    <cacheHierarchy uniqueName="[Measures].[LY LFL Gross Marjin USD%]" caption="LY LFL Gross Marjin USD%" measure="1" displayFolder="04_LYLFL\USD" measureGroup="KPI" count="0"/>
    <cacheHierarchy uniqueName="[Measures].[TY Store Back Cover LC]" caption="TY Store Back Cover LC" measure="1" displayFolder="01_TY\LC" measureGroup="KPI" count="0"/>
    <cacheHierarchy uniqueName="[Measures].[TY Store Back Cover Unit]" caption="TY Store Back Cover Unit" measure="1" displayFolder="01_TY\UNIT" measureGroup="KPI" count="0" oneField="1">
      <fieldsUsage count="1">
        <fieldUsage x="25"/>
      </fieldsUsage>
    </cacheHierarchy>
    <cacheHierarchy uniqueName="[Measures].[TY Store Turnover Unit]" caption="TY Store Turnover Unit" measure="1" displayFolder="01_TY\_UNIT" measureGroup="KPI" count="0" oneField="1">
      <fieldsUsage count="1">
        <fieldUsage x="36"/>
      </fieldsUsage>
    </cacheHierarchy>
    <cacheHierarchy uniqueName="[Measures].[TY Store Turnover  LC]" caption="TY Store Turnover  LC" measure="1" displayFolder="01_TY\LC" measureGroup="KPI" count="0"/>
    <cacheHierarchy uniqueName="[Measures].[TY Store Turnover TRY]" caption="TY Store Turnover TRY" measure="1" displayFolder="01_TY\TRY" measureGroup="KPI" count="0"/>
    <cacheHierarchy uniqueName="[Measures].[TY Store Turnover USD]" caption="TY Store Turnover USD" measure="1" displayFolder="01_TY\USD" measureGroup="KPI" count="0"/>
    <cacheHierarchy uniqueName="[Measures].[TY Actual MarkDown LC%]" caption="TY Actual MarkDown LC%" measure="1" displayFolder="01_TY\LC" measureGroup="KPI" count="0"/>
    <cacheHierarchy uniqueName="[Measures].[TY Actual MarkDown TRY%]" caption="TY Actual MarkDown TRY%" measure="1" displayFolder="01_TY\TRY" measureGroup="KPI" count="0" oneField="1">
      <fieldsUsage count="1">
        <fieldUsage x="39"/>
      </fieldsUsage>
    </cacheHierarchy>
    <cacheHierarchy uniqueName="[Measures].[TY Actual MarkDown USD%]" caption="TY Actual MarkDown USD%" measure="1" displayFolder="01_TY\USD" measureGroup="KPI" count="0"/>
    <cacheHierarchy uniqueName="[Measures].[TY Store Back Cover TRY]" caption="TY Store Back Cover TRY" measure="1" displayFolder="01_TY\TRY" measureGroup="KPI" count="0"/>
    <cacheHierarchy uniqueName="[Measures].[TY Store Back Cover USD]" caption="TY Store Back Cover USD" measure="1" displayFolder="01_TY\USD" measureGroup="KPI" count="0"/>
    <cacheHierarchy uniqueName="[Measures].[TY LFL Store Back Cover Unit]" caption="TY LFL Store Back Cover Unit" measure="1" displayFolder="02_TYLFL\_UNIT" measureGroup="KPI" count="0"/>
    <cacheHierarchy uniqueName="[Measures].[LY Store Turnover Unit]" caption="LY Store Turnover Unit" measure="1" displayFolder="03_LY\_UNIT" measureGroup="KPI" count="0" oneField="1">
      <fieldsUsage count="1">
        <fieldUsage x="37"/>
      </fieldsUsage>
    </cacheHierarchy>
    <cacheHierarchy uniqueName="[Measures].[LY Store Turnover  LC]" caption="LY Store Turnover  LC" measure="1" displayFolder="03_LY\LC" measureGroup="KPI" count="0"/>
    <cacheHierarchy uniqueName="[Measures].[LY Store Turnover TRY]" caption="LY Store Turnover TRY" measure="1" displayFolder="03_LY\TRY" measureGroup="KPI" count="0"/>
    <cacheHierarchy uniqueName="[Measures].[LY Store Turnover USD]" caption="LY Store Turnover USD" measure="1" displayFolder="03_LY\USD" measureGroup="KPI" count="0"/>
    <cacheHierarchy uniqueName="[Measures].[TY LFL Store Turnover Unit]" caption="TY LFL Store Turnover Unit" measure="1" displayFolder="02_TYLFL\_UNIT" measureGroup="KPI" count="0"/>
    <cacheHierarchy uniqueName="[Measures].[TY LFL Store Turnover  LC]" caption="TY LFL Store Turnover  LC" measure="1" displayFolder="02_TYLFL\LC" measureGroup="KPI" count="0"/>
    <cacheHierarchy uniqueName="[Measures].[TY LFL Store Turnover TRY]" caption="TY LFL Store Turnover TRY" measure="1" displayFolder="02_TYLFL\TRY" measureGroup="KPI" count="0"/>
    <cacheHierarchy uniqueName="[Measures].[TY LFL Store Turnover USD]" caption="TY LFL Store Turnover USD" measure="1" displayFolder="02_TYLFL\USD" measureGroup="KPI" count="0"/>
    <cacheHierarchy uniqueName="[Measures].[LY LFL Store Turnover Unit]" caption="LY LFL Store Turnover Unit" measure="1" displayFolder="04_LYLFL\_UNIT" measureGroup="KPI" count="0"/>
    <cacheHierarchy uniqueName="[Measures].[LY LFL Store Turnover  LC]" caption="LY LFL Store Turnover  LC" measure="1" displayFolder="04_LYLFL\LC" measureGroup="KPI" count="0"/>
    <cacheHierarchy uniqueName="[Measures].[LY LFL Store Turnover TRY]" caption="LY LFL Store Turnover TRY" measure="1" displayFolder="04_LYLFL\TRY" measureGroup="KPI" count="0"/>
    <cacheHierarchy uniqueName="[Measures].[LY LFL Store Turnover USD]" caption="LY LFL Store Turnover USD" measure="1" displayFolder="04_LYLFL\USD" measureGroup="KPI" count="0"/>
    <cacheHierarchy uniqueName="[Measures].[TY Actual MarkUp LC]" caption="TY Actual MarkUp LC" measure="1" displayFolder="01_TY\LC" measureGroup="KPI" count="0"/>
    <cacheHierarchy uniqueName="[Measures].[TY Actual MarkUp TRY]" caption="TY Actual MarkUp TRY" measure="1" displayFolder="01_TY\TRY" measureGroup="KPI" count="0" oneField="1">
      <fieldsUsage count="1">
        <fieldUsage x="38"/>
      </fieldsUsage>
    </cacheHierarchy>
    <cacheHierarchy uniqueName="[Measures].[TY Actual MarkUp USD]" caption="TY Actual MarkUp USD" measure="1" displayFolder="01_TY\USD" measureGroup="KPI" count="0"/>
    <cacheHierarchy uniqueName="[Measures].[LY Actual MarkUp LC]" caption="LY Actual MarkUp LC" measure="1" displayFolder="03_LY\LC" measureGroup="KPI" count="0"/>
    <cacheHierarchy uniqueName="[Measures].[LY Actual MarkUp TRY]" caption="LY Actual MarkUp TRY" measure="1" displayFolder="03_LY\TRY" measureGroup="KPI" count="0" oneField="1">
      <fieldsUsage count="1">
        <fieldUsage x="40"/>
      </fieldsUsage>
    </cacheHierarchy>
    <cacheHierarchy uniqueName="[Measures].[LY Actual MarkUp USD]" caption="LY Actual MarkUp USD" measure="1" displayFolder="03_LY\USD" measureGroup="KPI" count="0"/>
    <cacheHierarchy uniqueName="[Measures].[TY LFL Actual MarkUp LC]" caption="TY LFL Actual MarkUp LC" measure="1" displayFolder="02_TYLFL\LC" measureGroup="KPI" count="0"/>
    <cacheHierarchy uniqueName="[Measures].[TY LFL Actual MarkUp TRY]" caption="TY LFL Actual MarkUp TRY" measure="1" displayFolder="02_TYLFL\TRY" measureGroup="KPI" count="0"/>
    <cacheHierarchy uniqueName="[Measures].[TY LFL Actual MarkUp USD]" caption="TY LFL Actual MarkUp USD" measure="1" displayFolder="02_TYLFL\USD" measureGroup="KPI" count="0"/>
    <cacheHierarchy uniqueName="[Measures].[LY LFL Actual MarkUp LC]" caption="LY LFL Actual MarkUp LC" measure="1" displayFolder="04_LYLFL\LC" measureGroup="KPI" count="0"/>
    <cacheHierarchy uniqueName="[Measures].[LY LFL Actual MarkUp TRY]" caption="LY LFL Actual MarkUp TRY" measure="1" displayFolder="04_LYLFL\TRY" measureGroup="KPI" count="0"/>
    <cacheHierarchy uniqueName="[Measures].[LY LFL Actual MarkUp USD]" caption="LY LFL Actual MarkUp USD" measure="1" displayFolder="04_LYLFL\USD" measureGroup="KPI" count="0"/>
    <cacheHierarchy uniqueName="[Measures].[LY Store Back Cover Unit]" caption="LY Store Back Cover Unit" measure="1" displayFolder="03_LY\_UNIT" measureGroup="KPI" count="0"/>
    <cacheHierarchy uniqueName="[Measures].[LY LFL Store Back Cover Unit]" caption="LY LFL Store Back Cover Unit" measure="1" displayFolder="04_LYLFL\_UNIT" measureGroup="KPI" count="0" oneField="1">
      <fieldsUsage count="1">
        <fieldUsage x="29"/>
      </fieldsUsage>
    </cacheHierarchy>
    <cacheHierarchy uniqueName="[Measures].[TY Conversion Rate]" caption="TY Conversion Rate" measure="1" displayFolder="01_TY\_UNIT" measureGroup="KPI" count="0"/>
    <cacheHierarchy uniqueName="[Measures].[LY Conversion Rate]" caption="LY Conversion Rate" measure="1" displayFolder="03_LY\_UNIT" measureGroup="KPI" count="0"/>
    <cacheHierarchy uniqueName="[Measures].[TY LFL Conversion Rate]" caption="TY LFL Conversion Rate" measure="1" displayFolder="02_TYLFL\_UNIT" measureGroup="KPI" count="0"/>
    <cacheHierarchy uniqueName="[Measures].[LY LFL Conversion Rate]" caption="LY LFL Conversion Rate" measure="1" displayFolder="04_LYLFL\_UNIT" measureGroup="KPI" count="0"/>
    <cacheHierarchy uniqueName="[Measures].[TY MerchYearWeekCount]" caption="TY MerchYearWeekCount" measure="1" displayFolder="00_INFO" measureGroup="KPI" count="0"/>
    <cacheHierarchy uniqueName="[Measures].[LY MerchYearWeekCount]" caption="LY MerchYearWeekCount" measure="1" displayFolder="00_INFO" measureGroup="KPI" count="0"/>
    <cacheHierarchy uniqueName="[Measures].[LY Store Back Cover LC]" caption="LY Store Back Cover LC" measure="1" displayFolder="03_LY\LC" measureGroup="KPI" count="0"/>
    <cacheHierarchy uniqueName="[Measures].[LY Store Back Cover TRY]" caption="LY Store Back Cover TRY" measure="1" displayFolder="03_LY\TRY" measureGroup="KPI" count="0"/>
    <cacheHierarchy uniqueName="[Measures].[LY Store Back Cover USD]" caption="LY Store Back Cover USD" measure="1" displayFolder="03_LY\USD" measureGroup="KPI" count="0"/>
    <cacheHierarchy uniqueName="[Measures].[TY LFL Store Back Cover LC]" caption="TY LFL Store Back Cover LC" measure="1" displayFolder="02_TYLFL\LC" measureGroup="KPI" count="0"/>
    <cacheHierarchy uniqueName="[Measures].[TYLFL MerchYearWeekCount]" caption="TYLFL MerchYearWeekCount" measure="1" displayFolder="00_INFO" measureGroup="KPI" count="0"/>
    <cacheHierarchy uniqueName="[Measures].[LYLFL MerchYearWeekCount]" caption="LYLFL MerchYearWeekCount" measure="1" displayFolder="00_INFO" measureGroup="KPI" count="0"/>
    <cacheHierarchy uniqueName="[Measures].[Sales Value TYvsLY LC%]" caption="Sales Value TYvsLY LC%" measure="1" displayFolder="01_TY\LC" measureGroup="KPI" count="0"/>
    <cacheHierarchy uniqueName="[Measures].[Sales Value TYvsLY TRY%]" caption="Sales Value TYvsLY TRY%" measure="1" displayFolder="01_TY\TRY" measureGroup="KPI" count="0"/>
    <cacheHierarchy uniqueName="[Measures].[Sales Value TYvsLY USD%]" caption="Sales Value TYvsLY USD%" measure="1" displayFolder="01_TY\USD" measureGroup="KPI" count="0"/>
    <cacheHierarchy uniqueName="[Measures].[Sales Unit TYvsLY%]" caption="Sales Unit TYvsLY%" measure="1" displayFolder="01_TY\_UNIT" measureGroup="KPI" count="0"/>
    <cacheHierarchy uniqueName="[Measures].[LFL Sales Unit TYvsLY%]" caption="LFL Sales Unit TYvsLY%" measure="1" displayFolder="02_TYLFL\_UNIT" measureGroup="KPI" count="0" oneField="1">
      <fieldsUsage count="1">
        <fieldUsage x="26"/>
      </fieldsUsage>
    </cacheHierarchy>
    <cacheHierarchy uniqueName="[Measures].[LFL Sales Value TYvsLY LC%]" caption="LFL Sales Value TYvsLY LC%" measure="1" displayFolder="02_TYLFL\LC" measureGroup="KPI" count="0"/>
    <cacheHierarchy uniqueName="[Measures].[LFL Sales Value TYvsLY TRY%]" caption="LFL Sales Value TYvsLY TRY%" measure="1" displayFolder="02_TYLFL\TRY" measureGroup="KPI" count="0" oneField="1">
      <fieldsUsage count="1">
        <fieldUsage x="30"/>
      </fieldsUsage>
    </cacheHierarchy>
    <cacheHierarchy uniqueName="[Measures].[LFL Sales Value TYvsLY USD%]" caption="LFL Sales Value TYvsLY USD%" measure="1" displayFolder="02_TYLFL\USD" measureGroup="KPI" count="0"/>
    <cacheHierarchy uniqueName="[Measures].[Store Stock Unit TYvsLY%]" caption="Store Stock Unit TYvsLY%" measure="1" displayFolder="01_TY\_UNIT" measureGroup="KPI" count="0"/>
    <cacheHierarchy uniqueName="[Measures].[Store Stock Cost TYvsLY LC%]" caption="Store Stock Cost TYvsLY LC%" measure="1" displayFolder="01_TY\LC" measureGroup="KPI" count="0"/>
    <cacheHierarchy uniqueName="[Measures].[Store Stock Cost TYvsLY TRY%]" caption="Store Stock Cost TYvsLY TRY%" measure="1" displayFolder="01_TY\TRY" measureGroup="KPI" count="0"/>
    <cacheHierarchy uniqueName="[Measures].[Store Stock Cost TYvsLY USD%]" caption="Store Stock Cost TYvsLY USD%" measure="1" displayFolder="01_TY\USD" measureGroup="KPI" count="0"/>
    <cacheHierarchy uniqueName="[Measures].[LFL Store Stock Unit TYvsLY%]" caption="LFL Store Stock Unit TYvsLY%" measure="1" displayFolder="02_TYLFL\_UNIT" measureGroup="KPI" count="0" oneField="1">
      <fieldsUsage count="1">
        <fieldUsage x="35"/>
      </fieldsUsage>
    </cacheHierarchy>
    <cacheHierarchy uniqueName="[Measures].[LFL Store Stock Cost TYvsLY LC%]" caption="LFL Store Stock Cost TYvsLY LC%" measure="1" displayFolder="02_TYLFL\LC" measureGroup="KPI" count="0"/>
    <cacheHierarchy uniqueName="[Measures].[LFL Stock Cost TYvsLY TRY%]" caption="LFL Stock Cost TYvsLY TRY%" measure="1" displayFolder="02_TYLFL\TRY" measureGroup="KPI" count="0" oneField="1">
      <fieldsUsage count="1">
        <fieldUsage x="34"/>
      </fieldsUsage>
    </cacheHierarchy>
    <cacheHierarchy uniqueName="[Measures].[LFL Store Stock Cost TYvsLY USD%]" caption="LFL Store Stock Cost TYvsLY USD%" measure="1" displayFolder="02_TYLFL\USD" measureGroup="KPI" count="0"/>
    <cacheHierarchy uniqueName="[Measures].[Unit Sales Price TYvsLY LC%]" caption="Unit Sales Price TYvsLY LC%" measure="1" displayFolder="01_TY\LC" measureGroup="KPI" count="0"/>
    <cacheHierarchy uniqueName="[Measures].[Unit Sales Price TYvsLY TRY%]" caption="Unit Sales Price TYvsLY TRY%" measure="1" displayFolder="01_TY\TRY" measureGroup="KPI" count="0"/>
    <cacheHierarchy uniqueName="[Measures].[Unit Sales Price TYvsLY USD%]" caption="Unit Sales Price TYvsLY USD%" measure="1" displayFolder="01_TY\USD" measureGroup="KPI" count="0"/>
    <cacheHierarchy uniqueName="[Measures].[LFL Unit Sales Price TYvsLY LC%]" caption="LFL Unit Sales Price TYvsLY LC%" measure="1" displayFolder="02_TYLFL\LC" measureGroup="KPI" count="0"/>
    <cacheHierarchy uniqueName="[Measures].[LFL Unit Sales Price TYvsLY TRY%]" caption="LFL Unit Sales Price TYvsLY TRY%" measure="1" displayFolder="02_TYLFL\TRY" measureGroup="KPI" count="0" oneField="1">
      <fieldsUsage count="1">
        <fieldUsage x="33"/>
      </fieldsUsage>
    </cacheHierarchy>
    <cacheHierarchy uniqueName="[Measures].[LFL Unit Sales Price TYvsLY USD%]" caption="LFL Unit Sales Price TYvsLY USD%" measure="1" displayFolder="02_TYLFL\USD" measureGroup="KPI" count="0"/>
    <cacheHierarchy uniqueName="[Measures].[Unit Cost TYvsLY LC%]" caption="Unit Cost TYvsLY LC%" measure="1" displayFolder="01_TY\LC" measureGroup="KPI" count="0"/>
    <cacheHierarchy uniqueName="[Measures].[Unit Cost TYvsLY TRY%]" caption="Unit Cost TYvsLY TRY%" measure="1" displayFolder="01_TY\TRY" measureGroup="KPI" count="0"/>
    <cacheHierarchy uniqueName="[Measures].[Unit Cost TYvsLY USD%]" caption="Unit Cost TYvsLY USD%" measure="1" displayFolder="01_TY\USD" measureGroup="KPI" count="0"/>
    <cacheHierarchy uniqueName="[Measures].[LFL Unit Cost TYvsLY LC%]" caption="LFL Unit Cost TYvsLY LC%" measure="1" displayFolder="02_TYLFL\LC" measureGroup="KPI" count="0"/>
    <cacheHierarchy uniqueName="[Measures].[LFL Unit Cost TYvsLY TRY%]" caption="LFL Unit Cost TYvsLY TRY%" measure="1" displayFolder="02_TYLFL\TRY" measureGroup="KPI" count="0" oneField="1">
      <fieldsUsage count="1">
        <fieldUsage x="32"/>
      </fieldsUsage>
    </cacheHierarchy>
    <cacheHierarchy uniqueName="[Measures].[LFL Unit Cost TYvsLY USD%]" caption="LFL Unit Cost TYvsLY USD%" measure="1" displayFolder="02_TYLFL\USD" measureGroup="KPI" count="0"/>
    <cacheHierarchy uniqueName="[Measures].[Unit ISP TYvsLY LC%]" caption="Unit ISP TYvsLY LC%" measure="1" displayFolder="01_TY\LC" measureGroup="KPI" count="0"/>
    <cacheHierarchy uniqueName="[Measures].[Unit ISP TYvsLY TRY%]" caption="Unit ISP TYvsLY TRY%" measure="1" displayFolder="01_TY\TRY" measureGroup="KPI" count="0"/>
    <cacheHierarchy uniqueName="[Measures].[Unit ISP TYvsLY USD%]" caption="Unit ISP TYvsLY USD%" measure="1" displayFolder="01_TY\USD" measureGroup="KPI" count="0"/>
    <cacheHierarchy uniqueName="[Measures].[LFL Unit ISP TYvsLY LC%]" caption="LFL Unit ISP TYvsLY LC%" measure="1" displayFolder="02_TYLFL\LC" measureGroup="KPI" count="0"/>
    <cacheHierarchy uniqueName="[Measures].[LFL Unit ISP TYvsLY TRY%]" caption="LFL Unit ISP TYvsLY TRY%" measure="1" displayFolder="02_TYLFL\TRY" measureGroup="KPI" count="0"/>
    <cacheHierarchy uniqueName="[Measures].[LFL Unit ISP TYvsLY USD%]" caption="LFL Unit ISP TYvsLY USD%" measure="1" displayFolder="02_TYLFL\USD" measureGroup="KPI" count="0"/>
    <cacheHierarchy uniqueName="[Measures].[Store Back Cover Unit TYvsLY%]" caption="Store Back Cover Unit TYvsLY%" measure="1" displayFolder="01_TY\_UNIT" measureGroup="KPI" count="0"/>
    <cacheHierarchy uniqueName="[Measures].[LFL Store Back Cover Unit TYvsLY%]" caption="LFL Store Back Cover Unit TYvsLY%" measure="1" displayFolder="02_TYLFL\_UNIT" measureGroup="KPI" count="0"/>
    <cacheHierarchy uniqueName="[Measures].[Gross Marjin TYvsLY LC%]" caption="Gross Marjin TYvsLY LC%" measure="1" displayFolder="01_TY\LC" measureGroup="KPI" count="0"/>
    <cacheHierarchy uniqueName="[Measures].[Gross Marjin TYvsLY TRY%]" caption="Gross Marjin TYvsLY TRY%" measure="1" displayFolder="01_TY\TRY" measureGroup="KPI" count="0"/>
    <cacheHierarchy uniqueName="[Measures].[Gross Marjin TYvsLY USD%]" caption="Gross Marjin TYvsLY USD%" measure="1" displayFolder="01_TY\USD" measureGroup="KPI" count="0"/>
    <cacheHierarchy uniqueName="[Measures].[LFL Gross Marjin TYvsLY LC%]" caption="LFL Gross Marjin TYvsLY LC%" measure="1" displayFolder="02_TYLFL\LC" measureGroup="KPI" count="0"/>
    <cacheHierarchy uniqueName="[Measures].[LFL Gross Marjin TYvsLY TRY%]" caption="LFL Gross Marjin TYvsLY TRY%" measure="1" displayFolder="02_TYLFL\TRY" measureGroup="KPI" count="0"/>
    <cacheHierarchy uniqueName="[Measures].[LFL Gross Marjin TYvsLY USD%]" caption="LFL Gross Marjin TYvsLY USD%" measure="1" displayFolder="02_TYLFL\USD" measureGroup="KPI" count="0"/>
    <cacheHierarchy uniqueName="[Measures].[Sales Profit TYvsLY LC%]" caption="Sales Profit TYvsLY LC%" measure="1" displayFolder="01_TY\LC" measureGroup="KPI" count="0"/>
    <cacheHierarchy uniqueName="[Measures].[Sales Profit TYvsLY TRY%]" caption="Sales Profit TYvsLY TRY%" measure="1" displayFolder="01_TY\TRY" measureGroup="KPI" count="0"/>
    <cacheHierarchy uniqueName="[Measures].[Sales Profit TYvsLY USD%]" caption="Sales Profit TYvsLY USD%" measure="1" displayFolder="01_TY\USD" measureGroup="KPI" count="0"/>
    <cacheHierarchy uniqueName="[Measures].[LFL Sales Profit TYvsLY LC%]" caption="LFL Sales Profit TYvsLY LC%" measure="1" displayFolder="02_TYLFL\LC" measureGroup="KPI" count="0"/>
    <cacheHierarchy uniqueName="[Measures].[LFL Sales Profit TYvsLY TRY%]" caption="LFL Sales Profit TYvsLY TRY%" measure="1" displayFolder="02_TYLFL\TRY" measureGroup="KPI" count="0" oneField="1">
      <fieldsUsage count="1">
        <fieldUsage x="31"/>
      </fieldsUsage>
    </cacheHierarchy>
    <cacheHierarchy uniqueName="[Measures].[LFL Sales Profit TYvsLY USD%]" caption="LFL Sales Profit TYvsLY USD%" measure="1" displayFolder="02_TYLFL\USD" measureGroup="KPI" count="0"/>
    <cacheHierarchy uniqueName="[Measures].[TY LFL Store Back Cover TRY]" caption="TY LFL Store Back Cover TRY" measure="1" displayFolder="02_TYLFL\TRY" measureGroup="KPI" count="0"/>
    <cacheHierarchy uniqueName="[Measures].[TY LFL Store Back Cover USD]" caption="TY LFL Store Back Cover USD" measure="1" displayFolder="02_TYLFL\USD" measureGroup="KPI" count="0"/>
    <cacheHierarchy uniqueName="[Measures].[LY LFL Store Back Cover LC]" caption="LY LFL Store Back Cover LC" measure="1" displayFolder="04_LYLFL\LC" measureGroup="KPI" count="0"/>
    <cacheHierarchy uniqueName="[Measures].[LY LFL Store Back Cover TRY]" caption="LY LFL Store Back Cover TRY" measure="1" displayFolder="04_LYLFL\TRY" measureGroup="KPI" count="0"/>
    <cacheHierarchy uniqueName="[Measures].[LY LFL Store Back Cover USD]" caption="LY LFL Store Back Cover USD" measure="1" displayFolder="04_LYLFL\USD" measureGroup="KPI" count="0"/>
    <cacheHierarchy uniqueName="[Measures].[Store Back Cover TYvsLY LC%]" caption="Store Back Cover TYvsLY LC%" measure="1" displayFolder="01_TY\LC" measureGroup="KPI" count="0"/>
    <cacheHierarchy uniqueName="[Measures].[Store Back Cover TYvsLY TRY%]" caption="Store Back Cover TYvsLY TRY%" measure="1" displayFolder="01_TY\TRY" measureGroup="KPI" count="0"/>
    <cacheHierarchy uniqueName="[Measures].[Store Back Cover TYvsLY USD%]" caption="Store Back Cover TYvsLY USD%" measure="1" displayFolder="01_TY\USD" measureGroup="KPI" count="0"/>
    <cacheHierarchy uniqueName="[Measures].[LFL Store Back Cover TYvsLY LC%]" caption="LFL Store Back Cover TYvsLY LC%" measure="1" displayFolder="02_TYLFL\LC" measureGroup="KPI" count="0"/>
    <cacheHierarchy uniqueName="[Measures].[LFL Store Back Cover TYvsLY TRY%]" caption="LFL Store Back Cover TYvsLY TRY%" measure="1" displayFolder="02_TYLFL\TRY" measureGroup="KPI" count="0"/>
    <cacheHierarchy uniqueName="[Measures].[LFL Store Back Cover TYvsLY USD%]" caption="LFL Store Back Cover TYvsLY USD%" measure="1" displayFolder="02_TYLFL\USD" measureGroup="KPI" count="0"/>
    <cacheHierarchy uniqueName="[Measures].[TY GMROII LC]" caption="TY GMROII LC" measure="1" displayFolder="01_TY\LC" measureGroup="KPI" count="0" oneField="1">
      <fieldsUsage count="1">
        <fieldUsage x="49"/>
      </fieldsUsage>
    </cacheHierarchy>
    <cacheHierarchy uniqueName="[Measures].[TY GMROII TRY]" caption="TY GMROII TRY" measure="1" displayFolder="01_TY\TRY" measureGroup="KPI" count="0"/>
    <cacheHierarchy uniqueName="[Measures].[TY GMROII USD]" caption="TY GMROII USD" measure="1" displayFolder="01_TY\USD" measureGroup="KPI" count="0"/>
    <cacheHierarchy uniqueName="[Measures].[LY GMROII LC]" caption="LY GMROII LC" measure="1" displayFolder="03_LY\LC" measureGroup="KPI" count="0" oneField="1">
      <fieldsUsage count="1">
        <fieldUsage x="48"/>
      </fieldsUsage>
    </cacheHierarchy>
    <cacheHierarchy uniqueName="[Measures].[LY GMROII TRY]" caption="LY GMROII TRY" measure="1" displayFolder="03_LY\TRY" measureGroup="KPI" count="0"/>
    <cacheHierarchy uniqueName="[Measures].[LY GMROII USD]" caption="LY GMROII USD" measure="1" displayFolder="03_LY\USD" measureGroup="KPI" count="0"/>
    <cacheHierarchy uniqueName="[Measures].[TY LFL GMROII LC]" caption="TY LFL GMROII LC" measure="1" displayFolder="02_TYLFL\LC" measureGroup="KPI" count="0"/>
    <cacheHierarchy uniqueName="[Measures].[TY LFL GMROII TRY]" caption="TY LFL GMROII TRY" measure="1" displayFolder="02_TYLFL\TRY" measureGroup="KPI" count="0"/>
    <cacheHierarchy uniqueName="[Measures].[TY LFL GMROII USD]" caption="TY LFL GMROII USD" measure="1" displayFolder="02_TYLFL\USD" measureGroup="KPI" count="0"/>
    <cacheHierarchy uniqueName="[Measures].[LY LFL GMROII LC]" caption="LY LFL GMROII LC" measure="1" displayFolder="04_LYLFL\LC" measureGroup="KPI" count="0"/>
    <cacheHierarchy uniqueName="[Measures].[LY LFL GMROII TRY]" caption="LY LFL GMROII TRY" measure="1" displayFolder="04_LYLFL\TRY" measureGroup="KPI" count="0"/>
    <cacheHierarchy uniqueName="[Measures].[LY LFL GMROII USD]" caption="LY LFL GMROII USD" measure="1" displayFolder="04_LYLFL\USD" measureGroup="KPI" count="0"/>
    <cacheHierarchy uniqueName="[Measures].[LY Actual MarkDown LC%]" caption="LY Actual MarkDown LC%" measure="1" displayFolder="03_LY\LC" measureGroup="KPI" count="0"/>
    <cacheHierarchy uniqueName="[Measures].[LY Actual MarkDown TRY%]" caption="LY Actual MarkDown TRY%" measure="1" displayFolder="03_LY\TRY" measureGroup="KPI" count="0"/>
    <cacheHierarchy uniqueName="[Measures].[LY Actual MarkDown USD%]" caption="LY Actual MarkDown USD%" measure="1" displayFolder="03_LY\USD" measureGroup="KPI" count="0"/>
    <cacheHierarchy uniqueName="[Measures].[TY LFL Actual MarkDown LC%]" caption="TY LFL Actual MarkDown LC%" measure="1" displayFolder="02_TYLFL\LC" measureGroup="KPI" count="0"/>
    <cacheHierarchy uniqueName="[Measures].[TY LFL Actual MarkDown TRY%]" caption="TY LFL Actual MarkDown TRY%" measure="1" displayFolder="02_TYLFL\TRY" measureGroup="KPI" count="0"/>
    <cacheHierarchy uniqueName="[Measures].[TY LFL Actual MarkDown USD%]" caption="TY LFL Actual MarkDown USD%" measure="1" displayFolder="02_TYLFL\USD" measureGroup="KPI" count="0"/>
    <cacheHierarchy uniqueName="[Measures].[LY LFL Actual MarkDown LC%]" caption="LY LFL Actual MarkDown LC%" measure="1" displayFolder="04_LYLFL\LC" measureGroup="KPI" count="0"/>
    <cacheHierarchy uniqueName="[Measures].[LY LFL Actual MarkDown TRY%]" caption="LY LFL Actual MarkDown TRY%" measure="1" displayFolder="04_LYLFL\TRY" measureGroup="KPI" count="0"/>
    <cacheHierarchy uniqueName="[Measures].[LY LFL Actual MarkDown USD%]" caption="LY LFL Actual MarkDown USD%" measure="1" displayFolder="04_LYLFL\USD" measureGroup="KPI" count="0"/>
    <cacheHierarchy uniqueName="[Measures].[Last 7Days TY Sales Unit]" caption="Last 7Days TY Sales Unit" measure="1" displayFolder="LASTN" measureGroup="KPI" count="0"/>
    <cacheHierarchy uniqueName="[Measures].[Last 7Days TY Sales Value LC]" caption="Last 7Days TY Sales Value LC" measure="1" displayFolder="LASTN" measureGroup="KPI" count="0"/>
    <cacheHierarchy uniqueName="[Measures].[Last 14Days TY Sales Unit]" caption="Last 14Days TY Sales Unit" measure="1" displayFolder="LASTN" measureGroup="KPI" count="0"/>
    <cacheHierarchy uniqueName="[Measures].[Last 14Days TY Sales Value LC]" caption="Last 14Days TY Sales Value LC" measure="1" displayFolder="LASTN" measureGroup="KPI" count="0"/>
    <cacheHierarchy uniqueName="[Measures].[Last 28Days TY Sales Unit]" caption="Last 28Days TY Sales Unit" measure="1" displayFolder="LASTN" measureGroup="KPI" count="0"/>
    <cacheHierarchy uniqueName="[Measures].[Last 28Days TY Sales Value LC]" caption="Last 28Days TY Sales Value LC" measure="1" displayFolder="LASTN" measureGroup="KPI" count="0"/>
    <cacheHierarchy uniqueName="[Measures].[Last 90Days TY Sales Unit]" caption="Last 90Days TY Sales Unit" measure="1" displayFolder="LASTN" measureGroup="KPI" count="0"/>
    <cacheHierarchy uniqueName="[Measures].[Last 90Days TY Sales Value LC]" caption="Last 90Days TY Sales Value LC" measure="1" displayFolder="LASTN" measureGroup="KPI" count="0"/>
    <cacheHierarchy uniqueName="[Measures].[Last 180Days TY Sales Unit]" caption="Last 180Days TY Sales Unit" measure="1" displayFolder="LASTN" measureGroup="KPI" count="0"/>
    <cacheHierarchy uniqueName="[Measures].[Last 180Days TY Sales Value LC]" caption="Last 180Days TY Sales Value LC" measure="1" displayFolder="LASTN" measureGroup="KPI" count="0"/>
    <cacheHierarchy uniqueName="[Measures].[TY UPT]" caption="TY UPT" measure="1" displayFolder="01_TY\_UNIT" measureGroup="KPI" count="0"/>
    <cacheHierarchy uniqueName="[Measures].[TY AOV LC]" caption="TY AOV LC" measure="1" displayFolder="01_TY\LC" measureGroup="KPI" count="0"/>
    <cacheHierarchy uniqueName="[Measures].[TY AOV TRY]" caption="TY AOV TRY" measure="1" displayFolder="01_TY\TRY" measureGroup="KPI" count="0"/>
    <cacheHierarchy uniqueName="[Measures].[TY AOV USD]" caption="TY AOV USD" measure="1" displayFolder="01_TY\USD" measureGroup="KPI" count="0"/>
    <cacheHierarchy uniqueName="[Measures].[LY UPT]" caption="LY UPT" measure="1" displayFolder="03_LY\_UNIT" measureGroup="KPI" count="0"/>
    <cacheHierarchy uniqueName="[Measures].[LY AOV LC]" caption="LY AOV LC" measure="1" displayFolder="03_LY\LC" measureGroup="KPI" count="0"/>
    <cacheHierarchy uniqueName="[Measures].[LY AOV TRY]" caption="LY AOV TRY" measure="1" displayFolder="03_LY\TRY" measureGroup="KPI" count="0"/>
    <cacheHierarchy uniqueName="[Measures].[LY AOV USD]" caption="LY AOV USD" measure="1" displayFolder="03_LY\USD" measureGroup="KPI" count="0"/>
    <cacheHierarchy uniqueName="[Measures].[TY LFL UPT]" caption="TY LFL UPT" measure="1" displayFolder="02_TYLFL\_UNIT" measureGroup="KPI" count="0"/>
    <cacheHierarchy uniqueName="[Measures].[TY LFL AOV LC]" caption="TY LFL AOV LC" measure="1" displayFolder="02_TYLFL\LC" measureGroup="KPI" count="0"/>
    <cacheHierarchy uniqueName="[Measures].[TY LFL AOV TRY]" caption="TY LFL AOV TRY" measure="1" displayFolder="02_TYLFL\TRY" measureGroup="KPI" count="0"/>
    <cacheHierarchy uniqueName="[Measures].[TY LFL AOV USD]" caption="TY LFL AOV USD" measure="1" displayFolder="02_TYLFL\USD" measureGroup="KPI" count="0"/>
    <cacheHierarchy uniqueName="[Measures].[LY LFL UPT]" caption="LY LFL UPT" measure="1" displayFolder="04_LYLFL\_UNIT" measureGroup="KPI" count="0"/>
    <cacheHierarchy uniqueName="[Measures].[LY LFL AOV LC]" caption="LY LFL AOV LC" measure="1" displayFolder="04_LYLFL\LC" measureGroup="KPI" count="0"/>
    <cacheHierarchy uniqueName="[Measures].[LY LFL AOV TRY]" caption="LY LFL AOV TRY" measure="1" displayFolder="04_LYLFL\TRY" measureGroup="KPI" count="0"/>
    <cacheHierarchy uniqueName="[Measures].[LY LFL AOV USD]" caption="LY LFL AOV USD" measure="1" displayFolder="04_LYLFL\USD" measureGroup="KPI" count="0"/>
    <cacheHierarchy uniqueName="[Measures].[TY DayCount]" caption="TY DayCount" measure="1" displayFolder="00_INFO" measureGroup="KPI" count="0"/>
    <cacheHierarchy uniqueName="[Measures].[TY Store Count]" caption="TY Store Count" measure="1" displayFolder="01_TY\_UNIT" measureGroup="KPI" count="0"/>
    <cacheHierarchy uniqueName="[Measures].[LY Store Count]" caption="LY Store Count" measure="1" displayFolder="03_LY\_UNIT" measureGroup="KPI" count="0"/>
    <cacheHierarchy uniqueName="[Measures].[TY LFL Store Count]" caption="TY LFL Store Count" measure="1" displayFolder="02_TYLFL\_UNIT" measureGroup="KPI" count="0"/>
    <cacheHierarchy uniqueName="[Measures].[LY LFL Store Count]" caption="LY LFL Store Count" measure="1" displayFolder="04_LYLFL\_UNIT" measureGroup="KPI" count="0"/>
    <cacheHierarchy uniqueName="[Measures].[Sales Unit TyTWvsTyLW%]" caption="Sales Unit TyTWvsTyLW%" measure="1" displayFolder="TyTWvsTyLW" measureGroup="KPI" count="0"/>
    <cacheHierarchy uniqueName="[Measures].[LFL Sales Unit TyTWvsTyLW%]" caption="LFL Sales Unit TyTWvsTyLW%" measure="1" displayFolder="TyTWvsTyLW" measureGroup="KPI" count="0"/>
    <cacheHierarchy uniqueName="[Measures].[Sales Value TyTWvsTyLW LC%]" caption="Sales Value TyTWvsTyLW LC%" measure="1" displayFolder="TyTWvsTyLW" measureGroup="KPI" count="0"/>
    <cacheHierarchy uniqueName="[Measures].[Sales Value TyTWvsTyLW TRY%]" caption="Sales Value TyTWvsTyLW TRY%" measure="1" displayFolder="TyTWvsTyLW" measureGroup="KPI" count="0"/>
    <cacheHierarchy uniqueName="[Measures].[Sales Value TyTWvsTyLW USD%]" caption="Sales Value TyTWvsTyLW USD%" measure="1" displayFolder="TyTWvsTyLW" measureGroup="KPI" count="0"/>
    <cacheHierarchy uniqueName="[Measures].[LFL Sales Value TyTWvsTyLW LC%]" caption="LFL Sales Value TyTWvsTyLW LC%" measure="1" displayFolder="TyTWvsTyLW" measureGroup="KPI" count="0"/>
    <cacheHierarchy uniqueName="[Measures].[LFL Sales Value TyTWvsTyLW TRY%]" caption="LFL Sales Value TyTWvsTyLW TRY%" measure="1" displayFolder="TyTWvsTyLW" measureGroup="KPI" count="0"/>
    <cacheHierarchy uniqueName="[Measures].[LFL Sales Value TyTWvsTyLW USD%]" caption="LFL Sales Value TyTWvsTyLW USD%" measure="1" displayFolder="TyTWvsTyLW" measureGroup="KPI" count="0"/>
    <cacheHierarchy uniqueName="[Measures].[Store Stock Unit TyTWvsTyLW%]" caption="Store Stock Unit TyTWvsTyLW%" measure="1" displayFolder="TyTWvsTyLW" measureGroup="KPI" count="0"/>
    <cacheHierarchy uniqueName="[Measures].[Store Stock Cost TyTWvsTyLW LC%]" caption="Store Stock Cost TyTWvsTyLW LC%" measure="1" displayFolder="TyTWvsTyLW" measureGroup="KPI" count="0"/>
    <cacheHierarchy uniqueName="[Measures].[Store Stock Cost TyTWvsTyLW TRY%]" caption="Store Stock Cost TyTWvsTyLW TRY%" measure="1" displayFolder="TyTWvsTyLW" measureGroup="KPI" count="0"/>
    <cacheHierarchy uniqueName="[Measures].[Store Stock Cost TyTWvsTyLW USD%]" caption="Store Stock Cost TyTWvsTyLW USD%" measure="1" displayFolder="TyTWvsTyLW" measureGroup="KPI" count="0"/>
    <cacheHierarchy uniqueName="[Measures].[LFL Store Stock Unit TyTWvsTyLW%]" caption="LFL Store Stock Unit TyTWvsTyLW%" measure="1" displayFolder="TyTWvsTyLW" measureGroup="KPI" count="0"/>
    <cacheHierarchy uniqueName="[Measures].[LFL Store Stock Cost TyTWvsTyLW LC%]" caption="LFL Store Stock Cost TyTWvsTyLW LC%" measure="1" displayFolder="TyTWvsTyLW" measureGroup="KPI" count="0"/>
    <cacheHierarchy uniqueName="[Measures].[LFL Store Stock Cost TyTWvsTyLW TRY%]" caption="LFL Store Stock Cost TyTWvsTyLW TRY%" measure="1" displayFolder="TyTWvsTyLW" measureGroup="KPI" count="0"/>
    <cacheHierarchy uniqueName="[Measures].[LFL Store Stock Cost TyTWvsTyLW USD%]" caption="LFL Store Stock Cost TyTWvsTyLW USD%" measure="1" displayFolder="TyTWvsTyLW" measureGroup="KPI" count="0"/>
    <cacheHierarchy uniqueName="[Measures].[Unit Sales Price TyTWvsTyLW LC%]" caption="Unit Sales Price TyTWvsTyLW LC%" measure="1" displayFolder="TyTWvsTyLW" measureGroup="KPI" count="0"/>
    <cacheHierarchy uniqueName="[Measures].[Unit Sales Price TyTWvsTyLW TRY%]" caption="Unit Sales Price TyTWvsTyLW TRY%" measure="1" displayFolder="TyTWvsTyLW" measureGroup="KPI" count="0"/>
    <cacheHierarchy uniqueName="[Measures].[Unit Sales Price TyTWvsTyLW USD%]" caption="Unit Sales Price TyTWvsTyLW USD%" measure="1" displayFolder="TyTWvsTyLW" measureGroup="KPI" count="0"/>
    <cacheHierarchy uniqueName="[Measures].[LFL Unit Sales Price TyTWvsTyLW LC%]" caption="LFL Unit Sales Price TyTWvsTyLW LC%" measure="1" displayFolder="TyTWvsTyLW" measureGroup="KPI" count="0"/>
    <cacheHierarchy uniqueName="[Measures].[LFL Unit Sales Price TyTWvsTyLW TRY%]" caption="LFL Unit Sales Price TyTWvsTyLW TRY%" measure="1" displayFolder="TyTWvsTyLW" measureGroup="KPI" count="0"/>
    <cacheHierarchy uniqueName="[Measures].[LFL Unit Sales Price TyTWvsTyLW USD%]" caption="LFL Unit Sales Price TyTWvsTyLW USD%" measure="1" displayFolder="TyTWvsTyLW" measureGroup="KPI" count="0"/>
    <cacheHierarchy uniqueName="[Measures].[TY DC Inc Back Cover Unit]" caption="TY DC Inc Back Cover Unit" measure="1" displayFolder="01_TY\_UNIT" measureGroup="KPI" count="0"/>
    <cacheHierarchy uniqueName="[Measures].[TY DC Inc Back Cover LC]" caption="TY DC Inc Back Cover LC" measure="1" displayFolder="01_TY\LC" measureGroup="KPI" count="0"/>
    <cacheHierarchy uniqueName="[Measures].[TY DC Inc Back Cover TRY]" caption="TY DC Inc Back Cover TRY" measure="1" displayFolder="01_TY\TRY" measureGroup="KPI" count="0"/>
    <cacheHierarchy uniqueName="[Measures].[TY DC Inc Back Cover USD]" caption="TY DC Inc Back Cover USD" measure="1" displayFolder="01_TY\USD" measureGroup="KPI" count="0"/>
    <cacheHierarchy uniqueName="[Measures].[LY DC Inc Back Cover Unit]" caption="LY DC Inc Back Cover Unit" measure="1" displayFolder="03_LY\_UNIT" measureGroup="KPI" count="0"/>
    <cacheHierarchy uniqueName="[Measures].[LY DC Inc Back Cover LC]" caption="LY DC Inc Back Cover LC" measure="1" displayFolder="03_LY\LC" measureGroup="KPI" count="0"/>
    <cacheHierarchy uniqueName="[Measures].[LY DC Inc Back Cover TRY]" caption="LY DC Inc Back Cover TRY" measure="1" displayFolder="03_LY\TRY" measureGroup="KPI" count="0"/>
    <cacheHierarchy uniqueName="[Measures].[LY DC Inc Back Cover USD]" caption="LY DC Inc Back Cover USD" measure="1" displayFolder="03_LY\USD" measureGroup="KPI" count="0"/>
    <cacheHierarchy uniqueName="[Measures].[DC Inc Back Cover Unit TYvsLY%]" caption="DC Inc Back Cover Unit TYvsLY%" measure="1" displayFolder="01_TY\_UNIT" measureGroup="KPI" count="0"/>
    <cacheHierarchy uniqueName="[Measures].[DC Inc Back Cover TYvsLY LC%]" caption="DC Inc Back Cover TYvsLY LC%" measure="1" displayFolder="01_TY\LC" measureGroup="KPI" count="0"/>
    <cacheHierarchy uniqueName="[Measures].[DC Inc Back Cover TYvsLY TRY%]" caption="DC Inc Back Cover TYvsLY TRY%" measure="1" displayFolder="01_TY\TRY" measureGroup="KPI" count="0"/>
    <cacheHierarchy uniqueName="[Measures].[DC Inc Back Cover TYvsLY USD%]" caption="DC Inc Back Cover TYvsLY USD%" measure="1" displayFolder="01_TY\USD" measureGroup="KPI" count="0"/>
    <cacheHierarchy uniqueName="[Measures].[ShowAll]" caption="ShowAll" measure="1" displayFolder="00_INFO" measureGroup="KPI" count="0"/>
    <cacheHierarchy uniqueName="[Measures].[Store Area m2]" caption="Store Area m2" measure="1" displayFolder="00_INFO" measureGroup="KPI" count="0"/>
    <cacheHierarchy uniqueName="[Measures].[TY Store Total Back Cover Unit]" caption="TY Store Total Back Cover Unit" measure="1" displayFolder="01_TY\UNIT" measureGroup="KPI" count="0"/>
    <cacheHierarchy uniqueName="[Measures].[TY Store Total Back Cover LC]" caption="TY Store Total Back Cover LC" measure="1" displayFolder="01_TY\LC" measureGroup="KPI" count="0"/>
    <cacheHierarchy uniqueName="[Measures].[TY Store Count by Sales]" caption="TY Store Count by Sales" measure="1" displayFolder="01_TY\_UNIT" measureGroup="KPI" count="0"/>
    <cacheHierarchy uniqueName="[Measures].[LY Store Count by Sales]" caption="LY Store Count by Sales" measure="1" displayFolder="03_LY\_UNIT" measureGroup="KPI" count="0"/>
    <cacheHierarchy uniqueName="[Measures].[TY LFL Store Count by Sales]" caption="TY LFL Store Count by Sales" measure="1" displayFolder="02_TYLFL\_UNIT" measureGroup="KPI" count="0"/>
    <cacheHierarchy uniqueName="[Measures].[LY LFL Store Count by Sales]" caption="LY LFL Store Count by Sales" measure="1" displayFolder="04_LYLFL\_UNIT" measureGroup="KPI" count="0"/>
    <cacheHierarchy uniqueName="[Measures].[TY Store Count by Stock]" caption="TY Store Count by Stock" measure="1" displayFolder="01_TY\_UNIT" measureGroup="KPI" count="0"/>
    <cacheHierarchy uniqueName="[Measures].[LY Store Count by Stock]" caption="LY Store Count by Stock" measure="1" displayFolder="03_LY\_UNIT" measureGroup="KPI" count="0"/>
    <cacheHierarchy uniqueName="[Measures].[TY LFL Store Count by Stock]" caption="TY LFL Store Count by Stock" measure="1" displayFolder="02_TYLFL\_UNIT" measureGroup="KPI" count="0"/>
    <cacheHierarchy uniqueName="[Measures].[LY LFL Store Count by Stock]" caption="LY LFL Store Count by Stock" measure="1" displayFolder="04_LYLFL\_UNIT" measureGroup="KPI" count="0"/>
    <cacheHierarchy uniqueName="[Measures].[TY Store Total Back Cover TRY]" caption="TY Store Total Back Cover TRY" measure="1" displayFolder="01_TY\TRY" measureGroup="KPI" count="0"/>
    <cacheHierarchy uniqueName="[Measures].[TY Store Total Back Cover USD]" caption="TY Store Total Back Cover USD" measure="1" displayFolder="01_TY\USD" measureGroup="KPI" count="0"/>
    <cacheHierarchy uniqueName="[Measures].[TY Country Back Cover Unit]" caption="TY Country Back Cover Unit" measure="1" displayFolder="01_TY\UNIT" measureGroup="KPI" count="0"/>
    <cacheHierarchy uniqueName="[Measures].[PO Unit]" caption="PO Unit" measure="1" displayFolder="_UNIT" measureGroup="PurchaseOrder" count="0"/>
    <cacheHierarchy uniqueName="[Measures].[Goods Receipt PO Unit]" caption="Goods Receipt PO Unit" measure="1" displayFolder="_UNIT" measureGroup="PurchaseOrder" count="0"/>
    <cacheHierarchy uniqueName="[Measures].[Pending PO Unit]" caption="Pending PO Unit" measure="1" displayFolder="_UNIT" measureGroup="PurchaseOrder" count="0"/>
    <cacheHierarchy uniqueName="[Measures].[Other Merchant PO Unit]" caption="Other Merchant PO Unit" measure="1" displayFolder="_UNIT" measureGroup="PurchaseOrder" count="0"/>
    <cacheHierarchy uniqueName="[Measures].[Other Merchant Goods Receipt PO Unit]" caption="Other Merchant Goods Receipt PO Unit" measure="1" displayFolder="_UNIT" measureGroup="PurchaseOrder" count="0"/>
    <cacheHierarchy uniqueName="[Measures].[Other Merchant Pending PO Unit]" caption="Other Merchant Pending PO Unit" measure="1" displayFolder="_UNIT" measureGroup="PurchaseOrder" count="0"/>
    <cacheHierarchy uniqueName="[Measures].[Pending PO Unit Runing Total]" caption="Pending PO Unit Runing Total" measure="1" displayFolder="_UNIT" measureGroup="PurchaseOrder" count="0"/>
    <cacheHierarchy uniqueName="[Measures].[Other Merchant Pending PO Unit Runing Total]" caption="Other Merchant Pending PO Unit Runing Total" measure="1" displayFolder="_UNIT" measureGroup="PurchaseOrder" count="0"/>
    <cacheHierarchy uniqueName="[Measures].[PO Unit Year Total]" caption="PO Unit Year Total" measure="1" displayFolder="_UNIT" measureGroup="PurchaseOrder" count="0"/>
    <cacheHierarchy uniqueName="[Measures].[Goods Receipt PO Unit Year Total]" caption="Goods Receipt PO Unit Year Total" measure="1" displayFolder="_UNIT" measureGroup="PurchaseOrder" count="0"/>
    <cacheHierarchy uniqueName="[Measures].[Other Merchant PO Unit Year Total]" caption="Other Merchant PO Unit Year Total" measure="1" displayFolder="_UNIT" measureGroup="PurchaseOrder" count="0"/>
    <cacheHierarchy uniqueName="[Measures].[Other Merchant Goods Receipt PO Unit Year Total]" caption="Other Merchant Goods Receipt PO Unit Year Total" measure="1" displayFolder="_UNIT" measureGroup="PurchaseOrder" count="0"/>
    <cacheHierarchy uniqueName="[Measures].[ALL PO Unit]" caption="ALL PO Unit" measure="1" displayFolder="_UNIT" measureGroup="PurchaseOrder" count="0"/>
    <cacheHierarchy uniqueName="[Measures].[ALL PO Unit Year Total]" caption="ALL PO Unit Year Total" measure="1" displayFolder="_UNIT" measureGroup="PurchaseOrder" count="0"/>
    <cacheHierarchy uniqueName="[Measures].[ALL Pending PO Unit]" caption="ALL Pending PO Unit" measure="1" displayFolder="_UNIT" measureGroup="PurchaseOrder" count="0"/>
    <cacheHierarchy uniqueName="[Measures].[ALL Pending PO Unit Runing Total]" caption="ALL Pending PO Unit Runing Total" measure="1" displayFolder="_UNIT" measureGroup="PurchaseOrder" count="0"/>
    <cacheHierarchy uniqueName="[Measures].[ALL Goods Receipt PO Unit]" caption="ALL Goods Receipt PO Unit" measure="1" displayFolder="_UNIT" measureGroup="PurchaseOrder" count="0"/>
    <cacheHierarchy uniqueName="[Measures].[ALL Goods Receipt PO Unit Year Total]" caption="ALL Goods Receipt PO Unit Year Total" measure="1" displayFolder="_UNIT" measureGroup="PurchaseOrder" count="0"/>
    <cacheHierarchy uniqueName="[Measures].[PO Value LC]" caption="PO Value LC" measure="1" displayFolder="_VALUE" measureGroup="PurchaseOrder" count="0"/>
    <cacheHierarchy uniqueName="[Measures].[PO Value LC Year Total]" caption="PO Value LC Year Total" measure="1" displayFolder="_VALUE" measureGroup="PurchaseOrder" count="0"/>
    <cacheHierarchy uniqueName="[Measures].[Goods Receipt PO Value LC]" caption="Goods Receipt PO Value LC" measure="1" displayFolder="_VALUE" measureGroup="PurchaseOrder" count="0"/>
    <cacheHierarchy uniqueName="[Measures].[Goods Receipt PO Value LC Year Total]" caption="Goods Receipt PO Value LC Year Total" measure="1" displayFolder="_VALUE" measureGroup="PurchaseOrder" count="0"/>
    <cacheHierarchy uniqueName="[Measures].[Pending PO Value LC]" caption="Pending PO Value LC" measure="1" displayFolder="_VALUE" measureGroup="PurchaseOrder" count="0"/>
    <cacheHierarchy uniqueName="[Measures].[Pending PO Value LC Runing Total]" caption="Pending PO Value LC Runing Total" measure="1" displayFolder="_VALUE" measureGroup="PurchaseOrder" count="0"/>
    <cacheHierarchy uniqueName="[Measures].[Other Merchant Goods Receipt PO Value LC]" caption="Other Merchant Goods Receipt PO Value LC" measure="1" displayFolder="_VALUE" measureGroup="PurchaseOrder" count="0"/>
    <cacheHierarchy uniqueName="[Measures].[Other Merchant Goods Receipt PO Value LC Year Total]" caption="Other Merchant Goods Receipt PO Value LC Year Total" measure="1" displayFolder="_VALUE" measureGroup="PurchaseOrder" count="0"/>
    <cacheHierarchy uniqueName="[Measures].[Other Merchant Pending PO Value LC]" caption="Other Merchant Pending PO Value LC" measure="1" displayFolder="_VALUE" measureGroup="PurchaseOrder" count="0"/>
    <cacheHierarchy uniqueName="[Measures].[Other Merchant Pending PO Value LC Runing Total]" caption="Other Merchant Pending PO Value LC Runing Total" measure="1" displayFolder="_VALUE" measureGroup="PurchaseOrder" count="0"/>
    <cacheHierarchy uniqueName="[Measures].[Other Merchant PO Value LC]" caption="Other Merchant PO Value LC" measure="1" displayFolder="_VALUE" measureGroup="PurchaseOrder" count="0"/>
    <cacheHierarchy uniqueName="[Measures].[Other Merchant PO Value LC Year Total]" caption="Other Merchant PO Value LC Year Total" measure="1" displayFolder="_VALUE" measureGroup="PurchaseOrder" count="0"/>
    <cacheHierarchy uniqueName="[Measures].[ALL PO Value LC]" caption="ALL PO Value LC" measure="1" displayFolder="_VALUE" measureGroup="PurchaseOrder" count="0"/>
    <cacheHierarchy uniqueName="[Measures].[ALL PO Value LC Year Total]" caption="ALL PO Value LC Year Total" measure="1" displayFolder="_VALUE" measureGroup="PurchaseOrder" count="0"/>
    <cacheHierarchy uniqueName="[Measures].[ALL Goods Receipt PO Value LC]" caption="ALL Goods Receipt PO Value LC" measure="1" displayFolder="_VALUE" measureGroup="PurchaseOrder" count="0"/>
    <cacheHierarchy uniqueName="[Measures].[ALL Goods Receipt PO Value LC Year Total]" caption="ALL Goods Receipt PO Value LC Year Total" measure="1" displayFolder="_VALUE" measureGroup="PurchaseOrder" count="0"/>
    <cacheHierarchy uniqueName="[Measures].[ALL Pending PO Value LC]" caption="ALL Pending PO Value LC" measure="1" displayFolder="_VALUE" measureGroup="PurchaseOrder" count="0"/>
    <cacheHierarchy uniqueName="[Measures].[ALL Pending PO Value LC Runing Total]" caption="ALL Pending PO Value LC Runing Total" measure="1" displayFolder="_VALUE" measureGroup="PurchaseOrder" count="0"/>
    <cacheHierarchy uniqueName="[Measures].[Goods Receipt PO Value Navlun LC]" caption="Goods Receipt PO Value Navlun LC" measure="1" displayFolder="_VALUE" measureGroup="PurchaseOrder" count="0"/>
    <cacheHierarchy uniqueName="[Measures].[TY Customer Entry Count]" caption="TY Customer Entry Count" measure="1" displayFolder="01_TY" measureGroup="VisitorHourly" count="0" oneField="1">
      <fieldsUsage count="1">
        <fieldUsage x="43"/>
      </fieldsUsage>
    </cacheHierarchy>
    <cacheHierarchy uniqueName="[Measures].[LY Customer Entry Count]" caption="LY Customer Entry Count" measure="1" displayFolder="03_LY" measureGroup="VisitorHourly" count="0"/>
    <cacheHierarchy uniqueName="[Measures].[TY LFL Customer Entry Count]" caption="TY LFL Customer Entry Count" measure="1" displayFolder="02_TYLFL" measureGroup="VisitorHourly" count="0"/>
    <cacheHierarchy uniqueName="[Measures].[LY LFL Customer Entry Count]" caption="LY LFL Customer Entry Count" measure="1" displayFolder="04_LYLFL" measureGroup="VisitorHourly" count="0" oneField="1">
      <fieldsUsage count="1">
        <fieldUsage x="44"/>
      </fieldsUsage>
    </cacheHierarchy>
    <cacheHierarchy uniqueName="[Measures].[Daily Invoice Sale]" caption="Daily Invoice Sale" measure="1" displayFolder="01_SALE" measureGroup="Visitor" count="0"/>
    <cacheHierarchy uniqueName="[Measures].[Daily Invoice Return]" caption="Daily Invoice Return" measure="1" displayFolder="01_SALE" measureGroup="Visitor" count="0"/>
    <cacheHierarchy uniqueName="[Measures].[Net Daily Invoice (Sale-Return)]" caption="Net Daily Invoice (Sale-Return)" measure="1" displayFolder="01_SALE" measureGroup="Visitor" count="0"/>
    <cacheHierarchy uniqueName="[Measures].[Daily Visitor Count]" caption="Daily Visitor Count" measure="1" displayFolder="02_VISITOR" measureGroup="Visitor" count="0"/>
    <cacheHierarchy uniqueName="[Measures].[Net Daily Invoice of Company]" caption="Net Daily Invoice of Company" measure="1" displayFolder="01_SALE" measureGroup="Visitor" count="0"/>
    <cacheHierarchy uniqueName="[Measures].[Daily Visitor Count of Company]" caption="Daily Visitor Count of Company" measure="1" displayFolder="02_VISITOR" measureGroup="Visitor" count="0"/>
    <cacheHierarchy uniqueName="[Measures].[Customer Conversion Rate]" caption="Customer Conversion Rate" measure="1" displayFolder="03_CCR" measureGroup="Visitor" count="0"/>
    <cacheHierarchy uniqueName="[Measures].[Adjusted Customer Conversion Rate]" caption="Adjusted Customer Conversion Rate" measure="1" displayFolder="03_CCR" measureGroup="Visitor" count="0"/>
    <cacheHierarchy uniqueName="[Measures].[Adjusted Visitor Count]" caption="Adjusted Visitor Count" measure="1" displayFolder="02_VISITOR" measureGroup="Visitor" count="0"/>
    <cacheHierarchy uniqueName="[Measures].[TY Avg Capacity Plan Unit]" caption="TY Avg Capacity Plan Unit" measure="1" displayFolder="01_TY\_UNIT" measureGroup="Capacity" count="0"/>
    <cacheHierarchy uniqueName="[Measures].[TY LFL Avg Capacity Plan Unit]" caption="TY LFL Avg Capacity Plan Unit" measure="1" displayFolder="01_TY\_UNIT" measureGroup="Capacity" count="0"/>
    <cacheHierarchy uniqueName="[Measures].[CUR Store Capacity Quantity]" caption="CUR Store Capacity Quantity" measure="1" displayFolder="00_CURRENT\_UNIT" measureGroup="Capacity" count="0"/>
    <cacheHierarchy uniqueName="[Measures].[CUR Backstore Capacity Quantity]" caption="CUR Backstore Capacity Quantity" measure="1" displayFolder="00_CURRENT\_UNIT" measureGroup="Capacity" count="0"/>
    <cacheHierarchy uniqueName="[Measures].[CUR Total Store Capacity Quantity]" caption="CUR Total Store Capacity Quantity" measure="1" displayFolder="00_CURRENT\_UNIT" measureGroup="Capacity" count="0"/>
    <cacheHierarchy uniqueName="[Measures].[CUR Store Capacity dm3]" caption="CUR Store Capacity dm3" measure="1" displayFolder="00_CURRENT\_LCM" measureGroup="Capacity" count="0"/>
    <cacheHierarchy uniqueName="[Measures].[CUR Backstore Capacity dm3]" caption="CUR Backstore Capacity dm3" measure="1" displayFolder="00_CURRENT\_LCM" measureGroup="Capacity" count="0"/>
    <cacheHierarchy uniqueName="[Measures].[CUR Total Store Capacity dm3]" caption="CUR Total Store Capacity dm3" measure="1" displayFolder="00_CURRENT\_LCM" measureGroup="Capacity" count="0"/>
    <cacheHierarchy uniqueName="[Measures].[TY Avg Capacity Plan Cost LC]" caption="TY Avg Capacity Plan Cost LC" measure="1" displayFolder="01_TY\_LC" measureGroup="Capacity" count="0"/>
    <cacheHierarchy uniqueName="[Measures].[TY LFL Avg Capacity Plan Cost LC]" caption="TY LFL Avg Capacity Plan Cost LC" measure="1" displayFolder="01_TY\_LC" measureGroup="Capacity" count="0"/>
    <cacheHierarchy uniqueName="[Measures].[__Default measure]" caption="__Default measure" measure="1" displayFolder="" count="0" hidden="1"/>
    <cacheHierarchy uniqueName="[Measures].[DCStockUnit]" caption="DCStockUnit" measure="1" displayFolder="01_TY\_UNIT" measureGroup="StockDC" count="0" hidden="1"/>
    <cacheHierarchy uniqueName="[Measures].[DCCUSStockUnit]" caption="DCCUSStockUnit" measure="1" displayFolder="01_TY\_UNIT" measureGroup="StockDC" count="0" hidden="1"/>
    <cacheHierarchy uniqueName="[Measures].[DCTRNStockUnit]" caption="DCTRNStockUnit" measure="1" displayFolder="01_TY\_UNIT" measureGroup="StockDC" count="0" hidden="1"/>
    <cacheHierarchy uniqueName="[Measures].[DCStockCostLC]" caption="DCStockCostLC" measure="1" displayFolder="01_TY\LC" measureGroup="StockDC" count="0" hidden="1"/>
    <cacheHierarchy uniqueName="[Measures].[DCTRNStockCostLC]" caption="DCTRNStockCostLC" measure="1" displayFolder="01_TY\LC" measureGroup="StockDC" count="0" hidden="1"/>
    <cacheHierarchy uniqueName="[Measures].[DCCUSStockCostLC]" caption="DCCUSStockCostLC" measure="1" displayFolder="01_TY\LC" measureGroup="StockDC" count="0" hidden="1"/>
    <cacheHierarchy uniqueName="[Measures].[DCStockCostTRY]" caption="DCStockCostTRY" measure="1" displayFolder="01_TY\TRY" measureGroup="StockDC" count="0" hidden="1"/>
    <cacheHierarchy uniqueName="[Measures].[DCTRNStockCostTRY]" caption="DCTRNStockCostTRY" measure="1" displayFolder="01_TY\TRY" measureGroup="StockDC" count="0" hidden="1"/>
    <cacheHierarchy uniqueName="[Measures].[DCCUSStockCostTRY]" caption="DCCUSStockCostTRY" measure="1" displayFolder="01_TY\TRY" measureGroup="StockDC" count="0" hidden="1"/>
    <cacheHierarchy uniqueName="[Measures].[DCStockCostUSD]" caption="DCStockCostUSD" measure="1" displayFolder="01_TY\USD" measureGroup="StockDC" count="0" hidden="1"/>
    <cacheHierarchy uniqueName="[Measures].[DCTRNStockCostUSD]" caption="DCTRNStockCostUSD" measure="1" displayFolder="01_TY\USD" measureGroup="StockDC" count="0" hidden="1"/>
    <cacheHierarchy uniqueName="[Measures].[DCCUSStockCostUSD]" caption="DCCUSStockCostUSD" measure="1" displayFolder="01_TY\USD" measureGroup="StockDC" count="0" hidden="1"/>
    <cacheHierarchy uniqueName="[Measures].[LYDCStockUnit]" caption="LYDCStockUnit" measure="1" displayFolder="02_LY\_UNIT" measureGroup="StockDC" count="0" hidden="1"/>
    <cacheHierarchy uniqueName="[Measures].[LYDCTRNStockUnit]" caption="LYDCTRNStockUnit" measure="1" displayFolder="02_LY\_UNIT" measureGroup="StockDC" count="0" hidden="1"/>
    <cacheHierarchy uniqueName="[Measures].[LYDCCUSStockUnit]" caption="LYDCCUSStockUnit" measure="1" displayFolder="02_LY\_UNIT" measureGroup="StockDC" count="0" hidden="1"/>
    <cacheHierarchy uniqueName="[Measures].[LYDCStockCostLC]" caption="LYDCStockCostLC" measure="1" displayFolder="02_LY\LC" measureGroup="StockDC" count="0" hidden="1"/>
    <cacheHierarchy uniqueName="[Measures].[LYDCTRNStockCostLC]" caption="LYDCTRNStockCostLC" measure="1" displayFolder="02_LY\LC" measureGroup="StockDC" count="0" hidden="1"/>
    <cacheHierarchy uniqueName="[Measures].[LYDCCUSStockCostLC]" caption="LYDCCUSStockCostLC" measure="1" displayFolder="02_LY\LC" measureGroup="StockDC" count="0" hidden="1"/>
    <cacheHierarchy uniqueName="[Measures].[LYDCStockCostTRY]" caption="LYDCStockCostTRY" measure="1" displayFolder="02_LY\TRY" measureGroup="StockDC" count="0" hidden="1"/>
    <cacheHierarchy uniqueName="[Measures].[LYDCTRNStockCostTRY]" caption="LYDCTRNStockCostTRY" measure="1" displayFolder="02_LY\TRY" measureGroup="StockDC" count="0" hidden="1"/>
    <cacheHierarchy uniqueName="[Measures].[LYDCCUSStockCostTRY]" caption="LYDCCUSStockCostTRY" measure="1" displayFolder="02_LY\TRY" measureGroup="StockDC" count="0" hidden="1"/>
    <cacheHierarchy uniqueName="[Measures].[LYDCStockCostUSD]" caption="LYDCStockCostUSD" measure="1" displayFolder="02_LY\USD" measureGroup="StockDC" count="0" hidden="1"/>
    <cacheHierarchy uniqueName="[Measures].[LYDCTRNStockCostUSD]" caption="LYDCTRNStockCostUSD" measure="1" displayFolder="02_LY\USD" measureGroup="StockDC" count="0" hidden="1"/>
    <cacheHierarchy uniqueName="[Measures].[LYDCCUSStockCostUSD]" caption="LYDCCUSStockCostUSD" measure="1" displayFolder="02_LY\USD" measureGroup="StockDC" count="0" hidden="1"/>
    <cacheHierarchy uniqueName="[Measures].[DCOTHStockUnit]" caption="DCOTHStockUnit" measure="1" displayFolder="01_TY\_UNIT" measureGroup="StockDC" count="0" hidden="1"/>
    <cacheHierarchy uniqueName="[Measures].[DCOthStockCostLC]" caption="DCOthStockCostLC" measure="1" displayFolder="01_TY\LC" measureGroup="StockDC" count="0" hidden="1"/>
    <cacheHierarchy uniqueName="[Measures].[DCOTHStockCostTRY]" caption="DCOTHStockCostTRY" measure="1" displayFolder="01_TY\TRY" measureGroup="StockDC" count="0" hidden="1"/>
    <cacheHierarchy uniqueName="[Measures].[DCOTHStockCostUSD]" caption="DCOTHStockCostUSD" measure="1" displayFolder="01_TY\USD" measureGroup="StockDC" count="0" hidden="1"/>
    <cacheHierarchy uniqueName="[Measures].[LYDCOTHStockUnit]" caption="LYDCOTHStockUnit" measure="1" displayFolder="02_LY\_UNIT" measureGroup="StockDC" count="0" hidden="1"/>
    <cacheHierarchy uniqueName="[Measures].[LYDCOTHStockCostLC]" caption="LYDCOTHStockCostLC" measure="1" displayFolder="02_LY\LC" measureGroup="StockDC" count="0" hidden="1"/>
    <cacheHierarchy uniqueName="[Measures].[LYDCOTHStockCostTRY]" caption="LYDCOTHStockCostTRY" measure="1" displayFolder="02_LY\TRY" measureGroup="StockDC" count="0" hidden="1"/>
    <cacheHierarchy uniqueName="[Measures].[LYDCOTHStockCostUSD]" caption="LYDCOTHStockCostUSD" measure="1" displayFolder="02_LY\USD" measureGroup="StockDC" count="0" hidden="1"/>
    <cacheHierarchy uniqueName="[Measures].[SumofStockUnit]" caption="SumofStockUnit" measure="1" displayFolder="01_TY\_UNIT" measureGroup="StockStore" count="0" hidden="1"/>
    <cacheHierarchy uniqueName="[Measures].[SumofTransitStockUnit]" caption="SumofTransitStockUnit" measure="1" displayFolder="01_TY\_UNIT" measureGroup="StockStore" count="0" hidden="1"/>
    <cacheHierarchy uniqueName="[Measures].[StoreStockCostLC]" caption="StoreStockCostLC" measure="1" displayFolder="01_TY\LC" measureGroup="StockStore" count="0" hidden="1"/>
    <cacheHierarchy uniqueName="[Measures].[StoreTransitStockCostLC]" caption="StoreTransitStockCostLC" measure="1" displayFolder="01_TY\LC" measureGroup="StockStore" count="0" hidden="1"/>
    <cacheHierarchy uniqueName="[Measures].[TyLFLSumofStockUnit]" caption="TyLFLSumofStockUnit" measure="1" displayFolder="02_TYLFL\_UNIT" measureGroup="StockStore" count="0" hidden="1"/>
    <cacheHierarchy uniqueName="[Measures].[TyLFLSumofTransitStockUnit]" caption="TyLFLSumofTransitStockUnit" measure="1" displayFolder="02_TYLFL\_UNIT" measureGroup="StockStore" count="0" hidden="1"/>
    <cacheHierarchy uniqueName="[Measures].[TYlfl StoreStockCostLC]" caption="TYlfl StoreStockCostLC" measure="1" displayFolder="02_TYLFL\LC" measureGroup="StockStore" count="0" hidden="1"/>
    <cacheHierarchy uniqueName="[Measures].[TYlfl StoreTransitStockCostLC]" caption="TYlfl StoreTransitStockCostLC" measure="1" displayFolder="02_TYLFL\LC" measureGroup="StockStore" count="0" hidden="1"/>
    <cacheHierarchy uniqueName="[Measures].[StoreStockCostTRY]" caption="StoreStockCostTRY" measure="1" displayFolder="01_TY\TRY" measureGroup="StockStore" count="0" hidden="1"/>
    <cacheHierarchy uniqueName="[Measures].[StoreTransitStockCostTRY]" caption="StoreTransitStockCostTRY" measure="1" displayFolder="01_TY\TRY" measureGroup="StockStore" count="0" hidden="1"/>
    <cacheHierarchy uniqueName="[Measures].[StoreStockCostUSD]" caption="StoreStockCostUSD" measure="1" displayFolder="01_TY\USD" measureGroup="StockStore" count="0" hidden="1"/>
    <cacheHierarchy uniqueName="[Measures].[StoreTransitStockCostUSD]" caption="StoreTransitStockCostUSD" measure="1" displayFolder="01_TY\USD" measureGroup="StockStore" count="0" hidden="1"/>
    <cacheHierarchy uniqueName="[Measures].[TYLFL StoreStockCostTRY]" caption="TYLFL StoreStockCostTRY" measure="1" displayFolder="02_TYLFL\TRY" measureGroup="StockStore" count="0" hidden="1"/>
    <cacheHierarchy uniqueName="[Measures].[TYLFL StoreTransitStockCostTRY]" caption="TYLFL StoreTransitStockCostTRY" measure="1" displayFolder="02_TYLFL\TRY" measureGroup="StockStore" count="0" hidden="1"/>
    <cacheHierarchy uniqueName="[Measures].[TYLFL StoreStockCostUSD]" caption="TYLFL StoreStockCostUSD" measure="1" displayFolder="02_TYLFL\USD" measureGroup="StockStore" count="0" hidden="1"/>
    <cacheHierarchy uniqueName="[Measures].[TYLFL StoreTransitStockCostUSD]" caption="TYLFL StoreTransitStockCostUSD" measure="1" displayFolder="02_TYLFL\USD" measureGroup="StockStore" count="0" hidden="1"/>
    <cacheHierarchy uniqueName="[Measures].[LYSumofStockUnit]" caption="LYSumofStockUnit" measure="1" displayFolder="03_LY\_UNIT" measureGroup="StockStore" count="0" hidden="1"/>
    <cacheHierarchy uniqueName="[Measures].[LYSumofTransitStockUnit]" caption="LYSumofTransitStockUnit" measure="1" displayFolder="03_LY\_UNIT" measureGroup="StockStore" count="0" hidden="1"/>
    <cacheHierarchy uniqueName="[Measures].[LYStoreStockCostLC]" caption="LYStoreStockCostLC" measure="1" displayFolder="03_LY\LC" measureGroup="StockStore" count="0" hidden="1"/>
    <cacheHierarchy uniqueName="[Measures].[LYStoreTransitStockCostLC]" caption="LYStoreTransitStockCostLC" measure="1" displayFolder="03_LY\LC" measureGroup="StockStore" count="0" hidden="1"/>
    <cacheHierarchy uniqueName="[Measures].[LYStoreStockCostTRY]" caption="LYStoreStockCostTRY" measure="1" displayFolder="03_LY\TRY" measureGroup="StockStore" count="0" hidden="1"/>
    <cacheHierarchy uniqueName="[Measures].[LYStoreTransitStockCostTRY]" caption="LYStoreTransitStockCostTRY" measure="1" displayFolder="03_LY\TRY" measureGroup="StockStore" count="0" hidden="1"/>
    <cacheHierarchy uniqueName="[Measures].[LYStoreStockCostUSD]" caption="LYStoreStockCostUSD" measure="1" displayFolder="03_LY\USD" measureGroup="StockStore" count="0" hidden="1"/>
    <cacheHierarchy uniqueName="[Measures].[LYStoreTransitStockCostUSD]" caption="LYStoreTransitStockCostUSD" measure="1" displayFolder="03_LY\USD" measureGroup="StockStore" count="0" hidden="1"/>
    <cacheHierarchy uniqueName="[Measures].[LyLFLSumofStockUnit]" caption="LyLFLSumofStockUnit" measure="1" displayFolder="04_LYLFL\_UNIT" measureGroup="StockStore" count="0" hidden="1"/>
    <cacheHierarchy uniqueName="[Measures].[LyLFLSumofTransitStockUnit]" caption="LyLFLSumofTransitStockUnit" measure="1" displayFolder="04_LYLFL\_UNIT" measureGroup="StockStore" count="0" hidden="1"/>
    <cacheHierarchy uniqueName="[Measures].[LYlfl StoreStockCostLC]" caption="LYlfl StoreStockCostLC" measure="1" displayFolder="04_LYLFL\LC" measureGroup="StockStore" count="0" hidden="1"/>
    <cacheHierarchy uniqueName="[Measures].[LYlfl StoreTransitStockCostLC]" caption="LYlfl StoreTransitStockCostLC" measure="1" displayFolder="04_LYLFL\LC" measureGroup="StockStore" count="0" hidden="1"/>
    <cacheHierarchy uniqueName="[Measures].[LYLFL StoreStockCostTRY]" caption="LYLFL StoreStockCostTRY" measure="1" displayFolder="04_LYLFL\TRY" measureGroup="StockStore" count="0" hidden="1"/>
    <cacheHierarchy uniqueName="[Measures].[LYLFL StoreTransitStockCostTRY]" caption="LYLFL StoreTransitStockCostTRY" measure="1" displayFolder="04_LYLFL\TRY" measureGroup="StockStore" count="0" hidden="1"/>
    <cacheHierarchy uniqueName="[Measures].[LYLFL StoreStockCostUSD]" caption="LYLFL StoreStockCostUSD" measure="1" displayFolder="04_LYLFL\USD" measureGroup="StockStore" count="0" hidden="1"/>
    <cacheHierarchy uniqueName="[Measures].[LYLFL StoreTransitStockCostUSD]" caption="LYLFL StoreTransitStockCostUSD" measure="1" displayFolder="04_LYLFL\USD" measureGroup="StockStore" count="0" hidden="1"/>
    <cacheHierarchy uniqueName="[Measures].[RoEcomStok]" caption="RoEcomStok" measure="1" displayFolder="" measureGroup="StockStore" count="0" hidden="1"/>
    <cacheHierarchy uniqueName="[Measures].[laststokdate]" caption="laststokdate" measure="1" displayFolder="" measureGroup="StockStore" count="0" hidden="1"/>
    <cacheHierarchy uniqueName="[Measures].[SumofOtherStockUnit]" caption="SumofOtherStockUnit" measure="1" displayFolder="" measureGroup="StockStore" count="0" hidden="1"/>
    <cacheHierarchy uniqueName="[Measures].[TyLFLSumofOtherStockUnit]" caption="TyLFLSumofOtherStockUnit" measure="1" displayFolder="" measureGroup="StockStore" count="0" hidden="1"/>
    <cacheHierarchy uniqueName="[Measures].[LYSumofOtherStockUnit]" caption="LYSumofOtherStockUnit" measure="1" displayFolder="" measureGroup="StockStore" count="0" hidden="1"/>
    <cacheHierarchy uniqueName="[Measures].[LyLFLSumofOtherStockUnit]" caption="LyLFLSumofOtherStockUnit" measure="1" displayFolder="" measureGroup="StockStore" count="0" hidden="1"/>
    <cacheHierarchy uniqueName="[Measures].[StoreOtherStockCostTRY]" caption="StoreOtherStockCostTRY" measure="1" displayFolder="" measureGroup="StockStore" count="0" hidden="1"/>
    <cacheHierarchy uniqueName="[Measures].[StoreOtherStockCostLC]" caption="StoreOtherStockCostLC" measure="1" displayFolder="" measureGroup="StockStore" count="0" hidden="1"/>
    <cacheHierarchy uniqueName="[Measures].[StoreOtherStockCostUSD]" caption="StoreOtherStockCostUSD" measure="1" displayFolder="" measureGroup="StockStore" count="0" hidden="1"/>
    <cacheHierarchy uniqueName="[Measures].[Salable Stock Unit]" caption="Salable Stock Unit" measure="1" displayFolder="" measureGroup="StockStore" count="0" hidden="1"/>
    <cacheHierarchy uniqueName="[Measures].[LYStoreOtherStockCostLC]" caption="LYStoreOtherStockCostLC" measure="1" displayFolder="" measureGroup="StockStore" count="0" hidden="1"/>
    <cacheHierarchy uniqueName="[Measures].[LYStoreOtherStockCostTRY]" caption="LYStoreOtherStockCostTRY" measure="1" displayFolder="" measureGroup="StockStore" count="0" hidden="1"/>
    <cacheHierarchy uniqueName="[Measures].[LYStoreOtherStockCostUSD]" caption="LYStoreOtherStockCostUSD" measure="1" displayFolder="" measureGroup="StockStore" count="0" hidden="1"/>
    <cacheHierarchy uniqueName="[Measures].[Copy of CUR Open Transfer Store Stock Unit]" caption="Copy of CUR Open Transfer Store Stock Unit" measure="1" displayFolder="" measureGroup="StockStore" count="0" hidden="1"/>
    <cacheHierarchy uniqueName="[Measures].[SumofStockUnitDm3]" caption="SumofStockUnitDm3" measure="1" displayFolder="" measureGroup="StockStore" count="0" hidden="1"/>
    <cacheHierarchy uniqueName="[Measures].[SumofTransitStockUnitDm3]" caption="SumofTransitStockUnitDm3" measure="1" displayFolder="" measureGroup="StockStore" count="0" hidden="1"/>
    <cacheHierarchy uniqueName="[Measures].[TY CSP Sales Value VAT LC]" caption="TY CSP Sales Value VAT LC" measure="1" displayFolder="01_TY\LC" measureGroup="Sales" count="0" hidden="1"/>
    <cacheHierarchy uniqueName="[Measures].[TY CSP Sales Value LC]" caption="TY CSP Sales Value LC" measure="1" displayFolder="01_TY\LC" measureGroup="Sales" count="0" hidden="1"/>
    <cacheHierarchy uniqueName="[Measures].[TY CSP Sales Value VAT TRY]" caption="TY CSP Sales Value VAT TRY" measure="1" displayFolder="01_TY\TRY" measureGroup="Sales" count="0" hidden="1"/>
    <cacheHierarchy uniqueName="[Measures].[TY CSP Sales Value TRY]" caption="TY CSP Sales Value TRY" measure="1" displayFolder="01_TY\TRY" measureGroup="Sales" count="0" hidden="1"/>
    <cacheHierarchy uniqueName="[Measures].[LY CSP Sales Value VAT LC]" caption="LY CSP Sales Value VAT LC" measure="1" displayFolder="03_LY\LC" measureGroup="Sales" count="0" hidden="1"/>
    <cacheHierarchy uniqueName="[Measures].[LY CSP Sales Value LC]" caption="LY CSP Sales Value LC" measure="1" displayFolder="03_LY\LC" measureGroup="Sales" count="0" hidden="1"/>
    <cacheHierarchy uniqueName="[Measures].[TY LFL CSP Sales Value VAT LC]" caption="TY LFL CSP Sales Value VAT LC" measure="1" displayFolder="02_TYLFL\LC" measureGroup="Sales" count="0" hidden="1"/>
    <cacheHierarchy uniqueName="[Measures].[TY LFL CSP Sales Value LC]" caption="TY LFL CSP Sales Value LC" measure="1" displayFolder="02_TYLFL\LC" measureGroup="Sales" count="0" hidden="1"/>
    <cacheHierarchy uniqueName="[Measures].[TY CSP Sales Value VAT USD]" caption="TY CSP Sales Value VAT USD" measure="1" displayFolder="01_TY\USD" measureGroup="Sales" count="0" hidden="1"/>
    <cacheHierarchy uniqueName="[Measures].[TY CSP Sales Value USD]" caption="TY CSP Sales Value USD" measure="1" displayFolder="01_TY\USD" measureGroup="Sales" count="0" hidden="1"/>
    <cacheHierarchy uniqueName="[Measures].[TY LFL CSP Sales Value VAT TRY]" caption="TY LFL CSP Sales Value VAT TRY" measure="1" displayFolder="02_TYLFL\TRY" measureGroup="Sales" count="0" hidden="1"/>
    <cacheHierarchy uniqueName="[Measures].[TY LFL CSP Sales Value TRY]" caption="TY LFL CSP Sales Value TRY" measure="1" displayFolder="02_TYLFL\TRY" measureGroup="Sales" count="0" hidden="1"/>
    <cacheHierarchy uniqueName="[Measures].[TY LFL CSP Sales Value VAT USD]" caption="TY LFL CSP Sales Value VAT USD" measure="1" displayFolder="02_TYLFL\USD" measureGroup="Sales" count="0" hidden="1"/>
    <cacheHierarchy uniqueName="[Measures].[TY LFL CSP Sales Value USD]" caption="TY LFL CSP Sales Value USD" measure="1" displayFolder="02_TYLFL\USD" measureGroup="Sales" count="0" hidden="1"/>
    <cacheHierarchy uniqueName="[Measures].[LY CSP Sales Value VAT TRY]" caption="LY CSP Sales Value VAT TRY" measure="1" displayFolder="03_LY\TRY" measureGroup="Sales" count="0" hidden="1"/>
    <cacheHierarchy uniqueName="[Measures].[LY CSP Sales Value TRY]" caption="LY CSP Sales Value TRY" measure="1" displayFolder="03_LY\TRY" measureGroup="Sales" count="0" hidden="1"/>
    <cacheHierarchy uniqueName="[Measures].[LY CSP Sales Value VAT USD]" caption="LY CSP Sales Value VAT USD" measure="1" displayFolder="03_LY\USD" measureGroup="Sales" count="0" hidden="1"/>
    <cacheHierarchy uniqueName="[Measures].[LY CSP Sales Value USD]" caption="LY CSP Sales Value USD" measure="1" displayFolder="03_LY\USD" measureGroup="Sales" count="0" hidden="1"/>
    <cacheHierarchy uniqueName="[Measures].[LY LFL CSP Sales Value VAT LC]" caption="LY LFL CSP Sales Value VAT LC" measure="1" displayFolder="04_LYLFL\LC" measureGroup="Sales" count="0" hidden="1"/>
    <cacheHierarchy uniqueName="[Measures].[LY LFL CSP Sales Value LC]" caption="LY LFL CSP Sales Value LC" measure="1" displayFolder="04_LYLFL\LC" measureGroup="Sales" count="0" hidden="1"/>
    <cacheHierarchy uniqueName="[Measures].[LY LFL CSP Sales Value VAT TRY]" caption="LY LFL CSP Sales Value VAT TRY" measure="1" displayFolder="04_LYLFL\TRY" measureGroup="Sales" count="0" hidden="1"/>
    <cacheHierarchy uniqueName="[Measures].[LY LFL CSP Sales Value TRY]" caption="LY LFL CSP Sales Value TRY" measure="1" displayFolder="04_LYLFL\TRY" measureGroup="Sales" count="0" hidden="1"/>
    <cacheHierarchy uniqueName="[Measures].[LY LFL CSP Sales Value VAT USD]" caption="LY LFL CSP Sales Value VAT USD" measure="1" displayFolder="04_LYLFL\USD" measureGroup="Sales" count="0" hidden="1"/>
    <cacheHierarchy uniqueName="[Measures].[LY LFL CSP Sales Value USD]" caption="LY LFL CSP Sales Value USD" measure="1" displayFolder="04_LYLFL\USD" measureGroup="Sales" count="0" hidden="1"/>
    <cacheHierarchy uniqueName="[Measures].[TY Unit CSP LC]" caption="TY Unit CSP LC" measure="1" displayFolder="01_TY\LC" measureGroup="Sales" count="0" hidden="1"/>
    <cacheHierarchy uniqueName="[Measures].[LY Unit CSP LC]" caption="LY Unit CSP LC" measure="1" displayFolder="03_LY\LC" measureGroup="Sales" count="0" hidden="1"/>
    <cacheHierarchy uniqueName="[Measures].[TY LFL Unit CSP LC]" caption="TY LFL Unit CSP LC" measure="1" displayFolder="02_TYLFL\LC" measureGroup="Sales" count="0" hidden="1"/>
    <cacheHierarchy uniqueName="[Measures].[LY LFL Unit CSP LC]" caption="LY LFL Unit CSP LC" measure="1" displayFolder="04_LYLFL\LC" measureGroup="Sales" count="0" hidden="1"/>
    <cacheHierarchy uniqueName="[Measures].[TY Unit CSP TRY]" caption="TY Unit CSP TRY" measure="1" displayFolder="01_TY\TRY" measureGroup="Sales" count="0" hidden="1"/>
    <cacheHierarchy uniqueName="[Measures].[LY Unit CSP TRY]" caption="LY Unit CSP TRY" measure="1" displayFolder="03_LY\TRY" measureGroup="Sales" count="0" hidden="1"/>
    <cacheHierarchy uniqueName="[Measures].[TY LFL Unit CSPTRY]" caption="TY LFL Unit CSPTRY" measure="1" displayFolder="02_TYLFL\TRY" measureGroup="Sales" count="0" hidden="1"/>
    <cacheHierarchy uniqueName="[Measures].[LY LFL Unit CSP TRY]" caption="LY LFL Unit CSP TRY" measure="1" displayFolder="04_LYLFL\TRY" measureGroup="Sales" count="0" hidden="1"/>
    <cacheHierarchy uniqueName="[Measures].[TY Unit CSP USD]" caption="TY Unit CSP USD" measure="1" displayFolder="01_TY\USD" measureGroup="Sales" count="0" hidden="1"/>
    <cacheHierarchy uniqueName="[Measures].[LY Unit CSP USD]" caption="LY Unit CSP USD" measure="1" displayFolder="03_LY\USD" measureGroup="Sales" count="0" hidden="1"/>
    <cacheHierarchy uniqueName="[Measures].[TY LFL Unit CSP USD]" caption="TY LFL Unit CSP USD" measure="1" displayFolder="02_TYLFL\USD" measureGroup="Sales" count="0" hidden="1"/>
    <cacheHierarchy uniqueName="[Measures].[TY Store Cover Unit]" caption="TY Store Cover Unit" measure="1" displayFolder="01_TY\_UNIT" measureGroup="KPI" count="0" hidden="1"/>
    <cacheHierarchy uniqueName="[Measures].[TY Store Cover LC]" caption="TY Store Cover LC" measure="1" displayFolder="01_TY\LC" measureGroup="KPI" count="0" hidden="1"/>
    <cacheHierarchy uniqueName="[Measures].[TY Store Cover TRY]" caption="TY Store Cover TRY" measure="1" displayFolder="01_TY\TRY" measureGroup="KPI" count="0" hidden="1"/>
    <cacheHierarchy uniqueName="[Measures].[TY Store Cover USD]" caption="TY Store Cover USD" measure="1" displayFolder="01_TY\USD" measureGroup="KPI" count="0" hidden="1"/>
    <cacheHierarchy uniqueName="[Measures].[LY Store Cover LC]" caption="LY Store Cover LC" measure="1" displayFolder="03_LY\LC" measureGroup="KPI" count="0" hidden="1"/>
    <cacheHierarchy uniqueName="[Measures].[LY Store Cover TRY]" caption="LY Store Cover TRY" measure="1" displayFolder="03_LY\TRY" measureGroup="KPI" count="0" hidden="1"/>
    <cacheHierarchy uniqueName="[Measures].[LY Store Cover USD]" caption="LY Store Cover USD" measure="1" displayFolder="03_LY\USD" measureGroup="KPI" count="0" hidden="1"/>
    <cacheHierarchy uniqueName="[Measures].[TY LFL Store Cover LC]" caption="TY LFL Store Cover LC" measure="1" displayFolder="02_TYLFL\LC" measureGroup="KPI" count="0" hidden="1"/>
    <cacheHierarchy uniqueName="[Measures].[TY LFL Store Cover TRY]" caption="TY LFL Store Cover TRY" measure="1" displayFolder="02_TYLFL\TRY" measureGroup="KPI" count="0" hidden="1"/>
    <cacheHierarchy uniqueName="[Measures].[TY LFL Store Cover USD]" caption="TY LFL Store Cover USD" measure="1" displayFolder="02_TYLFL\USD" measureGroup="KPI" count="0" hidden="1"/>
    <cacheHierarchy uniqueName="[Measures].[LY LFL Store Cover LC]" caption="LY LFL Store Cover LC" measure="1" displayFolder="04_LYLFL\LC" measureGroup="KPI" count="0" hidden="1"/>
    <cacheHierarchy uniqueName="[Measures].[LY LFL Store Cover TRY]" caption="LY LFL Store Cover TRY" measure="1" displayFolder="04_LYLFL\TRY" measureGroup="KPI" count="0" hidden="1"/>
    <cacheHierarchy uniqueName="[Measures].[LY LFL Store Cover USD]" caption="LY LFL Store Cover USD" measure="1" displayFolder="04_LYLFL\USD" measureGroup="KPI" count="0" hidden="1"/>
    <cacheHierarchy uniqueName="[Measures].[LY Store Cover Unit]" caption="LY Store Cover Unit" measure="1" displayFolder="03_LY\_UNIT" measureGroup="KPI" count="0" hidden="1"/>
    <cacheHierarchy uniqueName="[Measures].[TY LFL Store Cover Unit]" caption="TY LFL Store Cover Unit" measure="1" displayFolder="02_TYLFL\_UNIT" measureGroup="KPI" count="0" hidden="1"/>
    <cacheHierarchy uniqueName="[Measures].[LY LFL Store Cover Unit]" caption="LY LFL Store Cover Unit" measure="1" displayFolder="04_LYLFL\_UNIT" measureGroup="KPI" count="0" hidden="1"/>
    <cacheHierarchy uniqueName="[Measures].[Store Cover Unit TYvsLY%]" caption="Store Cover Unit TYvsLY%" measure="1" displayFolder="01_TY\_UNIT" measureGroup="KPI" count="0" hidden="1"/>
    <cacheHierarchy uniqueName="[Measures].[LFL Store Cover Unit TYvsLY%]" caption="LFL Store Cover Unit TYvsLY%" measure="1" displayFolder="02_TYLFL\_UNIT" measureGroup="KPI" count="0" hidden="1"/>
    <cacheHierarchy uniqueName="[Measures].[TY Country Back Cover Unit TR]" caption="TY Country Back Cover Unit TR" measure="1" displayFolder="" measureGroup="KPI" count="0" hidden="1"/>
    <cacheHierarchy uniqueName="[Measures].[TY Country Back Cover Unit YD]" caption="TY Country Back Cover Unit YD" measure="1" displayFolder="" measureGroup="KPI" count="0" hidden="1"/>
    <cacheHierarchy uniqueName="[Measures].[TY SKU Count by Store Stock]" caption="TY SKU Count by Store Stock" measure="1" displayFolder="01_TY\_UNIT" measureGroup="KPI" count="0" hidden="1"/>
    <cacheHierarchy uniqueName="[Measures].[LY SKU Count by Store Stock]" caption="LY SKU Count by Store Stock" measure="1" displayFolder="03_LY\_UNIT" measureGroup="KPI" count="0" hidden="1"/>
    <cacheHierarchy uniqueName="[Measures].[TY LFL SKU Count by Store Stock]" caption="TY LFL SKU Count by Store Stock" measure="1" displayFolder="02_TYLFL\_UNIT" measureGroup="KPI" count="0" hidden="1"/>
    <cacheHierarchy uniqueName="[Measures].[LY LFL SKU Count by Store Stock]" caption="LY LFL SKU Count by Store Stock" measure="1" displayFolder="04_LYLFL\_UNIT" measureGroup="KPI" count="0" hidden="1"/>
    <cacheHierarchy uniqueName="[Measures].[CUR Store Count by Total Stock]" caption="CUR Store Count by Total Stock" measure="1" displayFolder="01_TY\_UNIT" measureGroup="KPI" count="0" hidden="1"/>
    <cacheHierarchy uniqueName="[Measures].[PO Unit Total]" caption="PO Unit Total" measure="1" displayFolder="" measureGroup="PurchaseOrder" count="0" hidden="1"/>
    <cacheHierarchy uniqueName="[Measures].[PO Unit Running Total 30 Days]" caption="PO Unit Running Total 30 Days" measure="1" displayFolder="" measureGroup="PurchaseOrder" count="0" hidden="1"/>
    <cacheHierarchy uniqueName="[Measures].[PO Unit Last 30 Days Total]" caption="PO Unit Last 30 Days Total" measure="1" displayFolder="" measureGroup="PurchaseOrder" count="0" hidden="1"/>
    <cacheHierarchy uniqueName="[Measures].[Goods Receipt PO Unit Base]" caption="Goods Receipt PO Unit Base" measure="1" displayFolder="_UNIT" measureGroup="PurchaseOrder" count="0" hidden="1"/>
    <cacheHierarchy uniqueName="[Measures].[Goods Receipt PO Value LC Base]" caption="Goods Receipt PO Value LC Base" measure="1" displayFolder="_VALUE" measureGroup="PurchaseOrder" count="0" hidden="1"/>
    <cacheHierarchy uniqueName="[Measures].[Goods Receipt PO Value Navlun LC Base]" caption="Goods Receipt PO Value Navlun LC Base" measure="1" displayFolder="" measureGroup="PurchaseOrder" count="0" hidden="1"/>
    <cacheHierarchy uniqueName="[Measures].[TyLFLSumofCapacityPlanUnit]" caption="TyLFLSumofCapacityPlanUnit" measure="1" displayFolder="" measureGroup="Capacity" count="0" hidden="1"/>
    <cacheHierarchy uniqueName="[Measures].[TySumofCapacityPlanUnit]" caption="TySumofCapacityPlanUnit" measure="1" displayFolder="" measureGroup="Capacity" count="0" hidden="1"/>
    <cacheHierarchy uniqueName="[Measures].[CUR Backstore Capacity Area]" caption="CUR Backstore Capacity Area" measure="1" displayFolder="00_CURRENT\_UNIT" measureGroup="Capacity" count="0" hidden="1"/>
    <cacheHierarchy uniqueName="[Measures].[TySumofCapacityPlanCostLC]" caption="TySumofCapacityPlanCostLC" measure="1" displayFolder="" measureGroup="Capacity" count="0" hidden="1"/>
    <cacheHierarchy uniqueName="[Measures].[TyLFLSumofCapacityPlanCostLC]" caption="TyLFLSumofCapacityPlanCostLC" measure="1" displayFolder="" measureGroup="Capacity" count="0" hidden="1"/>
  </cacheHierarchies>
  <kpis count="0"/>
  <dimensions count="14">
    <dimension name="Calendar" uniqueName="[Calendar]" caption="Calendar"/>
    <dimension name="DCWarehouse" uniqueName="[DCWarehouse]" caption="DCWarehouse"/>
    <dimension name="ISPUnitPrice" uniqueName="[ISPUnitPrice]" caption="ISPUnitPrice"/>
    <dimension name="Material" uniqueName="[Material]" caption="Material"/>
    <dimension measure="1" name="Measures" uniqueName="[Measures]" caption="Measures"/>
    <dimension name="PurchaseOrder" uniqueName="[PurchaseOrder]" caption="PurchaseOrder"/>
    <dimension name="PurchaseOrderGR" uniqueName="[PurchaseOrderGR]" caption="PurchaseOrderGR"/>
    <dimension name="SalesBudget" uniqueName="[SalesBudget]" caption="SalesBudget"/>
    <dimension name="SalesChannel" uniqueName="[SalesChannel]" caption="SalesChannel"/>
    <dimension name="SalesSeason" uniqueName="[SalesSeason]" caption="SalesSeason"/>
    <dimension name="StockList" uniqueName="[StockList]" caption="StockList"/>
    <dimension name="Store" uniqueName="[Store]" caption="Store"/>
    <dimension name="StoreLFLStatu" uniqueName="[StoreLFLStatu]" caption="StoreLFLStatu"/>
    <dimension name="SubDistChannel" uniqueName="[SubDistChannel]" caption="SubDistChannel"/>
  </dimensions>
  <measureGroups count="33">
    <measureGroup name="Calendar" caption="Calendar"/>
    <measureGroup name="Capacity" caption="Capacity"/>
    <measureGroup name="CapacityPlanTY" caption="CapacityPlanTY"/>
    <measureGroup name="CurrentStockStore" caption="CurrentStockStore"/>
    <measureGroup name="DCWarehouse" caption="DCWarehouse"/>
    <measureGroup name="ISPUnitPrice" caption="ISPUnitPrice"/>
    <measureGroup name="KPI" caption="KPI"/>
    <measureGroup name="LFLDate" caption="LFLDate"/>
    <measureGroup name="Material" caption="Material"/>
    <measureGroup name="OpenImportsDCStock" caption="OpenImportsDCStock"/>
    <measureGroup name="OpenImportsStoreStock" caption="OpenImportsStoreStock"/>
    <measureGroup name="PurchaseOrder" caption="PurchaseOrder"/>
    <measureGroup name="PurchaseOrderGR" caption="PurchaseOrderGR"/>
    <measureGroup name="Sales" caption="Sales"/>
    <measureGroup name="SalesBudget" caption="SalesBudget"/>
    <measureGroup name="SalesBudgetLY" caption="SalesBudgetLY"/>
    <measureGroup name="SalesChannel" caption="SalesChannel"/>
    <measureGroup name="SalesLY" caption="SalesLY"/>
    <measureGroup name="SalesSeason" caption="SalesSeason"/>
    <measureGroup name="SalesTY" caption="SalesTY"/>
    <measureGroup name="StockDC" caption="StockDC"/>
    <measureGroup name="StockDCLY" caption="StockDCLY"/>
    <measureGroup name="StockList" caption="StockList"/>
    <measureGroup name="StockStore" caption="StockStore"/>
    <measureGroup name="StockStoreLY" caption="StockStoreLY"/>
    <measureGroup name="Store" caption="Store"/>
    <measureGroup name="StoreCapacity" caption="StoreCapacity"/>
    <measureGroup name="StoreLFLStatu" caption="StoreLFLStatu"/>
    <measureGroup name="StoreTarget" caption="StoreTarget"/>
    <measureGroup name="StoreTargetLY" caption="StoreTargetLY"/>
    <measureGroup name="SubDistChannel" caption="SubDistChannel"/>
    <measureGroup name="Visitor" caption="Visitor"/>
    <measureGroup name="VisitorHourly" caption="VisitorHourly"/>
  </measureGroups>
  <maps count="129">
    <map measureGroup="0" dimension="0"/>
    <map measureGroup="1" dimension="0"/>
    <map measureGroup="1" dimension="3"/>
    <map measureGroup="1" dimension="8"/>
    <map measureGroup="1" dimension="9"/>
    <map measureGroup="1" dimension="11"/>
    <map measureGroup="1" dimension="12"/>
    <map measureGroup="1" dimension="13"/>
    <map measureGroup="2" dimension="0"/>
    <map measureGroup="2" dimension="3"/>
    <map measureGroup="2" dimension="8"/>
    <map measureGroup="2" dimension="13"/>
    <map measureGroup="3" dimension="2"/>
    <map measureGroup="3" dimension="3"/>
    <map measureGroup="3" dimension="8"/>
    <map measureGroup="3" dimension="11"/>
    <map measureGroup="3" dimension="13"/>
    <map measureGroup="4" dimension="1"/>
    <map measureGroup="5" dimension="2"/>
    <map measureGroup="7" dimension="0"/>
    <map measureGroup="7" dimension="8"/>
    <map measureGroup="7" dimension="13"/>
    <map measureGroup="8" dimension="3"/>
    <map measureGroup="9" dimension="1"/>
    <map measureGroup="9" dimension="3"/>
    <map measureGroup="9" dimension="8"/>
    <map measureGroup="9" dimension="10"/>
    <map measureGroup="9" dimension="13"/>
    <map measureGroup="10" dimension="3"/>
    <map measureGroup="10" dimension="8"/>
    <map measureGroup="10" dimension="10"/>
    <map measureGroup="10" dimension="11"/>
    <map measureGroup="10" dimension="13"/>
    <map measureGroup="11" dimension="0"/>
    <map measureGroup="11" dimension="1"/>
    <map measureGroup="11" dimension="3"/>
    <map measureGroup="11" dimension="5"/>
    <map measureGroup="11" dimension="8"/>
    <map measureGroup="11" dimension="9"/>
    <map measureGroup="11" dimension="12"/>
    <map measureGroup="11" dimension="13"/>
    <map measureGroup="12" dimension="0"/>
    <map measureGroup="12" dimension="1"/>
    <map measureGroup="12" dimension="3"/>
    <map measureGroup="12" dimension="6"/>
    <map measureGroup="12" dimension="8"/>
    <map measureGroup="12" dimension="9"/>
    <map measureGroup="12" dimension="12"/>
    <map measureGroup="12" dimension="13"/>
    <map measureGroup="14" dimension="0"/>
    <map measureGroup="14" dimension="3"/>
    <map measureGroup="14" dimension="7"/>
    <map measureGroup="14" dimension="8"/>
    <map measureGroup="14" dimension="13"/>
    <map measureGroup="15" dimension="0"/>
    <map measureGroup="15" dimension="3"/>
    <map measureGroup="15" dimension="8"/>
    <map measureGroup="15" dimension="13"/>
    <map measureGroup="16" dimension="8"/>
    <map measureGroup="16" dimension="13"/>
    <map measureGroup="17" dimension="0"/>
    <map measureGroup="17" dimension="2"/>
    <map measureGroup="17" dimension="3"/>
    <map measureGroup="17" dimension="8"/>
    <map measureGroup="17" dimension="9"/>
    <map measureGroup="17" dimension="11"/>
    <map measureGroup="17" dimension="12"/>
    <map measureGroup="17" dimension="13"/>
    <map measureGroup="18" dimension="9"/>
    <map measureGroup="19" dimension="0"/>
    <map measureGroup="19" dimension="2"/>
    <map measureGroup="19" dimension="3"/>
    <map measureGroup="19" dimension="8"/>
    <map measureGroup="19" dimension="9"/>
    <map measureGroup="19" dimension="11"/>
    <map measureGroup="19" dimension="12"/>
    <map measureGroup="19" dimension="13"/>
    <map measureGroup="20" dimension="0"/>
    <map measureGroup="20" dimension="1"/>
    <map measureGroup="20" dimension="2"/>
    <map measureGroup="20" dimension="3"/>
    <map measureGroup="20" dimension="9"/>
    <map measureGroup="21" dimension="0"/>
    <map measureGroup="21" dimension="1"/>
    <map measureGroup="21" dimension="2"/>
    <map measureGroup="21" dimension="3"/>
    <map measureGroup="21" dimension="9"/>
    <map measureGroup="22" dimension="10"/>
    <map measureGroup="23" dimension="0"/>
    <map measureGroup="23" dimension="2"/>
    <map measureGroup="23" dimension="3"/>
    <map measureGroup="23" dimension="8"/>
    <map measureGroup="23" dimension="9"/>
    <map measureGroup="23" dimension="11"/>
    <map measureGroup="23" dimension="12"/>
    <map measureGroup="23" dimension="13"/>
    <map measureGroup="24" dimension="0"/>
    <map measureGroup="24" dimension="2"/>
    <map measureGroup="24" dimension="3"/>
    <map measureGroup="24" dimension="8"/>
    <map measureGroup="24" dimension="9"/>
    <map measureGroup="24" dimension="11"/>
    <map measureGroup="24" dimension="12"/>
    <map measureGroup="24" dimension="13"/>
    <map measureGroup="25" dimension="11"/>
    <map measureGroup="26" dimension="3"/>
    <map measureGroup="26" dimension="8"/>
    <map measureGroup="26" dimension="9"/>
    <map measureGroup="26" dimension="11"/>
    <map measureGroup="26" dimension="12"/>
    <map measureGroup="26" dimension="13"/>
    <map measureGroup="27" dimension="12"/>
    <map measureGroup="28" dimension="0"/>
    <map measureGroup="28" dimension="8"/>
    <map measureGroup="28" dimension="11"/>
    <map measureGroup="28" dimension="13"/>
    <map measureGroup="29" dimension="0"/>
    <map measureGroup="29" dimension="8"/>
    <map measureGroup="29" dimension="11"/>
    <map measureGroup="29" dimension="13"/>
    <map measureGroup="30" dimension="8"/>
    <map measureGroup="30" dimension="13"/>
    <map measureGroup="31" dimension="0"/>
    <map measureGroup="31" dimension="11"/>
    <map measureGroup="31" dimension="12"/>
    <map measureGroup="32" dimension="0"/>
    <map measureGroup="32" dimension="8"/>
    <map measureGroup="32" dimension="11"/>
    <map measureGroup="32" dimension="1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ehmet Fatih Başol" refreshedDate="46063.389348611112" backgroundQuery="1" createdVersion="8" refreshedVersion="8" minRefreshableVersion="3" recordCount="0" supportSubquery="1" supportAdvancedDrill="1" xr:uid="{22B605DF-C810-4B11-ADF9-00087C2D65E9}">
  <cacheSource type="external" connectionId="2"/>
  <cacheFields count="17">
    <cacheField name="[SalesChannel].[SalesOrgType].[SalesOrgType]" caption="SalesOrgType" numFmtId="0" hierarchy="148" level="1">
      <sharedItems containsSemiMixedTypes="0" containsString="0"/>
    </cacheField>
    <cacheField name="[SalesChannel].[DistrubitionChannelDesc].[DistrubitionChannelDesc]" caption="DistrubitionChannelDesc" numFmtId="0" hierarchy="140" level="1">
      <sharedItems count="2">
        <s v="[SalesChannel].[DistrubitionChannelDesc].&amp;[E - Ticaret]" c="E - Ticaret"/>
        <s v="[SalesChannel].[DistrubitionChannelDesc].&amp;[Perakende Satış]" c="Perakende Satış"/>
      </sharedItems>
    </cacheField>
    <cacheField name="[Measures].[TY Sales Unit]" caption="TY Sales Unit" numFmtId="0" hierarchy="853" level="32767"/>
    <cacheField name="[Measures].[TY Sales Value LC]" caption="TY Sales Value LC" numFmtId="0" hierarchy="855" level="32767"/>
    <cacheField name="[Measures].[TY Avg Store Stock Unit]" caption="TY Avg Store Stock Unit" numFmtId="0" hierarchy="760" level="32767"/>
    <cacheField name="[Measures].[TY Avg Store Transit Stock Unit]" caption="TY Avg Store Transit Stock Unit" numFmtId="0" hierarchy="761" level="32767"/>
    <cacheField name="[Calendar].[H_Merch].[MerchYear]" caption="MerchYear" numFmtId="0" hierarchy="6" level="1">
      <sharedItems count="6">
        <s v="[Calendar].[H_Merch].[MerchYear].&amp;[2021]" c="2021"/>
        <s v="[Calendar].[H_Merch].[MerchYear].&amp;[2022]" c="2022"/>
        <s v="[Calendar].[H_Merch].[MerchYear].&amp;[2023]" c="2023"/>
        <s v="[Calendar].[H_Merch].[MerchYear].&amp;[2024]" c="2024"/>
        <s v="[Calendar].[H_Merch].[MerchYear].&amp;[2025]" c="2025"/>
        <s v="[Calendar].[H_Merch].[MerchYear].&amp;[2026]" c="2026"/>
      </sharedItems>
    </cacheField>
    <cacheField name="[Calendar].[H_Merch].[MerchYearMonthName]" caption="MerchYearMonthName" numFmtId="0" hierarchy="6" level="2">
      <sharedItems count="12">
        <s v="[Calendar].[H_Merch].[MerchYearMonthName].&amp;[2023-Ocak]" c="2023-Ocak"/>
        <s v="[Calendar].[H_Merch].[MerchYearMonthName].&amp;[2023-Şubat]" c="2023-Şubat"/>
        <s v="[Calendar].[H_Merch].[MerchYearMonthName].&amp;[2023-Mart]" c="2023-Mart"/>
        <s v="[Calendar].[H_Merch].[MerchYearMonthName].&amp;[2023-Nisan]" c="2023-Nisan"/>
        <s v="[Calendar].[H_Merch].[MerchYearMonthName].&amp;[2023-Mayıs]" c="2023-Mayıs"/>
        <s v="[Calendar].[H_Merch].[MerchYearMonthName].&amp;[2023-Haziran]" c="2023-Haziran"/>
        <s v="[Calendar].[H_Merch].[MerchYearMonthName].&amp;[2023-Temmuz]" c="2023-Temmuz"/>
        <s v="[Calendar].[H_Merch].[MerchYearMonthName].&amp;[2023-Ağustos]" c="2023-Ağustos"/>
        <s v="[Calendar].[H_Merch].[MerchYearMonthName].&amp;[2023-Eylül]" c="2023-Eylül"/>
        <s v="[Calendar].[H_Merch].[MerchYearMonthName].&amp;[2023-Ekim]" c="2023-Ekim"/>
        <s v="[Calendar].[H_Merch].[MerchYearMonthName].&amp;[2023-Kasım]" c="2023-Kasım"/>
        <s v="[Calendar].[H_Merch].[MerchYearMonthName].&amp;[2023-Aralık]" c="2023-Aralık"/>
      </sharedItems>
    </cacheField>
    <cacheField name="[Calendar].[H_Merch].[MerchYearWeek]" caption="MerchYearWeek" numFmtId="0" hierarchy="6" level="3">
      <sharedItems count="5">
        <s v="[Calendar].[H_Merch].[MerchYearWeek].&amp;[202314]" c="202314"/>
        <s v="[Calendar].[H_Merch].[MerchYearWeek].&amp;[202315]" c="202315"/>
        <s v="[Calendar].[H_Merch].[MerchYearWeek].&amp;[202316]" c="202316"/>
        <s v="[Calendar].[H_Merch].[MerchYearWeek].&amp;[202317]" c="202317"/>
        <s v="[Calendar].[H_Merch].[MerchYearWeek].&amp;[202318]" c="202318"/>
      </sharedItems>
    </cacheField>
    <cacheField name="[Calendar].[H_Merch].[Date]" caption="Date" numFmtId="0" hierarchy="6" level="4">
      <sharedItems containsSemiMixedTypes="0" containsString="0"/>
    </cacheField>
    <cacheField name="[Store].[LocationCountry].[LocationCountry]" caption="LocationCountry" numFmtId="0" hierarchy="165" level="1">
      <sharedItems containsSemiMixedTypes="0" containsString="0"/>
    </cacheField>
    <cacheField name="[Calendar].[MerchWeek].[MerchWeek]" caption="MerchWeek" numFmtId="0" hierarchy="14" level="1">
      <sharedItems count="2">
        <s v="[Calendar].[MerchWeek].&amp;[14]" c="14"/>
        <s v="[Calendar].[MerchWeek].&amp;[15]" c="15"/>
      </sharedItems>
    </cacheField>
    <cacheField name="[Material].[H_MainGroup].[MainGroupDesc]" caption="MainGroupDesc" numFmtId="0" hierarchy="69" level="1">
      <sharedItems count="19">
        <s v="[Material].[H_MainGroup].[MainGroupDesc].&amp;[Aksesuar]" c="Aksesuar"/>
        <s v="[Material].[H_MainGroup].[MainGroupDesc].&amp;[Banyo]" c="Banyo"/>
        <s v="[Material].[H_MainGroup].[MainGroupDesc].&amp;[Battaniye]" c="Battaniye"/>
        <s v="[Material].[H_MainGroup].[MainGroupDesc].&amp;[Bebe - Çocuk]" c="Bebe - Çocuk"/>
        <s v="[Material].[H_MainGroup].[MainGroupDesc].&amp;[Bornoz]" c="Bornoz"/>
        <s v="[Material].[H_MainGroup].[MainGroupDesc].&amp;[Ev Giysisi]" c="Ev Giysisi"/>
        <s v="[Material].[H_MainGroup].[MainGroupDesc].&amp;[Halı - Kilim]" c="Halı - Kilim"/>
        <s v="[Material].[H_MainGroup].[MainGroupDesc].&amp;[Havlu]" c="Havlu"/>
        <s v="[Material].[H_MainGroup].[MainGroupDesc].&amp;[Kozmetik]" c="Kozmetik"/>
        <s v="[Material].[H_MainGroup].[MainGroupDesc].&amp;[Masa Örtüsü]" c="Masa Örtüsü"/>
        <s v="[Material].[H_MainGroup].[MainGroupDesc].&amp;[Mobilya Satış]" c="Mobilya Satış"/>
        <s v="[Material].[H_MainGroup].[MainGroupDesc].&amp;[Mutfak]" c="Mutfak"/>
        <s v="[Material].[H_MainGroup].[MainGroupDesc].&amp;[Nevresim]" c="Nevresim"/>
        <s v="[Material].[H_MainGroup].[MainGroupDesc].&amp;[Pike]" c="Pike"/>
        <s v="[Material].[H_MainGroup].[MainGroupDesc].&amp;[Pişirme]" c="Pişirme"/>
        <s v="[Material].[H_MainGroup].[MainGroupDesc].&amp;[Salon]" c="Salon"/>
        <s v="[Material].[H_MainGroup].[MainGroupDesc].&amp;[Yastık]" c="Yastık"/>
        <s v="[Material].[H_MainGroup].[MainGroupDesc].&amp;[Yatak Örtüsü]" c="Yatak Örtüsü"/>
        <s v="[Material].[H_MainGroup].[MainGroupDesc].&amp;[Yorgan]" c="Yorgan"/>
      </sharedItems>
    </cacheField>
    <cacheField name="[Material].[H_MainGroup].[SubGroupDesc]" caption="SubGroupDesc" numFmtId="0" hierarchy="69" level="2">
      <sharedItems containsSemiMixedTypes="0" containsString="0"/>
    </cacheField>
    <cacheField name="[Measures].[TY Avg DC Stock Unit]" caption="TY Avg DC Stock Unit" numFmtId="0" hierarchy="693" level="32767"/>
    <cacheField name="[Material].[MainGroupDesc].[MainGroupDesc]" caption="MainGroupDesc" numFmtId="0" hierarchy="75" level="1">
      <sharedItems count="19">
        <s v="[Material].[MainGroupDesc].&amp;[Aksesuar]" c="Aksesuar"/>
        <s v="[Material].[MainGroupDesc].&amp;[Banyo]" c="Banyo"/>
        <s v="[Material].[MainGroupDesc].&amp;[Battaniye]" c="Battaniye"/>
        <s v="[Material].[MainGroupDesc].&amp;[Bebe - Çocuk]" c="Bebe - Çocuk"/>
        <s v="[Material].[MainGroupDesc].&amp;[Bornoz]" c="Bornoz"/>
        <s v="[Material].[MainGroupDesc].&amp;[Ev Giysisi]" c="Ev Giysisi"/>
        <s v="[Material].[MainGroupDesc].&amp;[Halı - Kilim]" c="Halı - Kilim"/>
        <s v="[Material].[MainGroupDesc].&amp;[Havlu]" c="Havlu"/>
        <s v="[Material].[MainGroupDesc].&amp;[Kozmetik]" c="Kozmetik"/>
        <s v="[Material].[MainGroupDesc].&amp;[Masa Örtüsü]" c="Masa Örtüsü"/>
        <s v="[Material].[MainGroupDesc].&amp;[Mobilya Satış]" c="Mobilya Satış"/>
        <s v="[Material].[MainGroupDesc].&amp;[Mutfak]" c="Mutfak"/>
        <s v="[Material].[MainGroupDesc].&amp;[Nevresim]" c="Nevresim"/>
        <s v="[Material].[MainGroupDesc].&amp;[Pike]" c="Pike"/>
        <s v="[Material].[MainGroupDesc].&amp;[Pişirme]" c="Pişirme"/>
        <s v="[Material].[MainGroupDesc].&amp;[Salon]" c="Salon"/>
        <s v="[Material].[MainGroupDesc].&amp;[Yastık]" c="Yastık"/>
        <s v="[Material].[MainGroupDesc].&amp;[Yatak Örtüsü]" c="Yatak Örtüsü"/>
        <s v="[Material].[MainGroupDesc].&amp;[Yorgan]" c="Yorgan"/>
      </sharedItems>
    </cacheField>
    <cacheField name="[Measures].[TY Gross Profit LC]" caption="TY Gross Profit LC" numFmtId="0" hierarchy="1003" level="32767"/>
  </cacheFields>
  <cacheHierarchies count="156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ID]" caption="DateID" attribute="1" time="1" defaultMemberUniqueName="[Calendar].[DateID].[All]" allUniqueName="[Calendar].[DateID].[All]" dimensionUniqueName="[Calendar]" displayFolder="" count="0" unbalanced="0"/>
    <cacheHierarchy uniqueName="[Calendar].[DayName]" caption="DayName" attribute="1" time="1" defaultMemberUniqueName="[Calendar].[DayName].[All]" allUniqueName="[Calendar].[DayName].[All]" dimensionUniqueName="[Calendar]" displayFolder="" count="0" unbalanced="0"/>
    <cacheHierarchy uniqueName="[Calendar].[DayOfMonth]" caption="DayOfMonth" attribute="1" time="1" defaultMemberUniqueName="[Calendar].[DayOfMonth].[All]" allUniqueName="[Calendar].[DayOfMonth].[All]" dimensionUniqueName="[Calendar]" displayFolder="Gregorian" count="0" unbalanced="0"/>
    <cacheHierarchy uniqueName="[Calendar].[DayOfWeek]" caption="DayOfWeek" attribute="1" time="1" defaultMemberUniqueName="[Calendar].[DayOfWeek].[All]" allUniqueName="[Calendar].[DayOfWeek].[All]" dimensionUniqueName="[Calendar]" displayFolder="Gregorian" count="0" unbalanced="0"/>
    <cacheHierarchy uniqueName="[Calendar].[H_Gregorian]" caption="H_Gregorian" time="1" defaultMemberUniqueName="[Calendar].[H_Gregorian].[All]" allUniqueName="[Calendar].[H_Gregorian].[All]" dimensionUniqueName="[Calendar]" displayFolder="" count="0" unbalanced="0"/>
    <cacheHierarchy uniqueName="[Calendar].[H_Merch]" caption="H_Merch" time="1" defaultMemberUniqueName="[Calendar].[H_Merch].[All]" allUniqueName="[Calendar].[H_Merch].[All]" dimensionUniqueName="[Calendar]" displayFolder="" count="5" unbalanced="0">
      <fieldsUsage count="5">
        <fieldUsage x="-1"/>
        <fieldUsage x="6"/>
        <fieldUsage x="7"/>
        <fieldUsage x="8"/>
        <fieldUsage x="9"/>
      </fieldsUsage>
    </cacheHierarchy>
    <cacheHierarchy uniqueName="[Calendar].[IsWeekend]" caption="IsWeekend" attribute="1" time="1" defaultMemberUniqueName="[Calendar].[IsWeekend].[All]" allUniqueName="[Calendar].[IsWeekend].[All]" dimensionUniqueName="[Calendar]" displayFolder="" count="0" unbalanced="0"/>
    <cacheHierarchy uniqueName="[Calendar].[Last7DaysPartSequence]" caption="Last7DaysPartSequence" attribute="1" time="1" defaultMemberUniqueName="[Calendar].[Last7DaysPartSequence].[All]" allUniqueName="[Calendar].[Last7DaysPartSequence].[All]" dimensionUniqueName="[Calendar]" displayFolder="" count="0" unbalanced="0"/>
    <cacheHierarchy uniqueName="[Calendar].[LastNDays]" caption="LastNDays" attribute="1" time="1" defaultMemberUniqueName="[Calendar].[LastNDays].[All]" allUniqueName="[Calendar].[LastNDays].[All]" dimensionUniqueName="[Calendar]" displayFolder="" count="0" unbalanced="0"/>
    <cacheHierarchy uniqueName="[Calendar].[LastNMonths]" caption="LastNMonths" attribute="1" time="1" defaultMemberUniqueName="[Calendar].[LastNMonths].[All]" allUniqueName="[Calendar].[LastNMonths].[All]" dimensionUniqueName="[Calendar]" displayFolder="" count="0" unbalanced="0"/>
    <cacheHierarchy uniqueName="[Calendar].[LastNWeeks]" caption="LastNWeeks" attribute="1" time="1" defaultMemberUniqueName="[Calendar].[LastNWeeks].[All]" allUniqueName="[Calendar].[LastNWeeks].[All]" dimensionUniqueName="[Calendar]" displayFolder="" count="0" unbalanced="0"/>
    <cacheHierarchy uniqueName="[Calendar].[MerchMonth]" caption="MerchMonth" attribute="1" time="1" defaultMemberUniqueName="[Calendar].[MerchMonth].[All]" allUniqueName="[Calendar].[MerchMonth].[All]" dimensionUniqueName="[Calendar]" displayFolder="Merch" count="0" unbalanced="0"/>
    <cacheHierarchy uniqueName="[Calendar].[MerchMonthName]" caption="MerchMonthName" attribute="1" time="1" defaultMemberUniqueName="[Calendar].[MerchMonthName].[All]" allUniqueName="[Calendar].[MerchMonthName].[All]" dimensionUniqueName="[Calendar]" displayFolder="Merch" count="0" unbalanced="0"/>
    <cacheHierarchy uniqueName="[Calendar].[MerchWeek]" caption="MerchWeek" attribute="1" time="1" defaultMemberUniqueName="[Calendar].[MerchWeek].[All]" allUniqueName="[Calendar].[MerchWeek].[All]" dimensionUniqueName="[Calendar]" displayFolder="Merch" count="2" unbalanced="0">
      <fieldsUsage count="2">
        <fieldUsage x="-1"/>
        <fieldUsage x="11"/>
      </fieldsUsage>
    </cacheHierarchy>
    <cacheHierarchy uniqueName="[Calendar].[MerchYear]" caption="MerchYear" attribute="1" time="1" defaultMemberUniqueName="[Calendar].[MerchYear].[All]" allUniqueName="[Calendar].[MerchYear].[All]" dimensionUniqueName="[Calendar]" displayFolder="Merch" count="0" unbalanced="0"/>
    <cacheHierarchy uniqueName="[Calendar].[MerchYearMonth]" caption="MerchYearMonth" attribute="1" time="1" defaultMemberUniqueName="[Calendar].[MerchYearMonth].[All]" allUniqueName="[Calendar].[MerchYearMonth].[All]" dimensionUniqueName="[Calendar]" displayFolder="Merch" count="0" unbalanced="0"/>
    <cacheHierarchy uniqueName="[Calendar].[MerchYearMonthName]" caption="MerchYearMonthName" attribute="1" time="1" defaultMemberUniqueName="[Calendar].[MerchYearMonthName].[All]" allUniqueName="[Calendar].[MerchYearMonthName].[All]" dimensionUniqueName="[Calendar]" displayFolder="Merch" count="0" unbalanced="0"/>
    <cacheHierarchy uniqueName="[Calendar].[MerchYearWeek]" caption="MerchYearWeek" attribute="1" time="1" defaultMemberUniqueName="[Calendar].[MerchYearWeek].[All]" allUniqueName="[Calendar].[MerchYearWeek].[All]" dimensionUniqueName="[Calendar]" displayFolder="Merch" count="0" unbalanced="0"/>
    <cacheHierarchy uniqueName="[Calendar].[Month]" caption="Month" attribute="1" time="1" defaultMemberUniqueName="[Calendar].[Month].[All]" allUniqueName="[Calendar].[Month].[All]" dimensionUniqueName="[Calendar]" displayFolder="Gregorian" count="0" unbalanced="0"/>
    <cacheHierarchy uniqueName="[Calendar].[MonthName]" caption="MonthName" attribute="1" time="1" defaultMemberUniqueName="[Calendar].[MonthName].[All]" allUniqueName="[Calendar].[MonthName].[All]" dimensionUniqueName="[Calendar]" displayFolder="Gregorian" count="0" unbalanced="0"/>
    <cacheHierarchy uniqueName="[Calendar].[MonthPeriod]" caption="MonthPeriod" attribute="1" time="1" defaultMemberUniqueName="[Calendar].[MonthPeriod].[All]" allUniqueName="[Calendar].[MonthPeriod].[All]" dimensionUniqueName="[Calendar]" displayFolder="" count="0" unbalanced="0"/>
    <cacheHierarchy uniqueName="[Calendar].[PastDate]" caption="PastDate" attribute="1" time="1" defaultMemberUniqueName="[Calendar].[PastDate].[All]" allUniqueName="[Calendar].[PastDate].[All]" dimensionUniqueName="[Calendar]" displayFolder="" count="0" unbalanced="0"/>
    <cacheHierarchy uniqueName="[Calendar].[Week]" caption="Week" attribute="1" time="1" defaultMemberUniqueName="[Calendar].[Week].[All]" allUniqueName="[Calendar].[Week].[All]" dimensionUniqueName="[Calendar]" displayFolder="Gregorian" count="0" unbalanced="0"/>
    <cacheHierarchy uniqueName="[Calendar].[WeekPartSequence]" caption="WeekPartSequence" attribute="1" time="1" defaultMemberUniqueName="[Calendar].[WeekPartSequence].[All]" allUniqueName="[Calendar].[WeekPartSequence].[All]" dimensionUniqueName="[Calendar]" displayFolder="" count="0" unbalanced="0"/>
    <cacheHierarchy uniqueName="[Calendar].[WeekPeriod]" caption="WeekPeriod" attribute="1" time="1" defaultMemberUniqueName="[Calendar].[WeekPeriod].[All]" allUniqueName="[Calendar].[WeekPeriod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Gregorian" count="0" unbalanced="0"/>
    <cacheHierarchy uniqueName="[Calendar].[YearMonth]" caption="YearMonth" attribute="1" time="1" defaultMemberUniqueName="[Calendar].[YearMonth].[All]" allUniqueName="[Calendar].[YearMonth].[All]" dimensionUniqueName="[Calendar]" displayFolder="Gregorian" count="0" unbalanced="0"/>
    <cacheHierarchy uniqueName="[Calendar].[YearMonthName]" caption="YearMonthName" attribute="1" time="1" defaultMemberUniqueName="[Calendar].[YearMonthName].[All]" allUniqueName="[Calendar].[YearMonthName].[All]" dimensionUniqueName="[Calendar]" displayFolder="Gregorian" count="0" unbalanced="0"/>
    <cacheHierarchy uniqueName="[Calendar].[YearPeriod]" caption="YearPeriod" attribute="1" time="1" defaultMemberUniqueName="[Calendar].[YearPeriod].[All]" allUniqueName="[Calendar].[YearPeriod].[All]" dimensionUniqueName="[Calendar]" displayFolder="" count="0" unbalanced="0"/>
    <cacheHierarchy uniqueName="[Calendar].[YearWeek]" caption="YearWeek" attribute="1" time="1" defaultMemberUniqueName="[Calendar].[YearWeek].[All]" allUniqueName="[Calendar].[YearWeek].[All]" dimensionUniqueName="[Calendar]" displayFolder="Gregorian" count="0" unbalanced="0"/>
    <cacheHierarchy uniqueName="[DCWarehouse].[DCCompanyCode]" caption="DCCompanyCode" attribute="1" defaultMemberUniqueName="[DCWarehouse].[DCCompanyCode].[All]" allUniqueName="[DCWarehouse].[DCCompanyCode].[All]" dimensionUniqueName="[DCWarehouse]" displayFolder="" count="0" unbalanced="0"/>
    <cacheHierarchy uniqueName="[DCWarehouse].[DCCompanyName]" caption="DCCompanyName" attribute="1" defaultMemberUniqueName="[DCWarehouse].[DCCompanyName].[All]" allUniqueName="[DCWarehouse].[DCCompanyName].[All]" dimensionUniqueName="[DCWarehouse]" displayFolder="" count="0" unbalanced="0"/>
    <cacheHierarchy uniqueName="[DCWarehouse].[DCCompanyRegion]" caption="DCCompanyRegion" attribute="1" defaultMemberUniqueName="[DCWarehouse].[DCCompanyRegion].[All]" allUniqueName="[DCWarehouse].[DCCompanyRegion].[All]" dimensionUniqueName="[DCWarehouse]" displayFolder="" count="0" unbalanced="0"/>
    <cacheHierarchy uniqueName="[DCWarehouse].[DCDistrubitionChannelCode]" caption="DCDistrubitionChannelCode" attribute="1" defaultMemberUniqueName="[DCWarehouse].[DCDistrubitionChannelCode].[All]" allUniqueName="[DCWarehouse].[DCDistrubitionChannelCode].[All]" dimensionUniqueName="[DCWarehouse]" displayFolder="" count="0" unbalanced="0"/>
    <cacheHierarchy uniqueName="[DCWarehouse].[DCSalesOrgCode]" caption="DCSalesOrgCode" attribute="1" defaultMemberUniqueName="[DCWarehouse].[DCSalesOrgCode].[All]" allUniqueName="[DCWarehouse].[DCSalesOrgCode].[All]" dimensionUniqueName="[DCWarehouse]" displayFolder="" count="0" unbalanced="0"/>
    <cacheHierarchy uniqueName="[DCWarehouse].[DCSalesOrgType]" caption="DCSalesOrgType" attribute="1" defaultMemberUniqueName="[DCWarehouse].[DCSalesOrgType].[All]" allUniqueName="[DCWarehouse].[DCSalesOrgType].[All]" dimensionUniqueName="[DCWarehouse]" displayFolder="" count="0" unbalanced="0"/>
    <cacheHierarchy uniqueName="[DCWarehouse].[DCSubWarehouseCode]" caption="DCSubWarehouseCode" attribute="1" defaultMemberUniqueName="[DCWarehouse].[DCSubWarehouseCode].[All]" allUniqueName="[DCWarehouse].[DCSubWarehouseCode].[All]" dimensionUniqueName="[DCWarehouse]" displayFolder="" count="0" unbalanced="0"/>
    <cacheHierarchy uniqueName="[DCWarehouse].[DCSubWarehouseKey]" caption="DCSubWarehouseKey" attribute="1" defaultMemberUniqueName="[DCWarehouse].[DCSubWarehouseKey].[All]" allUniqueName="[DCWarehouse].[DCSubWarehouseKey].[All]" dimensionUniqueName="[DCWarehouse]" displayFolder="Key" count="0" unbalanced="0"/>
    <cacheHierarchy uniqueName="[DCWarehouse].[DCWarehouseCode]" caption="DCWarehouseCode" attribute="1" defaultMemberUniqueName="[DCWarehouse].[DCWarehouseCode].[All]" allUniqueName="[DCWarehouse].[DCWarehouseCode].[All]" dimensionUniqueName="[DCWarehouse]" displayFolder="" count="0" unbalanced="0"/>
    <cacheHierarchy uniqueName="[DCWarehouse].[DCWarehouseDataType]" caption="DCWarehouseDataType" attribute="1" defaultMemberUniqueName="[DCWarehouse].[DCWarehouseDataType].[All]" allUniqueName="[DCWarehouse].[DCWarehouseDataType].[All]" dimensionUniqueName="[DCWarehouse]" displayFolder="" count="0" unbalanced="0"/>
    <cacheHierarchy uniqueName="[DCWarehouse].[DCWarehouseDesc]" caption="DCWarehouseDesc" attribute="1" defaultMemberUniqueName="[DCWarehouse].[DCWarehouseDesc].[All]" allUniqueName="[DCWarehouse].[DCWarehouseDesc].[All]" dimensionUniqueName="[DCWarehouse]" displayFolder="" count="0" unbalanced="0"/>
    <cacheHierarchy uniqueName="[DCWarehouse].[DCWarehouseKey]" caption="DCWarehouseKey" attribute="1" defaultMemberUniqueName="[DCWarehouse].[DCWarehouseKey].[All]" allUniqueName="[DCWarehouse].[DCWarehouseKey].[All]" dimensionUniqueName="[DCWarehouse]" displayFolder="Key" count="0" unbalanced="0"/>
    <cacheHierarchy uniqueName="[Delivery].[CustomerClass]" caption="CustomerClass" attribute="1" defaultMemberUniqueName="[Delivery].[CustomerClass].[All]" allUniqueName="[Delivery].[CustomerClass].[All]" dimensionUniqueName="[Delivery]" displayFolder="" count="0" unbalanced="0"/>
    <cacheHierarchy uniqueName="[Delivery].[MainCustomerClass]" caption="MainCustomerClass" attribute="1" defaultMemberUniqueName="[Delivery].[MainCustomerClass].[All]" allUniqueName="[Delivery].[MainCustomerClass].[All]" dimensionUniqueName="[Delivery]" displayFolder="" count="0" unbalanced="0"/>
    <cacheHierarchy uniqueName="[ISPUnitPrice].[ISPLCPriceGroup100]" caption="ISPLCPriceGroup100" attribute="1" defaultMemberUniqueName="[ISPUnitPrice].[ISPLCPriceGroup100].[All]" allUniqueName="[ISPUnitPrice].[ISPLCPriceGroup100].[All]" dimensionUniqueName="[ISPUnitPrice]" displayFolder="" count="0" unbalanced="0"/>
    <cacheHierarchy uniqueName="[ISPUnitPrice].[ISPLCPriceVAT]" caption="ISPLCPriceVAT" attribute="1" defaultMemberUniqueName="[ISPUnitPrice].[ISPLCPriceVAT].[All]" allUniqueName="[ISPUnitPrice].[ISPLCPriceVAT].[All]" dimensionUniqueName="[ISPUnitPrice]" displayFolder="" count="0" unbalanced="0"/>
    <cacheHierarchy uniqueName="[Material].[Barcode]" caption="Barcode" attribute="1" defaultMemberUniqueName="[Material].[Barcode].[All]" allUniqueName="[Material].[Barcode].[All]" dimensionUniqueName="[Material]" displayFolder="" count="0" unbalanced="0"/>
    <cacheHierarchy uniqueName="[Material].[BrandCode]" caption="BrandCode" attribute="1" defaultMemberUniqueName="[Material].[BrandCode].[All]" allUniqueName="[Material].[BrandCode].[All]" dimensionUniqueName="[Material]" displayFolder="" count="0" unbalanced="0"/>
    <cacheHierarchy uniqueName="[Material].[BrandDesc]" caption="BrandDesc" attribute="1" defaultMemberUniqueName="[Material].[BrandDesc].[All]" allUniqueName="[Material].[BrandDesc].[All]" dimensionUniqueName="[Material]" displayFolder="" count="0" unbalanced="0"/>
    <cacheHierarchy uniqueName="[Material].[BudgetGroupCode]" caption="BudgetGroupCode" attribute="1" defaultMemberUniqueName="[Material].[BudgetGroupCode].[All]" allUniqueName="[Material].[BudgetGroupCode].[All]" dimensionUniqueName="[Material]" displayFolder="" count="0" unbalanced="0"/>
    <cacheHierarchy uniqueName="[Material].[BudgetGroupDesc]" caption="BudgetGroupDesc" attribute="1" defaultMemberUniqueName="[Material].[BudgetGroupDesc].[All]" allUniqueName="[Material].[BudgetGroupDesc].[All]" dimensionUniqueName="[Material]" displayFolder="" count="0" unbalanced="0"/>
    <cacheHierarchy uniqueName="[Material].[Category]" caption="Category" attribute="1" defaultMemberUniqueName="[Material].[Category].[All]" allUniqueName="[Material].[Category].[All]" dimensionUniqueName="[Material]" displayFolder="" count="0" unbalanced="0"/>
    <cacheHierarchy uniqueName="[Material].[CategoryLeader]" caption="CategoryLeader" attribute="1" defaultMemberUniqueName="[Material].[CategoryLeader].[All]" allUniqueName="[Material].[CategoryLeader].[All]" dimensionUniqueName="[Material]" displayFolder="" count="0" unbalanced="0"/>
    <cacheHierarchy uniqueName="[Material].[CatlCode]" caption="CatlCode" attribute="1" defaultMemberUniqueName="[Material].[CatlCode].[All]" allUniqueName="[Material].[CatlCode].[All]" dimensionUniqueName="[Material]" displayFolder="" count="0" unbalanced="0"/>
    <cacheHierarchy uniqueName="[Material].[CatlDesc]" caption="CatlDesc" attribute="1" defaultMemberUniqueName="[Material].[CatlDesc].[All]" allUniqueName="[Material].[CatlDesc].[All]" dimensionUniqueName="[Material]" displayFolder="" count="0" unbalanced="0"/>
    <cacheHierarchy uniqueName="[Material].[ColorCode]" caption="ColorCode" attribute="1" defaultMemberUniqueName="[Material].[ColorCode].[All]" allUniqueName="[Material].[ColorCode].[All]" dimensionUniqueName="[Material]" displayFolder="" count="0" unbalanced="0"/>
    <cacheHierarchy uniqueName="[Material].[ColorDesc]" caption="ColorDesc" attribute="1" defaultMemberUniqueName="[Material].[ColorDesc].[All]" allUniqueName="[Material].[ColorDesc].[All]" dimensionUniqueName="[Material]" displayFolder="" count="0" unbalanced="0"/>
    <cacheHierarchy uniqueName="[Material].[CombineCode]" caption="CombineCode" attribute="1" defaultMemberUniqueName="[Material].[CombineCode].[All]" allUniqueName="[Material].[CombineCode].[All]" dimensionUniqueName="[Material]" displayFolder="" count="0" unbalanced="0"/>
    <cacheHierarchy uniqueName="[Material].[CombineDesc]" caption="CombineDesc" attribute="1" defaultMemberUniqueName="[Material].[CombineDesc].[All]" allUniqueName="[Material].[CombineDesc].[All]" dimensionUniqueName="[Material]" displayFolder="" count="0" unbalanced="0"/>
    <cacheHierarchy uniqueName="[Material].[CurProductStateID]" caption="CurProductStateID" attribute="1" defaultMemberUniqueName="[Material].[CurProductStateID].[All]" allUniqueName="[Material].[CurProductStateID].[All]" dimensionUniqueName="[Material]" displayFolder="" count="0" unbalanced="0"/>
    <cacheHierarchy uniqueName="[Material].[CurProductStateName]" caption="CurProductStateName" attribute="1" defaultMemberUniqueName="[Material].[CurProductStateName].[All]" allUniqueName="[Material].[CurProductStateName].[All]" dimensionUniqueName="[Material]" displayFolder="" count="0" unbalanced="0"/>
    <cacheHierarchy uniqueName="[Material].[CurSalesSeasonID]" caption="CurSalesSeasonID" attribute="1" defaultMemberUniqueName="[Material].[CurSalesSeasonID].[All]" allUniqueName="[Material].[CurSalesSeasonID].[All]" dimensionUniqueName="[Material]" displayFolder="" count="0" unbalanced="0"/>
    <cacheHierarchy uniqueName="[Material].[CurSalesSeasonName]" caption="CurSalesSeasonName" attribute="1" defaultMemberUniqueName="[Material].[CurSalesSeasonName].[All]" allUniqueName="[Material].[CurSalesSeasonName].[All]" dimensionUniqueName="[Material]" displayFolder="" count="0" unbalanced="0"/>
    <cacheHierarchy uniqueName="[Material].[DesingCode]" caption="DesingCode" attribute="1" defaultMemberUniqueName="[Material].[DesingCode].[All]" allUniqueName="[Material].[DesingCode].[All]" dimensionUniqueName="[Material]" displayFolder="" count="0" unbalanced="0"/>
    <cacheHierarchy uniqueName="[Material].[DesingDesc]" caption="DesingDesc" attribute="1" defaultMemberUniqueName="[Material].[DesingDesc].[All]" allUniqueName="[Material].[DesingDesc].[All]" dimensionUniqueName="[Material]" displayFolder="" count="0" unbalanced="0"/>
    <cacheHierarchy uniqueName="[Material].[EtlDate]" caption="EtlDate" attribute="1" defaultMemberUniqueName="[Material].[EtlDate].[All]" allUniqueName="[Material].[EtlDate].[All]" dimensionUniqueName="[Material]" displayFolder="" count="0" unbalanced="0"/>
    <cacheHierarchy uniqueName="[Material].[FabricCode]" caption="FabricCode" attribute="1" defaultMemberUniqueName="[Material].[FabricCode].[All]" allUniqueName="[Material].[FabricCode].[All]" dimensionUniqueName="[Material]" displayFolder="" count="0" unbalanced="0"/>
    <cacheHierarchy uniqueName="[Material].[FacricDesc]" caption="FacricDesc" attribute="1" defaultMemberUniqueName="[Material].[FacricDesc].[All]" allUniqueName="[Material].[FacricDesc].[All]" dimensionUniqueName="[Material]" displayFolder="" count="0" unbalanced="0"/>
    <cacheHierarchy uniqueName="[Material].[H_MainGroup]" caption="H_MainGroup" defaultMemberUniqueName="[Material].[H_MainGroup].[All]" allUniqueName="[Material].[H_MainGroup].[All]" dimensionUniqueName="[Material]" displayFolder="" count="3" unbalanced="0">
      <fieldsUsage count="3">
        <fieldUsage x="-1"/>
        <fieldUsage x="12"/>
        <fieldUsage x="13"/>
      </fieldsUsage>
    </cacheHierarchy>
    <cacheHierarchy uniqueName="[Material].[HygieneCode]" caption="HygieneCode" attribute="1" defaultMemberUniqueName="[Material].[HygieneCode].[All]" allUniqueName="[Material].[HygieneCode].[All]" dimensionUniqueName="[Material]" displayFolder="" count="0" unbalanced="0"/>
    <cacheHierarchy uniqueName="[Material].[HygieneDesc]" caption="HygieneDesc" attribute="1" defaultMemberUniqueName="[Material].[HygieneDesc].[All]" allUniqueName="[Material].[HygieneDesc].[All]" dimensionUniqueName="[Material]" displayFolder="" count="0" unbalanced="0"/>
    <cacheHierarchy uniqueName="[Material].[ImageURL]" caption="ImageURL" attribute="1" defaultMemberUniqueName="[Material].[ImageURL].[All]" allUniqueName="[Material].[ImageURL].[All]" dimensionUniqueName="[Material]" displayFolder="" count="0" unbalanced="0"/>
    <cacheHierarchy uniqueName="[Material].[LivingArea]" caption="LivingArea" attribute="1" defaultMemberUniqueName="[Material].[LivingArea].[All]" allUniqueName="[Material].[LivingArea].[All]" dimensionUniqueName="[Material]" displayFolder="" count="0" unbalanced="0"/>
    <cacheHierarchy uniqueName="[Material].[MainGroupCode]" caption="MainGroupCode" attribute="1" defaultMemberUniqueName="[Material].[MainGroupCode].[All]" allUniqueName="[Material].[MainGroupCode].[All]" dimensionUniqueName="[Material]" displayFolder="" count="0" unbalanced="0"/>
    <cacheHierarchy uniqueName="[Material].[MainGroupDesc]" caption="MainGroupDesc" attribute="1" defaultMemberUniqueName="[Material].[MainGroupDesc].[All]" allUniqueName="[Material].[MainGroupDesc].[All]" dimensionUniqueName="[Material]" displayFolder="" count="2" unbalanced="0">
      <fieldsUsage count="2">
        <fieldUsage x="-1"/>
        <fieldUsage x="15"/>
      </fieldsUsage>
    </cacheHierarchy>
    <cacheHierarchy uniqueName="[Material].[MatDim]" caption="MatDim" attribute="1" defaultMemberUniqueName="[Material].[MatDim].[All]" allUniqueName="[Material].[MatDim].[All]" dimensionUniqueName="[Material]" displayFolder="" count="0" unbalanced="0"/>
    <cacheHierarchy uniqueName="[Material].[MatDimUnit]" caption="MatDimUnit" attribute="1" defaultMemberUniqueName="[Material].[MatDimUnit].[All]" allUniqueName="[Material].[MatDimUnit].[All]" dimensionUniqueName="[Material]" displayFolder="" count="0" unbalanced="0"/>
    <cacheHierarchy uniqueName="[Material].[MaterialCode]" caption="MaterialCode" attribute="1" defaultMemberUniqueName="[Material].[MaterialCode].[All]" allUniqueName="[Material].[MaterialCode].[All]" dimensionUniqueName="[Material]" displayFolder="" count="0" unbalanced="0"/>
    <cacheHierarchy uniqueName="[Material].[MaterialCodeDesc]" caption="MaterialCodeDesc" attribute="1" defaultMemberUniqueName="[Material].[MaterialCodeDesc].[All]" allUniqueName="[Material].[MaterialCodeDesc].[All]" dimensionUniqueName="[Material]" displayFolder="" count="0" unbalanced="0"/>
    <cacheHierarchy uniqueName="[Material].[MaterialCodeWoZero]" caption="MaterialCodeWoZero" attribute="1" defaultMemberUniqueName="[Material].[MaterialCodeWoZero].[All]" allUniqueName="[Material].[MaterialCodeWoZero].[All]" dimensionUniqueName="[Material]" displayFolder="" count="0" unbalanced="0"/>
    <cacheHierarchy uniqueName="[Material].[MaterialDesc]" caption="MaterialDesc" attribute="1" defaultMemberUniqueName="[Material].[MaterialDesc].[All]" allUniqueName="[Material].[MaterialDesc].[All]" dimensionUniqueName="[Material]" displayFolder="" count="0" unbalanced="0"/>
    <cacheHierarchy uniqueName="[Material].[MaterialDm3]" caption="MaterialDm3" attribute="1" defaultMemberUniqueName="[Material].[MaterialDm3].[All]" allUniqueName="[Material].[MaterialDm3].[All]" dimensionUniqueName="[Material]" displayFolder="" count="0" unbalanced="0"/>
    <cacheHierarchy uniqueName="[Material].[MaterialFeatureCode]" caption="MaterialFeatureCode" attribute="1" defaultMemberUniqueName="[Material].[MaterialFeatureCode].[All]" allUniqueName="[Material].[MaterialFeatureCode].[All]" dimensionUniqueName="[Material]" displayFolder="" count="0" unbalanced="0"/>
    <cacheHierarchy uniqueName="[Material].[MaterialFeatureDesc]" caption="MaterialFeatureDesc" attribute="1" defaultMemberUniqueName="[Material].[MaterialFeatureDesc].[All]" allUniqueName="[Material].[MaterialFeatureDesc].[All]" dimensionUniqueName="[Material]" displayFolder="" count="0" unbalanced="0"/>
    <cacheHierarchy uniqueName="[Material].[MaterialKey]" caption="MaterialKey" attribute="1" defaultMemberUniqueName="[Material].[MaterialKey].[All]" allUniqueName="[Material].[MaterialKey].[All]" dimensionUniqueName="[Material]" displayFolder="" count="0" unbalanced="0"/>
    <cacheHierarchy uniqueName="[Material].[MaterialOtherFeatureCode]" caption="MaterialOtherFeatureCode" attribute="1" defaultMemberUniqueName="[Material].[MaterialOtherFeatureCode].[All]" allUniqueName="[Material].[MaterialOtherFeatureCode].[All]" dimensionUniqueName="[Material]" displayFolder="" count="0" unbalanced="0"/>
    <cacheHierarchy uniqueName="[Material].[MaterialOtherFeatureDesc]" caption="MaterialOtherFeatureDesc" attribute="1" defaultMemberUniqueName="[Material].[MaterialOtherFeatureDesc].[All]" allUniqueName="[Material].[MaterialOtherFeatureDesc].[All]" dimensionUniqueName="[Material]" displayFolder="" count="0" unbalanced="0"/>
    <cacheHierarchy uniqueName="[Material].[MaterialSpecialFeatureCode]" caption="MaterialSpecialFeatureCode" attribute="1" defaultMemberUniqueName="[Material].[MaterialSpecialFeatureCode].[All]" allUniqueName="[Material].[MaterialSpecialFeatureCode].[All]" dimensionUniqueName="[Material]" displayFolder="" count="0" unbalanced="0"/>
    <cacheHierarchy uniqueName="[Material].[MaterialSpecialFeatureDesc]" caption="MaterialSpecialFeatureDesc" attribute="1" defaultMemberUniqueName="[Material].[MaterialSpecialFeatureDesc].[All]" allUniqueName="[Material].[MaterialSpecialFeatureDesc].[All]" dimensionUniqueName="[Material]" displayFolder="" count="0" unbalanced="0"/>
    <cacheHierarchy uniqueName="[Material].[MaterialTypeCode]" caption="MaterialTypeCode" attribute="1" defaultMemberUniqueName="[Material].[MaterialTypeCode].[All]" allUniqueName="[Material].[MaterialTypeCode].[All]" dimensionUniqueName="[Material]" displayFolder="" count="0" unbalanced="0"/>
    <cacheHierarchy uniqueName="[Material].[MaterialTypeDesc]" caption="MaterialTypeDesc" attribute="1" defaultMemberUniqueName="[Material].[MaterialTypeDesc].[All]" allUniqueName="[Material].[MaterialTypeDesc].[All]" dimensionUniqueName="[Material]" displayFolder="" count="0" unbalanced="0"/>
    <cacheHierarchy uniqueName="[Material].[MatHeight]" caption="MatHeight" attribute="1" defaultMemberUniqueName="[Material].[MatHeight].[All]" allUniqueName="[Material].[MatHeight].[All]" dimensionUniqueName="[Material]" displayFolder="" count="0" unbalanced="0"/>
    <cacheHierarchy uniqueName="[Material].[MatLenght]" caption="MatLenght" attribute="1" defaultMemberUniqueName="[Material].[MatLenght].[All]" allUniqueName="[Material].[MatLenght].[All]" dimensionUniqueName="[Material]" displayFolder="" count="0" unbalanced="0"/>
    <cacheHierarchy uniqueName="[Material].[MatVolume]" caption="MatVolume" attribute="1" defaultMemberUniqueName="[Material].[MatVolume].[All]" allUniqueName="[Material].[MatVolume].[All]" dimensionUniqueName="[Material]" displayFolder="" count="0" unbalanced="0"/>
    <cacheHierarchy uniqueName="[Material].[MatVolumeUnit]" caption="MatVolumeUnit" attribute="1" defaultMemberUniqueName="[Material].[MatVolumeUnit].[All]" allUniqueName="[Material].[MatVolumeUnit].[All]" dimensionUniqueName="[Material]" displayFolder="" count="0" unbalanced="0"/>
    <cacheHierarchy uniqueName="[Material].[MatWeight]" caption="MatWeight" attribute="1" defaultMemberUniqueName="[Material].[MatWeight].[All]" allUniqueName="[Material].[MatWeight].[All]" dimensionUniqueName="[Material]" displayFolder="" count="0" unbalanced="0"/>
    <cacheHierarchy uniqueName="[Material].[MatWeightUnit]" caption="MatWeightUnit" attribute="1" defaultMemberUniqueName="[Material].[MatWeightUnit].[All]" allUniqueName="[Material].[MatWeightUnit].[All]" dimensionUniqueName="[Material]" displayFolder="" count="0" unbalanced="0"/>
    <cacheHierarchy uniqueName="[Material].[MatWidth]" caption="MatWidth" attribute="1" defaultMemberUniqueName="[Material].[MatWidth].[All]" allUniqueName="[Material].[MatWidth].[All]" dimensionUniqueName="[Material]" displayFolder="" count="0" unbalanced="0"/>
    <cacheHierarchy uniqueName="[Material].[MaxStockQty]" caption="MaxStockQty" attribute="1" defaultMemberUniqueName="[Material].[MaxStockQty].[All]" allUniqueName="[Material].[MaxStockQty].[All]" dimensionUniqueName="[Material]" displayFolder="" count="0" unbalanced="0"/>
    <cacheHierarchy uniqueName="[Material].[MerchProduct]" caption="MerchProduct" attribute="1" defaultMemberUniqueName="[Material].[MerchProduct].[All]" allUniqueName="[Material].[MerchProduct].[All]" dimensionUniqueName="[Material]" displayFolder="" count="0" unbalanced="0"/>
    <cacheHierarchy uniqueName="[Material].[MinStockQty]" caption="MinStockQty" attribute="1" defaultMemberUniqueName="[Material].[MinStockQty].[All]" allUniqueName="[Material].[MinStockQty].[All]" dimensionUniqueName="[Material]" displayFolder="" count="0" unbalanced="0"/>
    <cacheHierarchy uniqueName="[Material].[PackagingType]" caption="PackagingType" attribute="1" defaultMemberUniqueName="[Material].[PackagingType].[All]" allUniqueName="[Material].[PackagingType].[All]" dimensionUniqueName="[Material]" displayFolder="" count="0" unbalanced="0"/>
    <cacheHierarchy uniqueName="[Material].[PlaningQualityCode]" caption="PlaningQualityCode" attribute="1" defaultMemberUniqueName="[Material].[PlaningQualityCode].[All]" allUniqueName="[Material].[PlaningQualityCode].[All]" dimensionUniqueName="[Material]" displayFolder="" count="0" unbalanced="0"/>
    <cacheHierarchy uniqueName="[Material].[PlaningQualityDesc]" caption="PlaningQualityDesc" attribute="1" defaultMemberUniqueName="[Material].[PlaningQualityDesc].[All]" allUniqueName="[Material].[PlaningQualityDesc].[All]" dimensionUniqueName="[Material]" displayFolder="" count="0" unbalanced="0"/>
    <cacheHierarchy uniqueName="[Material].[PlanStatus]" caption="PlanStatus" attribute="1" defaultMemberUniqueName="[Material].[PlanStatus].[All]" allUniqueName="[Material].[PlanStatus].[All]" dimensionUniqueName="[Material]" displayFolder="" count="0" unbalanced="0"/>
    <cacheHierarchy uniqueName="[Material].[PriceX]" caption="PriceX" attribute="1" defaultMemberUniqueName="[Material].[PriceX].[All]" allUniqueName="[Material].[PriceX].[All]" dimensionUniqueName="[Material]" displayFolder="" count="0" unbalanced="0"/>
    <cacheHierarchy uniqueName="[Material].[ProductFamily]" caption="ProductFamily" attribute="1" defaultMemberUniqueName="[Material].[ProductFamily].[All]" allUniqueName="[Material].[ProductFamily].[All]" dimensionUniqueName="[Material]" displayFolder="" count="0" unbalanced="0"/>
    <cacheHierarchy uniqueName="[Material].[ProductSegment]" caption="ProductSegment" attribute="1" defaultMemberUniqueName="[Material].[ProductSegment].[All]" allUniqueName="[Material].[ProductSegment].[All]" dimensionUniqueName="[Material]" displayFolder="" count="0" unbalanced="0"/>
    <cacheHierarchy uniqueName="[Material].[ProductStoreSegment]" caption="ProductStoreSegment" attribute="1" defaultMemberUniqueName="[Material].[ProductStoreSegment].[All]" allUniqueName="[Material].[ProductStoreSegment].[All]" dimensionUniqueName="[Material]" displayFolder="" count="0" unbalanced="0"/>
    <cacheHierarchy uniqueName="[Material].[QtyInBox]" caption="QtyInBox" attribute="1" defaultMemberUniqueName="[Material].[QtyInBox].[All]" allUniqueName="[Material].[QtyInBox].[All]" dimensionUniqueName="[Material]" displayFolder="" count="0" unbalanced="0"/>
    <cacheHierarchy uniqueName="[Material].[QtyInPackage]" caption="QtyInPackage" attribute="1" defaultMemberUniqueName="[Material].[QtyInPackage].[All]" allUniqueName="[Material].[QtyInPackage].[All]" dimensionUniqueName="[Material]" displayFolder="" count="0" unbalanced="0"/>
    <cacheHierarchy uniqueName="[Material].[QtyInPallet]" caption="QtyInPallet" attribute="1" defaultMemberUniqueName="[Material].[QtyInPallet].[All]" allUniqueName="[Material].[QtyInPallet].[All]" dimensionUniqueName="[Material]" displayFolder="" count="0" unbalanced="0"/>
    <cacheHierarchy uniqueName="[Material].[RemainingDaysforPlan]" caption="RemainingDaysforPlan" attribute="1" defaultMemberUniqueName="[Material].[RemainingDaysforPlan].[All]" allUniqueName="[Material].[RemainingDaysforPlan].[All]" dimensionUniqueName="[Material]" displayFolder="" count="0" unbalanced="0"/>
    <cacheHierarchy uniqueName="[Material].[Season]" caption="Season" attribute="1" defaultMemberUniqueName="[Material].[Season].[All]" allUniqueName="[Material].[Season].[All]" dimensionUniqueName="[Material]" displayFolder="" count="0" unbalanced="0"/>
    <cacheHierarchy uniqueName="[Material].[SeasonYear]" caption="SeasonYear" attribute="1" defaultMemberUniqueName="[Material].[SeasonYear].[All]" allUniqueName="[Material].[SeasonYear].[All]" dimensionUniqueName="[Material]" displayFolder="" count="0" unbalanced="0"/>
    <cacheHierarchy uniqueName="[Material].[Size_Code]" caption="Size_Code" attribute="1" defaultMemberUniqueName="[Material].[Size_Code].[All]" allUniqueName="[Material].[Size_Code].[All]" dimensionUniqueName="[Material]" displayFolder="" count="0" unbalanced="0"/>
    <cacheHierarchy uniqueName="[Material].[Size_Desc]" caption="Size_Desc" attribute="1" defaultMemberUniqueName="[Material].[Size_Desc].[All]" allUniqueName="[Material].[Size_Desc].[All]" dimensionUniqueName="[Material]" displayFolder="" count="0" unbalanced="0"/>
    <cacheHierarchy uniqueName="[Material].[Status]" caption="Status" attribute="1" defaultMemberUniqueName="[Material].[Status].[All]" allUniqueName="[Material].[Status].[All]" dimensionUniqueName="[Material]" displayFolder="" count="0" unbalanced="0"/>
    <cacheHierarchy uniqueName="[Material].[SubGroupCode]" caption="SubGroupCode" attribute="1" defaultMemberUniqueName="[Material].[SubGroupCode].[All]" allUniqueName="[Material].[SubGroupCode].[All]" dimensionUniqueName="[Material]" displayFolder="" count="0" unbalanced="0"/>
    <cacheHierarchy uniqueName="[Material].[SubGroupDesc]" caption="SubGroupDesc" attribute="1" defaultMemberUniqueName="[Material].[SubGroupDesc].[All]" allUniqueName="[Material].[SubGroupDesc].[All]" dimensionUniqueName="[Material]" displayFolder="" count="0" unbalanced="0"/>
    <cacheHierarchy uniqueName="[Material].[TagGroupDesc]" caption="TagGroupDesc" attribute="1" defaultMemberUniqueName="[Material].[TagGroupDesc].[All]" allUniqueName="[Material].[TagGroupDesc].[All]" dimensionUniqueName="[Material]" displayFolder="" count="0" unbalanced="0"/>
    <cacheHierarchy uniqueName="[Material].[TextileProduct]" caption="TextileProduct" attribute="1" defaultMemberUniqueName="[Material].[TextileProduct].[All]" allUniqueName="[Material].[TextileProduct].[All]" dimensionUniqueName="[Material]" displayFolder="" count="0" unbalanced="0"/>
    <cacheHierarchy uniqueName="[Material].[Theme]" caption="Theme" attribute="1" defaultMemberUniqueName="[Material].[Theme].[All]" allUniqueName="[Material].[Theme].[All]" dimensionUniqueName="[Material]" displayFolder="" count="0" unbalanced="0"/>
    <cacheHierarchy uniqueName="[Material].[TribeLeader]" caption="TribeLeader" attribute="1" defaultMemberUniqueName="[Material].[TribeLeader].[All]" allUniqueName="[Material].[TribeLeader].[All]" dimensionUniqueName="[Material]" displayFolder="" count="0" unbalanced="0"/>
    <cacheHierarchy uniqueName="[Material].[VatRate]" caption="VatRate" attribute="1" defaultMemberUniqueName="[Material].[VatRate].[All]" allUniqueName="[Material].[VatRate].[All]" dimensionUniqueName="[Material]" displayFolder="" count="0" unbalanced="0"/>
    <cacheHierarchy uniqueName="[Material].[VendorCode]" caption="VendorCode" attribute="1" defaultMemberUniqueName="[Material].[VendorCode].[All]" allUniqueName="[Material].[VendorCode].[All]" dimensionUniqueName="[Material]" displayFolder="" count="0" unbalanced="0"/>
    <cacheHierarchy uniqueName="[Material].[VendorCountry]" caption="VendorCountry" attribute="1" defaultMemberUniqueName="[Material].[VendorCountry].[All]" allUniqueName="[Material].[VendorCountry].[All]" dimensionUniqueName="[Material]" displayFolder="" count="0" unbalanced="0"/>
    <cacheHierarchy uniqueName="[Material].[VendorKey]" caption="VendorKey" attribute="1" defaultMemberUniqueName="[Material].[VendorKey].[All]" allUniqueName="[Material].[VendorKey].[All]" dimensionUniqueName="[Material]" displayFolder="" count="0" unbalanced="0"/>
    <cacheHierarchy uniqueName="[Material].[VendorName]" caption="VendorName" attribute="1" defaultMemberUniqueName="[Material].[VendorName].[All]" allUniqueName="[Material].[VendorName].[All]" dimensionUniqueName="[Material]" displayFolder="" count="0" unbalanced="0"/>
    <cacheHierarchy uniqueName="[Material].[YearSeason]" caption="YearSeason" attribute="1" defaultMemberUniqueName="[Material].[YearSeason].[All]" allUniqueName="[Material].[YearSeason].[All]" dimensionUniqueName="[Material]" displayFolder="" count="0" unbalanced="0"/>
    <cacheHierarchy uniqueName="[SalesBudget].[BudgetTypeName]" caption="BudgetTypeName" attribute="1" defaultMemberUniqueName="[SalesBudget].[BudgetTypeName].[All]" allUniqueName="[SalesBudget].[BudgetTypeName].[All]" dimensionUniqueName="[SalesBudget]" displayFolder="" count="0" unbalanced="0"/>
    <cacheHierarchy uniqueName="[SalesChannel].[CompanyCode]" caption="CompanyCode" attribute="1" defaultMemberUniqueName="[SalesChannel].[CompanyCode].[All]" allUniqueName="[SalesChannel].[CompanyCode].[All]" dimensionUniqueName="[SalesChannel]" displayFolder="SalesChannelCode" count="0" unbalanced="0"/>
    <cacheHierarchy uniqueName="[SalesChannel].[CompanyCurrency]" caption="CompanyCurrency" attribute="1" defaultMemberUniqueName="[SalesChannel].[CompanyCurrency].[All]" allUniqueName="[SalesChannel].[CompanyCurrency].[All]" dimensionUniqueName="[SalesChannel]" displayFolder="SalesChannelCode" count="0" unbalanced="0"/>
    <cacheHierarchy uniqueName="[SalesChannel].[CompanyKey]" caption="CompanyKey" attribute="1" defaultMemberUniqueName="[SalesChannel].[CompanyKey].[All]" allUniqueName="[SalesChannel].[CompanyKey].[All]" dimensionUniqueName="[SalesChannel]" displayFolder="SalesChannelCode" count="0" unbalanced="0"/>
    <cacheHierarchy uniqueName="[SalesChannel].[CompanyName]" caption="CompanyName" attribute="1" defaultMemberUniqueName="[SalesChannel].[CompanyName].[All]" allUniqueName="[SalesChannel].[CompanyName].[All]" dimensionUniqueName="[SalesChannel]" displayFolder="SalesChannelName" count="0" unbalanced="0"/>
    <cacheHierarchy uniqueName="[SalesChannel].[CompanyRegion]" caption="CompanyRegion" attribute="1" defaultMemberUniqueName="[SalesChannel].[CompanyRegion].[All]" allUniqueName="[SalesChannel].[CompanyRegion].[All]" dimensionUniqueName="[SalesChannel]" displayFolder="" count="0" unbalanced="0"/>
    <cacheHierarchy uniqueName="[SalesChannel].[CountryCode]" caption="CountryCode" attribute="1" defaultMemberUniqueName="[SalesChannel].[CountryCode].[All]" allUniqueName="[SalesChannel].[CountryCode].[All]" dimensionUniqueName="[SalesChannel]" displayFolder="SalesChannelCode" count="0" unbalanced="0"/>
    <cacheHierarchy uniqueName="[SalesChannel].[CountryName]" caption="CountryName" attribute="1" defaultMemberUniqueName="[SalesChannel].[CountryName].[All]" allUniqueName="[SalesChannel].[CountryName].[All]" dimensionUniqueName="[SalesChannel]" displayFolder="SalesChannelName" count="0" unbalanced="0"/>
    <cacheHierarchy uniqueName="[SalesChannel].[DistrubitionChannelCode]" caption="DistrubitionChannelCode" attribute="1" defaultMemberUniqueName="[SalesChannel].[DistrubitionChannelCode].[All]" allUniqueName="[SalesChannel].[DistrubitionChannelCode].[All]" dimensionUniqueName="[SalesChannel]" displayFolder="SalesChannelCode" count="0" unbalanced="0"/>
    <cacheHierarchy uniqueName="[SalesChannel].[DistrubitionChannelDesc]" caption="DistrubitionChannelDesc" attribute="1" defaultMemberUniqueName="[SalesChannel].[DistrubitionChannelDesc].[All]" allUniqueName="[SalesChannel].[DistrubitionChannelDesc].[All]" dimensionUniqueName="[SalesChannel]" displayFolder="SalesChannelName" count="2" unbalanced="0">
      <fieldsUsage count="2">
        <fieldUsage x="-1"/>
        <fieldUsage x="1"/>
      </fieldsUsage>
    </cacheHierarchy>
    <cacheHierarchy uniqueName="[SalesChannel].[DistrubitionChannelKey]" caption="DistrubitionChannelKey" attribute="1" defaultMemberUniqueName="[SalesChannel].[DistrubitionChannelKey].[All]" allUniqueName="[SalesChannel].[DistrubitionChannelKey].[All]" dimensionUniqueName="[SalesChannel]" displayFolder="SalesChannelCode" count="0" unbalanced="0"/>
    <cacheHierarchy uniqueName="[SalesChannel].[H_SalesChannel]" caption="H_SalesChannel" defaultMemberUniqueName="[SalesChannel].[H_SalesChannel].[All]" allUniqueName="[SalesChannel].[H_SalesChannel].[All]" dimensionUniqueName="[SalesChannel]" displayFolder="" count="0" unbalanced="0"/>
    <cacheHierarchy uniqueName="[SalesChannel].[SalesChannelCode]" caption="SalesChannelCode" attribute="1" defaultMemberUniqueName="[SalesChannel].[SalesChannelCode].[All]" allUniqueName="[SalesChannel].[SalesChannelCode].[All]" dimensionUniqueName="[SalesChannel]" displayFolder="SalesChannelCode" count="0" unbalanced="0"/>
    <cacheHierarchy uniqueName="[SalesChannel].[SalesChannelKey]" caption="SalesChannelKey" attribute="1" defaultMemberUniqueName="[SalesChannel].[SalesChannelKey].[All]" allUniqueName="[SalesChannel].[SalesChannelKey].[All]" dimensionUniqueName="[SalesChannel]" displayFolder="SalesChannelCode" count="0" unbalanced="0"/>
    <cacheHierarchy uniqueName="[SalesChannel].[SalesOrgCode]" caption="SalesOrgCode" attribute="1" defaultMemberUniqueName="[SalesChannel].[SalesOrgCode].[All]" allUniqueName="[SalesChannel].[SalesOrgCode].[All]" dimensionUniqueName="[SalesChannel]" displayFolder="SalesChannelCode" count="0" unbalanced="0"/>
    <cacheHierarchy uniqueName="[SalesChannel].[SalesOrgDesc]" caption="SalesOrgDesc" attribute="1" defaultMemberUniqueName="[SalesChannel].[SalesOrgDesc].[All]" allUniqueName="[SalesChannel].[SalesOrgDesc].[All]" dimensionUniqueName="[SalesChannel]" displayFolder="SalesChannelName" count="0" unbalanced="0"/>
    <cacheHierarchy uniqueName="[SalesChannel].[SalesOrgKey]" caption="SalesOrgKey" attribute="1" defaultMemberUniqueName="[SalesChannel].[SalesOrgKey].[All]" allUniqueName="[SalesChannel].[SalesOrgKey].[All]" dimensionUniqueName="[SalesChannel]" displayFolder="SalesChannelCode" count="0" unbalanced="0"/>
    <cacheHierarchy uniqueName="[SalesChannel].[SalesOrgType]" caption="SalesOrgType" attribute="1" defaultMemberUniqueName="[SalesChannel].[SalesOrgType].[All]" allUniqueName="[SalesChannel].[SalesOrgType].[All]" dimensionUniqueName="[SalesChannel]" displayFolder="" count="2" unbalanced="0">
      <fieldsUsage count="2">
        <fieldUsage x="-1"/>
        <fieldUsage x="0"/>
      </fieldsUsage>
    </cacheHierarchy>
    <cacheHierarchy uniqueName="[SalesSeason].[EtlDate]" caption="EtlDate" attribute="1" defaultMemberUniqueName="[SalesSeason].[EtlDate].[All]" allUniqueName="[SalesSeason].[EtlDate].[All]" dimensionUniqueName="[SalesSeason]" displayFolder="" count="0" unbalanced="0"/>
    <cacheHierarchy uniqueName="[SalesSeason].[SalesSeasonCode]" caption="SalesSeasonCode" attribute="1" defaultMemberUniqueName="[SalesSeason].[SalesSeasonCode].[All]" allUniqueName="[SalesSeason].[SalesSeasonCode].[All]" dimensionUniqueName="[SalesSeason]" displayFolder="" count="0" unbalanced="0"/>
    <cacheHierarchy uniqueName="[SalesSeason].[SalesSeasonID]" caption="SalesSeasonID" attribute="1" defaultMemberUniqueName="[SalesSeason].[SalesSeasonID].[All]" allUniqueName="[SalesSeason].[SalesSeasonID].[All]" dimensionUniqueName="[SalesSeason]" displayFolder="" count="0" unbalanced="0"/>
    <cacheHierarchy uniqueName="[SalesSeason].[SalesSeasonName]" caption="SalesSeasonName" attribute="1" defaultMemberUniqueName="[SalesSeason].[SalesSeasonName].[All]" allUniqueName="[SalesSeason].[SalesSeasonName].[All]" dimensionUniqueName="[SalesSeason]" displayFolder="" count="0" unbalanced="0"/>
    <cacheHierarchy uniqueName="[StockList].[StockList]" caption="StockList" attribute="1" defaultMemberUniqueName="[StockList].[StockList].[All]" allUniqueName="[StockList].[StockList].[All]" dimensionUniqueName="[StockList]" displayFolder="" count="0" unbalanced="0"/>
    <cacheHierarchy uniqueName="[StockList].[StockListChannelName]" caption="StockListChannelName" attribute="1" defaultMemberUniqueName="[StockList].[StockListChannelName].[All]" allUniqueName="[StockList].[StockListChannelName].[All]" dimensionUniqueName="[StockList]" displayFolder="" count="0" unbalanced="0"/>
    <cacheHierarchy uniqueName="[StockList].[StockListCode]" caption="StockListCode" attribute="1" defaultMemberUniqueName="[StockList].[StockListCode].[All]" allUniqueName="[StockList].[StockListCode].[All]" dimensionUniqueName="[StockList]" displayFolder="" count="0" unbalanced="0"/>
    <cacheHierarchy uniqueName="[StockList].[StockListKey]" caption="StockListKey" attribute="1" defaultMemberUniqueName="[StockList].[StockListKey].[All]" allUniqueName="[StockList].[StockListKey].[All]" dimensionUniqueName="[StockList]" displayFolder="" count="0" unbalanced="0"/>
    <cacheHierarchy uniqueName="[Store].[AllocationSpecialist]" caption="AllocationSpecialist" attribute="1" defaultMemberUniqueName="[Store].[AllocationSpecialist].[All]" allUniqueName="[Store].[AllocationSpecialist].[All]" dimensionUniqueName="[Store]" displayFolder="" count="0" unbalanced="0"/>
    <cacheHierarchy uniqueName="[Store].[BackStoreM2]" caption="BackStoreM2" attribute="1" defaultMemberUniqueName="[Store].[BackStoreM2].[All]" allUniqueName="[Store].[BackStoreM2].[All]" dimensionUniqueName="[Store]" displayFolder="" count="0" unbalanced="0"/>
    <cacheHierarchy uniqueName="[Store].[CapacityClusterCode]" caption="CapacityClusterCode" attribute="1" defaultMemberUniqueName="[Store].[CapacityClusterCode].[All]" allUniqueName="[Store].[CapacityClusterCode].[All]" dimensionUniqueName="[Store]" displayFolder="" count="0" unbalanced="0"/>
    <cacheHierarchy uniqueName="[Store].[CapacityClusterDesc]" caption="CapacityClusterDesc" attribute="1" defaultMemberUniqueName="[Store].[CapacityClusterDesc].[All]" allUniqueName="[Store].[CapacityClusterDesc].[All]" dimensionUniqueName="[Store]" displayFolder="" count="0" unbalanced="0"/>
    <cacheHierarchy uniqueName="[Store].[CityCode]" caption="CityCode" attribute="1" defaultMemberUniqueName="[Store].[CityCode].[All]" allUniqueName="[Store].[CityCode].[All]" dimensionUniqueName="[Store]" displayFolder="" count="0" unbalanced="0"/>
    <cacheHierarchy uniqueName="[Store].[GrossAreaMeters]" caption="GrossAreaMeters" attribute="1" defaultMemberUniqueName="[Store].[GrossAreaMeters].[All]" allUniqueName="[Store].[GrossAreaMeters].[All]" dimensionUniqueName="[Store]" displayFolder="" count="0" unbalanced="0"/>
    <cacheHierarchy uniqueName="[Store].[Latitude]" caption="Latitude" attribute="1" defaultMemberUniqueName="[Store].[Latitude].[All]" allUniqueName="[Store].[Latitude].[All]" dimensionUniqueName="[Store]" displayFolder="" count="0" unbalanced="0"/>
    <cacheHierarchy uniqueName="[Store].[LocationCityDesc]" caption="LocationCityDesc" attribute="1" defaultMemberUniqueName="[Store].[LocationCityDesc].[All]" allUniqueName="[Store].[LocationCityDesc].[All]" dimensionUniqueName="[Store]" displayFolder="" count="0" unbalanced="0"/>
    <cacheHierarchy uniqueName="[Store].[LocationCountry]" caption="LocationCountry" attribute="1" defaultMemberUniqueName="[Store].[LocationCountry].[All]" allUniqueName="[Store].[LocationCountry].[All]" dimensionUniqueName="[Store]" displayFolder="" count="2" unbalanced="0">
      <fieldsUsage count="2">
        <fieldUsage x="-1"/>
        <fieldUsage x="10"/>
      </fieldsUsage>
    </cacheHierarchy>
    <cacheHierarchy uniqueName="[Store].[LocationCurrencyCode]" caption="LocationCurrencyCode" attribute="1" defaultMemberUniqueName="[Store].[LocationCurrencyCode].[All]" allUniqueName="[Store].[LocationCurrencyCode].[All]" dimensionUniqueName="[Store]" displayFolder="" count="0" unbalanced="0"/>
    <cacheHierarchy uniqueName="[Store].[LocationKey]" caption="LocationKey" attribute="1" defaultMemberUniqueName="[Store].[LocationKey].[All]" allUniqueName="[Store].[LocationKey].[All]" dimensionUniqueName="[Store]" displayFolder="" count="0" unbalanced="0"/>
    <cacheHierarchy uniqueName="[Store].[LocationSeason]" caption="LocationSeason" attribute="1" defaultMemberUniqueName="[Store].[LocationSeason].[All]" allUniqueName="[Store].[LocationSeason].[All]" dimensionUniqueName="[Store]" displayFolder="" count="0" unbalanced="0"/>
    <cacheHierarchy uniqueName="[Store].[LocationType]" caption="LocationType" attribute="1" defaultMemberUniqueName="[Store].[LocationType].[All]" allUniqueName="[Store].[LocationType].[All]" dimensionUniqueName="[Store]" displayFolder="" count="0" unbalanced="0"/>
    <cacheHierarchy uniqueName="[Store].[Longitude]" caption="Longitude" attribute="1" defaultMemberUniqueName="[Store].[Longitude].[All]" allUniqueName="[Store].[Longitude].[All]" dimensionUniqueName="[Store]" displayFolder="" count="0" unbalanced="0"/>
    <cacheHierarchy uniqueName="[Store].[OperationRegionCode]" caption="OperationRegionCode" attribute="1" defaultMemberUniqueName="[Store].[OperationRegionCode].[All]" allUniqueName="[Store].[OperationRegionCode].[All]" dimensionUniqueName="[Store]" displayFolder="" count="0" unbalanced="0"/>
    <cacheHierarchy uniqueName="[Store].[OperationRegionDesc]" caption="OperationRegionDesc" attribute="1" defaultMemberUniqueName="[Store].[OperationRegionDesc].[All]" allUniqueName="[Store].[OperationRegionDesc].[All]" dimensionUniqueName="[Store]" displayFolder="" count="0" unbalanced="0"/>
    <cacheHierarchy uniqueName="[Store].[RegionManager1]" caption="RegionManager1" attribute="1" defaultMemberUniqueName="[Store].[RegionManager1].[All]" allUniqueName="[Store].[RegionManager1].[All]" dimensionUniqueName="[Store]" displayFolder="" count="0" unbalanced="0"/>
    <cacheHierarchy uniqueName="[Store].[RegionManager2]" caption="RegionManager2" attribute="1" defaultMemberUniqueName="[Store].[RegionManager2].[All]" allUniqueName="[Store].[RegionManager2].[All]" dimensionUniqueName="[Store]" displayFolder="" count="0" unbalanced="0"/>
    <cacheHierarchy uniqueName="[Store].[RegionOpManager]" caption="RegionOpManager" attribute="1" defaultMemberUniqueName="[Store].[RegionOpManager].[All]" allUniqueName="[Store].[RegionOpManager].[All]" dimensionUniqueName="[Store]" displayFolder="" count="0" unbalanced="0"/>
    <cacheHierarchy uniqueName="[Store].[SalesOrgRegion]" caption="SalesOrgRegion" attribute="1" defaultMemberUniqueName="[Store].[SalesOrgRegion].[All]" allUniqueName="[Store].[SalesOrgRegion].[All]" dimensionUniqueName="[Store]" displayFolder="" count="0" unbalanced="0"/>
    <cacheHierarchy uniqueName="[Store].[SquareMeters]" caption="SquareMeters" attribute="1" defaultMemberUniqueName="[Store].[SquareMeters].[All]" allUniqueName="[Store].[SquareMeters].[All]" dimensionUniqueName="[Store]" displayFolder="" count="0" unbalanced="0"/>
    <cacheHierarchy uniqueName="[Store].[StockBufferFactor]" caption="StockBufferFactor" attribute="1" defaultMemberUniqueName="[Store].[StockBufferFactor].[All]" allUniqueName="[Store].[StockBufferFactor].[All]" dimensionUniqueName="[Store]" displayFolder="" count="0" unbalanced="0"/>
    <cacheHierarchy uniqueName="[Store].[StoreClass]" caption="StoreClass" attribute="1" defaultMemberUniqueName="[Store].[StoreClass].[All]" allUniqueName="[Store].[StoreClass].[All]" dimensionUniqueName="[Store]" displayFolder="" count="0" unbalanced="0"/>
    <cacheHierarchy uniqueName="[Store].[StoreCloseDate]" caption="StoreCloseDate" attribute="1" defaultMemberUniqueName="[Store].[StoreCloseDate].[All]" allUniqueName="[Store].[StoreCloseDate].[All]" dimensionUniqueName="[Store]" displayFolder="" count="0" unbalanced="0"/>
    <cacheHierarchy uniqueName="[Store].[StoreCode]" caption="StoreCode" attribute="1" defaultMemberUniqueName="[Store].[StoreCode].[All]" allUniqueName="[Store].[StoreCode].[All]" dimensionUniqueName="[Store]" displayFolder="" count="0" unbalanced="0"/>
    <cacheHierarchy uniqueName="[Store].[StoreCompanyRegion]" caption="StoreCompanyRegion" attribute="1" defaultMemberUniqueName="[Store].[StoreCompanyRegion].[All]" allUniqueName="[Store].[StoreCompanyRegion].[All]" dimensionUniqueName="[Store]" displayFolder="" count="0" unbalanced="0"/>
    <cacheHierarchy uniqueName="[Store].[StoreCustomerCluster]" caption="StoreCustomerCluster" attribute="1" defaultMemberUniqueName="[Store].[StoreCustomerCluster].[All]" allUniqueName="[Store].[StoreCustomerCluster].[All]" dimensionUniqueName="[Store]" displayFolder="" count="0" unbalanced="0"/>
    <cacheHierarchy uniqueName="[Store].[StoreDistChannelCode]" caption="StoreDistChannelCode" attribute="1" defaultMemberUniqueName="[Store].[StoreDistChannelCode].[All]" allUniqueName="[Store].[StoreDistChannelCode].[All]" dimensionUniqueName="[Store]" displayFolder="" count="0" unbalanced="0"/>
    <cacheHierarchy uniqueName="[Store].[StoreDistChannelDesc]" caption="StoreDistChannelDesc" attribute="1" defaultMemberUniqueName="[Store].[StoreDistChannelDesc].[All]" allUniqueName="[Store].[StoreDistChannelDesc].[All]" dimensionUniqueName="[Store]" displayFolder="" count="0" unbalanced="0"/>
    <cacheHierarchy uniqueName="[Store].[StoreIN_Outlet]" caption="StoreIN_Outlet" attribute="1" defaultMemberUniqueName="[Store].[StoreIN_Outlet].[All]" allUniqueName="[Store].[StoreIN_Outlet].[All]" dimensionUniqueName="[Store]" displayFolder="" count="0" unbalanced="0"/>
    <cacheHierarchy uniqueName="[Store].[StoreName]" caption="StoreName" attribute="1" defaultMemberUniqueName="[Store].[StoreName].[All]" allUniqueName="[Store].[StoreName].[All]" dimensionUniqueName="[Store]" displayFolder="" count="0" unbalanced="0"/>
    <cacheHierarchy uniqueName="[Store].[StoreOpenDate]" caption="StoreOpenDate" attribute="1" defaultMemberUniqueName="[Store].[StoreOpenDate].[All]" allUniqueName="[Store].[StoreOpenDate].[All]" dimensionUniqueName="[Store]" displayFolder="" count="0" unbalanced="0"/>
    <cacheHierarchy uniqueName="[Store].[StorePriceChannel]" caption="StorePriceChannel" attribute="1" defaultMemberUniqueName="[Store].[StorePriceChannel].[All]" allUniqueName="[Store].[StorePriceChannel].[All]" dimensionUniqueName="[Store]" displayFolder="" count="0" unbalanced="0"/>
    <cacheHierarchy uniqueName="[Store].[StorePriceScore]" caption="StorePriceScore" attribute="1" defaultMemberUniqueName="[Store].[StorePriceScore].[All]" allUniqueName="[Store].[StorePriceScore].[All]" dimensionUniqueName="[Store]" displayFolder="" count="0" unbalanced="0"/>
    <cacheHierarchy uniqueName="[Store].[StoreRegionCode]" caption="StoreRegionCode" attribute="1" defaultMemberUniqueName="[Store].[StoreRegionCode].[All]" allUniqueName="[Store].[StoreRegionCode].[All]" dimensionUniqueName="[Store]" displayFolder="" count="0" unbalanced="0"/>
    <cacheHierarchy uniqueName="[Store].[StoreRegionDesc]" caption="StoreRegionDesc" attribute="1" defaultMemberUniqueName="[Store].[StoreRegionDesc].[All]" allUniqueName="[Store].[StoreRegionDesc].[All]" dimensionUniqueName="[Store]" displayFolder="" count="0" unbalanced="0"/>
    <cacheHierarchy uniqueName="[Store].[StoreSeasonDesc]" caption="StoreSeasonDesc" attribute="1" defaultMemberUniqueName="[Store].[StoreSeasonDesc].[All]" allUniqueName="[Store].[StoreSeasonDesc].[All]" dimensionUniqueName="[Store]" displayFolder="" count="0" unbalanced="0"/>
    <cacheHierarchy uniqueName="[Store].[StoreSize]" caption="StoreSize" attribute="1" defaultMemberUniqueName="[Store].[StoreSize].[All]" allUniqueName="[Store].[StoreSize].[All]" dimensionUniqueName="[Store]" displayFolder="" count="0" unbalanced="0"/>
    <cacheHierarchy uniqueName="[Store].[StoreStatus]" caption="StoreStatus" attribute="1" defaultMemberUniqueName="[Store].[StoreStatus].[All]" allUniqueName="[Store].[StoreStatus].[All]" dimensionUniqueName="[Store]" displayFolder="" count="0" unbalanced="0"/>
    <cacheHierarchy uniqueName="[Store].[StoreTopType]" caption="StoreTopType" attribute="1" defaultMemberUniqueName="[Store].[StoreTopType].[All]" allUniqueName="[Store].[StoreTopType].[All]" dimensionUniqueName="[Store]" displayFolder="" count="0" unbalanced="0"/>
    <cacheHierarchy uniqueName="[Store].[StoreType]" caption="StoreType" attribute="1" defaultMemberUniqueName="[Store].[StoreType].[All]" allUniqueName="[Store].[StoreType].[All]" dimensionUniqueName="[Store]" displayFolder="" count="0" unbalanced="0"/>
    <cacheHierarchy uniqueName="[Store].[Tourist]" caption="Tourist" attribute="1" defaultMemberUniqueName="[Store].[Tourist].[All]" allUniqueName="[Store].[Tourist].[All]" dimensionUniqueName="[Store]" displayFolder="" count="0" unbalanced="0"/>
    <cacheHierarchy uniqueName="[StoreLFLStatu].[StoreLFLStatuDesc]" caption="StoreLFLStatuDesc" attribute="1" defaultMemberUniqueName="[StoreLFLStatu].[StoreLFLStatuDesc].[All]" allUniqueName="[StoreLFLStatu].[StoreLFLStatuDesc].[All]" dimensionUniqueName="[StoreLFLStatu]" displayFolder="" count="0" unbalanced="0"/>
    <cacheHierarchy uniqueName="[StoreLFLStatu].[StoreLFLStatuGroupDesc]" caption="StoreLFLStatuGroupDesc" attribute="1" defaultMemberUniqueName="[StoreLFLStatu].[StoreLFLStatuGroupDesc].[All]" allUniqueName="[StoreLFLStatu].[StoreLFLStatuGroupDesc].[All]" dimensionUniqueName="[StoreLFLStatu]" displayFolder="" count="0" unbalanced="0"/>
    <cacheHierarchy uniqueName="[StoreLFLStatu].[StoreLFLStatuKey]" caption="StoreLFLStatuKey" attribute="1" defaultMemberUniqueName="[StoreLFLStatu].[StoreLFLStatuKey].[All]" allUniqueName="[StoreLFLStatu].[StoreLFLStatuKey].[All]" dimensionUniqueName="[StoreLFLStatu]" displayFolder="" count="0" unbalanced="0"/>
    <cacheHierarchy uniqueName="[SubDistChannel].[SubDistChannelCode]" caption="SubDistChannelCode" attribute="1" defaultMemberUniqueName="[SubDistChannel].[SubDistChannelCode].[All]" allUniqueName="[SubDistChannel].[SubDistChannelCode].[All]" dimensionUniqueName="[SubDistChannel]" displayFolder="" count="0" unbalanced="0"/>
    <cacheHierarchy uniqueName="[SubDistChannel].[SubDistChannelDesc]" caption="SubDistChannelDesc" attribute="1" defaultMemberUniqueName="[SubDistChannel].[SubDistChannelDesc].[All]" allUniqueName="[SubDistChannel].[SubDistChannelDesc].[All]" dimensionUniqueName="[SubDistChannel]" displayFolder="" count="0" unbalanced="0"/>
    <cacheHierarchy uniqueName="[SubDistChannel].[SubDistChannelKey]" caption="SubDistChannelKey" attribute="1" defaultMemberUniqueName="[SubDistChannel].[SubDistChannelKey].[All]" allUniqueName="[SubDistChannel].[SubDistChannelKey].[All]" dimensionUniqueName="[SubDistChannel]" displayFolder="" count="0" unbalanced="0"/>
    <cacheHierarchy uniqueName="[Calendar].[EtlDate]" caption="EtlDate" attribute="1" time="1" defaultMemberUniqueName="[Calendar].[EtlDate].[All]" allUniqueName="[Calendar].[EtlDate].[All]" dimensionUniqueName="[Calendar]" displayFolder="" count="0" unbalanced="0" hidden="1"/>
    <cacheHierarchy uniqueName="[Capacity].[Date]" caption="Date" attribute="1" defaultMemberUniqueName="[Capacity].[Date].[All]" allUniqueName="[Capacity].[Date].[All]" dimensionUniqueName="[Capacity]" displayFolder="" count="0" unbalanced="0" hidden="1"/>
    <cacheHierarchy uniqueName="[Capacity].[InitialSalesPriceID]" caption="InitialSalesPriceID" attribute="1" defaultMemberUniqueName="[Capacity].[InitialSalesPriceID].[All]" allUniqueName="[Capacity].[InitialSalesPriceID].[All]" dimensionUniqueName="[Capacity]" displayFolder="" count="0" unbalanced="0" hidden="1"/>
    <cacheHierarchy uniqueName="[Capacity].[LFLFactor]" caption="LFLFactor" attribute="1" defaultMemberUniqueName="[Capacity].[LFLFactor].[All]" allUniqueName="[Capacity].[LFLFactor].[All]" dimensionUniqueName="[Capacity]" displayFolder="" count="0" unbalanced="0" hidden="1"/>
    <cacheHierarchy uniqueName="[Capacity].[LocationKey]" caption="LocationKey" attribute="1" defaultMemberUniqueName="[Capacity].[LocationKey].[All]" allUniqueName="[Capacity].[LocationKey].[All]" dimensionUniqueName="[Capacity]" displayFolder="" count="0" unbalanced="0" hidden="1"/>
    <cacheHierarchy uniqueName="[Capacity].[MaterialKey]" caption="MaterialKey" attribute="1" defaultMemberUniqueName="[Capacity].[MaterialKey].[All]" allUniqueName="[Capacity].[MaterialKey].[All]" dimensionUniqueName="[Capacity]" displayFolder="" count="0" unbalanced="0" hidden="1"/>
    <cacheHierarchy uniqueName="[Capacity].[OutletID]" caption="OutletID" attribute="1" defaultMemberUniqueName="[Capacity].[OutletID].[All]" allUniqueName="[Capacity].[OutletID].[All]" dimensionUniqueName="[Capacity]" displayFolder="" count="0" unbalanced="0" hidden="1"/>
    <cacheHierarchy uniqueName="[Capacity].[SalesChannelKey]" caption="SalesChannelKey" attribute="1" defaultMemberUniqueName="[Capacity].[SalesChannelKey].[All]" allUniqueName="[Capacity].[SalesChannelKey].[All]" dimensionUniqueName="[Capacity]" displayFolder="" count="0" unbalanced="0" hidden="1"/>
    <cacheHierarchy uniqueName="[Capacity].[SalesSeasonID]" caption="SalesSeasonID" attribute="1" defaultMemberUniqueName="[Capacity].[SalesSeasonID].[All]" allUniqueName="[Capacity].[SalesSeasonID].[All]" dimensionUniqueName="[Capacity]" displayFolder="" count="0" unbalanced="0" hidden="1"/>
    <cacheHierarchy uniqueName="[Capacity].[SubDistChannelKey]" caption="SubDistChannelKey" attribute="1" defaultMemberUniqueName="[Capacity].[SubDistChannelKey].[All]" allUniqueName="[Capacity].[SubDistChannelKey].[All]" dimensionUniqueName="[Capacity]" displayFolder="" count="0" unbalanced="0" hidden="1"/>
    <cacheHierarchy uniqueName="[Capacity].[TYCapacityPlanUnit]" caption="TYCapacityPlanUnit" attribute="1" defaultMemberUniqueName="[Capacity].[TYCapacityPlanUnit].[All]" allUniqueName="[Capacity].[TYCapacityPlanUnit].[All]" dimensionUniqueName="[Capacity]" displayFolder="" count="0" unbalanced="0" hidden="1"/>
    <cacheHierarchy uniqueName="[CapacityPlanTY].[Date]" caption="Date" attribute="1" defaultMemberUniqueName="[CapacityPlanTY].[Date].[All]" allUniqueName="[CapacityPlanTY].[Date].[All]" dimensionUniqueName="[CapacityPlanTY]" displayFolder="" count="0" unbalanced="0" hidden="1"/>
    <cacheHierarchy uniqueName="[CapacityPlanTY].[DistrubitionChannelCode]" caption="DistrubitionChannelCode" attribute="1" defaultMemberUniqueName="[CapacityPlanTY].[DistrubitionChannelCode].[All]" allUniqueName="[CapacityPlanTY].[DistrubitionChannelCode].[All]" dimensionUniqueName="[CapacityPlanTY]" displayFolder="" count="0" unbalanced="0" hidden="1"/>
    <cacheHierarchy uniqueName="[CapacityPlanTY].[DWSourceKey]" caption="DWSourceKey" attribute="1" defaultMemberUniqueName="[CapacityPlanTY].[DWSourceKey].[All]" allUniqueName="[CapacityPlanTY].[DWSourceKey].[All]" dimensionUniqueName="[CapacityPlanTY]" displayFolder="" count="0" unbalanced="0" hidden="1"/>
    <cacheHierarchy uniqueName="[CapacityPlanTY].[ETLDate]" caption="ETLDate" attribute="1" defaultMemberUniqueName="[CapacityPlanTY].[ETLDate].[All]" allUniqueName="[CapacityPlanTY].[ETLDate].[All]" dimensionUniqueName="[CapacityPlanTY]" displayFolder="" count="0" unbalanced="0" hidden="1"/>
    <cacheHierarchy uniqueName="[CapacityPlanTY].[EURExcRate]" caption="EURExcRate" attribute="1" defaultMemberUniqueName="[CapacityPlanTY].[EURExcRate].[All]" allUniqueName="[CapacityPlanTY].[EURExcRate].[All]" dimensionUniqueName="[CapacityPlanTY]" displayFolder="" count="0" unbalanced="0" hidden="1"/>
    <cacheHierarchy uniqueName="[CapacityPlanTY].[LFLPlanAvgStoreStockCostLC]" caption="LFLPlanAvgStoreStockCostLC" attribute="1" defaultMemberUniqueName="[CapacityPlanTY].[LFLPlanAvgStoreStockCostLC].[All]" allUniqueName="[CapacityPlanTY].[LFLPlanAvgStoreStockCostLC].[All]" dimensionUniqueName="[CapacityPlanTY]" displayFolder="" count="0" unbalanced="0" hidden="1"/>
    <cacheHierarchy uniqueName="[CapacityPlanTY].[LFLPlanAvgStoreStockUnit]" caption="LFLPlanAvgStoreStockUnit" attribute="1" defaultMemberUniqueName="[CapacityPlanTY].[LFLPlanAvgStoreStockUnit].[All]" allUniqueName="[CapacityPlanTY].[LFLPlanAvgStoreStockUnit].[All]" dimensionUniqueName="[CapacityPlanTY]" displayFolder="" count="0" unbalanced="0" hidden="1"/>
    <cacheHierarchy uniqueName="[CapacityPlanTY].[LocationCurrencyCode]" caption="LocationCurrencyCode" attribute="1" defaultMemberUniqueName="[CapacityPlanTY].[LocationCurrencyCode].[All]" allUniqueName="[CapacityPlanTY].[LocationCurrencyCode].[All]" dimensionUniqueName="[CapacityPlanTY]" displayFolder="" count="0" unbalanced="0" hidden="1"/>
    <cacheHierarchy uniqueName="[CapacityPlanTY].[LocationKey]" caption="LocationKey" attribute="1" defaultMemberUniqueName="[CapacityPlanTY].[LocationKey].[All]" allUniqueName="[CapacityPlanTY].[LocationKey].[All]" dimensionUniqueName="[CapacityPlanTY]" displayFolder="" count="0" unbalanced="0" hidden="1"/>
    <cacheHierarchy uniqueName="[CapacityPlanTY].[MainGroupCode]" caption="MainGroupCode" attribute="1" defaultMemberUniqueName="[CapacityPlanTY].[MainGroupCode].[All]" allUniqueName="[CapacityPlanTY].[MainGroupCode].[All]" dimensionUniqueName="[CapacityPlanTY]" displayFolder="" count="0" unbalanced="0" hidden="1"/>
    <cacheHierarchy uniqueName="[CapacityPlanTY].[MaterialKey]" caption="MaterialKey" attribute="1" defaultMemberUniqueName="[CapacityPlanTY].[MaterialKey].[All]" allUniqueName="[CapacityPlanTY].[MaterialKey].[All]" dimensionUniqueName="[CapacityPlanTY]" displayFolder="" count="0" unbalanced="0" hidden="1"/>
    <cacheHierarchy uniqueName="[CapacityPlanTY].[PlanAvgStoreStockCostLC]" caption="PlanAvgStoreStockCostLC" attribute="1" defaultMemberUniqueName="[CapacityPlanTY].[PlanAvgStoreStockCostLC].[All]" allUniqueName="[CapacityPlanTY].[PlanAvgStoreStockCostLC].[All]" dimensionUniqueName="[CapacityPlanTY]" displayFolder="" count="0" unbalanced="0" hidden="1"/>
    <cacheHierarchy uniqueName="[CapacityPlanTY].[PlanAvgStoreStockUnit]" caption="PlanAvgStoreStockUnit" attribute="1" defaultMemberUniqueName="[CapacityPlanTY].[PlanAvgStoreStockUnit].[All]" allUniqueName="[CapacityPlanTY].[PlanAvgStoreStockUnit].[All]" dimensionUniqueName="[CapacityPlanTY]" displayFolder="" count="0" unbalanced="0" hidden="1"/>
    <cacheHierarchy uniqueName="[CapacityPlanTY].[SalesChannelKey]" caption="SalesChannelKey" attribute="1" defaultMemberUniqueName="[CapacityPlanTY].[SalesChannelKey].[All]" allUniqueName="[CapacityPlanTY].[SalesChannelKey].[All]" dimensionUniqueName="[CapacityPlanTY]" displayFolder="" count="0" unbalanced="0" hidden="1"/>
    <cacheHierarchy uniqueName="[CapacityPlanTY].[SalesOrgCode]" caption="SalesOrgCode" attribute="1" defaultMemberUniqueName="[CapacityPlanTY].[SalesOrgCode].[All]" allUniqueName="[CapacityPlanTY].[SalesOrgCode].[All]" dimensionUniqueName="[CapacityPlanTY]" displayFolder="" count="0" unbalanced="0" hidden="1"/>
    <cacheHierarchy uniqueName="[CapacityPlanTY].[SubDistChannelKey]" caption="SubDistChannelKey" attribute="1" defaultMemberUniqueName="[CapacityPlanTY].[SubDistChannelKey].[All]" allUniqueName="[CapacityPlanTY].[SubDistChannelKey].[All]" dimensionUniqueName="[CapacityPlanTY]" displayFolder="" count="0" unbalanced="0" hidden="1"/>
    <cacheHierarchy uniqueName="[CapacityPlanTY].[SubGroupCode]" caption="SubGroupCode" attribute="1" defaultMemberUniqueName="[CapacityPlanTY].[SubGroupCode].[All]" allUniqueName="[CapacityPlanTY].[SubGroupCode].[All]" dimensionUniqueName="[CapacityPlanTY]" displayFolder="" count="0" unbalanced="0" hidden="1"/>
    <cacheHierarchy uniqueName="[CapacityPlanTY].[TRYExcRate]" caption="TRYExcRate" attribute="1" defaultMemberUniqueName="[CapacityPlanTY].[TRYExcRate].[All]" allUniqueName="[CapacityPlanTY].[TRYExcRate].[All]" dimensionUniqueName="[CapacityPlanTY]" displayFolder="" count="0" unbalanced="0" hidden="1"/>
    <cacheHierarchy uniqueName="[CapacityPlanTY].[USDExcRate]" caption="USDExcRate" attribute="1" defaultMemberUniqueName="[CapacityPlanTY].[USDExcRate].[All]" allUniqueName="[CapacityPlanTY].[USDExcRate].[All]" dimensionUniqueName="[CapacityPlanTY]" displayFolder="" count="0" unbalanced="0" hidden="1"/>
    <cacheHierarchy uniqueName="[CapacityPlanTY].[YearMonth]" caption="YearMonth" attribute="1" defaultMemberUniqueName="[CapacityPlanTY].[YearMonth].[All]" allUniqueName="[CapacityPlanTY].[YearMonth].[All]" dimensionUniqueName="[CapacityPlanTY]" displayFolder="" count="0" unbalanced="0" hidden="1"/>
    <cacheHierarchy uniqueName="[CurrentStockSales].[BanProfit]" caption="BanProfit" attribute="1" defaultMemberUniqueName="[CurrentStockSales].[BanProfit].[All]" allUniqueName="[CurrentStockSales].[BanProfit].[All]" dimensionUniqueName="[CurrentStockSales]" displayFolder="" count="0" unbalanced="0" hidden="1"/>
    <cacheHierarchy uniqueName="[CurrentStockSales].[CumStockDM3]" caption="CumStockDM3" attribute="1" defaultMemberUniqueName="[CurrentStockSales].[CumStockDM3].[All]" allUniqueName="[CurrentStockSales].[CumStockDM3].[All]" dimensionUniqueName="[CurrentStockSales]" displayFolder="" count="0" unbalanced="0" hidden="1"/>
    <cacheHierarchy uniqueName="[CurrentStockSales].[CumStokUnit]" caption="CumStokUnit" attribute="1" defaultMemberUniqueName="[CurrentStockSales].[CumStokUnit].[All]" allUniqueName="[CurrentStockSales].[CumStokUnit].[All]" dimensionUniqueName="[CurrentStockSales]" displayFolder="" count="0" unbalanced="0" hidden="1"/>
    <cacheHierarchy uniqueName="[CurrentStockSales].[CUROpenTransferStoreStockUnit]" caption="CUROpenTransferStoreStockUnit" attribute="1" defaultMemberUniqueName="[CurrentStockSales].[CUROpenTransferStoreStockUnit].[All]" allUniqueName="[CurrentStockSales].[CUROpenTransferStoreStockUnit].[All]" dimensionUniqueName="[CurrentStockSales]" displayFolder="" count="0" unbalanced="0" hidden="1"/>
    <cacheHierarchy uniqueName="[CurrentStockSales].[CURUnapprovedOrderStoreStockUnit]" caption="CURUnapprovedOrderStoreStockUnit" attribute="1" defaultMemberUniqueName="[CurrentStockSales].[CURUnapprovedOrderStoreStockUnit].[All]" allUniqueName="[CurrentStockSales].[CURUnapprovedOrderStoreStockUnit].[All]" dimensionUniqueName="[CurrentStockSales]" displayFolder="" count="0" unbalanced="0" hidden="1"/>
    <cacheHierarchy uniqueName="[CurrentStockSales].[GrossProfit007]" caption="GrossProfit007" attribute="1" defaultMemberUniqueName="[CurrentStockSales].[GrossProfit007].[All]" allUniqueName="[CurrentStockSales].[GrossProfit007].[All]" dimensionUniqueName="[CurrentStockSales]" displayFolder="" count="0" unbalanced="0" hidden="1"/>
    <cacheHierarchy uniqueName="[CurrentStockSales].[GrossProfit021]" caption="GrossProfit021" attribute="1" defaultMemberUniqueName="[CurrentStockSales].[GrossProfit021].[All]" allUniqueName="[CurrentStockSales].[GrossProfit021].[All]" dimensionUniqueName="[CurrentStockSales]" displayFolder="" count="0" unbalanced="0" hidden="1"/>
    <cacheHierarchy uniqueName="[CurrentStockSales].[LivingArea]" caption="LivingArea" attribute="1" defaultMemberUniqueName="[CurrentStockSales].[LivingArea].[All]" allUniqueName="[CurrentStockSales].[LivingArea].[All]" dimensionUniqueName="[CurrentStockSales]" displayFolder="" count="0" unbalanced="0" hidden="1"/>
    <cacheHierarchy uniqueName="[CurrentStockSales].[MainGroupCode]" caption="MainGroupCode" attribute="1" defaultMemberUniqueName="[CurrentStockSales].[MainGroupCode].[All]" allUniqueName="[CurrentStockSales].[MainGroupCode].[All]" dimensionUniqueName="[CurrentStockSales]" displayFolder="" count="0" unbalanced="0" hidden="1"/>
    <cacheHierarchy uniqueName="[CurrentStockSales].[Marj_w1]" caption="Marj_w1" attribute="1" defaultMemberUniqueName="[CurrentStockSales].[Marj_w1].[All]" allUniqueName="[CurrentStockSales].[Marj_w1].[All]" dimensionUniqueName="[CurrentStockSales]" displayFolder="" count="0" unbalanced="0" hidden="1"/>
    <cacheHierarchy uniqueName="[CurrentStockSales].[Marj_w3]" caption="Marj_w3" attribute="1" defaultMemberUniqueName="[CurrentStockSales].[Marj_w3].[All]" allUniqueName="[CurrentStockSales].[Marj_w3].[All]" dimensionUniqueName="[CurrentStockSales]" displayFolder="" count="0" unbalanced="0" hidden="1"/>
    <cacheHierarchy uniqueName="[CurrentStockSales].[MaterialCode]" caption="MaterialCode" attribute="1" defaultMemberUniqueName="[CurrentStockSales].[MaterialCode].[All]" allUniqueName="[CurrentStockSales].[MaterialCode].[All]" dimensionUniqueName="[CurrentStockSales]" displayFolder="" count="0" unbalanced="0" hidden="1"/>
    <cacheHierarchy uniqueName="[CurrentStockSales].[MaterialDm3]" caption="MaterialDm3" attribute="1" defaultMemberUniqueName="[CurrentStockSales].[MaterialDm3].[All]" allUniqueName="[CurrentStockSales].[MaterialDm3].[All]" dimensionUniqueName="[CurrentStockSales]" displayFolder="" count="0" unbalanced="0" hidden="1"/>
    <cacheHierarchy uniqueName="[CurrentStockSales].[MaterialKey]" caption="MaterialKey" attribute="1" defaultMemberUniqueName="[CurrentStockSales].[MaterialKey].[All]" allUniqueName="[CurrentStockSales].[MaterialKey].[All]" dimensionUniqueName="[CurrentStockSales]" displayFolder="" count="0" unbalanced="0" hidden="1"/>
    <cacheHierarchy uniqueName="[CurrentStockSales].[NetCumStockDM3]" caption="NetCumStockDM3" attribute="1" defaultMemberUniqueName="[CurrentStockSales].[NetCumStockDM3].[All]" allUniqueName="[CurrentStockSales].[NetCumStockDM3].[All]" dimensionUniqueName="[CurrentStockSales]" displayFolder="" count="0" unbalanced="0" hidden="1"/>
    <cacheHierarchy uniqueName="[CurrentStockSales].[NetCumStokUnit]" caption="NetCumStokUnit" attribute="1" defaultMemberUniqueName="[CurrentStockSales].[NetCumStokUnit].[All]" allUniqueName="[CurrentStockSales].[NetCumStokUnit].[All]" dimensionUniqueName="[CurrentStockSales]" displayFolder="" count="0" unbalanced="0" hidden="1"/>
    <cacheHierarchy uniqueName="[CurrentStockSales].[QtyInBox]" caption="QtyInBox" attribute="1" defaultMemberUniqueName="[CurrentStockSales].[QtyInBox].[All]" allUniqueName="[CurrentStockSales].[QtyInBox].[All]" dimensionUniqueName="[CurrentStockSales]" displayFolder="" count="0" unbalanced="0" hidden="1"/>
    <cacheHierarchy uniqueName="[CurrentStockSales].[SalesUnit007]" caption="SalesUnit007" attribute="1" defaultMemberUniqueName="[CurrentStockSales].[SalesUnit007].[All]" allUniqueName="[CurrentStockSales].[SalesUnit007].[All]" dimensionUniqueName="[CurrentStockSales]" displayFolder="" count="0" unbalanced="0" hidden="1"/>
    <cacheHierarchy uniqueName="[CurrentStockSales].[SalesUnit021]" caption="SalesUnit021" attribute="1" defaultMemberUniqueName="[CurrentStockSales].[SalesUnit021].[All]" allUniqueName="[CurrentStockSales].[SalesUnit021].[All]" dimensionUniqueName="[CurrentStockSales]" displayFolder="" count="0" unbalanced="0" hidden="1"/>
    <cacheHierarchy uniqueName="[CurrentStockSales].[SalesValue007]" caption="SalesValue007" attribute="1" defaultMemberUniqueName="[CurrentStockSales].[SalesValue007].[All]" allUniqueName="[CurrentStockSales].[SalesValue007].[All]" dimensionUniqueName="[CurrentStockSales]" displayFolder="" count="0" unbalanced="0" hidden="1"/>
    <cacheHierarchy uniqueName="[CurrentStockSales].[SalesValue021]" caption="SalesValue021" attribute="1" defaultMemberUniqueName="[CurrentStockSales].[SalesValue021].[All]" allUniqueName="[CurrentStockSales].[SalesValue021].[All]" dimensionUniqueName="[CurrentStockSales]" displayFolder="" count="0" unbalanced="0" hidden="1"/>
    <cacheHierarchy uniqueName="[CurrentStockSales].[StockBufferFactor]" caption="StockBufferFactor" attribute="1" defaultMemberUniqueName="[CurrentStockSales].[StockBufferFactor].[All]" allUniqueName="[CurrentStockSales].[StockBufferFactor].[All]" dimensionUniqueName="[CurrentStockSales]" displayFolder="" count="0" unbalanced="0" hidden="1"/>
    <cacheHierarchy uniqueName="[CurrentStockSales].[StoreCode]" caption="StoreCode" attribute="1" defaultMemberUniqueName="[CurrentStockSales].[StoreCode].[All]" allUniqueName="[CurrentStockSales].[StoreCode].[All]" dimensionUniqueName="[CurrentStockSales]" displayFolder="" count="0" unbalanced="0" hidden="1"/>
    <cacheHierarchy uniqueName="[CurrentStockSales].[StoreStockUnit]" caption="StoreStockUnit" attribute="1" defaultMemberUniqueName="[CurrentStockSales].[StoreStockUnit].[All]" allUniqueName="[CurrentStockSales].[StoreStockUnit].[All]" dimensionUniqueName="[CurrentStockSales]" displayFolder="" count="0" unbalanced="0" hidden="1"/>
    <cacheHierarchy uniqueName="[CurrentStockSales].[StoreTransitStockUnit]" caption="StoreTransitStockUnit" attribute="1" defaultMemberUniqueName="[CurrentStockSales].[StoreTransitStockUnit].[All]" allUniqueName="[CurrentStockSales].[StoreTransitStockUnit].[All]" dimensionUniqueName="[CurrentStockSales]" displayFolder="" count="0" unbalanced="0" hidden="1"/>
    <cacheHierarchy uniqueName="[CurrentStockSales].[TRMarj_w1]" caption="TRMarj_w1" attribute="1" defaultMemberUniqueName="[CurrentStockSales].[TRMarj_w1].[All]" allUniqueName="[CurrentStockSales].[TRMarj_w1].[All]" dimensionUniqueName="[CurrentStockSales]" displayFolder="" count="0" unbalanced="0" hidden="1"/>
    <cacheHierarchy uniqueName="[CurrentStockSales].[TRMarj_w3]" caption="TRMarj_w3" attribute="1" defaultMemberUniqueName="[CurrentStockSales].[TRMarj_w3].[All]" allUniqueName="[CurrentStockSales].[TRMarj_w3].[All]" dimensionUniqueName="[CurrentStockSales]" displayFolder="" count="0" unbalanced="0" hidden="1"/>
    <cacheHierarchy uniqueName="[CurrentStockSales].[WeeklyAvgSales]" caption="WeeklyAvgSales" attribute="1" defaultMemberUniqueName="[CurrentStockSales].[WeeklyAvgSales].[All]" allUniqueName="[CurrentStockSales].[WeeklyAvgSales].[All]" dimensionUniqueName="[CurrentStockSales]" displayFolder="" count="0" unbalanced="0" hidden="1"/>
    <cacheHierarchy uniqueName="[CurrentStockStore].[CompanyUnitCost]" caption="CompanyUnitCost" attribute="1" defaultMemberUniqueName="[CurrentStockStore].[CompanyUnitCost].[All]" allUniqueName="[CurrentStockStore].[CompanyUnitCost].[All]" dimensionUniqueName="[CurrentStockStore]" displayFolder="" count="0" unbalanced="0" hidden="1"/>
    <cacheHierarchy uniqueName="[CurrentStockStore].[EURExcRate]" caption="EURExcRate" attribute="1" defaultMemberUniqueName="[CurrentStockStore].[EURExcRate].[All]" allUniqueName="[CurrentStockStore].[EURExcRate].[All]" dimensionUniqueName="[CurrentStockStore]" displayFolder="" count="0" unbalanced="0" hidden="1"/>
    <cacheHierarchy uniqueName="[CurrentStockStore].[InitialSalesPriceID]" caption="InitialSalesPriceID" attribute="1" defaultMemberUniqueName="[CurrentStockStore].[InitialSalesPriceID].[All]" allUniqueName="[CurrentStockStore].[InitialSalesPriceID].[All]" dimensionUniqueName="[CurrentStockStore]" displayFolder="" count="0" unbalanced="0" hidden="1"/>
    <cacheHierarchy uniqueName="[CurrentStockStore].[ISPLCPriceVAT]" caption="ISPLCPriceVAT" attribute="1" defaultMemberUniqueName="[CurrentStockStore].[ISPLCPriceVAT].[All]" allUniqueName="[CurrentStockStore].[ISPLCPriceVAT].[All]" dimensionUniqueName="[CurrentStockStore]" displayFolder="" count="0" unbalanced="0" hidden="1"/>
    <cacheHierarchy uniqueName="[CurrentStockStore].[LCExcRate]" caption="LCExcRate" attribute="1" defaultMemberUniqueName="[CurrentStockStore].[LCExcRate].[All]" allUniqueName="[CurrentStockStore].[LCExcRate].[All]" dimensionUniqueName="[CurrentStockStore]" displayFolder="" count="0" unbalanced="0" hidden="1"/>
    <cacheHierarchy uniqueName="[CurrentStockStore].[LFLFactor]" caption="LFLFactor" attribute="1" defaultMemberUniqueName="[CurrentStockStore].[LFLFactor].[All]" allUniqueName="[CurrentStockStore].[LFLFactor].[All]" dimensionUniqueName="[CurrentStockStore]" displayFolder="" count="0" unbalanced="0" hidden="1"/>
    <cacheHierarchy uniqueName="[CurrentStockStore].[LocationKey]" caption="LocationKey" attribute="1" defaultMemberUniqueName="[CurrentStockStore].[LocationKey].[All]" allUniqueName="[CurrentStockStore].[LocationKey].[All]" dimensionUniqueName="[CurrentStockStore]" displayFolder="" count="0" unbalanced="0" hidden="1"/>
    <cacheHierarchy uniqueName="[CurrentStockStore].[MaterialKey]" caption="MaterialKey" attribute="1" defaultMemberUniqueName="[CurrentStockStore].[MaterialKey].[All]" allUniqueName="[CurrentStockStore].[MaterialKey].[All]" dimensionUniqueName="[CurrentStockStore]" displayFolder="" count="0" unbalanced="0" hidden="1"/>
    <cacheHierarchy uniqueName="[CurrentStockStore].[OtherStockUnit]" caption="OtherStockUnit" attribute="1" defaultMemberUniqueName="[CurrentStockStore].[OtherStockUnit].[All]" allUniqueName="[CurrentStockStore].[OtherStockUnit].[All]" dimensionUniqueName="[CurrentStockStore]" displayFolder="" count="0" unbalanced="0" hidden="1"/>
    <cacheHierarchy uniqueName="[CurrentStockStore].[OutletID]" caption="OutletID" attribute="1" defaultMemberUniqueName="[CurrentStockStore].[OutletID].[All]" allUniqueName="[CurrentStockStore].[OutletID].[All]" dimensionUniqueName="[CurrentStockStore]" displayFolder="" count="0" unbalanced="0" hidden="1"/>
    <cacheHierarchy uniqueName="[CurrentStockStore].[SalesChannelKey]" caption="SalesChannelKey" attribute="1" defaultMemberUniqueName="[CurrentStockStore].[SalesChannelKey].[All]" allUniqueName="[CurrentStockStore].[SalesChannelKey].[All]" dimensionUniqueName="[CurrentStockStore]" displayFolder="" count="0" unbalanced="0" hidden="1"/>
    <cacheHierarchy uniqueName="[CurrentStockStore].[SalesSeasonID]" caption="SalesSeasonID" attribute="1" defaultMemberUniqueName="[CurrentStockStore].[SalesSeasonID].[All]" allUniqueName="[CurrentStockStore].[SalesSeasonID].[All]" dimensionUniqueName="[CurrentStockStore]" displayFolder="" count="0" unbalanced="0" hidden="1"/>
    <cacheHierarchy uniqueName="[CurrentStockStore].[StockDate]" caption="StockDate" attribute="1" defaultMemberUniqueName="[CurrentStockStore].[StockDate].[All]" allUniqueName="[CurrentStockStore].[StockDate].[All]" dimensionUniqueName="[CurrentStockStore]" displayFolder="" count="0" unbalanced="0" hidden="1"/>
    <cacheHierarchy uniqueName="[CurrentStockStore].[StockUnit]" caption="StockUnit" attribute="1" defaultMemberUniqueName="[CurrentStockStore].[StockUnit].[All]" allUniqueName="[CurrentStockStore].[StockUnit].[All]" dimensionUniqueName="[CurrentStockStore]" displayFolder="" count="0" unbalanced="0" hidden="1"/>
    <cacheHierarchy uniqueName="[CurrentStockStore].[TransitStockUnit]" caption="TransitStockUnit" attribute="1" defaultMemberUniqueName="[CurrentStockStore].[TransitStockUnit].[All]" allUniqueName="[CurrentStockStore].[TransitStockUnit].[All]" dimensionUniqueName="[CurrentStockStore]" displayFolder="" count="0" unbalanced="0" hidden="1"/>
    <cacheHierarchy uniqueName="[CurrentStockStore].[TRYExcRate]" caption="TRYExcRate" attribute="1" defaultMemberUniqueName="[CurrentStockStore].[TRYExcRate].[All]" allUniqueName="[CurrentStockStore].[TRYExcRate].[All]" dimensionUniqueName="[CurrentStockStore]" displayFolder="" count="0" unbalanced="0" hidden="1"/>
    <cacheHierarchy uniqueName="[CurrentStockStore].[UnitCost]" caption="UnitCost" attribute="1" defaultMemberUniqueName="[CurrentStockStore].[UnitCost].[All]" allUniqueName="[CurrentStockStore].[UnitCost].[All]" dimensionUniqueName="[CurrentStockStore]" displayFolder="" count="0" unbalanced="0" hidden="1"/>
    <cacheHierarchy uniqueName="[CurrentStockStore].[USDExcRate]" caption="USDExcRate" attribute="1" defaultMemberUniqueName="[CurrentStockStore].[USDExcRate].[All]" allUniqueName="[CurrentStockStore].[USDExcRate].[All]" dimensionUniqueName="[CurrentStockStore]" displayFolder="" count="0" unbalanced="0" hidden="1"/>
    <cacheHierarchy uniqueName="[Delivery].[DeliveryBudget]" caption="DeliveryBudget" attribute="1" defaultMemberUniqueName="[Delivery].[DeliveryBudget].[All]" allUniqueName="[Delivery].[DeliveryBudget].[All]" dimensionUniqueName="[Delivery]" displayFolder="" count="0" unbalanced="0" hidden="1"/>
    <cacheHierarchy uniqueName="[Delivery].[DeliveryQty]" caption="DeliveryQty" attribute="1" defaultMemberUniqueName="[Delivery].[DeliveryQty].[All]" allUniqueName="[Delivery].[DeliveryQty].[All]" dimensionUniqueName="[Delivery]" displayFolder="" count="0" unbalanced="0" hidden="1"/>
    <cacheHierarchy uniqueName="[Delivery].[FirstDayofMonth]" caption="FirstDayofMonth" attribute="1" defaultMemberUniqueName="[Delivery].[FirstDayofMonth].[All]" allUniqueName="[Delivery].[FirstDayofMonth].[All]" dimensionUniqueName="[Delivery]" displayFolder="" count="0" unbalanced="0" hidden="1"/>
    <cacheHierarchy uniqueName="[Delivery].[MaterialKey]" caption="MaterialKey" attribute="1" defaultMemberUniqueName="[Delivery].[MaterialKey].[All]" allUniqueName="[Delivery].[MaterialKey].[All]" dimensionUniqueName="[Delivery]" displayFolder="" count="0" unbalanced="0" hidden="1"/>
    <cacheHierarchy uniqueName="[Delivery].[Month]" caption="Month" attribute="1" defaultMemberUniqueName="[Delivery].[Month].[All]" allUniqueName="[Delivery].[Month].[All]" dimensionUniqueName="[Delivery]" displayFolder="" count="0" unbalanced="0" hidden="1"/>
    <cacheHierarchy uniqueName="[Delivery].[Year]" caption="Year" attribute="1" defaultMemberUniqueName="[Delivery].[Year].[All]" allUniqueName="[Delivery].[Year].[All]" dimensionUniqueName="[Delivery]" displayFolder="" count="0" unbalanced="0" hidden="1"/>
    <cacheHierarchy uniqueName="[ISPUnitPrice].[ISPUnitPriceKey]" caption="ISPUnitPriceKey" attribute="1" defaultMemberUniqueName="[ISPUnitPrice].[ISPUnitPriceKey].[All]" allUniqueName="[ISPUnitPrice].[ISPUnitPriceKey].[All]" dimensionUniqueName="[ISPUnitPrice]" displayFolder="" count="0" unbalanced="0" hidden="1"/>
    <cacheHierarchy uniqueName="[KPI].[Ly]" caption="Ly" attribute="1" defaultMemberUniqueName="[KPI].[Ly].[All]" allUniqueName="[KPI].[Ly].[All]" dimensionUniqueName="[KPI]" displayFolder="" count="0" unbalanced="0" hidden="1"/>
    <cacheHierarchy uniqueName="[KPI].[Ly_LC]" caption="Ly_LC" attribute="1" defaultMemberUniqueName="[KPI].[Ly_LC].[All]" allUniqueName="[KPI].[Ly_LC].[All]" dimensionUniqueName="[KPI]" displayFolder="" count="0" unbalanced="0" hidden="1"/>
    <cacheHierarchy uniqueName="[KPI].[Ly_TRY]" caption="Ly_TRY" attribute="1" defaultMemberUniqueName="[KPI].[Ly_TRY].[All]" allUniqueName="[KPI].[Ly_TRY].[All]" dimensionUniqueName="[KPI]" displayFolder="" count="0" unbalanced="0" hidden="1"/>
    <cacheHierarchy uniqueName="[KPI].[Ly_USD]" caption="Ly_USD" attribute="1" defaultMemberUniqueName="[KPI].[Ly_USD].[All]" allUniqueName="[KPI].[Ly_USD].[All]" dimensionUniqueName="[KPI]" displayFolder="" count="0" unbalanced="0" hidden="1"/>
    <cacheHierarchy uniqueName="[KPI].[LyLFL]" caption="LyLFL" attribute="1" defaultMemberUniqueName="[KPI].[LyLFL].[All]" allUniqueName="[KPI].[LyLFL].[All]" dimensionUniqueName="[KPI]" displayFolder="" count="0" unbalanced="0" hidden="1"/>
    <cacheHierarchy uniqueName="[KPI].[LyLFL_LC]" caption="LyLFL_LC" attribute="1" defaultMemberUniqueName="[KPI].[LyLFL_LC].[All]" allUniqueName="[KPI].[LyLFL_LC].[All]" dimensionUniqueName="[KPI]" displayFolder="" count="0" unbalanced="0" hidden="1"/>
    <cacheHierarchy uniqueName="[KPI].[LyLFL_TRY]" caption="LyLFL_TRY" attribute="1" defaultMemberUniqueName="[KPI].[LyLFL_TRY].[All]" allUniqueName="[KPI].[LyLFL_TRY].[All]" dimensionUniqueName="[KPI]" displayFolder="" count="0" unbalanced="0" hidden="1"/>
    <cacheHierarchy uniqueName="[KPI].[LyLFL_USD]" caption="LyLFL_USD" attribute="1" defaultMemberUniqueName="[KPI].[LyLFL_USD].[All]" allUniqueName="[KPI].[LyLFL_USD].[All]" dimensionUniqueName="[KPI]" displayFolder="" count="0" unbalanced="0" hidden="1"/>
    <cacheHierarchy uniqueName="[KPI].[MeasureBlokLY02]" caption="MeasureBlokLY02" attribute="1" defaultMemberUniqueName="[KPI].[MeasureBlokLY02].[All]" allUniqueName="[KPI].[MeasureBlokLY02].[All]" dimensionUniqueName="[KPI]" displayFolder="" count="0" unbalanced="0" hidden="1"/>
    <cacheHierarchy uniqueName="[KPI].[MeasureBlokLYLFL04]" caption="MeasureBlokLYLFL04" attribute="1" defaultMemberUniqueName="[KPI].[MeasureBlokLYLFL04].[All]" allUniqueName="[KPI].[MeasureBlokLYLFL04].[All]" dimensionUniqueName="[KPI]" displayFolder="" count="0" unbalanced="0" hidden="1"/>
    <cacheHierarchy uniqueName="[KPI].[MeasureBlokTY01]" caption="MeasureBlokTY01" attribute="1" defaultMemberUniqueName="[KPI].[MeasureBlokTY01].[All]" allUniqueName="[KPI].[MeasureBlokTY01].[All]" dimensionUniqueName="[KPI]" displayFolder="" count="0" unbalanced="0" hidden="1"/>
    <cacheHierarchy uniqueName="[KPI].[MeasureBlokTYLFL03]" caption="MeasureBlokTYLFL03" attribute="1" defaultMemberUniqueName="[KPI].[MeasureBlokTYLFL03].[All]" allUniqueName="[KPI].[MeasureBlokTYLFL03].[All]" dimensionUniqueName="[KPI]" displayFolder="" count="0" unbalanced="0" hidden="1"/>
    <cacheHierarchy uniqueName="[KPI].[ProcessTime]" caption="ProcessTime" attribute="1" defaultMemberUniqueName="[KPI].[ProcessTime].[All]" allUniqueName="[KPI].[ProcessTime].[All]" dimensionUniqueName="[KPI]" displayFolder="" count="0" unbalanced="0" hidden="1"/>
    <cacheHierarchy uniqueName="[KPI].[Ty]" caption="Ty" attribute="1" defaultMemberUniqueName="[KPI].[Ty].[All]" allUniqueName="[KPI].[Ty].[All]" dimensionUniqueName="[KPI]" displayFolder="" count="0" unbalanced="0" hidden="1"/>
    <cacheHierarchy uniqueName="[KPI].[Ty_LC]" caption="Ty_LC" attribute="1" defaultMemberUniqueName="[KPI].[Ty_LC].[All]" allUniqueName="[KPI].[Ty_LC].[All]" dimensionUniqueName="[KPI]" displayFolder="" count="0" unbalanced="0" hidden="1"/>
    <cacheHierarchy uniqueName="[KPI].[Ty_TRY]" caption="Ty_TRY" attribute="1" defaultMemberUniqueName="[KPI].[Ty_TRY].[All]" allUniqueName="[KPI].[Ty_TRY].[All]" dimensionUniqueName="[KPI]" displayFolder="" count="0" unbalanced="0" hidden="1"/>
    <cacheHierarchy uniqueName="[KPI].[Ty_USD]" caption="Ty_USD" attribute="1" defaultMemberUniqueName="[KPI].[Ty_USD].[All]" allUniqueName="[KPI].[Ty_USD].[All]" dimensionUniqueName="[KPI]" displayFolder="" count="0" unbalanced="0" hidden="1"/>
    <cacheHierarchy uniqueName="[KPI].[TyLfl]" caption="TyLfl" attribute="1" defaultMemberUniqueName="[KPI].[TyLfl].[All]" allUniqueName="[KPI].[TyLfl].[All]" dimensionUniqueName="[KPI]" displayFolder="" count="0" unbalanced="0" hidden="1"/>
    <cacheHierarchy uniqueName="[KPI].[TyLfl_LC]" caption="TyLfl_LC" attribute="1" defaultMemberUniqueName="[KPI].[TyLfl_LC].[All]" allUniqueName="[KPI].[TyLfl_LC].[All]" dimensionUniqueName="[KPI]" displayFolder="" count="0" unbalanced="0" hidden="1"/>
    <cacheHierarchy uniqueName="[KPI].[TyLfl_TRY]" caption="TyLfl_TRY" attribute="1" defaultMemberUniqueName="[KPI].[TyLfl_TRY].[All]" allUniqueName="[KPI].[TyLfl_TRY].[All]" dimensionUniqueName="[KPI]" displayFolder="" count="0" unbalanced="0" hidden="1"/>
    <cacheHierarchy uniqueName="[KPI].[TyLfl_USD]" caption="TyLfl_USD" attribute="1" defaultMemberUniqueName="[KPI].[TyLfl_USD].[All]" allUniqueName="[KPI].[TyLfl_USD].[All]" dimensionUniqueName="[KPI]" displayFolder="" count="0" unbalanced="0" hidden="1"/>
    <cacheHierarchy uniqueName="[LFLDate].[LFLDate]" caption="LFLDate" attribute="1" defaultMemberUniqueName="[LFLDate].[LFLDate].[All]" allUniqueName="[LFLDate].[LFLDate].[All]" dimensionUniqueName="[LFLDate]" displayFolder="" count="0" unbalanced="0" hidden="1"/>
    <cacheHierarchy uniqueName="[LFLDate].[SalesChannelKey]" caption="SalesChannelKey" attribute="1" defaultMemberUniqueName="[LFLDate].[SalesChannelKey].[All]" allUniqueName="[LFLDate].[SalesChannelKey].[All]" dimensionUniqueName="[LFLDate]" displayFolder="" count="0" unbalanced="0" hidden="1"/>
    <cacheHierarchy uniqueName="[LFLDate].[SCKeyLFLDate]" caption="SCKeyLFLDate" attribute="1" defaultMemberUniqueName="[LFLDate].[SCKeyLFLDate].[All]" allUniqueName="[LFLDate].[SCKeyLFLDate].[All]" dimensionUniqueName="[LFLDate]" displayFolder="" count="0" unbalanced="0" hidden="1"/>
    <cacheHierarchy uniqueName="[LFLDate].[TYDate]" caption="TYDate" attribute="1" defaultMemberUniqueName="[LFLDate].[TYDate].[All]" allUniqueName="[LFLDate].[TYDate].[All]" dimensionUniqueName="[LFLDate]" displayFolder="" count="0" unbalanced="0" hidden="1"/>
    <cacheHierarchy uniqueName="[OpenImportsDCStock].[AvailableStockUnit]" caption="AvailableStockUnit" attribute="1" defaultMemberUniqueName="[OpenImportsDCStock].[AvailableStockUnit].[All]" allUniqueName="[OpenImportsDCStock].[AvailableStockUnit].[All]" dimensionUniqueName="[OpenImportsDCStock]" displayFolder="" count="0" unbalanced="0" hidden="1"/>
    <cacheHierarchy uniqueName="[OpenImportsDCStock].[BufferStockUnit]" caption="BufferStockUnit" attribute="1" defaultMemberUniqueName="[OpenImportsDCStock].[BufferStockUnit].[All]" allUniqueName="[OpenImportsDCStock].[BufferStockUnit].[All]" dimensionUniqueName="[OpenImportsDCStock]" displayFolder="" count="0" unbalanced="0" hidden="1"/>
    <cacheHierarchy uniqueName="[OpenImportsDCStock].[CUROpenImportsDCStockUnit]" caption="CUROpenImportsDCStockUnit" attribute="1" defaultMemberUniqueName="[OpenImportsDCStock].[CUROpenImportsDCStockUnit].[All]" allUniqueName="[OpenImportsDCStock].[CUROpenImportsDCStockUnit].[All]" dimensionUniqueName="[OpenImportsDCStock]" displayFolder="" count="0" unbalanced="0" hidden="1"/>
    <cacheHierarchy uniqueName="[OpenImportsDCStock].[CUROpenTransferDCStockUnit]" caption="CUROpenTransferDCStockUnit" attribute="1" defaultMemberUniqueName="[OpenImportsDCStock].[CUROpenTransferDCStockUnit].[All]" allUniqueName="[OpenImportsDCStock].[CUROpenTransferDCStockUnit].[All]" dimensionUniqueName="[OpenImportsDCStock]" displayFolder="" count="0" unbalanced="0" hidden="1"/>
    <cacheHierarchy uniqueName="[OpenImportsDCStock].[CURUnapprovedOrderDCStockUnit]" caption="CURUnapprovedOrderDCStockUnit" attribute="1" defaultMemberUniqueName="[OpenImportsDCStock].[CURUnapprovedOrderDCStockUnit].[All]" allUniqueName="[OpenImportsDCStock].[CURUnapprovedOrderDCStockUnit].[All]" dimensionUniqueName="[OpenImportsDCStock]" displayFolder="" count="0" unbalanced="0" hidden="1"/>
    <cacheHierarchy uniqueName="[OpenImportsDCStock].[LocationKey]" caption="LocationKey" attribute="1" defaultMemberUniqueName="[OpenImportsDCStock].[LocationKey].[All]" allUniqueName="[OpenImportsDCStock].[LocationKey].[All]" dimensionUniqueName="[OpenImportsDCStock]" displayFolder="" count="0" unbalanced="0" hidden="1"/>
    <cacheHierarchy uniqueName="[OpenImportsDCStock].[LocationType]" caption="LocationType" attribute="1" defaultMemberUniqueName="[OpenImportsDCStock].[LocationType].[All]" allUniqueName="[OpenImportsDCStock].[LocationType].[All]" dimensionUniqueName="[OpenImportsDCStock]" displayFolder="" count="0" unbalanced="0" hidden="1"/>
    <cacheHierarchy uniqueName="[OpenImportsDCStock].[MaterialKey]" caption="MaterialKey" attribute="1" defaultMemberUniqueName="[OpenImportsDCStock].[MaterialKey].[All]" allUniqueName="[OpenImportsDCStock].[MaterialKey].[All]" dimensionUniqueName="[OpenImportsDCStock]" displayFolder="" count="0" unbalanced="0" hidden="1"/>
    <cacheHierarchy uniqueName="[OpenImportsDCStock].[OpenDeliveryStockUnit]" caption="OpenDeliveryStockUnit" attribute="1" defaultMemberUniqueName="[OpenImportsDCStock].[OpenDeliveryStockUnit].[All]" allUniqueName="[OpenImportsDCStock].[OpenDeliveryStockUnit].[All]" dimensionUniqueName="[OpenImportsDCStock]" displayFolder="" count="0" unbalanced="0" hidden="1"/>
    <cacheHierarchy uniqueName="[OpenImportsDCStock].[OpenOrderStockUnit]" caption="OpenOrderStockUnit" attribute="1" defaultMemberUniqueName="[OpenImportsDCStock].[OpenOrderStockUnit].[All]" allUniqueName="[OpenImportsDCStock].[OpenOrderStockUnit].[All]" dimensionUniqueName="[OpenImportsDCStock]" displayFolder="" count="0" unbalanced="0" hidden="1"/>
    <cacheHierarchy uniqueName="[OpenImportsDCStock].[OpenStoStockUnit]" caption="OpenStoStockUnit" attribute="1" defaultMemberUniqueName="[OpenImportsDCStock].[OpenStoStockUnit].[All]" allUniqueName="[OpenImportsDCStock].[OpenStoStockUnit].[All]" dimensionUniqueName="[OpenImportsDCStock]" displayFolder="" count="0" unbalanced="0" hidden="1"/>
    <cacheHierarchy uniqueName="[OpenImportsDCStock].[RealStockUnit]" caption="RealStockUnit" attribute="1" defaultMemberUniqueName="[OpenImportsDCStock].[RealStockUnit].[All]" allUniqueName="[OpenImportsDCStock].[RealStockUnit].[All]" dimensionUniqueName="[OpenImportsDCStock]" displayFolder="" count="0" unbalanced="0" hidden="1"/>
    <cacheHierarchy uniqueName="[OpenImportsDCStock].[SafetyStockUnit]" caption="SafetyStockUnit" attribute="1" defaultMemberUniqueName="[OpenImportsDCStock].[SafetyStockUnit].[All]" allUniqueName="[OpenImportsDCStock].[SafetyStockUnit].[All]" dimensionUniqueName="[OpenImportsDCStock]" displayFolder="" count="0" unbalanced="0" hidden="1"/>
    <cacheHierarchy uniqueName="[OpenImportsDCStock].[SalesChannelKey]" caption="SalesChannelKey" attribute="1" defaultMemberUniqueName="[OpenImportsDCStock].[SalesChannelKey].[All]" allUniqueName="[OpenImportsDCStock].[SalesChannelKey].[All]" dimensionUniqueName="[OpenImportsDCStock]" displayFolder="" count="0" unbalanced="0" hidden="1"/>
    <cacheHierarchy uniqueName="[OpenImportsDCStock].[StockListKey]" caption="StockListKey" attribute="1" defaultMemberUniqueName="[OpenImportsDCStock].[StockListKey].[All]" allUniqueName="[OpenImportsDCStock].[StockListKey].[All]" dimensionUniqueName="[OpenImportsDCStock]" displayFolder="" count="0" unbalanced="0" hidden="1"/>
    <cacheHierarchy uniqueName="[OpenImportsDCStock].[SubLocationKey]" caption="SubLocationKey" attribute="1" defaultMemberUniqueName="[OpenImportsDCStock].[SubLocationKey].[All]" allUniqueName="[OpenImportsDCStock].[SubLocationKey].[All]" dimensionUniqueName="[OpenImportsDCStock]" displayFolder="" count="0" unbalanced="0" hidden="1"/>
    <cacheHierarchy uniqueName="[OpenImportsStoreStock].[AvailableStockUnit]" caption="AvailableStockUnit" attribute="1" defaultMemberUniqueName="[OpenImportsStoreStock].[AvailableStockUnit].[All]" allUniqueName="[OpenImportsStoreStock].[AvailableStockUnit].[All]" dimensionUniqueName="[OpenImportsStoreStock]" displayFolder="" count="0" unbalanced="0" hidden="1"/>
    <cacheHierarchy uniqueName="[OpenImportsStoreStock].[BufferStockUnit]" caption="BufferStockUnit" attribute="1" defaultMemberUniqueName="[OpenImportsStoreStock].[BufferStockUnit].[All]" allUniqueName="[OpenImportsStoreStock].[BufferStockUnit].[All]" dimensionUniqueName="[OpenImportsStoreStock]" displayFolder="" count="0" unbalanced="0" hidden="1"/>
    <cacheHierarchy uniqueName="[OpenImportsStoreStock].[CUROpenImportsStoreStockUnit]" caption="CUROpenImportsStoreStockUnit" attribute="1" defaultMemberUniqueName="[OpenImportsStoreStock].[CUROpenImportsStoreStockUnit].[All]" allUniqueName="[OpenImportsStoreStock].[CUROpenImportsStoreStockUnit].[All]" dimensionUniqueName="[OpenImportsStoreStock]" displayFolder="" count="0" unbalanced="0" hidden="1"/>
    <cacheHierarchy uniqueName="[OpenImportsStoreStock].[CUROpenTransferStoreStockUnit]" caption="CUROpenTransferStoreStockUnit" attribute="1" defaultMemberUniqueName="[OpenImportsStoreStock].[CUROpenTransferStoreStockUnit].[All]" allUniqueName="[OpenImportsStoreStock].[CUROpenTransferStoreStockUnit].[All]" dimensionUniqueName="[OpenImportsStoreStock]" displayFolder="" count="0" unbalanced="0" hidden="1"/>
    <cacheHierarchy uniqueName="[OpenImportsStoreStock].[CURUnapprovedOrderStoreStockUnit]" caption="CURUnapprovedOrderStoreStockUnit" attribute="1" defaultMemberUniqueName="[OpenImportsStoreStock].[CURUnapprovedOrderStoreStockUnit].[All]" allUniqueName="[OpenImportsStoreStock].[CURUnapprovedOrderStoreStockUnit].[All]" dimensionUniqueName="[OpenImportsStoreStock]" displayFolder="" count="0" unbalanced="0" hidden="1"/>
    <cacheHierarchy uniqueName="[OpenImportsStoreStock].[FROM_PLANT]" caption="FROM_PLANT" attribute="1" defaultMemberUniqueName="[OpenImportsStoreStock].[FROM_PLANT].[All]" allUniqueName="[OpenImportsStoreStock].[FROM_PLANT].[All]" dimensionUniqueName="[OpenImportsStoreStock]" displayFolder="" count="0" unbalanced="0" hidden="1"/>
    <cacheHierarchy uniqueName="[OpenImportsStoreStock].[LocationKey]" caption="LocationKey" attribute="1" defaultMemberUniqueName="[OpenImportsStoreStock].[LocationKey].[All]" allUniqueName="[OpenImportsStoreStock].[LocationKey].[All]" dimensionUniqueName="[OpenImportsStoreStock]" displayFolder="" count="0" unbalanced="0" hidden="1"/>
    <cacheHierarchy uniqueName="[OpenImportsStoreStock].[LocationType]" caption="LocationType" attribute="1" defaultMemberUniqueName="[OpenImportsStoreStock].[LocationType].[All]" allUniqueName="[OpenImportsStoreStock].[LocationType].[All]" dimensionUniqueName="[OpenImportsStoreStock]" displayFolder="" count="0" unbalanced="0" hidden="1"/>
    <cacheHierarchy uniqueName="[OpenImportsStoreStock].[MaterialKey]" caption="MaterialKey" attribute="1" defaultMemberUniqueName="[OpenImportsStoreStock].[MaterialKey].[All]" allUniqueName="[OpenImportsStoreStock].[MaterialKey].[All]" dimensionUniqueName="[OpenImportsStoreStock]" displayFolder="" count="0" unbalanced="0" hidden="1"/>
    <cacheHierarchy uniqueName="[OpenImportsStoreStock].[OpenDeliveryStockUnit]" caption="OpenDeliveryStockUnit" attribute="1" defaultMemberUniqueName="[OpenImportsStoreStock].[OpenDeliveryStockUnit].[All]" allUniqueName="[OpenImportsStoreStock].[OpenDeliveryStockUnit].[All]" dimensionUniqueName="[OpenImportsStoreStock]" displayFolder="" count="0" unbalanced="0" hidden="1"/>
    <cacheHierarchy uniqueName="[OpenImportsStoreStock].[OpenOrderStockUnit]" caption="OpenOrderStockUnit" attribute="1" defaultMemberUniqueName="[OpenImportsStoreStock].[OpenOrderStockUnit].[All]" allUniqueName="[OpenImportsStoreStock].[OpenOrderStockUnit].[All]" dimensionUniqueName="[OpenImportsStoreStock]" displayFolder="" count="0" unbalanced="0" hidden="1"/>
    <cacheHierarchy uniqueName="[OpenImportsStoreStock].[OpenStoStockUnit]" caption="OpenStoStockUnit" attribute="1" defaultMemberUniqueName="[OpenImportsStoreStock].[OpenStoStockUnit].[All]" allUniqueName="[OpenImportsStoreStock].[OpenStoStockUnit].[All]" dimensionUniqueName="[OpenImportsStoreStock]" displayFolder="" count="0" unbalanced="0" hidden="1"/>
    <cacheHierarchy uniqueName="[OpenImportsStoreStock].[RealStockUnit]" caption="RealStockUnit" attribute="1" defaultMemberUniqueName="[OpenImportsStoreStock].[RealStockUnit].[All]" allUniqueName="[OpenImportsStoreStock].[RealStockUnit].[All]" dimensionUniqueName="[OpenImportsStoreStock]" displayFolder="" count="0" unbalanced="0" hidden="1"/>
    <cacheHierarchy uniqueName="[OpenImportsStoreStock].[SafetyStockUnit]" caption="SafetyStockUnit" attribute="1" defaultMemberUniqueName="[OpenImportsStoreStock].[SafetyStockUnit].[All]" allUniqueName="[OpenImportsStoreStock].[SafetyStockUnit].[All]" dimensionUniqueName="[OpenImportsStoreStock]" displayFolder="" count="0" unbalanced="0" hidden="1"/>
    <cacheHierarchy uniqueName="[OpenImportsStoreStock].[SalesChannelKey]" caption="SalesChannelKey" attribute="1" defaultMemberUniqueName="[OpenImportsStoreStock].[SalesChannelKey].[All]" allUniqueName="[OpenImportsStoreStock].[SalesChannelKey].[All]" dimensionUniqueName="[OpenImportsStoreStock]" displayFolder="" count="0" unbalanced="0" hidden="1"/>
    <cacheHierarchy uniqueName="[OpenImportsStoreStock].[StockListKey]" caption="StockListKey" attribute="1" defaultMemberUniqueName="[OpenImportsStoreStock].[StockListKey].[All]" allUniqueName="[OpenImportsStoreStock].[StockListKey].[All]" dimensionUniqueName="[OpenImportsStoreStock]" displayFolder="" count="0" unbalanced="0" hidden="1"/>
    <cacheHierarchy uniqueName="[PurchaseOrder].[DCSubWarehouseKey]" caption="DCSubWarehouseKey" attribute="1" defaultMemberUniqueName="[PurchaseOrder].[DCSubWarehouseKey].[All]" allUniqueName="[PurchaseOrder].[DCSubWarehouseKey].[All]" dimensionUniqueName="[PurchaseOrder]" displayFolder="" count="0" unbalanced="0" hidden="1"/>
    <cacheHierarchy uniqueName="[PurchaseOrder].[DeadLine]" caption="DeadLine" attribute="1" defaultMemberUniqueName="[PurchaseOrder].[DeadLine].[All]" allUniqueName="[PurchaseOrder].[DeadLine].[All]" dimensionUniqueName="[PurchaseOrder]" displayFolder="" count="0" unbalanced="0" hidden="1"/>
    <cacheHierarchy uniqueName="[PurchaseOrder].[DWSourceKey]" caption="DWSourceKey" attribute="1" defaultMemberUniqueName="[PurchaseOrder].[DWSourceKey].[All]" allUniqueName="[PurchaseOrder].[DWSourceKey].[All]" dimensionUniqueName="[PurchaseOrder]" displayFolder="" count="0" unbalanced="0" hidden="1"/>
    <cacheHierarchy uniqueName="[PurchaseOrder].[EstimatedExcRateLC]" caption="EstimatedExcRateLC" attribute="1" defaultMemberUniqueName="[PurchaseOrder].[EstimatedExcRateLC].[All]" allUniqueName="[PurchaseOrder].[EstimatedExcRateLC].[All]" dimensionUniqueName="[PurchaseOrder]" displayFolder="" count="0" unbalanced="0" hidden="1"/>
    <cacheHierarchy uniqueName="[PurchaseOrder].[EtlDate]" caption="EtlDate" attribute="1" defaultMemberUniqueName="[PurchaseOrder].[EtlDate].[All]" allUniqueName="[PurchaseOrder].[EtlDate].[All]" dimensionUniqueName="[PurchaseOrder]" displayFolder="" count="0" unbalanced="0" hidden="1"/>
    <cacheHierarchy uniqueName="[PurchaseOrder].[Factor]" caption="Factor" attribute="1" defaultMemberUniqueName="[PurchaseOrder].[Factor].[All]" allUniqueName="[PurchaseOrder].[Factor].[All]" dimensionUniqueName="[PurchaseOrder]" displayFolder="" count="0" unbalanced="0" hidden="1"/>
    <cacheHierarchy uniqueName="[PurchaseOrder].[GoodsReceiptDate]" caption="GoodsReceiptDate" attribute="1" defaultMemberUniqueName="[PurchaseOrder].[GoodsReceiptDate].[All]" allUniqueName="[PurchaseOrder].[GoodsReceiptDate].[All]" dimensionUniqueName="[PurchaseOrder]" displayFolder="" count="0" unbalanced="0" hidden="1"/>
    <cacheHierarchy uniqueName="[PurchaseOrder].[GoodsReceiptUnit]" caption="GoodsReceiptUnit" attribute="1" defaultMemberUniqueName="[PurchaseOrder].[GoodsReceiptUnit].[All]" allUniqueName="[PurchaseOrder].[GoodsReceiptUnit].[All]" dimensionUniqueName="[PurchaseOrder]" displayFolder="" count="0" unbalanced="0" hidden="1"/>
    <cacheHierarchy uniqueName="[PurchaseOrder].[GoodsReceiptValueLC]" caption="GoodsReceiptValueLC" attribute="1" defaultMemberUniqueName="[PurchaseOrder].[GoodsReceiptValueLC].[All]" allUniqueName="[PurchaseOrder].[GoodsReceiptValueLC].[All]" dimensionUniqueName="[PurchaseOrder]" displayFolder="" count="0" unbalanced="0" hidden="1"/>
    <cacheHierarchy uniqueName="[PurchaseOrder].[LocalCurrencyCode]" caption="LocalCurrencyCode" attribute="1" defaultMemberUniqueName="[PurchaseOrder].[LocalCurrencyCode].[All]" allUniqueName="[PurchaseOrder].[LocalCurrencyCode].[All]" dimensionUniqueName="[PurchaseOrder]" displayFolder="" count="0" unbalanced="0" hidden="1"/>
    <cacheHierarchy uniqueName="[PurchaseOrder].[MaterialKey]" caption="MaterialKey" attribute="1" defaultMemberUniqueName="[PurchaseOrder].[MaterialKey].[All]" allUniqueName="[PurchaseOrder].[MaterialKey].[All]" dimensionUniqueName="[PurchaseOrder]" displayFolder="" count="0" unbalanced="0" hidden="1"/>
    <cacheHierarchy uniqueName="[PurchaseOrder].[OrderCurrencyCode]" caption="OrderCurrencyCode" attribute="1" defaultMemberUniqueName="[PurchaseOrder].[OrderCurrencyCode].[All]" allUniqueName="[PurchaseOrder].[OrderCurrencyCode].[All]" dimensionUniqueName="[PurchaseOrder]" displayFolder="" count="0" unbalanced="0" hidden="1"/>
    <cacheHierarchy uniqueName="[PurchaseOrder].[OtherMerchantGoodsReceiptUnit]" caption="OtherMerchantGoodsReceiptUnit" attribute="1" defaultMemberUniqueName="[PurchaseOrder].[OtherMerchantGoodsReceiptUnit].[All]" allUniqueName="[PurchaseOrder].[OtherMerchantGoodsReceiptUnit].[All]" dimensionUniqueName="[PurchaseOrder]" displayFolder="" count="0" unbalanced="0" hidden="1"/>
    <cacheHierarchy uniqueName="[PurchaseOrder].[OtherMerchantGoodsReceiptValueLC]" caption="OtherMerchantGoodsReceiptValueLC" attribute="1" defaultMemberUniqueName="[PurchaseOrder].[OtherMerchantGoodsReceiptValueLC].[All]" allUniqueName="[PurchaseOrder].[OtherMerchantGoodsReceiptValueLC].[All]" dimensionUniqueName="[PurchaseOrder]" displayFolder="" count="0" unbalanced="0" hidden="1"/>
    <cacheHierarchy uniqueName="[PurchaseOrder].[OtherMerchantPendingPONetValue]" caption="OtherMerchantPendingPONetValue" attribute="1" defaultMemberUniqueName="[PurchaseOrder].[OtherMerchantPendingPONetValue].[All]" allUniqueName="[PurchaseOrder].[OtherMerchantPendingPONetValue].[All]" dimensionUniqueName="[PurchaseOrder]" displayFolder="" count="0" unbalanced="0" hidden="1"/>
    <cacheHierarchy uniqueName="[PurchaseOrder].[OtherMerchantPendingPurchaseOrderUnit]" caption="OtherMerchantPendingPurchaseOrderUnit" attribute="1" defaultMemberUniqueName="[PurchaseOrder].[OtherMerchantPendingPurchaseOrderUnit].[All]" allUniqueName="[PurchaseOrder].[OtherMerchantPendingPurchaseOrderUnit].[All]" dimensionUniqueName="[PurchaseOrder]" displayFolder="" count="0" unbalanced="0" hidden="1"/>
    <cacheHierarchy uniqueName="[PurchaseOrder].[OtherMerchantPurchaseOrderUnit]" caption="OtherMerchantPurchaseOrderUnit" attribute="1" defaultMemberUniqueName="[PurchaseOrder].[OtherMerchantPurchaseOrderUnit].[All]" allUniqueName="[PurchaseOrder].[OtherMerchantPurchaseOrderUnit].[All]" dimensionUniqueName="[PurchaseOrder]" displayFolder="" count="0" unbalanced="0" hidden="1"/>
    <cacheHierarchy uniqueName="[PurchaseOrder].[PendingPONetValue]" caption="PendingPONetValue" attribute="1" defaultMemberUniqueName="[PurchaseOrder].[PendingPONetValue].[All]" allUniqueName="[PurchaseOrder].[PendingPONetValue].[All]" dimensionUniqueName="[PurchaseOrder]" displayFolder="" count="0" unbalanced="0" hidden="1"/>
    <cacheHierarchy uniqueName="[PurchaseOrder].[PendingPurchaseOrderUnit]" caption="PendingPurchaseOrderUnit" attribute="1" defaultMemberUniqueName="[PurchaseOrder].[PendingPurchaseOrderUnit].[All]" allUniqueName="[PurchaseOrder].[PendingPurchaseOrderUnit].[All]" dimensionUniqueName="[PurchaseOrder]" displayFolder="" count="0" unbalanced="0" hidden="1"/>
    <cacheHierarchy uniqueName="[PurchaseOrder].[PONetValue]" caption="PONetValue" attribute="1" defaultMemberUniqueName="[PurchaseOrder].[PONetValue].[All]" allUniqueName="[PurchaseOrder].[PONetValue].[All]" dimensionUniqueName="[PurchaseOrder]" displayFolder="" count="0" unbalanced="0" hidden="1"/>
    <cacheHierarchy uniqueName="[PurchaseOrder].[ProductStateID]" caption="ProductStateID" attribute="1" defaultMemberUniqueName="[PurchaseOrder].[ProductStateID].[All]" allUniqueName="[PurchaseOrder].[ProductStateID].[All]" dimensionUniqueName="[PurchaseOrder]" displayFolder="" count="0" unbalanced="0" hidden="1"/>
    <cacheHierarchy uniqueName="[PurchaseOrder].[PurchaseOrderCode]" caption="PurchaseOrderCode" attribute="1" defaultMemberUniqueName="[PurchaseOrder].[PurchaseOrderCode].[All]" allUniqueName="[PurchaseOrder].[PurchaseOrderCode].[All]" dimensionUniqueName="[PurchaseOrder]" displayFolder="" count="0" unbalanced="0" hidden="1"/>
    <cacheHierarchy uniqueName="[PurchaseOrder].[PurchaseOrderUnit]" caption="PurchaseOrderUnit" attribute="1" defaultMemberUniqueName="[PurchaseOrder].[PurchaseOrderUnit].[All]" allUniqueName="[PurchaseOrder].[PurchaseOrderUnit].[All]" dimensionUniqueName="[PurchaseOrder]" displayFolder="" count="0" unbalanced="0" hidden="1"/>
    <cacheHierarchy uniqueName="[PurchaseOrder].[SalesChannelKey]" caption="SalesChannelKey" attribute="1" defaultMemberUniqueName="[PurchaseOrder].[SalesChannelKey].[All]" allUniqueName="[PurchaseOrder].[SalesChannelKey].[All]" dimensionUniqueName="[PurchaseOrder]" displayFolder="" count="0" unbalanced="0" hidden="1"/>
    <cacheHierarchy uniqueName="[PurchaseOrder].[SalesSeasonID]" caption="SalesSeasonID" attribute="1" defaultMemberUniqueName="[PurchaseOrder].[SalesSeasonID].[All]" allUniqueName="[PurchaseOrder].[SalesSeasonID].[All]" dimensionUniqueName="[PurchaseOrder]" displayFolder="" count="0" unbalanced="0" hidden="1"/>
    <cacheHierarchy uniqueName="[PurchaseOrder].[ToptanSasCarpanı]" caption="ToptanSasCarpanı" attribute="1" defaultMemberUniqueName="[PurchaseOrder].[ToptanSasCarpanı].[All]" allUniqueName="[PurchaseOrder].[ToptanSasCarpanı].[All]" dimensionUniqueName="[PurchaseOrder]" displayFolder="" count="0" unbalanced="0" hidden="1"/>
    <cacheHierarchy uniqueName="[PurchaseOrder].[UnitPrice]" caption="UnitPrice" attribute="1" defaultMemberUniqueName="[PurchaseOrder].[UnitPrice].[All]" allUniqueName="[PurchaseOrder].[UnitPrice].[All]" dimensionUniqueName="[PurchaseOrder]" displayFolder="" count="0" unbalanced="0" hidden="1"/>
    <cacheHierarchy uniqueName="[PurchaseOrderGR].[DCSubWarehouseKey]" caption="DCSubWarehouseKey" attribute="1" defaultMemberUniqueName="[PurchaseOrderGR].[DCSubWarehouseKey].[All]" allUniqueName="[PurchaseOrderGR].[DCSubWarehouseKey].[All]" dimensionUniqueName="[PurchaseOrderGR]" displayFolder="" count="0" unbalanced="0" hidden="1"/>
    <cacheHierarchy uniqueName="[PurchaseOrderGR].[DeadLine]" caption="DeadLine" attribute="1" defaultMemberUniqueName="[PurchaseOrderGR].[DeadLine].[All]" allUniqueName="[PurchaseOrderGR].[DeadLine].[All]" dimensionUniqueName="[PurchaseOrderGR]" displayFolder="" count="0" unbalanced="0" hidden="1"/>
    <cacheHierarchy uniqueName="[PurchaseOrderGR].[DWSourceKey]" caption="DWSourceKey" attribute="1" defaultMemberUniqueName="[PurchaseOrderGR].[DWSourceKey].[All]" allUniqueName="[PurchaseOrderGR].[DWSourceKey].[All]" dimensionUniqueName="[PurchaseOrderGR]" displayFolder="" count="0" unbalanced="0" hidden="1"/>
    <cacheHierarchy uniqueName="[PurchaseOrderGR].[EstimatedExcRateLC]" caption="EstimatedExcRateLC" attribute="1" defaultMemberUniqueName="[PurchaseOrderGR].[EstimatedExcRateLC].[All]" allUniqueName="[PurchaseOrderGR].[EstimatedExcRateLC].[All]" dimensionUniqueName="[PurchaseOrderGR]" displayFolder="" count="0" unbalanced="0" hidden="1"/>
    <cacheHierarchy uniqueName="[PurchaseOrderGR].[EtlDate]" caption="EtlDate" attribute="1" defaultMemberUniqueName="[PurchaseOrderGR].[EtlDate].[All]" allUniqueName="[PurchaseOrderGR].[EtlDate].[All]" dimensionUniqueName="[PurchaseOrderGR]" displayFolder="" count="0" unbalanced="0" hidden="1"/>
    <cacheHierarchy uniqueName="[PurchaseOrderGR].[Factor]" caption="Factor" attribute="1" defaultMemberUniqueName="[PurchaseOrderGR].[Factor].[All]" allUniqueName="[PurchaseOrderGR].[Factor].[All]" dimensionUniqueName="[PurchaseOrderGR]" displayFolder="" count="0" unbalanced="0" hidden="1"/>
    <cacheHierarchy uniqueName="[PurchaseOrderGR].[GoodReceiptValueNavlunLC]" caption="GoodReceiptValueNavlunLC" attribute="1" defaultMemberUniqueName="[PurchaseOrderGR].[GoodReceiptValueNavlunLC].[All]" allUniqueName="[PurchaseOrderGR].[GoodReceiptValueNavlunLC].[All]" dimensionUniqueName="[PurchaseOrderGR]" displayFolder="" count="0" unbalanced="0" hidden="1"/>
    <cacheHierarchy uniqueName="[PurchaseOrderGR].[GoodsReceiptDate]" caption="GoodsReceiptDate" attribute="1" defaultMemberUniqueName="[PurchaseOrderGR].[GoodsReceiptDate].[All]" allUniqueName="[PurchaseOrderGR].[GoodsReceiptDate].[All]" dimensionUniqueName="[PurchaseOrderGR]" displayFolder="" count="0" unbalanced="0" hidden="1"/>
    <cacheHierarchy uniqueName="[PurchaseOrderGR].[GoodsReceiptUnit]" caption="GoodsReceiptUnit" attribute="1" defaultMemberUniqueName="[PurchaseOrderGR].[GoodsReceiptUnit].[All]" allUniqueName="[PurchaseOrderGR].[GoodsReceiptUnit].[All]" dimensionUniqueName="[PurchaseOrderGR]" displayFolder="" count="0" unbalanced="0" hidden="1"/>
    <cacheHierarchy uniqueName="[PurchaseOrderGR].[GoodsReceiptValueLC]" caption="GoodsReceiptValueLC" attribute="1" defaultMemberUniqueName="[PurchaseOrderGR].[GoodsReceiptValueLC].[All]" allUniqueName="[PurchaseOrderGR].[GoodsReceiptValueLC].[All]" dimensionUniqueName="[PurchaseOrderGR]" displayFolder="" count="0" unbalanced="0" hidden="1"/>
    <cacheHierarchy uniqueName="[PurchaseOrderGR].[LocalCurrencyCode]" caption="LocalCurrencyCode" attribute="1" defaultMemberUniqueName="[PurchaseOrderGR].[LocalCurrencyCode].[All]" allUniqueName="[PurchaseOrderGR].[LocalCurrencyCode].[All]" dimensionUniqueName="[PurchaseOrderGR]" displayFolder="" count="0" unbalanced="0" hidden="1"/>
    <cacheHierarchy uniqueName="[PurchaseOrderGR].[MaterialKey]" caption="MaterialKey" attribute="1" defaultMemberUniqueName="[PurchaseOrderGR].[MaterialKey].[All]" allUniqueName="[PurchaseOrderGR].[MaterialKey].[All]" dimensionUniqueName="[PurchaseOrderGR]" displayFolder="" count="0" unbalanced="0" hidden="1"/>
    <cacheHierarchy uniqueName="[PurchaseOrderGR].[OrderCurrencyCode]" caption="OrderCurrencyCode" attribute="1" defaultMemberUniqueName="[PurchaseOrderGR].[OrderCurrencyCode].[All]" allUniqueName="[PurchaseOrderGR].[OrderCurrencyCode].[All]" dimensionUniqueName="[PurchaseOrderGR]" displayFolder="" count="0" unbalanced="0" hidden="1"/>
    <cacheHierarchy uniqueName="[PurchaseOrderGR].[OtherMerchantGoodsReceiptUnit]" caption="OtherMerchantGoodsReceiptUnit" attribute="1" defaultMemberUniqueName="[PurchaseOrderGR].[OtherMerchantGoodsReceiptUnit].[All]" allUniqueName="[PurchaseOrderGR].[OtherMerchantGoodsReceiptUnit].[All]" dimensionUniqueName="[PurchaseOrderGR]" displayFolder="" count="0" unbalanced="0" hidden="1"/>
    <cacheHierarchy uniqueName="[PurchaseOrderGR].[OtherMerchantGoodsReceiptValueLC]" caption="OtherMerchantGoodsReceiptValueLC" attribute="1" defaultMemberUniqueName="[PurchaseOrderGR].[OtherMerchantGoodsReceiptValueLC].[All]" allUniqueName="[PurchaseOrderGR].[OtherMerchantGoodsReceiptValueLC].[All]" dimensionUniqueName="[PurchaseOrderGR]" displayFolder="" count="0" unbalanced="0" hidden="1"/>
    <cacheHierarchy uniqueName="[PurchaseOrderGR].[ProductStateID]" caption="ProductStateID" attribute="1" defaultMemberUniqueName="[PurchaseOrderGR].[ProductStateID].[All]" allUniqueName="[PurchaseOrderGR].[ProductStateID].[All]" dimensionUniqueName="[PurchaseOrderGR]" displayFolder="" count="0" unbalanced="0" hidden="1"/>
    <cacheHierarchy uniqueName="[PurchaseOrderGR].[PurchaseOrderCode]" caption="PurchaseOrderCode" attribute="1" defaultMemberUniqueName="[PurchaseOrderGR].[PurchaseOrderCode].[All]" allUniqueName="[PurchaseOrderGR].[PurchaseOrderCode].[All]" dimensionUniqueName="[PurchaseOrderGR]" displayFolder="" count="0" unbalanced="0" hidden="1"/>
    <cacheHierarchy uniqueName="[PurchaseOrderGR].[SalesChannelKey]" caption="SalesChannelKey" attribute="1" defaultMemberUniqueName="[PurchaseOrderGR].[SalesChannelKey].[All]" allUniqueName="[PurchaseOrderGR].[SalesChannelKey].[All]" dimensionUniqueName="[PurchaseOrderGR]" displayFolder="" count="0" unbalanced="0" hidden="1"/>
    <cacheHierarchy uniqueName="[PurchaseOrderGR].[SalesSeasonID]" caption="SalesSeasonID" attribute="1" defaultMemberUniqueName="[PurchaseOrderGR].[SalesSeasonID].[All]" allUniqueName="[PurchaseOrderGR].[SalesSeasonID].[All]" dimensionUniqueName="[PurchaseOrderGR]" displayFolder="" count="0" unbalanced="0" hidden="1"/>
    <cacheHierarchy uniqueName="[PurchaseOrderGR].[ToptanSasCarpanı]" caption="ToptanSasCarpanı" attribute="1" defaultMemberUniqueName="[PurchaseOrderGR].[ToptanSasCarpanı].[All]" allUniqueName="[PurchaseOrderGR].[ToptanSasCarpanı].[All]" dimensionUniqueName="[PurchaseOrderGR]" displayFolder="" count="0" unbalanced="0" hidden="1"/>
    <cacheHierarchy uniqueName="[Sales].[Ly]" caption="Ly" attribute="1" defaultMemberUniqueName="[Sales].[Ly].[All]" allUniqueName="[Sales].[Ly].[All]" dimensionUniqueName="[Sales]" displayFolder="" count="0" unbalanced="0" hidden="1"/>
    <cacheHierarchy uniqueName="[Sales].[LyLFL]" caption="LyLFL" attribute="1" defaultMemberUniqueName="[Sales].[LyLFL].[All]" allUniqueName="[Sales].[LyLFL].[All]" dimensionUniqueName="[Sales]" displayFolder="" count="0" unbalanced="0" hidden="1"/>
    <cacheHierarchy uniqueName="[Sales].[MeasureBlokLY02]" caption="MeasureBlokLY02" attribute="1" defaultMemberUniqueName="[Sales].[MeasureBlokLY02].[All]" allUniqueName="[Sales].[MeasureBlokLY02].[All]" dimensionUniqueName="[Sales]" displayFolder="" count="0" unbalanced="0" hidden="1"/>
    <cacheHierarchy uniqueName="[Sales].[MeasureBlokLYLFL04]" caption="MeasureBlokLYLFL04" attribute="1" defaultMemberUniqueName="[Sales].[MeasureBlokLYLFL04].[All]" allUniqueName="[Sales].[MeasureBlokLYLFL04].[All]" dimensionUniqueName="[Sales]" displayFolder="" count="0" unbalanced="0" hidden="1"/>
    <cacheHierarchy uniqueName="[Sales].[MeasureBlokTY01]" caption="MeasureBlokTY01" attribute="1" defaultMemberUniqueName="[Sales].[MeasureBlokTY01].[All]" allUniqueName="[Sales].[MeasureBlokTY01].[All]" dimensionUniqueName="[Sales]" displayFolder="" count="0" unbalanced="0" hidden="1"/>
    <cacheHierarchy uniqueName="[Sales].[MeasureBlokTYLFL03]" caption="MeasureBlokTYLFL03" attribute="1" defaultMemberUniqueName="[Sales].[MeasureBlokTYLFL03].[All]" allUniqueName="[Sales].[MeasureBlokTYLFL03].[All]" dimensionUniqueName="[Sales]" displayFolder="" count="0" unbalanced="0" hidden="1"/>
    <cacheHierarchy uniqueName="[Sales].[MeasureGroupName]" caption="MeasureGroupName" attribute="1" defaultMemberUniqueName="[Sales].[MeasureGroupName].[All]" allUniqueName="[Sales].[MeasureGroupName].[All]" dimensionUniqueName="[Sales]" displayFolder="" count="0" unbalanced="0" hidden="1"/>
    <cacheHierarchy uniqueName="[Sales].[ProcessTime]" caption="ProcessTime" attribute="1" defaultMemberUniqueName="[Sales].[ProcessTime].[All]" allUniqueName="[Sales].[ProcessTime].[All]" dimensionUniqueName="[Sales]" displayFolder="" count="0" unbalanced="0" hidden="1"/>
    <cacheHierarchy uniqueName="[Sales].[Ty]" caption="Ty" attribute="1" defaultMemberUniqueName="[Sales].[Ty].[All]" allUniqueName="[Sales].[Ty].[All]" dimensionUniqueName="[Sales]" displayFolder="" count="0" unbalanced="0" hidden="1"/>
    <cacheHierarchy uniqueName="[Sales].[TyLfl]" caption="TyLfl" attribute="1" defaultMemberUniqueName="[Sales].[TyLfl].[All]" allUniqueName="[Sales].[TyLfl].[All]" dimensionUniqueName="[Sales]" displayFolder="" count="0" unbalanced="0" hidden="1"/>
    <cacheHierarchy uniqueName="[SalesBudget].[BudgetCost]" caption="BudgetCost" attribute="1" defaultMemberUniqueName="[SalesBudget].[BudgetCost].[All]" allUniqueName="[SalesBudget].[BudgetCost].[All]" dimensionUniqueName="[SalesBudget]" displayFolder="" count="0" unbalanced="0" hidden="1"/>
    <cacheHierarchy uniqueName="[SalesBudget].[BudgetInitialSalesPrice]" caption="BudgetInitialSalesPrice" attribute="1" defaultMemberUniqueName="[SalesBudget].[BudgetInitialSalesPrice].[All]" allUniqueName="[SalesBudget].[BudgetInitialSalesPrice].[All]" dimensionUniqueName="[SalesBudget]" displayFolder="" count="0" unbalanced="0" hidden="1"/>
    <cacheHierarchy uniqueName="[SalesBudget].[BudgetProfitValue]" caption="BudgetProfitValue" attribute="1" defaultMemberUniqueName="[SalesBudget].[BudgetProfitValue].[All]" allUniqueName="[SalesBudget].[BudgetProfitValue].[All]" dimensionUniqueName="[SalesBudget]" displayFolder="" count="0" unbalanced="0" hidden="1"/>
    <cacheHierarchy uniqueName="[SalesBudget].[BudgetUnit]" caption="BudgetUnit" attribute="1" defaultMemberUniqueName="[SalesBudget].[BudgetUnit].[All]" allUniqueName="[SalesBudget].[BudgetUnit].[All]" dimensionUniqueName="[SalesBudget]" displayFolder="" count="0" unbalanced="0" hidden="1"/>
    <cacheHierarchy uniqueName="[SalesBudget].[BudgetValue]" caption="BudgetValue" attribute="1" defaultMemberUniqueName="[SalesBudget].[BudgetValue].[All]" allUniqueName="[SalesBudget].[BudgetValue].[All]" dimensionUniqueName="[SalesBudget]" displayFolder="" count="0" unbalanced="0" hidden="1"/>
    <cacheHierarchy uniqueName="[SalesBudget].[EURExcRate]" caption="EURExcRate" attribute="1" defaultMemberUniqueName="[SalesBudget].[EURExcRate].[All]" allUniqueName="[SalesBudget].[EURExcRate].[All]" dimensionUniqueName="[SalesBudget]" displayFolder="" count="0" unbalanced="0" hidden="1"/>
    <cacheHierarchy uniqueName="[SalesBudget].[LocationCurrencyCode]" caption="LocationCurrencyCode" attribute="1" defaultMemberUniqueName="[SalesBudget].[LocationCurrencyCode].[All]" allUniqueName="[SalesBudget].[LocationCurrencyCode].[All]" dimensionUniqueName="[SalesBudget]" displayFolder="" count="0" unbalanced="0" hidden="1"/>
    <cacheHierarchy uniqueName="[SalesBudget].[LocationKey]" caption="LocationKey" attribute="1" defaultMemberUniqueName="[SalesBudget].[LocationKey].[All]" allUniqueName="[SalesBudget].[LocationKey].[All]" dimensionUniqueName="[SalesBudget]" displayFolder="" count="0" unbalanced="0" hidden="1"/>
    <cacheHierarchy uniqueName="[SalesBudget].[MaterialKey]" caption="MaterialKey" attribute="1" defaultMemberUniqueName="[SalesBudget].[MaterialKey].[All]" allUniqueName="[SalesBudget].[MaterialKey].[All]" dimensionUniqueName="[SalesBudget]" displayFolder="" count="0" unbalanced="0" hidden="1"/>
    <cacheHierarchy uniqueName="[SalesBudget].[SalesChannelKey]" caption="SalesChannelKey" attribute="1" defaultMemberUniqueName="[SalesBudget].[SalesChannelKey].[All]" allUniqueName="[SalesBudget].[SalesChannelKey].[All]" dimensionUniqueName="[SalesBudget]" displayFolder="" count="0" unbalanced="0" hidden="1"/>
    <cacheHierarchy uniqueName="[SalesBudget].[SubDistChannelCode]" caption="SubDistChannelCode" attribute="1" defaultMemberUniqueName="[SalesBudget].[SubDistChannelCode].[All]" allUniqueName="[SalesBudget].[SubDistChannelCode].[All]" dimensionUniqueName="[SalesBudget]" displayFolder="" count="0" unbalanced="0" hidden="1"/>
    <cacheHierarchy uniqueName="[SalesBudget].[SubDistChannelKey]" caption="SubDistChannelKey" attribute="1" defaultMemberUniqueName="[SalesBudget].[SubDistChannelKey].[All]" allUniqueName="[SalesBudget].[SubDistChannelKey].[All]" dimensionUniqueName="[SalesBudget]" displayFolder="" count="0" unbalanced="0" hidden="1"/>
    <cacheHierarchy uniqueName="[SalesBudget].[TRYExcRate]" caption="TRYExcRate" attribute="1" defaultMemberUniqueName="[SalesBudget].[TRYExcRate].[All]" allUniqueName="[SalesBudget].[TRYExcRate].[All]" dimensionUniqueName="[SalesBudget]" displayFolder="" count="0" unbalanced="0" hidden="1"/>
    <cacheHierarchy uniqueName="[SalesBudget].[TYDate]" caption="TYDate" attribute="1" defaultMemberUniqueName="[SalesBudget].[TYDate].[All]" allUniqueName="[SalesBudget].[TYDate].[All]" dimensionUniqueName="[SalesBudget]" displayFolder="" count="0" unbalanced="0" hidden="1"/>
    <cacheHierarchy uniqueName="[SalesBudget].[USDExcRate]" caption="USDExcRate" attribute="1" defaultMemberUniqueName="[SalesBudget].[USDExcRate].[All]" allUniqueName="[SalesBudget].[USDExcRate].[All]" dimensionUniqueName="[SalesBudget]" displayFolder="" count="0" unbalanced="0" hidden="1"/>
    <cacheHierarchy uniqueName="[SalesBudgetLY].[BudgetTypeName]" caption="BudgetTypeName" attribute="1" defaultMemberUniqueName="[SalesBudgetLY].[BudgetTypeName].[All]" allUniqueName="[SalesBudgetLY].[BudgetTypeName].[All]" dimensionUniqueName="[SalesBudgetLY]" displayFolder="" count="0" unbalanced="0" hidden="1"/>
    <cacheHierarchy uniqueName="[SalesBudgetLY].[EURExcRate]" caption="EURExcRate" attribute="1" defaultMemberUniqueName="[SalesBudgetLY].[EURExcRate].[All]" allUniqueName="[SalesBudgetLY].[EURExcRate].[All]" dimensionUniqueName="[SalesBudgetLY]" displayFolder="" count="0" unbalanced="0" hidden="1"/>
    <cacheHierarchy uniqueName="[SalesBudgetLY].[LocationCurrencyCode]" caption="LocationCurrencyCode" attribute="1" defaultMemberUniqueName="[SalesBudgetLY].[LocationCurrencyCode].[All]" allUniqueName="[SalesBudgetLY].[LocationCurrencyCode].[All]" dimensionUniqueName="[SalesBudgetLY]" displayFolder="" count="0" unbalanced="0" hidden="1"/>
    <cacheHierarchy uniqueName="[SalesBudgetLY].[LocationKey]" caption="LocationKey" attribute="1" defaultMemberUniqueName="[SalesBudgetLY].[LocationKey].[All]" allUniqueName="[SalesBudgetLY].[LocationKey].[All]" dimensionUniqueName="[SalesBudgetLY]" displayFolder="" count="0" unbalanced="0" hidden="1"/>
    <cacheHierarchy uniqueName="[SalesBudgetLY].[LYBudgetCost]" caption="LYBudgetCost" attribute="1" defaultMemberUniqueName="[SalesBudgetLY].[LYBudgetCost].[All]" allUniqueName="[SalesBudgetLY].[LYBudgetCost].[All]" dimensionUniqueName="[SalesBudgetLY]" displayFolder="" count="0" unbalanced="0" hidden="1"/>
    <cacheHierarchy uniqueName="[SalesBudgetLY].[LYBudgetInitialSalesPrice]" caption="LYBudgetInitialSalesPrice" attribute="1" defaultMemberUniqueName="[SalesBudgetLY].[LYBudgetInitialSalesPrice].[All]" allUniqueName="[SalesBudgetLY].[LYBudgetInitialSalesPrice].[All]" dimensionUniqueName="[SalesBudgetLY]" displayFolder="" count="0" unbalanced="0" hidden="1"/>
    <cacheHierarchy uniqueName="[SalesBudgetLY].[LYBudgetProfitValue]" caption="LYBudgetProfitValue" attribute="1" defaultMemberUniqueName="[SalesBudgetLY].[LYBudgetProfitValue].[All]" allUniqueName="[SalesBudgetLY].[LYBudgetProfitValue].[All]" dimensionUniqueName="[SalesBudgetLY]" displayFolder="" count="0" unbalanced="0" hidden="1"/>
    <cacheHierarchy uniqueName="[SalesBudgetLY].[LYBudgetUnit]" caption="LYBudgetUnit" attribute="1" defaultMemberUniqueName="[SalesBudgetLY].[LYBudgetUnit].[All]" allUniqueName="[SalesBudgetLY].[LYBudgetUnit].[All]" dimensionUniqueName="[SalesBudgetLY]" displayFolder="" count="0" unbalanced="0" hidden="1"/>
    <cacheHierarchy uniqueName="[SalesBudgetLY].[LYBudgetValue]" caption="LYBudgetValue" attribute="1" defaultMemberUniqueName="[SalesBudgetLY].[LYBudgetValue].[All]" allUniqueName="[SalesBudgetLY].[LYBudgetValue].[All]" dimensionUniqueName="[SalesBudgetLY]" displayFolder="" count="0" unbalanced="0" hidden="1"/>
    <cacheHierarchy uniqueName="[SalesBudgetLY].[MaterialKey]" caption="MaterialKey" attribute="1" defaultMemberUniqueName="[SalesBudgetLY].[MaterialKey].[All]" allUniqueName="[SalesBudgetLY].[MaterialKey].[All]" dimensionUniqueName="[SalesBudgetLY]" displayFolder="" count="0" unbalanced="0" hidden="1"/>
    <cacheHierarchy uniqueName="[SalesBudgetLY].[SalesChannelKey]" caption="SalesChannelKey" attribute="1" defaultMemberUniqueName="[SalesBudgetLY].[SalesChannelKey].[All]" allUniqueName="[SalesBudgetLY].[SalesChannelKey].[All]" dimensionUniqueName="[SalesBudgetLY]" displayFolder="" count="0" unbalanced="0" hidden="1"/>
    <cacheHierarchy uniqueName="[SalesBudgetLY].[SubDistChannelCode]" caption="SubDistChannelCode" attribute="1" defaultMemberUniqueName="[SalesBudgetLY].[SubDistChannelCode].[All]" allUniqueName="[SalesBudgetLY].[SubDistChannelCode].[All]" dimensionUniqueName="[SalesBudgetLY]" displayFolder="" count="0" unbalanced="0" hidden="1"/>
    <cacheHierarchy uniqueName="[SalesBudgetLY].[SubDistChannelKey]" caption="SubDistChannelKey" attribute="1" defaultMemberUniqueName="[SalesBudgetLY].[SubDistChannelKey].[All]" allUniqueName="[SalesBudgetLY].[SubDistChannelKey].[All]" dimensionUniqueName="[SalesBudgetLY]" displayFolder="" count="0" unbalanced="0" hidden="1"/>
    <cacheHierarchy uniqueName="[SalesBudgetLY].[TRYExcRate]" caption="TRYExcRate" attribute="1" defaultMemberUniqueName="[SalesBudgetLY].[TRYExcRate].[All]" allUniqueName="[SalesBudgetLY].[TRYExcRate].[All]" dimensionUniqueName="[SalesBudgetLY]" displayFolder="" count="0" unbalanced="0" hidden="1"/>
    <cacheHierarchy uniqueName="[SalesBudgetLY].[TYDate]" caption="TYDate" attribute="1" defaultMemberUniqueName="[SalesBudgetLY].[TYDate].[All]" allUniqueName="[SalesBudgetLY].[TYDate].[All]" dimensionUniqueName="[SalesBudgetLY]" displayFolder="" count="0" unbalanced="0" hidden="1"/>
    <cacheHierarchy uniqueName="[SalesBudgetLY].[USDExcRate]" caption="USDExcRate" attribute="1" defaultMemberUniqueName="[SalesBudgetLY].[USDExcRate].[All]" allUniqueName="[SalesBudgetLY].[USDExcRate].[All]" dimensionUniqueName="[SalesBudgetLY]" displayFolder="" count="0" unbalanced="0" hidden="1"/>
    <cacheHierarchy uniqueName="[SalesChannel].[CountryRank]" caption="CountryRank" attribute="1" defaultMemberUniqueName="[SalesChannel].[CountryRank].[All]" allUniqueName="[SalesChannel].[CountryRank].[All]" dimensionUniqueName="[SalesChannel]" displayFolder="" count="0" unbalanced="0" hidden="1"/>
    <cacheHierarchy uniqueName="[SalesChannel].[SalesOrgTypeRank]" caption="SalesOrgTypeRank" attribute="1" defaultMemberUniqueName="[SalesChannel].[SalesOrgTypeRank].[All]" allUniqueName="[SalesChannel].[SalesOrgTypeRank].[All]" dimensionUniqueName="[SalesChannel]" displayFolder="" count="0" unbalanced="0" hidden="1"/>
    <cacheHierarchy uniqueName="[SalesLY].[CurrentSalesPriceID]" caption="CurrentSalesPriceID" attribute="1" defaultMemberUniqueName="[SalesLY].[CurrentSalesPriceID].[All]" allUniqueName="[SalesLY].[CurrentSalesPriceID].[All]" dimensionUniqueName="[SalesLY]" displayFolder="" count="0" unbalanced="0" hidden="1"/>
    <cacheHierarchy uniqueName="[SalesLY].[InitialSalesPriceID]" caption="InitialSalesPriceID" attribute="1" defaultMemberUniqueName="[SalesLY].[InitialSalesPriceID].[All]" allUniqueName="[SalesLY].[InitialSalesPriceID].[All]" dimensionUniqueName="[SalesLY]" displayFolder="" count="0" unbalanced="0" hidden="1"/>
    <cacheHierarchy uniqueName="[SalesLY].[LFLFactor]" caption="LFLFactor" attribute="1" defaultMemberUniqueName="[SalesLY].[LFLFactor].[All]" allUniqueName="[SalesLY].[LFLFactor].[All]" dimensionUniqueName="[SalesLY]" displayFolder="" count="0" unbalanced="0" hidden="1"/>
    <cacheHierarchy uniqueName="[SalesLY].[LocationKey]" caption="LocationKey" attribute="1" defaultMemberUniqueName="[SalesLY].[LocationKey].[All]" allUniqueName="[SalesLY].[LocationKey].[All]" dimensionUniqueName="[SalesLY]" displayFolder="" count="0" unbalanced="0" hidden="1"/>
    <cacheHierarchy uniqueName="[SalesLY].[LYSalesCostLC]" caption="LYSalesCostLC" attribute="1" defaultMemberUniqueName="[SalesLY].[LYSalesCostLC].[All]" allUniqueName="[SalesLY].[LYSalesCostLC].[All]" dimensionUniqueName="[SalesLY]" displayFolder="" count="0" unbalanced="0" hidden="1"/>
    <cacheHierarchy uniqueName="[SalesLY].[LYSalesCostTRY]" caption="LYSalesCostTRY" attribute="1" defaultMemberUniqueName="[SalesLY].[LYSalesCostTRY].[All]" allUniqueName="[SalesLY].[LYSalesCostTRY].[All]" dimensionUniqueName="[SalesLY]" displayFolder="" count="0" unbalanced="0" hidden="1"/>
    <cacheHierarchy uniqueName="[SalesLY].[LYSalesCostUSD]" caption="LYSalesCostUSD" attribute="1" defaultMemberUniqueName="[SalesLY].[LYSalesCostUSD].[All]" allUniqueName="[SalesLY].[LYSalesCostUSD].[All]" dimensionUniqueName="[SalesLY]" displayFolder="" count="0" unbalanced="0" hidden="1"/>
    <cacheHierarchy uniqueName="[SalesLY].[LYSalesCostVATLC]" caption="LYSalesCostVATLC" attribute="1" defaultMemberUniqueName="[SalesLY].[LYSalesCostVATLC].[All]" allUniqueName="[SalesLY].[LYSalesCostVATLC].[All]" dimensionUniqueName="[SalesLY]" displayFolder="" count="0" unbalanced="0" hidden="1"/>
    <cacheHierarchy uniqueName="[SalesLY].[LYSalesCostVATTRY]" caption="LYSalesCostVATTRY" attribute="1" defaultMemberUniqueName="[SalesLY].[LYSalesCostVATTRY].[All]" allUniqueName="[SalesLY].[LYSalesCostVATTRY].[All]" dimensionUniqueName="[SalesLY]" displayFolder="" count="0" unbalanced="0" hidden="1"/>
    <cacheHierarchy uniqueName="[SalesLY].[LYSalesCostVATUSD]" caption="LYSalesCostVATUSD" attribute="1" defaultMemberUniqueName="[SalesLY].[LYSalesCostVATUSD].[All]" allUniqueName="[SalesLY].[LYSalesCostVATUSD].[All]" dimensionUniqueName="[SalesLY]" displayFolder="" count="0" unbalanced="0" hidden="1"/>
    <cacheHierarchy uniqueName="[SalesLY].[LYSalesDiscountValueLC]" caption="LYSalesDiscountValueLC" attribute="1" defaultMemberUniqueName="[SalesLY].[LYSalesDiscountValueLC].[All]" allUniqueName="[SalesLY].[LYSalesDiscountValueLC].[All]" dimensionUniqueName="[SalesLY]" displayFolder="" count="0" unbalanced="0" hidden="1"/>
    <cacheHierarchy uniqueName="[SalesLY].[LYSalesDiscountValueTRY]" caption="LYSalesDiscountValueTRY" attribute="1" defaultMemberUniqueName="[SalesLY].[LYSalesDiscountValueTRY].[All]" allUniqueName="[SalesLY].[LYSalesDiscountValueTRY].[All]" dimensionUniqueName="[SalesLY]" displayFolder="" count="0" unbalanced="0" hidden="1"/>
    <cacheHierarchy uniqueName="[SalesLY].[LYSalesDiscountValueUSD]" caption="LYSalesDiscountValueUSD" attribute="1" defaultMemberUniqueName="[SalesLY].[LYSalesDiscountValueUSD].[All]" allUniqueName="[SalesLY].[LYSalesDiscountValueUSD].[All]" dimensionUniqueName="[SalesLY]" displayFolder="" count="0" unbalanced="0" hidden="1"/>
    <cacheHierarchy uniqueName="[SalesLY].[LYSalesDiscountValueVATLC]" caption="LYSalesDiscountValueVATLC" attribute="1" defaultMemberUniqueName="[SalesLY].[LYSalesDiscountValueVATLC].[All]" allUniqueName="[SalesLY].[LYSalesDiscountValueVATLC].[All]" dimensionUniqueName="[SalesLY]" displayFolder="" count="0" unbalanced="0" hidden="1"/>
    <cacheHierarchy uniqueName="[SalesLY].[LYSalesDiscountValueVATTRY]" caption="LYSalesDiscountValueVATTRY" attribute="1" defaultMemberUniqueName="[SalesLY].[LYSalesDiscountValueVATTRY].[All]" allUniqueName="[SalesLY].[LYSalesDiscountValueVATTRY].[All]" dimensionUniqueName="[SalesLY]" displayFolder="" count="0" unbalanced="0" hidden="1"/>
    <cacheHierarchy uniqueName="[SalesLY].[LYSalesDiscountValueVATUSD]" caption="LYSalesDiscountValueVATUSD" attribute="1" defaultMemberUniqueName="[SalesLY].[LYSalesDiscountValueVATUSD].[All]" allUniqueName="[SalesLY].[LYSalesDiscountValueVATUSD].[All]" dimensionUniqueName="[SalesLY]" displayFolder="" count="0" unbalanced="0" hidden="1"/>
    <cacheHierarchy uniqueName="[SalesLY].[LYSalesGrossProfitLC]" caption="LYSalesGrossProfitLC" attribute="1" defaultMemberUniqueName="[SalesLY].[LYSalesGrossProfitLC].[All]" allUniqueName="[SalesLY].[LYSalesGrossProfitLC].[All]" dimensionUniqueName="[SalesLY]" displayFolder="" count="0" unbalanced="0" hidden="1"/>
    <cacheHierarchy uniqueName="[SalesLY].[LYSalesGrossProfitTRY]" caption="LYSalesGrossProfitTRY" attribute="1" defaultMemberUniqueName="[SalesLY].[LYSalesGrossProfitTRY].[All]" allUniqueName="[SalesLY].[LYSalesGrossProfitTRY].[All]" dimensionUniqueName="[SalesLY]" displayFolder="" count="0" unbalanced="0" hidden="1"/>
    <cacheHierarchy uniqueName="[SalesLY].[LYSalesGrossProfitUSD]" caption="LYSalesGrossProfitUSD" attribute="1" defaultMemberUniqueName="[SalesLY].[LYSalesGrossProfitUSD].[All]" allUniqueName="[SalesLY].[LYSalesGrossProfitUSD].[All]" dimensionUniqueName="[SalesLY]" displayFolder="" count="0" unbalanced="0" hidden="1"/>
    <cacheHierarchy uniqueName="[SalesLY].[LYSalesGrossProfitVATLC]" caption="LYSalesGrossProfitVATLC" attribute="1" defaultMemberUniqueName="[SalesLY].[LYSalesGrossProfitVATLC].[All]" allUniqueName="[SalesLY].[LYSalesGrossProfitVATLC].[All]" dimensionUniqueName="[SalesLY]" displayFolder="" count="0" unbalanced="0" hidden="1"/>
    <cacheHierarchy uniqueName="[SalesLY].[LYSalesGrossProfitVATTRY]" caption="LYSalesGrossProfitVATTRY" attribute="1" defaultMemberUniqueName="[SalesLY].[LYSalesGrossProfitVATTRY].[All]" allUniqueName="[SalesLY].[LYSalesGrossProfitVATTRY].[All]" dimensionUniqueName="[SalesLY]" displayFolder="" count="0" unbalanced="0" hidden="1"/>
    <cacheHierarchy uniqueName="[SalesLY].[LYSalesGrossProfitVATUSD]" caption="LYSalesGrossProfitVATUSD" attribute="1" defaultMemberUniqueName="[SalesLY].[LYSalesGrossProfitVATUSD].[All]" allUniqueName="[SalesLY].[LYSalesGrossProfitVATUSD].[All]" dimensionUniqueName="[SalesLY]" displayFolder="" count="0" unbalanced="0" hidden="1"/>
    <cacheHierarchy uniqueName="[SalesLY].[LYSalesUnit]" caption="LYSalesUnit" attribute="1" defaultMemberUniqueName="[SalesLY].[LYSalesUnit].[All]" allUniqueName="[SalesLY].[LYSalesUnit].[All]" dimensionUniqueName="[SalesLY]" displayFolder="" count="0" unbalanced="0" hidden="1"/>
    <cacheHierarchy uniqueName="[SalesLY].[LYSalesValueCSPLC]" caption="LYSalesValueCSPLC" attribute="1" defaultMemberUniqueName="[SalesLY].[LYSalesValueCSPLC].[All]" allUniqueName="[SalesLY].[LYSalesValueCSPLC].[All]" dimensionUniqueName="[SalesLY]" displayFolder="" count="0" unbalanced="0" hidden="1"/>
    <cacheHierarchy uniqueName="[SalesLY].[LYSalesValueCSPTRY]" caption="LYSalesValueCSPTRY" attribute="1" defaultMemberUniqueName="[SalesLY].[LYSalesValueCSPTRY].[All]" allUniqueName="[SalesLY].[LYSalesValueCSPTRY].[All]" dimensionUniqueName="[SalesLY]" displayFolder="" count="0" unbalanced="0" hidden="1"/>
    <cacheHierarchy uniqueName="[SalesLY].[LYSalesValueCSPUSD]" caption="LYSalesValueCSPUSD" attribute="1" defaultMemberUniqueName="[SalesLY].[LYSalesValueCSPUSD].[All]" allUniqueName="[SalesLY].[LYSalesValueCSPUSD].[All]" dimensionUniqueName="[SalesLY]" displayFolder="" count="0" unbalanced="0" hidden="1"/>
    <cacheHierarchy uniqueName="[SalesLY].[LYSalesValueISPLC]" caption="LYSalesValueISPLC" attribute="1" defaultMemberUniqueName="[SalesLY].[LYSalesValueISPLC].[All]" allUniqueName="[SalesLY].[LYSalesValueISPLC].[All]" dimensionUniqueName="[SalesLY]" displayFolder="" count="0" unbalanced="0" hidden="1"/>
    <cacheHierarchy uniqueName="[SalesLY].[LYSalesValueISPTRY]" caption="LYSalesValueISPTRY" attribute="1" defaultMemberUniqueName="[SalesLY].[LYSalesValueISPTRY].[All]" allUniqueName="[SalesLY].[LYSalesValueISPTRY].[All]" dimensionUniqueName="[SalesLY]" displayFolder="" count="0" unbalanced="0" hidden="1"/>
    <cacheHierarchy uniqueName="[SalesLY].[LYSalesValueISPUSD]" caption="LYSalesValueISPUSD" attribute="1" defaultMemberUniqueName="[SalesLY].[LYSalesValueISPUSD].[All]" allUniqueName="[SalesLY].[LYSalesValueISPUSD].[All]" dimensionUniqueName="[SalesLY]" displayFolder="" count="0" unbalanced="0" hidden="1"/>
    <cacheHierarchy uniqueName="[SalesLY].[LYSalesValueLC]" caption="LYSalesValueLC" attribute="1" defaultMemberUniqueName="[SalesLY].[LYSalesValueLC].[All]" allUniqueName="[SalesLY].[LYSalesValueLC].[All]" dimensionUniqueName="[SalesLY]" displayFolder="" count="0" unbalanced="0" hidden="1"/>
    <cacheHierarchy uniqueName="[SalesLY].[LYSalesValueTRY]" caption="LYSalesValueTRY" attribute="1" defaultMemberUniqueName="[SalesLY].[LYSalesValueTRY].[All]" allUniqueName="[SalesLY].[LYSalesValueTRY].[All]" dimensionUniqueName="[SalesLY]" displayFolder="" count="0" unbalanced="0" hidden="1"/>
    <cacheHierarchy uniqueName="[SalesLY].[LYSalesValueUSD]" caption="LYSalesValueUSD" attribute="1" defaultMemberUniqueName="[SalesLY].[LYSalesValueUSD].[All]" allUniqueName="[SalesLY].[LYSalesValueUSD].[All]" dimensionUniqueName="[SalesLY]" displayFolder="" count="0" unbalanced="0" hidden="1"/>
    <cacheHierarchy uniqueName="[SalesLY].[LYSalesValueVATCSPLC]" caption="LYSalesValueVATCSPLC" attribute="1" defaultMemberUniqueName="[SalesLY].[LYSalesValueVATCSPLC].[All]" allUniqueName="[SalesLY].[LYSalesValueVATCSPLC].[All]" dimensionUniqueName="[SalesLY]" displayFolder="" count="0" unbalanced="0" hidden="1"/>
    <cacheHierarchy uniqueName="[SalesLY].[LYSalesValueVATCSPTRY]" caption="LYSalesValueVATCSPTRY" attribute="1" defaultMemberUniqueName="[SalesLY].[LYSalesValueVATCSPTRY].[All]" allUniqueName="[SalesLY].[LYSalesValueVATCSPTRY].[All]" dimensionUniqueName="[SalesLY]" displayFolder="" count="0" unbalanced="0" hidden="1"/>
    <cacheHierarchy uniqueName="[SalesLY].[LYSalesValueVATCSPUSD]" caption="LYSalesValueVATCSPUSD" attribute="1" defaultMemberUniqueName="[SalesLY].[LYSalesValueVATCSPUSD].[All]" allUniqueName="[SalesLY].[LYSalesValueVATCSPUSD].[All]" dimensionUniqueName="[SalesLY]" displayFolder="" count="0" unbalanced="0" hidden="1"/>
    <cacheHierarchy uniqueName="[SalesLY].[LYSalesValueVATISPLC]" caption="LYSalesValueVATISPLC" attribute="1" defaultMemberUniqueName="[SalesLY].[LYSalesValueVATISPLC].[All]" allUniqueName="[SalesLY].[LYSalesValueVATISPLC].[All]" dimensionUniqueName="[SalesLY]" displayFolder="" count="0" unbalanced="0" hidden="1"/>
    <cacheHierarchy uniqueName="[SalesLY].[LYSalesValueVATISPTRY]" caption="LYSalesValueVATISPTRY" attribute="1" defaultMemberUniqueName="[SalesLY].[LYSalesValueVATISPTRY].[All]" allUniqueName="[SalesLY].[LYSalesValueVATISPTRY].[All]" dimensionUniqueName="[SalesLY]" displayFolder="" count="0" unbalanced="0" hidden="1"/>
    <cacheHierarchy uniqueName="[SalesLY].[LYSalesValueVATISPUSD]" caption="LYSalesValueVATISPUSD" attribute="1" defaultMemberUniqueName="[SalesLY].[LYSalesValueVATISPUSD].[All]" allUniqueName="[SalesLY].[LYSalesValueVATISPUSD].[All]" dimensionUniqueName="[SalesLY]" displayFolder="" count="0" unbalanced="0" hidden="1"/>
    <cacheHierarchy uniqueName="[SalesLY].[LYSalesValueVATLC]" caption="LYSalesValueVATLC" attribute="1" defaultMemberUniqueName="[SalesLY].[LYSalesValueVATLC].[All]" allUniqueName="[SalesLY].[LYSalesValueVATLC].[All]" dimensionUniqueName="[SalesLY]" displayFolder="" count="0" unbalanced="0" hidden="1"/>
    <cacheHierarchy uniqueName="[SalesLY].[LYSalesValueVATTRY]" caption="LYSalesValueVATTRY" attribute="1" defaultMemberUniqueName="[SalesLY].[LYSalesValueVATTRY].[All]" allUniqueName="[SalesLY].[LYSalesValueVATTRY].[All]" dimensionUniqueName="[SalesLY]" displayFolder="" count="0" unbalanced="0" hidden="1"/>
    <cacheHierarchy uniqueName="[SalesLY].[LYSalesValueVATUSD]" caption="LYSalesValueVATUSD" attribute="1" defaultMemberUniqueName="[SalesLY].[LYSalesValueVATUSD].[All]" allUniqueName="[SalesLY].[LYSalesValueVATUSD].[All]" dimensionUniqueName="[SalesLY]" displayFolder="" count="0" unbalanced="0" hidden="1"/>
    <cacheHierarchy uniqueName="[SalesLY].[MaterialKey]" caption="MaterialKey" attribute="1" defaultMemberUniqueName="[SalesLY].[MaterialKey].[All]" allUniqueName="[SalesLY].[MaterialKey].[All]" dimensionUniqueName="[SalesLY]" displayFolder="" count="0" unbalanced="0" hidden="1"/>
    <cacheHierarchy uniqueName="[SalesLY].[OutletID]" caption="OutletID" attribute="1" defaultMemberUniqueName="[SalesLY].[OutletID].[All]" allUniqueName="[SalesLY].[OutletID].[All]" dimensionUniqueName="[SalesLY]" displayFolder="" count="0" unbalanced="0" hidden="1"/>
    <cacheHierarchy uniqueName="[SalesLY].[SalesChannelKey]" caption="SalesChannelKey" attribute="1" defaultMemberUniqueName="[SalesLY].[SalesChannelKey].[All]" allUniqueName="[SalesLY].[SalesChannelKey].[All]" dimensionUniqueName="[SalesLY]" displayFolder="" count="0" unbalanced="0" hidden="1"/>
    <cacheHierarchy uniqueName="[SalesLY].[SalesHour]" caption="SalesHour" attribute="1" defaultMemberUniqueName="[SalesLY].[SalesHour].[All]" allUniqueName="[SalesLY].[SalesHour].[All]" dimensionUniqueName="[SalesLY]" displayFolder="" count="0" unbalanced="0" hidden="1"/>
    <cacheHierarchy uniqueName="[SalesLY].[SalesInvoiceItem]" caption="SalesInvoiceItem" attribute="1" defaultMemberUniqueName="[SalesLY].[SalesInvoiceItem].[All]" allUniqueName="[SalesLY].[SalesInvoiceItem].[All]" dimensionUniqueName="[SalesLY]" displayFolder="" count="0" unbalanced="0" hidden="1"/>
    <cacheHierarchy uniqueName="[SalesLY].[SalesInvoiceNumber]" caption="SalesInvoiceNumber" attribute="1" defaultMemberUniqueName="[SalesLY].[SalesInvoiceNumber].[All]" allUniqueName="[SalesLY].[SalesInvoiceNumber].[All]" dimensionUniqueName="[SalesLY]" displayFolder="" count="0" unbalanced="0" hidden="1"/>
    <cacheHierarchy uniqueName="[SalesLY].[SalesSeasonID]" caption="SalesSeasonID" attribute="1" defaultMemberUniqueName="[SalesLY].[SalesSeasonID].[All]" allUniqueName="[SalesLY].[SalesSeasonID].[All]" dimensionUniqueName="[SalesLY]" displayFolder="" count="0" unbalanced="0" hidden="1"/>
    <cacheHierarchy uniqueName="[SalesLY].[SalesType]" caption="SalesType" attribute="1" defaultMemberUniqueName="[SalesLY].[SalesType].[All]" allUniqueName="[SalesLY].[SalesType].[All]" dimensionUniqueName="[SalesLY]" displayFolder="" count="0" unbalanced="0" hidden="1"/>
    <cacheHierarchy uniqueName="[SalesLY].[SalesUOM]" caption="SalesUOM" attribute="1" defaultMemberUniqueName="[SalesLY].[SalesUOM].[All]" allUniqueName="[SalesLY].[SalesUOM].[All]" dimensionUniqueName="[SalesLY]" displayFolder="" count="0" unbalanced="0" hidden="1"/>
    <cacheHierarchy uniqueName="[SalesLY].[SubDistChannelKey]" caption="SubDistChannelKey" attribute="1" defaultMemberUniqueName="[SalesLY].[SubDistChannelKey].[All]" allUniqueName="[SalesLY].[SubDistChannelKey].[All]" dimensionUniqueName="[SalesLY]" displayFolder="" count="0" unbalanced="0" hidden="1"/>
    <cacheHierarchy uniqueName="[SalesLY].[TYDate]" caption="TYDate" attribute="1" defaultMemberUniqueName="[SalesLY].[TYDate].[All]" allUniqueName="[SalesLY].[TYDate].[All]" dimensionUniqueName="[SalesLY]" displayFolder="" count="0" unbalanced="0" hidden="1"/>
    <cacheHierarchy uniqueName="[SalesTY].[CurrentSalesPriceID]" caption="CurrentSalesPriceID" attribute="1" defaultMemberUniqueName="[SalesTY].[CurrentSalesPriceID].[All]" allUniqueName="[SalesTY].[CurrentSalesPriceID].[All]" dimensionUniqueName="[SalesTY]" displayFolder="" count="0" unbalanced="0" hidden="1"/>
    <cacheHierarchy uniqueName="[SalesTY].[CustomerCode]" caption="CustomerCode" attribute="1" defaultMemberUniqueName="[SalesTY].[CustomerCode].[All]" allUniqueName="[SalesTY].[CustomerCode].[All]" dimensionUniqueName="[SalesTY]" displayFolder="" count="0" unbalanced="0" hidden="1"/>
    <cacheHierarchy uniqueName="[SalesTY].[InitialSalesPriceID]" caption="InitialSalesPriceID" attribute="1" defaultMemberUniqueName="[SalesTY].[InitialSalesPriceID].[All]" allUniqueName="[SalesTY].[InitialSalesPriceID].[All]" dimensionUniqueName="[SalesTY]" displayFolder="" count="0" unbalanced="0" hidden="1"/>
    <cacheHierarchy uniqueName="[SalesTY].[LFLFactor]" caption="LFLFactor" attribute="1" defaultMemberUniqueName="[SalesTY].[LFLFactor].[All]" allUniqueName="[SalesTY].[LFLFactor].[All]" dimensionUniqueName="[SalesTY]" displayFolder="" count="0" unbalanced="0" hidden="1"/>
    <cacheHierarchy uniqueName="[SalesTY].[LocationKey]" caption="LocationKey" attribute="1" defaultMemberUniqueName="[SalesTY].[LocationKey].[All]" allUniqueName="[SalesTY].[LocationKey].[All]" dimensionUniqueName="[SalesTY]" displayFolder="" count="0" unbalanced="0" hidden="1"/>
    <cacheHierarchy uniqueName="[SalesTY].[MaterialKey]" caption="MaterialKey" attribute="1" defaultMemberUniqueName="[SalesTY].[MaterialKey].[All]" allUniqueName="[SalesTY].[MaterialKey].[All]" dimensionUniqueName="[SalesTY]" displayFolder="" count="0" unbalanced="0" hidden="1"/>
    <cacheHierarchy uniqueName="[SalesTY].[OutletID]" caption="OutletID" attribute="1" defaultMemberUniqueName="[SalesTY].[OutletID].[All]" allUniqueName="[SalesTY].[OutletID].[All]" dimensionUniqueName="[SalesTY]" displayFolder="" count="0" unbalanced="0" hidden="1"/>
    <cacheHierarchy uniqueName="[SalesTY].[SalesChannelKey]" caption="SalesChannelKey" attribute="1" defaultMemberUniqueName="[SalesTY].[SalesChannelKey].[All]" allUniqueName="[SalesTY].[SalesChannelKey].[All]" dimensionUniqueName="[SalesTY]" displayFolder="" count="0" unbalanced="0" hidden="1"/>
    <cacheHierarchy uniqueName="[SalesTY].[SalesDate]" caption="SalesDate" attribute="1" defaultMemberUniqueName="[SalesTY].[SalesDate].[All]" allUniqueName="[SalesTY].[SalesDate].[All]" dimensionUniqueName="[SalesTY]" displayFolder="" count="0" unbalanced="0" hidden="1"/>
    <cacheHierarchy uniqueName="[SalesTY].[SalesHour]" caption="SalesHour" attribute="1" defaultMemberUniqueName="[SalesTY].[SalesHour].[All]" allUniqueName="[SalesTY].[SalesHour].[All]" dimensionUniqueName="[SalesTY]" displayFolder="" count="0" unbalanced="0" hidden="1"/>
    <cacheHierarchy uniqueName="[SalesTY].[SalesInvoiceItem]" caption="SalesInvoiceItem" attribute="1" defaultMemberUniqueName="[SalesTY].[SalesInvoiceItem].[All]" allUniqueName="[SalesTY].[SalesInvoiceItem].[All]" dimensionUniqueName="[SalesTY]" displayFolder="" count="0" unbalanced="0" hidden="1"/>
    <cacheHierarchy uniqueName="[SalesTY].[SalesInvoiceNumber]" caption="SalesInvoiceNumber" attribute="1" defaultMemberUniqueName="[SalesTY].[SalesInvoiceNumber].[All]" allUniqueName="[SalesTY].[SalesInvoiceNumber].[All]" dimensionUniqueName="[SalesTY]" displayFolder="" count="0" unbalanced="0" hidden="1"/>
    <cacheHierarchy uniqueName="[SalesTY].[SalesSeasonID]" caption="SalesSeasonID" attribute="1" defaultMemberUniqueName="[SalesTY].[SalesSeasonID].[All]" allUniqueName="[SalesTY].[SalesSeasonID].[All]" dimensionUniqueName="[SalesTY]" displayFolder="" count="0" unbalanced="0" hidden="1"/>
    <cacheHierarchy uniqueName="[SalesTY].[SalesType]" caption="SalesType" attribute="1" defaultMemberUniqueName="[SalesTY].[SalesType].[All]" allUniqueName="[SalesTY].[SalesType].[All]" dimensionUniqueName="[SalesTY]" displayFolder="" count="0" unbalanced="0" hidden="1"/>
    <cacheHierarchy uniqueName="[SalesTY].[SalesUOM]" caption="SalesUOM" attribute="1" defaultMemberUniqueName="[SalesTY].[SalesUOM].[All]" allUniqueName="[SalesTY].[SalesUOM].[All]" dimensionUniqueName="[SalesTY]" displayFolder="" count="0" unbalanced="0" hidden="1"/>
    <cacheHierarchy uniqueName="[SalesTY].[SubDistChannelKey]" caption="SubDistChannelKey" attribute="1" defaultMemberUniqueName="[SalesTY].[SubDistChannelKey].[All]" allUniqueName="[SalesTY].[SubDistChannelKey].[All]" dimensionUniqueName="[SalesTY]" displayFolder="" count="0" unbalanced="0" hidden="1"/>
    <cacheHierarchy uniqueName="[SalesTY].[TYSalesCostLC]" caption="TYSalesCostLC" attribute="1" defaultMemberUniqueName="[SalesTY].[TYSalesCostLC].[All]" allUniqueName="[SalesTY].[TYSalesCostLC].[All]" dimensionUniqueName="[SalesTY]" displayFolder="" count="0" unbalanced="0" hidden="1"/>
    <cacheHierarchy uniqueName="[SalesTY].[TYSalesCostLC_Orj]" caption="TYSalesCostLC_Orj" attribute="1" defaultMemberUniqueName="[SalesTY].[TYSalesCostLC_Orj].[All]" allUniqueName="[SalesTY].[TYSalesCostLC_Orj].[All]" dimensionUniqueName="[SalesTY]" displayFolder="" count="0" unbalanced="0" hidden="1"/>
    <cacheHierarchy uniqueName="[SalesTY].[TYSalesCostTRY]" caption="TYSalesCostTRY" attribute="1" defaultMemberUniqueName="[SalesTY].[TYSalesCostTRY].[All]" allUniqueName="[SalesTY].[TYSalesCostTRY].[All]" dimensionUniqueName="[SalesTY]" displayFolder="" count="0" unbalanced="0" hidden="1"/>
    <cacheHierarchy uniqueName="[SalesTY].[TYSalesCostUSD]" caption="TYSalesCostUSD" attribute="1" defaultMemberUniqueName="[SalesTY].[TYSalesCostUSD].[All]" allUniqueName="[SalesTY].[TYSalesCostUSD].[All]" dimensionUniqueName="[SalesTY]" displayFolder="" count="0" unbalanced="0" hidden="1"/>
    <cacheHierarchy uniqueName="[SalesTY].[TYSalesCostVATLC]" caption="TYSalesCostVATLC" attribute="1" defaultMemberUniqueName="[SalesTY].[TYSalesCostVATLC].[All]" allUniqueName="[SalesTY].[TYSalesCostVATLC].[All]" dimensionUniqueName="[SalesTY]" displayFolder="" count="0" unbalanced="0" hidden="1"/>
    <cacheHierarchy uniqueName="[SalesTY].[TYSalesCostVATTRY]" caption="TYSalesCostVATTRY" attribute="1" defaultMemberUniqueName="[SalesTY].[TYSalesCostVATTRY].[All]" allUniqueName="[SalesTY].[TYSalesCostVATTRY].[All]" dimensionUniqueName="[SalesTY]" displayFolder="" count="0" unbalanced="0" hidden="1"/>
    <cacheHierarchy uniqueName="[SalesTY].[TYSalesCostVATUSD]" caption="TYSalesCostVATUSD" attribute="1" defaultMemberUniqueName="[SalesTY].[TYSalesCostVATUSD].[All]" allUniqueName="[SalesTY].[TYSalesCostVATUSD].[All]" dimensionUniqueName="[SalesTY]" displayFolder="" count="0" unbalanced="0" hidden="1"/>
    <cacheHierarchy uniqueName="[SalesTY].[TYSalesDiscountValueLC]" caption="TYSalesDiscountValueLC" attribute="1" defaultMemberUniqueName="[SalesTY].[TYSalesDiscountValueLC].[All]" allUniqueName="[SalesTY].[TYSalesDiscountValueLC].[All]" dimensionUniqueName="[SalesTY]" displayFolder="" count="0" unbalanced="0" hidden="1"/>
    <cacheHierarchy uniqueName="[SalesTY].[TYSalesDiscountValueTRY]" caption="TYSalesDiscountValueTRY" attribute="1" defaultMemberUniqueName="[SalesTY].[TYSalesDiscountValueTRY].[All]" allUniqueName="[SalesTY].[TYSalesDiscountValueTRY].[All]" dimensionUniqueName="[SalesTY]" displayFolder="" count="0" unbalanced="0" hidden="1"/>
    <cacheHierarchy uniqueName="[SalesTY].[TYSalesDiscountValueUSD]" caption="TYSalesDiscountValueUSD" attribute="1" defaultMemberUniqueName="[SalesTY].[TYSalesDiscountValueUSD].[All]" allUniqueName="[SalesTY].[TYSalesDiscountValueUSD].[All]" dimensionUniqueName="[SalesTY]" displayFolder="" count="0" unbalanced="0" hidden="1"/>
    <cacheHierarchy uniqueName="[SalesTY].[TYSalesDiscountValueVATLC]" caption="TYSalesDiscountValueVATLC" attribute="1" defaultMemberUniqueName="[SalesTY].[TYSalesDiscountValueVATLC].[All]" allUniqueName="[SalesTY].[TYSalesDiscountValueVATLC].[All]" dimensionUniqueName="[SalesTY]" displayFolder="" count="0" unbalanced="0" hidden="1"/>
    <cacheHierarchy uniqueName="[SalesTY].[TYSalesDiscountValueVATTRY]" caption="TYSalesDiscountValueVATTRY" attribute="1" defaultMemberUniqueName="[SalesTY].[TYSalesDiscountValueVATTRY].[All]" allUniqueName="[SalesTY].[TYSalesDiscountValueVATTRY].[All]" dimensionUniqueName="[SalesTY]" displayFolder="" count="0" unbalanced="0" hidden="1"/>
    <cacheHierarchy uniqueName="[SalesTY].[TYSalesDiscountValueVATUSD]" caption="TYSalesDiscountValueVATUSD" attribute="1" defaultMemberUniqueName="[SalesTY].[TYSalesDiscountValueVATUSD].[All]" allUniqueName="[SalesTY].[TYSalesDiscountValueVATUSD].[All]" dimensionUniqueName="[SalesTY]" displayFolder="" count="0" unbalanced="0" hidden="1"/>
    <cacheHierarchy uniqueName="[SalesTY].[TYSalesGrossProfitLC]" caption="TYSalesGrossProfitLC" attribute="1" defaultMemberUniqueName="[SalesTY].[TYSalesGrossProfitLC].[All]" allUniqueName="[SalesTY].[TYSalesGrossProfitLC].[All]" dimensionUniqueName="[SalesTY]" displayFolder="" count="0" unbalanced="0" hidden="1"/>
    <cacheHierarchy uniqueName="[SalesTY].[TYSalesGrossProfitTRY]" caption="TYSalesGrossProfitTRY" attribute="1" defaultMemberUniqueName="[SalesTY].[TYSalesGrossProfitTRY].[All]" allUniqueName="[SalesTY].[TYSalesGrossProfitTRY].[All]" dimensionUniqueName="[SalesTY]" displayFolder="" count="0" unbalanced="0" hidden="1"/>
    <cacheHierarchy uniqueName="[SalesTY].[TYSalesGrossProfitUSD]" caption="TYSalesGrossProfitUSD" attribute="1" defaultMemberUniqueName="[SalesTY].[TYSalesGrossProfitUSD].[All]" allUniqueName="[SalesTY].[TYSalesGrossProfitUSD].[All]" dimensionUniqueName="[SalesTY]" displayFolder="" count="0" unbalanced="0" hidden="1"/>
    <cacheHierarchy uniqueName="[SalesTY].[TYSalesGrossProfitVATLC]" caption="TYSalesGrossProfitVATLC" attribute="1" defaultMemberUniqueName="[SalesTY].[TYSalesGrossProfitVATLC].[All]" allUniqueName="[SalesTY].[TYSalesGrossProfitVATLC].[All]" dimensionUniqueName="[SalesTY]" displayFolder="" count="0" unbalanced="0" hidden="1"/>
    <cacheHierarchy uniqueName="[SalesTY].[TYSalesGrossProfitVATTRY]" caption="TYSalesGrossProfitVATTRY" attribute="1" defaultMemberUniqueName="[SalesTY].[TYSalesGrossProfitVATTRY].[All]" allUniqueName="[SalesTY].[TYSalesGrossProfitVATTRY].[All]" dimensionUniqueName="[SalesTY]" displayFolder="" count="0" unbalanced="0" hidden="1"/>
    <cacheHierarchy uniqueName="[SalesTY].[TYSalesGrossProfitVATUSD]" caption="TYSalesGrossProfitVATUSD" attribute="1" defaultMemberUniqueName="[SalesTY].[TYSalesGrossProfitVATUSD].[All]" allUniqueName="[SalesTY].[TYSalesGrossProfitVATUSD].[All]" dimensionUniqueName="[SalesTY]" displayFolder="" count="0" unbalanced="0" hidden="1"/>
    <cacheHierarchy uniqueName="[SalesTY].[TYSalesUnit]" caption="TYSalesUnit" attribute="1" defaultMemberUniqueName="[SalesTY].[TYSalesUnit].[All]" allUniqueName="[SalesTY].[TYSalesUnit].[All]" dimensionUniqueName="[SalesTY]" displayFolder="" count="0" unbalanced="0" hidden="1"/>
    <cacheHierarchy uniqueName="[SalesTY].[TYSalesValueCSPLC]" caption="TYSalesValueCSPLC" attribute="1" defaultMemberUniqueName="[SalesTY].[TYSalesValueCSPLC].[All]" allUniqueName="[SalesTY].[TYSalesValueCSPLC].[All]" dimensionUniqueName="[SalesTY]" displayFolder="" count="0" unbalanced="0" hidden="1"/>
    <cacheHierarchy uniqueName="[SalesTY].[TYSalesValueCSPTRY]" caption="TYSalesValueCSPTRY" attribute="1" defaultMemberUniqueName="[SalesTY].[TYSalesValueCSPTRY].[All]" allUniqueName="[SalesTY].[TYSalesValueCSPTRY].[All]" dimensionUniqueName="[SalesTY]" displayFolder="" count="0" unbalanced="0" hidden="1"/>
    <cacheHierarchy uniqueName="[SalesTY].[TYSalesValueCSPUSD]" caption="TYSalesValueCSPUSD" attribute="1" defaultMemberUniqueName="[SalesTY].[TYSalesValueCSPUSD].[All]" allUniqueName="[SalesTY].[TYSalesValueCSPUSD].[All]" dimensionUniqueName="[SalesTY]" displayFolder="" count="0" unbalanced="0" hidden="1"/>
    <cacheHierarchy uniqueName="[SalesTY].[TYSalesValueISPLC]" caption="TYSalesValueISPLC" attribute="1" defaultMemberUniqueName="[SalesTY].[TYSalesValueISPLC].[All]" allUniqueName="[SalesTY].[TYSalesValueISPLC].[All]" dimensionUniqueName="[SalesTY]" displayFolder="" count="0" unbalanced="0" hidden="1"/>
    <cacheHierarchy uniqueName="[SalesTY].[TYSalesValueISPTRY]" caption="TYSalesValueISPTRY" attribute="1" defaultMemberUniqueName="[SalesTY].[TYSalesValueISPTRY].[All]" allUniqueName="[SalesTY].[TYSalesValueISPTRY].[All]" dimensionUniqueName="[SalesTY]" displayFolder="" count="0" unbalanced="0" hidden="1"/>
    <cacheHierarchy uniqueName="[SalesTY].[TYSalesValueISPUSD]" caption="TYSalesValueISPUSD" attribute="1" defaultMemberUniqueName="[SalesTY].[TYSalesValueISPUSD].[All]" allUniqueName="[SalesTY].[TYSalesValueISPUSD].[All]" dimensionUniqueName="[SalesTY]" displayFolder="" count="0" unbalanced="0" hidden="1"/>
    <cacheHierarchy uniqueName="[SalesTY].[TYSalesValueLC]" caption="TYSalesValueLC" attribute="1" defaultMemberUniqueName="[SalesTY].[TYSalesValueLC].[All]" allUniqueName="[SalesTY].[TYSalesValueLC].[All]" dimensionUniqueName="[SalesTY]" displayFolder="" count="0" unbalanced="0" hidden="1"/>
    <cacheHierarchy uniqueName="[SalesTY].[TYSalesValueTRY]" caption="TYSalesValueTRY" attribute="1" defaultMemberUniqueName="[SalesTY].[TYSalesValueTRY].[All]" allUniqueName="[SalesTY].[TYSalesValueTRY].[All]" dimensionUniqueName="[SalesTY]" displayFolder="" count="0" unbalanced="0" hidden="1"/>
    <cacheHierarchy uniqueName="[SalesTY].[TYSalesValueUSD]" caption="TYSalesValueUSD" attribute="1" defaultMemberUniqueName="[SalesTY].[TYSalesValueUSD].[All]" allUniqueName="[SalesTY].[TYSalesValueUSD].[All]" dimensionUniqueName="[SalesTY]" displayFolder="" count="0" unbalanced="0" hidden="1"/>
    <cacheHierarchy uniqueName="[SalesTY].[TYSalesValueVATCSPLC]" caption="TYSalesValueVATCSPLC" attribute="1" defaultMemberUniqueName="[SalesTY].[TYSalesValueVATCSPLC].[All]" allUniqueName="[SalesTY].[TYSalesValueVATCSPLC].[All]" dimensionUniqueName="[SalesTY]" displayFolder="" count="0" unbalanced="0" hidden="1"/>
    <cacheHierarchy uniqueName="[SalesTY].[TYSalesValueVATCSPTRY]" caption="TYSalesValueVATCSPTRY" attribute="1" defaultMemberUniqueName="[SalesTY].[TYSalesValueVATCSPTRY].[All]" allUniqueName="[SalesTY].[TYSalesValueVATCSPTRY].[All]" dimensionUniqueName="[SalesTY]" displayFolder="" count="0" unbalanced="0" hidden="1"/>
    <cacheHierarchy uniqueName="[SalesTY].[TYSalesValueVATCSPUSD]" caption="TYSalesValueVATCSPUSD" attribute="1" defaultMemberUniqueName="[SalesTY].[TYSalesValueVATCSPUSD].[All]" allUniqueName="[SalesTY].[TYSalesValueVATCSPUSD].[All]" dimensionUniqueName="[SalesTY]" displayFolder="" count="0" unbalanced="0" hidden="1"/>
    <cacheHierarchy uniqueName="[SalesTY].[TYSalesValueVATISPLC]" caption="TYSalesValueVATISPLC" attribute="1" defaultMemberUniqueName="[SalesTY].[TYSalesValueVATISPLC].[All]" allUniqueName="[SalesTY].[TYSalesValueVATISPLC].[All]" dimensionUniqueName="[SalesTY]" displayFolder="" count="0" unbalanced="0" hidden="1"/>
    <cacheHierarchy uniqueName="[SalesTY].[TYSalesValueVATISPTRY]" caption="TYSalesValueVATISPTRY" attribute="1" defaultMemberUniqueName="[SalesTY].[TYSalesValueVATISPTRY].[All]" allUniqueName="[SalesTY].[TYSalesValueVATISPTRY].[All]" dimensionUniqueName="[SalesTY]" displayFolder="" count="0" unbalanced="0" hidden="1"/>
    <cacheHierarchy uniqueName="[SalesTY].[TYSalesValueVATISPUSD]" caption="TYSalesValueVATISPUSD" attribute="1" defaultMemberUniqueName="[SalesTY].[TYSalesValueVATISPUSD].[All]" allUniqueName="[SalesTY].[TYSalesValueVATISPUSD].[All]" dimensionUniqueName="[SalesTY]" displayFolder="" count="0" unbalanced="0" hidden="1"/>
    <cacheHierarchy uniqueName="[SalesTY].[TYSalesValueVATLC]" caption="TYSalesValueVATLC" attribute="1" defaultMemberUniqueName="[SalesTY].[TYSalesValueVATLC].[All]" allUniqueName="[SalesTY].[TYSalesValueVATLC].[All]" dimensionUniqueName="[SalesTY]" displayFolder="" count="0" unbalanced="0" hidden="1"/>
    <cacheHierarchy uniqueName="[SalesTY].[TYSalesValueVATTRY]" caption="TYSalesValueVATTRY" attribute="1" defaultMemberUniqueName="[SalesTY].[TYSalesValueVATTRY].[All]" allUniqueName="[SalesTY].[TYSalesValueVATTRY].[All]" dimensionUniqueName="[SalesTY]" displayFolder="" count="0" unbalanced="0" hidden="1"/>
    <cacheHierarchy uniqueName="[SalesTY].[TYSalesValueVATUSD]" caption="TYSalesValueVATUSD" attribute="1" defaultMemberUniqueName="[SalesTY].[TYSalesValueVATUSD].[All]" allUniqueName="[SalesTY].[TYSalesValueVATUSD].[All]" dimensionUniqueName="[SalesTY]" displayFolder="" count="0" unbalanced="0" hidden="1"/>
    <cacheHierarchy uniqueName="[StockDC].[CompanyUnitCost]" caption="CompanyUnitCost" attribute="1" defaultMemberUniqueName="[StockDC].[CompanyUnitCost].[All]" allUniqueName="[StockDC].[CompanyUnitCost].[All]" dimensionUniqueName="[StockDC]" displayFolder="" count="0" unbalanced="0" hidden="1"/>
    <cacheHierarchy uniqueName="[StockDC].[EURExcRate]" caption="EURExcRate" attribute="1" defaultMemberUniqueName="[StockDC].[EURExcRate].[All]" allUniqueName="[StockDC].[EURExcRate].[All]" dimensionUniqueName="[StockDC]" displayFolder="" count="0" unbalanced="0" hidden="1"/>
    <cacheHierarchy uniqueName="[StockDC].[InitialSalesPriceID]" caption="InitialSalesPriceID" attribute="1" defaultMemberUniqueName="[StockDC].[InitialSalesPriceID].[All]" allUniqueName="[StockDC].[InitialSalesPriceID].[All]" dimensionUniqueName="[StockDC]" displayFolder="" count="0" unbalanced="0" hidden="1"/>
    <cacheHierarchy uniqueName="[StockDC].[LCExcRate]" caption="LCExcRate" attribute="1" defaultMemberUniqueName="[StockDC].[LCExcRate].[All]" allUniqueName="[StockDC].[LCExcRate].[All]" dimensionUniqueName="[StockDC]" displayFolder="" count="0" unbalanced="0" hidden="1"/>
    <cacheHierarchy uniqueName="[StockDC].[LFLFactor]" caption="LFLFactor" attribute="1" defaultMemberUniqueName="[StockDC].[LFLFactor].[All]" allUniqueName="[StockDC].[LFLFactor].[All]" dimensionUniqueName="[StockDC]" displayFolder="" count="0" unbalanced="0" hidden="1"/>
    <cacheHierarchy uniqueName="[StockDC].[MaterialKey]" caption="MaterialKey" attribute="1" defaultMemberUniqueName="[StockDC].[MaterialKey].[All]" allUniqueName="[StockDC].[MaterialKey].[All]" dimensionUniqueName="[StockDC]" displayFolder="" count="0" unbalanced="0" hidden="1"/>
    <cacheHierarchy uniqueName="[StockDC].[OutletID]" caption="OutletID" attribute="1" defaultMemberUniqueName="[StockDC].[OutletID].[All]" allUniqueName="[StockDC].[OutletID].[All]" dimensionUniqueName="[StockDC]" displayFolder="" count="0" unbalanced="0" hidden="1"/>
    <cacheHierarchy uniqueName="[StockDC].[SalesChannelKey]" caption="SalesChannelKey" attribute="1" defaultMemberUniqueName="[StockDC].[SalesChannelKey].[All]" allUniqueName="[StockDC].[SalesChannelKey].[All]" dimensionUniqueName="[StockDC]" displayFolder="" count="0" unbalanced="0" hidden="1"/>
    <cacheHierarchy uniqueName="[StockDC].[SalesSeasonID]" caption="SalesSeasonID" attribute="1" defaultMemberUniqueName="[StockDC].[SalesSeasonID].[All]" allUniqueName="[StockDC].[SalesSeasonID].[All]" dimensionUniqueName="[StockDC]" displayFolder="" count="0" unbalanced="0" hidden="1"/>
    <cacheHierarchy uniqueName="[StockDC].[StockDate]" caption="StockDate" attribute="1" defaultMemberUniqueName="[StockDC].[StockDate].[All]" allUniqueName="[StockDC].[StockDate].[All]" dimensionUniqueName="[StockDC]" displayFolder="" count="0" unbalanced="0" hidden="1"/>
    <cacheHierarchy uniqueName="[StockDC].[StockUnit]" caption="StockUnit" attribute="1" defaultMemberUniqueName="[StockDC].[StockUnit].[All]" allUniqueName="[StockDC].[StockUnit].[All]" dimensionUniqueName="[StockDC]" displayFolder="" count="0" unbalanced="0" hidden="1"/>
    <cacheHierarchy uniqueName="[StockDC].[SubLocationKey]" caption="SubLocationKey" attribute="1" defaultMemberUniqueName="[StockDC].[SubLocationKey].[All]" allUniqueName="[StockDC].[SubLocationKey].[All]" dimensionUniqueName="[StockDC]" displayFolder="" count="0" unbalanced="0" hidden="1"/>
    <cacheHierarchy uniqueName="[StockDC].[TransitStockUnit]" caption="TransitStockUnit" attribute="1" defaultMemberUniqueName="[StockDC].[TransitStockUnit].[All]" allUniqueName="[StockDC].[TransitStockUnit].[All]" dimensionUniqueName="[StockDC]" displayFolder="" count="0" unbalanced="0" hidden="1"/>
    <cacheHierarchy uniqueName="[StockDC].[TRYExcRate]" caption="TRYExcRate" attribute="1" defaultMemberUniqueName="[StockDC].[TRYExcRate].[All]" allUniqueName="[StockDC].[TRYExcRate].[All]" dimensionUniqueName="[StockDC]" displayFolder="" count="0" unbalanced="0" hidden="1"/>
    <cacheHierarchy uniqueName="[StockDC].[UnitCost]" caption="UnitCost" attribute="1" defaultMemberUniqueName="[StockDC].[UnitCost].[All]" allUniqueName="[StockDC].[UnitCost].[All]" dimensionUniqueName="[StockDC]" displayFolder="" count="0" unbalanced="0" hidden="1"/>
    <cacheHierarchy uniqueName="[StockDC].[USDExcRate]" caption="USDExcRate" attribute="1" defaultMemberUniqueName="[StockDC].[USDExcRate].[All]" allUniqueName="[StockDC].[USDExcRate].[All]" dimensionUniqueName="[StockDC]" displayFolder="" count="0" unbalanced="0" hidden="1"/>
    <cacheHierarchy uniqueName="[StockDCLY].[CompanyUnitCost]" caption="CompanyUnitCost" attribute="1" defaultMemberUniqueName="[StockDCLY].[CompanyUnitCost].[All]" allUniqueName="[StockDCLY].[CompanyUnitCost].[All]" dimensionUniqueName="[StockDCLY]" displayFolder="" count="0" unbalanced="0" hidden="1"/>
    <cacheHierarchy uniqueName="[StockDCLY].[InitialSalesPriceID]" caption="InitialSalesPriceID" attribute="1" defaultMemberUniqueName="[StockDCLY].[InitialSalesPriceID].[All]" allUniqueName="[StockDCLY].[InitialSalesPriceID].[All]" dimensionUniqueName="[StockDCLY]" displayFolder="" count="0" unbalanced="0" hidden="1"/>
    <cacheHierarchy uniqueName="[StockDCLY].[MaterialKey]" caption="MaterialKey" attribute="1" defaultMemberUniqueName="[StockDCLY].[MaterialKey].[All]" allUniqueName="[StockDCLY].[MaterialKey].[All]" dimensionUniqueName="[StockDCLY]" displayFolder="" count="0" unbalanced="0" hidden="1"/>
    <cacheHierarchy uniqueName="[StockDCLY].[OutletID]" caption="OutletID" attribute="1" defaultMemberUniqueName="[StockDCLY].[OutletID].[All]" allUniqueName="[StockDCLY].[OutletID].[All]" dimensionUniqueName="[StockDCLY]" displayFolder="" count="0" unbalanced="0" hidden="1"/>
    <cacheHierarchy uniqueName="[StockDCLY].[SalesChannelKey]" caption="SalesChannelKey" attribute="1" defaultMemberUniqueName="[StockDCLY].[SalesChannelKey].[All]" allUniqueName="[StockDCLY].[SalesChannelKey].[All]" dimensionUniqueName="[StockDCLY]" displayFolder="" count="0" unbalanced="0" hidden="1"/>
    <cacheHierarchy uniqueName="[StockDCLY].[SalesSeasonID]" caption="SalesSeasonID" attribute="1" defaultMemberUniqueName="[StockDCLY].[SalesSeasonID].[All]" allUniqueName="[StockDCLY].[SalesSeasonID].[All]" dimensionUniqueName="[StockDCLY]" displayFolder="" count="0" unbalanced="0" hidden="1"/>
    <cacheHierarchy uniqueName="[StockDCLY].[StockUnit]" caption="StockUnit" attribute="1" defaultMemberUniqueName="[StockDCLY].[StockUnit].[All]" allUniqueName="[StockDCLY].[StockUnit].[All]" dimensionUniqueName="[StockDCLY]" displayFolder="" count="0" unbalanced="0" hidden="1"/>
    <cacheHierarchy uniqueName="[StockDCLY].[SubLocationKey]" caption="SubLocationKey" attribute="1" defaultMemberUniqueName="[StockDCLY].[SubLocationKey].[All]" allUniqueName="[StockDCLY].[SubLocationKey].[All]" dimensionUniqueName="[StockDCLY]" displayFolder="" count="0" unbalanced="0" hidden="1"/>
    <cacheHierarchy uniqueName="[StockDCLY].[TRYExcRate]" caption="TRYExcRate" attribute="1" defaultMemberUniqueName="[StockDCLY].[TRYExcRate].[All]" allUniqueName="[StockDCLY].[TRYExcRate].[All]" dimensionUniqueName="[StockDCLY]" displayFolder="" count="0" unbalanced="0" hidden="1"/>
    <cacheHierarchy uniqueName="[StockDCLY].[TYDate]" caption="TYDate" attribute="1" defaultMemberUniqueName="[StockDCLY].[TYDate].[All]" allUniqueName="[StockDCLY].[TYDate].[All]" dimensionUniqueName="[StockDCLY]" displayFolder="" count="0" unbalanced="0" hidden="1"/>
    <cacheHierarchy uniqueName="[StockDCLY].[UnitCost]" caption="UnitCost" attribute="1" defaultMemberUniqueName="[StockDCLY].[UnitCost].[All]" allUniqueName="[StockDCLY].[UnitCost].[All]" dimensionUniqueName="[StockDCLY]" displayFolder="" count="0" unbalanced="0" hidden="1"/>
    <cacheHierarchy uniqueName="[StockDCLY].[USDExcRate]" caption="USDExcRate" attribute="1" defaultMemberUniqueName="[StockDCLY].[USDExcRate].[All]" allUniqueName="[StockDCLY].[USDExcRate].[All]" dimensionUniqueName="[StockDCLY]" displayFolder="" count="0" unbalanced="0" hidden="1"/>
    <cacheHierarchy uniqueName="[StockStore].[CompanyUnitCost]" caption="CompanyUnitCost" attribute="1" defaultMemberUniqueName="[StockStore].[CompanyUnitCost].[All]" allUniqueName="[StockStore].[CompanyUnitCost].[All]" dimensionUniqueName="[StockStore]" displayFolder="" count="0" unbalanced="0" hidden="1"/>
    <cacheHierarchy uniqueName="[StockStore].[EURExcRate]" caption="EURExcRate" attribute="1" defaultMemberUniqueName="[StockStore].[EURExcRate].[All]" allUniqueName="[StockStore].[EURExcRate].[All]" dimensionUniqueName="[StockStore]" displayFolder="" count="0" unbalanced="0" hidden="1"/>
    <cacheHierarchy uniqueName="[StockStore].[InitialSalesPriceID]" caption="InitialSalesPriceID" attribute="1" defaultMemberUniqueName="[StockStore].[InitialSalesPriceID].[All]" allUniqueName="[StockStore].[InitialSalesPriceID].[All]" dimensionUniqueName="[StockStore]" displayFolder="" count="0" unbalanced="0" hidden="1"/>
    <cacheHierarchy uniqueName="[StockStore].[LCExcRate]" caption="LCExcRate" attribute="1" defaultMemberUniqueName="[StockStore].[LCExcRate].[All]" allUniqueName="[StockStore].[LCExcRate].[All]" dimensionUniqueName="[StockStore]" displayFolder="" count="0" unbalanced="0" hidden="1"/>
    <cacheHierarchy uniqueName="[StockStore].[LFLFactor]" caption="LFLFactor" attribute="1" defaultMemberUniqueName="[StockStore].[LFLFactor].[All]" allUniqueName="[StockStore].[LFLFactor].[All]" dimensionUniqueName="[StockStore]" displayFolder="" count="0" unbalanced="0" hidden="1"/>
    <cacheHierarchy uniqueName="[StockStore].[LocationKey]" caption="LocationKey" attribute="1" defaultMemberUniqueName="[StockStore].[LocationKey].[All]" allUniqueName="[StockStore].[LocationKey].[All]" dimensionUniqueName="[StockStore]" displayFolder="" count="0" unbalanced="0" hidden="1"/>
    <cacheHierarchy uniqueName="[StockStore].[MaterialKey]" caption="MaterialKey" attribute="1" defaultMemberUniqueName="[StockStore].[MaterialKey].[All]" allUniqueName="[StockStore].[MaterialKey].[All]" dimensionUniqueName="[StockStore]" displayFolder="" count="0" unbalanced="0" hidden="1"/>
    <cacheHierarchy uniqueName="[StockStore].[OtherStockUnit]" caption="OtherStockUnit" attribute="1" defaultMemberUniqueName="[StockStore].[OtherStockUnit].[All]" allUniqueName="[StockStore].[OtherStockUnit].[All]" dimensionUniqueName="[StockStore]" displayFolder="" count="0" unbalanced="0" hidden="1"/>
    <cacheHierarchy uniqueName="[StockStore].[OutletID]" caption="OutletID" attribute="1" defaultMemberUniqueName="[StockStore].[OutletID].[All]" allUniqueName="[StockStore].[OutletID].[All]" dimensionUniqueName="[StockStore]" displayFolder="" count="0" unbalanced="0" hidden="1"/>
    <cacheHierarchy uniqueName="[StockStore].[SalesChannelKey]" caption="SalesChannelKey" attribute="1" defaultMemberUniqueName="[StockStore].[SalesChannelKey].[All]" allUniqueName="[StockStore].[SalesChannelKey].[All]" dimensionUniqueName="[StockStore]" displayFolder="" count="0" unbalanced="0" hidden="1"/>
    <cacheHierarchy uniqueName="[StockStore].[SalesSeasonID]" caption="SalesSeasonID" attribute="1" defaultMemberUniqueName="[StockStore].[SalesSeasonID].[All]" allUniqueName="[StockStore].[SalesSeasonID].[All]" dimensionUniqueName="[StockStore]" displayFolder="" count="0" unbalanced="0" hidden="1"/>
    <cacheHierarchy uniqueName="[StockStore].[StockDate]" caption="StockDate" attribute="1" defaultMemberUniqueName="[StockStore].[StockDate].[All]" allUniqueName="[StockStore].[StockDate].[All]" dimensionUniqueName="[StockStore]" displayFolder="" count="0" unbalanced="0" hidden="1"/>
    <cacheHierarchy uniqueName="[StockStore].[StockUnit]" caption="StockUnit" attribute="1" defaultMemberUniqueName="[StockStore].[StockUnit].[All]" allUniqueName="[StockStore].[StockUnit].[All]" dimensionUniqueName="[StockStore]" displayFolder="" count="0" unbalanced="0" hidden="1"/>
    <cacheHierarchy uniqueName="[StockStore].[TransitStockUnit]" caption="TransitStockUnit" attribute="1" defaultMemberUniqueName="[StockStore].[TransitStockUnit].[All]" allUniqueName="[StockStore].[TransitStockUnit].[All]" dimensionUniqueName="[StockStore]" displayFolder="" count="0" unbalanced="0" hidden="1"/>
    <cacheHierarchy uniqueName="[StockStore].[TRYExcRate]" caption="TRYExcRate" attribute="1" defaultMemberUniqueName="[StockStore].[TRYExcRate].[All]" allUniqueName="[StockStore].[TRYExcRate].[All]" dimensionUniqueName="[StockStore]" displayFolder="" count="0" unbalanced="0" hidden="1"/>
    <cacheHierarchy uniqueName="[StockStore].[UnitCost]" caption="UnitCost" attribute="1" defaultMemberUniqueName="[StockStore].[UnitCost].[All]" allUniqueName="[StockStore].[UnitCost].[All]" dimensionUniqueName="[StockStore]" displayFolder="" count="0" unbalanced="0" hidden="1"/>
    <cacheHierarchy uniqueName="[StockStore].[USDExcRate]" caption="USDExcRate" attribute="1" defaultMemberUniqueName="[StockStore].[USDExcRate].[All]" allUniqueName="[StockStore].[USDExcRate].[All]" dimensionUniqueName="[StockStore]" displayFolder="" count="0" unbalanced="0" hidden="1"/>
    <cacheHierarchy uniqueName="[StockStoreLY].[CompanyUnitCost]" caption="CompanyUnitCost" attribute="1" defaultMemberUniqueName="[StockStoreLY].[CompanyUnitCost].[All]" allUniqueName="[StockStoreLY].[CompanyUnitCost].[All]" dimensionUniqueName="[StockStoreLY]" displayFolder="" count="0" unbalanced="0" hidden="1"/>
    <cacheHierarchy uniqueName="[StockStoreLY].[InitialSalesPriceID]" caption="InitialSalesPriceID" attribute="1" defaultMemberUniqueName="[StockStoreLY].[InitialSalesPriceID].[All]" allUniqueName="[StockStoreLY].[InitialSalesPriceID].[All]" dimensionUniqueName="[StockStoreLY]" displayFolder="" count="0" unbalanced="0" hidden="1"/>
    <cacheHierarchy uniqueName="[StockStoreLY].[LFLFactor]" caption="LFLFactor" attribute="1" defaultMemberUniqueName="[StockStoreLY].[LFLFactor].[All]" allUniqueName="[StockStoreLY].[LFLFactor].[All]" dimensionUniqueName="[StockStoreLY]" displayFolder="" count="0" unbalanced="0" hidden="1"/>
    <cacheHierarchy uniqueName="[StockStoreLY].[LocationKey]" caption="LocationKey" attribute="1" defaultMemberUniqueName="[StockStoreLY].[LocationKey].[All]" allUniqueName="[StockStoreLY].[LocationKey].[All]" dimensionUniqueName="[StockStoreLY]" displayFolder="" count="0" unbalanced="0" hidden="1"/>
    <cacheHierarchy uniqueName="[StockStoreLY].[MaterialKey]" caption="MaterialKey" attribute="1" defaultMemberUniqueName="[StockStoreLY].[MaterialKey].[All]" allUniqueName="[StockStoreLY].[MaterialKey].[All]" dimensionUniqueName="[StockStoreLY]" displayFolder="" count="0" unbalanced="0" hidden="1"/>
    <cacheHierarchy uniqueName="[StockStoreLY].[OtherStockUnit]" caption="OtherStockUnit" attribute="1" defaultMemberUniqueName="[StockStoreLY].[OtherStockUnit].[All]" allUniqueName="[StockStoreLY].[OtherStockUnit].[All]" dimensionUniqueName="[StockStoreLY]" displayFolder="" count="0" unbalanced="0" hidden="1"/>
    <cacheHierarchy uniqueName="[StockStoreLY].[OutletID]" caption="OutletID" attribute="1" defaultMemberUniqueName="[StockStoreLY].[OutletID].[All]" allUniqueName="[StockStoreLY].[OutletID].[All]" dimensionUniqueName="[StockStoreLY]" displayFolder="" count="0" unbalanced="0" hidden="1"/>
    <cacheHierarchy uniqueName="[StockStoreLY].[SalesChannelKey]" caption="SalesChannelKey" attribute="1" defaultMemberUniqueName="[StockStoreLY].[SalesChannelKey].[All]" allUniqueName="[StockStoreLY].[SalesChannelKey].[All]" dimensionUniqueName="[StockStoreLY]" displayFolder="" count="0" unbalanced="0" hidden="1"/>
    <cacheHierarchy uniqueName="[StockStoreLY].[SalesSeasonID]" caption="SalesSeasonID" attribute="1" defaultMemberUniqueName="[StockStoreLY].[SalesSeasonID].[All]" allUniqueName="[StockStoreLY].[SalesSeasonID].[All]" dimensionUniqueName="[StockStoreLY]" displayFolder="" count="0" unbalanced="0" hidden="1"/>
    <cacheHierarchy uniqueName="[StockStoreLY].[StockUnit]" caption="StockUnit" attribute="1" defaultMemberUniqueName="[StockStoreLY].[StockUnit].[All]" allUniqueName="[StockStoreLY].[StockUnit].[All]" dimensionUniqueName="[StockStoreLY]" displayFolder="" count="0" unbalanced="0" hidden="1"/>
    <cacheHierarchy uniqueName="[StockStoreLY].[TransitStockUnit]" caption="TransitStockUnit" attribute="1" defaultMemberUniqueName="[StockStoreLY].[TransitStockUnit].[All]" allUniqueName="[StockStoreLY].[TransitStockUnit].[All]" dimensionUniqueName="[StockStoreLY]" displayFolder="" count="0" unbalanced="0" hidden="1"/>
    <cacheHierarchy uniqueName="[StockStoreLY].[TRYExcRate]" caption="TRYExcRate" attribute="1" defaultMemberUniqueName="[StockStoreLY].[TRYExcRate].[All]" allUniqueName="[StockStoreLY].[TRYExcRate].[All]" dimensionUniqueName="[StockStoreLY]" displayFolder="" count="0" unbalanced="0" hidden="1"/>
    <cacheHierarchy uniqueName="[StockStoreLY].[TYDate]" caption="TYDate" attribute="1" defaultMemberUniqueName="[StockStoreLY].[TYDate].[All]" allUniqueName="[StockStoreLY].[TYDate].[All]" dimensionUniqueName="[StockStoreLY]" displayFolder="" count="0" unbalanced="0" hidden="1"/>
    <cacheHierarchy uniqueName="[StockStoreLY].[UnitCost]" caption="UnitCost" attribute="1" defaultMemberUniqueName="[StockStoreLY].[UnitCost].[All]" allUniqueName="[StockStoreLY].[UnitCost].[All]" dimensionUniqueName="[StockStoreLY]" displayFolder="" count="0" unbalanced="0" hidden="1"/>
    <cacheHierarchy uniqueName="[StockStoreLY].[USDExcRate]" caption="USDExcRate" attribute="1" defaultMemberUniqueName="[StockStoreLY].[USDExcRate].[All]" allUniqueName="[StockStoreLY].[USDExcRate].[All]" dimensionUniqueName="[StockStoreLY]" displayFolder="" count="0" unbalanced="0" hidden="1"/>
    <cacheHierarchy uniqueName="[Store].[CapacityUnit]" caption="CapacityUnit" attribute="1" defaultMemberUniqueName="[Store].[CapacityUnit].[All]" allUniqueName="[Store].[CapacityUnit].[All]" dimensionUniqueName="[Store]" displayFolder="" count="0" unbalanced="0" hidden="1"/>
    <cacheHierarchy uniqueName="[Store].[StoreSalesChannelKey]" caption="StoreSalesChannelKey" attribute="1" defaultMemberUniqueName="[Store].[StoreSalesChannelKey].[All]" allUniqueName="[Store].[StoreSalesChannelKey].[All]" dimensionUniqueName="[Store]" displayFolder="" count="0" unbalanced="0" hidden="1"/>
    <cacheHierarchy uniqueName="[StoreCapacity].[BackStoreCapacityArea]" caption="BackStoreCapacityArea" attribute="1" defaultMemberUniqueName="[StoreCapacity].[BackStoreCapacityArea].[All]" allUniqueName="[StoreCapacity].[BackStoreCapacityArea].[All]" dimensionUniqueName="[StoreCapacity]" displayFolder="" count="0" unbalanced="0" hidden="1"/>
    <cacheHierarchy uniqueName="[StoreCapacity].[BackStoreCapacitydm3]" caption="BackStoreCapacitydm3" attribute="1" defaultMemberUniqueName="[StoreCapacity].[BackStoreCapacitydm3].[All]" allUniqueName="[StoreCapacity].[BackStoreCapacitydm3].[All]" dimensionUniqueName="[StoreCapacity]" displayFolder="" count="0" unbalanced="0" hidden="1"/>
    <cacheHierarchy uniqueName="[StoreCapacity].[BackStoreCapacityQuantity]" caption="BackStoreCapacityQuantity" attribute="1" defaultMemberUniqueName="[StoreCapacity].[BackStoreCapacityQuantity].[All]" allUniqueName="[StoreCapacity].[BackStoreCapacityQuantity].[All]" dimensionUniqueName="[StoreCapacity]" displayFolder="" count="0" unbalanced="0" hidden="1"/>
    <cacheHierarchy uniqueName="[StoreCapacity].[DWSourceKey]" caption="DWSourceKey" attribute="1" defaultMemberUniqueName="[StoreCapacity].[DWSourceKey].[All]" allUniqueName="[StoreCapacity].[DWSourceKey].[All]" dimensionUniqueName="[StoreCapacity]" displayFolder="" count="0" unbalanced="0" hidden="1"/>
    <cacheHierarchy uniqueName="[StoreCapacity].[ETLDate]" caption="ETLDate" attribute="1" defaultMemberUniqueName="[StoreCapacity].[ETLDate].[All]" allUniqueName="[StoreCapacity].[ETLDate].[All]" dimensionUniqueName="[StoreCapacity]" displayFolder="" count="0" unbalanced="0" hidden="1"/>
    <cacheHierarchy uniqueName="[StoreCapacity].[InitialSalesPriceID]" caption="InitialSalesPriceID" attribute="1" defaultMemberUniqueName="[StoreCapacity].[InitialSalesPriceID].[All]" allUniqueName="[StoreCapacity].[InitialSalesPriceID].[All]" dimensionUniqueName="[StoreCapacity]" displayFolder="" count="0" unbalanced="0" hidden="1"/>
    <cacheHierarchy uniqueName="[StoreCapacity].[LFLFactor]" caption="LFLFactor" attribute="1" defaultMemberUniqueName="[StoreCapacity].[LFLFactor].[All]" allUniqueName="[StoreCapacity].[LFLFactor].[All]" dimensionUniqueName="[StoreCapacity]" displayFolder="" count="0" unbalanced="0" hidden="1"/>
    <cacheHierarchy uniqueName="[StoreCapacity].[LocationKey]" caption="LocationKey" attribute="1" defaultMemberUniqueName="[StoreCapacity].[LocationKey].[All]" allUniqueName="[StoreCapacity].[LocationKey].[All]" dimensionUniqueName="[StoreCapacity]" displayFolder="" count="0" unbalanced="0" hidden="1"/>
    <cacheHierarchy uniqueName="[StoreCapacity].[MainGroupKey]" caption="MainGroupKey" attribute="1" defaultMemberUniqueName="[StoreCapacity].[MainGroupKey].[All]" allUniqueName="[StoreCapacity].[MainGroupKey].[All]" dimensionUniqueName="[StoreCapacity]" displayFolder="" count="0" unbalanced="0" hidden="1"/>
    <cacheHierarchy uniqueName="[StoreCapacity].[OutletID]" caption="OutletID" attribute="1" defaultMemberUniqueName="[StoreCapacity].[OutletID].[All]" allUniqueName="[StoreCapacity].[OutletID].[All]" dimensionUniqueName="[StoreCapacity]" displayFolder="" count="0" unbalanced="0" hidden="1"/>
    <cacheHierarchy uniqueName="[StoreCapacity].[SalesChannelKey]" caption="SalesChannelKey" attribute="1" defaultMemberUniqueName="[StoreCapacity].[SalesChannelKey].[All]" allUniqueName="[StoreCapacity].[SalesChannelKey].[All]" dimensionUniqueName="[StoreCapacity]" displayFolder="" count="0" unbalanced="0" hidden="1"/>
    <cacheHierarchy uniqueName="[StoreCapacity].[SalesSeasonID]" caption="SalesSeasonID" attribute="1" defaultMemberUniqueName="[StoreCapacity].[SalesSeasonID].[All]" allUniqueName="[StoreCapacity].[SalesSeasonID].[All]" dimensionUniqueName="[StoreCapacity]" displayFolder="" count="0" unbalanced="0" hidden="1"/>
    <cacheHierarchy uniqueName="[StoreCapacity].[StoreCapacitydm3]" caption="StoreCapacitydm3" attribute="1" defaultMemberUniqueName="[StoreCapacity].[StoreCapacitydm3].[All]" allUniqueName="[StoreCapacity].[StoreCapacitydm3].[All]" dimensionUniqueName="[StoreCapacity]" displayFolder="" count="0" unbalanced="0" hidden="1"/>
    <cacheHierarchy uniqueName="[StoreCapacity].[StoreCapacityQuantity]" caption="StoreCapacityQuantity" attribute="1" defaultMemberUniqueName="[StoreCapacity].[StoreCapacityQuantity].[All]" allUniqueName="[StoreCapacity].[StoreCapacityQuantity].[All]" dimensionUniqueName="[StoreCapacity]" displayFolder="" count="0" unbalanced="0" hidden="1"/>
    <cacheHierarchy uniqueName="[StoreCapacity].[StoreCode]" caption="StoreCode" attribute="1" defaultMemberUniqueName="[StoreCapacity].[StoreCode].[All]" allUniqueName="[StoreCapacity].[StoreCode].[All]" dimensionUniqueName="[StoreCapacity]" displayFolder="" count="0" unbalanced="0" hidden="1"/>
    <cacheHierarchy uniqueName="[StoreCapacity].[SubDistChannelKey]" caption="SubDistChannelKey" attribute="1" defaultMemberUniqueName="[StoreCapacity].[SubDistChannelKey].[All]" allUniqueName="[StoreCapacity].[SubDistChannelKey].[All]" dimensionUniqueName="[StoreCapacity]" displayFolder="" count="0" unbalanced="0" hidden="1"/>
    <cacheHierarchy uniqueName="[StoreLFLStatu].[EtlDate]" caption="EtlDate" attribute="1" defaultMemberUniqueName="[StoreLFLStatu].[EtlDate].[All]" allUniqueName="[StoreLFLStatu].[EtlDate].[All]" dimensionUniqueName="[StoreLFLStatu]" displayFolder="" count="0" unbalanced="0" hidden="1"/>
    <cacheHierarchy uniqueName="[StoreTarget].[Cancelled]" caption="Cancelled" attribute="1" defaultMemberUniqueName="[StoreTarget].[Cancelled].[All]" allUniqueName="[StoreTarget].[Cancelled].[All]" dimensionUniqueName="[StoreTarget]" displayFolder="" count="0" unbalanced="0" hidden="1"/>
    <cacheHierarchy uniqueName="[StoreTarget].[ChangeByUser]" caption="ChangeByUser" attribute="1" defaultMemberUniqueName="[StoreTarget].[ChangeByUser].[All]" allUniqueName="[StoreTarget].[ChangeByUser].[All]" dimensionUniqueName="[StoreTarget]" displayFolder="" count="0" unbalanced="0" hidden="1"/>
    <cacheHierarchy uniqueName="[StoreTarget].[ChangeDate]" caption="ChangeDate" attribute="1" defaultMemberUniqueName="[StoreTarget].[ChangeDate].[All]" allUniqueName="[StoreTarget].[ChangeDate].[All]" dimensionUniqueName="[StoreTarget]" displayFolder="" count="0" unbalanced="0" hidden="1"/>
    <cacheHierarchy uniqueName="[StoreTarget].[ChangeTime]" caption="ChangeTime" attribute="1" defaultMemberUniqueName="[StoreTarget].[ChangeTime].[All]" allUniqueName="[StoreTarget].[ChangeTime].[All]" dimensionUniqueName="[StoreTarget]" displayFolder="" count="0" unbalanced="0" hidden="1"/>
    <cacheHierarchy uniqueName="[StoreTarget].[CreatedByUser]" caption="CreatedByUser" attribute="1" defaultMemberUniqueName="[StoreTarget].[CreatedByUser].[All]" allUniqueName="[StoreTarget].[CreatedByUser].[All]" dimensionUniqueName="[StoreTarget]" displayFolder="" count="0" unbalanced="0" hidden="1"/>
    <cacheHierarchy uniqueName="[StoreTarget].[CreationDate]" caption="CreationDate" attribute="1" defaultMemberUniqueName="[StoreTarget].[CreationDate].[All]" allUniqueName="[StoreTarget].[CreationDate].[All]" dimensionUniqueName="[StoreTarget]" displayFolder="" count="0" unbalanced="0" hidden="1"/>
    <cacheHierarchy uniqueName="[StoreTarget].[CreationTime]" caption="CreationTime" attribute="1" defaultMemberUniqueName="[StoreTarget].[CreationTime].[All]" allUniqueName="[StoreTarget].[CreationTime].[All]" dimensionUniqueName="[StoreTarget]" displayFolder="" count="0" unbalanced="0" hidden="1"/>
    <cacheHierarchy uniqueName="[StoreTarget].[Currency]" caption="Currency" attribute="1" defaultMemberUniqueName="[StoreTarget].[Currency].[All]" allUniqueName="[StoreTarget].[Currency].[All]" dimensionUniqueName="[StoreTarget]" displayFolder="" count="0" unbalanced="0" hidden="1"/>
    <cacheHierarchy uniqueName="[StoreTarget].[DwSourceKey]" caption="DwSourceKey" attribute="1" defaultMemberUniqueName="[StoreTarget].[DwSourceKey].[All]" allUniqueName="[StoreTarget].[DwSourceKey].[All]" dimensionUniqueName="[StoreTarget]" displayFolder="" count="0" unbalanced="0" hidden="1"/>
    <cacheHierarchy uniqueName="[StoreTarget].[EtlDate]" caption="EtlDate" attribute="1" defaultMemberUniqueName="[StoreTarget].[EtlDate].[All]" allUniqueName="[StoreTarget].[EtlDate].[All]" dimensionUniqueName="[StoreTarget]" displayFolder="" count="0" unbalanced="0" hidden="1"/>
    <cacheHierarchy uniqueName="[StoreTarget].[LfLFactor]" caption="LfLFactor" attribute="1" defaultMemberUniqueName="[StoreTarget].[LfLFactor].[All]" allUniqueName="[StoreTarget].[LfLFactor].[All]" dimensionUniqueName="[StoreTarget]" displayFolder="" count="0" unbalanced="0" hidden="1"/>
    <cacheHierarchy uniqueName="[StoreTarget].[LocationCode]" caption="LocationCode" attribute="1" defaultMemberUniqueName="[StoreTarget].[LocationCode].[All]" allUniqueName="[StoreTarget].[LocationCode].[All]" dimensionUniqueName="[StoreTarget]" displayFolder="" count="0" unbalanced="0" hidden="1"/>
    <cacheHierarchy uniqueName="[StoreTarget].[LocationKey]" caption="LocationKey" attribute="1" defaultMemberUniqueName="[StoreTarget].[LocationKey].[All]" allUniqueName="[StoreTarget].[LocationKey].[All]" dimensionUniqueName="[StoreTarget]" displayFolder="" count="0" unbalanced="0" hidden="1"/>
    <cacheHierarchy uniqueName="[StoreTarget].[QuantityUnit]" caption="QuantityUnit" attribute="1" defaultMemberUniqueName="[StoreTarget].[QuantityUnit].[All]" allUniqueName="[StoreTarget].[QuantityUnit].[All]" dimensionUniqueName="[StoreTarget]" displayFolder="" count="0" unbalanced="0" hidden="1"/>
    <cacheHierarchy uniqueName="[StoreTarget].[SalesChannelKey]" caption="SalesChannelKey" attribute="1" defaultMemberUniqueName="[StoreTarget].[SalesChannelKey].[All]" allUniqueName="[StoreTarget].[SalesChannelKey].[All]" dimensionUniqueName="[StoreTarget]" displayFolder="" count="0" unbalanced="0" hidden="1"/>
    <cacheHierarchy uniqueName="[StoreTarget].[TargetConversionRate]" caption="TargetConversionRate" attribute="1" defaultMemberUniqueName="[StoreTarget].[TargetConversionRate].[All]" allUniqueName="[StoreTarget].[TargetConversionRate].[All]" dimensionUniqueName="[StoreTarget]" displayFolder="" count="0" unbalanced="0" hidden="1"/>
    <cacheHierarchy uniqueName="[StoreTarget].[TargetDate]" caption="TargetDate" attribute="1" defaultMemberUniqueName="[StoreTarget].[TargetDate].[All]" allUniqueName="[StoreTarget].[TargetDate].[All]" dimensionUniqueName="[StoreTarget]" displayFolder="" count="0" unbalanced="0" hidden="1"/>
    <cacheHierarchy uniqueName="[StoreTarget].[TargetSalesValueLC]" caption="TargetSalesValueLC" attribute="1" defaultMemberUniqueName="[StoreTarget].[TargetSalesValueLC].[All]" allUniqueName="[StoreTarget].[TargetSalesValueLC].[All]" dimensionUniqueName="[StoreTarget]" displayFolder="" count="0" unbalanced="0" hidden="1"/>
    <cacheHierarchy uniqueName="[StoreTarget].[TargetSalesValueTRY]" caption="TargetSalesValueTRY" attribute="1" defaultMemberUniqueName="[StoreTarget].[TargetSalesValueTRY].[All]" allUniqueName="[StoreTarget].[TargetSalesValueTRY].[All]" dimensionUniqueName="[StoreTarget]" displayFolder="" count="0" unbalanced="0" hidden="1"/>
    <cacheHierarchy uniqueName="[StoreTarget].[TargetSalesValueUSD]" caption="TargetSalesValueUSD" attribute="1" defaultMemberUniqueName="[StoreTarget].[TargetSalesValueUSD].[All]" allUniqueName="[StoreTarget].[TargetSalesValueUSD].[All]" dimensionUniqueName="[StoreTarget]" displayFolder="" count="0" unbalanced="0" hidden="1"/>
    <cacheHierarchy uniqueName="[StoreTarget].[TargetType]" caption="TargetType" attribute="1" defaultMemberUniqueName="[StoreTarget].[TargetType].[All]" allUniqueName="[StoreTarget].[TargetType].[All]" dimensionUniqueName="[StoreTarget]" displayFolder="" count="0" unbalanced="0" hidden="1"/>
    <cacheHierarchy uniqueName="[StoreTargetLY].[Cancelled]" caption="Cancelled" attribute="1" defaultMemberUniqueName="[StoreTargetLY].[Cancelled].[All]" allUniqueName="[StoreTargetLY].[Cancelled].[All]" dimensionUniqueName="[StoreTargetLY]" displayFolder="" count="0" unbalanced="0" hidden="1"/>
    <cacheHierarchy uniqueName="[StoreTargetLY].[ChangeByUser]" caption="ChangeByUser" attribute="1" defaultMemberUniqueName="[StoreTargetLY].[ChangeByUser].[All]" allUniqueName="[StoreTargetLY].[ChangeByUser].[All]" dimensionUniqueName="[StoreTargetLY]" displayFolder="" count="0" unbalanced="0" hidden="1"/>
    <cacheHierarchy uniqueName="[StoreTargetLY].[ChangeDate]" caption="ChangeDate" attribute="1" defaultMemberUniqueName="[StoreTargetLY].[ChangeDate].[All]" allUniqueName="[StoreTargetLY].[ChangeDate].[All]" dimensionUniqueName="[StoreTargetLY]" displayFolder="" count="0" unbalanced="0" hidden="1"/>
    <cacheHierarchy uniqueName="[StoreTargetLY].[ChangeTime]" caption="ChangeTime" attribute="1" defaultMemberUniqueName="[StoreTargetLY].[ChangeTime].[All]" allUniqueName="[StoreTargetLY].[ChangeTime].[All]" dimensionUniqueName="[StoreTargetLY]" displayFolder="" count="0" unbalanced="0" hidden="1"/>
    <cacheHierarchy uniqueName="[StoreTargetLY].[CreatedByUser]" caption="CreatedByUser" attribute="1" defaultMemberUniqueName="[StoreTargetLY].[CreatedByUser].[All]" allUniqueName="[StoreTargetLY].[CreatedByUser].[All]" dimensionUniqueName="[StoreTargetLY]" displayFolder="" count="0" unbalanced="0" hidden="1"/>
    <cacheHierarchy uniqueName="[StoreTargetLY].[CreationDate]" caption="CreationDate" attribute="1" defaultMemberUniqueName="[StoreTargetLY].[CreationDate].[All]" allUniqueName="[StoreTargetLY].[CreationDate].[All]" dimensionUniqueName="[StoreTargetLY]" displayFolder="" count="0" unbalanced="0" hidden="1"/>
    <cacheHierarchy uniqueName="[StoreTargetLY].[CreationTime]" caption="CreationTime" attribute="1" defaultMemberUniqueName="[StoreTargetLY].[CreationTime].[All]" allUniqueName="[StoreTargetLY].[CreationTime].[All]" dimensionUniqueName="[StoreTargetLY]" displayFolder="" count="0" unbalanced="0" hidden="1"/>
    <cacheHierarchy uniqueName="[StoreTargetLY].[Currency]" caption="Currency" attribute="1" defaultMemberUniqueName="[StoreTargetLY].[Currency].[All]" allUniqueName="[StoreTargetLY].[Currency].[All]" dimensionUniqueName="[StoreTargetLY]" displayFolder="" count="0" unbalanced="0" hidden="1"/>
    <cacheHierarchy uniqueName="[StoreTargetLY].[DwSourceKey]" caption="DwSourceKey" attribute="1" defaultMemberUniqueName="[StoreTargetLY].[DwSourceKey].[All]" allUniqueName="[StoreTargetLY].[DwSourceKey].[All]" dimensionUniqueName="[StoreTargetLY]" displayFolder="" count="0" unbalanced="0" hidden="1"/>
    <cacheHierarchy uniqueName="[StoreTargetLY].[EtlDate]" caption="EtlDate" attribute="1" defaultMemberUniqueName="[StoreTargetLY].[EtlDate].[All]" allUniqueName="[StoreTargetLY].[EtlDate].[All]" dimensionUniqueName="[StoreTargetLY]" displayFolder="" count="0" unbalanced="0" hidden="1"/>
    <cacheHierarchy uniqueName="[StoreTargetLY].[LfLFactor]" caption="LfLFactor" attribute="1" defaultMemberUniqueName="[StoreTargetLY].[LfLFactor].[All]" allUniqueName="[StoreTargetLY].[LfLFactor].[All]" dimensionUniqueName="[StoreTargetLY]" displayFolder="" count="0" unbalanced="0" hidden="1"/>
    <cacheHierarchy uniqueName="[StoreTargetLY].[LocationCode]" caption="LocationCode" attribute="1" defaultMemberUniqueName="[StoreTargetLY].[LocationCode].[All]" allUniqueName="[StoreTargetLY].[LocationCode].[All]" dimensionUniqueName="[StoreTargetLY]" displayFolder="" count="0" unbalanced="0" hidden="1"/>
    <cacheHierarchy uniqueName="[StoreTargetLY].[LocationKey]" caption="LocationKey" attribute="1" defaultMemberUniqueName="[StoreTargetLY].[LocationKey].[All]" allUniqueName="[StoreTargetLY].[LocationKey].[All]" dimensionUniqueName="[StoreTargetLY]" displayFolder="" count="0" unbalanced="0" hidden="1"/>
    <cacheHierarchy uniqueName="[StoreTargetLY].[QuantityUnit]" caption="QuantityUnit" attribute="1" defaultMemberUniqueName="[StoreTargetLY].[QuantityUnit].[All]" allUniqueName="[StoreTargetLY].[QuantityUnit].[All]" dimensionUniqueName="[StoreTargetLY]" displayFolder="" count="0" unbalanced="0" hidden="1"/>
    <cacheHierarchy uniqueName="[StoreTargetLY].[SalesChannelKey]" caption="SalesChannelKey" attribute="1" defaultMemberUniqueName="[StoreTargetLY].[SalesChannelKey].[All]" allUniqueName="[StoreTargetLY].[SalesChannelKey].[All]" dimensionUniqueName="[StoreTargetLY]" displayFolder="" count="0" unbalanced="0" hidden="1"/>
    <cacheHierarchy uniqueName="[StoreTargetLY].[TargetConversionRate]" caption="TargetConversionRate" attribute="1" defaultMemberUniqueName="[StoreTargetLY].[TargetConversionRate].[All]" allUniqueName="[StoreTargetLY].[TargetConversionRate].[All]" dimensionUniqueName="[StoreTargetLY]" displayFolder="" count="0" unbalanced="0" hidden="1"/>
    <cacheHierarchy uniqueName="[StoreTargetLY].[TargetSalesValueLC]" caption="TargetSalesValueLC" attribute="1" defaultMemberUniqueName="[StoreTargetLY].[TargetSalesValueLC].[All]" allUniqueName="[StoreTargetLY].[TargetSalesValueLC].[All]" dimensionUniqueName="[StoreTargetLY]" displayFolder="" count="0" unbalanced="0" hidden="1"/>
    <cacheHierarchy uniqueName="[StoreTargetLY].[TargetSalesValueTRY]" caption="TargetSalesValueTRY" attribute="1" defaultMemberUniqueName="[StoreTargetLY].[TargetSalesValueTRY].[All]" allUniqueName="[StoreTargetLY].[TargetSalesValueTRY].[All]" dimensionUniqueName="[StoreTargetLY]" displayFolder="" count="0" unbalanced="0" hidden="1"/>
    <cacheHierarchy uniqueName="[StoreTargetLY].[TargetSalesValueUSD]" caption="TargetSalesValueUSD" attribute="1" defaultMemberUniqueName="[StoreTargetLY].[TargetSalesValueUSD].[All]" allUniqueName="[StoreTargetLY].[TargetSalesValueUSD].[All]" dimensionUniqueName="[StoreTargetLY]" displayFolder="" count="0" unbalanced="0" hidden="1"/>
    <cacheHierarchy uniqueName="[StoreTargetLY].[TargetType]" caption="TargetType" attribute="1" defaultMemberUniqueName="[StoreTargetLY].[TargetType].[All]" allUniqueName="[StoreTargetLY].[TargetType].[All]" dimensionUniqueName="[StoreTargetLY]" displayFolder="" count="0" unbalanced="0" hidden="1"/>
    <cacheHierarchy uniqueName="[StoreTargetLY].[TYDate]" caption="TYDate" attribute="1" defaultMemberUniqueName="[StoreTargetLY].[TYDate].[All]" allUniqueName="[StoreTargetLY].[TYDate].[All]" dimensionUniqueName="[StoreTargetLY]" displayFolder="" count="0" unbalanced="0" hidden="1"/>
    <cacheHierarchy uniqueName="[SubDistChannel].[DistrubitionChannelCode]" caption="DistrubitionChannelCode" attribute="1" defaultMemberUniqueName="[SubDistChannel].[DistrubitionChannelCode].[All]" allUniqueName="[SubDistChannel].[DistrubitionChannelCode].[All]" dimensionUniqueName="[SubDistChannel]" displayFolder="" count="0" unbalanced="0" hidden="1"/>
    <cacheHierarchy uniqueName="[SubDistChannel].[DistrubitionChannelDesc]" caption="DistrubitionChannelDesc" attribute="1" defaultMemberUniqueName="[SubDistChannel].[DistrubitionChannelDesc].[All]" allUniqueName="[SubDistChannel].[DistrubitionChannelDesc].[All]" dimensionUniqueName="[SubDistChannel]" displayFolder="" count="0" unbalanced="0" hidden="1"/>
    <cacheHierarchy uniqueName="[SubDistChannel].[DistrubitionChannelKey]" caption="DistrubitionChannelKey" attribute="1" defaultMemberUniqueName="[SubDistChannel].[DistrubitionChannelKey].[All]" allUniqueName="[SubDistChannel].[DistrubitionChannelKey].[All]" dimensionUniqueName="[SubDistChannel]" displayFolder="" count="0" unbalanced="0" hidden="1"/>
    <cacheHierarchy uniqueName="[SubDistChannel].[DWSourceKey]" caption="DWSourceKey" attribute="1" defaultMemberUniqueName="[SubDistChannel].[DWSourceKey].[All]" allUniqueName="[SubDistChannel].[DWSourceKey].[All]" dimensionUniqueName="[SubDistChannel]" displayFolder="" count="0" unbalanced="0" hidden="1"/>
    <cacheHierarchy uniqueName="[SubDistChannel].[EtlDate]" caption="EtlDate" attribute="1" defaultMemberUniqueName="[SubDistChannel].[EtlDate].[All]" allUniqueName="[SubDistChannel].[EtlDate].[All]" dimensionUniqueName="[SubDistChannel]" displayFolder="" count="0" unbalanced="0" hidden="1"/>
    <cacheHierarchy uniqueName="[Visitor].[AdjustedCCR]" caption="AdjustedCCR" attribute="1" defaultMemberUniqueName="[Visitor].[AdjustedCCR].[All]" allUniqueName="[Visitor].[AdjustedCCR].[All]" dimensionUniqueName="[Visitor]" displayFolder="" count="0" unbalanced="0" hidden="1"/>
    <cacheHierarchy uniqueName="[Visitor].[AdjustedVisitorCount]" caption="AdjustedVisitorCount" attribute="1" defaultMemberUniqueName="[Visitor].[AdjustedVisitorCount].[All]" allUniqueName="[Visitor].[AdjustedVisitorCount].[All]" dimensionUniqueName="[Visitor]" displayFolder="" count="0" unbalanced="0" hidden="1"/>
    <cacheHierarchy uniqueName="[Visitor].[CCR_Source]" caption="CCR_Source" attribute="1" defaultMemberUniqueName="[Visitor].[CCR_Source].[All]" allUniqueName="[Visitor].[CCR_Source].[All]" dimensionUniqueName="[Visitor]" displayFolder="" count="0" unbalanced="0" hidden="1"/>
    <cacheHierarchy uniqueName="[Visitor].[CompanyKey]" caption="CompanyKey" attribute="1" defaultMemberUniqueName="[Visitor].[CompanyKey].[All]" allUniqueName="[Visitor].[CompanyKey].[All]" dimensionUniqueName="[Visitor]" displayFolder="" count="0" unbalanced="0" hidden="1"/>
    <cacheHierarchy uniqueName="[Visitor].[CustomerConversionRate]" caption="CustomerConversionRate" attribute="1" defaultMemberUniqueName="[Visitor].[CustomerConversionRate].[All]" allUniqueName="[Visitor].[CustomerConversionRate].[All]" dimensionUniqueName="[Visitor]" displayFolder="" count="0" unbalanced="0" hidden="1"/>
    <cacheHierarchy uniqueName="[Visitor].[DailyInvoiceCount]" caption="DailyInvoiceCount" attribute="1" defaultMemberUniqueName="[Visitor].[DailyInvoiceCount].[All]" allUniqueName="[Visitor].[DailyInvoiceCount].[All]" dimensionUniqueName="[Visitor]" displayFolder="" count="0" unbalanced="0" hidden="1"/>
    <cacheHierarchy uniqueName="[Visitor].[DailyInvoiceReturn]" caption="DailyInvoiceReturn" attribute="1" defaultMemberUniqueName="[Visitor].[DailyInvoiceReturn].[All]" allUniqueName="[Visitor].[DailyInvoiceReturn].[All]" dimensionUniqueName="[Visitor]" displayFolder="" count="0" unbalanced="0" hidden="1"/>
    <cacheHierarchy uniqueName="[Visitor].[DailyInvoiceSale]" caption="DailyInvoiceSale" attribute="1" defaultMemberUniqueName="[Visitor].[DailyInvoiceSale].[All]" allUniqueName="[Visitor].[DailyInvoiceSale].[All]" dimensionUniqueName="[Visitor]" displayFolder="" count="0" unbalanced="0" hidden="1"/>
    <cacheHierarchy uniqueName="[Visitor].[DailyVisitorCount]" caption="DailyVisitorCount" attribute="1" defaultMemberUniqueName="[Visitor].[DailyVisitorCount].[All]" allUniqueName="[Visitor].[DailyVisitorCount].[All]" dimensionUniqueName="[Visitor]" displayFolder="" count="0" unbalanced="0" hidden="1"/>
    <cacheHierarchy uniqueName="[Visitor].[DayoftheWeek]" caption="DayoftheWeek" attribute="1" defaultMemberUniqueName="[Visitor].[DayoftheWeek].[All]" allUniqueName="[Visitor].[DayoftheWeek].[All]" dimensionUniqueName="[Visitor]" displayFolder="" count="0" unbalanced="0" hidden="1"/>
    <cacheHierarchy uniqueName="[Visitor].[DIC_Country]" caption="DIC_Country" attribute="1" defaultMemberUniqueName="[Visitor].[DIC_Country].[All]" allUniqueName="[Visitor].[DIC_Country].[All]" dimensionUniqueName="[Visitor]" displayFolder="" count="0" unbalanced="0" hidden="1"/>
    <cacheHierarchy uniqueName="[Visitor].[DVC_Country]" caption="DVC_Country" attribute="1" defaultMemberUniqueName="[Visitor].[DVC_Country].[All]" allUniqueName="[Visitor].[DVC_Country].[All]" dimensionUniqueName="[Visitor]" displayFolder="" count="0" unbalanced="0" hidden="1"/>
    <cacheHierarchy uniqueName="[Visitor].[ETLDate]" caption="ETLDate" attribute="1" defaultMemberUniqueName="[Visitor].[ETLDate].[All]" allUniqueName="[Visitor].[ETLDate].[All]" dimensionUniqueName="[Visitor]" displayFolder="" count="0" unbalanced="0" hidden="1"/>
    <cacheHierarchy uniqueName="[Visitor].[isAdjustmentRequired]" caption="isAdjustmentRequired" attribute="1" defaultMemberUniqueName="[Visitor].[isAdjustmentRequired].[All]" allUniqueName="[Visitor].[isAdjustmentRequired].[All]" dimensionUniqueName="[Visitor]" displayFolder="" count="0" unbalanced="0" hidden="1"/>
    <cacheHierarchy uniqueName="[Visitor].[LocationKey]" caption="LocationKey" attribute="1" defaultMemberUniqueName="[Visitor].[LocationKey].[All]" allUniqueName="[Visitor].[LocationKey].[All]" dimensionUniqueName="[Visitor]" displayFolder="" count="0" unbalanced="0" hidden="1"/>
    <cacheHierarchy uniqueName="[Visitor].[StoreLfLStatuKey]" caption="StoreLfLStatuKey" attribute="1" defaultMemberUniqueName="[Visitor].[StoreLfLStatuKey].[All]" allUniqueName="[Visitor].[StoreLfLStatuKey].[All]" dimensionUniqueName="[Visitor]" displayFolder="" count="0" unbalanced="0" hidden="1"/>
    <cacheHierarchy uniqueName="[Visitor].[VisitDate]" caption="VisitDate" attribute="1" defaultMemberUniqueName="[Visitor].[VisitDate].[All]" allUniqueName="[Visitor].[VisitDate].[All]" dimensionUniqueName="[Visitor]" displayFolder="" count="0" unbalanced="0" hidden="1"/>
    <cacheHierarchy uniqueName="[VisitorHourly].[LocationKey]" caption="LocationKey" attribute="1" defaultMemberUniqueName="[VisitorHourly].[LocationKey].[All]" allUniqueName="[VisitorHourly].[LocationKey].[All]" dimensionUniqueName="[VisitorHourly]" displayFolder="" count="0" unbalanced="0" hidden="1"/>
    <cacheHierarchy uniqueName="[VisitorHourly].[LYCustomerEntryCount]" caption="LYCustomerEntryCount" attribute="1" defaultMemberUniqueName="[VisitorHourly].[LYCustomerEntryCount].[All]" allUniqueName="[VisitorHourly].[LYCustomerEntryCount].[All]" dimensionUniqueName="[VisitorHourly]" displayFolder="" count="0" unbalanced="0" hidden="1"/>
    <cacheHierarchy uniqueName="[VisitorHourly].[LYLFLFactor]" caption="LYLFLFactor" attribute="1" defaultMemberUniqueName="[VisitorHourly].[LYLFLFactor].[All]" allUniqueName="[VisitorHourly].[LYLFLFactor].[All]" dimensionUniqueName="[VisitorHourly]" displayFolder="" count="0" unbalanced="0" hidden="1"/>
    <cacheHierarchy uniqueName="[VisitorHourly].[SalesChannelKey]" caption="SalesChannelKey" attribute="1" defaultMemberUniqueName="[VisitorHourly].[SalesChannelKey].[All]" allUniqueName="[VisitorHourly].[SalesChannelKey].[All]" dimensionUniqueName="[VisitorHourly]" displayFolder="" count="0" unbalanced="0" hidden="1"/>
    <cacheHierarchy uniqueName="[VisitorHourly].[TYCustomerEntryCount]" caption="TYCustomerEntryCount" attribute="1" defaultMemberUniqueName="[VisitorHourly].[TYCustomerEntryCount].[All]" allUniqueName="[VisitorHourly].[TYCustomerEntryCount].[All]" dimensionUniqueName="[VisitorHourly]" displayFolder="" count="0" unbalanced="0" hidden="1"/>
    <cacheHierarchy uniqueName="[VisitorHourly].[TYLFLFactor]" caption="TYLFLFactor" attribute="1" defaultMemberUniqueName="[VisitorHourly].[TYLFLFactor].[All]" allUniqueName="[VisitorHourly].[TYLFLFactor].[All]" dimensionUniqueName="[VisitorHourly]" displayFolder="" count="0" unbalanced="0" hidden="1"/>
    <cacheHierarchy uniqueName="[VisitorHourly].[VisitDate]" caption="VisitDate" attribute="1" defaultMemberUniqueName="[VisitorHourly].[VisitDate].[All]" allUniqueName="[VisitorHourly].[VisitDate].[All]" dimensionUniqueName="[VisitorHourly]" displayFolder="" count="0" unbalanced="0" hidden="1"/>
    <cacheHierarchy uniqueName="[VisitorHourly].[VisitTimeHH]" caption="VisitTimeHH" attribute="1" defaultMemberUniqueName="[VisitorHourly].[VisitTimeHH].[All]" allUniqueName="[VisitorHourly].[VisitTimeHH].[All]" dimensionUniqueName="[VisitorHourly]" displayFolder="" count="0" unbalanced="0" hidden="1"/>
    <cacheHierarchy uniqueName="[Measures].[TY Avg DC Stock Unit]" caption="TY Avg DC Stock Unit" measure="1" displayFolder="01_TY\_UNIT" measureGroup="StockDC" count="0" oneField="1">
      <fieldsUsage count="1">
        <fieldUsage x="14"/>
      </fieldsUsage>
    </cacheHierarchy>
    <cacheHierarchy uniqueName="[Measures].[TY Avg DC Cus Stock Unit]" caption="TY Avg DC Cus Stock Unit" measure="1" displayFolder="01_TY\_UNIT" measureGroup="StockDC" count="0"/>
    <cacheHierarchy uniqueName="[Measures].[TY Avg DC Transit Stock Unit]" caption="TY Avg DC Transit Stock Unit" measure="1" displayFolder="01_TY\_UNIT" measureGroup="StockDC" count="0"/>
    <cacheHierarchy uniqueName="[Measures].[TY Avg DC Stock Cost LC]" caption="TY Avg DC Stock Cost LC" measure="1" displayFolder="01_TY\LC" measureGroup="StockDC" count="0"/>
    <cacheHierarchy uniqueName="[Measures].[TY Avg DC Transit Stock Cost LC]" caption="TY Avg DC Transit Stock Cost LC" measure="1" displayFolder="01_TY\LC" measureGroup="StockDC" count="0"/>
    <cacheHierarchy uniqueName="[Measures].[TY Avg DC Cus Stock Cost LC]" caption="TY Avg DC Cus Stock Cost LC" measure="1" displayFolder="01_TY\LC" measureGroup="StockDC" count="0"/>
    <cacheHierarchy uniqueName="[Measures].[TY Avg DC Stock Cost TRY]" caption="TY Avg DC Stock Cost TRY" measure="1" displayFolder="01_TY\TRY" measureGroup="StockDC" count="0"/>
    <cacheHierarchy uniqueName="[Measures].[TY Avg DC Transit Stock Cost TRY]" caption="TY Avg DC Transit Stock Cost TRY" measure="1" displayFolder="01_TY\TRY" measureGroup="StockDC" count="0"/>
    <cacheHierarchy uniqueName="[Measures].[TY Avg DC Cus Stock Cost TRY]" caption="TY Avg DC Cus Stock Cost TRY" measure="1" displayFolder="01_TY\TRY" measureGroup="StockDC" count="0"/>
    <cacheHierarchy uniqueName="[Measures].[TY Avg DC Stock Cost USD]" caption="TY Avg DC Stock Cost USD" measure="1" displayFolder="01_TY\USD" measureGroup="StockDC" count="0"/>
    <cacheHierarchy uniqueName="[Measures].[TY Avg DC Transit Stock Cost USD]" caption="TY Avg DC Transit Stock Cost USD" measure="1" displayFolder="01_TY\USD" measureGroup="StockDC" count="0"/>
    <cacheHierarchy uniqueName="[Measures].[TY Avg DC Cus Stock Cost USD]" caption="TY Avg DC Cus Stock Cost USD" measure="1" displayFolder="01_TY\USD" measureGroup="StockDC" count="0"/>
    <cacheHierarchy uniqueName="[Measures].[LY Avg DC Stock Unit]" caption="LY Avg DC Stock Unit" measure="1" displayFolder="02_LY\_UNIT" measureGroup="StockDC" count="0"/>
    <cacheHierarchy uniqueName="[Measures].[LY Avg DC Transit Stock Unit]" caption="LY Avg DC Transit Stock Unit" measure="1" displayFolder="02_LY\_UNIT" measureGroup="StockDC" count="0"/>
    <cacheHierarchy uniqueName="[Measures].[LY Avg DC Cus Stock Unit]" caption="LY Avg DC Cus Stock Unit" measure="1" displayFolder="02_LY\_UNIT" measureGroup="StockDC" count="0"/>
    <cacheHierarchy uniqueName="[Measures].[LY Avg DC Stock Cost LC]" caption="LY Avg DC Stock Cost LC" measure="1" displayFolder="02_LY\LC" measureGroup="StockDC" count="0"/>
    <cacheHierarchy uniqueName="[Measures].[LY Avg DC Transit Stock Cost LC]" caption="LY Avg DC Transit Stock Cost LC" measure="1" displayFolder="02_LY\LC" measureGroup="StockDC" count="0"/>
    <cacheHierarchy uniqueName="[Measures].[LY Avg DC Cus Stock Cost LC]" caption="LY Avg DC Cus Stock Cost LC" measure="1" displayFolder="02_LY\LC" measureGroup="StockDC" count="0"/>
    <cacheHierarchy uniqueName="[Measures].[LY Avg DC Stock Cost TRY]" caption="LY Avg DC Stock Cost TRY" measure="1" displayFolder="02_LY\TRY" measureGroup="StockDC" count="0"/>
    <cacheHierarchy uniqueName="[Measures].[LY Avg DC Transit Stock Cost TRY]" caption="LY Avg DC Transit Stock Cost TRY" measure="1" displayFolder="02_LY\TRY" measureGroup="StockDC" count="0"/>
    <cacheHierarchy uniqueName="[Measures].[LY Avg DC Cus Stock Cost TRY]" caption="LY Avg DC Cus Stock Cost TRY" measure="1" displayFolder="02_LY\TRY" measureGroup="StockDC" count="0"/>
    <cacheHierarchy uniqueName="[Measures].[LY Avg DC Stock Cost USD]" caption="LY Avg DC Stock Cost USD" measure="1" displayFolder="02_LY\USD" measureGroup="StockDC" count="0"/>
    <cacheHierarchy uniqueName="[Measures].[LY Avg DC Transit Stock Cost USD]" caption="LY Avg DC Transit Stock Cost USD" measure="1" displayFolder="02_LY\USD" measureGroup="StockDC" count="0"/>
    <cacheHierarchy uniqueName="[Measures].[LY Avg DC Cus Stock Cost USD]" caption="LY Avg DC Cus Stock Cost USD" measure="1" displayFolder="02_LY\USD" measureGroup="StockDC" count="0"/>
    <cacheHierarchy uniqueName="[Measures].[CUR Open Imports DC Stock Unit]" caption="CUR Open Imports DC Stock Unit" measure="1" displayFolder="00_CURRENT" measureGroup="StockDC" count="0"/>
    <cacheHierarchy uniqueName="[Measures].[CUR Open Transfer DC Stock Unit]" caption="CUR Open Transfer DC Stock Unit" measure="1" displayFolder="00_CURRENT" measureGroup="StockDC" count="0"/>
    <cacheHierarchy uniqueName="[Measures].[EOP TY Avg DC Stock Unit]" caption="EOP TY Avg DC Stock Unit" measure="1" displayFolder="01_TY\_UNIT" measureGroup="StockDC" count="0"/>
    <cacheHierarchy uniqueName="[Measures].[EOP TY Avg DC Transit Stock Unit]" caption="EOP TY Avg DC Transit Stock Unit" measure="1" displayFolder="01_TY\_UNIT" measureGroup="StockDC" count="0"/>
    <cacheHierarchy uniqueName="[Measures].[EOP TY Avg DC Cus Stock Unit]" caption="EOP TY Avg DC Cus Stock Unit" measure="1" displayFolder="01_TY\_UNIT" measureGroup="StockDC" count="0"/>
    <cacheHierarchy uniqueName="[Measures].[EOP TY Avg DC Stock Cost LC]" caption="EOP TY Avg DC Stock Cost LC" measure="1" displayFolder="01_TY\LC" measureGroup="StockDC" count="0"/>
    <cacheHierarchy uniqueName="[Measures].[EOP TY Avg DC Transit Stock Cost LC]" caption="EOP TY Avg DC Transit Stock Cost LC" measure="1" displayFolder="01_TY\LC" measureGroup="StockDC" count="0"/>
    <cacheHierarchy uniqueName="[Measures].[EOP TY Avg DC CUS Stock Cost LC]" caption="EOP TY Avg DC CUS Stock Cost LC" measure="1" displayFolder="01_TY\LC" measureGroup="StockDC" count="0"/>
    <cacheHierarchy uniqueName="[Measures].[EOP TY Avg DC Stock Cost TRY]" caption="EOP TY Avg DC Stock Cost TRY" measure="1" displayFolder="01_TY\TRY" measureGroup="StockDC" count="0"/>
    <cacheHierarchy uniqueName="[Measures].[EOP TY Avg DC Cus Stock Cost TRY]" caption="EOP TY Avg DC Cus Stock Cost TRY" measure="1" displayFolder="01_TY\TRY" measureGroup="StockDC" count="0"/>
    <cacheHierarchy uniqueName="[Measures].[EOP TY Avg DC Transit Stock Cost TRY]" caption="EOP TY Avg DC Transit Stock Cost TRY" measure="1" displayFolder="01_TY\TRY" measureGroup="StockDC" count="0"/>
    <cacheHierarchy uniqueName="[Measures].[TY Avg DC Other Stock Unit]" caption="TY Avg DC Other Stock Unit" measure="1" displayFolder="01_TY\_UNIT" measureGroup="StockDC" count="0"/>
    <cacheHierarchy uniqueName="[Measures].[EOP TY Avg DC Other Stock Unit]" caption="EOP TY Avg DC Other Stock Unit" measure="1" displayFolder="01_TY\_UNIT" measureGroup="StockDC" count="0"/>
    <cacheHierarchy uniqueName="[Measures].[TY Avg DC Other Stock Cost LC]" caption="TY Avg DC Other Stock Cost LC" measure="1" displayFolder="01_TY\LC" measureGroup="StockDC" count="0"/>
    <cacheHierarchy uniqueName="[Measures].[EOP TY Avg DC Other Stock Cost LC]" caption="EOP TY Avg DC Other Stock Cost LC" measure="1" displayFolder="01_TY\LC" measureGroup="StockDC" count="0"/>
    <cacheHierarchy uniqueName="[Measures].[TY Avg DC Other Stock Cost TRY]" caption="TY Avg DC Other Stock Cost TRY" measure="1" displayFolder="01_TY\TRY" measureGroup="StockDC" count="0"/>
    <cacheHierarchy uniqueName="[Measures].[EOP TY Avg DC Other Stock Cost TRY]" caption="EOP TY Avg DC Other Stock Cost TRY" measure="1" displayFolder="01_TY\TRY" measureGroup="StockDC" count="0"/>
    <cacheHierarchy uniqueName="[Measures].[TY Avg DC Other Stock Cost USD]" caption="TY Avg DC Other Stock Cost USD" measure="1" displayFolder="01_TY\USD" measureGroup="StockDC" count="0"/>
    <cacheHierarchy uniqueName="[Measures].[EOP TY Avg DC Stock Cost USD]" caption="EOP TY Avg DC Stock Cost USD" measure="1" displayFolder="01_TY\USD" measureGroup="StockDC" count="0"/>
    <cacheHierarchy uniqueName="[Measures].[EOP TY Avg DC Transit Stock Cost USD]" caption="EOP TY Avg DC Transit Stock Cost USD" measure="1" displayFolder="01_TY\USD" measureGroup="StockDC" count="0"/>
    <cacheHierarchy uniqueName="[Measures].[EOP TY Avg DC Cus Stock Cost USD]" caption="EOP TY Avg DC Cus Stock Cost USD" measure="1" displayFolder="01_TY\USD" measureGroup="StockDC" count="0"/>
    <cacheHierarchy uniqueName="[Measures].[EOP TY Avg DC Other Stock Cost USD]" caption="EOP TY Avg DC Other Stock Cost USD" measure="1" displayFolder="01_TY\USD" measureGroup="StockDC" count="0"/>
    <cacheHierarchy uniqueName="[Measures].[LY Avg DC Other Stock Unit]" caption="LY Avg DC Other Stock Unit" measure="1" displayFolder="02_LY\_UNIT" measureGroup="StockDC" count="0"/>
    <cacheHierarchy uniqueName="[Measures].[LY Avg DC Other Stock Cost LC]" caption="LY Avg DC Other Stock Cost LC" measure="1" displayFolder="02_LY\LC" measureGroup="StockDC" count="0"/>
    <cacheHierarchy uniqueName="[Measures].[LY Avg DC Other Stock Cost TRY]" caption="LY Avg DC Other Stock Cost TRY" measure="1" displayFolder="02_LY\TRY" measureGroup="StockDC" count="0"/>
    <cacheHierarchy uniqueName="[Measures].[LY Avg DC Other Stock Cost USD]" caption="LY Avg DC Other Stock Cost USD" measure="1" displayFolder="02_LY\USD" measureGroup="StockDC" count="0"/>
    <cacheHierarchy uniqueName="[Measures].[EOP Goods Receipt PO DC Stock Unit]" caption="EOP Goods Receipt PO DC Stock Unit" measure="1" displayFolder="01_TY\_UNIT" measureGroup="StockDC" count="0"/>
    <cacheHierarchy uniqueName="[Measures].[EOP Goods Receipt PO DC Transit Stock Unit]" caption="EOP Goods Receipt PO DC Transit Stock Unit" measure="1" displayFolder="01_TY\_UNIT" measureGroup="StockDC" count="0"/>
    <cacheHierarchy uniqueName="[Measures].[EOP Goods Receipt PO DC Cus Stock Unit]" caption="EOP Goods Receipt PO DC Cus Stock Unit" measure="1" displayFolder="01_TY\_UNIT" measureGroup="StockDC" count="0"/>
    <cacheHierarchy uniqueName="[Measures].[EOP Goods Receipt PO DC Other Stock Unit]" caption="EOP Goods Receipt PO DC Other Stock Unit" measure="1" displayFolder="01_TY\_UNIT" measureGroup="StockDC" count="0"/>
    <cacheHierarchy uniqueName="[Measures].[CUR Available DC Stock Unit]" caption="CUR Available DC Stock Unit" measure="1" displayFolder="00_CURRENT" measureGroup="StockDC" count="0"/>
    <cacheHierarchy uniqueName="[Measures].[CUR Real DC Stock Unit]" caption="CUR Real DC Stock Unit" measure="1" displayFolder="00_CURRENT" measureGroup="StockDC" count="0"/>
    <cacheHierarchy uniqueName="[Measures].[CUR Open Delivery DC Stock Unit]" caption="CUR Open Delivery DC Stock Unit" measure="1" displayFolder="00_CURRENT" measureGroup="StockDC" count="0"/>
    <cacheHierarchy uniqueName="[Measures].[CUR Open Order DC Stock Unit]" caption="CUR Open Order DC Stock Unit" measure="1" displayFolder="00_CURRENT" measureGroup="StockDC" count="0"/>
    <cacheHierarchy uniqueName="[Measures].[CUR Open Sto DC Stock Unit]" caption="CUR Open Sto DC Stock Unit" measure="1" displayFolder="00_CURRENT" measureGroup="StockDC" count="0"/>
    <cacheHierarchy uniqueName="[Measures].[CUR Safety DC Stock Unit]" caption="CUR Safety DC Stock Unit" measure="1" displayFolder="00_CURRENT" measureGroup="StockDC" count="0"/>
    <cacheHierarchy uniqueName="[Measures].[CUR Buffer DC Stock Unit]" caption="CUR Buffer DC Stock Unit" measure="1" displayFolder="00_CURRENT" measureGroup="StockDC" count="0"/>
    <cacheHierarchy uniqueName="[Measures].[CUR Unapproved Order DC Stock Unit]" caption="CUR Unapproved Order DC Stock Unit" measure="1" displayFolder="00_CURRENT" measureGroup="StockDC" count="0"/>
    <cacheHierarchy uniqueName="[Measures].[EOP LY DC Transit Stock Unit]" caption="EOP LY DC Transit Stock Unit" measure="1" displayFolder="02_LY\_UNIT" measureGroup="StockDC" count="0"/>
    <cacheHierarchy uniqueName="[Measures].[EOP LY DC Cus Stock Unit]" caption="EOP LY DC Cus Stock Unit" measure="1" displayFolder="02_LY\_UNIT" measureGroup="StockDC" count="0"/>
    <cacheHierarchy uniqueName="[Measures].[EOP LY DC Other Stock Unit]" caption="EOP LY DC Other Stock Unit" measure="1" displayFolder="02_LY\_UNIT" measureGroup="StockDC" count="0"/>
    <cacheHierarchy uniqueName="[Measures].[EOP LY DC Stock Unit]" caption="EOP LY DC Stock Unit" measure="1" displayFolder="02_LY\_UNIT" measureGroup="StockDC" count="0"/>
    <cacheHierarchy uniqueName="[Measures].[Kullanılabilir DC Stok Adet]" caption="Kullanılabilir DC Stok Adet" measure="1" displayFolder="00_CURRENT" measureGroup="StockDC" count="0"/>
    <cacheHierarchy uniqueName="[Measures].[TY Avg Store Stock Unit]" caption="TY Avg Store Stock Unit" measure="1" displayFolder="01_TY\_UNIT" measureGroup="StockStore" count="0" oneField="1">
      <fieldsUsage count="1">
        <fieldUsage x="4"/>
      </fieldsUsage>
    </cacheHierarchy>
    <cacheHierarchy uniqueName="[Measures].[TY Avg Store Transit Stock Unit]" caption="TY Avg Store Transit Stock Unit" measure="1" displayFolder="01_TY\_UNIT" measureGroup="StockStore" count="0" oneField="1">
      <fieldsUsage count="1">
        <fieldUsage x="5"/>
      </fieldsUsage>
    </cacheHierarchy>
    <cacheHierarchy uniqueName="[Measures].[TY Avg Store Stock Cost LC]" caption="TY Avg Store Stock Cost LC" measure="1" displayFolder="01_TY\LC" measureGroup="StockStore" count="0"/>
    <cacheHierarchy uniqueName="[Measures].[TY Avg Store Transit Stock Cost LC]" caption="TY Avg Store Transit Stock Cost LC" measure="1" displayFolder="01_TY\LC" measureGroup="StockStore" count="0"/>
    <cacheHierarchy uniqueName="[Measures].[TY LFL Avg Store Stock Unit]" caption="TY LFL Avg Store Stock Unit" measure="1" displayFolder="02_TYLFL\_UNIT" measureGroup="StockStore" count="0"/>
    <cacheHierarchy uniqueName="[Measures].[TY LFL Avg Store Transit Stock Unit]" caption="TY LFL Avg Store Transit Stock Unit" measure="1" displayFolder="02_TYLFL\_UNIT" measureGroup="StockStore" count="0"/>
    <cacheHierarchy uniqueName="[Measures].[TY LFL Avg Store Stock Cost LC]" caption="TY LFL Avg Store Stock Cost LC" measure="1" displayFolder="02_TYLFL\LC" measureGroup="StockStore" count="0"/>
    <cacheHierarchy uniqueName="[Measures].[TY LFL Avg Store Transit Stock Cost LC]" caption="TY LFL Avg Store Transit Stock Cost LC" measure="1" displayFolder="02_TYLFL\LC" measureGroup="StockStore" count="0"/>
    <cacheHierarchy uniqueName="[Measures].[TY Avg Store Stock Cost TRY]" caption="TY Avg Store Stock Cost TRY" measure="1" displayFolder="01_TY\TRY" measureGroup="StockStore" count="0"/>
    <cacheHierarchy uniqueName="[Measures].[TY Avg Store Transit Stock Cost TRY]" caption="TY Avg Store Transit Stock Cost TRY" measure="1" displayFolder="01_TY\TRY" measureGroup="StockStore" count="0"/>
    <cacheHierarchy uniqueName="[Measures].[TY Avg Store Stock Cost USD]" caption="TY Avg Store Stock Cost USD" measure="1" displayFolder="01_TY\USD" measureGroup="StockStore" count="0"/>
    <cacheHierarchy uniqueName="[Measures].[TY Avg Store Transit Stock Cost USD]" caption="TY Avg Store Transit Stock Cost USD" measure="1" displayFolder="01_TY\USD" measureGroup="StockStore" count="0"/>
    <cacheHierarchy uniqueName="[Measures].[TY LFL Avg Store Stock Cost TRY]" caption="TY LFL Avg Store Stock Cost TRY" measure="1" displayFolder="02_TYLFL\TRY" measureGroup="StockStore" count="0"/>
    <cacheHierarchy uniqueName="[Measures].[TY LFL Avg Store Transit Stock Cost TRY]" caption="TY LFL Avg Store Transit Stock Cost TRY" measure="1" displayFolder="02_TYLFL\TRY" measureGroup="StockStore" count="0"/>
    <cacheHierarchy uniqueName="[Measures].[TY LFL Avg Store Stock Cost USD]" caption="TY LFL Avg Store Stock Cost USD" measure="1" displayFolder="02_TYLFL\USD" measureGroup="StockStore" count="0"/>
    <cacheHierarchy uniqueName="[Measures].[TY LFL Avg Store Transit Stock Cost USD]" caption="TY LFL Avg Store Transit Stock Cost USD" measure="1" displayFolder="02_TYLFL\USD" measureGroup="StockStore" count="0"/>
    <cacheHierarchy uniqueName="[Measures].[StockLastProcessTime]" caption="StockLastProcessTime" measure="1" displayFolder="00_INFO" measureGroup="StockStore" count="0"/>
    <cacheHierarchy uniqueName="[Measures].[LY Avg Store Stock Unit]" caption="LY Avg Store Stock Unit" measure="1" displayFolder="03_LY\_UNIT" measureGroup="StockStore" count="0"/>
    <cacheHierarchy uniqueName="[Measures].[LY Avg Store Transit Stock Unit]" caption="LY Avg Store Transit Stock Unit" measure="1" displayFolder="03_LY\_UNIT" measureGroup="StockStore" count="0"/>
    <cacheHierarchy uniqueName="[Measures].[LY Avg Store Stock Cost LC]" caption="LY Avg Store Stock Cost LC" measure="1" displayFolder="03_LY\LC" measureGroup="StockStore" count="0"/>
    <cacheHierarchy uniqueName="[Measures].[LY Avg Store Transit Stock Cost LC]" caption="LY Avg Store Transit Stock Cost LC" measure="1" displayFolder="03_LY\LC" measureGroup="StockStore" count="0"/>
    <cacheHierarchy uniqueName="[Measures].[LY Avg Store Stock Cost TRY]" caption="LY Avg Store Stock Cost TRY" measure="1" displayFolder="03_LY\TRY" measureGroup="StockStore" count="0"/>
    <cacheHierarchy uniqueName="[Measures].[LY Avg Store Transit Stock Cost TRY]" caption="LY Avg Store Transit Stock Cost TRY" measure="1" displayFolder="03_LY\TRY" measureGroup="StockStore" count="0"/>
    <cacheHierarchy uniqueName="[Measures].[LY Avg Store Stock Cost USD]" caption="LY Avg Store Stock Cost USD" measure="1" displayFolder="03_LY\USD" measureGroup="StockStore" count="0"/>
    <cacheHierarchy uniqueName="[Measures].[LY Avg Store Transit Stock Cost USD]" caption="LY Avg Store Transit Stock Cost USD" measure="1" displayFolder="03_LY\USD" measureGroup="StockStore" count="0"/>
    <cacheHierarchy uniqueName="[Measures].[LY LFL Avg Store Stock Unit]" caption="LY LFL Avg Store Stock Unit" measure="1" displayFolder="04_LYLFL\_UNIT" measureGroup="StockStore" count="0"/>
    <cacheHierarchy uniqueName="[Measures].[LY LFL Avg Store Transit Stock Unit]" caption="LY LFL Avg Store Transit Stock Unit" measure="1" displayFolder="04_LYLFL\_UNIT" measureGroup="StockStore" count="0"/>
    <cacheHierarchy uniqueName="[Measures].[LY LFL Avg Store Stock Cost LC]" caption="LY LFL Avg Store Stock Cost LC" measure="1" displayFolder="04_LYLFL\LC" measureGroup="StockStore" count="0"/>
    <cacheHierarchy uniqueName="[Measures].[LY LFL Avg Store Transit Stock Cost LC]" caption="LY LFL Avg Store Transit Stock Cost LC" measure="1" displayFolder="04_LYLFL\LC" measureGroup="StockStore" count="0"/>
    <cacheHierarchy uniqueName="[Measures].[LY LFL Avg Store Stock Cost TRY]" caption="LY LFL Avg Store Stock Cost TRY" measure="1" displayFolder="04_LYLFL\TRY" measureGroup="StockStore" count="0"/>
    <cacheHierarchy uniqueName="[Measures].[LY LFL Avg Store Transit Stock Cost TRY]" caption="LY LFL Avg Store Transit Stock Cost TRY" measure="1" displayFolder="04_LYLFL\TRY" measureGroup="StockStore" count="0"/>
    <cacheHierarchy uniqueName="[Measures].[LY LFL Avg Store Stock Cost USD]" caption="LY LFL Avg Store Stock Cost USD" measure="1" displayFolder="04_LYLFL\USD" measureGroup="StockStore" count="0"/>
    <cacheHierarchy uniqueName="[Measures].[LY LFL Avg Store Transit Stock Cost USD]" caption="LY LFL Avg Store Transit Stock Cost USD" measure="1" displayFolder="04_LYLFL\USD" measureGroup="StockStore" count="0"/>
    <cacheHierarchy uniqueName="[Measures].[CUR Open Imports Store Stock Unit]" caption="CUR Open Imports Store Stock Unit" measure="1" displayFolder="00_CURRENT" measureGroup="StockStore" count="0"/>
    <cacheHierarchy uniqueName="[Measures].[CUR Open Transfer Store Stock Unit]" caption="CUR Open Transfer Store Stock Unit" measure="1" displayFolder="00_CURRENT" measureGroup="StockStore" count="0"/>
    <cacheHierarchy uniqueName="[Measures].[EOP TY Store Stock Unit]" caption="EOP TY Store Stock Unit" measure="1" displayFolder="01_TY\_UNIT" measureGroup="StockStore" count="0"/>
    <cacheHierarchy uniqueName="[Measures].[EOP TY Avg Store Stock Cost LC]" caption="EOP TY Avg Store Stock Cost LC" measure="1" displayFolder="01_TY\LC" measureGroup="StockStore" count="0"/>
    <cacheHierarchy uniqueName="[Measures].[EOP TY Store Transit Stock Unit]" caption="EOP TY Store Transit Stock Unit" measure="1" displayFolder="01_TY\_UNIT" measureGroup="StockStore" count="0"/>
    <cacheHierarchy uniqueName="[Measures].[EOP TY Avg Store Transit Stock Cost LC]" caption="EOP TY Avg Store Transit Stock Cost LC" measure="1" displayFolder="01_TY\LC" measureGroup="StockStore" count="0"/>
    <cacheHierarchy uniqueName="[Measures].[EOP TY Avg Store Stock Cost TRY]" caption="EOP TY Avg Store Stock Cost TRY" measure="1" displayFolder="01_TY\TRY" measureGroup="StockStore" count="0"/>
    <cacheHierarchy uniqueName="[Measures].[EOP TY Avg Store Transit Stock Cost TRY]" caption="EOP TY Avg Store Transit Stock Cost TRY" measure="1" displayFolder="01_TY\TRY" measureGroup="StockStore" count="0"/>
    <cacheHierarchy uniqueName="[Measures].[EOP LY Store Stock Unit]" caption="EOP LY Store Stock Unit" measure="1" displayFolder="03_LY\_UNIT" measureGroup="StockStore" count="0"/>
    <cacheHierarchy uniqueName="[Measures].[EOP LY Store Transit Stock Unit]" caption="EOP LY Store Transit Stock Unit" measure="1" displayFolder="03_LY\_UNIT" measureGroup="StockStore" count="0"/>
    <cacheHierarchy uniqueName="[Measures].[EOP LY Avg Store Stock Cost LC]" caption="EOP LY Avg Store Stock Cost LC" measure="1" displayFolder="03_LY\LC" measureGroup="StockStore" count="0"/>
    <cacheHierarchy uniqueName="[Measures].[EOP LY Avg Store Transit Stock Cost LC]" caption="EOP LY Avg Store Transit Stock Cost LC" measure="1" displayFolder="03_LY\LC" measureGroup="StockStore" count="0"/>
    <cacheHierarchy uniqueName="[Measures].[EOP LY Avg Store Stock Cost TRY]" caption="EOP LY Avg Store Stock Cost TRY" measure="1" displayFolder="03_LY\TRY" measureGroup="StockStore" count="0"/>
    <cacheHierarchy uniqueName="[Measures].[EOP LY Avg Store Transit Stock Cost TRY]" caption="EOP LY Avg Store Transit Stock Cost TRY" measure="1" displayFolder="03_LY\TRY" measureGroup="StockStore" count="0"/>
    <cacheHierarchy uniqueName="[Measures].[TY Avg Store Other Stock Unit]" caption="TY Avg Store Other Stock Unit" measure="1" displayFolder="01_TY\_UNIT" measureGroup="StockStore" count="0"/>
    <cacheHierarchy uniqueName="[Measures].[TY LFL Avg Store Other Stock Unit]" caption="TY LFL Avg Store Other Stock Unit" measure="1" displayFolder="02_TYLFL\_UNIT" measureGroup="StockStore" count="0"/>
    <cacheHierarchy uniqueName="[Measures].[LY Avg Store Other Stock Unit]" caption="LY Avg Store Other Stock Unit" measure="1" displayFolder="03_LY\_UNIT" measureGroup="StockStore" count="0"/>
    <cacheHierarchy uniqueName="[Measures].[LY LFL Avg Store Other Stock Unit]" caption="LY LFL Avg Store Other Stock Unit" measure="1" displayFolder="04_LYLFL\_UNIT" measureGroup="StockStore" count="0"/>
    <cacheHierarchy uniqueName="[Measures].[TY Avg Company Stock Unit]" caption="TY Avg Company Stock Unit" measure="1" displayFolder="01_TY\_UNIT" measureGroup="StockStore" count="0"/>
    <cacheHierarchy uniqueName="[Measures].[TY Avg Store Other Stock Cost TRY]" caption="TY Avg Store Other Stock Cost TRY" measure="1" displayFolder="01_TY\TRY" measureGroup="StockStore" count="0"/>
    <cacheHierarchy uniqueName="[Measures].[EOP TY Avg Company Stock Cost TRY]" caption="EOP TY Avg Company Stock Cost TRY" measure="1" displayFolder="01_TY\TRY" measureGroup="StockStore" count="0"/>
    <cacheHierarchy uniqueName="[Measures].[EOP TY Avg Store Other Stock Cost TRY]" caption="EOP TY Avg Store Other Stock Cost TRY" measure="1" displayFolder="01_TY\TRY" measureGroup="StockStore" count="0"/>
    <cacheHierarchy uniqueName="[Measures].[TY Avg StoreOther Stock Cost LC]" caption="TY Avg StoreOther Stock Cost LC" measure="1" displayFolder="01_TY\LC" measureGroup="StockStore" count="0"/>
    <cacheHierarchy uniqueName="[Measures].[EOP TY Avg Store Other Stock Cost LC]" caption="EOP TY Avg Store Other Stock Cost LC" measure="1" displayFolder="01_TY\LC" measureGroup="StockStore" count="0"/>
    <cacheHierarchy uniqueName="[Measures].[TY Avg Store Other Stock Cost USD]" caption="TY Avg Store Other Stock Cost USD" measure="1" displayFolder="01_TY\USD" measureGroup="StockStore" count="0"/>
    <cacheHierarchy uniqueName="[Measures].[TY Avg Company Stock Cost TRY]" caption="TY Avg Company Stock Cost TRY" measure="1" displayFolder="01_TY\TRY" measureGroup="StockStore" count="0"/>
    <cacheHierarchy uniqueName="[Measures].[TY Avg Company Stock Cost LC]" caption="TY Avg Company Stock Cost LC" measure="1" displayFolder="01_TY\LC" measureGroup="StockStore" count="0"/>
    <cacheHierarchy uniqueName="[Measures].[TY Avg Company Stock Cost USD]" caption="TY Avg Company Stock Cost USD" measure="1" displayFolder="01_TY\USD" measureGroup="StockStore" count="0"/>
    <cacheHierarchy uniqueName="[Measures].[TY Avg Store Other Stock Cost LC]" caption="TY Avg Store Other Stock Cost LC" measure="1" displayFolder="01_TY\LC" measureGroup="StockStore" count="0"/>
    <cacheHierarchy uniqueName="[Measures].[LY Avg Company Stock Unit]" caption="LY Avg Company Stock Unit" measure="1" displayFolder="03_LY\_UNIT" measureGroup="StockStore" count="0"/>
    <cacheHierarchy uniqueName="[Measures].[LY Avg Company Stock Cost LC]" caption="LY Avg Company Stock Cost LC" measure="1" displayFolder="03_LY\LC" measureGroup="StockStore" count="0"/>
    <cacheHierarchy uniqueName="[Measures].[LY Avg Store Other Stock Cost LC]" caption="LY Avg Store Other Stock Cost LC" measure="1" displayFolder="03_LY\LC" measureGroup="StockStore" count="0"/>
    <cacheHierarchy uniqueName="[Measures].[LY Avg Company Stock Cost TRY]" caption="LY Avg Company Stock Cost TRY" measure="1" displayFolder="03_LY\TRY" measureGroup="StockStore" count="0"/>
    <cacheHierarchy uniqueName="[Measures].[LY Avg Company Stock Cost USD]" caption="LY Avg Company Stock Cost USD" measure="1" displayFolder="03_LY\USD" measureGroup="StockStore" count="0"/>
    <cacheHierarchy uniqueName="[Measures].[EOP TY Company Stock Unit]" caption="EOP TY Company Stock Unit" measure="1" displayFolder="01_TY\_UNIT" measureGroup="StockStore" count="0"/>
    <cacheHierarchy uniqueName="[Measures].[EOP TY Store Other Stock Unit]" caption="EOP TY Store Other Stock Unit" measure="1" displayFolder="01_TY\_UNIT" measureGroup="StockStore" count="0"/>
    <cacheHierarchy uniqueName="[Measures].[EOP TY Company Stock Cost TRY]" caption="EOP TY Company Stock Cost TRY" measure="1" displayFolder="01_TY\TRY" measureGroup="StockStore" count="0"/>
    <cacheHierarchy uniqueName="[Measures].[Cur Unit ISP VAT LC]" caption="Cur Unit ISP VAT LC" measure="1" displayFolder="00_CURRENT" measureGroup="StockStore" count="0"/>
    <cacheHierarchy uniqueName="[Measures].[Cur Discounted Unit ISP VAT LC]" caption="Cur Discounted Unit ISP VAT LC" measure="1" displayFolder="00_CURRENT" measureGroup="StockStore" count="0"/>
    <cacheHierarchy uniqueName="[Measures].[CUR Available Store Stock Unit]" caption="CUR Available Store Stock Unit" measure="1" displayFolder="00_CURRENT" measureGroup="StockStore" count="0"/>
    <cacheHierarchy uniqueName="[Measures].[CUR Real Store Stock Unit]" caption="CUR Real Store Stock Unit" measure="1" displayFolder="00_CURRENT" measureGroup="StockStore" count="0"/>
    <cacheHierarchy uniqueName="[Measures].[CUR Open Delivery Store Stock Unit]" caption="CUR Open Delivery Store Stock Unit" measure="1" displayFolder="00_CURRENT" measureGroup="StockStore" count="0"/>
    <cacheHierarchy uniqueName="[Measures].[CUR Open Sto Store Stock Unit]" caption="CUR Open Sto Store Stock Unit" measure="1" displayFolder="00_CURRENT" measureGroup="StockStore" count="0"/>
    <cacheHierarchy uniqueName="[Measures].[CUR Safety Store Stock Unit]" caption="CUR Safety Store Stock Unit" measure="1" displayFolder="00_CURRENT" measureGroup="StockStore" count="0"/>
    <cacheHierarchy uniqueName="[Measures].[CUR Buffer Store Stock Unit]" caption="CUR Buffer Store Stock Unit" measure="1" displayFolder="00_CURRENT" measureGroup="StockStore" count="0"/>
    <cacheHierarchy uniqueName="[Measures].[CUR Unapproved Order Store Stock Unit]" caption="CUR Unapproved Order Store Stock Unit" measure="1" displayFolder="00_CURRENT" measureGroup="StockStore" count="0"/>
    <cacheHierarchy uniqueName="[Measures].[OrderLastProcessTime]" caption="OrderLastProcessTime" measure="1" displayFolder="00_INFO" measureGroup="StockStore" count="0"/>
    <cacheHierarchy uniqueName="[Measures].[AvailableStockProcessTime]" caption="AvailableStockProcessTime" measure="1" displayFolder="00_INFO" measureGroup="StockStore" count="0"/>
    <cacheHierarchy uniqueName="[Measures].[EOP LY Company Stock Unit]" caption="EOP LY Company Stock Unit" measure="1" displayFolder="03_LY\_UNIT" measureGroup="StockStore" count="0"/>
    <cacheHierarchy uniqueName="[Measures].[EOP LY Store Other Stock Unit]" caption="EOP LY Store Other Stock Unit" measure="1" displayFolder="03_LY\_UNIT" measureGroup="StockStore" count="0"/>
    <cacheHierarchy uniqueName="[Measures].[CUR Open Order Store Stock Unit]" caption="CUR Open Order Store Stock Unit" measure="1" displayFolder="00_CURRENT" measureGroup="StockStore" count="0"/>
    <cacheHierarchy uniqueName="[Measures].[EOP TY Store Stock Dm3]" caption="EOP TY Store Stock Dm3" measure="1" displayFolder="01_TY\_VOLUME" measureGroup="StockStore" count="0"/>
    <cacheHierarchy uniqueName="[Measures].[TY Avg Store Stock Dm3]" caption="TY Avg Store Stock Dm3" measure="1" displayFolder="01_TY\_VOLUME" measureGroup="StockStore" count="0"/>
    <cacheHierarchy uniqueName="[Measures].[EOP TY Store Transit Stock Dm3]" caption="EOP TY Store Transit Stock Dm3" measure="1" displayFolder="01_TY\_VOLUME" measureGroup="StockStore" count="0"/>
    <cacheHierarchy uniqueName="[Measures].[CUR Open Transfer Store Stock Dm3]" caption="CUR Open Transfer Store Stock Dm3" measure="1" displayFolder="00_CURRENT" measureGroup="StockStore" count="0"/>
    <cacheHierarchy uniqueName="[Measures].[CUR Unapproved Order Store Stock Dm3]" caption="CUR Unapproved Order Store Stock Dm3" measure="1" displayFolder="00_CURRENT" measureGroup="StockStore" count="0"/>
    <cacheHierarchy uniqueName="[Measures].[CUR Unapproved Order Store Stock Unit Others]" caption="CUR Unapproved Order Store Stock Unit Others" measure="1" displayFolder="00_CURRENT" measureGroup="StockStore" count="0"/>
    <cacheHierarchy uniqueName="[Measures].[CUR Open Transfer Store Stock Unit Others]" caption="CUR Open Transfer Store Stock Unit Others" measure="1" displayFolder="00_CURRENT" measureGroup="StockStore" count="0"/>
    <cacheHierarchy uniqueName="[Measures].[CUR Open Transfer Store Stock Dm3 Others]" caption="CUR Open Transfer Store Stock Dm3 Others" measure="1" displayFolder="00_CURRENT" measureGroup="StockStore" count="0"/>
    <cacheHierarchy uniqueName="[Measures].[CUR Unapproved Order Store Stock Dm3 Others]" caption="CUR Unapproved Order Store Stock Dm3 Others" measure="1" displayFolder="00_CURRENT" measureGroup="StockStore" count="0"/>
    <cacheHierarchy uniqueName="[Measures].[TY Sales Unit]" caption="TY Sales Unit" measure="1" displayFolder="01_TY\_UNIT" measureGroup="Sales" count="0" oneField="1">
      <fieldsUsage count="1">
        <fieldUsage x="2"/>
      </fieldsUsage>
    </cacheHierarchy>
    <cacheHierarchy uniqueName="[Measures].[TY Sales Value VAT LC]" caption="TY Sales Value VAT LC" measure="1" displayFolder="01_TY\LC" measureGroup="Sales" count="0"/>
    <cacheHierarchy uniqueName="[Measures].[TY Sales Value LC]" caption="TY Sales Value LC" measure="1" displayFolder="01_TY\LC" measureGroup="Sales" count="0" oneField="1">
      <fieldsUsage count="1">
        <fieldUsage x="3"/>
      </fieldsUsage>
    </cacheHierarchy>
    <cacheHierarchy uniqueName="[Measures].[TY Sales Cost VAT LC]" caption="TY Sales Cost VAT LC" measure="1" displayFolder="01_TY\LC" measureGroup="Sales" count="0"/>
    <cacheHierarchy uniqueName="[Measures].[TY Sales Cost LC]" caption="TY Sales Cost LC" measure="1" displayFolder="01_TY\LC" measureGroup="Sales" count="0"/>
    <cacheHierarchy uniqueName="[Measures].[TY ISP Sales Value VAT LC]" caption="TY ISP Sales Value VAT LC" measure="1" displayFolder="01_TY\LC" measureGroup="Sales" count="0"/>
    <cacheHierarchy uniqueName="[Measures].[TY ISP Sales Value LC]" caption="TY ISP Sales Value LC" measure="1" displayFolder="01_TY\LC" measureGroup="Sales" count="0"/>
    <cacheHierarchy uniqueName="[Measures].[TY Sales Discount Value VAT LC]" caption="TY Sales Discount Value VAT LC" measure="1" displayFolder="01_TY\LC" measureGroup="Sales" count="0"/>
    <cacheHierarchy uniqueName="[Measures].[TY Sales Discount Value LC]" caption="TY Sales Discount Value LC" measure="1" displayFolder="01_TY\LC" measureGroup="Sales" count="0"/>
    <cacheHierarchy uniqueName="[Measures].[TY Sales Value VAT TRY]" caption="TY Sales Value VAT TRY" measure="1" displayFolder="01_TY\TRY" measureGroup="Sales" count="0"/>
    <cacheHierarchy uniqueName="[Measures].[TY Sales Value TRY]" caption="TY Sales Value TRY" measure="1" displayFolder="01_TY\TRY" measureGroup="Sales" count="0"/>
    <cacheHierarchy uniqueName="[Measures].[TY Sales Cost VAT TRY]" caption="TY Sales Cost VAT TRY" measure="1" displayFolder="01_TY\TRY" measureGroup="Sales" count="0"/>
    <cacheHierarchy uniqueName="[Measures].[TY Sales Cost TRY]" caption="TY Sales Cost TRY" measure="1" displayFolder="01_TY\TRY" measureGroup="Sales" count="0"/>
    <cacheHierarchy uniqueName="[Measures].[TY ISP Sales Value VAT TRY]" caption="TY ISP Sales Value VAT TRY" measure="1" displayFolder="01_TY\TRY" measureGroup="Sales" count="0"/>
    <cacheHierarchy uniqueName="[Measures].[TY ISP Sales Value TRY]" caption="TY ISP Sales Value TRY" measure="1" displayFolder="01_TY\TRY" measureGroup="Sales" count="0"/>
    <cacheHierarchy uniqueName="[Measures].[TY Sales Discount Value VAT TRY]" caption="TY Sales Discount Value VAT TRY" measure="1" displayFolder="01_TY\TRY" measureGroup="Sales" count="0"/>
    <cacheHierarchy uniqueName="[Measures].[TY Sales Discount Value TRY]" caption="TY Sales Discount Value TRY" measure="1" displayFolder="01_TY\TRY" measureGroup="Sales" count="0"/>
    <cacheHierarchy uniqueName="[Measures].[TY Invoice Count]" caption="TY Invoice Count" measure="1" displayFolder="01_TY\_UNIT" measureGroup="Sales" count="0"/>
    <cacheHierarchy uniqueName="[Measures].[TY Return Invoice Count]" caption="TY Return Invoice Count" measure="1" displayFolder="01_TY\_UNIT" measureGroup="Sales" count="0"/>
    <cacheHierarchy uniqueName="[Measures].[TY Gross Invoice Count]" caption="TY Gross Invoice Count" measure="1" displayFolder="01_TY\_UNIT" measureGroup="Sales" count="0"/>
    <cacheHierarchy uniqueName="[Measures].[SalesLastProcessTime]" caption="SalesLastProcessTime" measure="1" displayFolder="00_INFO" measureGroup="Sales" count="0"/>
    <cacheHierarchy uniqueName="[Measures].[TY LFL Gross Invoice Count]" caption="TY LFL Gross Invoice Count" measure="1" displayFolder="02_TYLFL\_UNIT" measureGroup="Sales" count="0"/>
    <cacheHierarchy uniqueName="[Measures].[TY LFL Return Invoice Count]" caption="TY LFL Return Invoice Count" measure="1" displayFolder="02_TYLFL\_UNIT" measureGroup="Sales" count="0"/>
    <cacheHierarchy uniqueName="[Measures].[TY LFL Invoice Count]" caption="TY LFL Invoice Count" measure="1" displayFolder="02_TYLFL\_UNIT" measureGroup="Sales" count="0"/>
    <cacheHierarchy uniqueName="[Measures].[LY Sales Unit]" caption="LY Sales Unit" measure="1" displayFolder="03_LY\_UNIT" measureGroup="Sales" count="0"/>
    <cacheHierarchy uniqueName="[Measures].[LY Sales Value VAT LC]" caption="LY Sales Value VAT LC" measure="1" displayFolder="03_LY\LC" measureGroup="Sales" count="0"/>
    <cacheHierarchy uniqueName="[Measures].[LY Sales Value LC]" caption="LY Sales Value LC" measure="1" displayFolder="03_LY\LC" measureGroup="Sales" count="0"/>
    <cacheHierarchy uniqueName="[Measures].[LY Sales Cost VAT LC]" caption="LY Sales Cost VAT LC" measure="1" displayFolder="03_LY\LC" measureGroup="Sales" count="0"/>
    <cacheHierarchy uniqueName="[Measures].[LY Sales Cost LC]" caption="LY Sales Cost LC" measure="1" displayFolder="03_LY\LC" measureGroup="Sales" count="0"/>
    <cacheHierarchy uniqueName="[Measures].[LY ISP Sales Value VAT LC]" caption="LY ISP Sales Value VAT LC" measure="1" displayFolder="03_LY\LC" measureGroup="Sales" count="0"/>
    <cacheHierarchy uniqueName="[Measures].[LY ISP Sales Value LC]" caption="LY ISP Sales Value LC" measure="1" displayFolder="03_LY\LC" measureGroup="Sales" count="0"/>
    <cacheHierarchy uniqueName="[Measures].[LY Sales Discount Value VAT LC]" caption="LY Sales Discount Value VAT LC" measure="1" displayFolder="03_LY\LC" measureGroup="Sales" count="0"/>
    <cacheHierarchy uniqueName="[Measures].[LY Sales Discount Value LC]" caption="LY Sales Discount Value LC" measure="1" displayFolder="03_LY\LC" measureGroup="Sales" count="0"/>
    <cacheHierarchy uniqueName="[Measures].[LY Invoice Count]" caption="LY Invoice Count" measure="1" displayFolder="03_LY\_UNIT" measureGroup="Sales" count="0"/>
    <cacheHierarchy uniqueName="[Measures].[LY Gross Invoice Count]" caption="LY Gross Invoice Count" measure="1" displayFolder="03_LY\_UNIT" measureGroup="Sales" count="0"/>
    <cacheHierarchy uniqueName="[Measures].[LY Return Invoice Count]" caption="LY Return Invoice Count" measure="1" displayFolder="03_LY\_UNIT" measureGroup="Sales" count="0"/>
    <cacheHierarchy uniqueName="[Measures].[TY LFL Sales Unit]" caption="TY LFL Sales Unit" measure="1" displayFolder="02_TYLFL\_UNIT" measureGroup="Sales" count="0"/>
    <cacheHierarchy uniqueName="[Measures].[TY LFL Sales Value VAT LC]" caption="TY LFL Sales Value VAT LC" measure="1" displayFolder="02_TYLFL\LC" measureGroup="Sales" count="0"/>
    <cacheHierarchy uniqueName="[Measures].[TY LFL Sales Value LC]" caption="TY LFL Sales Value LC" measure="1" displayFolder="02_TYLFL\LC" measureGroup="Sales" count="0"/>
    <cacheHierarchy uniqueName="[Measures].[TY LFL Sales Cost VAT LC]" caption="TY LFL Sales Cost VAT LC" measure="1" displayFolder="02_TYLFL\LC" measureGroup="Sales" count="0"/>
    <cacheHierarchy uniqueName="[Measures].[TY LFL Sales Cost LC]" caption="TY LFL Sales Cost LC" measure="1" displayFolder="02_TYLFL\LC" measureGroup="Sales" count="0"/>
    <cacheHierarchy uniqueName="[Measures].[TY LFL ISP Sales Value VAT LC]" caption="TY LFL ISP Sales Value VAT LC" measure="1" displayFolder="02_TYLFL\LC" measureGroup="Sales" count="0"/>
    <cacheHierarchy uniqueName="[Measures].[TY LFL ISP Sales Value LC]" caption="TY LFL ISP Sales Value LC" measure="1" displayFolder="02_TYLFL\LC" measureGroup="Sales" count="0"/>
    <cacheHierarchy uniqueName="[Measures].[TY LFL Sales Discount Value VAT LC]" caption="TY LFL Sales Discount Value VAT LC" measure="1" displayFolder="02_TYLFL\LC" measureGroup="Sales" count="0"/>
    <cacheHierarchy uniqueName="[Measures].[TY LFL Sales Discount Value LC]" caption="TY LFL Sales Discount Value LC" measure="1" displayFolder="02_TYLFL\LC" measureGroup="Sales" count="0"/>
    <cacheHierarchy uniqueName="[Measures].[TY Sales Value VAT USD]" caption="TY Sales Value VAT USD" measure="1" displayFolder="01_TY\USD" measureGroup="Sales" count="0"/>
    <cacheHierarchy uniqueName="[Measures].[TY Sales Value USD]" caption="TY Sales Value USD" measure="1" displayFolder="01_TY\USD" measureGroup="Sales" count="0"/>
    <cacheHierarchy uniqueName="[Measures].[TY Sales Cost VAT USD]" caption="TY Sales Cost VAT USD" measure="1" displayFolder="01_TY\USD" measureGroup="Sales" count="0"/>
    <cacheHierarchy uniqueName="[Measures].[TY Sales Cost USD]" caption="TY Sales Cost USD" measure="1" displayFolder="01_TY\USD" measureGroup="Sales" count="0"/>
    <cacheHierarchy uniqueName="[Measures].[TY ISP Sales Value VAT USD]" caption="TY ISP Sales Value VAT USD" measure="1" displayFolder="01_TY\USD" measureGroup="Sales" count="0"/>
    <cacheHierarchy uniqueName="[Measures].[TY ISP Sales Value USD]" caption="TY ISP Sales Value USD" measure="1" displayFolder="01_TY\USD" measureGroup="Sales" count="0"/>
    <cacheHierarchy uniqueName="[Measures].[TY Sales Discount Value VAT USD]" caption="TY Sales Discount Value VAT USD" measure="1" displayFolder="01_TY\USD" measureGroup="Sales" count="0"/>
    <cacheHierarchy uniqueName="[Measures].[TY Sales Discount Value USD]" caption="TY Sales Discount Value USD" measure="1" displayFolder="01_TY\USD" measureGroup="Sales" count="0"/>
    <cacheHierarchy uniqueName="[Measures].[TY LFL Sales Value VAT TRY]" caption="TY LFL Sales Value VAT TRY" measure="1" displayFolder="02_TYLFL\TRY" measureGroup="Sales" count="0"/>
    <cacheHierarchy uniqueName="[Measures].[TY LFL Sales Value TRY]" caption="TY LFL Sales Value TRY" measure="1" displayFolder="02_TYLFL\TRY" measureGroup="Sales" count="0"/>
    <cacheHierarchy uniqueName="[Measures].[TY LFL Sales Cost VAT TRY]" caption="TY LFL Sales Cost VAT TRY" measure="1" displayFolder="02_TYLFL\TRY" measureGroup="Sales" count="0"/>
    <cacheHierarchy uniqueName="[Measures].[TY LFL Sales Cost TRY]" caption="TY LFL Sales Cost TRY" measure="1" displayFolder="02_TYLFL\TRY" measureGroup="Sales" count="0"/>
    <cacheHierarchy uniqueName="[Measures].[TY LFL ISP Sales Value VAT TRY]" caption="TY LFL ISP Sales Value VAT TRY" measure="1" displayFolder="02_TYLFL\TRY" measureGroup="Sales" count="0"/>
    <cacheHierarchy uniqueName="[Measures].[TY LFL ISP Sales Value TRY]" caption="TY LFL ISP Sales Value TRY" measure="1" displayFolder="02_TYLFL\TRY" measureGroup="Sales" count="0"/>
    <cacheHierarchy uniqueName="[Measures].[TY LFL Sales Discount Value VAT TRY]" caption="TY LFL Sales Discount Value VAT TRY" measure="1" displayFolder="02_TYLFL\TRY" measureGroup="Sales" count="0"/>
    <cacheHierarchy uniqueName="[Measures].[TY LFL Sales Discount Value TRY]" caption="TY LFL Sales Discount Value TRY" measure="1" displayFolder="02_TYLFL\TRY" measureGroup="Sales" count="0"/>
    <cacheHierarchy uniqueName="[Measures].[TY LFL Sales Value VAT USD]" caption="TY LFL Sales Value VAT USD" measure="1" displayFolder="02_TYLFL\USD" measureGroup="Sales" count="0"/>
    <cacheHierarchy uniqueName="[Measures].[TY LFL Sales Value USD]" caption="TY LFL Sales Value USD" measure="1" displayFolder="02_TYLFL\USD" measureGroup="Sales" count="0"/>
    <cacheHierarchy uniqueName="[Measures].[TY LFL Sales Cost VAT USD]" caption="TY LFL Sales Cost VAT USD" measure="1" displayFolder="02_TYLFL\USD" measureGroup="Sales" count="0"/>
    <cacheHierarchy uniqueName="[Measures].[TY LFL Sales Cost USD]" caption="TY LFL Sales Cost USD" measure="1" displayFolder="02_TYLFL\USD" measureGroup="Sales" count="0"/>
    <cacheHierarchy uniqueName="[Measures].[TY LFL ISP Sales Value VAT USD]" caption="TY LFL ISP Sales Value VAT USD" measure="1" displayFolder="02_TYLFL\USD" measureGroup="Sales" count="0"/>
    <cacheHierarchy uniqueName="[Measures].[TY LFL ISP Sales Value USD]" caption="TY LFL ISP Sales Value USD" measure="1" displayFolder="02_TYLFL\USD" measureGroup="Sales" count="0"/>
    <cacheHierarchy uniqueName="[Measures].[TY LFL Sales Discount Value VAT USD]" caption="TY LFL Sales Discount Value VAT USD" measure="1" displayFolder="02_TYLFL\USD" measureGroup="Sales" count="0"/>
    <cacheHierarchy uniqueName="[Measures].[TY LFL Sales Discount Value USD]" caption="TY LFL Sales Discount Value USD" measure="1" displayFolder="02_TYLFL\USD" measureGroup="Sales" count="0"/>
    <cacheHierarchy uniqueName="[Measures].[LY Sales Value VAT TRY]" caption="LY Sales Value VAT TRY" measure="1" displayFolder="03_LY\TRY" measureGroup="Sales" count="0"/>
    <cacheHierarchy uniqueName="[Measures].[LY Sales Value TRY]" caption="LY Sales Value TRY" measure="1" displayFolder="03_LY\TRY" measureGroup="Sales" count="0"/>
    <cacheHierarchy uniqueName="[Measures].[LY Sales Cost VAT TRY]" caption="LY Sales Cost VAT TRY" measure="1" displayFolder="03_LY\TRY" measureGroup="Sales" count="0"/>
    <cacheHierarchy uniqueName="[Measures].[LY Sales Cost TRY]" caption="LY Sales Cost TRY" measure="1" displayFolder="03_LY\TRY" measureGroup="Sales" count="0"/>
    <cacheHierarchy uniqueName="[Measures].[LY ISP Sales Value VAT TRY]" caption="LY ISP Sales Value VAT TRY" measure="1" displayFolder="03_LY\TRY" measureGroup="Sales" count="0"/>
    <cacheHierarchy uniqueName="[Measures].[LY ISP Sales Value TRY]" caption="LY ISP Sales Value TRY" measure="1" displayFolder="03_LY\TRY" measureGroup="Sales" count="0"/>
    <cacheHierarchy uniqueName="[Measures].[LY Sales Discount Value VAT TRY]" caption="LY Sales Discount Value VAT TRY" measure="1" displayFolder="03_LY\TRY" measureGroup="Sales" count="0"/>
    <cacheHierarchy uniqueName="[Measures].[LY Sales Discount Value TRY]" caption="LY Sales Discount Value TRY" measure="1" displayFolder="03_LY\TRY" measureGroup="Sales" count="0"/>
    <cacheHierarchy uniqueName="[Measures].[LY Sales Value VAT USD]" caption="LY Sales Value VAT USD" measure="1" displayFolder="03_LY\USD" measureGroup="Sales" count="0"/>
    <cacheHierarchy uniqueName="[Measures].[LY Sales Value USD]" caption="LY Sales Value USD" measure="1" displayFolder="03_LY\USD" measureGroup="Sales" count="0"/>
    <cacheHierarchy uniqueName="[Measures].[LY Sales Cost VAT USD]" caption="LY Sales Cost VAT USD" measure="1" displayFolder="03_LY\USD" measureGroup="Sales" count="0"/>
    <cacheHierarchy uniqueName="[Measures].[LY Sales Cost USD]" caption="LY Sales Cost USD" measure="1" displayFolder="03_LY\USD" measureGroup="Sales" count="0"/>
    <cacheHierarchy uniqueName="[Measures].[LY ISP Sales Value VAT USD]" caption="LY ISP Sales Value VAT USD" measure="1" displayFolder="03_LY\USD" measureGroup="Sales" count="0"/>
    <cacheHierarchy uniqueName="[Measures].[LY ISP Sales Value USD]" caption="LY ISP Sales Value USD" measure="1" displayFolder="03_LY\USD" measureGroup="Sales" count="0"/>
    <cacheHierarchy uniqueName="[Measures].[LY Sales Discount Value VAT USD]" caption="LY Sales Discount Value VAT USD" measure="1" displayFolder="03_LY\USD" measureGroup="Sales" count="0"/>
    <cacheHierarchy uniqueName="[Measures].[LY Sales Discount Value USD]" caption="LY Sales Discount Value USD" measure="1" displayFolder="03_LY\USD" measureGroup="Sales" count="0"/>
    <cacheHierarchy uniqueName="[Measures].[LY LFL Sales Unit]" caption="LY LFL Sales Unit" measure="1" displayFolder="04_LYLFL\_UNIT" measureGroup="Sales" count="0"/>
    <cacheHierarchy uniqueName="[Measures].[LY LFL Sales Value VAT LC]" caption="LY LFL Sales Value VAT LC" measure="1" displayFolder="04_LYLFL\LC" measureGroup="Sales" count="0"/>
    <cacheHierarchy uniqueName="[Measures].[LY LFL Sales Value LC]" caption="LY LFL Sales Value LC" measure="1" displayFolder="04_LYLFL\LC" measureGroup="Sales" count="0"/>
    <cacheHierarchy uniqueName="[Measures].[LY LFL Sales Cost VAT LC]" caption="LY LFL Sales Cost VAT LC" measure="1" displayFolder="04_LYLFL\LC" measureGroup="Sales" count="0"/>
    <cacheHierarchy uniqueName="[Measures].[LY LFL Sales Cost LC]" caption="LY LFL Sales Cost LC" measure="1" displayFolder="04_LYLFL\LC" measureGroup="Sales" count="0"/>
    <cacheHierarchy uniqueName="[Measures].[LY LFL ISP Sales Value VAT LC]" caption="LY LFL ISP Sales Value VAT LC" measure="1" displayFolder="04_LYLFL\LC" measureGroup="Sales" count="0"/>
    <cacheHierarchy uniqueName="[Measures].[LY LFL ISP Sales Value LC]" caption="LY LFL ISP Sales Value LC" measure="1" displayFolder="04_LYLFL\LC" measureGroup="Sales" count="0"/>
    <cacheHierarchy uniqueName="[Measures].[LY LFL Sales Discount Value VAT LC]" caption="LY LFL Sales Discount Value VAT LC" measure="1" displayFolder="04_LYLFL\LC" measureGroup="Sales" count="0"/>
    <cacheHierarchy uniqueName="[Measures].[LY LFL Sales Discount Value LC]" caption="LY LFL Sales Discount Value LC" measure="1" displayFolder="04_LYLFL\LC" measureGroup="Sales" count="0"/>
    <cacheHierarchy uniqueName="[Measures].[LY LFL Sales Value VAT TRY]" caption="LY LFL Sales Value VAT TRY" measure="1" displayFolder="04_LYLFL\TRY" measureGroup="Sales" count="0"/>
    <cacheHierarchy uniqueName="[Measures].[LY LFL Sales Value TRY]" caption="LY LFL Sales Value TRY" measure="1" displayFolder="04_LYLFL\TRY" measureGroup="Sales" count="0"/>
    <cacheHierarchy uniqueName="[Measures].[LY LFL Sales Cost VAT TRY]" caption="LY LFL Sales Cost VAT TRY" measure="1" displayFolder="04_LYLFL\TRY" measureGroup="Sales" count="0"/>
    <cacheHierarchy uniqueName="[Measures].[LY LFL Sales Cost TRY]" caption="LY LFL Sales Cost TRY" measure="1" displayFolder="04_LYLFL\TRY" measureGroup="Sales" count="0"/>
    <cacheHierarchy uniqueName="[Measures].[LY LFL ISP Sales Value VAT TRY]" caption="LY LFL ISP Sales Value VAT TRY" measure="1" displayFolder="04_LYLFL\TRY" measureGroup="Sales" count="0"/>
    <cacheHierarchy uniqueName="[Measures].[LY LFL ISP Sales Value TRY]" caption="LY LFL ISP Sales Value TRY" measure="1" displayFolder="04_LYLFL\TRY" measureGroup="Sales" count="0"/>
    <cacheHierarchy uniqueName="[Measures].[LY LFL Sales Discount Value VAT TRY]" caption="LY LFL Sales Discount Value VAT TRY" measure="1" displayFolder="04_LYLFL\TRY" measureGroup="Sales" count="0"/>
    <cacheHierarchy uniqueName="[Measures].[LY LFL Sales Discount Value TRY]" caption="LY LFL Sales Discount Value TRY" measure="1" displayFolder="04_LYLFL\TRY" measureGroup="Sales" count="0"/>
    <cacheHierarchy uniqueName="[Measures].[LY LFL Gross Invoice Count]" caption="LY LFL Gross Invoice Count" measure="1" displayFolder="04_LYLFL\_UNIT" measureGroup="Sales" count="0"/>
    <cacheHierarchy uniqueName="[Measures].[LY LFL Return Invoice Count]" caption="LY LFL Return Invoice Count" measure="1" displayFolder="04_LYLFL\_UNIT" measureGroup="Sales" count="0"/>
    <cacheHierarchy uniqueName="[Measures].[LY LFL Invoice Count]" caption="LY LFL Invoice Count" measure="1" displayFolder="04_LYLFL\_UNIT" measureGroup="Sales" count="0"/>
    <cacheHierarchy uniqueName="[Measures].[LY LFL Sales Value VAT USD]" caption="LY LFL Sales Value VAT USD" measure="1" displayFolder="04_LYLFL\USD" measureGroup="Sales" count="0"/>
    <cacheHierarchy uniqueName="[Measures].[LY LFL Sales Value USD]" caption="LY LFL Sales Value USD" measure="1" displayFolder="04_LYLFL\USD" measureGroup="Sales" count="0"/>
    <cacheHierarchy uniqueName="[Measures].[LY LFL Sales Cost VAT USD]" caption="LY LFL Sales Cost VAT USD" measure="1" displayFolder="04_LYLFL\USD" measureGroup="Sales" count="0"/>
    <cacheHierarchy uniqueName="[Measures].[LY LFL Sales Cost USD]" caption="LY LFL Sales Cost USD" measure="1" displayFolder="04_LYLFL\USD" measureGroup="Sales" count="0"/>
    <cacheHierarchy uniqueName="[Measures].[LY LFL ISP Sales Value VAT USD]" caption="LY LFL ISP Sales Value VAT USD" measure="1" displayFolder="04_LYLFL\USD" measureGroup="Sales" count="0"/>
    <cacheHierarchy uniqueName="[Measures].[LY LFL ISP Sales Value USD]" caption="LY LFL ISP Sales Value USD" measure="1" displayFolder="04_LYLFL\USD" measureGroup="Sales" count="0"/>
    <cacheHierarchy uniqueName="[Measures].[LY LFL Sales Discount Value VAT USD]" caption="LY LFL Sales Discount Value VAT USD" measure="1" displayFolder="04_LYLFL\USD" measureGroup="Sales" count="0"/>
    <cacheHierarchy uniqueName="[Measures].[LY LFL Sales Discount Value USD]" caption="LY LFL Sales Discount Value USD" measure="1" displayFolder="04_LYLFL\USD" measureGroup="Sales" count="0"/>
    <cacheHierarchy uniqueName="[Measures].[MinLflDate]" caption="MinLflDate" measure="1" displayFolder="00_INFO" measureGroup="Sales" count="0"/>
    <cacheHierarchy uniqueName="[Measures].[TY Unit Sales Price LC]" caption="TY Unit Sales Price LC" measure="1" displayFolder="01_TY\LC" measureGroup="Sales" count="0"/>
    <cacheHierarchy uniqueName="[Measures].[TY Unit Cost LC]" caption="TY Unit Cost LC" measure="1" displayFolder="01_TY\LC" measureGroup="Sales" count="0"/>
    <cacheHierarchy uniqueName="[Measures].[TY Unit ISP LC]" caption="TY Unit ISP LC" measure="1" displayFolder="01_TY\LC" measureGroup="Sales" count="0"/>
    <cacheHierarchy uniqueName="[Measures].[LY Unit Sales Price LC]" caption="LY Unit Sales Price LC" measure="1" displayFolder="03_LY\LC" measureGroup="Sales" count="0"/>
    <cacheHierarchy uniqueName="[Measures].[LY Unit Cost LC]" caption="LY Unit Cost LC" measure="1" displayFolder="03_LY\LC" measureGroup="Sales" count="0"/>
    <cacheHierarchy uniqueName="[Measures].[LY Unit ISP LC]" caption="LY Unit ISP LC" measure="1" displayFolder="03_LY\LC" measureGroup="Sales" count="0"/>
    <cacheHierarchy uniqueName="[Measures].[TY LFL Unit Sales Price LC]" caption="TY LFL Unit Sales Price LC" measure="1" displayFolder="02_TYLFL\LC" measureGroup="Sales" count="0"/>
    <cacheHierarchy uniqueName="[Measures].[TY LFL Unit Cost LC]" caption="TY LFL Unit Cost LC" measure="1" displayFolder="02_TYLFL\LC" measureGroup="Sales" count="0"/>
    <cacheHierarchy uniqueName="[Measures].[TY LFL Unit ISP LC]" caption="TY LFL Unit ISP LC" measure="1" displayFolder="02_TYLFL\LC" measureGroup="Sales" count="0"/>
    <cacheHierarchy uniqueName="[Measures].[LY LFL Unit Sales Price LC]" caption="LY LFL Unit Sales Price LC" measure="1" displayFolder="04_LYLFL\LC" measureGroup="Sales" count="0"/>
    <cacheHierarchy uniqueName="[Measures].[LY LFL Unit Cost LC]" caption="LY LFL Unit Cost LC" measure="1" displayFolder="04_LYLFL\LC" measureGroup="Sales" count="0"/>
    <cacheHierarchy uniqueName="[Measures].[LY LFL Unit ISP LC]" caption="LY LFL Unit ISP LC" measure="1" displayFolder="04_LYLFL\LC" measureGroup="Sales" count="0"/>
    <cacheHierarchy uniqueName="[Measures].[TY Unit Sales Price TRY]" caption="TY Unit Sales Price TRY" measure="1" displayFolder="01_TY\TRY" measureGroup="Sales" count="0"/>
    <cacheHierarchy uniqueName="[Measures].[TY Unit Cost TRY]" caption="TY Unit Cost TRY" measure="1" displayFolder="01_TY\TRY" measureGroup="Sales" count="0"/>
    <cacheHierarchy uniqueName="[Measures].[TY Unit ISP TRY]" caption="TY Unit ISP TRY" measure="1" displayFolder="01_TY\TRY" measureGroup="Sales" count="0"/>
    <cacheHierarchy uniqueName="[Measures].[LY Unit Sales Price TRY]" caption="LY Unit Sales Price TRY" measure="1" displayFolder="03_LY\TRY" measureGroup="Sales" count="0"/>
    <cacheHierarchy uniqueName="[Measures].[LY Unit Cost TRY]" caption="LY Unit Cost TRY" measure="1" displayFolder="03_LY\TRY" measureGroup="Sales" count="0"/>
    <cacheHierarchy uniqueName="[Measures].[LY Unit ISP TRY]" caption="LY Unit ISP TRY" measure="1" displayFolder="03_LY\TRY" measureGroup="Sales" count="0"/>
    <cacheHierarchy uniqueName="[Measures].[TY LFL Unit Sales Price TRY]" caption="TY LFL Unit Sales Price TRY" measure="1" displayFolder="02_TYLFL\TRY" measureGroup="Sales" count="0"/>
    <cacheHierarchy uniqueName="[Measures].[TY LFL Unit Cost TRY]" caption="TY LFL Unit Cost TRY" measure="1" displayFolder="02_TYLFL\TRY" measureGroup="Sales" count="0"/>
    <cacheHierarchy uniqueName="[Measures].[TY LFL Unit ISP TRY]" caption="TY LFL Unit ISP TRY" measure="1" displayFolder="02_TYLFL\TRY" measureGroup="Sales" count="0"/>
    <cacheHierarchy uniqueName="[Measures].[LY LFL Unit Sales Price TRY]" caption="LY LFL Unit Sales Price TRY" measure="1" displayFolder="04_LYLFL\TRY" measureGroup="Sales" count="0"/>
    <cacheHierarchy uniqueName="[Measures].[LY LFL Unit Cost TRY]" caption="LY LFL Unit Cost TRY" measure="1" displayFolder="04_LYLFL\TRY" measureGroup="Sales" count="0"/>
    <cacheHierarchy uniqueName="[Measures].[LY LFL Unit ISP TRY]" caption="LY LFL Unit ISP TRY" measure="1" displayFolder="04_LYLFL\TRY" measureGroup="Sales" count="0"/>
    <cacheHierarchy uniqueName="[Measures].[TY Unit Sales Price USD]" caption="TY Unit Sales Price USD" measure="1" displayFolder="01_TY\USD" measureGroup="Sales" count="0"/>
    <cacheHierarchy uniqueName="[Measures].[TY Unit Cost USD]" caption="TY Unit Cost USD" measure="1" displayFolder="01_TY\USD" measureGroup="Sales" count="0"/>
    <cacheHierarchy uniqueName="[Measures].[TY Unit ISP USD]" caption="TY Unit ISP USD" measure="1" displayFolder="01_TY\USD" measureGroup="Sales" count="0"/>
    <cacheHierarchy uniqueName="[Measures].[LY Unit Sales Price USD]" caption="LY Unit Sales Price USD" measure="1" displayFolder="03_LY\USD" measureGroup="Sales" count="0"/>
    <cacheHierarchy uniqueName="[Measures].[LY Unit Cost USD]" caption="LY Unit Cost USD" measure="1" displayFolder="03_LY\USD" measureGroup="Sales" count="0"/>
    <cacheHierarchy uniqueName="[Measures].[LY Unit ISP USD]" caption="LY Unit ISP USD" measure="1" displayFolder="03_LY\USD" measureGroup="Sales" count="0"/>
    <cacheHierarchy uniqueName="[Measures].[TY LFL Unit Sales Price USD]" caption="TY LFL Unit Sales Price USD" measure="1" displayFolder="02_TYLFL\USD" measureGroup="Sales" count="0"/>
    <cacheHierarchy uniqueName="[Measures].[TY LFL Unit Cost USD]" caption="TY LFL Unit Cost USD" measure="1" displayFolder="02_TYLFL\USD" measureGroup="Sales" count="0"/>
    <cacheHierarchy uniqueName="[Measures].[TY LFL Unit ISP USD]" caption="TY LFL Unit ISP USD" measure="1" displayFolder="02_TYLFL\USD" measureGroup="Sales" count="0"/>
    <cacheHierarchy uniqueName="[Measures].[LY LFL Unit Sales Price USD]" caption="LY LFL Unit Sales Price USD" measure="1" displayFolder="04_LYLFL\USD" measureGroup="Sales" count="0"/>
    <cacheHierarchy uniqueName="[Measures].[LY LFL Unit Cost USD]" caption="LY LFL Unit Cost USD" measure="1" displayFolder="04_LYLFL\USD" measureGroup="Sales" count="0"/>
    <cacheHierarchy uniqueName="[Measures].[LY LFL Unit ISP USD]" caption="LY LFL Unit ISP USD" measure="1" displayFolder="04_LYLFL\USD" measureGroup="Sales" count="0"/>
    <cacheHierarchy uniqueName="[Measures].[TY Gross Profit LC]" caption="TY Gross Profit LC" measure="1" displayFolder="01_TY\LC" measureGroup="Sales" count="0" oneField="1">
      <fieldsUsage count="1">
        <fieldUsage x="16"/>
      </fieldsUsage>
    </cacheHierarchy>
    <cacheHierarchy uniqueName="[Measures].[TY Gross Profit VAT LC]" caption="TY Gross Profit VAT LC" measure="1" displayFolder="01_TY\LC" measureGroup="Sales" count="0"/>
    <cacheHierarchy uniqueName="[Measures].[LY Gross Profit LC]" caption="LY Gross Profit LC" measure="1" displayFolder="03_LY\LC" measureGroup="Sales" count="0"/>
    <cacheHierarchy uniqueName="[Measures].[LY Gross Profit VAT LC]" caption="LY Gross Profit VAT LC" measure="1" displayFolder="03_LY\LC" measureGroup="Sales" count="0"/>
    <cacheHierarchy uniqueName="[Measures].[TY Gross Profit TRY]" caption="TY Gross Profit TRY" measure="1" displayFolder="01_TY\TRY" measureGroup="Sales" count="0"/>
    <cacheHierarchy uniqueName="[Measures].[TY Gross Profit VAT TRY]" caption="TY Gross Profit VAT TRY" measure="1" displayFolder="01_TY\TRY" measureGroup="Sales" count="0"/>
    <cacheHierarchy uniqueName="[Measures].[TY Gross Profit USD]" caption="TY Gross Profit USD" measure="1" displayFolder="01_TY\USD" measureGroup="Sales" count="0"/>
    <cacheHierarchy uniqueName="[Measures].[TY Gross Profit VAT USD]" caption="TY Gross Profit VAT USD" measure="1" displayFolder="01_TY\USD" measureGroup="Sales" count="0"/>
    <cacheHierarchy uniqueName="[Measures].[LY Gross Profit TRY]" caption="LY Gross Profit TRY" measure="1" displayFolder="03_LY\TRY" measureGroup="Sales" count="0"/>
    <cacheHierarchy uniqueName="[Measures].[LY Gross Profit VAT TRY]" caption="LY Gross Profit VAT TRY" measure="1" displayFolder="03_LY\TRY" measureGroup="Sales" count="0"/>
    <cacheHierarchy uniqueName="[Measures].[LY Gross Profit USD]" caption="LY Gross Profit USD" measure="1" displayFolder="03_LY\USD" measureGroup="Sales" count="0"/>
    <cacheHierarchy uniqueName="[Measures].[LY Gross Profit VAT USD]" caption="LY Gross Profit VAT USD" measure="1" displayFolder="03_LY\USD" measureGroup="Sales" count="0"/>
    <cacheHierarchy uniqueName="[Measures].[TY LFL Gross Profit LC]" caption="TY LFL Gross Profit LC" measure="1" displayFolder="02_TYLFL\LC" measureGroup="Sales" count="0"/>
    <cacheHierarchy uniqueName="[Measures].[TY LFL Gross Profit VAT LC]" caption="TY LFL Gross Profit VAT LC" measure="1" displayFolder="02_TYLFL\LC" measureGroup="Sales" count="0"/>
    <cacheHierarchy uniqueName="[Measures].[TY LFL Gross Profit TRY]" caption="TY LFL Gross Profit TRY" measure="1" displayFolder="02_TYLFL\TRY" measureGroup="Sales" count="0"/>
    <cacheHierarchy uniqueName="[Measures].[TY LFL Gross Profit VAT TRY]" caption="TY LFL Gross Profit VAT TRY" measure="1" displayFolder="02_TYLFL\TRY" measureGroup="Sales" count="0"/>
    <cacheHierarchy uniqueName="[Measures].[TY LFL Gross Profit USD]" caption="TY LFL Gross Profit USD" measure="1" displayFolder="02_TYLFL\USD" measureGroup="Sales" count="0"/>
    <cacheHierarchy uniqueName="[Measures].[TY LFL Gross Profit VAT USD]" caption="TY LFL Gross Profit VAT USD" measure="1" displayFolder="02_TYLFL\USD" measureGroup="Sales" count="0"/>
    <cacheHierarchy uniqueName="[Measures].[LY LFL Gross Profit LC]" caption="LY LFL Gross Profit LC" measure="1" displayFolder="04_LYLFL\LC" measureGroup="Sales" count="0"/>
    <cacheHierarchy uniqueName="[Measures].[LY LFL Gross Profit VAT LC]" caption="LY LFL Gross Profit VAT LC" measure="1" displayFolder="04_LYLFL\LC" measureGroup="Sales" count="0"/>
    <cacheHierarchy uniqueName="[Measures].[LY LFL Gross Profit TRY]" caption="LY LFL Gross Profit TRY" measure="1" displayFolder="04_LYLFL\TRY" measureGroup="Sales" count="0"/>
    <cacheHierarchy uniqueName="[Measures].[LY LFL Gross Profit VAT TRY]" caption="LY LFL Gross Profit VAT TRY" measure="1" displayFolder="04_LYLFL\TRY" measureGroup="Sales" count="0"/>
    <cacheHierarchy uniqueName="[Measures].[LY LFL Gross Profit USD]" caption="LY LFL Gross Profit USD" measure="1" displayFolder="04_LYLFL\USD" measureGroup="Sales" count="0"/>
    <cacheHierarchy uniqueName="[Measures].[LY LFL Gross Profit VAT USD]" caption="LY LFL Gross Profit VAT USD" measure="1" displayFolder="04_LYLFL\USD" measureGroup="Sales" count="0"/>
    <cacheHierarchy uniqueName="[Measures].[TY Unit ISP VAT LC]" caption="TY Unit ISP VAT LC" measure="1" displayFolder="01_TY\LC" measureGroup="Sales" count="0"/>
    <cacheHierarchy uniqueName="[Measures].[LY Unit ISP VAT LC]" caption="LY Unit ISP VAT LC" measure="1" displayFolder="03_LY\LC" measureGroup="Sales" count="0"/>
    <cacheHierarchy uniqueName="[Measures].[TY LFL Unit ISP VAT LC]" caption="TY LFL Unit ISP VAT LC" measure="1" displayFolder="02_TYLFL\LC" measureGroup="Sales" count="0"/>
    <cacheHierarchy uniqueName="[Measures].[LY LFL Unit ISP VAT LC]" caption="LY LFL Unit ISP VAT LC" measure="1" displayFolder="02_TYLFL\LC" measureGroup="Sales" count="0"/>
    <cacheHierarchy uniqueName="[Measures].[TY Unit ISP VAT TRY]" caption="TY Unit ISP VAT TRY" measure="1" displayFolder="01_TY\TRY" measureGroup="Sales" count="0"/>
    <cacheHierarchy uniqueName="[Measures].[LY Unit ISP VAT TRY]" caption="LY Unit ISP VAT TRY" measure="1" displayFolder="03_LY\TRY" measureGroup="Sales" count="0"/>
    <cacheHierarchy uniqueName="[Measures].[TY LFL Unit ISP VAT TRY]" caption="TY LFL Unit ISP VAT TRY" measure="1" displayFolder="02_TYLFL\TRY" measureGroup="Sales" count="0"/>
    <cacheHierarchy uniqueName="[Measures].[LY LFL Unit ISP VAT TRY]" caption="LY LFL Unit ISP VAT TRY" measure="1" displayFolder="04_LYLFL\TRY" measureGroup="Sales" count="0"/>
    <cacheHierarchy uniqueName="[Measures].[TY Unit ISP VAT USD]" caption="TY Unit ISP VAT USD" measure="1" displayFolder="01_TY\USD" measureGroup="Sales" count="0"/>
    <cacheHierarchy uniqueName="[Measures].[LY Unit ISP VAT USD]" caption="LY Unit ISP VAT USD" measure="1" displayFolder="03_LY\USD" measureGroup="Sales" count="0"/>
    <cacheHierarchy uniqueName="[Measures].[TY LFL Unit ISP VAT USD]" caption="TY LFL Unit ISP VAT USD" measure="1" displayFolder="02_TYLFL\USD" measureGroup="Sales" count="0"/>
    <cacheHierarchy uniqueName="[Measures].[LY LFL Unit ISP VAT USD]" caption="LY LFL Unit ISP VAT USD" measure="1" displayFolder="04_LYLFL\USD" measureGroup="Sales" count="0"/>
    <cacheHierarchy uniqueName="[Measures].[TY Target Sales Value LC]" caption="TY Target Sales Value LC" measure="1" displayFolder="01_TY\LC" measureGroup="Sales" count="0"/>
    <cacheHierarchy uniqueName="[Measures].[TY Target Sales Value TRY]" caption="TY Target Sales Value TRY" measure="1" displayFolder="01_TY\TRY" measureGroup="Sales" count="0"/>
    <cacheHierarchy uniqueName="[Measures].[TY Target Sales Value USD]" caption="TY Target Sales Value USD" measure="1" displayFolder="01_TY\USD" measureGroup="Sales" count="0"/>
    <cacheHierarchy uniqueName="[Measures].[LY Target Sales Value LC]" caption="LY Target Sales Value LC" measure="1" displayFolder="03_LY\LC" measureGroup="Sales" count="0"/>
    <cacheHierarchy uniqueName="[Measures].[LY Target Sales Value TRY]" caption="LY Target Sales Value TRY" measure="1" displayFolder="03_LY\TRY" measureGroup="Sales" count="0"/>
    <cacheHierarchy uniqueName="[Measures].[LY Target Sales Value USD]" caption="LY Target Sales Value USD" measure="1" displayFolder="03_LY\USD" measureGroup="Sales" count="0"/>
    <cacheHierarchy uniqueName="[Measures].[TY LFL Target Sales Value LC]" caption="TY LFL Target Sales Value LC" measure="1" displayFolder="02_TYLFL\LC" measureGroup="Sales" count="0"/>
    <cacheHierarchy uniqueName="[Measures].[TY LFL Target Sales Value TRY]" caption="TY LFL Target Sales Value TRY" measure="1" displayFolder="02_TYLFL\TRY" measureGroup="Sales" count="0"/>
    <cacheHierarchy uniqueName="[Measures].[TY LFL Target Sales Value USD]" caption="TY LFL Target Sales Value USD" measure="1" displayFolder="02_TYLFL\USD" measureGroup="Sales" count="0"/>
    <cacheHierarchy uniqueName="[Measures].[LY LFL Target Sales Value LC]" caption="LY LFL Target Sales Value LC" measure="1" displayFolder="04_LYLFL\LC" measureGroup="Sales" count="0"/>
    <cacheHierarchy uniqueName="[Measures].[LY LFL Target Sales Value TRY]" caption="LY LFL Target Sales Value TRY" measure="1" displayFolder="04_LYLFL\TRY" measureGroup="Sales" count="0"/>
    <cacheHierarchy uniqueName="[Measures].[LY LFL Target Sales Value USD]" caption="LY LFL Target Sales Value USD" measure="1" displayFolder="04_LYLFL\USD" measureGroup="Sales" count="0"/>
    <cacheHierarchy uniqueName="[Measures].[TY Sales Cost LC Forecast]" caption="TY Sales Cost LC Forecast" measure="1" displayFolder="01_TY\LC" measureGroup="Sales" count="0"/>
    <cacheHierarchy uniqueName="[Measures].[TY Gross Profit LC Forecast]" caption="TY Gross Profit LC Forecast" measure="1" displayFolder="01_TY\LC" measureGroup="Sales" count="0"/>
    <cacheHierarchy uniqueName="[Measures].[TY Gross Marjin LC% Forecast]" caption="TY Gross Marjin LC% Forecast" measure="1" displayFolder="01_TY\LC" measureGroup="Sales" count="0"/>
    <cacheHierarchy uniqueName="[Measures].[TY Sales Unit Dm3]" caption="TY Sales Unit Dm3" measure="1" displayFolder="01_TY\_VOLUME" measureGroup="Sales" count="0"/>
    <cacheHierarchy uniqueName="[Measures].[TY Sales Budget Unit]" caption="TY Sales Budget Unit" measure="1" displayFolder="TY\_UNIT" measureGroup="SalesBudget" count="0"/>
    <cacheHierarchy uniqueName="[Measures].[TY Sales Budget Value LC]" caption="TY Sales Budget Value LC" measure="1" displayFolder="TY\LC" measureGroup="SalesBudget" count="0"/>
    <cacheHierarchy uniqueName="[Measures].[TY Sales Budget Cost LC]" caption="TY Sales Budget Cost LC" measure="1" displayFolder="TY\LC" measureGroup="SalesBudget" count="0"/>
    <cacheHierarchy uniqueName="[Measures].[TY Sales Budget Profit Value LC]" caption="TY Sales Budget Profit Value LC" measure="1" displayFolder="TY\LC" measureGroup="SalesBudget" count="0"/>
    <cacheHierarchy uniqueName="[Measures].[Achieved TY Sales Budget Unit]" caption="Achieved TY Sales Budget Unit" measure="1" displayFolder="TY\_UNIT" measureGroup="SalesBudget" count="0"/>
    <cacheHierarchy uniqueName="[Measures].[Achieved TY Sales Budget Value LC]" caption="Achieved TY Sales Budget Value LC" measure="1" displayFolder="TY\LC" measureGroup="SalesBudget" count="0"/>
    <cacheHierarchy uniqueName="[Measures].[Achieved TY Sales Budget Cost LC]" caption="Achieved TY Sales Budget Cost LC" measure="1" displayFolder="TY\LC" measureGroup="SalesBudget" count="0"/>
    <cacheHierarchy uniqueName="[Measures].[Achieved TY Sales Budget Profit Value LC]" caption="Achieved TY Sales Budget Profit Value LC" measure="1" displayFolder="TY\LC" measureGroup="SalesBudget" count="0"/>
    <cacheHierarchy uniqueName="[Measures].[TY Budget Unit Gap]" caption="TY Budget Unit Gap" measure="1" displayFolder="TY\_UNIT" measureGroup="SalesBudget" count="0"/>
    <cacheHierarchy uniqueName="[Measures].[TY Sales Budget Value LC Gap]" caption="TY Sales Budget Value LC Gap" measure="1" displayFolder="TY\LC" measureGroup="SalesBudget" count="0"/>
    <cacheHierarchy uniqueName="[Measures].[TY Sales Budget Cost LC Gap]" caption="TY Sales Budget Cost LC Gap" measure="1" displayFolder="TY\LC" measureGroup="SalesBudget" count="0"/>
    <cacheHierarchy uniqueName="[Measures].[TY Sales Budget Profit Value LC Gap]" caption="TY Sales Budget Profit Value LC Gap" measure="1" displayFolder="TY\LC" measureGroup="SalesBudget" count="0"/>
    <cacheHierarchy uniqueName="[Measures].[TY Sales Budget Value TRY]" caption="TY Sales Budget Value TRY" measure="1" displayFolder="TY\TRY" measureGroup="SalesBudget" count="0"/>
    <cacheHierarchy uniqueName="[Measures].[TY Sales Budget Cost TRY]" caption="TY Sales Budget Cost TRY" measure="1" displayFolder="TY\TRY" measureGroup="SalesBudget" count="0"/>
    <cacheHierarchy uniqueName="[Measures].[TY Sales Budget Profit Value TRY]" caption="TY Sales Budget Profit Value TRY" measure="1" displayFolder="TY\TRY" measureGroup="SalesBudget" count="0"/>
    <cacheHierarchy uniqueName="[Measures].[TY Sales Budget Value USD]" caption="TY Sales Budget Value USD" measure="1" displayFolder="TY\USD" measureGroup="SalesBudget" count="0"/>
    <cacheHierarchy uniqueName="[Measures].[TY Sales Budget Cost USD]" caption="TY Sales Budget Cost USD" measure="1" displayFolder="TY\USD" measureGroup="SalesBudget" count="0"/>
    <cacheHierarchy uniqueName="[Measures].[Achieved TY Sales Budget Value TRY]" caption="Achieved TY Sales Budget Value TRY" measure="1" displayFolder="TY\TRY" measureGroup="SalesBudget" count="0"/>
    <cacheHierarchy uniqueName="[Measures].[Achieved TY Sales Budget Cost TRY]" caption="Achieved TY Sales Budget Cost TRY" measure="1" displayFolder="TY\TRY" measureGroup="SalesBudget" count="0"/>
    <cacheHierarchy uniqueName="[Measures].[Achieved TY Sales Budget Profit Value TRY]" caption="Achieved TY Sales Budget Profit Value TRY" measure="1" displayFolder="TY\TRY" measureGroup="SalesBudget" count="0"/>
    <cacheHierarchy uniqueName="[Measures].[Achieved TY Sales Budget Value USD]" caption="Achieved TY Sales Budget Value USD" measure="1" displayFolder="TY\USD" measureGroup="SalesBudget" count="0"/>
    <cacheHierarchy uniqueName="[Measures].[TY Sales Budget Profit Value USD]" caption="TY Sales Budget Profit Value USD" measure="1" displayFolder="TY\USD" measureGroup="SalesBudget" count="0"/>
    <cacheHierarchy uniqueName="[Measures].[Achieved TY Sales Budget Cost USD]" caption="Achieved TY Sales Budget Cost USD" measure="1" displayFolder="TY\USD" measureGroup="SalesBudget" count="0"/>
    <cacheHierarchy uniqueName="[Measures].[TY Sales Budget Value TRY Gap]" caption="TY Sales Budget Value TRY Gap" measure="1" displayFolder="TY\TRY" measureGroup="SalesBudget" count="0"/>
    <cacheHierarchy uniqueName="[Measures].[TY Sales Budget Cost TRY Gap]" caption="TY Sales Budget Cost TRY Gap" measure="1" displayFolder="TY\TRY" measureGroup="SalesBudget" count="0"/>
    <cacheHierarchy uniqueName="[Measures].[TY Sales Budget Profit Value TRY Gap]" caption="TY Sales Budget Profit Value TRY Gap" measure="1" displayFolder="TY\TRY" measureGroup="SalesBudget" count="0"/>
    <cacheHierarchy uniqueName="[Measures].[Achieved TY Sales Budget Profit Value USD]" caption="Achieved TY Sales Budget Profit Value USD" measure="1" displayFolder="TY\USD" measureGroup="SalesBudget" count="0"/>
    <cacheHierarchy uniqueName="[Measures].[TY Sales Budget Value USD Gap]" caption="TY Sales Budget Value USD Gap" measure="1" displayFolder="TY\USD" measureGroup="SalesBudget" count="0"/>
    <cacheHierarchy uniqueName="[Measures].[TY Sales Budget Cost USD Gap]" caption="TY Sales Budget Cost USD Gap" measure="1" displayFolder="TY\USD" measureGroup="SalesBudget" count="0"/>
    <cacheHierarchy uniqueName="[Measures].[TY Sales Budget Profit Value USD Gap]" caption="TY Sales Budget Profit Value USD Gap" measure="1" displayFolder="TY\USD" measureGroup="SalesBudget" count="0"/>
    <cacheHierarchy uniqueName="[Measures].[LY Sales Budget Unit]" caption="LY Sales Budget Unit" measure="1" displayFolder="LY\_UNIT" measureGroup="SalesBudget" count="0"/>
    <cacheHierarchy uniqueName="[Measures].[Achieved LY Sales Budget Unit]" caption="Achieved LY Sales Budget Unit" measure="1" displayFolder="LY\_UNIT" measureGroup="SalesBudget" count="0"/>
    <cacheHierarchy uniqueName="[Measures].[LY Budget Unit Gap]" caption="LY Budget Unit Gap" measure="1" displayFolder="LY\_UNIT" measureGroup="SalesBudget" count="0"/>
    <cacheHierarchy uniqueName="[Measures].[LY Sales Budget Value LC]" caption="LY Sales Budget Value LC" measure="1" displayFolder="LY\LC" measureGroup="SalesBudget" count="0"/>
    <cacheHierarchy uniqueName="[Measures].[LY Sales Budget Cost LC]" caption="LY Sales Budget Cost LC" measure="1" displayFolder="LY\LC" measureGroup="SalesBudget" count="0"/>
    <cacheHierarchy uniqueName="[Measures].[LY Sales Budget Profit Value LC]" caption="LY Sales Budget Profit Value LC" measure="1" displayFolder="LY\LC" measureGroup="SalesBudget" count="0"/>
    <cacheHierarchy uniqueName="[Measures].[Achieved LY Sales Budget Value LC]" caption="Achieved LY Sales Budget Value LC" measure="1" displayFolder="LY\LC" measureGroup="SalesBudget" count="0"/>
    <cacheHierarchy uniqueName="[Measures].[Achieved LY Sales Budget Cost LC]" caption="Achieved LY Sales Budget Cost LC" measure="1" displayFolder="LY\LC" measureGroup="SalesBudget" count="0"/>
    <cacheHierarchy uniqueName="[Measures].[Achieved LY Sales Budget Profit Value LC]" caption="Achieved LY Sales Budget Profit Value LC" measure="1" displayFolder="LY\LC" measureGroup="SalesBudget" count="0"/>
    <cacheHierarchy uniqueName="[Measures].[LY Sales Budget Value LC Gap]" caption="LY Sales Budget Value LC Gap" measure="1" displayFolder="LY\LC" measureGroup="SalesBudget" count="0"/>
    <cacheHierarchy uniqueName="[Measures].[LY Sales Budget Cost LC Gap]" caption="LY Sales Budget Cost LC Gap" measure="1" displayFolder="LY\LC" measureGroup="SalesBudget" count="0"/>
    <cacheHierarchy uniqueName="[Measures].[LY Sales Budget Profit Value LC Gap]" caption="LY Sales Budget Profit Value LC Gap" measure="1" displayFolder="LY\LC" measureGroup="SalesBudget" count="0"/>
    <cacheHierarchy uniqueName="[Measures].[LY Sales Budget Value TRY]" caption="LY Sales Budget Value TRY" measure="1" displayFolder="LY\TRY" measureGroup="SalesBudget" count="0"/>
    <cacheHierarchy uniqueName="[Measures].[LY Sales Budget Cost TRY]" caption="LY Sales Budget Cost TRY" measure="1" displayFolder="LY\TRY" measureGroup="SalesBudget" count="0"/>
    <cacheHierarchy uniqueName="[Measures].[LY Sales Budget Profit Value TRY]" caption="LY Sales Budget Profit Value TRY" measure="1" displayFolder="LY\TRY" measureGroup="SalesBudget" count="0"/>
    <cacheHierarchy uniqueName="[Measures].[LY Sales Budget Value USD]" caption="LY Sales Budget Value USD" measure="1" displayFolder="LY\USD" measureGroup="SalesBudget" count="0"/>
    <cacheHierarchy uniqueName="[Measures].[LY Sales Budget Cost USD]" caption="LY Sales Budget Cost USD" measure="1" displayFolder="LY\USD" measureGroup="SalesBudget" count="0"/>
    <cacheHierarchy uniqueName="[Measures].[Achieved LY Sales Budget Value TRY]" caption="Achieved LY Sales Budget Value TRY" measure="1" displayFolder="LY\TRY" measureGroup="SalesBudget" count="0"/>
    <cacheHierarchy uniqueName="[Measures].[Achieved LY Sales Budget Cost TRY]" caption="Achieved LY Sales Budget Cost TRY" measure="1" displayFolder="LY\TRY" measureGroup="SalesBudget" count="0"/>
    <cacheHierarchy uniqueName="[Measures].[Achieved LY Sales Budget Profit Value TRY]" caption="Achieved LY Sales Budget Profit Value TRY" measure="1" displayFolder="LY\TRY" measureGroup="SalesBudget" count="0"/>
    <cacheHierarchy uniqueName="[Measures].[Achieved LY Sales Budget Value USD]" caption="Achieved LY Sales Budget Value USD" measure="1" displayFolder="LY\USD" measureGroup="SalesBudget" count="0"/>
    <cacheHierarchy uniqueName="[Measures].[LY Sales Budget Profit Value USD]" caption="LY Sales Budget Profit Value USD" measure="1" displayFolder="LY\USD" measureGroup="SalesBudget" count="0"/>
    <cacheHierarchy uniqueName="[Measures].[Achieved LY Sales Budget Cost USD]" caption="Achieved LY Sales Budget Cost USD" measure="1" displayFolder="LY\USD" measureGroup="SalesBudget" count="0"/>
    <cacheHierarchy uniqueName="[Measures].[LY Sales Budget Value TRY Gap]" caption="LY Sales Budget Value TRY Gap" measure="1" displayFolder="LY\TRY" measureGroup="SalesBudget" count="0"/>
    <cacheHierarchy uniqueName="[Measures].[LY Sales Budget Cost TRY Gap]" caption="LY Sales Budget Cost TRY Gap" measure="1" displayFolder="LY\TRY" measureGroup="SalesBudget" count="0"/>
    <cacheHierarchy uniqueName="[Measures].[LY Sales Budget Profit Value TRY Gap]" caption="LY Sales Budget Profit Value TRY Gap" measure="1" displayFolder="LY\TRY" measureGroup="SalesBudget" count="0"/>
    <cacheHierarchy uniqueName="[Measures].[Achieved LY Sales Budget Profit Value USD]" caption="Achieved LY Sales Budget Profit Value USD" measure="1" displayFolder="LY\USD" measureGroup="SalesBudget" count="0"/>
    <cacheHierarchy uniqueName="[Measures].[LY Sales Budget Value USD Gap]" caption="LY Sales Budget Value USD Gap" measure="1" displayFolder="LY\USD" measureGroup="SalesBudget" count="0"/>
    <cacheHierarchy uniqueName="[Measures].[LY Sales Budget Cost USD Gap]" caption="LY Sales Budget Cost USD Gap" measure="1" displayFolder="LY\USD" measureGroup="SalesBudget" count="0"/>
    <cacheHierarchy uniqueName="[Measures].[LY Sales Budget Profit Value USD Gap]" caption="LY Sales Budget Profit Value USD Gap" measure="1" displayFolder="LY\USD" measureGroup="SalesBudget" count="0"/>
    <cacheHierarchy uniqueName="[Measures].[TY Sales Budget Gross Marjin TRY%]" caption="TY Sales Budget Gross Marjin TRY%" measure="1" displayFolder="TY\TRY" measureGroup="SalesBudget" count="0"/>
    <cacheHierarchy uniqueName="[Measures].[TY Sales Budget Gross _x0009_Marjin LC%]" caption="TY Sales Budget Gross _x0009_Marjin LC%" measure="1" displayFolder="TY\LC" measureGroup="SalesBudget" count="0"/>
    <cacheHierarchy uniqueName="[Measures].[TY Sales Budget Gross Marjin USD%]" caption="TY Sales Budget Gross Marjin USD%" measure="1" displayFolder="TY\USD" measureGroup="SalesBudget" count="0"/>
    <cacheHierarchy uniqueName="[Measures].[TY Gross Marjin TRY%]" caption="TY Gross Marjin TRY%" measure="1" displayFolder="01_TY\TRY" measureGroup="KPI" count="0"/>
    <cacheHierarchy uniqueName="[Measures].[TY Gross Marjin LC%]" caption="TY Gross Marjin LC%" measure="1" displayFolder="01_TY\LC" measureGroup="KPI" count="0"/>
    <cacheHierarchy uniqueName="[Measures].[TY Gross Marjin USD%]" caption="TY Gross Marjin USD%" measure="1" displayFolder="01_TY\USD" measureGroup="KPI" count="0"/>
    <cacheHierarchy uniqueName="[Measures].[LY Gross Marjin LC%]" caption="LY Gross Marjin LC%" measure="1" displayFolder="03_LY\LC" measureGroup="KPI" count="0"/>
    <cacheHierarchy uniqueName="[Measures].[LY Gross Marjin TRY%]" caption="LY Gross Marjin TRY%" measure="1" displayFolder="03_LY\TRY" measureGroup="KPI" count="0"/>
    <cacheHierarchy uniqueName="[Measures].[LY Gross Marjin USD%]" caption="LY Gross Marjin USD%" measure="1" displayFolder="03_LY\USD" measureGroup="KPI" count="0"/>
    <cacheHierarchy uniqueName="[Measures].[TY LFL Gross Marjin LC%]" caption="TY LFL Gross Marjin LC%" measure="1" displayFolder="02_TYLFL\LC" measureGroup="KPI" count="0"/>
    <cacheHierarchy uniqueName="[Measures].[TY LFL Gross Marjin TRY%]" caption="TY LFL Gross Marjin TRY%" measure="1" displayFolder="02_TYLFL\TRY" measureGroup="KPI" count="0"/>
    <cacheHierarchy uniqueName="[Measures].[TY LFL Gross Marjin USD%]" caption="TY LFL Gross Marjin USD%" measure="1" displayFolder="02_TYLFL\USD" measureGroup="KPI" count="0"/>
    <cacheHierarchy uniqueName="[Measures].[LY LFL Gross Marjin LC%]" caption="LY LFL Gross Marjin LC%" measure="1" displayFolder="04_LYLFL\LC" measureGroup="KPI" count="0"/>
    <cacheHierarchy uniqueName="[Measures].[LY LFL Gross Marjin TRY%]" caption="LY LFL Gross Marjin TRY%" measure="1" displayFolder="04_LYLFL\TRY" measureGroup="KPI" count="0"/>
    <cacheHierarchy uniqueName="[Measures].[LY LFL Gross Marjin USD%]" caption="LY LFL Gross Marjin USD%" measure="1" displayFolder="04_LYLFL\USD" measureGroup="KPI" count="0"/>
    <cacheHierarchy uniqueName="[Measures].[TY Store Back Cover LC]" caption="TY Store Back Cover LC" measure="1" displayFolder="01_TY\LC" measureGroup="KPI" count="0"/>
    <cacheHierarchy uniqueName="[Measures].[TY Store Back Cover Unit]" caption="TY Store Back Cover Unit" measure="1" displayFolder="01_TY\UNIT" measureGroup="KPI" count="0"/>
    <cacheHierarchy uniqueName="[Measures].[TY Store Turnover Unit]" caption="TY Store Turnover Unit" measure="1" displayFolder="01_TY\_UNIT" measureGroup="KPI" count="0"/>
    <cacheHierarchy uniqueName="[Measures].[TY Store Turnover  LC]" caption="TY Store Turnover  LC" measure="1" displayFolder="01_TY\LC" measureGroup="KPI" count="0"/>
    <cacheHierarchy uniqueName="[Measures].[TY Store Turnover TRY]" caption="TY Store Turnover TRY" measure="1" displayFolder="01_TY\TRY" measureGroup="KPI" count="0"/>
    <cacheHierarchy uniqueName="[Measures].[TY Store Turnover USD]" caption="TY Store Turnover USD" measure="1" displayFolder="01_TY\USD" measureGroup="KPI" count="0"/>
    <cacheHierarchy uniqueName="[Measures].[TY Actual MarkDown LC%]" caption="TY Actual MarkDown LC%" measure="1" displayFolder="01_TY\LC" measureGroup="KPI" count="0"/>
    <cacheHierarchy uniqueName="[Measures].[TY Actual MarkDown TRY%]" caption="TY Actual MarkDown TRY%" measure="1" displayFolder="01_TY\TRY" measureGroup="KPI" count="0"/>
    <cacheHierarchy uniqueName="[Measures].[TY Actual MarkDown USD%]" caption="TY Actual MarkDown USD%" measure="1" displayFolder="01_TY\USD" measureGroup="KPI" count="0"/>
    <cacheHierarchy uniqueName="[Measures].[TY Store Back Cover TRY]" caption="TY Store Back Cover TRY" measure="1" displayFolder="01_TY\TRY" measureGroup="KPI" count="0"/>
    <cacheHierarchy uniqueName="[Measures].[TY Store Back Cover USD]" caption="TY Store Back Cover USD" measure="1" displayFolder="01_TY\USD" measureGroup="KPI" count="0"/>
    <cacheHierarchy uniqueName="[Measures].[TY LFL Store Back Cover Unit]" caption="TY LFL Store Back Cover Unit" measure="1" displayFolder="02_TYLFL\_UNIT" measureGroup="KPI" count="0"/>
    <cacheHierarchy uniqueName="[Measures].[LY Store Turnover Unit]" caption="LY Store Turnover Unit" measure="1" displayFolder="03_LY\_UNIT" measureGroup="KPI" count="0"/>
    <cacheHierarchy uniqueName="[Measures].[LY Store Turnover  LC]" caption="LY Store Turnover  LC" measure="1" displayFolder="03_LY\LC" measureGroup="KPI" count="0"/>
    <cacheHierarchy uniqueName="[Measures].[LY Store Turnover TRY]" caption="LY Store Turnover TRY" measure="1" displayFolder="03_LY\TRY" measureGroup="KPI" count="0"/>
    <cacheHierarchy uniqueName="[Measures].[LY Store Turnover USD]" caption="LY Store Turnover USD" measure="1" displayFolder="03_LY\USD" measureGroup="KPI" count="0"/>
    <cacheHierarchy uniqueName="[Measures].[TY LFL Store Turnover Unit]" caption="TY LFL Store Turnover Unit" measure="1" displayFolder="02_TYLFL\_UNIT" measureGroup="KPI" count="0"/>
    <cacheHierarchy uniqueName="[Measures].[TY LFL Store Turnover  LC]" caption="TY LFL Store Turnover  LC" measure="1" displayFolder="02_TYLFL\LC" measureGroup="KPI" count="0"/>
    <cacheHierarchy uniqueName="[Measures].[TY LFL Store Turnover TRY]" caption="TY LFL Store Turnover TRY" measure="1" displayFolder="02_TYLFL\TRY" measureGroup="KPI" count="0"/>
    <cacheHierarchy uniqueName="[Measures].[TY LFL Store Turnover USD]" caption="TY LFL Store Turnover USD" measure="1" displayFolder="02_TYLFL\USD" measureGroup="KPI" count="0"/>
    <cacheHierarchy uniqueName="[Measures].[LY LFL Store Turnover Unit]" caption="LY LFL Store Turnover Unit" measure="1" displayFolder="04_LYLFL\_UNIT" measureGroup="KPI" count="0"/>
    <cacheHierarchy uniqueName="[Measures].[LY LFL Store Turnover  LC]" caption="LY LFL Store Turnover  LC" measure="1" displayFolder="04_LYLFL\LC" measureGroup="KPI" count="0"/>
    <cacheHierarchy uniqueName="[Measures].[LY LFL Store Turnover TRY]" caption="LY LFL Store Turnover TRY" measure="1" displayFolder="04_LYLFL\TRY" measureGroup="KPI" count="0"/>
    <cacheHierarchy uniqueName="[Measures].[LY LFL Store Turnover USD]" caption="LY LFL Store Turnover USD" measure="1" displayFolder="04_LYLFL\USD" measureGroup="KPI" count="0"/>
    <cacheHierarchy uniqueName="[Measures].[TY Actual MarkUp LC]" caption="TY Actual MarkUp LC" measure="1" displayFolder="01_TY\LC" measureGroup="KPI" count="0"/>
    <cacheHierarchy uniqueName="[Measures].[TY Actual MarkUp TRY]" caption="TY Actual MarkUp TRY" measure="1" displayFolder="01_TY\TRY" measureGroup="KPI" count="0"/>
    <cacheHierarchy uniqueName="[Measures].[TY Actual MarkUp USD]" caption="TY Actual MarkUp USD" measure="1" displayFolder="01_TY\USD" measureGroup="KPI" count="0"/>
    <cacheHierarchy uniqueName="[Measures].[LY Actual MarkUp LC]" caption="LY Actual MarkUp LC" measure="1" displayFolder="03_LY\LC" measureGroup="KPI" count="0"/>
    <cacheHierarchy uniqueName="[Measures].[LY Actual MarkUp TRY]" caption="LY Actual MarkUp TRY" measure="1" displayFolder="03_LY\TRY" measureGroup="KPI" count="0"/>
    <cacheHierarchy uniqueName="[Measures].[LY Actual MarkUp USD]" caption="LY Actual MarkUp USD" measure="1" displayFolder="03_LY\USD" measureGroup="KPI" count="0"/>
    <cacheHierarchy uniqueName="[Measures].[TY LFL Actual MarkUp LC]" caption="TY LFL Actual MarkUp LC" measure="1" displayFolder="02_TYLFL\LC" measureGroup="KPI" count="0"/>
    <cacheHierarchy uniqueName="[Measures].[TY LFL Actual MarkUp TRY]" caption="TY LFL Actual MarkUp TRY" measure="1" displayFolder="02_TYLFL\TRY" measureGroup="KPI" count="0"/>
    <cacheHierarchy uniqueName="[Measures].[TY LFL Actual MarkUp USD]" caption="TY LFL Actual MarkUp USD" measure="1" displayFolder="02_TYLFL\USD" measureGroup="KPI" count="0"/>
    <cacheHierarchy uniqueName="[Measures].[LY LFL Actual MarkUp LC]" caption="LY LFL Actual MarkUp LC" measure="1" displayFolder="04_LYLFL\LC" measureGroup="KPI" count="0"/>
    <cacheHierarchy uniqueName="[Measures].[LY LFL Actual MarkUp TRY]" caption="LY LFL Actual MarkUp TRY" measure="1" displayFolder="04_LYLFL\TRY" measureGroup="KPI" count="0"/>
    <cacheHierarchy uniqueName="[Measures].[LY LFL Actual MarkUp USD]" caption="LY LFL Actual MarkUp USD" measure="1" displayFolder="04_LYLFL\USD" measureGroup="KPI" count="0"/>
    <cacheHierarchy uniqueName="[Measures].[LY Store Back Cover Unit]" caption="LY Store Back Cover Unit" measure="1" displayFolder="03_LY\_UNIT" measureGroup="KPI" count="0"/>
    <cacheHierarchy uniqueName="[Measures].[LY LFL Store Back Cover Unit]" caption="LY LFL Store Back Cover Unit" measure="1" displayFolder="04_LYLFL\_UNIT" measureGroup="KPI" count="0"/>
    <cacheHierarchy uniqueName="[Measures].[TY Conversion Rate]" caption="TY Conversion Rate" measure="1" displayFolder="01_TY\_UNIT" measureGroup="KPI" count="0"/>
    <cacheHierarchy uniqueName="[Measures].[LY Conversion Rate]" caption="LY Conversion Rate" measure="1" displayFolder="03_LY\_UNIT" measureGroup="KPI" count="0"/>
    <cacheHierarchy uniqueName="[Measures].[TY LFL Conversion Rate]" caption="TY LFL Conversion Rate" measure="1" displayFolder="02_TYLFL\_UNIT" measureGroup="KPI" count="0"/>
    <cacheHierarchy uniqueName="[Measures].[LY LFL Conversion Rate]" caption="LY LFL Conversion Rate" measure="1" displayFolder="04_LYLFL\_UNIT" measureGroup="KPI" count="0"/>
    <cacheHierarchy uniqueName="[Measures].[TY MerchYearWeekCount]" caption="TY MerchYearWeekCount" measure="1" displayFolder="00_INFO" measureGroup="KPI" count="0"/>
    <cacheHierarchy uniqueName="[Measures].[LY MerchYearWeekCount]" caption="LY MerchYearWeekCount" measure="1" displayFolder="00_INFO" measureGroup="KPI" count="0"/>
    <cacheHierarchy uniqueName="[Measures].[LY Store Back Cover LC]" caption="LY Store Back Cover LC" measure="1" displayFolder="03_LY\LC" measureGroup="KPI" count="0"/>
    <cacheHierarchy uniqueName="[Measures].[LY Store Back Cover TRY]" caption="LY Store Back Cover TRY" measure="1" displayFolder="03_LY\TRY" measureGroup="KPI" count="0"/>
    <cacheHierarchy uniqueName="[Measures].[LY Store Back Cover USD]" caption="LY Store Back Cover USD" measure="1" displayFolder="03_LY\USD" measureGroup="KPI" count="0"/>
    <cacheHierarchy uniqueName="[Measures].[TY LFL Store Back Cover LC]" caption="TY LFL Store Back Cover LC" measure="1" displayFolder="02_TYLFL\LC" measureGroup="KPI" count="0"/>
    <cacheHierarchy uniqueName="[Measures].[TYLFL MerchYearWeekCount]" caption="TYLFL MerchYearWeekCount" measure="1" displayFolder="00_INFO" measureGroup="KPI" count="0"/>
    <cacheHierarchy uniqueName="[Measures].[LYLFL MerchYearWeekCount]" caption="LYLFL MerchYearWeekCount" measure="1" displayFolder="00_INFO" measureGroup="KPI" count="0"/>
    <cacheHierarchy uniqueName="[Measures].[Sales Value TYvsLY LC%]" caption="Sales Value TYvsLY LC%" measure="1" displayFolder="01_TY\LC" measureGroup="KPI" count="0"/>
    <cacheHierarchy uniqueName="[Measures].[Sales Value TYvsLY TRY%]" caption="Sales Value TYvsLY TRY%" measure="1" displayFolder="01_TY\TRY" measureGroup="KPI" count="0"/>
    <cacheHierarchy uniqueName="[Measures].[Sales Value TYvsLY USD%]" caption="Sales Value TYvsLY USD%" measure="1" displayFolder="01_TY\USD" measureGroup="KPI" count="0"/>
    <cacheHierarchy uniqueName="[Measures].[Sales Unit TYvsLY%]" caption="Sales Unit TYvsLY%" measure="1" displayFolder="01_TY\_UNIT" measureGroup="KPI" count="0"/>
    <cacheHierarchy uniqueName="[Measures].[LFL Sales Unit TYvsLY%]" caption="LFL Sales Unit TYvsLY%" measure="1" displayFolder="02_TYLFL\_UNIT" measureGroup="KPI" count="0"/>
    <cacheHierarchy uniqueName="[Measures].[LFL Sales Value TYvsLY LC%]" caption="LFL Sales Value TYvsLY LC%" measure="1" displayFolder="02_TYLFL\LC" measureGroup="KPI" count="0"/>
    <cacheHierarchy uniqueName="[Measures].[LFL Sales Value TYvsLY TRY%]" caption="LFL Sales Value TYvsLY TRY%" measure="1" displayFolder="02_TYLFL\TRY" measureGroup="KPI" count="0"/>
    <cacheHierarchy uniqueName="[Measures].[LFL Sales Value TYvsLY USD%]" caption="LFL Sales Value TYvsLY USD%" measure="1" displayFolder="02_TYLFL\USD" measureGroup="KPI" count="0"/>
    <cacheHierarchy uniqueName="[Measures].[Store Stock Unit TYvsLY%]" caption="Store Stock Unit TYvsLY%" measure="1" displayFolder="01_TY\_UNIT" measureGroup="KPI" count="0"/>
    <cacheHierarchy uniqueName="[Measures].[Store Stock Cost TYvsLY LC%]" caption="Store Stock Cost TYvsLY LC%" measure="1" displayFolder="01_TY\LC" measureGroup="KPI" count="0"/>
    <cacheHierarchy uniqueName="[Measures].[Store Stock Cost TYvsLY TRY%]" caption="Store Stock Cost TYvsLY TRY%" measure="1" displayFolder="01_TY\TRY" measureGroup="KPI" count="0"/>
    <cacheHierarchy uniqueName="[Measures].[Store Stock Cost TYvsLY USD%]" caption="Store Stock Cost TYvsLY USD%" measure="1" displayFolder="01_TY\USD" measureGroup="KPI" count="0"/>
    <cacheHierarchy uniqueName="[Measures].[LFL Store Stock Unit TYvsLY%]" caption="LFL Store Stock Unit TYvsLY%" measure="1" displayFolder="02_TYLFL\_UNIT" measureGroup="KPI" count="0"/>
    <cacheHierarchy uniqueName="[Measures].[LFL Store Stock Cost TYvsLY LC%]" caption="LFL Store Stock Cost TYvsLY LC%" measure="1" displayFolder="02_TYLFL\LC" measureGroup="KPI" count="0"/>
    <cacheHierarchy uniqueName="[Measures].[LFL Stock Cost TYvsLY TRY%]" caption="LFL Stock Cost TYvsLY TRY%" measure="1" displayFolder="02_TYLFL\TRY" measureGroup="KPI" count="0"/>
    <cacheHierarchy uniqueName="[Measures].[LFL Store Stock Cost TYvsLY USD%]" caption="LFL Store Stock Cost TYvsLY USD%" measure="1" displayFolder="02_TYLFL\USD" measureGroup="KPI" count="0"/>
    <cacheHierarchy uniqueName="[Measures].[Unit Sales Price TYvsLY LC%]" caption="Unit Sales Price TYvsLY LC%" measure="1" displayFolder="01_TY\LC" measureGroup="KPI" count="0"/>
    <cacheHierarchy uniqueName="[Measures].[Unit Sales Price TYvsLY TRY%]" caption="Unit Sales Price TYvsLY TRY%" measure="1" displayFolder="01_TY\TRY" measureGroup="KPI" count="0"/>
    <cacheHierarchy uniqueName="[Measures].[Unit Sales Price TYvsLY USD%]" caption="Unit Sales Price TYvsLY USD%" measure="1" displayFolder="01_TY\USD" measureGroup="KPI" count="0"/>
    <cacheHierarchy uniqueName="[Measures].[LFL Unit Sales Price TYvsLY LC%]" caption="LFL Unit Sales Price TYvsLY LC%" measure="1" displayFolder="02_TYLFL\LC" measureGroup="KPI" count="0"/>
    <cacheHierarchy uniqueName="[Measures].[LFL Unit Sales Price TYvsLY TRY%]" caption="LFL Unit Sales Price TYvsLY TRY%" measure="1" displayFolder="02_TYLFL\TRY" measureGroup="KPI" count="0"/>
    <cacheHierarchy uniqueName="[Measures].[LFL Unit Sales Price TYvsLY USD%]" caption="LFL Unit Sales Price TYvsLY USD%" measure="1" displayFolder="02_TYLFL\USD" measureGroup="KPI" count="0"/>
    <cacheHierarchy uniqueName="[Measures].[Unit Cost TYvsLY LC%]" caption="Unit Cost TYvsLY LC%" measure="1" displayFolder="01_TY\LC" measureGroup="KPI" count="0"/>
    <cacheHierarchy uniqueName="[Measures].[Unit Cost TYvsLY TRY%]" caption="Unit Cost TYvsLY TRY%" measure="1" displayFolder="01_TY\TRY" measureGroup="KPI" count="0"/>
    <cacheHierarchy uniqueName="[Measures].[Unit Cost TYvsLY USD%]" caption="Unit Cost TYvsLY USD%" measure="1" displayFolder="01_TY\USD" measureGroup="KPI" count="0"/>
    <cacheHierarchy uniqueName="[Measures].[LFL Unit Cost TYvsLY LC%]" caption="LFL Unit Cost TYvsLY LC%" measure="1" displayFolder="02_TYLFL\LC" measureGroup="KPI" count="0"/>
    <cacheHierarchy uniqueName="[Measures].[LFL Unit Cost TYvsLY TRY%]" caption="LFL Unit Cost TYvsLY TRY%" measure="1" displayFolder="02_TYLFL\TRY" measureGroup="KPI" count="0"/>
    <cacheHierarchy uniqueName="[Measures].[LFL Unit Cost TYvsLY USD%]" caption="LFL Unit Cost TYvsLY USD%" measure="1" displayFolder="02_TYLFL\USD" measureGroup="KPI" count="0"/>
    <cacheHierarchy uniqueName="[Measures].[Unit ISP TYvsLY LC%]" caption="Unit ISP TYvsLY LC%" measure="1" displayFolder="01_TY\LC" measureGroup="KPI" count="0"/>
    <cacheHierarchy uniqueName="[Measures].[Unit ISP TYvsLY TRY%]" caption="Unit ISP TYvsLY TRY%" measure="1" displayFolder="01_TY\TRY" measureGroup="KPI" count="0"/>
    <cacheHierarchy uniqueName="[Measures].[Unit ISP TYvsLY USD%]" caption="Unit ISP TYvsLY USD%" measure="1" displayFolder="01_TY\USD" measureGroup="KPI" count="0"/>
    <cacheHierarchy uniqueName="[Measures].[LFL Unit ISP TYvsLY LC%]" caption="LFL Unit ISP TYvsLY LC%" measure="1" displayFolder="02_TYLFL\LC" measureGroup="KPI" count="0"/>
    <cacheHierarchy uniqueName="[Measures].[LFL Unit ISP TYvsLY TRY%]" caption="LFL Unit ISP TYvsLY TRY%" measure="1" displayFolder="02_TYLFL\TRY" measureGroup="KPI" count="0"/>
    <cacheHierarchy uniqueName="[Measures].[LFL Unit ISP TYvsLY USD%]" caption="LFL Unit ISP TYvsLY USD%" measure="1" displayFolder="02_TYLFL\USD" measureGroup="KPI" count="0"/>
    <cacheHierarchy uniqueName="[Measures].[Store Back Cover Unit TYvsLY%]" caption="Store Back Cover Unit TYvsLY%" measure="1" displayFolder="01_TY\_UNIT" measureGroup="KPI" count="0"/>
    <cacheHierarchy uniqueName="[Measures].[LFL Store Back Cover Unit TYvsLY%]" caption="LFL Store Back Cover Unit TYvsLY%" measure="1" displayFolder="02_TYLFL\_UNIT" measureGroup="KPI" count="0"/>
    <cacheHierarchy uniqueName="[Measures].[Gross Marjin TYvsLY LC%]" caption="Gross Marjin TYvsLY LC%" measure="1" displayFolder="01_TY\LC" measureGroup="KPI" count="0"/>
    <cacheHierarchy uniqueName="[Measures].[Gross Marjin TYvsLY TRY%]" caption="Gross Marjin TYvsLY TRY%" measure="1" displayFolder="01_TY\TRY" measureGroup="KPI" count="0"/>
    <cacheHierarchy uniqueName="[Measures].[Gross Marjin TYvsLY USD%]" caption="Gross Marjin TYvsLY USD%" measure="1" displayFolder="01_TY\USD" measureGroup="KPI" count="0"/>
    <cacheHierarchy uniqueName="[Measures].[LFL Gross Marjin TYvsLY LC%]" caption="LFL Gross Marjin TYvsLY LC%" measure="1" displayFolder="02_TYLFL\LC" measureGroup="KPI" count="0"/>
    <cacheHierarchy uniqueName="[Measures].[LFL Gross Marjin TYvsLY TRY%]" caption="LFL Gross Marjin TYvsLY TRY%" measure="1" displayFolder="02_TYLFL\TRY" measureGroup="KPI" count="0"/>
    <cacheHierarchy uniqueName="[Measures].[LFL Gross Marjin TYvsLY USD%]" caption="LFL Gross Marjin TYvsLY USD%" measure="1" displayFolder="02_TYLFL\USD" measureGroup="KPI" count="0"/>
    <cacheHierarchy uniqueName="[Measures].[Sales Profit TYvsLY LC%]" caption="Sales Profit TYvsLY LC%" measure="1" displayFolder="01_TY\LC" measureGroup="KPI" count="0"/>
    <cacheHierarchy uniqueName="[Measures].[Sales Profit TYvsLY TRY%]" caption="Sales Profit TYvsLY TRY%" measure="1" displayFolder="01_TY\TRY" measureGroup="KPI" count="0"/>
    <cacheHierarchy uniqueName="[Measures].[Sales Profit TYvsLY USD%]" caption="Sales Profit TYvsLY USD%" measure="1" displayFolder="01_TY\USD" measureGroup="KPI" count="0"/>
    <cacheHierarchy uniqueName="[Measures].[LFL Sales Profit TYvsLY LC%]" caption="LFL Sales Profit TYvsLY LC%" measure="1" displayFolder="02_TYLFL\LC" measureGroup="KPI" count="0"/>
    <cacheHierarchy uniqueName="[Measures].[LFL Sales Profit TYvsLY TRY%]" caption="LFL Sales Profit TYvsLY TRY%" measure="1" displayFolder="02_TYLFL\TRY" measureGroup="KPI" count="0"/>
    <cacheHierarchy uniqueName="[Measures].[LFL Sales Profit TYvsLY USD%]" caption="LFL Sales Profit TYvsLY USD%" measure="1" displayFolder="02_TYLFL\USD" measureGroup="KPI" count="0"/>
    <cacheHierarchy uniqueName="[Measures].[TY LFL Store Back Cover TRY]" caption="TY LFL Store Back Cover TRY" measure="1" displayFolder="02_TYLFL\TRY" measureGroup="KPI" count="0"/>
    <cacheHierarchy uniqueName="[Measures].[TY LFL Store Back Cover USD]" caption="TY LFL Store Back Cover USD" measure="1" displayFolder="02_TYLFL\USD" measureGroup="KPI" count="0"/>
    <cacheHierarchy uniqueName="[Measures].[LY LFL Store Back Cover LC]" caption="LY LFL Store Back Cover LC" measure="1" displayFolder="04_LYLFL\LC" measureGroup="KPI" count="0"/>
    <cacheHierarchy uniqueName="[Measures].[LY LFL Store Back Cover TRY]" caption="LY LFL Store Back Cover TRY" measure="1" displayFolder="04_LYLFL\TRY" measureGroup="KPI" count="0"/>
    <cacheHierarchy uniqueName="[Measures].[LY LFL Store Back Cover USD]" caption="LY LFL Store Back Cover USD" measure="1" displayFolder="04_LYLFL\USD" measureGroup="KPI" count="0"/>
    <cacheHierarchy uniqueName="[Measures].[Store Back Cover TYvsLY LC%]" caption="Store Back Cover TYvsLY LC%" measure="1" displayFolder="01_TY\LC" measureGroup="KPI" count="0"/>
    <cacheHierarchy uniqueName="[Measures].[Store Back Cover TYvsLY TRY%]" caption="Store Back Cover TYvsLY TRY%" measure="1" displayFolder="01_TY\TRY" measureGroup="KPI" count="0"/>
    <cacheHierarchy uniqueName="[Measures].[Store Back Cover TYvsLY USD%]" caption="Store Back Cover TYvsLY USD%" measure="1" displayFolder="01_TY\USD" measureGroup="KPI" count="0"/>
    <cacheHierarchy uniqueName="[Measures].[LFL Store Back Cover TYvsLY LC%]" caption="LFL Store Back Cover TYvsLY LC%" measure="1" displayFolder="02_TYLFL\LC" measureGroup="KPI" count="0"/>
    <cacheHierarchy uniqueName="[Measures].[LFL Store Back Cover TYvsLY TRY%]" caption="LFL Store Back Cover TYvsLY TRY%" measure="1" displayFolder="02_TYLFL\TRY" measureGroup="KPI" count="0"/>
    <cacheHierarchy uniqueName="[Measures].[LFL Store Back Cover TYvsLY USD%]" caption="LFL Store Back Cover TYvsLY USD%" measure="1" displayFolder="02_TYLFL\USD" measureGroup="KPI" count="0"/>
    <cacheHierarchy uniqueName="[Measures].[TY GMROII LC]" caption="TY GMROII LC" measure="1" displayFolder="01_TY\LC" measureGroup="KPI" count="0"/>
    <cacheHierarchy uniqueName="[Measures].[TY GMROII TRY]" caption="TY GMROII TRY" measure="1" displayFolder="01_TY\TRY" measureGroup="KPI" count="0"/>
    <cacheHierarchy uniqueName="[Measures].[TY GMROII USD]" caption="TY GMROII USD" measure="1" displayFolder="01_TY\USD" measureGroup="KPI" count="0"/>
    <cacheHierarchy uniqueName="[Measures].[LY GMROII LC]" caption="LY GMROII LC" measure="1" displayFolder="03_LY\LC" measureGroup="KPI" count="0"/>
    <cacheHierarchy uniqueName="[Measures].[LY GMROII TRY]" caption="LY GMROII TRY" measure="1" displayFolder="03_LY\TRY" measureGroup="KPI" count="0"/>
    <cacheHierarchy uniqueName="[Measures].[LY GMROII USD]" caption="LY GMROII USD" measure="1" displayFolder="03_LY\USD" measureGroup="KPI" count="0"/>
    <cacheHierarchy uniqueName="[Measures].[TY LFL GMROII LC]" caption="TY LFL GMROII LC" measure="1" displayFolder="02_TYLFL\LC" measureGroup="KPI" count="0"/>
    <cacheHierarchy uniqueName="[Measures].[TY LFL GMROII TRY]" caption="TY LFL GMROII TRY" measure="1" displayFolder="02_TYLFL\TRY" measureGroup="KPI" count="0"/>
    <cacheHierarchy uniqueName="[Measures].[TY LFL GMROII USD]" caption="TY LFL GMROII USD" measure="1" displayFolder="02_TYLFL\USD" measureGroup="KPI" count="0"/>
    <cacheHierarchy uniqueName="[Measures].[LY LFL GMROII LC]" caption="LY LFL GMROII LC" measure="1" displayFolder="04_LYLFL\LC" measureGroup="KPI" count="0"/>
    <cacheHierarchy uniqueName="[Measures].[LY LFL GMROII TRY]" caption="LY LFL GMROII TRY" measure="1" displayFolder="04_LYLFL\TRY" measureGroup="KPI" count="0"/>
    <cacheHierarchy uniqueName="[Measures].[LY LFL GMROII USD]" caption="LY LFL GMROII USD" measure="1" displayFolder="04_LYLFL\USD" measureGroup="KPI" count="0"/>
    <cacheHierarchy uniqueName="[Measures].[LY Actual MarkDown LC%]" caption="LY Actual MarkDown LC%" measure="1" displayFolder="03_LY\LC" measureGroup="KPI" count="0"/>
    <cacheHierarchy uniqueName="[Measures].[LY Actual MarkDown TRY%]" caption="LY Actual MarkDown TRY%" measure="1" displayFolder="03_LY\TRY" measureGroup="KPI" count="0"/>
    <cacheHierarchy uniqueName="[Measures].[LY Actual MarkDown USD%]" caption="LY Actual MarkDown USD%" measure="1" displayFolder="03_LY\USD" measureGroup="KPI" count="0"/>
    <cacheHierarchy uniqueName="[Measures].[TY LFL Actual MarkDown LC%]" caption="TY LFL Actual MarkDown LC%" measure="1" displayFolder="02_TYLFL\LC" measureGroup="KPI" count="0"/>
    <cacheHierarchy uniqueName="[Measures].[TY LFL Actual MarkDown TRY%]" caption="TY LFL Actual MarkDown TRY%" measure="1" displayFolder="02_TYLFL\TRY" measureGroup="KPI" count="0"/>
    <cacheHierarchy uniqueName="[Measures].[TY LFL Actual MarkDown USD%]" caption="TY LFL Actual MarkDown USD%" measure="1" displayFolder="02_TYLFL\USD" measureGroup="KPI" count="0"/>
    <cacheHierarchy uniqueName="[Measures].[LY LFL Actual MarkDown LC%]" caption="LY LFL Actual MarkDown LC%" measure="1" displayFolder="04_LYLFL\LC" measureGroup="KPI" count="0"/>
    <cacheHierarchy uniqueName="[Measures].[LY LFL Actual MarkDown TRY%]" caption="LY LFL Actual MarkDown TRY%" measure="1" displayFolder="04_LYLFL\TRY" measureGroup="KPI" count="0"/>
    <cacheHierarchy uniqueName="[Measures].[LY LFL Actual MarkDown USD%]" caption="LY LFL Actual MarkDown USD%" measure="1" displayFolder="04_LYLFL\USD" measureGroup="KPI" count="0"/>
    <cacheHierarchy uniqueName="[Measures].[Last 7Days TY Sales Unit]" caption="Last 7Days TY Sales Unit" measure="1" displayFolder="LASTN" measureGroup="KPI" count="0"/>
    <cacheHierarchy uniqueName="[Measures].[Last 7Days TY Sales Value LC]" caption="Last 7Days TY Sales Value LC" measure="1" displayFolder="LASTN" measureGroup="KPI" count="0"/>
    <cacheHierarchy uniqueName="[Measures].[Last 14Days TY Sales Unit]" caption="Last 14Days TY Sales Unit" measure="1" displayFolder="LASTN" measureGroup="KPI" count="0"/>
    <cacheHierarchy uniqueName="[Measures].[Last 14Days TY Sales Value LC]" caption="Last 14Days TY Sales Value LC" measure="1" displayFolder="LASTN" measureGroup="KPI" count="0"/>
    <cacheHierarchy uniqueName="[Measures].[Last 28Days TY Sales Unit]" caption="Last 28Days TY Sales Unit" measure="1" displayFolder="LASTN" measureGroup="KPI" count="0"/>
    <cacheHierarchy uniqueName="[Measures].[Last 28Days TY Sales Value LC]" caption="Last 28Days TY Sales Value LC" measure="1" displayFolder="LASTN" measureGroup="KPI" count="0"/>
    <cacheHierarchy uniqueName="[Measures].[Last 90Days TY Sales Unit]" caption="Last 90Days TY Sales Unit" measure="1" displayFolder="LASTN" measureGroup="KPI" count="0"/>
    <cacheHierarchy uniqueName="[Measures].[Last 90Days TY Sales Value LC]" caption="Last 90Days TY Sales Value LC" measure="1" displayFolder="LASTN" measureGroup="KPI" count="0"/>
    <cacheHierarchy uniqueName="[Measures].[Last 180Days TY Sales Unit]" caption="Last 180Days TY Sales Unit" measure="1" displayFolder="LASTN" measureGroup="KPI" count="0"/>
    <cacheHierarchy uniqueName="[Measures].[Last 180Days TY Sales Value LC]" caption="Last 180Days TY Sales Value LC" measure="1" displayFolder="LASTN" measureGroup="KPI" count="0"/>
    <cacheHierarchy uniqueName="[Measures].[TY UPT]" caption="TY UPT" measure="1" displayFolder="01_TY\_UNIT" measureGroup="KPI" count="0"/>
    <cacheHierarchy uniqueName="[Measures].[TY AOV LC]" caption="TY AOV LC" measure="1" displayFolder="01_TY\LC" measureGroup="KPI" count="0"/>
    <cacheHierarchy uniqueName="[Measures].[TY AOV TRY]" caption="TY AOV TRY" measure="1" displayFolder="01_TY\TRY" measureGroup="KPI" count="0"/>
    <cacheHierarchy uniqueName="[Measures].[TY AOV USD]" caption="TY AOV USD" measure="1" displayFolder="01_TY\USD" measureGroup="KPI" count="0"/>
    <cacheHierarchy uniqueName="[Measures].[LY UPT]" caption="LY UPT" measure="1" displayFolder="03_LY\_UNIT" measureGroup="KPI" count="0"/>
    <cacheHierarchy uniqueName="[Measures].[LY AOV LC]" caption="LY AOV LC" measure="1" displayFolder="03_LY\LC" measureGroup="KPI" count="0"/>
    <cacheHierarchy uniqueName="[Measures].[LY AOV TRY]" caption="LY AOV TRY" measure="1" displayFolder="03_LY\TRY" measureGroup="KPI" count="0"/>
    <cacheHierarchy uniqueName="[Measures].[LY AOV USD]" caption="LY AOV USD" measure="1" displayFolder="03_LY\USD" measureGroup="KPI" count="0"/>
    <cacheHierarchy uniqueName="[Measures].[TY LFL UPT]" caption="TY LFL UPT" measure="1" displayFolder="02_TYLFL\_UNIT" measureGroup="KPI" count="0"/>
    <cacheHierarchy uniqueName="[Measures].[TY LFL AOV LC]" caption="TY LFL AOV LC" measure="1" displayFolder="02_TYLFL\LC" measureGroup="KPI" count="0"/>
    <cacheHierarchy uniqueName="[Measures].[TY LFL AOV TRY]" caption="TY LFL AOV TRY" measure="1" displayFolder="02_TYLFL\TRY" measureGroup="KPI" count="0"/>
    <cacheHierarchy uniqueName="[Measures].[TY LFL AOV USD]" caption="TY LFL AOV USD" measure="1" displayFolder="02_TYLFL\USD" measureGroup="KPI" count="0"/>
    <cacheHierarchy uniqueName="[Measures].[LY LFL UPT]" caption="LY LFL UPT" measure="1" displayFolder="04_LYLFL\_UNIT" measureGroup="KPI" count="0"/>
    <cacheHierarchy uniqueName="[Measures].[LY LFL AOV LC]" caption="LY LFL AOV LC" measure="1" displayFolder="04_LYLFL\LC" measureGroup="KPI" count="0"/>
    <cacheHierarchy uniqueName="[Measures].[LY LFL AOV TRY]" caption="LY LFL AOV TRY" measure="1" displayFolder="04_LYLFL\TRY" measureGroup="KPI" count="0"/>
    <cacheHierarchy uniqueName="[Measures].[LY LFL AOV USD]" caption="LY LFL AOV USD" measure="1" displayFolder="04_LYLFL\USD" measureGroup="KPI" count="0"/>
    <cacheHierarchy uniqueName="[Measures].[TY DayCount]" caption="TY DayCount" measure="1" displayFolder="00_INFO" measureGroup="KPI" count="0"/>
    <cacheHierarchy uniqueName="[Measures].[TY Store Count]" caption="TY Store Count" measure="1" displayFolder="01_TY\_UNIT" measureGroup="KPI" count="0"/>
    <cacheHierarchy uniqueName="[Measures].[LY Store Count]" caption="LY Store Count" measure="1" displayFolder="03_LY\_UNIT" measureGroup="KPI" count="0"/>
    <cacheHierarchy uniqueName="[Measures].[TY LFL Store Count]" caption="TY LFL Store Count" measure="1" displayFolder="02_TYLFL\_UNIT" measureGroup="KPI" count="0"/>
    <cacheHierarchy uniqueName="[Measures].[LY LFL Store Count]" caption="LY LFL Store Count" measure="1" displayFolder="04_LYLFL\_UNIT" measureGroup="KPI" count="0"/>
    <cacheHierarchy uniqueName="[Measures].[Sales Unit TyTWvsTyLW%]" caption="Sales Unit TyTWvsTyLW%" measure="1" displayFolder="TyTWvsTyLW" measureGroup="KPI" count="0"/>
    <cacheHierarchy uniqueName="[Measures].[LFL Sales Unit TyTWvsTyLW%]" caption="LFL Sales Unit TyTWvsTyLW%" measure="1" displayFolder="TyTWvsTyLW" measureGroup="KPI" count="0"/>
    <cacheHierarchy uniqueName="[Measures].[Sales Value TyTWvsTyLW LC%]" caption="Sales Value TyTWvsTyLW LC%" measure="1" displayFolder="TyTWvsTyLW" measureGroup="KPI" count="0"/>
    <cacheHierarchy uniqueName="[Measures].[Sales Value TyTWvsTyLW TRY%]" caption="Sales Value TyTWvsTyLW TRY%" measure="1" displayFolder="TyTWvsTyLW" measureGroup="KPI" count="0"/>
    <cacheHierarchy uniqueName="[Measures].[Sales Value TyTWvsTyLW USD%]" caption="Sales Value TyTWvsTyLW USD%" measure="1" displayFolder="TyTWvsTyLW" measureGroup="KPI" count="0"/>
    <cacheHierarchy uniqueName="[Measures].[LFL Sales Value TyTWvsTyLW LC%]" caption="LFL Sales Value TyTWvsTyLW LC%" measure="1" displayFolder="TyTWvsTyLW" measureGroup="KPI" count="0"/>
    <cacheHierarchy uniqueName="[Measures].[LFL Sales Value TyTWvsTyLW TRY%]" caption="LFL Sales Value TyTWvsTyLW TRY%" measure="1" displayFolder="TyTWvsTyLW" measureGroup="KPI" count="0"/>
    <cacheHierarchy uniqueName="[Measures].[LFL Sales Value TyTWvsTyLW USD%]" caption="LFL Sales Value TyTWvsTyLW USD%" measure="1" displayFolder="TyTWvsTyLW" measureGroup="KPI" count="0"/>
    <cacheHierarchy uniqueName="[Measures].[Store Stock Unit TyTWvsTyLW%]" caption="Store Stock Unit TyTWvsTyLW%" measure="1" displayFolder="TyTWvsTyLW" measureGroup="KPI" count="0"/>
    <cacheHierarchy uniqueName="[Measures].[Store Stock Cost TyTWvsTyLW LC%]" caption="Store Stock Cost TyTWvsTyLW LC%" measure="1" displayFolder="TyTWvsTyLW" measureGroup="KPI" count="0"/>
    <cacheHierarchy uniqueName="[Measures].[Store Stock Cost TyTWvsTyLW TRY%]" caption="Store Stock Cost TyTWvsTyLW TRY%" measure="1" displayFolder="TyTWvsTyLW" measureGroup="KPI" count="0"/>
    <cacheHierarchy uniqueName="[Measures].[Store Stock Cost TyTWvsTyLW USD%]" caption="Store Stock Cost TyTWvsTyLW USD%" measure="1" displayFolder="TyTWvsTyLW" measureGroup="KPI" count="0"/>
    <cacheHierarchy uniqueName="[Measures].[LFL Store Stock Unit TyTWvsTyLW%]" caption="LFL Store Stock Unit TyTWvsTyLW%" measure="1" displayFolder="TyTWvsTyLW" measureGroup="KPI" count="0"/>
    <cacheHierarchy uniqueName="[Measures].[LFL Store Stock Cost TyTWvsTyLW LC%]" caption="LFL Store Stock Cost TyTWvsTyLW LC%" measure="1" displayFolder="TyTWvsTyLW" measureGroup="KPI" count="0"/>
    <cacheHierarchy uniqueName="[Measures].[LFL Store Stock Cost TyTWvsTyLW TRY%]" caption="LFL Store Stock Cost TyTWvsTyLW TRY%" measure="1" displayFolder="TyTWvsTyLW" measureGroup="KPI" count="0"/>
    <cacheHierarchy uniqueName="[Measures].[LFL Store Stock Cost TyTWvsTyLW USD%]" caption="LFL Store Stock Cost TyTWvsTyLW USD%" measure="1" displayFolder="TyTWvsTyLW" measureGroup="KPI" count="0"/>
    <cacheHierarchy uniqueName="[Measures].[Unit Sales Price TyTWvsTyLW LC%]" caption="Unit Sales Price TyTWvsTyLW LC%" measure="1" displayFolder="TyTWvsTyLW" measureGroup="KPI" count="0"/>
    <cacheHierarchy uniqueName="[Measures].[Unit Sales Price TyTWvsTyLW TRY%]" caption="Unit Sales Price TyTWvsTyLW TRY%" measure="1" displayFolder="TyTWvsTyLW" measureGroup="KPI" count="0"/>
    <cacheHierarchy uniqueName="[Measures].[Unit Sales Price TyTWvsTyLW USD%]" caption="Unit Sales Price TyTWvsTyLW USD%" measure="1" displayFolder="TyTWvsTyLW" measureGroup="KPI" count="0"/>
    <cacheHierarchy uniqueName="[Measures].[LFL Unit Sales Price TyTWvsTyLW LC%]" caption="LFL Unit Sales Price TyTWvsTyLW LC%" measure="1" displayFolder="TyTWvsTyLW" measureGroup="KPI" count="0"/>
    <cacheHierarchy uniqueName="[Measures].[LFL Unit Sales Price TyTWvsTyLW TRY%]" caption="LFL Unit Sales Price TyTWvsTyLW TRY%" measure="1" displayFolder="TyTWvsTyLW" measureGroup="KPI" count="0"/>
    <cacheHierarchy uniqueName="[Measures].[LFL Unit Sales Price TyTWvsTyLW USD%]" caption="LFL Unit Sales Price TyTWvsTyLW USD%" measure="1" displayFolder="TyTWvsTyLW" measureGroup="KPI" count="0"/>
    <cacheHierarchy uniqueName="[Measures].[TY DC Inc Back Cover Unit]" caption="TY DC Inc Back Cover Unit" measure="1" displayFolder="01_TY\_UNIT" measureGroup="KPI" count="0"/>
    <cacheHierarchy uniqueName="[Measures].[TY DC Inc Back Cover LC]" caption="TY DC Inc Back Cover LC" measure="1" displayFolder="01_TY\LC" measureGroup="KPI" count="0"/>
    <cacheHierarchy uniqueName="[Measures].[TY DC Inc Back Cover TRY]" caption="TY DC Inc Back Cover TRY" measure="1" displayFolder="01_TY\TRY" measureGroup="KPI" count="0"/>
    <cacheHierarchy uniqueName="[Measures].[TY DC Inc Back Cover USD]" caption="TY DC Inc Back Cover USD" measure="1" displayFolder="01_TY\USD" measureGroup="KPI" count="0"/>
    <cacheHierarchy uniqueName="[Measures].[LY DC Inc Back Cover Unit]" caption="LY DC Inc Back Cover Unit" measure="1" displayFolder="03_LY\_UNIT" measureGroup="KPI" count="0"/>
    <cacheHierarchy uniqueName="[Measures].[LY DC Inc Back Cover LC]" caption="LY DC Inc Back Cover LC" measure="1" displayFolder="03_LY\LC" measureGroup="KPI" count="0"/>
    <cacheHierarchy uniqueName="[Measures].[LY DC Inc Back Cover TRY]" caption="LY DC Inc Back Cover TRY" measure="1" displayFolder="03_LY\TRY" measureGroup="KPI" count="0"/>
    <cacheHierarchy uniqueName="[Measures].[LY DC Inc Back Cover USD]" caption="LY DC Inc Back Cover USD" measure="1" displayFolder="03_LY\USD" measureGroup="KPI" count="0"/>
    <cacheHierarchy uniqueName="[Measures].[DC Inc Back Cover Unit TYvsLY%]" caption="DC Inc Back Cover Unit TYvsLY%" measure="1" displayFolder="01_TY\_UNIT" measureGroup="KPI" count="0"/>
    <cacheHierarchy uniqueName="[Measures].[DC Inc Back Cover TYvsLY LC%]" caption="DC Inc Back Cover TYvsLY LC%" measure="1" displayFolder="01_TY\LC" measureGroup="KPI" count="0"/>
    <cacheHierarchy uniqueName="[Measures].[DC Inc Back Cover TYvsLY TRY%]" caption="DC Inc Back Cover TYvsLY TRY%" measure="1" displayFolder="01_TY\TRY" measureGroup="KPI" count="0"/>
    <cacheHierarchy uniqueName="[Measures].[DC Inc Back Cover TYvsLY USD%]" caption="DC Inc Back Cover TYvsLY USD%" measure="1" displayFolder="01_TY\USD" measureGroup="KPI" count="0"/>
    <cacheHierarchy uniqueName="[Measures].[ShowAll]" caption="ShowAll" measure="1" displayFolder="00_INFO" measureGroup="KPI" count="0"/>
    <cacheHierarchy uniqueName="[Measures].[Store Area m2]" caption="Store Area m2" measure="1" displayFolder="00_INFO" measureGroup="KPI" count="0"/>
    <cacheHierarchy uniqueName="[Measures].[TY Store Total Back Cover Unit]" caption="TY Store Total Back Cover Unit" measure="1" displayFolder="01_TY\UNIT" measureGroup="KPI" count="0"/>
    <cacheHierarchy uniqueName="[Measures].[TY Store Total Back Cover LC]" caption="TY Store Total Back Cover LC" measure="1" displayFolder="01_TY\LC" measureGroup="KPI" count="0"/>
    <cacheHierarchy uniqueName="[Measures].[TY Store Count by Sales]" caption="TY Store Count by Sales" measure="1" displayFolder="01_TY\_UNIT" measureGroup="KPI" count="0"/>
    <cacheHierarchy uniqueName="[Measures].[LY Store Count by Sales]" caption="LY Store Count by Sales" measure="1" displayFolder="03_LY\_UNIT" measureGroup="KPI" count="0"/>
    <cacheHierarchy uniqueName="[Measures].[TY LFL Store Count by Sales]" caption="TY LFL Store Count by Sales" measure="1" displayFolder="02_TYLFL\_UNIT" measureGroup="KPI" count="0"/>
    <cacheHierarchy uniqueName="[Measures].[LY LFL Store Count by Sales]" caption="LY LFL Store Count by Sales" measure="1" displayFolder="04_LYLFL\_UNIT" measureGroup="KPI" count="0"/>
    <cacheHierarchy uniqueName="[Measures].[TY Store Count by Stock]" caption="TY Store Count by Stock" measure="1" displayFolder="01_TY\_UNIT" measureGroup="KPI" count="0"/>
    <cacheHierarchy uniqueName="[Measures].[LY Store Count by Stock]" caption="LY Store Count by Stock" measure="1" displayFolder="03_LY\_UNIT" measureGroup="KPI" count="0"/>
    <cacheHierarchy uniqueName="[Measures].[TY LFL Store Count by Stock]" caption="TY LFL Store Count by Stock" measure="1" displayFolder="02_TYLFL\_UNIT" measureGroup="KPI" count="0"/>
    <cacheHierarchy uniqueName="[Measures].[LY LFL Store Count by Stock]" caption="LY LFL Store Count by Stock" measure="1" displayFolder="04_LYLFL\_UNIT" measureGroup="KPI" count="0"/>
    <cacheHierarchy uniqueName="[Measures].[TY Store Total Back Cover TRY]" caption="TY Store Total Back Cover TRY" measure="1" displayFolder="01_TY\TRY" measureGroup="KPI" count="0"/>
    <cacheHierarchy uniqueName="[Measures].[TY Store Total Back Cover USD]" caption="TY Store Total Back Cover USD" measure="1" displayFolder="01_TY\USD" measureGroup="KPI" count="0"/>
    <cacheHierarchy uniqueName="[Measures].[TY Country Back Cover Unit]" caption="TY Country Back Cover Unit" measure="1" displayFolder="01_TY\UNIT" measureGroup="KPI" count="0"/>
    <cacheHierarchy uniqueName="[Measures].[PO Unit]" caption="PO Unit" measure="1" displayFolder="_UNIT" measureGroup="PurchaseOrder" count="0"/>
    <cacheHierarchy uniqueName="[Measures].[Goods Receipt PO Unit]" caption="Goods Receipt PO Unit" measure="1" displayFolder="_UNIT" measureGroup="PurchaseOrder" count="0"/>
    <cacheHierarchy uniqueName="[Measures].[Pending PO Unit]" caption="Pending PO Unit" measure="1" displayFolder="_UNIT" measureGroup="PurchaseOrder" count="0"/>
    <cacheHierarchy uniqueName="[Measures].[Other Merchant PO Unit]" caption="Other Merchant PO Unit" measure="1" displayFolder="_UNIT" measureGroup="PurchaseOrder" count="0"/>
    <cacheHierarchy uniqueName="[Measures].[Other Merchant Goods Receipt PO Unit]" caption="Other Merchant Goods Receipt PO Unit" measure="1" displayFolder="_UNIT" measureGroup="PurchaseOrder" count="0"/>
    <cacheHierarchy uniqueName="[Measures].[Other Merchant Pending PO Unit]" caption="Other Merchant Pending PO Unit" measure="1" displayFolder="_UNIT" measureGroup="PurchaseOrder" count="0"/>
    <cacheHierarchy uniqueName="[Measures].[Pending PO Unit Runing Total]" caption="Pending PO Unit Runing Total" measure="1" displayFolder="_UNIT" measureGroup="PurchaseOrder" count="0"/>
    <cacheHierarchy uniqueName="[Measures].[Other Merchant Pending PO Unit Runing Total]" caption="Other Merchant Pending PO Unit Runing Total" measure="1" displayFolder="_UNIT" measureGroup="PurchaseOrder" count="0"/>
    <cacheHierarchy uniqueName="[Measures].[PO Unit Year Total]" caption="PO Unit Year Total" measure="1" displayFolder="_UNIT" measureGroup="PurchaseOrder" count="0"/>
    <cacheHierarchy uniqueName="[Measures].[Goods Receipt PO Unit Year Total]" caption="Goods Receipt PO Unit Year Total" measure="1" displayFolder="_UNIT" measureGroup="PurchaseOrder" count="0"/>
    <cacheHierarchy uniqueName="[Measures].[Other Merchant PO Unit Year Total]" caption="Other Merchant PO Unit Year Total" measure="1" displayFolder="_UNIT" measureGroup="PurchaseOrder" count="0"/>
    <cacheHierarchy uniqueName="[Measures].[Other Merchant Goods Receipt PO Unit Year Total]" caption="Other Merchant Goods Receipt PO Unit Year Total" measure="1" displayFolder="_UNIT" measureGroup="PurchaseOrder" count="0"/>
    <cacheHierarchy uniqueName="[Measures].[ALL PO Unit]" caption="ALL PO Unit" measure="1" displayFolder="_UNIT" measureGroup="PurchaseOrder" count="0"/>
    <cacheHierarchy uniqueName="[Measures].[ALL PO Unit Year Total]" caption="ALL PO Unit Year Total" measure="1" displayFolder="_UNIT" measureGroup="PurchaseOrder" count="0"/>
    <cacheHierarchy uniqueName="[Measures].[ALL Pending PO Unit]" caption="ALL Pending PO Unit" measure="1" displayFolder="_UNIT" measureGroup="PurchaseOrder" count="0"/>
    <cacheHierarchy uniqueName="[Measures].[ALL Pending PO Unit Runing Total]" caption="ALL Pending PO Unit Runing Total" measure="1" displayFolder="_UNIT" measureGroup="PurchaseOrder" count="0"/>
    <cacheHierarchy uniqueName="[Measures].[ALL Goods Receipt PO Unit]" caption="ALL Goods Receipt PO Unit" measure="1" displayFolder="_UNIT" measureGroup="PurchaseOrder" count="0"/>
    <cacheHierarchy uniqueName="[Measures].[ALL Goods Receipt PO Unit Year Total]" caption="ALL Goods Receipt PO Unit Year Total" measure="1" displayFolder="_UNIT" measureGroup="PurchaseOrder" count="0"/>
    <cacheHierarchy uniqueName="[Measures].[PO Value LC]" caption="PO Value LC" measure="1" displayFolder="_VALUE" measureGroup="PurchaseOrder" count="0"/>
    <cacheHierarchy uniqueName="[Measures].[PO Value LC Year Total]" caption="PO Value LC Year Total" measure="1" displayFolder="_VALUE" measureGroup="PurchaseOrder" count="0"/>
    <cacheHierarchy uniqueName="[Measures].[Goods Receipt PO Value LC]" caption="Goods Receipt PO Value LC" measure="1" displayFolder="_VALUE" measureGroup="PurchaseOrder" count="0"/>
    <cacheHierarchy uniqueName="[Measures].[Goods Receipt PO Value LC Year Total]" caption="Goods Receipt PO Value LC Year Total" measure="1" displayFolder="_VALUE" measureGroup="PurchaseOrder" count="0"/>
    <cacheHierarchy uniqueName="[Measures].[Pending PO Value LC]" caption="Pending PO Value LC" measure="1" displayFolder="_VALUE" measureGroup="PurchaseOrder" count="0"/>
    <cacheHierarchy uniqueName="[Measures].[Pending PO Value LC Runing Total]" caption="Pending PO Value LC Runing Total" measure="1" displayFolder="_VALUE" measureGroup="PurchaseOrder" count="0"/>
    <cacheHierarchy uniqueName="[Measures].[Other Merchant Goods Receipt PO Value LC]" caption="Other Merchant Goods Receipt PO Value LC" measure="1" displayFolder="_VALUE" measureGroup="PurchaseOrder" count="0"/>
    <cacheHierarchy uniqueName="[Measures].[Other Merchant Goods Receipt PO Value LC Year Total]" caption="Other Merchant Goods Receipt PO Value LC Year Total" measure="1" displayFolder="_VALUE" measureGroup="PurchaseOrder" count="0"/>
    <cacheHierarchy uniqueName="[Measures].[Other Merchant Pending PO Value LC]" caption="Other Merchant Pending PO Value LC" measure="1" displayFolder="_VALUE" measureGroup="PurchaseOrder" count="0"/>
    <cacheHierarchy uniqueName="[Measures].[Other Merchant Pending PO Value LC Runing Total]" caption="Other Merchant Pending PO Value LC Runing Total" measure="1" displayFolder="_VALUE" measureGroup="PurchaseOrder" count="0"/>
    <cacheHierarchy uniqueName="[Measures].[Other Merchant PO Value LC]" caption="Other Merchant PO Value LC" measure="1" displayFolder="_VALUE" measureGroup="PurchaseOrder" count="0"/>
    <cacheHierarchy uniqueName="[Measures].[Other Merchant PO Value LC Year Total]" caption="Other Merchant PO Value LC Year Total" measure="1" displayFolder="_VALUE" measureGroup="PurchaseOrder" count="0"/>
    <cacheHierarchy uniqueName="[Measures].[ALL PO Value LC]" caption="ALL PO Value LC" measure="1" displayFolder="_VALUE" measureGroup="PurchaseOrder" count="0"/>
    <cacheHierarchy uniqueName="[Measures].[ALL PO Value LC Year Total]" caption="ALL PO Value LC Year Total" measure="1" displayFolder="_VALUE" measureGroup="PurchaseOrder" count="0"/>
    <cacheHierarchy uniqueName="[Measures].[ALL Goods Receipt PO Value LC]" caption="ALL Goods Receipt PO Value LC" measure="1" displayFolder="_VALUE" measureGroup="PurchaseOrder" count="0"/>
    <cacheHierarchy uniqueName="[Measures].[ALL Goods Receipt PO Value LC Year Total]" caption="ALL Goods Receipt PO Value LC Year Total" measure="1" displayFolder="_VALUE" measureGroup="PurchaseOrder" count="0"/>
    <cacheHierarchy uniqueName="[Measures].[ALL Pending PO Value LC]" caption="ALL Pending PO Value LC" measure="1" displayFolder="_VALUE" measureGroup="PurchaseOrder" count="0"/>
    <cacheHierarchy uniqueName="[Measures].[ALL Pending PO Value LC Runing Total]" caption="ALL Pending PO Value LC Runing Total" measure="1" displayFolder="_VALUE" measureGroup="PurchaseOrder" count="0"/>
    <cacheHierarchy uniqueName="[Measures].[Pending PO Unit (WholeSale)]" caption="Pending PO Unit (WholeSale)" measure="1" displayFolder="_UNIT" measureGroup="PurchaseOrder" count="0"/>
    <cacheHierarchy uniqueName="[Measures].[Pending PO Value LC (WholeSale)]" caption="Pending PO Value LC (WholeSale)" measure="1" displayFolder="_VALUE" measureGroup="PurchaseOrder" count="0"/>
    <cacheHierarchy uniqueName="[Measures].[Goods Receipt PO Unit (WholeSale)]" caption="Goods Receipt PO Unit (WholeSale)" measure="1" displayFolder="_UNIT" measureGroup="PurchaseOrder" count="0"/>
    <cacheHierarchy uniqueName="[Measures].[Goods Receipt PO Value LC (WholeSale)]" caption="Goods Receipt PO Value LC (WholeSale)" measure="1" displayFolder="_VALUE" measureGroup="PurchaseOrder" count="0"/>
    <cacheHierarchy uniqueName="[Measures].[TY Customer Entry Count]" caption="TY Customer Entry Count" measure="1" displayFolder="01_TY" measureGroup="VisitorHourly" count="0"/>
    <cacheHierarchy uniqueName="[Measures].[LY Customer Entry Count]" caption="LY Customer Entry Count" measure="1" displayFolder="03_LY" measureGroup="VisitorHourly" count="0"/>
    <cacheHierarchy uniqueName="[Measures].[TY LFL Customer Entry Count]" caption="TY LFL Customer Entry Count" measure="1" displayFolder="02_TYLFL" measureGroup="VisitorHourly" count="0"/>
    <cacheHierarchy uniqueName="[Measures].[LY LFL Customer Entry Count]" caption="LY LFL Customer Entry Count" measure="1" displayFolder="04_LYLFL" measureGroup="VisitorHourly" count="0"/>
    <cacheHierarchy uniqueName="[Measures].[Daily Invoice Sale]" caption="Daily Invoice Sale" measure="1" displayFolder="01_SALE" measureGroup="Visitor" count="0"/>
    <cacheHierarchy uniqueName="[Measures].[Daily Invoice Return]" caption="Daily Invoice Return" measure="1" displayFolder="01_SALE" measureGroup="Visitor" count="0"/>
    <cacheHierarchy uniqueName="[Measures].[Net Daily Invoice (Sale-Return)]" caption="Net Daily Invoice (Sale-Return)" measure="1" displayFolder="01_SALE" measureGroup="Visitor" count="0"/>
    <cacheHierarchy uniqueName="[Measures].[Daily Visitor Count]" caption="Daily Visitor Count" measure="1" displayFolder="02_VISITOR" measureGroup="Visitor" count="0"/>
    <cacheHierarchy uniqueName="[Measures].[Net Daily Invoice of Company]" caption="Net Daily Invoice of Company" measure="1" displayFolder="01_SALE" measureGroup="Visitor" count="0"/>
    <cacheHierarchy uniqueName="[Measures].[Daily Visitor Count of Company]" caption="Daily Visitor Count of Company" measure="1" displayFolder="02_VISITOR" measureGroup="Visitor" count="0"/>
    <cacheHierarchy uniqueName="[Measures].[Customer Conversion Rate]" caption="Customer Conversion Rate" measure="1" displayFolder="03_CCR" measureGroup="Visitor" count="0"/>
    <cacheHierarchy uniqueName="[Measures].[Adjusted Customer Conversion Rate]" caption="Adjusted Customer Conversion Rate" measure="1" displayFolder="03_CCR" measureGroup="Visitor" count="0"/>
    <cacheHierarchy uniqueName="[Measures].[Adjusted Visitor Count]" caption="Adjusted Visitor Count" measure="1" displayFolder="02_VISITOR" measureGroup="Visitor" count="0"/>
    <cacheHierarchy uniqueName="[Measures].[TY Avg Capacity Plan Unit]" caption="TY Avg Capacity Plan Unit" measure="1" displayFolder="01_TY\_UNIT" measureGroup="Capacity" count="0"/>
    <cacheHierarchy uniqueName="[Measures].[TY LFL Avg Capacity Plan Unit]" caption="TY LFL Avg Capacity Plan Unit" measure="1" displayFolder="01_TY\_UNIT" measureGroup="Capacity" count="0"/>
    <cacheHierarchy uniqueName="[Measures].[CUR Store Capacity Quantity]" caption="CUR Store Capacity Quantity" measure="1" displayFolder="00_CURRENT\_UNIT" measureGroup="Capacity" count="0"/>
    <cacheHierarchy uniqueName="[Measures].[CUR Backstore Capacity Quantity]" caption="CUR Backstore Capacity Quantity" measure="1" displayFolder="00_CURRENT\_UNIT" measureGroup="Capacity" count="0"/>
    <cacheHierarchy uniqueName="[Measures].[CUR Total Store Capacity Quantity]" caption="CUR Total Store Capacity Quantity" measure="1" displayFolder="00_CURRENT\_UNIT" measureGroup="Capacity" count="0"/>
    <cacheHierarchy uniqueName="[Measures].[CUR Store Capacity dm3]" caption="CUR Store Capacity dm3" measure="1" displayFolder="00_CURRENT\_DM3" measureGroup="Capacity" count="0"/>
    <cacheHierarchy uniqueName="[Measures].[CUR Backstore Capacity dm3]" caption="CUR Backstore Capacity dm3" measure="1" displayFolder="00_CURRENT\_DM3" measureGroup="Capacity" count="0"/>
    <cacheHierarchy uniqueName="[Measures].[CUR Total Store Capacity dm3]" caption="CUR Total Store Capacity dm3" measure="1" displayFolder="00_CURRENT\_DM3" measureGroup="Capacity" count="0"/>
    <cacheHierarchy uniqueName="[Measures].[TY Avg Capacity Plan Cost LC]" caption="TY Avg Capacity Plan Cost LC" measure="1" displayFolder="01_TY\_LC" measureGroup="Capacity" count="0"/>
    <cacheHierarchy uniqueName="[Measures].[TY LFL Avg Capacity Plan Cost LC]" caption="TY LFL Avg Capacity Plan Cost LC" measure="1" displayFolder="01_TY\_LC" measureGroup="Capacity" count="0"/>
    <cacheHierarchy uniqueName="[Measures].[Fiziki Dm3 Doluluk %]" caption="Fiziki Dm3 Doluluk %" measure="1" displayFolder="00_CURRENT\_DM3" measureGroup="Capacity" count="0"/>
    <cacheHierarchy uniqueName="[Measures].[Nihai Dm3 Doluluk %]" caption="Nihai Dm3 Doluluk %" measure="1" displayFolder="00_CURRENT\_DM3" measureGroup="Capacity" count="0"/>
    <cacheHierarchy uniqueName="[Measures].[Fiziki Adet Doluluk %]" caption="Fiziki Adet Doluluk %" measure="1" displayFolder="00_CURRENT\_UNIT" measureGroup="Capacity" count="0"/>
    <cacheHierarchy uniqueName="[Measures].[Nihai Adet Doluluk %]" caption="Nihai Adet Doluluk %" measure="1" displayFolder="00_CURRENT\_UNIT" measureGroup="Capacity" count="0"/>
    <cacheHierarchy uniqueName="[Measures].[BrKar/Dm3]" caption="BrKar/Dm3" measure="1" displayFolder="00_CURRENT\_DM3" measureGroup="Capacity" count="0"/>
    <cacheHierarchy uniqueName="[Measures].[NET Nihai Dm3 Doluluk %]" caption="NET Nihai Dm3 Doluluk %" measure="1" displayFolder="00_CURRENT\_DM3" measureGroup="Capacity" count="0"/>
    <cacheHierarchy uniqueName="[Measures].[Delivery Quantity Outbound from DC to Store]" caption="Delivery Quantity Outbound from DC to Store" measure="1" displayFolder="" measureGroup="Delivery" count="0"/>
    <cacheHierarchy uniqueName="[Measures].[Delivery Quantity Target from DC to Store]" caption="Delivery Quantity Target from DC to Store" measure="1" displayFolder="" measureGroup="Delivery" count="0"/>
    <cacheHierarchy uniqueName="[Measures].[__Default measure]" caption="__Default measure" measure="1" displayFolder="" count="0" hidden="1"/>
    <cacheHierarchy uniqueName="[Measures].[DCStockUnit]" caption="DCStockUnit" measure="1" displayFolder="01_TY\_UNIT" measureGroup="StockDC" count="0" hidden="1"/>
    <cacheHierarchy uniqueName="[Measures].[DCCUSStockUnit]" caption="DCCUSStockUnit" measure="1" displayFolder="01_TY\_UNIT" measureGroup="StockDC" count="0" hidden="1"/>
    <cacheHierarchy uniqueName="[Measures].[DCTRNStockUnit]" caption="DCTRNStockUnit" measure="1" displayFolder="01_TY\_UNIT" measureGroup="StockDC" count="0" hidden="1"/>
    <cacheHierarchy uniqueName="[Measures].[DCStockCostLC]" caption="DCStockCostLC" measure="1" displayFolder="01_TY\LC" measureGroup="StockDC" count="0" hidden="1"/>
    <cacheHierarchy uniqueName="[Measures].[DCTRNStockCostLC]" caption="DCTRNStockCostLC" measure="1" displayFolder="01_TY\LC" measureGroup="StockDC" count="0" hidden="1"/>
    <cacheHierarchy uniqueName="[Measures].[DCCUSStockCostLC]" caption="DCCUSStockCostLC" measure="1" displayFolder="01_TY\LC" measureGroup="StockDC" count="0" hidden="1"/>
    <cacheHierarchy uniqueName="[Measures].[DCStockCostTRY]" caption="DCStockCostTRY" measure="1" displayFolder="01_TY\TRY" measureGroup="StockDC" count="0" hidden="1"/>
    <cacheHierarchy uniqueName="[Measures].[DCTRNStockCostTRY]" caption="DCTRNStockCostTRY" measure="1" displayFolder="01_TY\TRY" measureGroup="StockDC" count="0" hidden="1"/>
    <cacheHierarchy uniqueName="[Measures].[DCCUSStockCostTRY]" caption="DCCUSStockCostTRY" measure="1" displayFolder="01_TY\TRY" measureGroup="StockDC" count="0" hidden="1"/>
    <cacheHierarchy uniqueName="[Measures].[DCStockCostUSD]" caption="DCStockCostUSD" measure="1" displayFolder="01_TY\USD" measureGroup="StockDC" count="0" hidden="1"/>
    <cacheHierarchy uniqueName="[Measures].[DCTRNStockCostUSD]" caption="DCTRNStockCostUSD" measure="1" displayFolder="01_TY\USD" measureGroup="StockDC" count="0" hidden="1"/>
    <cacheHierarchy uniqueName="[Measures].[DCCUSStockCostUSD]" caption="DCCUSStockCostUSD" measure="1" displayFolder="01_TY\USD" measureGroup="StockDC" count="0" hidden="1"/>
    <cacheHierarchy uniqueName="[Measures].[LYDCStockUnit]" caption="LYDCStockUnit" measure="1" displayFolder="02_LY\_UNIT" measureGroup="StockDC" count="0" hidden="1"/>
    <cacheHierarchy uniqueName="[Measures].[LYDCTRNStockUnit]" caption="LYDCTRNStockUnit" measure="1" displayFolder="02_LY\_UNIT" measureGroup="StockDC" count="0" hidden="1"/>
    <cacheHierarchy uniqueName="[Measures].[LYDCCUSStockUnit]" caption="LYDCCUSStockUnit" measure="1" displayFolder="02_LY\_UNIT" measureGroup="StockDC" count="0" hidden="1"/>
    <cacheHierarchy uniqueName="[Measures].[LYDCStockCostLC]" caption="LYDCStockCostLC" measure="1" displayFolder="02_LY\LC" measureGroup="StockDC" count="0" hidden="1"/>
    <cacheHierarchy uniqueName="[Measures].[LYDCTRNStockCostLC]" caption="LYDCTRNStockCostLC" measure="1" displayFolder="02_LY\LC" measureGroup="StockDC" count="0" hidden="1"/>
    <cacheHierarchy uniqueName="[Measures].[LYDCCUSStockCostLC]" caption="LYDCCUSStockCostLC" measure="1" displayFolder="02_LY\LC" measureGroup="StockDC" count="0" hidden="1"/>
    <cacheHierarchy uniqueName="[Measures].[LYDCStockCostTRY]" caption="LYDCStockCostTRY" measure="1" displayFolder="02_LY\TRY" measureGroup="StockDC" count="0" hidden="1"/>
    <cacheHierarchy uniqueName="[Measures].[LYDCTRNStockCostTRY]" caption="LYDCTRNStockCostTRY" measure="1" displayFolder="02_LY\TRY" measureGroup="StockDC" count="0" hidden="1"/>
    <cacheHierarchy uniqueName="[Measures].[LYDCCUSStockCostTRY]" caption="LYDCCUSStockCostTRY" measure="1" displayFolder="02_LY\TRY" measureGroup="StockDC" count="0" hidden="1"/>
    <cacheHierarchy uniqueName="[Measures].[LYDCStockCostUSD]" caption="LYDCStockCostUSD" measure="1" displayFolder="02_LY\USD" measureGroup="StockDC" count="0" hidden="1"/>
    <cacheHierarchy uniqueName="[Measures].[LYDCTRNStockCostUSD]" caption="LYDCTRNStockCostUSD" measure="1" displayFolder="02_LY\USD" measureGroup="StockDC" count="0" hidden="1"/>
    <cacheHierarchy uniqueName="[Measures].[LYDCCUSStockCostUSD]" caption="LYDCCUSStockCostUSD" measure="1" displayFolder="02_LY\USD" measureGroup="StockDC" count="0" hidden="1"/>
    <cacheHierarchy uniqueName="[Measures].[DCOTHStockUnit]" caption="DCOTHStockUnit" measure="1" displayFolder="01_TY\_UNIT" measureGroup="StockDC" count="0" hidden="1"/>
    <cacheHierarchy uniqueName="[Measures].[DCOthStockCostLC]" caption="DCOthStockCostLC" measure="1" displayFolder="01_TY\LC" measureGroup="StockDC" count="0" hidden="1"/>
    <cacheHierarchy uniqueName="[Measures].[DCOTHStockCostTRY]" caption="DCOTHStockCostTRY" measure="1" displayFolder="01_TY\TRY" measureGroup="StockDC" count="0" hidden="1"/>
    <cacheHierarchy uniqueName="[Measures].[DCOTHStockCostUSD]" caption="DCOTHStockCostUSD" measure="1" displayFolder="01_TY\USD" measureGroup="StockDC" count="0" hidden="1"/>
    <cacheHierarchy uniqueName="[Measures].[LYDCOTHStockUnit]" caption="LYDCOTHStockUnit" measure="1" displayFolder="02_LY\_UNIT" measureGroup="StockDC" count="0" hidden="1"/>
    <cacheHierarchy uniqueName="[Measures].[LYDCOTHStockCostLC]" caption="LYDCOTHStockCostLC" measure="1" displayFolder="02_LY\LC" measureGroup="StockDC" count="0" hidden="1"/>
    <cacheHierarchy uniqueName="[Measures].[LYDCOTHStockCostTRY]" caption="LYDCOTHStockCostTRY" measure="1" displayFolder="02_LY\TRY" measureGroup="StockDC" count="0" hidden="1"/>
    <cacheHierarchy uniqueName="[Measures].[LYDCOTHStockCostUSD]" caption="LYDCOTHStockCostUSD" measure="1" displayFolder="02_LY\USD" measureGroup="StockDC" count="0" hidden="1"/>
    <cacheHierarchy uniqueName="[Measures].[SumofStockUnit]" caption="SumofStockUnit" measure="1" displayFolder="01_TY\_UNIT" measureGroup="StockStore" count="0" hidden="1"/>
    <cacheHierarchy uniqueName="[Measures].[SumofTransitStockUnit]" caption="SumofTransitStockUnit" measure="1" displayFolder="01_TY\_UNIT" measureGroup="StockStore" count="0" hidden="1"/>
    <cacheHierarchy uniqueName="[Measures].[StoreStockCostLC]" caption="StoreStockCostLC" measure="1" displayFolder="01_TY\LC" measureGroup="StockStore" count="0" hidden="1"/>
    <cacheHierarchy uniqueName="[Measures].[StoreTransitStockCostLC]" caption="StoreTransitStockCostLC" measure="1" displayFolder="01_TY\LC" measureGroup="StockStore" count="0" hidden="1"/>
    <cacheHierarchy uniqueName="[Measures].[TyLFLSumofStockUnit]" caption="TyLFLSumofStockUnit" measure="1" displayFolder="02_TYLFL\_UNIT" measureGroup="StockStore" count="0" hidden="1"/>
    <cacheHierarchy uniqueName="[Measures].[TyLFLSumofTransitStockUnit]" caption="TyLFLSumofTransitStockUnit" measure="1" displayFolder="02_TYLFL\_UNIT" measureGroup="StockStore" count="0" hidden="1"/>
    <cacheHierarchy uniqueName="[Measures].[TYlfl StoreStockCostLC]" caption="TYlfl StoreStockCostLC" measure="1" displayFolder="02_TYLFL\LC" measureGroup="StockStore" count="0" hidden="1"/>
    <cacheHierarchy uniqueName="[Measures].[TYlfl StoreTransitStockCostLC]" caption="TYlfl StoreTransitStockCostLC" measure="1" displayFolder="02_TYLFL\LC" measureGroup="StockStore" count="0" hidden="1"/>
    <cacheHierarchy uniqueName="[Measures].[StoreStockCostTRY]" caption="StoreStockCostTRY" measure="1" displayFolder="01_TY\TRY" measureGroup="StockStore" count="0" hidden="1"/>
    <cacheHierarchy uniqueName="[Measures].[StoreTransitStockCostTRY]" caption="StoreTransitStockCostTRY" measure="1" displayFolder="01_TY\TRY" measureGroup="StockStore" count="0" hidden="1"/>
    <cacheHierarchy uniqueName="[Measures].[StoreStockCostUSD]" caption="StoreStockCostUSD" measure="1" displayFolder="01_TY\USD" measureGroup="StockStore" count="0" hidden="1"/>
    <cacheHierarchy uniqueName="[Measures].[StoreTransitStockCostUSD]" caption="StoreTransitStockCostUSD" measure="1" displayFolder="01_TY\USD" measureGroup="StockStore" count="0" hidden="1"/>
    <cacheHierarchy uniqueName="[Measures].[TYLFL StoreStockCostTRY]" caption="TYLFL StoreStockCostTRY" measure="1" displayFolder="02_TYLFL\TRY" measureGroup="StockStore" count="0" hidden="1"/>
    <cacheHierarchy uniqueName="[Measures].[TYLFL StoreTransitStockCostTRY]" caption="TYLFL StoreTransitStockCostTRY" measure="1" displayFolder="02_TYLFL\TRY" measureGroup="StockStore" count="0" hidden="1"/>
    <cacheHierarchy uniqueName="[Measures].[TYLFL StoreStockCostUSD]" caption="TYLFL StoreStockCostUSD" measure="1" displayFolder="02_TYLFL\USD" measureGroup="StockStore" count="0" hidden="1"/>
    <cacheHierarchy uniqueName="[Measures].[TYLFL StoreTransitStockCostUSD]" caption="TYLFL StoreTransitStockCostUSD" measure="1" displayFolder="02_TYLFL\USD" measureGroup="StockStore" count="0" hidden="1"/>
    <cacheHierarchy uniqueName="[Measures].[LYSumofStockUnit]" caption="LYSumofStockUnit" measure="1" displayFolder="03_LY\_UNIT" measureGroup="StockStore" count="0" hidden="1"/>
    <cacheHierarchy uniqueName="[Measures].[LYSumofTransitStockUnit]" caption="LYSumofTransitStockUnit" measure="1" displayFolder="03_LY\_UNIT" measureGroup="StockStore" count="0" hidden="1"/>
    <cacheHierarchy uniqueName="[Measures].[LYStoreStockCostLC]" caption="LYStoreStockCostLC" measure="1" displayFolder="03_LY\LC" measureGroup="StockStore" count="0" hidden="1"/>
    <cacheHierarchy uniqueName="[Measures].[LYStoreTransitStockCostLC]" caption="LYStoreTransitStockCostLC" measure="1" displayFolder="03_LY\LC" measureGroup="StockStore" count="0" hidden="1"/>
    <cacheHierarchy uniqueName="[Measures].[LYStoreStockCostTRY]" caption="LYStoreStockCostTRY" measure="1" displayFolder="03_LY\TRY" measureGroup="StockStore" count="0" hidden="1"/>
    <cacheHierarchy uniqueName="[Measures].[LYStoreTransitStockCostTRY]" caption="LYStoreTransitStockCostTRY" measure="1" displayFolder="03_LY\TRY" measureGroup="StockStore" count="0" hidden="1"/>
    <cacheHierarchy uniqueName="[Measures].[LYStoreStockCostUSD]" caption="LYStoreStockCostUSD" measure="1" displayFolder="03_LY\USD" measureGroup="StockStore" count="0" hidden="1"/>
    <cacheHierarchy uniqueName="[Measures].[LYStoreTransitStockCostUSD]" caption="LYStoreTransitStockCostUSD" measure="1" displayFolder="03_LY\USD" measureGroup="StockStore" count="0" hidden="1"/>
    <cacheHierarchy uniqueName="[Measures].[LyLFLSumofStockUnit]" caption="LyLFLSumofStockUnit" measure="1" displayFolder="04_LYLFL\_UNIT" measureGroup="StockStore" count="0" hidden="1"/>
    <cacheHierarchy uniqueName="[Measures].[LyLFLSumofTransitStockUnit]" caption="LyLFLSumofTransitStockUnit" measure="1" displayFolder="04_LYLFL\_UNIT" measureGroup="StockStore" count="0" hidden="1"/>
    <cacheHierarchy uniqueName="[Measures].[LYlfl StoreStockCostLC]" caption="LYlfl StoreStockCostLC" measure="1" displayFolder="04_LYLFL\LC" measureGroup="StockStore" count="0" hidden="1"/>
    <cacheHierarchy uniqueName="[Measures].[LYlfl StoreTransitStockCostLC]" caption="LYlfl StoreTransitStockCostLC" measure="1" displayFolder="04_LYLFL\LC" measureGroup="StockStore" count="0" hidden="1"/>
    <cacheHierarchy uniqueName="[Measures].[LYLFL StoreStockCostTRY]" caption="LYLFL StoreStockCostTRY" measure="1" displayFolder="04_LYLFL\TRY" measureGroup="StockStore" count="0" hidden="1"/>
    <cacheHierarchy uniqueName="[Measures].[LYLFL StoreTransitStockCostTRY]" caption="LYLFL StoreTransitStockCostTRY" measure="1" displayFolder="04_LYLFL\TRY" measureGroup="StockStore" count="0" hidden="1"/>
    <cacheHierarchy uniqueName="[Measures].[LYLFL StoreStockCostUSD]" caption="LYLFL StoreStockCostUSD" measure="1" displayFolder="04_LYLFL\USD" measureGroup="StockStore" count="0" hidden="1"/>
    <cacheHierarchy uniqueName="[Measures].[LYLFL StoreTransitStockCostUSD]" caption="LYLFL StoreTransitStockCostUSD" measure="1" displayFolder="04_LYLFL\USD" measureGroup="StockStore" count="0" hidden="1"/>
    <cacheHierarchy uniqueName="[Measures].[RoEcomStok]" caption="RoEcomStok" measure="1" displayFolder="" measureGroup="StockStore" count="0" hidden="1"/>
    <cacheHierarchy uniqueName="[Measures].[laststokdate]" caption="laststokdate" measure="1" displayFolder="" measureGroup="StockStore" count="0" hidden="1"/>
    <cacheHierarchy uniqueName="[Measures].[SumofOtherStockUnit]" caption="SumofOtherStockUnit" measure="1" displayFolder="" measureGroup="StockStore" count="0" hidden="1"/>
    <cacheHierarchy uniqueName="[Measures].[TyLFLSumofOtherStockUnit]" caption="TyLFLSumofOtherStockUnit" measure="1" displayFolder="" measureGroup="StockStore" count="0" hidden="1"/>
    <cacheHierarchy uniqueName="[Measures].[LYSumofOtherStockUnit]" caption="LYSumofOtherStockUnit" measure="1" displayFolder="" measureGroup="StockStore" count="0" hidden="1"/>
    <cacheHierarchy uniqueName="[Measures].[LyLFLSumofOtherStockUnit]" caption="LyLFLSumofOtherStockUnit" measure="1" displayFolder="" measureGroup="StockStore" count="0" hidden="1"/>
    <cacheHierarchy uniqueName="[Measures].[StoreOtherStockCostTRY]" caption="StoreOtherStockCostTRY" measure="1" displayFolder="" measureGroup="StockStore" count="0" hidden="1"/>
    <cacheHierarchy uniqueName="[Measures].[StoreOtherStockCostLC]" caption="StoreOtherStockCostLC" measure="1" displayFolder="" measureGroup="StockStore" count="0" hidden="1"/>
    <cacheHierarchy uniqueName="[Measures].[StoreOtherStockCostUSD]" caption="StoreOtherStockCostUSD" measure="1" displayFolder="" measureGroup="StockStore" count="0" hidden="1"/>
    <cacheHierarchy uniqueName="[Measures].[Salable Stock Unit]" caption="Salable Stock Unit" measure="1" displayFolder="" measureGroup="StockStore" count="0" hidden="1"/>
    <cacheHierarchy uniqueName="[Measures].[LYStoreOtherStockCostLC]" caption="LYStoreOtherStockCostLC" measure="1" displayFolder="" measureGroup="StockStore" count="0" hidden="1"/>
    <cacheHierarchy uniqueName="[Measures].[LYStoreOtherStockCostTRY]" caption="LYStoreOtherStockCostTRY" measure="1" displayFolder="" measureGroup="StockStore" count="0" hidden="1"/>
    <cacheHierarchy uniqueName="[Measures].[LYStoreOtherStockCostUSD]" caption="LYStoreOtherStockCostUSD" measure="1" displayFolder="" measureGroup="StockStore" count="0" hidden="1"/>
    <cacheHierarchy uniqueName="[Measures].[Copy of CUR Open Transfer Store Stock Unit]" caption="Copy of CUR Open Transfer Store Stock Unit" measure="1" displayFolder="" measureGroup="StockStore" count="0" hidden="1"/>
    <cacheHierarchy uniqueName="[Measures].[SumofStockUnitDm3]" caption="SumofStockUnitDm3" measure="1" displayFolder="" measureGroup="StockStore" count="0" hidden="1"/>
    <cacheHierarchy uniqueName="[Measures].[SumofTransitStockUnitDm3]" caption="SumofTransitStockUnitDm3" measure="1" displayFolder="" measureGroup="StockStore" count="0" hidden="1"/>
    <cacheHierarchy uniqueName="[Measures].[TY CSP Sales Value VAT LC]" caption="TY CSP Sales Value VAT LC" measure="1" displayFolder="01_TY\LC" measureGroup="Sales" count="0" hidden="1"/>
    <cacheHierarchy uniqueName="[Measures].[TY CSP Sales Value LC]" caption="TY CSP Sales Value LC" measure="1" displayFolder="01_TY\LC" measureGroup="Sales" count="0" hidden="1"/>
    <cacheHierarchy uniqueName="[Measures].[TY CSP Sales Value VAT TRY]" caption="TY CSP Sales Value VAT TRY" measure="1" displayFolder="01_TY\TRY" measureGroup="Sales" count="0" hidden="1"/>
    <cacheHierarchy uniqueName="[Measures].[TY CSP Sales Value TRY]" caption="TY CSP Sales Value TRY" measure="1" displayFolder="01_TY\TRY" measureGroup="Sales" count="0" hidden="1"/>
    <cacheHierarchy uniqueName="[Measures].[LY CSP Sales Value VAT LC]" caption="LY CSP Sales Value VAT LC" measure="1" displayFolder="03_LY\LC" measureGroup="Sales" count="0" hidden="1"/>
    <cacheHierarchy uniqueName="[Measures].[LY CSP Sales Value LC]" caption="LY CSP Sales Value LC" measure="1" displayFolder="03_LY\LC" measureGroup="Sales" count="0" hidden="1"/>
    <cacheHierarchy uniqueName="[Measures].[TY LFL CSP Sales Value VAT LC]" caption="TY LFL CSP Sales Value VAT LC" measure="1" displayFolder="02_TYLFL\LC" measureGroup="Sales" count="0" hidden="1"/>
    <cacheHierarchy uniqueName="[Measures].[TY LFL CSP Sales Value LC]" caption="TY LFL CSP Sales Value LC" measure="1" displayFolder="02_TYLFL\LC" measureGroup="Sales" count="0" hidden="1"/>
    <cacheHierarchy uniqueName="[Measures].[TY CSP Sales Value VAT USD]" caption="TY CSP Sales Value VAT USD" measure="1" displayFolder="01_TY\USD" measureGroup="Sales" count="0" hidden="1"/>
    <cacheHierarchy uniqueName="[Measures].[TY CSP Sales Value USD]" caption="TY CSP Sales Value USD" measure="1" displayFolder="01_TY\USD" measureGroup="Sales" count="0" hidden="1"/>
    <cacheHierarchy uniqueName="[Measures].[TY LFL CSP Sales Value VAT TRY]" caption="TY LFL CSP Sales Value VAT TRY" measure="1" displayFolder="02_TYLFL\TRY" measureGroup="Sales" count="0" hidden="1"/>
    <cacheHierarchy uniqueName="[Measures].[TY LFL CSP Sales Value TRY]" caption="TY LFL CSP Sales Value TRY" measure="1" displayFolder="02_TYLFL\TRY" measureGroup="Sales" count="0" hidden="1"/>
    <cacheHierarchy uniqueName="[Measures].[TY LFL CSP Sales Value VAT USD]" caption="TY LFL CSP Sales Value VAT USD" measure="1" displayFolder="02_TYLFL\USD" measureGroup="Sales" count="0" hidden="1"/>
    <cacheHierarchy uniqueName="[Measures].[TY LFL CSP Sales Value USD]" caption="TY LFL CSP Sales Value USD" measure="1" displayFolder="02_TYLFL\USD" measureGroup="Sales" count="0" hidden="1"/>
    <cacheHierarchy uniqueName="[Measures].[LY CSP Sales Value VAT TRY]" caption="LY CSP Sales Value VAT TRY" measure="1" displayFolder="03_LY\TRY" measureGroup="Sales" count="0" hidden="1"/>
    <cacheHierarchy uniqueName="[Measures].[LY CSP Sales Value TRY]" caption="LY CSP Sales Value TRY" measure="1" displayFolder="03_LY\TRY" measureGroup="Sales" count="0" hidden="1"/>
    <cacheHierarchy uniqueName="[Measures].[LY CSP Sales Value VAT USD]" caption="LY CSP Sales Value VAT USD" measure="1" displayFolder="03_LY\USD" measureGroup="Sales" count="0" hidden="1"/>
    <cacheHierarchy uniqueName="[Measures].[LY CSP Sales Value USD]" caption="LY CSP Sales Value USD" measure="1" displayFolder="03_LY\USD" measureGroup="Sales" count="0" hidden="1"/>
    <cacheHierarchy uniqueName="[Measures].[LY LFL CSP Sales Value VAT LC]" caption="LY LFL CSP Sales Value VAT LC" measure="1" displayFolder="04_LYLFL\LC" measureGroup="Sales" count="0" hidden="1"/>
    <cacheHierarchy uniqueName="[Measures].[LY LFL CSP Sales Value LC]" caption="LY LFL CSP Sales Value LC" measure="1" displayFolder="04_LYLFL\LC" measureGroup="Sales" count="0" hidden="1"/>
    <cacheHierarchy uniqueName="[Measures].[LY LFL CSP Sales Value VAT TRY]" caption="LY LFL CSP Sales Value VAT TRY" measure="1" displayFolder="04_LYLFL\TRY" measureGroup="Sales" count="0" hidden="1"/>
    <cacheHierarchy uniqueName="[Measures].[LY LFL CSP Sales Value TRY]" caption="LY LFL CSP Sales Value TRY" measure="1" displayFolder="04_LYLFL\TRY" measureGroup="Sales" count="0" hidden="1"/>
    <cacheHierarchy uniqueName="[Measures].[LY LFL CSP Sales Value VAT USD]" caption="LY LFL CSP Sales Value VAT USD" measure="1" displayFolder="04_LYLFL\USD" measureGroup="Sales" count="0" hidden="1"/>
    <cacheHierarchy uniqueName="[Measures].[LY LFL CSP Sales Value USD]" caption="LY LFL CSP Sales Value USD" measure="1" displayFolder="04_LYLFL\USD" measureGroup="Sales" count="0" hidden="1"/>
    <cacheHierarchy uniqueName="[Measures].[TY Unit CSP LC]" caption="TY Unit CSP LC" measure="1" displayFolder="01_TY\LC" measureGroup="Sales" count="0" hidden="1"/>
    <cacheHierarchy uniqueName="[Measures].[LY Unit CSP LC]" caption="LY Unit CSP LC" measure="1" displayFolder="03_LY\LC" measureGroup="Sales" count="0" hidden="1"/>
    <cacheHierarchy uniqueName="[Measures].[TY LFL Unit CSP LC]" caption="TY LFL Unit CSP LC" measure="1" displayFolder="02_TYLFL\LC" measureGroup="Sales" count="0" hidden="1"/>
    <cacheHierarchy uniqueName="[Measures].[LY LFL Unit CSP LC]" caption="LY LFL Unit CSP LC" measure="1" displayFolder="04_LYLFL\LC" measureGroup="Sales" count="0" hidden="1"/>
    <cacheHierarchy uniqueName="[Measures].[TY Unit CSP TRY]" caption="TY Unit CSP TRY" measure="1" displayFolder="01_TY\TRY" measureGroup="Sales" count="0" hidden="1"/>
    <cacheHierarchy uniqueName="[Measures].[LY Unit CSP TRY]" caption="LY Unit CSP TRY" measure="1" displayFolder="03_LY\TRY" measureGroup="Sales" count="0" hidden="1"/>
    <cacheHierarchy uniqueName="[Measures].[TY LFL Unit CSPTRY]" caption="TY LFL Unit CSPTRY" measure="1" displayFolder="02_TYLFL\TRY" measureGroup="Sales" count="0" hidden="1"/>
    <cacheHierarchy uniqueName="[Measures].[LY LFL Unit CSP TRY]" caption="LY LFL Unit CSP TRY" measure="1" displayFolder="04_LYLFL\TRY" measureGroup="Sales" count="0" hidden="1"/>
    <cacheHierarchy uniqueName="[Measures].[TY Unit CSP USD]" caption="TY Unit CSP USD" measure="1" displayFolder="01_TY\USD" measureGroup="Sales" count="0" hidden="1"/>
    <cacheHierarchy uniqueName="[Measures].[LY Unit CSP USD]" caption="LY Unit CSP USD" measure="1" displayFolder="03_LY\USD" measureGroup="Sales" count="0" hidden="1"/>
    <cacheHierarchy uniqueName="[Measures].[TY LFL Unit CSP USD]" caption="TY LFL Unit CSP USD" measure="1" displayFolder="02_TYLFL\USD" measureGroup="Sales" count="0" hidden="1"/>
    <cacheHierarchy uniqueName="[Measures].[SumofSalesUnitDm3]" caption="SumofSalesUnitDm3" measure="1" displayFolder="" measureGroup="Sales" count="0" hidden="1"/>
    <cacheHierarchy uniqueName="[Measures].[TY Store Cover Unit]" caption="TY Store Cover Unit" measure="1" displayFolder="01_TY\_UNIT" measureGroup="KPI" count="0" hidden="1"/>
    <cacheHierarchy uniqueName="[Measures].[TY Store Cover LC]" caption="TY Store Cover LC" measure="1" displayFolder="01_TY\LC" measureGroup="KPI" count="0" hidden="1"/>
    <cacheHierarchy uniqueName="[Measures].[TY Store Cover TRY]" caption="TY Store Cover TRY" measure="1" displayFolder="01_TY\TRY" measureGroup="KPI" count="0" hidden="1"/>
    <cacheHierarchy uniqueName="[Measures].[TY Store Cover USD]" caption="TY Store Cover USD" measure="1" displayFolder="01_TY\USD" measureGroup="KPI" count="0" hidden="1"/>
    <cacheHierarchy uniqueName="[Measures].[LY Store Cover LC]" caption="LY Store Cover LC" measure="1" displayFolder="03_LY\LC" measureGroup="KPI" count="0" hidden="1"/>
    <cacheHierarchy uniqueName="[Measures].[LY Store Cover TRY]" caption="LY Store Cover TRY" measure="1" displayFolder="03_LY\TRY" measureGroup="KPI" count="0" hidden="1"/>
    <cacheHierarchy uniqueName="[Measures].[LY Store Cover USD]" caption="LY Store Cover USD" measure="1" displayFolder="03_LY\USD" measureGroup="KPI" count="0" hidden="1"/>
    <cacheHierarchy uniqueName="[Measures].[TY LFL Store Cover LC]" caption="TY LFL Store Cover LC" measure="1" displayFolder="02_TYLFL\LC" measureGroup="KPI" count="0" hidden="1"/>
    <cacheHierarchy uniqueName="[Measures].[TY LFL Store Cover TRY]" caption="TY LFL Store Cover TRY" measure="1" displayFolder="02_TYLFL\TRY" measureGroup="KPI" count="0" hidden="1"/>
    <cacheHierarchy uniqueName="[Measures].[TY LFL Store Cover USD]" caption="TY LFL Store Cover USD" measure="1" displayFolder="02_TYLFL\USD" measureGroup="KPI" count="0" hidden="1"/>
    <cacheHierarchy uniqueName="[Measures].[LY LFL Store Cover LC]" caption="LY LFL Store Cover LC" measure="1" displayFolder="04_LYLFL\LC" measureGroup="KPI" count="0" hidden="1"/>
    <cacheHierarchy uniqueName="[Measures].[LY LFL Store Cover TRY]" caption="LY LFL Store Cover TRY" measure="1" displayFolder="04_LYLFL\TRY" measureGroup="KPI" count="0" hidden="1"/>
    <cacheHierarchy uniqueName="[Measures].[LY LFL Store Cover USD]" caption="LY LFL Store Cover USD" measure="1" displayFolder="04_LYLFL\USD" measureGroup="KPI" count="0" hidden="1"/>
    <cacheHierarchy uniqueName="[Measures].[LY Store Cover Unit]" caption="LY Store Cover Unit" measure="1" displayFolder="03_LY\_UNIT" measureGroup="KPI" count="0" hidden="1"/>
    <cacheHierarchy uniqueName="[Measures].[TY LFL Store Cover Unit]" caption="TY LFL Store Cover Unit" measure="1" displayFolder="02_TYLFL\_UNIT" measureGroup="KPI" count="0" hidden="1"/>
    <cacheHierarchy uniqueName="[Measures].[LY LFL Store Cover Unit]" caption="LY LFL Store Cover Unit" measure="1" displayFolder="04_LYLFL\_UNIT" measureGroup="KPI" count="0" hidden="1"/>
    <cacheHierarchy uniqueName="[Measures].[Store Cover Unit TYvsLY%]" caption="Store Cover Unit TYvsLY%" measure="1" displayFolder="01_TY\_UNIT" measureGroup="KPI" count="0" hidden="1"/>
    <cacheHierarchy uniqueName="[Measures].[LFL Store Cover Unit TYvsLY%]" caption="LFL Store Cover Unit TYvsLY%" measure="1" displayFolder="02_TYLFL\_UNIT" measureGroup="KPI" count="0" hidden="1"/>
    <cacheHierarchy uniqueName="[Measures].[TY Country Back Cover Unit TR]" caption="TY Country Back Cover Unit TR" measure="1" displayFolder="" measureGroup="KPI" count="0" hidden="1"/>
    <cacheHierarchy uniqueName="[Measures].[TY Country Back Cover Unit YD]" caption="TY Country Back Cover Unit YD" measure="1" displayFolder="" measureGroup="KPI" count="0" hidden="1"/>
    <cacheHierarchy uniqueName="[Measures].[TY SKU Count by Store Stock]" caption="TY SKU Count by Store Stock" measure="1" displayFolder="01_TY\_UNIT" measureGroup="KPI" count="0" hidden="1"/>
    <cacheHierarchy uniqueName="[Measures].[LY SKU Count by Store Stock]" caption="LY SKU Count by Store Stock" measure="1" displayFolder="03_LY\_UNIT" measureGroup="KPI" count="0" hidden="1"/>
    <cacheHierarchy uniqueName="[Measures].[TY LFL SKU Count by Store Stock]" caption="TY LFL SKU Count by Store Stock" measure="1" displayFolder="02_TYLFL\_UNIT" measureGroup="KPI" count="0" hidden="1"/>
    <cacheHierarchy uniqueName="[Measures].[LY LFL SKU Count by Store Stock]" caption="LY LFL SKU Count by Store Stock" measure="1" displayFolder="04_LYLFL\_UNIT" measureGroup="KPI" count="0" hidden="1"/>
    <cacheHierarchy uniqueName="[Measures].[CUR Store Count by Total Stock]" caption="CUR Store Count by Total Stock" measure="1" displayFolder="01_TY\_UNIT" measureGroup="KPI" count="0" hidden="1"/>
    <cacheHierarchy uniqueName="[Measures].[Last 21Days TY Sales Unit]" caption="Last 21Days TY Sales Unit" measure="1" displayFolder="LASTN" measureGroup="KPI" count="0" hidden="1"/>
    <cacheHierarchy uniqueName="[Measures].[PO Unit Total]" caption="PO Unit Total" measure="1" displayFolder="" measureGroup="PurchaseOrder" count="0" hidden="1"/>
    <cacheHierarchy uniqueName="[Measures].[PO Unit Running Total 30 Days]" caption="PO Unit Running Total 30 Days" measure="1" displayFolder="" measureGroup="PurchaseOrder" count="0" hidden="1"/>
    <cacheHierarchy uniqueName="[Measures].[PO Unit Last 30 Days Total]" caption="PO Unit Last 30 Days Total" measure="1" displayFolder="" measureGroup="PurchaseOrder" count="0" hidden="1"/>
    <cacheHierarchy uniqueName="[Measures].[Goods Receipt PO Unit Base]" caption="Goods Receipt PO Unit Base" measure="1" displayFolder="_UNIT" measureGroup="PurchaseOrder" count="0" hidden="1"/>
    <cacheHierarchy uniqueName="[Measures].[Goods Receipt PO Value LC Base]" caption="Goods Receipt PO Value LC Base" measure="1" displayFolder="_VALUE" measureGroup="PurchaseOrder" count="0" hidden="1"/>
    <cacheHierarchy uniqueName="[Measures].[Goods Receipt PO Value Navlun LC Base]" caption="Goods Receipt PO Value Navlun LC Base" measure="1" displayFolder="" measureGroup="PurchaseOrder" count="0" hidden="1"/>
    <cacheHierarchy uniqueName="[Measures].[Goods Receipt PO Value LC Old]" caption="Goods Receipt PO Value LC Old" measure="1" displayFolder="_VALUE" measureGroup="PurchaseOrder" count="0" hidden="1"/>
    <cacheHierarchy uniqueName="[Measures].[Goods Receipt PO Unit Base (WholeSale)]" caption="Goods Receipt PO Unit Base (WholeSale)" measure="1" displayFolder="" measureGroup="PurchaseOrder" count="0" hidden="1"/>
    <cacheHierarchy uniqueName="[Measures].[Goods Receipt PO Value Navlun LC Base (WholeSale)]" caption="Goods Receipt PO Value Navlun LC Base (WholeSale)" measure="1" displayFolder="" measureGroup="PurchaseOrder" count="0" hidden="1"/>
    <cacheHierarchy uniqueName="[Measures].[TyLFLSumofCapacityPlanUnit]" caption="TyLFLSumofCapacityPlanUnit" measure="1" displayFolder="" measureGroup="Capacity" count="0" hidden="1"/>
    <cacheHierarchy uniqueName="[Measures].[TySumofCapacityPlanUnit]" caption="TySumofCapacityPlanUnit" measure="1" displayFolder="" measureGroup="Capacity" count="0" hidden="1"/>
    <cacheHierarchy uniqueName="[Measures].[CUR Backstore Capacity Area]" caption="CUR Backstore Capacity Area" measure="1" displayFolder="00_CURRENT\_UNIT" measureGroup="Capacity" count="0" hidden="1"/>
    <cacheHierarchy uniqueName="[Measures].[TySumofCapacityPlanCostLC]" caption="TySumofCapacityPlanCostLC" measure="1" displayFolder="" measureGroup="Capacity" count="0" hidden="1"/>
    <cacheHierarchy uniqueName="[Measures].[TyLFLSumofCapacityPlanCostLC]" caption="TyLFLSumofCapacityPlanCostLC" measure="1" displayFolder="" measureGroup="Capacity" count="0" hidden="1"/>
    <cacheHierarchy uniqueName="[Measures].[CUR NET Cumulative Stock DM3]" caption="CUR NET Cumulative Stock DM3" measure="1" displayFolder="" measureGroup="Capacity" count="0" hidden="1"/>
  </cacheHierarchies>
  <kpis count="0"/>
  <dimensions count="13">
    <dimension name="Calendar" uniqueName="[Calendar]" caption="Calendar"/>
    <dimension name="DCWarehouse" uniqueName="[DCWarehouse]" caption="DCWarehouse"/>
    <dimension name="Delivery" uniqueName="[Delivery]" caption="Delivery"/>
    <dimension name="ISPUnitPrice" uniqueName="[ISPUnitPrice]" caption="ISPUnitPrice"/>
    <dimension name="Material" uniqueName="[Material]" caption="Material"/>
    <dimension measure="1" name="Measures" uniqueName="[Measures]" caption="Measures"/>
    <dimension name="SalesBudget" uniqueName="[SalesBudget]" caption="SalesBudget"/>
    <dimension name="SalesChannel" uniqueName="[SalesChannel]" caption="SalesChannel"/>
    <dimension name="SalesSeason" uniqueName="[SalesSeason]" caption="SalesSeason"/>
    <dimension name="StockList" uniqueName="[StockList]" caption="StockList"/>
    <dimension name="Store" uniqueName="[Store]" caption="Store"/>
    <dimension name="StoreLFLStatu" uniqueName="[StoreLFLStatu]" caption="StoreLFLStatu"/>
    <dimension name="SubDistChannel" uniqueName="[SubDistChannel]" caption="SubDistChannel"/>
  </dimensions>
  <measureGroups count="35">
    <measureGroup name="Calendar" caption="Calendar"/>
    <measureGroup name="Capacity" caption="Capacity"/>
    <measureGroup name="CapacityPlanTY" caption="CapacityPlanTY"/>
    <measureGroup name="CurrentStockSales" caption="CurrentStockSales"/>
    <measureGroup name="CurrentStockStore" caption="CurrentStockStore"/>
    <measureGroup name="DCWarehouse" caption="DCWarehouse"/>
    <measureGroup name="Delivery" caption="Delivery"/>
    <measureGroup name="ISPUnitPrice" caption="ISPUnitPrice"/>
    <measureGroup name="KPI" caption="KPI"/>
    <measureGroup name="LFLDate" caption="LFLDate"/>
    <measureGroup name="Material" caption="Material"/>
    <measureGroup name="OpenImportsDCStock" caption="OpenImportsDCStock"/>
    <measureGroup name="OpenImportsStoreStock" caption="OpenImportsStoreStock"/>
    <measureGroup name="PurchaseOrder" caption="PurchaseOrder"/>
    <measureGroup name="PurchaseOrderGR" caption="PurchaseOrderGR"/>
    <measureGroup name="Sales" caption="Sales"/>
    <measureGroup name="SalesBudget" caption="SalesBudget"/>
    <measureGroup name="SalesBudgetLY" caption="SalesBudgetLY"/>
    <measureGroup name="SalesChannel" caption="SalesChannel"/>
    <measureGroup name="SalesLY" caption="SalesLY"/>
    <measureGroup name="SalesSeason" caption="SalesSeason"/>
    <measureGroup name="SalesTY" caption="SalesTY"/>
    <measureGroup name="StockDC" caption="StockDC"/>
    <measureGroup name="StockDCLY" caption="StockDCLY"/>
    <measureGroup name="StockList" caption="StockList"/>
    <measureGroup name="StockStore" caption="StockStore"/>
    <measureGroup name="StockStoreLY" caption="StockStoreLY"/>
    <measureGroup name="Store" caption="Store"/>
    <measureGroup name="StoreCapacity" caption="StoreCapacity"/>
    <measureGroup name="StoreLFLStatu" caption="StoreLFLStatu"/>
    <measureGroup name="StoreTarget" caption="StoreTarget"/>
    <measureGroup name="StoreTargetLY" caption="StoreTargetLY"/>
    <measureGroup name="SubDistChannel" caption="SubDistChannel"/>
    <measureGroup name="Visitor" caption="Visitor"/>
    <measureGroup name="VisitorHourly" caption="VisitorHourly"/>
  </measureGroups>
  <maps count="130">
    <map measureGroup="0" dimension="0"/>
    <map measureGroup="1" dimension="0"/>
    <map measureGroup="1" dimension="4"/>
    <map measureGroup="1" dimension="7"/>
    <map measureGroup="1" dimension="8"/>
    <map measureGroup="1" dimension="10"/>
    <map measureGroup="1" dimension="11"/>
    <map measureGroup="1" dimension="12"/>
    <map measureGroup="2" dimension="0"/>
    <map measureGroup="2" dimension="4"/>
    <map measureGroup="2" dimension="7"/>
    <map measureGroup="2" dimension="12"/>
    <map measureGroup="3" dimension="4"/>
    <map measureGroup="3" dimension="10"/>
    <map measureGroup="4" dimension="3"/>
    <map measureGroup="4" dimension="4"/>
    <map measureGroup="4" dimension="7"/>
    <map measureGroup="4" dimension="10"/>
    <map measureGroup="4" dimension="12"/>
    <map measureGroup="5" dimension="1"/>
    <map measureGroup="6" dimension="0"/>
    <map measureGroup="6" dimension="2"/>
    <map measureGroup="6" dimension="4"/>
    <map measureGroup="7" dimension="3"/>
    <map measureGroup="9" dimension="0"/>
    <map measureGroup="9" dimension="7"/>
    <map measureGroup="9" dimension="12"/>
    <map measureGroup="10" dimension="4"/>
    <map measureGroup="11" dimension="1"/>
    <map measureGroup="11" dimension="4"/>
    <map measureGroup="11" dimension="9"/>
    <map measureGroup="12" dimension="4"/>
    <map measureGroup="12" dimension="7"/>
    <map measureGroup="12" dimension="9"/>
    <map measureGroup="12" dimension="10"/>
    <map measureGroup="12" dimension="12"/>
    <map measureGroup="13" dimension="0"/>
    <map measureGroup="13" dimension="1"/>
    <map measureGroup="13" dimension="4"/>
    <map measureGroup="13" dimension="7"/>
    <map measureGroup="13" dimension="8"/>
    <map measureGroup="13" dimension="11"/>
    <map measureGroup="13" dimension="12"/>
    <map measureGroup="14" dimension="0"/>
    <map measureGroup="14" dimension="1"/>
    <map measureGroup="14" dimension="4"/>
    <map measureGroup="14" dimension="7"/>
    <map measureGroup="14" dimension="8"/>
    <map measureGroup="14" dimension="11"/>
    <map measureGroup="14" dimension="12"/>
    <map measureGroup="16" dimension="0"/>
    <map measureGroup="16" dimension="4"/>
    <map measureGroup="16" dimension="6"/>
    <map measureGroup="16" dimension="7"/>
    <map measureGroup="16" dimension="12"/>
    <map measureGroup="17" dimension="0"/>
    <map measureGroup="17" dimension="4"/>
    <map measureGroup="17" dimension="7"/>
    <map measureGroup="17" dimension="12"/>
    <map measureGroup="18" dimension="7"/>
    <map measureGroup="18" dimension="12"/>
    <map measureGroup="19" dimension="0"/>
    <map measureGroup="19" dimension="3"/>
    <map measureGroup="19" dimension="4"/>
    <map measureGroup="19" dimension="7"/>
    <map measureGroup="19" dimension="8"/>
    <map measureGroup="19" dimension="10"/>
    <map measureGroup="19" dimension="11"/>
    <map measureGroup="19" dimension="12"/>
    <map measureGroup="20" dimension="8"/>
    <map measureGroup="21" dimension="0"/>
    <map measureGroup="21" dimension="3"/>
    <map measureGroup="21" dimension="4"/>
    <map measureGroup="21" dimension="7"/>
    <map measureGroup="21" dimension="8"/>
    <map measureGroup="21" dimension="10"/>
    <map measureGroup="21" dimension="11"/>
    <map measureGroup="21" dimension="12"/>
    <map measureGroup="22" dimension="0"/>
    <map measureGroup="22" dimension="1"/>
    <map measureGroup="22" dimension="3"/>
    <map measureGroup="22" dimension="4"/>
    <map measureGroup="22" dimension="8"/>
    <map measureGroup="23" dimension="0"/>
    <map measureGroup="23" dimension="1"/>
    <map measureGroup="23" dimension="3"/>
    <map measureGroup="23" dimension="4"/>
    <map measureGroup="23" dimension="8"/>
    <map measureGroup="24" dimension="9"/>
    <map measureGroup="25" dimension="0"/>
    <map measureGroup="25" dimension="3"/>
    <map measureGroup="25" dimension="4"/>
    <map measureGroup="25" dimension="7"/>
    <map measureGroup="25" dimension="8"/>
    <map measureGroup="25" dimension="10"/>
    <map measureGroup="25" dimension="11"/>
    <map measureGroup="25" dimension="12"/>
    <map measureGroup="26" dimension="0"/>
    <map measureGroup="26" dimension="3"/>
    <map measureGroup="26" dimension="4"/>
    <map measureGroup="26" dimension="7"/>
    <map measureGroup="26" dimension="8"/>
    <map measureGroup="26" dimension="10"/>
    <map measureGroup="26" dimension="11"/>
    <map measureGroup="26" dimension="12"/>
    <map measureGroup="27" dimension="10"/>
    <map measureGroup="28" dimension="4"/>
    <map measureGroup="28" dimension="7"/>
    <map measureGroup="28" dimension="8"/>
    <map measureGroup="28" dimension="10"/>
    <map measureGroup="28" dimension="11"/>
    <map measureGroup="28" dimension="12"/>
    <map measureGroup="29" dimension="11"/>
    <map measureGroup="30" dimension="0"/>
    <map measureGroup="30" dimension="7"/>
    <map measureGroup="30" dimension="10"/>
    <map measureGroup="30" dimension="12"/>
    <map measureGroup="31" dimension="0"/>
    <map measureGroup="31" dimension="7"/>
    <map measureGroup="31" dimension="10"/>
    <map measureGroup="31" dimension="12"/>
    <map measureGroup="32" dimension="7"/>
    <map measureGroup="32" dimension="12"/>
    <map measureGroup="33" dimension="0"/>
    <map measureGroup="33" dimension="10"/>
    <map measureGroup="33" dimension="11"/>
    <map measureGroup="34" dimension="0"/>
    <map measureGroup="34" dimension="7"/>
    <map measureGroup="34" dimension="10"/>
    <map measureGroup="34" dimension="1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ehmet Fatih Başol" refreshedDate="46063.389404050926" backgroundQuery="1" createdVersion="8" refreshedVersion="8" minRefreshableVersion="3" recordCount="0" supportSubquery="1" supportAdvancedDrill="1" xr:uid="{902AC062-2D1D-4A20-B57E-591ED12C1405}">
  <cacheSource type="external" connectionId="2"/>
  <cacheFields count="25">
    <cacheField name="[SalesChannel].[SalesOrgType].[SalesOrgType]" caption="SalesOrgType" numFmtId="0" hierarchy="148" level="1">
      <sharedItems containsSemiMixedTypes="0" containsString="0"/>
    </cacheField>
    <cacheField name="[SalesChannel].[DistrubitionChannelDesc].[DistrubitionChannelDesc]" caption="DistrubitionChannelDesc" numFmtId="0" hierarchy="140" level="1">
      <sharedItems count="2">
        <s v="[SalesChannel].[DistrubitionChannelDesc].&amp;[E - Ticaret]" c="E - Ticaret"/>
        <s v="[SalesChannel].[DistrubitionChannelDesc].&amp;[Perakende Satış]" c="Perakende Satış"/>
      </sharedItems>
    </cacheField>
    <cacheField name="[Measures].[TY Sales Unit]" caption="TY Sales Unit" numFmtId="0" hierarchy="853" level="32767"/>
    <cacheField name="[Measures].[TY Sales Value LC]" caption="TY Sales Value LC" numFmtId="0" hierarchy="855" level="32767"/>
    <cacheField name="[Measures].[TY Avg Store Stock Unit]" caption="TY Avg Store Stock Unit" numFmtId="0" hierarchy="760" level="32767"/>
    <cacheField name="[Measures].[TY Avg Store Transit Stock Unit]" caption="TY Avg Store Transit Stock Unit" numFmtId="0" hierarchy="761" level="32767"/>
    <cacheField name="[Calendar].[H_Merch].[MerchYear]" caption="MerchYear" numFmtId="0" hierarchy="6" level="1">
      <sharedItems containsSemiMixedTypes="0" containsString="0"/>
    </cacheField>
    <cacheField name="[Calendar].[H_Merch].[MerchYearMonthName]" caption="MerchYearMonthName" numFmtId="0" hierarchy="6" level="2">
      <sharedItems containsSemiMixedTypes="0" containsString="0"/>
    </cacheField>
    <cacheField name="[Calendar].[H_Merch].[MerchYearWeek]" caption="MerchYearWeek" numFmtId="0" hierarchy="6" level="3">
      <sharedItems containsSemiMixedTypes="0" containsString="0"/>
    </cacheField>
    <cacheField name="[Calendar].[H_Merch].[Date]" caption="Date" numFmtId="0" hierarchy="6" level="4">
      <sharedItems containsSemiMixedTypes="0" containsString="0"/>
    </cacheField>
    <cacheField name="[Calendar].[MerchWeek].[MerchWeek]" caption="MerchWeek" numFmtId="0" hierarchy="14" level="1">
      <sharedItems count="2">
        <s v="[Calendar].[MerchWeek].&amp;[14]" c="14"/>
        <s v="[Calendar].[MerchWeek].&amp;[15]" c="15"/>
      </sharedItems>
    </cacheField>
    <cacheField name="[Material].[H_MainGroup].[MainGroupDesc]" caption="MainGroupDesc" numFmtId="0" hierarchy="69" level="1">
      <sharedItems count="23">
        <s v="[Material].[H_MainGroup].[MainGroupDesc].&amp;[Aksesuar]" c="Aksesuar"/>
        <s v="[Material].[H_MainGroup].[MainGroupDesc].&amp;[Banyo]" c="Banyo"/>
        <s v="[Material].[H_MainGroup].[MainGroupDesc].&amp;[Battaniye]" c="Battaniye"/>
        <s v="[Material].[H_MainGroup].[MainGroupDesc].&amp;[Çarşaf]" c="Çarşaf"/>
        <s v="[Material].[H_MainGroup].[MainGroupDesc].&amp;[Dünya Markaları]" c="Dünya Markaları"/>
        <s v="[Material].[H_MainGroup].[MainGroupDesc].&amp;[Halı - Kilim]" c="Halı - Kilim"/>
        <s v="[Material].[H_MainGroup].[MainGroupDesc].&amp;[Havlu]" c="Havlu"/>
        <s v="[Material].[H_MainGroup].[MainGroupDesc].&amp;[KEA]" c="KEA"/>
        <s v="[Material].[H_MainGroup].[MainGroupDesc].&amp;[Kozmetik]" c="Kozmetik"/>
        <s v="[Material].[H_MainGroup].[MainGroupDesc].&amp;[Mutfak]" c="Mutfak"/>
        <s v="[Material].[H_MainGroup].[MainGroupDesc].&amp;[Nevresim]" c="Nevresim"/>
        <s v="[Material].[H_MainGroup].[MainGroupDesc].&amp;[Pike]" c="Pike"/>
        <s v="[Material].[H_MainGroup].[MainGroupDesc].&amp;[Pişirme]" c="Pişirme"/>
        <s v="[Material].[H_MainGroup].[MainGroupDesc].&amp;[Salon]" c="Salon"/>
        <s v="[Material].[H_MainGroup].[MainGroupDesc].&amp;[Sofra İçecek]" c="Sofra İçecek"/>
        <s v="[Material].[H_MainGroup].[MainGroupDesc].&amp;[Sofra Sunum]" c="Sofra Sunum"/>
        <s v="[Material].[H_MainGroup].[MainGroupDesc].&amp;[Sofra Takımları]" c="Sofra Takımları"/>
        <s v="[Material].[H_MainGroup].[MainGroupDesc].&amp;[Yastık]" c="Yastık"/>
        <s v="[Material].[H_MainGroup].[MainGroupDesc].&amp;[Yatak Örtüsü]" c="Yatak Örtüsü"/>
        <s v="[Material].[H_MainGroup].[MainGroupDesc].&amp;[YEDEK PARÇA]" c="YEDEK PARÇA"/>
        <s v="[Material].[H_MainGroup].[MainGroupDesc].&amp;[Yorgan]" c="Yorgan"/>
        <s v="[Material].[H_MainGroup].[MainGroupDesc].&amp;[Ev Giysisi]" u="1" c="Ev Giysisi"/>
        <s v="[Material].[H_MainGroup].[MainGroupDesc].&amp;[Mobilya Satış]" u="1" c="Mobilya Satış"/>
      </sharedItems>
    </cacheField>
    <cacheField name="[Material].[H_MainGroup].[SubGroupDesc]" caption="SubGroupDesc" numFmtId="0" hierarchy="69" level="2">
      <sharedItems containsSemiMixedTypes="0" containsString="0"/>
    </cacheField>
    <cacheField name="[Measures].[TY Avg DC Stock Unit]" caption="TY Avg DC Stock Unit" numFmtId="0" hierarchy="693" level="32767"/>
    <cacheField name="[Material].[MainGroupDesc].[MainGroupDesc]" caption="MainGroupDesc" numFmtId="0" hierarchy="75" level="1">
      <sharedItems containsSemiMixedTypes="0" containsString="0"/>
    </cacheField>
    <cacheField name="[Measures].[TY Gross Profit LC]" caption="TY Gross Profit LC" numFmtId="0" hierarchy="1003" level="32767"/>
    <cacheField name="[Measures].[TY Gross Marjin LC%]" caption="TY Gross Marjin LC%" numFmtId="0" hierarchy="1119" level="32767"/>
    <cacheField name="[Measures].[TY Store Back Cover Unit]" caption="TY Store Back Cover Unit" numFmtId="0" hierarchy="1131" level="32767"/>
    <cacheField name="[Measures].[TY Unit Sales Price LC]" caption="TY Unit Sales Price LC" numFmtId="0" hierarchy="967" level="32767"/>
    <cacheField name="[SalesChannel].[CountryName].[CountryName]" caption="CountryName" numFmtId="0" hierarchy="138" level="1">
      <sharedItems containsSemiMixedTypes="0" containsString="0"/>
    </cacheField>
    <cacheField name="[Material].[MerchProduct].[MerchProduct]" caption="MerchProduct" numFmtId="0" hierarchy="100" level="1">
      <sharedItems containsSemiMixedTypes="0" containsString="0"/>
    </cacheField>
    <cacheField name="Unsupported0" numFmtId="0" hierarchy="1569" level="32767">
      <extLst>
        <ext xmlns:x14="http://schemas.microsoft.com/office/spreadsheetml/2009/9/main" uri="{63CAB8AC-B538-458d-9737-405883B0398D}">
          <x14:cacheField ignore="1"/>
        </ext>
      </extLst>
    </cacheField>
    <cacheField name="Unsupported1" numFmtId="0" hierarchy="1570" level="32767">
      <extLst>
        <ext xmlns:x14="http://schemas.microsoft.com/office/spreadsheetml/2009/9/main" uri="{63CAB8AC-B538-458d-9737-405883B0398D}">
          <x14:cacheField ignore="1"/>
        </ext>
      </extLst>
    </cacheField>
    <cacheField name="Unsupported2" numFmtId="0" hierarchy="1571" level="32767">
      <extLst>
        <ext xmlns:x14="http://schemas.microsoft.com/office/spreadsheetml/2009/9/main" uri="{63CAB8AC-B538-458d-9737-405883B0398D}">
          <x14:cacheField ignore="1"/>
        </ext>
      </extLst>
    </cacheField>
    <cacheField name="Unsupported3" numFmtId="0" hierarchy="1572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5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ID]" caption="DateID" attribute="1" time="1" defaultMemberUniqueName="[Calendar].[DateID].[All]" allUniqueName="[Calendar].[DateID].[All]" dimensionUniqueName="[Calendar]" displayFolder="" count="0" unbalanced="0"/>
    <cacheHierarchy uniqueName="[Calendar].[DayName]" caption="DayName" attribute="1" time="1" defaultMemberUniqueName="[Calendar].[DayName].[All]" allUniqueName="[Calendar].[DayName].[All]" dimensionUniqueName="[Calendar]" displayFolder="" count="0" unbalanced="0"/>
    <cacheHierarchy uniqueName="[Calendar].[DayOfMonth]" caption="DayOfMonth" attribute="1" time="1" defaultMemberUniqueName="[Calendar].[DayOfMonth].[All]" allUniqueName="[Calendar].[DayOfMonth].[All]" dimensionUniqueName="[Calendar]" displayFolder="Gregorian" count="0" unbalanced="0"/>
    <cacheHierarchy uniqueName="[Calendar].[DayOfWeek]" caption="DayOfWeek" attribute="1" time="1" defaultMemberUniqueName="[Calendar].[DayOfWeek].[All]" allUniqueName="[Calendar].[DayOfWeek].[All]" dimensionUniqueName="[Calendar]" displayFolder="Gregorian" count="0" unbalanced="0"/>
    <cacheHierarchy uniqueName="[Calendar].[H_Gregorian]" caption="H_Gregorian" time="1" defaultMemberUniqueName="[Calendar].[H_Gregorian].[All]" allUniqueName="[Calendar].[H_Gregorian].[All]" dimensionUniqueName="[Calendar]" displayFolder="" count="0" unbalanced="0"/>
    <cacheHierarchy uniqueName="[Calendar].[H_Merch]" caption="H_Merch" time="1" defaultMemberUniqueName="[Calendar].[H_Merch].[All]" allUniqueName="[Calendar].[H_Merch].[All]" dimensionUniqueName="[Calendar]" displayFolder="" count="5" unbalanced="0">
      <fieldsUsage count="5">
        <fieldUsage x="-1"/>
        <fieldUsage x="6"/>
        <fieldUsage x="7"/>
        <fieldUsage x="8"/>
        <fieldUsage x="9"/>
      </fieldsUsage>
    </cacheHierarchy>
    <cacheHierarchy uniqueName="[Calendar].[IsWeekend]" caption="IsWeekend" attribute="1" time="1" defaultMemberUniqueName="[Calendar].[IsWeekend].[All]" allUniqueName="[Calendar].[IsWeekend].[All]" dimensionUniqueName="[Calendar]" displayFolder="" count="0" unbalanced="0"/>
    <cacheHierarchy uniqueName="[Calendar].[Last7DaysPartSequence]" caption="Last7DaysPartSequence" attribute="1" time="1" defaultMemberUniqueName="[Calendar].[Last7DaysPartSequence].[All]" allUniqueName="[Calendar].[Last7DaysPartSequence].[All]" dimensionUniqueName="[Calendar]" displayFolder="" count="0" unbalanced="0"/>
    <cacheHierarchy uniqueName="[Calendar].[LastNDays]" caption="LastNDays" attribute="1" time="1" defaultMemberUniqueName="[Calendar].[LastNDays].[All]" allUniqueName="[Calendar].[LastNDays].[All]" dimensionUniqueName="[Calendar]" displayFolder="" count="0" unbalanced="0"/>
    <cacheHierarchy uniqueName="[Calendar].[LastNMonths]" caption="LastNMonths" attribute="1" time="1" defaultMemberUniqueName="[Calendar].[LastNMonths].[All]" allUniqueName="[Calendar].[LastNMonths].[All]" dimensionUniqueName="[Calendar]" displayFolder="" count="0" unbalanced="0"/>
    <cacheHierarchy uniqueName="[Calendar].[LastNWeeks]" caption="LastNWeeks" attribute="1" time="1" defaultMemberUniqueName="[Calendar].[LastNWeeks].[All]" allUniqueName="[Calendar].[LastNWeeks].[All]" dimensionUniqueName="[Calendar]" displayFolder="" count="0" unbalanced="0"/>
    <cacheHierarchy uniqueName="[Calendar].[MerchMonth]" caption="MerchMonth" attribute="1" time="1" defaultMemberUniqueName="[Calendar].[MerchMonth].[All]" allUniqueName="[Calendar].[MerchMonth].[All]" dimensionUniqueName="[Calendar]" displayFolder="Merch" count="0" unbalanced="0"/>
    <cacheHierarchy uniqueName="[Calendar].[MerchMonthName]" caption="MerchMonthName" attribute="1" time="1" defaultMemberUniqueName="[Calendar].[MerchMonthName].[All]" allUniqueName="[Calendar].[MerchMonthName].[All]" dimensionUniqueName="[Calendar]" displayFolder="Merch" count="0" unbalanced="0"/>
    <cacheHierarchy uniqueName="[Calendar].[MerchWeek]" caption="MerchWeek" attribute="1" time="1" defaultMemberUniqueName="[Calendar].[MerchWeek].[All]" allUniqueName="[Calendar].[MerchWeek].[All]" dimensionUniqueName="[Calendar]" displayFolder="Merch" count="2" unbalanced="0">
      <fieldsUsage count="2">
        <fieldUsage x="-1"/>
        <fieldUsage x="10"/>
      </fieldsUsage>
    </cacheHierarchy>
    <cacheHierarchy uniqueName="[Calendar].[MerchYear]" caption="MerchYear" attribute="1" time="1" defaultMemberUniqueName="[Calendar].[MerchYear].[All]" allUniqueName="[Calendar].[MerchYear].[All]" dimensionUniqueName="[Calendar]" displayFolder="Merch" count="0" unbalanced="0"/>
    <cacheHierarchy uniqueName="[Calendar].[MerchYearMonth]" caption="MerchYearMonth" attribute="1" time="1" defaultMemberUniqueName="[Calendar].[MerchYearMonth].[All]" allUniqueName="[Calendar].[MerchYearMonth].[All]" dimensionUniqueName="[Calendar]" displayFolder="Merch" count="0" unbalanced="0"/>
    <cacheHierarchy uniqueName="[Calendar].[MerchYearMonthName]" caption="MerchYearMonthName" attribute="1" time="1" defaultMemberUniqueName="[Calendar].[MerchYearMonthName].[All]" allUniqueName="[Calendar].[MerchYearMonthName].[All]" dimensionUniqueName="[Calendar]" displayFolder="Merch" count="0" unbalanced="0"/>
    <cacheHierarchy uniqueName="[Calendar].[MerchYearWeek]" caption="MerchYearWeek" attribute="1" time="1" defaultMemberUniqueName="[Calendar].[MerchYearWeek].[All]" allUniqueName="[Calendar].[MerchYearWeek].[All]" dimensionUniqueName="[Calendar]" displayFolder="Merch" count="0" unbalanced="0"/>
    <cacheHierarchy uniqueName="[Calendar].[Month]" caption="Month" attribute="1" time="1" defaultMemberUniqueName="[Calendar].[Month].[All]" allUniqueName="[Calendar].[Month].[All]" dimensionUniqueName="[Calendar]" displayFolder="Gregorian" count="0" unbalanced="0"/>
    <cacheHierarchy uniqueName="[Calendar].[MonthName]" caption="MonthName" attribute="1" time="1" defaultMemberUniqueName="[Calendar].[MonthName].[All]" allUniqueName="[Calendar].[MonthName].[All]" dimensionUniqueName="[Calendar]" displayFolder="Gregorian" count="0" unbalanced="0"/>
    <cacheHierarchy uniqueName="[Calendar].[MonthPeriod]" caption="MonthPeriod" attribute="1" time="1" defaultMemberUniqueName="[Calendar].[MonthPeriod].[All]" allUniqueName="[Calendar].[MonthPeriod].[All]" dimensionUniqueName="[Calendar]" displayFolder="" count="0" unbalanced="0"/>
    <cacheHierarchy uniqueName="[Calendar].[PastDate]" caption="PastDate" attribute="1" time="1" defaultMemberUniqueName="[Calendar].[PastDate].[All]" allUniqueName="[Calendar].[PastDate].[All]" dimensionUniqueName="[Calendar]" displayFolder="" count="0" unbalanced="0"/>
    <cacheHierarchy uniqueName="[Calendar].[Week]" caption="Week" attribute="1" time="1" defaultMemberUniqueName="[Calendar].[Week].[All]" allUniqueName="[Calendar].[Week].[All]" dimensionUniqueName="[Calendar]" displayFolder="Gregorian" count="0" unbalanced="0"/>
    <cacheHierarchy uniqueName="[Calendar].[WeekPartSequence]" caption="WeekPartSequence" attribute="1" time="1" defaultMemberUniqueName="[Calendar].[WeekPartSequence].[All]" allUniqueName="[Calendar].[WeekPartSequence].[All]" dimensionUniqueName="[Calendar]" displayFolder="" count="0" unbalanced="0"/>
    <cacheHierarchy uniqueName="[Calendar].[WeekPeriod]" caption="WeekPeriod" attribute="1" time="1" defaultMemberUniqueName="[Calendar].[WeekPeriod].[All]" allUniqueName="[Calendar].[WeekPeriod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Gregorian" count="0" unbalanced="0"/>
    <cacheHierarchy uniqueName="[Calendar].[YearMonth]" caption="YearMonth" attribute="1" time="1" defaultMemberUniqueName="[Calendar].[YearMonth].[All]" allUniqueName="[Calendar].[YearMonth].[All]" dimensionUniqueName="[Calendar]" displayFolder="Gregorian" count="0" unbalanced="0"/>
    <cacheHierarchy uniqueName="[Calendar].[YearMonthName]" caption="YearMonthName" attribute="1" time="1" defaultMemberUniqueName="[Calendar].[YearMonthName].[All]" allUniqueName="[Calendar].[YearMonthName].[All]" dimensionUniqueName="[Calendar]" displayFolder="Gregorian" count="0" unbalanced="0"/>
    <cacheHierarchy uniqueName="[Calendar].[YearPeriod]" caption="YearPeriod" attribute="1" time="1" defaultMemberUniqueName="[Calendar].[YearPeriod].[All]" allUniqueName="[Calendar].[YearPeriod].[All]" dimensionUniqueName="[Calendar]" displayFolder="" count="0" unbalanced="0"/>
    <cacheHierarchy uniqueName="[Calendar].[YearWeek]" caption="YearWeek" attribute="1" time="1" defaultMemberUniqueName="[Calendar].[YearWeek].[All]" allUniqueName="[Calendar].[YearWeek].[All]" dimensionUniqueName="[Calendar]" displayFolder="Gregorian" count="0" unbalanced="0"/>
    <cacheHierarchy uniqueName="[DCWarehouse].[DCCompanyCode]" caption="DCCompanyCode" attribute="1" defaultMemberUniqueName="[DCWarehouse].[DCCompanyCode].[All]" allUniqueName="[DCWarehouse].[DCCompanyCode].[All]" dimensionUniqueName="[DCWarehouse]" displayFolder="" count="0" unbalanced="0"/>
    <cacheHierarchy uniqueName="[DCWarehouse].[DCCompanyName]" caption="DCCompanyName" attribute="1" defaultMemberUniqueName="[DCWarehouse].[DCCompanyName].[All]" allUniqueName="[DCWarehouse].[DCCompanyName].[All]" dimensionUniqueName="[DCWarehouse]" displayFolder="" count="0" unbalanced="0"/>
    <cacheHierarchy uniqueName="[DCWarehouse].[DCCompanyRegion]" caption="DCCompanyRegion" attribute="1" defaultMemberUniqueName="[DCWarehouse].[DCCompanyRegion].[All]" allUniqueName="[DCWarehouse].[DCCompanyRegion].[All]" dimensionUniqueName="[DCWarehouse]" displayFolder="" count="0" unbalanced="0"/>
    <cacheHierarchy uniqueName="[DCWarehouse].[DCDistrubitionChannelCode]" caption="DCDistrubitionChannelCode" attribute="1" defaultMemberUniqueName="[DCWarehouse].[DCDistrubitionChannelCode].[All]" allUniqueName="[DCWarehouse].[DCDistrubitionChannelCode].[All]" dimensionUniqueName="[DCWarehouse]" displayFolder="" count="0" unbalanced="0"/>
    <cacheHierarchy uniqueName="[DCWarehouse].[DCSalesOrgCode]" caption="DCSalesOrgCode" attribute="1" defaultMemberUniqueName="[DCWarehouse].[DCSalesOrgCode].[All]" allUniqueName="[DCWarehouse].[DCSalesOrgCode].[All]" dimensionUniqueName="[DCWarehouse]" displayFolder="" count="0" unbalanced="0"/>
    <cacheHierarchy uniqueName="[DCWarehouse].[DCSalesOrgType]" caption="DCSalesOrgType" attribute="1" defaultMemberUniqueName="[DCWarehouse].[DCSalesOrgType].[All]" allUniqueName="[DCWarehouse].[DCSalesOrgType].[All]" dimensionUniqueName="[DCWarehouse]" displayFolder="" count="0" unbalanced="0"/>
    <cacheHierarchy uniqueName="[DCWarehouse].[DCSubWarehouseCode]" caption="DCSubWarehouseCode" attribute="1" defaultMemberUniqueName="[DCWarehouse].[DCSubWarehouseCode].[All]" allUniqueName="[DCWarehouse].[DCSubWarehouseCode].[All]" dimensionUniqueName="[DCWarehouse]" displayFolder="" count="0" unbalanced="0"/>
    <cacheHierarchy uniqueName="[DCWarehouse].[DCSubWarehouseKey]" caption="DCSubWarehouseKey" attribute="1" defaultMemberUniqueName="[DCWarehouse].[DCSubWarehouseKey].[All]" allUniqueName="[DCWarehouse].[DCSubWarehouseKey].[All]" dimensionUniqueName="[DCWarehouse]" displayFolder="Key" count="0" unbalanced="0"/>
    <cacheHierarchy uniqueName="[DCWarehouse].[DCWarehouseCode]" caption="DCWarehouseCode" attribute="1" defaultMemberUniqueName="[DCWarehouse].[DCWarehouseCode].[All]" allUniqueName="[DCWarehouse].[DCWarehouseCode].[All]" dimensionUniqueName="[DCWarehouse]" displayFolder="" count="0" unbalanced="0"/>
    <cacheHierarchy uniqueName="[DCWarehouse].[DCWarehouseDataType]" caption="DCWarehouseDataType" attribute="1" defaultMemberUniqueName="[DCWarehouse].[DCWarehouseDataType].[All]" allUniqueName="[DCWarehouse].[DCWarehouseDataType].[All]" dimensionUniqueName="[DCWarehouse]" displayFolder="" count="0" unbalanced="0"/>
    <cacheHierarchy uniqueName="[DCWarehouse].[DCWarehouseDesc]" caption="DCWarehouseDesc" attribute="1" defaultMemberUniqueName="[DCWarehouse].[DCWarehouseDesc].[All]" allUniqueName="[DCWarehouse].[DCWarehouseDesc].[All]" dimensionUniqueName="[DCWarehouse]" displayFolder="" count="0" unbalanced="0"/>
    <cacheHierarchy uniqueName="[DCWarehouse].[DCWarehouseKey]" caption="DCWarehouseKey" attribute="1" defaultMemberUniqueName="[DCWarehouse].[DCWarehouseKey].[All]" allUniqueName="[DCWarehouse].[DCWarehouseKey].[All]" dimensionUniqueName="[DCWarehouse]" displayFolder="Key" count="0" unbalanced="0"/>
    <cacheHierarchy uniqueName="[Delivery].[CustomerClass]" caption="CustomerClass" attribute="1" defaultMemberUniqueName="[Delivery].[CustomerClass].[All]" allUniqueName="[Delivery].[CustomerClass].[All]" dimensionUniqueName="[Delivery]" displayFolder="" count="0" unbalanced="0"/>
    <cacheHierarchy uniqueName="[Delivery].[MainCustomerClass]" caption="MainCustomerClass" attribute="1" defaultMemberUniqueName="[Delivery].[MainCustomerClass].[All]" allUniqueName="[Delivery].[MainCustomerClass].[All]" dimensionUniqueName="[Delivery]" displayFolder="" count="0" unbalanced="0"/>
    <cacheHierarchy uniqueName="[ISPUnitPrice].[ISPLCPriceGroup100]" caption="ISPLCPriceGroup100" attribute="1" defaultMemberUniqueName="[ISPUnitPrice].[ISPLCPriceGroup100].[All]" allUniqueName="[ISPUnitPrice].[ISPLCPriceGroup100].[All]" dimensionUniqueName="[ISPUnitPrice]" displayFolder="" count="0" unbalanced="0"/>
    <cacheHierarchy uniqueName="[ISPUnitPrice].[ISPLCPriceVAT]" caption="ISPLCPriceVAT" attribute="1" defaultMemberUniqueName="[ISPUnitPrice].[ISPLCPriceVAT].[All]" allUniqueName="[ISPUnitPrice].[ISPLCPriceVAT].[All]" dimensionUniqueName="[ISPUnitPrice]" displayFolder="" count="0" unbalanced="0"/>
    <cacheHierarchy uniqueName="[Material].[Barcode]" caption="Barcode" attribute="1" defaultMemberUniqueName="[Material].[Barcode].[All]" allUniqueName="[Material].[Barcode].[All]" dimensionUniqueName="[Material]" displayFolder="" count="0" unbalanced="0"/>
    <cacheHierarchy uniqueName="[Material].[BrandCode]" caption="BrandCode" attribute="1" defaultMemberUniqueName="[Material].[BrandCode].[All]" allUniqueName="[Material].[BrandCode].[All]" dimensionUniqueName="[Material]" displayFolder="" count="0" unbalanced="0"/>
    <cacheHierarchy uniqueName="[Material].[BrandDesc]" caption="BrandDesc" attribute="1" defaultMemberUniqueName="[Material].[BrandDesc].[All]" allUniqueName="[Material].[BrandDesc].[All]" dimensionUniqueName="[Material]" displayFolder="" count="0" unbalanced="0"/>
    <cacheHierarchy uniqueName="[Material].[BudgetGroupCode]" caption="BudgetGroupCode" attribute="1" defaultMemberUniqueName="[Material].[BudgetGroupCode].[All]" allUniqueName="[Material].[BudgetGroupCode].[All]" dimensionUniqueName="[Material]" displayFolder="" count="0" unbalanced="0"/>
    <cacheHierarchy uniqueName="[Material].[BudgetGroupDesc]" caption="BudgetGroupDesc" attribute="1" defaultMemberUniqueName="[Material].[BudgetGroupDesc].[All]" allUniqueName="[Material].[BudgetGroupDesc].[All]" dimensionUniqueName="[Material]" displayFolder="" count="0" unbalanced="0"/>
    <cacheHierarchy uniqueName="[Material].[Category]" caption="Category" attribute="1" defaultMemberUniqueName="[Material].[Category].[All]" allUniqueName="[Material].[Category].[All]" dimensionUniqueName="[Material]" displayFolder="" count="0" unbalanced="0"/>
    <cacheHierarchy uniqueName="[Material].[CategoryLeader]" caption="CategoryLeader" attribute="1" defaultMemberUniqueName="[Material].[CategoryLeader].[All]" allUniqueName="[Material].[CategoryLeader].[All]" dimensionUniqueName="[Material]" displayFolder="" count="0" unbalanced="0"/>
    <cacheHierarchy uniqueName="[Material].[CatlCode]" caption="CatlCode" attribute="1" defaultMemberUniqueName="[Material].[CatlCode].[All]" allUniqueName="[Material].[CatlCode].[All]" dimensionUniqueName="[Material]" displayFolder="" count="0" unbalanced="0"/>
    <cacheHierarchy uniqueName="[Material].[CatlDesc]" caption="CatlDesc" attribute="1" defaultMemberUniqueName="[Material].[CatlDesc].[All]" allUniqueName="[Material].[CatlDesc].[All]" dimensionUniqueName="[Material]" displayFolder="" count="0" unbalanced="0"/>
    <cacheHierarchy uniqueName="[Material].[ColorCode]" caption="ColorCode" attribute="1" defaultMemberUniqueName="[Material].[ColorCode].[All]" allUniqueName="[Material].[ColorCode].[All]" dimensionUniqueName="[Material]" displayFolder="" count="0" unbalanced="0"/>
    <cacheHierarchy uniqueName="[Material].[ColorDesc]" caption="ColorDesc" attribute="1" defaultMemberUniqueName="[Material].[ColorDesc].[All]" allUniqueName="[Material].[ColorDesc].[All]" dimensionUniqueName="[Material]" displayFolder="" count="0" unbalanced="0"/>
    <cacheHierarchy uniqueName="[Material].[CombineCode]" caption="CombineCode" attribute="1" defaultMemberUniqueName="[Material].[CombineCode].[All]" allUniqueName="[Material].[CombineCode].[All]" dimensionUniqueName="[Material]" displayFolder="" count="0" unbalanced="0"/>
    <cacheHierarchy uniqueName="[Material].[CombineDesc]" caption="CombineDesc" attribute="1" defaultMemberUniqueName="[Material].[CombineDesc].[All]" allUniqueName="[Material].[CombineDesc].[All]" dimensionUniqueName="[Material]" displayFolder="" count="0" unbalanced="0"/>
    <cacheHierarchy uniqueName="[Material].[CurProductStateID]" caption="CurProductStateID" attribute="1" defaultMemberUniqueName="[Material].[CurProductStateID].[All]" allUniqueName="[Material].[CurProductStateID].[All]" dimensionUniqueName="[Material]" displayFolder="" count="0" unbalanced="0"/>
    <cacheHierarchy uniqueName="[Material].[CurProductStateName]" caption="CurProductStateName" attribute="1" defaultMemberUniqueName="[Material].[CurProductStateName].[All]" allUniqueName="[Material].[CurProductStateName].[All]" dimensionUniqueName="[Material]" displayFolder="" count="0" unbalanced="0"/>
    <cacheHierarchy uniqueName="[Material].[CurSalesSeasonID]" caption="CurSalesSeasonID" attribute="1" defaultMemberUniqueName="[Material].[CurSalesSeasonID].[All]" allUniqueName="[Material].[CurSalesSeasonID].[All]" dimensionUniqueName="[Material]" displayFolder="" count="0" unbalanced="0"/>
    <cacheHierarchy uniqueName="[Material].[CurSalesSeasonName]" caption="CurSalesSeasonName" attribute="1" defaultMemberUniqueName="[Material].[CurSalesSeasonName].[All]" allUniqueName="[Material].[CurSalesSeasonName].[All]" dimensionUniqueName="[Material]" displayFolder="" count="0" unbalanced="0"/>
    <cacheHierarchy uniqueName="[Material].[DesingCode]" caption="DesingCode" attribute="1" defaultMemberUniqueName="[Material].[DesingCode].[All]" allUniqueName="[Material].[DesingCode].[All]" dimensionUniqueName="[Material]" displayFolder="" count="0" unbalanced="0"/>
    <cacheHierarchy uniqueName="[Material].[DesingDesc]" caption="DesingDesc" attribute="1" defaultMemberUniqueName="[Material].[DesingDesc].[All]" allUniqueName="[Material].[DesingDesc].[All]" dimensionUniqueName="[Material]" displayFolder="" count="0" unbalanced="0"/>
    <cacheHierarchy uniqueName="[Material].[EtlDate]" caption="EtlDate" attribute="1" defaultMemberUniqueName="[Material].[EtlDate].[All]" allUniqueName="[Material].[EtlDate].[All]" dimensionUniqueName="[Material]" displayFolder="" count="0" unbalanced="0"/>
    <cacheHierarchy uniqueName="[Material].[FabricCode]" caption="FabricCode" attribute="1" defaultMemberUniqueName="[Material].[FabricCode].[All]" allUniqueName="[Material].[FabricCode].[All]" dimensionUniqueName="[Material]" displayFolder="" count="0" unbalanced="0"/>
    <cacheHierarchy uniqueName="[Material].[FacricDesc]" caption="FacricDesc" attribute="1" defaultMemberUniqueName="[Material].[FacricDesc].[All]" allUniqueName="[Material].[FacricDesc].[All]" dimensionUniqueName="[Material]" displayFolder="" count="0" unbalanced="0"/>
    <cacheHierarchy uniqueName="[Material].[H_MainGroup]" caption="H_MainGroup" defaultMemberUniqueName="[Material].[H_MainGroup].[All]" allUniqueName="[Material].[H_MainGroup].[All]" dimensionUniqueName="[Material]" displayFolder="" count="3" unbalanced="0">
      <fieldsUsage count="3">
        <fieldUsage x="-1"/>
        <fieldUsage x="11"/>
        <fieldUsage x="12"/>
      </fieldsUsage>
    </cacheHierarchy>
    <cacheHierarchy uniqueName="[Material].[HygieneCode]" caption="HygieneCode" attribute="1" defaultMemberUniqueName="[Material].[HygieneCode].[All]" allUniqueName="[Material].[HygieneCode].[All]" dimensionUniqueName="[Material]" displayFolder="" count="0" unbalanced="0"/>
    <cacheHierarchy uniqueName="[Material].[HygieneDesc]" caption="HygieneDesc" attribute="1" defaultMemberUniqueName="[Material].[HygieneDesc].[All]" allUniqueName="[Material].[HygieneDesc].[All]" dimensionUniqueName="[Material]" displayFolder="" count="0" unbalanced="0"/>
    <cacheHierarchy uniqueName="[Material].[ImageURL]" caption="ImageURL" attribute="1" defaultMemberUniqueName="[Material].[ImageURL].[All]" allUniqueName="[Material].[ImageURL].[All]" dimensionUniqueName="[Material]" displayFolder="" count="0" unbalanced="0"/>
    <cacheHierarchy uniqueName="[Material].[LivingArea]" caption="LivingArea" attribute="1" defaultMemberUniqueName="[Material].[LivingArea].[All]" allUniqueName="[Material].[LivingArea].[All]" dimensionUniqueName="[Material]" displayFolder="" count="0" unbalanced="0"/>
    <cacheHierarchy uniqueName="[Material].[MainGroupCode]" caption="MainGroupCode" attribute="1" defaultMemberUniqueName="[Material].[MainGroupCode].[All]" allUniqueName="[Material].[MainGroupCode].[All]" dimensionUniqueName="[Material]" displayFolder="" count="0" unbalanced="0"/>
    <cacheHierarchy uniqueName="[Material].[MainGroupDesc]" caption="MainGroupDesc" attribute="1" defaultMemberUniqueName="[Material].[MainGroupDesc].[All]" allUniqueName="[Material].[MainGroupDesc].[All]" dimensionUniqueName="[Material]" displayFolder="" count="2" unbalanced="0">
      <fieldsUsage count="2">
        <fieldUsage x="-1"/>
        <fieldUsage x="14"/>
      </fieldsUsage>
    </cacheHierarchy>
    <cacheHierarchy uniqueName="[Material].[MatDim]" caption="MatDim" attribute="1" defaultMemberUniqueName="[Material].[MatDim].[All]" allUniqueName="[Material].[MatDim].[All]" dimensionUniqueName="[Material]" displayFolder="" count="0" unbalanced="0"/>
    <cacheHierarchy uniqueName="[Material].[MatDimUnit]" caption="MatDimUnit" attribute="1" defaultMemberUniqueName="[Material].[MatDimUnit].[All]" allUniqueName="[Material].[MatDimUnit].[All]" dimensionUniqueName="[Material]" displayFolder="" count="0" unbalanced="0"/>
    <cacheHierarchy uniqueName="[Material].[MaterialCode]" caption="MaterialCode" attribute="1" defaultMemberUniqueName="[Material].[MaterialCode].[All]" allUniqueName="[Material].[MaterialCode].[All]" dimensionUniqueName="[Material]" displayFolder="" count="0" unbalanced="0"/>
    <cacheHierarchy uniqueName="[Material].[MaterialCodeDesc]" caption="MaterialCodeDesc" attribute="1" defaultMemberUniqueName="[Material].[MaterialCodeDesc].[All]" allUniqueName="[Material].[MaterialCodeDesc].[All]" dimensionUniqueName="[Material]" displayFolder="" count="0" unbalanced="0"/>
    <cacheHierarchy uniqueName="[Material].[MaterialCodeWoZero]" caption="MaterialCodeWoZero" attribute="1" defaultMemberUniqueName="[Material].[MaterialCodeWoZero].[All]" allUniqueName="[Material].[MaterialCodeWoZero].[All]" dimensionUniqueName="[Material]" displayFolder="" count="0" unbalanced="0"/>
    <cacheHierarchy uniqueName="[Material].[MaterialDesc]" caption="MaterialDesc" attribute="1" defaultMemberUniqueName="[Material].[MaterialDesc].[All]" allUniqueName="[Material].[MaterialDesc].[All]" dimensionUniqueName="[Material]" displayFolder="" count="0" unbalanced="0"/>
    <cacheHierarchy uniqueName="[Material].[MaterialDm3]" caption="MaterialDm3" attribute="1" defaultMemberUniqueName="[Material].[MaterialDm3].[All]" allUniqueName="[Material].[MaterialDm3].[All]" dimensionUniqueName="[Material]" displayFolder="" count="0" unbalanced="0"/>
    <cacheHierarchy uniqueName="[Material].[MaterialFeatureCode]" caption="MaterialFeatureCode" attribute="1" defaultMemberUniqueName="[Material].[MaterialFeatureCode].[All]" allUniqueName="[Material].[MaterialFeatureCode].[All]" dimensionUniqueName="[Material]" displayFolder="" count="0" unbalanced="0"/>
    <cacheHierarchy uniqueName="[Material].[MaterialFeatureDesc]" caption="MaterialFeatureDesc" attribute="1" defaultMemberUniqueName="[Material].[MaterialFeatureDesc].[All]" allUniqueName="[Material].[MaterialFeatureDesc].[All]" dimensionUniqueName="[Material]" displayFolder="" count="0" unbalanced="0"/>
    <cacheHierarchy uniqueName="[Material].[MaterialKey]" caption="MaterialKey" attribute="1" defaultMemberUniqueName="[Material].[MaterialKey].[All]" allUniqueName="[Material].[MaterialKey].[All]" dimensionUniqueName="[Material]" displayFolder="" count="0" unbalanced="0"/>
    <cacheHierarchy uniqueName="[Material].[MaterialOtherFeatureCode]" caption="MaterialOtherFeatureCode" attribute="1" defaultMemberUniqueName="[Material].[MaterialOtherFeatureCode].[All]" allUniqueName="[Material].[MaterialOtherFeatureCode].[All]" dimensionUniqueName="[Material]" displayFolder="" count="0" unbalanced="0"/>
    <cacheHierarchy uniqueName="[Material].[MaterialOtherFeatureDesc]" caption="MaterialOtherFeatureDesc" attribute="1" defaultMemberUniqueName="[Material].[MaterialOtherFeatureDesc].[All]" allUniqueName="[Material].[MaterialOtherFeatureDesc].[All]" dimensionUniqueName="[Material]" displayFolder="" count="0" unbalanced="0"/>
    <cacheHierarchy uniqueName="[Material].[MaterialSpecialFeatureCode]" caption="MaterialSpecialFeatureCode" attribute="1" defaultMemberUniqueName="[Material].[MaterialSpecialFeatureCode].[All]" allUniqueName="[Material].[MaterialSpecialFeatureCode].[All]" dimensionUniqueName="[Material]" displayFolder="" count="0" unbalanced="0"/>
    <cacheHierarchy uniqueName="[Material].[MaterialSpecialFeatureDesc]" caption="MaterialSpecialFeatureDesc" attribute="1" defaultMemberUniqueName="[Material].[MaterialSpecialFeatureDesc].[All]" allUniqueName="[Material].[MaterialSpecialFeatureDesc].[All]" dimensionUniqueName="[Material]" displayFolder="" count="0" unbalanced="0"/>
    <cacheHierarchy uniqueName="[Material].[MaterialTypeCode]" caption="MaterialTypeCode" attribute="1" defaultMemberUniqueName="[Material].[MaterialTypeCode].[All]" allUniqueName="[Material].[MaterialTypeCode].[All]" dimensionUniqueName="[Material]" displayFolder="" count="0" unbalanced="0"/>
    <cacheHierarchy uniqueName="[Material].[MaterialTypeDesc]" caption="MaterialTypeDesc" attribute="1" defaultMemberUniqueName="[Material].[MaterialTypeDesc].[All]" allUniqueName="[Material].[MaterialTypeDesc].[All]" dimensionUniqueName="[Material]" displayFolder="" count="0" unbalanced="0"/>
    <cacheHierarchy uniqueName="[Material].[MatHeight]" caption="MatHeight" attribute="1" defaultMemberUniqueName="[Material].[MatHeight].[All]" allUniqueName="[Material].[MatHeight].[All]" dimensionUniqueName="[Material]" displayFolder="" count="0" unbalanced="0"/>
    <cacheHierarchy uniqueName="[Material].[MatLenght]" caption="MatLenght" attribute="1" defaultMemberUniqueName="[Material].[MatLenght].[All]" allUniqueName="[Material].[MatLenght].[All]" dimensionUniqueName="[Material]" displayFolder="" count="0" unbalanced="0"/>
    <cacheHierarchy uniqueName="[Material].[MatVolume]" caption="MatVolume" attribute="1" defaultMemberUniqueName="[Material].[MatVolume].[All]" allUniqueName="[Material].[MatVolume].[All]" dimensionUniqueName="[Material]" displayFolder="" count="0" unbalanced="0"/>
    <cacheHierarchy uniqueName="[Material].[MatVolumeUnit]" caption="MatVolumeUnit" attribute="1" defaultMemberUniqueName="[Material].[MatVolumeUnit].[All]" allUniqueName="[Material].[MatVolumeUnit].[All]" dimensionUniqueName="[Material]" displayFolder="" count="0" unbalanced="0"/>
    <cacheHierarchy uniqueName="[Material].[MatWeight]" caption="MatWeight" attribute="1" defaultMemberUniqueName="[Material].[MatWeight].[All]" allUniqueName="[Material].[MatWeight].[All]" dimensionUniqueName="[Material]" displayFolder="" count="0" unbalanced="0"/>
    <cacheHierarchy uniqueName="[Material].[MatWeightUnit]" caption="MatWeightUnit" attribute="1" defaultMemberUniqueName="[Material].[MatWeightUnit].[All]" allUniqueName="[Material].[MatWeightUnit].[All]" dimensionUniqueName="[Material]" displayFolder="" count="0" unbalanced="0"/>
    <cacheHierarchy uniqueName="[Material].[MatWidth]" caption="MatWidth" attribute="1" defaultMemberUniqueName="[Material].[MatWidth].[All]" allUniqueName="[Material].[MatWidth].[All]" dimensionUniqueName="[Material]" displayFolder="" count="0" unbalanced="0"/>
    <cacheHierarchy uniqueName="[Material].[MaxStockQty]" caption="MaxStockQty" attribute="1" defaultMemberUniqueName="[Material].[MaxStockQty].[All]" allUniqueName="[Material].[MaxStockQty].[All]" dimensionUniqueName="[Material]" displayFolder="" count="0" unbalanced="0"/>
    <cacheHierarchy uniqueName="[Material].[MerchProduct]" caption="MerchProduct" attribute="1" defaultMemberUniqueName="[Material].[MerchProduct].[All]" allUniqueName="[Material].[MerchProduct].[All]" dimensionUniqueName="[Material]" displayFolder="" count="2" unbalanced="0">
      <fieldsUsage count="2">
        <fieldUsage x="-1"/>
        <fieldUsage x="20"/>
      </fieldsUsage>
    </cacheHierarchy>
    <cacheHierarchy uniqueName="[Material].[MinStockQty]" caption="MinStockQty" attribute="1" defaultMemberUniqueName="[Material].[MinStockQty].[All]" allUniqueName="[Material].[MinStockQty].[All]" dimensionUniqueName="[Material]" displayFolder="" count="0" unbalanced="0"/>
    <cacheHierarchy uniqueName="[Material].[PackagingType]" caption="PackagingType" attribute="1" defaultMemberUniqueName="[Material].[PackagingType].[All]" allUniqueName="[Material].[PackagingType].[All]" dimensionUniqueName="[Material]" displayFolder="" count="0" unbalanced="0"/>
    <cacheHierarchy uniqueName="[Material].[PlaningQualityCode]" caption="PlaningQualityCode" attribute="1" defaultMemberUniqueName="[Material].[PlaningQualityCode].[All]" allUniqueName="[Material].[PlaningQualityCode].[All]" dimensionUniqueName="[Material]" displayFolder="" count="0" unbalanced="0"/>
    <cacheHierarchy uniqueName="[Material].[PlaningQualityDesc]" caption="PlaningQualityDesc" attribute="1" defaultMemberUniqueName="[Material].[PlaningQualityDesc].[All]" allUniqueName="[Material].[PlaningQualityDesc].[All]" dimensionUniqueName="[Material]" displayFolder="" count="0" unbalanced="0"/>
    <cacheHierarchy uniqueName="[Material].[PlanStatus]" caption="PlanStatus" attribute="1" defaultMemberUniqueName="[Material].[PlanStatus].[All]" allUniqueName="[Material].[PlanStatus].[All]" dimensionUniqueName="[Material]" displayFolder="" count="0" unbalanced="0"/>
    <cacheHierarchy uniqueName="[Material].[PriceX]" caption="PriceX" attribute="1" defaultMemberUniqueName="[Material].[PriceX].[All]" allUniqueName="[Material].[PriceX].[All]" dimensionUniqueName="[Material]" displayFolder="" count="0" unbalanced="0"/>
    <cacheHierarchy uniqueName="[Material].[ProductFamily]" caption="ProductFamily" attribute="1" defaultMemberUniqueName="[Material].[ProductFamily].[All]" allUniqueName="[Material].[ProductFamily].[All]" dimensionUniqueName="[Material]" displayFolder="" count="0" unbalanced="0"/>
    <cacheHierarchy uniqueName="[Material].[ProductSegment]" caption="ProductSegment" attribute="1" defaultMemberUniqueName="[Material].[ProductSegment].[All]" allUniqueName="[Material].[ProductSegment].[All]" dimensionUniqueName="[Material]" displayFolder="" count="0" unbalanced="0"/>
    <cacheHierarchy uniqueName="[Material].[ProductStoreSegment]" caption="ProductStoreSegment" attribute="1" defaultMemberUniqueName="[Material].[ProductStoreSegment].[All]" allUniqueName="[Material].[ProductStoreSegment].[All]" dimensionUniqueName="[Material]" displayFolder="" count="0" unbalanced="0"/>
    <cacheHierarchy uniqueName="[Material].[QtyInBox]" caption="QtyInBox" attribute="1" defaultMemberUniqueName="[Material].[QtyInBox].[All]" allUniqueName="[Material].[QtyInBox].[All]" dimensionUniqueName="[Material]" displayFolder="" count="0" unbalanced="0"/>
    <cacheHierarchy uniqueName="[Material].[QtyInPackage]" caption="QtyInPackage" attribute="1" defaultMemberUniqueName="[Material].[QtyInPackage].[All]" allUniqueName="[Material].[QtyInPackage].[All]" dimensionUniqueName="[Material]" displayFolder="" count="0" unbalanced="0"/>
    <cacheHierarchy uniqueName="[Material].[QtyInPallet]" caption="QtyInPallet" attribute="1" defaultMemberUniqueName="[Material].[QtyInPallet].[All]" allUniqueName="[Material].[QtyInPallet].[All]" dimensionUniqueName="[Material]" displayFolder="" count="0" unbalanced="0"/>
    <cacheHierarchy uniqueName="[Material].[RemainingDaysforPlan]" caption="RemainingDaysforPlan" attribute="1" defaultMemberUniqueName="[Material].[RemainingDaysforPlan].[All]" allUniqueName="[Material].[RemainingDaysforPlan].[All]" dimensionUniqueName="[Material]" displayFolder="" count="0" unbalanced="0"/>
    <cacheHierarchy uniqueName="[Material].[Season]" caption="Season" attribute="1" defaultMemberUniqueName="[Material].[Season].[All]" allUniqueName="[Material].[Season].[All]" dimensionUniqueName="[Material]" displayFolder="" count="0" unbalanced="0"/>
    <cacheHierarchy uniqueName="[Material].[SeasonYear]" caption="SeasonYear" attribute="1" defaultMemberUniqueName="[Material].[SeasonYear].[All]" allUniqueName="[Material].[SeasonYear].[All]" dimensionUniqueName="[Material]" displayFolder="" count="0" unbalanced="0"/>
    <cacheHierarchy uniqueName="[Material].[Size_Code]" caption="Size_Code" attribute="1" defaultMemberUniqueName="[Material].[Size_Code].[All]" allUniqueName="[Material].[Size_Code].[All]" dimensionUniqueName="[Material]" displayFolder="" count="0" unbalanced="0"/>
    <cacheHierarchy uniqueName="[Material].[Size_Desc]" caption="Size_Desc" attribute="1" defaultMemberUniqueName="[Material].[Size_Desc].[All]" allUniqueName="[Material].[Size_Desc].[All]" dimensionUniqueName="[Material]" displayFolder="" count="0" unbalanced="0"/>
    <cacheHierarchy uniqueName="[Material].[Status]" caption="Status" attribute="1" defaultMemberUniqueName="[Material].[Status].[All]" allUniqueName="[Material].[Status].[All]" dimensionUniqueName="[Material]" displayFolder="" count="0" unbalanced="0"/>
    <cacheHierarchy uniqueName="[Material].[SubGroupCode]" caption="SubGroupCode" attribute="1" defaultMemberUniqueName="[Material].[SubGroupCode].[All]" allUniqueName="[Material].[SubGroupCode].[All]" dimensionUniqueName="[Material]" displayFolder="" count="0" unbalanced="0"/>
    <cacheHierarchy uniqueName="[Material].[SubGroupDesc]" caption="SubGroupDesc" attribute="1" defaultMemberUniqueName="[Material].[SubGroupDesc].[All]" allUniqueName="[Material].[SubGroupDesc].[All]" dimensionUniqueName="[Material]" displayFolder="" count="0" unbalanced="0"/>
    <cacheHierarchy uniqueName="[Material].[TagGroupDesc]" caption="TagGroupDesc" attribute="1" defaultMemberUniqueName="[Material].[TagGroupDesc].[All]" allUniqueName="[Material].[TagGroupDesc].[All]" dimensionUniqueName="[Material]" displayFolder="" count="0" unbalanced="0"/>
    <cacheHierarchy uniqueName="[Material].[TextileProduct]" caption="TextileProduct" attribute="1" defaultMemberUniqueName="[Material].[TextileProduct].[All]" allUniqueName="[Material].[TextileProduct].[All]" dimensionUniqueName="[Material]" displayFolder="" count="0" unbalanced="0"/>
    <cacheHierarchy uniqueName="[Material].[Theme]" caption="Theme" attribute="1" defaultMemberUniqueName="[Material].[Theme].[All]" allUniqueName="[Material].[Theme].[All]" dimensionUniqueName="[Material]" displayFolder="" count="0" unbalanced="0"/>
    <cacheHierarchy uniqueName="[Material].[TribeLeader]" caption="TribeLeader" attribute="1" defaultMemberUniqueName="[Material].[TribeLeader].[All]" allUniqueName="[Material].[TribeLeader].[All]" dimensionUniqueName="[Material]" displayFolder="" count="0" unbalanced="0"/>
    <cacheHierarchy uniqueName="[Material].[VatRate]" caption="VatRate" attribute="1" defaultMemberUniqueName="[Material].[VatRate].[All]" allUniqueName="[Material].[VatRate].[All]" dimensionUniqueName="[Material]" displayFolder="" count="0" unbalanced="0"/>
    <cacheHierarchy uniqueName="[Material].[VendorCode]" caption="VendorCode" attribute="1" defaultMemberUniqueName="[Material].[VendorCode].[All]" allUniqueName="[Material].[VendorCode].[All]" dimensionUniqueName="[Material]" displayFolder="" count="0" unbalanced="0"/>
    <cacheHierarchy uniqueName="[Material].[VendorCountry]" caption="VendorCountry" attribute="1" defaultMemberUniqueName="[Material].[VendorCountry].[All]" allUniqueName="[Material].[VendorCountry].[All]" dimensionUniqueName="[Material]" displayFolder="" count="0" unbalanced="0"/>
    <cacheHierarchy uniqueName="[Material].[VendorKey]" caption="VendorKey" attribute="1" defaultMemberUniqueName="[Material].[VendorKey].[All]" allUniqueName="[Material].[VendorKey].[All]" dimensionUniqueName="[Material]" displayFolder="" count="0" unbalanced="0"/>
    <cacheHierarchy uniqueName="[Material].[VendorName]" caption="VendorName" attribute="1" defaultMemberUniqueName="[Material].[VendorName].[All]" allUniqueName="[Material].[VendorName].[All]" dimensionUniqueName="[Material]" displayFolder="" count="0" unbalanced="0"/>
    <cacheHierarchy uniqueName="[Material].[YearSeason]" caption="YearSeason" attribute="1" defaultMemberUniqueName="[Material].[YearSeason].[All]" allUniqueName="[Material].[YearSeason].[All]" dimensionUniqueName="[Material]" displayFolder="" count="0" unbalanced="0"/>
    <cacheHierarchy uniqueName="[SalesBudget].[BudgetTypeName]" caption="BudgetTypeName" attribute="1" defaultMemberUniqueName="[SalesBudget].[BudgetTypeName].[All]" allUniqueName="[SalesBudget].[BudgetTypeName].[All]" dimensionUniqueName="[SalesBudget]" displayFolder="" count="0" unbalanced="0"/>
    <cacheHierarchy uniqueName="[SalesChannel].[CompanyCode]" caption="CompanyCode" attribute="1" defaultMemberUniqueName="[SalesChannel].[CompanyCode].[All]" allUniqueName="[SalesChannel].[CompanyCode].[All]" dimensionUniqueName="[SalesChannel]" displayFolder="SalesChannelCode" count="0" unbalanced="0"/>
    <cacheHierarchy uniqueName="[SalesChannel].[CompanyCurrency]" caption="CompanyCurrency" attribute="1" defaultMemberUniqueName="[SalesChannel].[CompanyCurrency].[All]" allUniqueName="[SalesChannel].[CompanyCurrency].[All]" dimensionUniqueName="[SalesChannel]" displayFolder="SalesChannelCode" count="0" unbalanced="0"/>
    <cacheHierarchy uniqueName="[SalesChannel].[CompanyKey]" caption="CompanyKey" attribute="1" defaultMemberUniqueName="[SalesChannel].[CompanyKey].[All]" allUniqueName="[SalesChannel].[CompanyKey].[All]" dimensionUniqueName="[SalesChannel]" displayFolder="SalesChannelCode" count="0" unbalanced="0"/>
    <cacheHierarchy uniqueName="[SalesChannel].[CompanyName]" caption="CompanyName" attribute="1" defaultMemberUniqueName="[SalesChannel].[CompanyName].[All]" allUniqueName="[SalesChannel].[CompanyName].[All]" dimensionUniqueName="[SalesChannel]" displayFolder="SalesChannelName" count="0" unbalanced="0"/>
    <cacheHierarchy uniqueName="[SalesChannel].[CompanyRegion]" caption="CompanyRegion" attribute="1" defaultMemberUniqueName="[SalesChannel].[CompanyRegion].[All]" allUniqueName="[SalesChannel].[CompanyRegion].[All]" dimensionUniqueName="[SalesChannel]" displayFolder="" count="0" unbalanced="0"/>
    <cacheHierarchy uniqueName="[SalesChannel].[CountryCode]" caption="CountryCode" attribute="1" defaultMemberUniqueName="[SalesChannel].[CountryCode].[All]" allUniqueName="[SalesChannel].[CountryCode].[All]" dimensionUniqueName="[SalesChannel]" displayFolder="SalesChannelCode" count="0" unbalanced="0"/>
    <cacheHierarchy uniqueName="[SalesChannel].[CountryName]" caption="CountryName" attribute="1" defaultMemberUniqueName="[SalesChannel].[CountryName].[All]" allUniqueName="[SalesChannel].[CountryName].[All]" dimensionUniqueName="[SalesChannel]" displayFolder="SalesChannelName" count="2" unbalanced="0">
      <fieldsUsage count="2">
        <fieldUsage x="-1"/>
        <fieldUsage x="19"/>
      </fieldsUsage>
    </cacheHierarchy>
    <cacheHierarchy uniqueName="[SalesChannel].[DistrubitionChannelCode]" caption="DistrubitionChannelCode" attribute="1" defaultMemberUniqueName="[SalesChannel].[DistrubitionChannelCode].[All]" allUniqueName="[SalesChannel].[DistrubitionChannelCode].[All]" dimensionUniqueName="[SalesChannel]" displayFolder="SalesChannelCode" count="0" unbalanced="0"/>
    <cacheHierarchy uniqueName="[SalesChannel].[DistrubitionChannelDesc]" caption="DistrubitionChannelDesc" attribute="1" defaultMemberUniqueName="[SalesChannel].[DistrubitionChannelDesc].[All]" allUniqueName="[SalesChannel].[DistrubitionChannelDesc].[All]" dimensionUniqueName="[SalesChannel]" displayFolder="SalesChannelName" count="2" unbalanced="0">
      <fieldsUsage count="2">
        <fieldUsage x="-1"/>
        <fieldUsage x="1"/>
      </fieldsUsage>
    </cacheHierarchy>
    <cacheHierarchy uniqueName="[SalesChannel].[DistrubitionChannelKey]" caption="DistrubitionChannelKey" attribute="1" defaultMemberUniqueName="[SalesChannel].[DistrubitionChannelKey].[All]" allUniqueName="[SalesChannel].[DistrubitionChannelKey].[All]" dimensionUniqueName="[SalesChannel]" displayFolder="SalesChannelCode" count="0" unbalanced="0"/>
    <cacheHierarchy uniqueName="[SalesChannel].[H_SalesChannel]" caption="H_SalesChannel" defaultMemberUniqueName="[SalesChannel].[H_SalesChannel].[All]" allUniqueName="[SalesChannel].[H_SalesChannel].[All]" dimensionUniqueName="[SalesChannel]" displayFolder="" count="0" unbalanced="0"/>
    <cacheHierarchy uniqueName="[SalesChannel].[SalesChannelCode]" caption="SalesChannelCode" attribute="1" defaultMemberUniqueName="[SalesChannel].[SalesChannelCode].[All]" allUniqueName="[SalesChannel].[SalesChannelCode].[All]" dimensionUniqueName="[SalesChannel]" displayFolder="SalesChannelCode" count="0" unbalanced="0"/>
    <cacheHierarchy uniqueName="[SalesChannel].[SalesChannelKey]" caption="SalesChannelKey" attribute="1" defaultMemberUniqueName="[SalesChannel].[SalesChannelKey].[All]" allUniqueName="[SalesChannel].[SalesChannelKey].[All]" dimensionUniqueName="[SalesChannel]" displayFolder="SalesChannelCode" count="0" unbalanced="0"/>
    <cacheHierarchy uniqueName="[SalesChannel].[SalesOrgCode]" caption="SalesOrgCode" attribute="1" defaultMemberUniqueName="[SalesChannel].[SalesOrgCode].[All]" allUniqueName="[SalesChannel].[SalesOrgCode].[All]" dimensionUniqueName="[SalesChannel]" displayFolder="SalesChannelCode" count="0" unbalanced="0"/>
    <cacheHierarchy uniqueName="[SalesChannel].[SalesOrgDesc]" caption="SalesOrgDesc" attribute="1" defaultMemberUniqueName="[SalesChannel].[SalesOrgDesc].[All]" allUniqueName="[SalesChannel].[SalesOrgDesc].[All]" dimensionUniqueName="[SalesChannel]" displayFolder="SalesChannelName" count="0" unbalanced="0"/>
    <cacheHierarchy uniqueName="[SalesChannel].[SalesOrgKey]" caption="SalesOrgKey" attribute="1" defaultMemberUniqueName="[SalesChannel].[SalesOrgKey].[All]" allUniqueName="[SalesChannel].[SalesOrgKey].[All]" dimensionUniqueName="[SalesChannel]" displayFolder="SalesChannelCode" count="0" unbalanced="0"/>
    <cacheHierarchy uniqueName="[SalesChannel].[SalesOrgType]" caption="SalesOrgType" attribute="1" defaultMemberUniqueName="[SalesChannel].[SalesOrgType].[All]" allUniqueName="[SalesChannel].[SalesOrgType].[All]" dimensionUniqueName="[SalesChannel]" displayFolder="" count="2" unbalanced="0">
      <fieldsUsage count="2">
        <fieldUsage x="-1"/>
        <fieldUsage x="0"/>
      </fieldsUsage>
    </cacheHierarchy>
    <cacheHierarchy uniqueName="[SalesSeason].[EtlDate]" caption="EtlDate" attribute="1" defaultMemberUniqueName="[SalesSeason].[EtlDate].[All]" allUniqueName="[SalesSeason].[EtlDate].[All]" dimensionUniqueName="[SalesSeason]" displayFolder="" count="0" unbalanced="0"/>
    <cacheHierarchy uniqueName="[SalesSeason].[SalesSeasonCode]" caption="SalesSeasonCode" attribute="1" defaultMemberUniqueName="[SalesSeason].[SalesSeasonCode].[All]" allUniqueName="[SalesSeason].[SalesSeasonCode].[All]" dimensionUniqueName="[SalesSeason]" displayFolder="" count="0" unbalanced="0"/>
    <cacheHierarchy uniqueName="[SalesSeason].[SalesSeasonID]" caption="SalesSeasonID" attribute="1" defaultMemberUniqueName="[SalesSeason].[SalesSeasonID].[All]" allUniqueName="[SalesSeason].[SalesSeasonID].[All]" dimensionUniqueName="[SalesSeason]" displayFolder="" count="0" unbalanced="0"/>
    <cacheHierarchy uniqueName="[SalesSeason].[SalesSeasonName]" caption="SalesSeasonName" attribute="1" defaultMemberUniqueName="[SalesSeason].[SalesSeasonName].[All]" allUniqueName="[SalesSeason].[SalesSeasonName].[All]" dimensionUniqueName="[SalesSeason]" displayFolder="" count="0" unbalanced="0"/>
    <cacheHierarchy uniqueName="[StockList].[StockList]" caption="StockList" attribute="1" defaultMemberUniqueName="[StockList].[StockList].[All]" allUniqueName="[StockList].[StockList].[All]" dimensionUniqueName="[StockList]" displayFolder="" count="0" unbalanced="0"/>
    <cacheHierarchy uniqueName="[StockList].[StockListChannelName]" caption="StockListChannelName" attribute="1" defaultMemberUniqueName="[StockList].[StockListChannelName].[All]" allUniqueName="[StockList].[StockListChannelName].[All]" dimensionUniqueName="[StockList]" displayFolder="" count="0" unbalanced="0"/>
    <cacheHierarchy uniqueName="[StockList].[StockListCode]" caption="StockListCode" attribute="1" defaultMemberUniqueName="[StockList].[StockListCode].[All]" allUniqueName="[StockList].[StockListCode].[All]" dimensionUniqueName="[StockList]" displayFolder="" count="0" unbalanced="0"/>
    <cacheHierarchy uniqueName="[StockList].[StockListKey]" caption="StockListKey" attribute="1" defaultMemberUniqueName="[StockList].[StockListKey].[All]" allUniqueName="[StockList].[StockListKey].[All]" dimensionUniqueName="[StockList]" displayFolder="" count="0" unbalanced="0"/>
    <cacheHierarchy uniqueName="[Store].[AllocationSpecialist]" caption="AllocationSpecialist" attribute="1" defaultMemberUniqueName="[Store].[AllocationSpecialist].[All]" allUniqueName="[Store].[AllocationSpecialist].[All]" dimensionUniqueName="[Store]" displayFolder="" count="0" unbalanced="0"/>
    <cacheHierarchy uniqueName="[Store].[BackStoreM2]" caption="BackStoreM2" attribute="1" defaultMemberUniqueName="[Store].[BackStoreM2].[All]" allUniqueName="[Store].[BackStoreM2].[All]" dimensionUniqueName="[Store]" displayFolder="" count="0" unbalanced="0"/>
    <cacheHierarchy uniqueName="[Store].[CapacityClusterCode]" caption="CapacityClusterCode" attribute="1" defaultMemberUniqueName="[Store].[CapacityClusterCode].[All]" allUniqueName="[Store].[CapacityClusterCode].[All]" dimensionUniqueName="[Store]" displayFolder="" count="0" unbalanced="0"/>
    <cacheHierarchy uniqueName="[Store].[CapacityClusterDesc]" caption="CapacityClusterDesc" attribute="1" defaultMemberUniqueName="[Store].[CapacityClusterDesc].[All]" allUniqueName="[Store].[CapacityClusterDesc].[All]" dimensionUniqueName="[Store]" displayFolder="" count="0" unbalanced="0"/>
    <cacheHierarchy uniqueName="[Store].[CityCode]" caption="CityCode" attribute="1" defaultMemberUniqueName="[Store].[CityCode].[All]" allUniqueName="[Store].[CityCode].[All]" dimensionUniqueName="[Store]" displayFolder="" count="0" unbalanced="0"/>
    <cacheHierarchy uniqueName="[Store].[GrossAreaMeters]" caption="GrossAreaMeters" attribute="1" defaultMemberUniqueName="[Store].[GrossAreaMeters].[All]" allUniqueName="[Store].[GrossAreaMeters].[All]" dimensionUniqueName="[Store]" displayFolder="" count="0" unbalanced="0"/>
    <cacheHierarchy uniqueName="[Store].[Latitude]" caption="Latitude" attribute="1" defaultMemberUniqueName="[Store].[Latitude].[All]" allUniqueName="[Store].[Latitude].[All]" dimensionUniqueName="[Store]" displayFolder="" count="0" unbalanced="0"/>
    <cacheHierarchy uniqueName="[Store].[LocationCityDesc]" caption="LocationCityDesc" attribute="1" defaultMemberUniqueName="[Store].[LocationCityDesc].[All]" allUniqueName="[Store].[LocationCityDesc].[All]" dimensionUniqueName="[Store]" displayFolder="" count="0" unbalanced="0"/>
    <cacheHierarchy uniqueName="[Store].[LocationCountry]" caption="LocationCountry" attribute="1" defaultMemberUniqueName="[Store].[LocationCountry].[All]" allUniqueName="[Store].[LocationCountry].[All]" dimensionUniqueName="[Store]" displayFolder="" count="0" unbalanced="0"/>
    <cacheHierarchy uniqueName="[Store].[LocationCurrencyCode]" caption="LocationCurrencyCode" attribute="1" defaultMemberUniqueName="[Store].[LocationCurrencyCode].[All]" allUniqueName="[Store].[LocationCurrencyCode].[All]" dimensionUniqueName="[Store]" displayFolder="" count="0" unbalanced="0"/>
    <cacheHierarchy uniqueName="[Store].[LocationKey]" caption="LocationKey" attribute="1" defaultMemberUniqueName="[Store].[LocationKey].[All]" allUniqueName="[Store].[LocationKey].[All]" dimensionUniqueName="[Store]" displayFolder="" count="0" unbalanced="0"/>
    <cacheHierarchy uniqueName="[Store].[LocationSeason]" caption="LocationSeason" attribute="1" defaultMemberUniqueName="[Store].[LocationSeason].[All]" allUniqueName="[Store].[LocationSeason].[All]" dimensionUniqueName="[Store]" displayFolder="" count="0" unbalanced="0"/>
    <cacheHierarchy uniqueName="[Store].[LocationType]" caption="LocationType" attribute="1" defaultMemberUniqueName="[Store].[LocationType].[All]" allUniqueName="[Store].[LocationType].[All]" dimensionUniqueName="[Store]" displayFolder="" count="0" unbalanced="0"/>
    <cacheHierarchy uniqueName="[Store].[Longitude]" caption="Longitude" attribute="1" defaultMemberUniqueName="[Store].[Longitude].[All]" allUniqueName="[Store].[Longitude].[All]" dimensionUniqueName="[Store]" displayFolder="" count="0" unbalanced="0"/>
    <cacheHierarchy uniqueName="[Store].[OperationRegionCode]" caption="OperationRegionCode" attribute="1" defaultMemberUniqueName="[Store].[OperationRegionCode].[All]" allUniqueName="[Store].[OperationRegionCode].[All]" dimensionUniqueName="[Store]" displayFolder="" count="0" unbalanced="0"/>
    <cacheHierarchy uniqueName="[Store].[OperationRegionDesc]" caption="OperationRegionDesc" attribute="1" defaultMemberUniqueName="[Store].[OperationRegionDesc].[All]" allUniqueName="[Store].[OperationRegionDesc].[All]" dimensionUniqueName="[Store]" displayFolder="" count="0" unbalanced="0"/>
    <cacheHierarchy uniqueName="[Store].[RegionManager1]" caption="RegionManager1" attribute="1" defaultMemberUniqueName="[Store].[RegionManager1].[All]" allUniqueName="[Store].[RegionManager1].[All]" dimensionUniqueName="[Store]" displayFolder="" count="0" unbalanced="0"/>
    <cacheHierarchy uniqueName="[Store].[RegionManager2]" caption="RegionManager2" attribute="1" defaultMemberUniqueName="[Store].[RegionManager2].[All]" allUniqueName="[Store].[RegionManager2].[All]" dimensionUniqueName="[Store]" displayFolder="" count="0" unbalanced="0"/>
    <cacheHierarchy uniqueName="[Store].[RegionOpManager]" caption="RegionOpManager" attribute="1" defaultMemberUniqueName="[Store].[RegionOpManager].[All]" allUniqueName="[Store].[RegionOpManager].[All]" dimensionUniqueName="[Store]" displayFolder="" count="0" unbalanced="0"/>
    <cacheHierarchy uniqueName="[Store].[SalesOrgRegion]" caption="SalesOrgRegion" attribute="1" defaultMemberUniqueName="[Store].[SalesOrgRegion].[All]" allUniqueName="[Store].[SalesOrgRegion].[All]" dimensionUniqueName="[Store]" displayFolder="" count="0" unbalanced="0"/>
    <cacheHierarchy uniqueName="[Store].[SquareMeters]" caption="SquareMeters" attribute="1" defaultMemberUniqueName="[Store].[SquareMeters].[All]" allUniqueName="[Store].[SquareMeters].[All]" dimensionUniqueName="[Store]" displayFolder="" count="0" unbalanced="0"/>
    <cacheHierarchy uniqueName="[Store].[StockBufferFactor]" caption="StockBufferFactor" attribute="1" defaultMemberUniqueName="[Store].[StockBufferFactor].[All]" allUniqueName="[Store].[StockBufferFactor].[All]" dimensionUniqueName="[Store]" displayFolder="" count="0" unbalanced="0"/>
    <cacheHierarchy uniqueName="[Store].[StoreClass]" caption="StoreClass" attribute="1" defaultMemberUniqueName="[Store].[StoreClass].[All]" allUniqueName="[Store].[StoreClass].[All]" dimensionUniqueName="[Store]" displayFolder="" count="0" unbalanced="0"/>
    <cacheHierarchy uniqueName="[Store].[StoreCloseDate]" caption="StoreCloseDate" attribute="1" defaultMemberUniqueName="[Store].[StoreCloseDate].[All]" allUniqueName="[Store].[StoreCloseDate].[All]" dimensionUniqueName="[Store]" displayFolder="" count="0" unbalanced="0"/>
    <cacheHierarchy uniqueName="[Store].[StoreCode]" caption="StoreCode" attribute="1" defaultMemberUniqueName="[Store].[StoreCode].[All]" allUniqueName="[Store].[StoreCode].[All]" dimensionUniqueName="[Store]" displayFolder="" count="0" unbalanced="0"/>
    <cacheHierarchy uniqueName="[Store].[StoreCompanyRegion]" caption="StoreCompanyRegion" attribute="1" defaultMemberUniqueName="[Store].[StoreCompanyRegion].[All]" allUniqueName="[Store].[StoreCompanyRegion].[All]" dimensionUniqueName="[Store]" displayFolder="" count="0" unbalanced="0"/>
    <cacheHierarchy uniqueName="[Store].[StoreCustomerCluster]" caption="StoreCustomerCluster" attribute="1" defaultMemberUniqueName="[Store].[StoreCustomerCluster].[All]" allUniqueName="[Store].[StoreCustomerCluster].[All]" dimensionUniqueName="[Store]" displayFolder="" count="0" unbalanced="0"/>
    <cacheHierarchy uniqueName="[Store].[StoreDistChannelCode]" caption="StoreDistChannelCode" attribute="1" defaultMemberUniqueName="[Store].[StoreDistChannelCode].[All]" allUniqueName="[Store].[StoreDistChannelCode].[All]" dimensionUniqueName="[Store]" displayFolder="" count="0" unbalanced="0"/>
    <cacheHierarchy uniqueName="[Store].[StoreDistChannelDesc]" caption="StoreDistChannelDesc" attribute="1" defaultMemberUniqueName="[Store].[StoreDistChannelDesc].[All]" allUniqueName="[Store].[StoreDistChannelDesc].[All]" dimensionUniqueName="[Store]" displayFolder="" count="0" unbalanced="0"/>
    <cacheHierarchy uniqueName="[Store].[StoreIN_Outlet]" caption="StoreIN_Outlet" attribute="1" defaultMemberUniqueName="[Store].[StoreIN_Outlet].[All]" allUniqueName="[Store].[StoreIN_Outlet].[All]" dimensionUniqueName="[Store]" displayFolder="" count="0" unbalanced="0"/>
    <cacheHierarchy uniqueName="[Store].[StoreName]" caption="StoreName" attribute="1" defaultMemberUniqueName="[Store].[StoreName].[All]" allUniqueName="[Store].[StoreName].[All]" dimensionUniqueName="[Store]" displayFolder="" count="0" unbalanced="0"/>
    <cacheHierarchy uniqueName="[Store].[StoreOpenDate]" caption="StoreOpenDate" attribute="1" defaultMemberUniqueName="[Store].[StoreOpenDate].[All]" allUniqueName="[Store].[StoreOpenDate].[All]" dimensionUniqueName="[Store]" displayFolder="" count="0" unbalanced="0"/>
    <cacheHierarchy uniqueName="[Store].[StorePriceChannel]" caption="StorePriceChannel" attribute="1" defaultMemberUniqueName="[Store].[StorePriceChannel].[All]" allUniqueName="[Store].[StorePriceChannel].[All]" dimensionUniqueName="[Store]" displayFolder="" count="0" unbalanced="0"/>
    <cacheHierarchy uniqueName="[Store].[StorePriceScore]" caption="StorePriceScore" attribute="1" defaultMemberUniqueName="[Store].[StorePriceScore].[All]" allUniqueName="[Store].[StorePriceScore].[All]" dimensionUniqueName="[Store]" displayFolder="" count="0" unbalanced="0"/>
    <cacheHierarchy uniqueName="[Store].[StoreRegionCode]" caption="StoreRegionCode" attribute="1" defaultMemberUniqueName="[Store].[StoreRegionCode].[All]" allUniqueName="[Store].[StoreRegionCode].[All]" dimensionUniqueName="[Store]" displayFolder="" count="0" unbalanced="0"/>
    <cacheHierarchy uniqueName="[Store].[StoreRegionDesc]" caption="StoreRegionDesc" attribute="1" defaultMemberUniqueName="[Store].[StoreRegionDesc].[All]" allUniqueName="[Store].[StoreRegionDesc].[All]" dimensionUniqueName="[Store]" displayFolder="" count="0" unbalanced="0"/>
    <cacheHierarchy uniqueName="[Store].[StoreSeasonDesc]" caption="StoreSeasonDesc" attribute="1" defaultMemberUniqueName="[Store].[StoreSeasonDesc].[All]" allUniqueName="[Store].[StoreSeasonDesc].[All]" dimensionUniqueName="[Store]" displayFolder="" count="0" unbalanced="0"/>
    <cacheHierarchy uniqueName="[Store].[StoreSize]" caption="StoreSize" attribute="1" defaultMemberUniqueName="[Store].[StoreSize].[All]" allUniqueName="[Store].[StoreSize].[All]" dimensionUniqueName="[Store]" displayFolder="" count="0" unbalanced="0"/>
    <cacheHierarchy uniqueName="[Store].[StoreStatus]" caption="StoreStatus" attribute="1" defaultMemberUniqueName="[Store].[StoreStatus].[All]" allUniqueName="[Store].[StoreStatus].[All]" dimensionUniqueName="[Store]" displayFolder="" count="0" unbalanced="0"/>
    <cacheHierarchy uniqueName="[Store].[StoreTopType]" caption="StoreTopType" attribute="1" defaultMemberUniqueName="[Store].[StoreTopType].[All]" allUniqueName="[Store].[StoreTopType].[All]" dimensionUniqueName="[Store]" displayFolder="" count="0" unbalanced="0"/>
    <cacheHierarchy uniqueName="[Store].[StoreType]" caption="StoreType" attribute="1" defaultMemberUniqueName="[Store].[StoreType].[All]" allUniqueName="[Store].[StoreType].[All]" dimensionUniqueName="[Store]" displayFolder="" count="0" unbalanced="0"/>
    <cacheHierarchy uniqueName="[Store].[Tourist]" caption="Tourist" attribute="1" defaultMemberUniqueName="[Store].[Tourist].[All]" allUniqueName="[Store].[Tourist].[All]" dimensionUniqueName="[Store]" displayFolder="" count="0" unbalanced="0"/>
    <cacheHierarchy uniqueName="[StoreLFLStatu].[StoreLFLStatuDesc]" caption="StoreLFLStatuDesc" attribute="1" defaultMemberUniqueName="[StoreLFLStatu].[StoreLFLStatuDesc].[All]" allUniqueName="[StoreLFLStatu].[StoreLFLStatuDesc].[All]" dimensionUniqueName="[StoreLFLStatu]" displayFolder="" count="0" unbalanced="0"/>
    <cacheHierarchy uniqueName="[StoreLFLStatu].[StoreLFLStatuGroupDesc]" caption="StoreLFLStatuGroupDesc" attribute="1" defaultMemberUniqueName="[StoreLFLStatu].[StoreLFLStatuGroupDesc].[All]" allUniqueName="[StoreLFLStatu].[StoreLFLStatuGroupDesc].[All]" dimensionUniqueName="[StoreLFLStatu]" displayFolder="" count="0" unbalanced="0"/>
    <cacheHierarchy uniqueName="[StoreLFLStatu].[StoreLFLStatuKey]" caption="StoreLFLStatuKey" attribute="1" defaultMemberUniqueName="[StoreLFLStatu].[StoreLFLStatuKey].[All]" allUniqueName="[StoreLFLStatu].[StoreLFLStatuKey].[All]" dimensionUniqueName="[StoreLFLStatu]" displayFolder="" count="0" unbalanced="0"/>
    <cacheHierarchy uniqueName="[SubDistChannel].[SubDistChannelCode]" caption="SubDistChannelCode" attribute="1" defaultMemberUniqueName="[SubDistChannel].[SubDistChannelCode].[All]" allUniqueName="[SubDistChannel].[SubDistChannelCode].[All]" dimensionUniqueName="[SubDistChannel]" displayFolder="" count="0" unbalanced="0"/>
    <cacheHierarchy uniqueName="[SubDistChannel].[SubDistChannelDesc]" caption="SubDistChannelDesc" attribute="1" defaultMemberUniqueName="[SubDistChannel].[SubDistChannelDesc].[All]" allUniqueName="[SubDistChannel].[SubDistChannelDesc].[All]" dimensionUniqueName="[SubDistChannel]" displayFolder="" count="0" unbalanced="0"/>
    <cacheHierarchy uniqueName="[SubDistChannel].[SubDistChannelKey]" caption="SubDistChannelKey" attribute="1" defaultMemberUniqueName="[SubDistChannel].[SubDistChannelKey].[All]" allUniqueName="[SubDistChannel].[SubDistChannelKey].[All]" dimensionUniqueName="[SubDistChannel]" displayFolder="" count="0" unbalanced="0"/>
    <cacheHierarchy uniqueName="[Calendar].[EtlDate]" caption="EtlDate" attribute="1" time="1" defaultMemberUniqueName="[Calendar].[EtlDate].[All]" allUniqueName="[Calendar].[EtlDate].[All]" dimensionUniqueName="[Calendar]" displayFolder="" count="0" unbalanced="0" hidden="1"/>
    <cacheHierarchy uniqueName="[Capacity].[Date]" caption="Date" attribute="1" defaultMemberUniqueName="[Capacity].[Date].[All]" allUniqueName="[Capacity].[Date].[All]" dimensionUniqueName="[Capacity]" displayFolder="" count="0" unbalanced="0" hidden="1"/>
    <cacheHierarchy uniqueName="[Capacity].[InitialSalesPriceID]" caption="InitialSalesPriceID" attribute="1" defaultMemberUniqueName="[Capacity].[InitialSalesPriceID].[All]" allUniqueName="[Capacity].[InitialSalesPriceID].[All]" dimensionUniqueName="[Capacity]" displayFolder="" count="0" unbalanced="0" hidden="1"/>
    <cacheHierarchy uniqueName="[Capacity].[LFLFactor]" caption="LFLFactor" attribute="1" defaultMemberUniqueName="[Capacity].[LFLFactor].[All]" allUniqueName="[Capacity].[LFLFactor].[All]" dimensionUniqueName="[Capacity]" displayFolder="" count="0" unbalanced="0" hidden="1"/>
    <cacheHierarchy uniqueName="[Capacity].[LocationKey]" caption="LocationKey" attribute="1" defaultMemberUniqueName="[Capacity].[LocationKey].[All]" allUniqueName="[Capacity].[LocationKey].[All]" dimensionUniqueName="[Capacity]" displayFolder="" count="0" unbalanced="0" hidden="1"/>
    <cacheHierarchy uniqueName="[Capacity].[MaterialKey]" caption="MaterialKey" attribute="1" defaultMemberUniqueName="[Capacity].[MaterialKey].[All]" allUniqueName="[Capacity].[MaterialKey].[All]" dimensionUniqueName="[Capacity]" displayFolder="" count="0" unbalanced="0" hidden="1"/>
    <cacheHierarchy uniqueName="[Capacity].[OutletID]" caption="OutletID" attribute="1" defaultMemberUniqueName="[Capacity].[OutletID].[All]" allUniqueName="[Capacity].[OutletID].[All]" dimensionUniqueName="[Capacity]" displayFolder="" count="0" unbalanced="0" hidden="1"/>
    <cacheHierarchy uniqueName="[Capacity].[SalesChannelKey]" caption="SalesChannelKey" attribute="1" defaultMemberUniqueName="[Capacity].[SalesChannelKey].[All]" allUniqueName="[Capacity].[SalesChannelKey].[All]" dimensionUniqueName="[Capacity]" displayFolder="" count="0" unbalanced="0" hidden="1"/>
    <cacheHierarchy uniqueName="[Capacity].[SalesSeasonID]" caption="SalesSeasonID" attribute="1" defaultMemberUniqueName="[Capacity].[SalesSeasonID].[All]" allUniqueName="[Capacity].[SalesSeasonID].[All]" dimensionUniqueName="[Capacity]" displayFolder="" count="0" unbalanced="0" hidden="1"/>
    <cacheHierarchy uniqueName="[Capacity].[SubDistChannelKey]" caption="SubDistChannelKey" attribute="1" defaultMemberUniqueName="[Capacity].[SubDistChannelKey].[All]" allUniqueName="[Capacity].[SubDistChannelKey].[All]" dimensionUniqueName="[Capacity]" displayFolder="" count="0" unbalanced="0" hidden="1"/>
    <cacheHierarchy uniqueName="[Capacity].[TYCapacityPlanUnit]" caption="TYCapacityPlanUnit" attribute="1" defaultMemberUniqueName="[Capacity].[TYCapacityPlanUnit].[All]" allUniqueName="[Capacity].[TYCapacityPlanUnit].[All]" dimensionUniqueName="[Capacity]" displayFolder="" count="0" unbalanced="0" hidden="1"/>
    <cacheHierarchy uniqueName="[CapacityPlanTY].[Date]" caption="Date" attribute="1" defaultMemberUniqueName="[CapacityPlanTY].[Date].[All]" allUniqueName="[CapacityPlanTY].[Date].[All]" dimensionUniqueName="[CapacityPlanTY]" displayFolder="" count="0" unbalanced="0" hidden="1"/>
    <cacheHierarchy uniqueName="[CapacityPlanTY].[DistrubitionChannelCode]" caption="DistrubitionChannelCode" attribute="1" defaultMemberUniqueName="[CapacityPlanTY].[DistrubitionChannelCode].[All]" allUniqueName="[CapacityPlanTY].[DistrubitionChannelCode].[All]" dimensionUniqueName="[CapacityPlanTY]" displayFolder="" count="0" unbalanced="0" hidden="1"/>
    <cacheHierarchy uniqueName="[CapacityPlanTY].[DWSourceKey]" caption="DWSourceKey" attribute="1" defaultMemberUniqueName="[CapacityPlanTY].[DWSourceKey].[All]" allUniqueName="[CapacityPlanTY].[DWSourceKey].[All]" dimensionUniqueName="[CapacityPlanTY]" displayFolder="" count="0" unbalanced="0" hidden="1"/>
    <cacheHierarchy uniqueName="[CapacityPlanTY].[ETLDate]" caption="ETLDate" attribute="1" defaultMemberUniqueName="[CapacityPlanTY].[ETLDate].[All]" allUniqueName="[CapacityPlanTY].[ETLDate].[All]" dimensionUniqueName="[CapacityPlanTY]" displayFolder="" count="0" unbalanced="0" hidden="1"/>
    <cacheHierarchy uniqueName="[CapacityPlanTY].[EURExcRate]" caption="EURExcRate" attribute="1" defaultMemberUniqueName="[CapacityPlanTY].[EURExcRate].[All]" allUniqueName="[CapacityPlanTY].[EURExcRate].[All]" dimensionUniqueName="[CapacityPlanTY]" displayFolder="" count="0" unbalanced="0" hidden="1"/>
    <cacheHierarchy uniqueName="[CapacityPlanTY].[LFLPlanAvgStoreStockCostLC]" caption="LFLPlanAvgStoreStockCostLC" attribute="1" defaultMemberUniqueName="[CapacityPlanTY].[LFLPlanAvgStoreStockCostLC].[All]" allUniqueName="[CapacityPlanTY].[LFLPlanAvgStoreStockCostLC].[All]" dimensionUniqueName="[CapacityPlanTY]" displayFolder="" count="0" unbalanced="0" hidden="1"/>
    <cacheHierarchy uniqueName="[CapacityPlanTY].[LFLPlanAvgStoreStockUnit]" caption="LFLPlanAvgStoreStockUnit" attribute="1" defaultMemberUniqueName="[CapacityPlanTY].[LFLPlanAvgStoreStockUnit].[All]" allUniqueName="[CapacityPlanTY].[LFLPlanAvgStoreStockUnit].[All]" dimensionUniqueName="[CapacityPlanTY]" displayFolder="" count="0" unbalanced="0" hidden="1"/>
    <cacheHierarchy uniqueName="[CapacityPlanTY].[LocationCurrencyCode]" caption="LocationCurrencyCode" attribute="1" defaultMemberUniqueName="[CapacityPlanTY].[LocationCurrencyCode].[All]" allUniqueName="[CapacityPlanTY].[LocationCurrencyCode].[All]" dimensionUniqueName="[CapacityPlanTY]" displayFolder="" count="0" unbalanced="0" hidden="1"/>
    <cacheHierarchy uniqueName="[CapacityPlanTY].[LocationKey]" caption="LocationKey" attribute="1" defaultMemberUniqueName="[CapacityPlanTY].[LocationKey].[All]" allUniqueName="[CapacityPlanTY].[LocationKey].[All]" dimensionUniqueName="[CapacityPlanTY]" displayFolder="" count="0" unbalanced="0" hidden="1"/>
    <cacheHierarchy uniqueName="[CapacityPlanTY].[MainGroupCode]" caption="MainGroupCode" attribute="1" defaultMemberUniqueName="[CapacityPlanTY].[MainGroupCode].[All]" allUniqueName="[CapacityPlanTY].[MainGroupCode].[All]" dimensionUniqueName="[CapacityPlanTY]" displayFolder="" count="0" unbalanced="0" hidden="1"/>
    <cacheHierarchy uniqueName="[CapacityPlanTY].[MaterialKey]" caption="MaterialKey" attribute="1" defaultMemberUniqueName="[CapacityPlanTY].[MaterialKey].[All]" allUniqueName="[CapacityPlanTY].[MaterialKey].[All]" dimensionUniqueName="[CapacityPlanTY]" displayFolder="" count="0" unbalanced="0" hidden="1"/>
    <cacheHierarchy uniqueName="[CapacityPlanTY].[PlanAvgStoreStockCostLC]" caption="PlanAvgStoreStockCostLC" attribute="1" defaultMemberUniqueName="[CapacityPlanTY].[PlanAvgStoreStockCostLC].[All]" allUniqueName="[CapacityPlanTY].[PlanAvgStoreStockCostLC].[All]" dimensionUniqueName="[CapacityPlanTY]" displayFolder="" count="0" unbalanced="0" hidden="1"/>
    <cacheHierarchy uniqueName="[CapacityPlanTY].[PlanAvgStoreStockUnit]" caption="PlanAvgStoreStockUnit" attribute="1" defaultMemberUniqueName="[CapacityPlanTY].[PlanAvgStoreStockUnit].[All]" allUniqueName="[CapacityPlanTY].[PlanAvgStoreStockUnit].[All]" dimensionUniqueName="[CapacityPlanTY]" displayFolder="" count="0" unbalanced="0" hidden="1"/>
    <cacheHierarchy uniqueName="[CapacityPlanTY].[SalesChannelKey]" caption="SalesChannelKey" attribute="1" defaultMemberUniqueName="[CapacityPlanTY].[SalesChannelKey].[All]" allUniqueName="[CapacityPlanTY].[SalesChannelKey].[All]" dimensionUniqueName="[CapacityPlanTY]" displayFolder="" count="0" unbalanced="0" hidden="1"/>
    <cacheHierarchy uniqueName="[CapacityPlanTY].[SalesOrgCode]" caption="SalesOrgCode" attribute="1" defaultMemberUniqueName="[CapacityPlanTY].[SalesOrgCode].[All]" allUniqueName="[CapacityPlanTY].[SalesOrgCode].[All]" dimensionUniqueName="[CapacityPlanTY]" displayFolder="" count="0" unbalanced="0" hidden="1"/>
    <cacheHierarchy uniqueName="[CapacityPlanTY].[SubDistChannelKey]" caption="SubDistChannelKey" attribute="1" defaultMemberUniqueName="[CapacityPlanTY].[SubDistChannelKey].[All]" allUniqueName="[CapacityPlanTY].[SubDistChannelKey].[All]" dimensionUniqueName="[CapacityPlanTY]" displayFolder="" count="0" unbalanced="0" hidden="1"/>
    <cacheHierarchy uniqueName="[CapacityPlanTY].[SubGroupCode]" caption="SubGroupCode" attribute="1" defaultMemberUniqueName="[CapacityPlanTY].[SubGroupCode].[All]" allUniqueName="[CapacityPlanTY].[SubGroupCode].[All]" dimensionUniqueName="[CapacityPlanTY]" displayFolder="" count="0" unbalanced="0" hidden="1"/>
    <cacheHierarchy uniqueName="[CapacityPlanTY].[TRYExcRate]" caption="TRYExcRate" attribute="1" defaultMemberUniqueName="[CapacityPlanTY].[TRYExcRate].[All]" allUniqueName="[CapacityPlanTY].[TRYExcRate].[All]" dimensionUniqueName="[CapacityPlanTY]" displayFolder="" count="0" unbalanced="0" hidden="1"/>
    <cacheHierarchy uniqueName="[CapacityPlanTY].[USDExcRate]" caption="USDExcRate" attribute="1" defaultMemberUniqueName="[CapacityPlanTY].[USDExcRate].[All]" allUniqueName="[CapacityPlanTY].[USDExcRate].[All]" dimensionUniqueName="[CapacityPlanTY]" displayFolder="" count="0" unbalanced="0" hidden="1"/>
    <cacheHierarchy uniqueName="[CapacityPlanTY].[YearMonth]" caption="YearMonth" attribute="1" defaultMemberUniqueName="[CapacityPlanTY].[YearMonth].[All]" allUniqueName="[CapacityPlanTY].[YearMonth].[All]" dimensionUniqueName="[CapacityPlanTY]" displayFolder="" count="0" unbalanced="0" hidden="1"/>
    <cacheHierarchy uniqueName="[CurrentStockSales].[BanProfit]" caption="BanProfit" attribute="1" defaultMemberUniqueName="[CurrentStockSales].[BanProfit].[All]" allUniqueName="[CurrentStockSales].[BanProfit].[All]" dimensionUniqueName="[CurrentStockSales]" displayFolder="" count="0" unbalanced="0" hidden="1"/>
    <cacheHierarchy uniqueName="[CurrentStockSales].[CumStockDM3]" caption="CumStockDM3" attribute="1" defaultMemberUniqueName="[CurrentStockSales].[CumStockDM3].[All]" allUniqueName="[CurrentStockSales].[CumStockDM3].[All]" dimensionUniqueName="[CurrentStockSales]" displayFolder="" count="0" unbalanced="0" hidden="1"/>
    <cacheHierarchy uniqueName="[CurrentStockSales].[CumStokUnit]" caption="CumStokUnit" attribute="1" defaultMemberUniqueName="[CurrentStockSales].[CumStokUnit].[All]" allUniqueName="[CurrentStockSales].[CumStokUnit].[All]" dimensionUniqueName="[CurrentStockSales]" displayFolder="" count="0" unbalanced="0" hidden="1"/>
    <cacheHierarchy uniqueName="[CurrentStockSales].[CUROpenTransferStoreStockUnit]" caption="CUROpenTransferStoreStockUnit" attribute="1" defaultMemberUniqueName="[CurrentStockSales].[CUROpenTransferStoreStockUnit].[All]" allUniqueName="[CurrentStockSales].[CUROpenTransferStoreStockUnit].[All]" dimensionUniqueName="[CurrentStockSales]" displayFolder="" count="0" unbalanced="0" hidden="1"/>
    <cacheHierarchy uniqueName="[CurrentStockSales].[CURUnapprovedOrderStoreStockUnit]" caption="CURUnapprovedOrderStoreStockUnit" attribute="1" defaultMemberUniqueName="[CurrentStockSales].[CURUnapprovedOrderStoreStockUnit].[All]" allUniqueName="[CurrentStockSales].[CURUnapprovedOrderStoreStockUnit].[All]" dimensionUniqueName="[CurrentStockSales]" displayFolder="" count="0" unbalanced="0" hidden="1"/>
    <cacheHierarchy uniqueName="[CurrentStockSales].[GrossProfit007]" caption="GrossProfit007" attribute="1" defaultMemberUniqueName="[CurrentStockSales].[GrossProfit007].[All]" allUniqueName="[CurrentStockSales].[GrossProfit007].[All]" dimensionUniqueName="[CurrentStockSales]" displayFolder="" count="0" unbalanced="0" hidden="1"/>
    <cacheHierarchy uniqueName="[CurrentStockSales].[GrossProfit021]" caption="GrossProfit021" attribute="1" defaultMemberUniqueName="[CurrentStockSales].[GrossProfit021].[All]" allUniqueName="[CurrentStockSales].[GrossProfit021].[All]" dimensionUniqueName="[CurrentStockSales]" displayFolder="" count="0" unbalanced="0" hidden="1"/>
    <cacheHierarchy uniqueName="[CurrentStockSales].[LivingArea]" caption="LivingArea" attribute="1" defaultMemberUniqueName="[CurrentStockSales].[LivingArea].[All]" allUniqueName="[CurrentStockSales].[LivingArea].[All]" dimensionUniqueName="[CurrentStockSales]" displayFolder="" count="0" unbalanced="0" hidden="1"/>
    <cacheHierarchy uniqueName="[CurrentStockSales].[MainGroupCode]" caption="MainGroupCode" attribute="1" defaultMemberUniqueName="[CurrentStockSales].[MainGroupCode].[All]" allUniqueName="[CurrentStockSales].[MainGroupCode].[All]" dimensionUniqueName="[CurrentStockSales]" displayFolder="" count="0" unbalanced="0" hidden="1"/>
    <cacheHierarchy uniqueName="[CurrentStockSales].[Marj_w1]" caption="Marj_w1" attribute="1" defaultMemberUniqueName="[CurrentStockSales].[Marj_w1].[All]" allUniqueName="[CurrentStockSales].[Marj_w1].[All]" dimensionUniqueName="[CurrentStockSales]" displayFolder="" count="0" unbalanced="0" hidden="1"/>
    <cacheHierarchy uniqueName="[CurrentStockSales].[Marj_w3]" caption="Marj_w3" attribute="1" defaultMemberUniqueName="[CurrentStockSales].[Marj_w3].[All]" allUniqueName="[CurrentStockSales].[Marj_w3].[All]" dimensionUniqueName="[CurrentStockSales]" displayFolder="" count="0" unbalanced="0" hidden="1"/>
    <cacheHierarchy uniqueName="[CurrentStockSales].[MaterialCode]" caption="MaterialCode" attribute="1" defaultMemberUniqueName="[CurrentStockSales].[MaterialCode].[All]" allUniqueName="[CurrentStockSales].[MaterialCode].[All]" dimensionUniqueName="[CurrentStockSales]" displayFolder="" count="0" unbalanced="0" hidden="1"/>
    <cacheHierarchy uniqueName="[CurrentStockSales].[MaterialDm3]" caption="MaterialDm3" attribute="1" defaultMemberUniqueName="[CurrentStockSales].[MaterialDm3].[All]" allUniqueName="[CurrentStockSales].[MaterialDm3].[All]" dimensionUniqueName="[CurrentStockSales]" displayFolder="" count="0" unbalanced="0" hidden="1"/>
    <cacheHierarchy uniqueName="[CurrentStockSales].[MaterialKey]" caption="MaterialKey" attribute="1" defaultMemberUniqueName="[CurrentStockSales].[MaterialKey].[All]" allUniqueName="[CurrentStockSales].[MaterialKey].[All]" dimensionUniqueName="[CurrentStockSales]" displayFolder="" count="0" unbalanced="0" hidden="1"/>
    <cacheHierarchy uniqueName="[CurrentStockSales].[NetCumStockDM3]" caption="NetCumStockDM3" attribute="1" defaultMemberUniqueName="[CurrentStockSales].[NetCumStockDM3].[All]" allUniqueName="[CurrentStockSales].[NetCumStockDM3].[All]" dimensionUniqueName="[CurrentStockSales]" displayFolder="" count="0" unbalanced="0" hidden="1"/>
    <cacheHierarchy uniqueName="[CurrentStockSales].[NetCumStokUnit]" caption="NetCumStokUnit" attribute="1" defaultMemberUniqueName="[CurrentStockSales].[NetCumStokUnit].[All]" allUniqueName="[CurrentStockSales].[NetCumStokUnit].[All]" dimensionUniqueName="[CurrentStockSales]" displayFolder="" count="0" unbalanced="0" hidden="1"/>
    <cacheHierarchy uniqueName="[CurrentStockSales].[QtyInBox]" caption="QtyInBox" attribute="1" defaultMemberUniqueName="[CurrentStockSales].[QtyInBox].[All]" allUniqueName="[CurrentStockSales].[QtyInBox].[All]" dimensionUniqueName="[CurrentStockSales]" displayFolder="" count="0" unbalanced="0" hidden="1"/>
    <cacheHierarchy uniqueName="[CurrentStockSales].[SalesUnit007]" caption="SalesUnit007" attribute="1" defaultMemberUniqueName="[CurrentStockSales].[SalesUnit007].[All]" allUniqueName="[CurrentStockSales].[SalesUnit007].[All]" dimensionUniqueName="[CurrentStockSales]" displayFolder="" count="0" unbalanced="0" hidden="1"/>
    <cacheHierarchy uniqueName="[CurrentStockSales].[SalesUnit021]" caption="SalesUnit021" attribute="1" defaultMemberUniqueName="[CurrentStockSales].[SalesUnit021].[All]" allUniqueName="[CurrentStockSales].[SalesUnit021].[All]" dimensionUniqueName="[CurrentStockSales]" displayFolder="" count="0" unbalanced="0" hidden="1"/>
    <cacheHierarchy uniqueName="[CurrentStockSales].[SalesValue007]" caption="SalesValue007" attribute="1" defaultMemberUniqueName="[CurrentStockSales].[SalesValue007].[All]" allUniqueName="[CurrentStockSales].[SalesValue007].[All]" dimensionUniqueName="[CurrentStockSales]" displayFolder="" count="0" unbalanced="0" hidden="1"/>
    <cacheHierarchy uniqueName="[CurrentStockSales].[SalesValue021]" caption="SalesValue021" attribute="1" defaultMemberUniqueName="[CurrentStockSales].[SalesValue021].[All]" allUniqueName="[CurrentStockSales].[SalesValue021].[All]" dimensionUniqueName="[CurrentStockSales]" displayFolder="" count="0" unbalanced="0" hidden="1"/>
    <cacheHierarchy uniqueName="[CurrentStockSales].[StockBufferFactor]" caption="StockBufferFactor" attribute="1" defaultMemberUniqueName="[CurrentStockSales].[StockBufferFactor].[All]" allUniqueName="[CurrentStockSales].[StockBufferFactor].[All]" dimensionUniqueName="[CurrentStockSales]" displayFolder="" count="0" unbalanced="0" hidden="1"/>
    <cacheHierarchy uniqueName="[CurrentStockSales].[StoreCode]" caption="StoreCode" attribute="1" defaultMemberUniqueName="[CurrentStockSales].[StoreCode].[All]" allUniqueName="[CurrentStockSales].[StoreCode].[All]" dimensionUniqueName="[CurrentStockSales]" displayFolder="" count="0" unbalanced="0" hidden="1"/>
    <cacheHierarchy uniqueName="[CurrentStockSales].[StoreStockUnit]" caption="StoreStockUnit" attribute="1" defaultMemberUniqueName="[CurrentStockSales].[StoreStockUnit].[All]" allUniqueName="[CurrentStockSales].[StoreStockUnit].[All]" dimensionUniqueName="[CurrentStockSales]" displayFolder="" count="0" unbalanced="0" hidden="1"/>
    <cacheHierarchy uniqueName="[CurrentStockSales].[StoreTransitStockUnit]" caption="StoreTransitStockUnit" attribute="1" defaultMemberUniqueName="[CurrentStockSales].[StoreTransitStockUnit].[All]" allUniqueName="[CurrentStockSales].[StoreTransitStockUnit].[All]" dimensionUniqueName="[CurrentStockSales]" displayFolder="" count="0" unbalanced="0" hidden="1"/>
    <cacheHierarchy uniqueName="[CurrentStockSales].[TRMarj_w1]" caption="TRMarj_w1" attribute="1" defaultMemberUniqueName="[CurrentStockSales].[TRMarj_w1].[All]" allUniqueName="[CurrentStockSales].[TRMarj_w1].[All]" dimensionUniqueName="[CurrentStockSales]" displayFolder="" count="0" unbalanced="0" hidden="1"/>
    <cacheHierarchy uniqueName="[CurrentStockSales].[TRMarj_w3]" caption="TRMarj_w3" attribute="1" defaultMemberUniqueName="[CurrentStockSales].[TRMarj_w3].[All]" allUniqueName="[CurrentStockSales].[TRMarj_w3].[All]" dimensionUniqueName="[CurrentStockSales]" displayFolder="" count="0" unbalanced="0" hidden="1"/>
    <cacheHierarchy uniqueName="[CurrentStockSales].[WeeklyAvgSales]" caption="WeeklyAvgSales" attribute="1" defaultMemberUniqueName="[CurrentStockSales].[WeeklyAvgSales].[All]" allUniqueName="[CurrentStockSales].[WeeklyAvgSales].[All]" dimensionUniqueName="[CurrentStockSales]" displayFolder="" count="0" unbalanced="0" hidden="1"/>
    <cacheHierarchy uniqueName="[CurrentStockStore].[CompanyUnitCost]" caption="CompanyUnitCost" attribute="1" defaultMemberUniqueName="[CurrentStockStore].[CompanyUnitCost].[All]" allUniqueName="[CurrentStockStore].[CompanyUnitCost].[All]" dimensionUniqueName="[CurrentStockStore]" displayFolder="" count="0" unbalanced="0" hidden="1"/>
    <cacheHierarchy uniqueName="[CurrentStockStore].[EURExcRate]" caption="EURExcRate" attribute="1" defaultMemberUniqueName="[CurrentStockStore].[EURExcRate].[All]" allUniqueName="[CurrentStockStore].[EURExcRate].[All]" dimensionUniqueName="[CurrentStockStore]" displayFolder="" count="0" unbalanced="0" hidden="1"/>
    <cacheHierarchy uniqueName="[CurrentStockStore].[InitialSalesPriceID]" caption="InitialSalesPriceID" attribute="1" defaultMemberUniqueName="[CurrentStockStore].[InitialSalesPriceID].[All]" allUniqueName="[CurrentStockStore].[InitialSalesPriceID].[All]" dimensionUniqueName="[CurrentStockStore]" displayFolder="" count="0" unbalanced="0" hidden="1"/>
    <cacheHierarchy uniqueName="[CurrentStockStore].[ISPLCPriceVAT]" caption="ISPLCPriceVAT" attribute="1" defaultMemberUniqueName="[CurrentStockStore].[ISPLCPriceVAT].[All]" allUniqueName="[CurrentStockStore].[ISPLCPriceVAT].[All]" dimensionUniqueName="[CurrentStockStore]" displayFolder="" count="0" unbalanced="0" hidden="1"/>
    <cacheHierarchy uniqueName="[CurrentStockStore].[LCExcRate]" caption="LCExcRate" attribute="1" defaultMemberUniqueName="[CurrentStockStore].[LCExcRate].[All]" allUniqueName="[CurrentStockStore].[LCExcRate].[All]" dimensionUniqueName="[CurrentStockStore]" displayFolder="" count="0" unbalanced="0" hidden="1"/>
    <cacheHierarchy uniqueName="[CurrentStockStore].[LFLFactor]" caption="LFLFactor" attribute="1" defaultMemberUniqueName="[CurrentStockStore].[LFLFactor].[All]" allUniqueName="[CurrentStockStore].[LFLFactor].[All]" dimensionUniqueName="[CurrentStockStore]" displayFolder="" count="0" unbalanced="0" hidden="1"/>
    <cacheHierarchy uniqueName="[CurrentStockStore].[LocationKey]" caption="LocationKey" attribute="1" defaultMemberUniqueName="[CurrentStockStore].[LocationKey].[All]" allUniqueName="[CurrentStockStore].[LocationKey].[All]" dimensionUniqueName="[CurrentStockStore]" displayFolder="" count="0" unbalanced="0" hidden="1"/>
    <cacheHierarchy uniqueName="[CurrentStockStore].[MaterialKey]" caption="MaterialKey" attribute="1" defaultMemberUniqueName="[CurrentStockStore].[MaterialKey].[All]" allUniqueName="[CurrentStockStore].[MaterialKey].[All]" dimensionUniqueName="[CurrentStockStore]" displayFolder="" count="0" unbalanced="0" hidden="1"/>
    <cacheHierarchy uniqueName="[CurrentStockStore].[OtherStockUnit]" caption="OtherStockUnit" attribute="1" defaultMemberUniqueName="[CurrentStockStore].[OtherStockUnit].[All]" allUniqueName="[CurrentStockStore].[OtherStockUnit].[All]" dimensionUniqueName="[CurrentStockStore]" displayFolder="" count="0" unbalanced="0" hidden="1"/>
    <cacheHierarchy uniqueName="[CurrentStockStore].[OutletID]" caption="OutletID" attribute="1" defaultMemberUniqueName="[CurrentStockStore].[OutletID].[All]" allUniqueName="[CurrentStockStore].[OutletID].[All]" dimensionUniqueName="[CurrentStockStore]" displayFolder="" count="0" unbalanced="0" hidden="1"/>
    <cacheHierarchy uniqueName="[CurrentStockStore].[SalesChannelKey]" caption="SalesChannelKey" attribute="1" defaultMemberUniqueName="[CurrentStockStore].[SalesChannelKey].[All]" allUniqueName="[CurrentStockStore].[SalesChannelKey].[All]" dimensionUniqueName="[CurrentStockStore]" displayFolder="" count="0" unbalanced="0" hidden="1"/>
    <cacheHierarchy uniqueName="[CurrentStockStore].[SalesSeasonID]" caption="SalesSeasonID" attribute="1" defaultMemberUniqueName="[CurrentStockStore].[SalesSeasonID].[All]" allUniqueName="[CurrentStockStore].[SalesSeasonID].[All]" dimensionUniqueName="[CurrentStockStore]" displayFolder="" count="0" unbalanced="0" hidden="1"/>
    <cacheHierarchy uniqueName="[CurrentStockStore].[StockDate]" caption="StockDate" attribute="1" defaultMemberUniqueName="[CurrentStockStore].[StockDate].[All]" allUniqueName="[CurrentStockStore].[StockDate].[All]" dimensionUniqueName="[CurrentStockStore]" displayFolder="" count="0" unbalanced="0" hidden="1"/>
    <cacheHierarchy uniqueName="[CurrentStockStore].[StockUnit]" caption="StockUnit" attribute="1" defaultMemberUniqueName="[CurrentStockStore].[StockUnit].[All]" allUniqueName="[CurrentStockStore].[StockUnit].[All]" dimensionUniqueName="[CurrentStockStore]" displayFolder="" count="0" unbalanced="0" hidden="1"/>
    <cacheHierarchy uniqueName="[CurrentStockStore].[TransitStockUnit]" caption="TransitStockUnit" attribute="1" defaultMemberUniqueName="[CurrentStockStore].[TransitStockUnit].[All]" allUniqueName="[CurrentStockStore].[TransitStockUnit].[All]" dimensionUniqueName="[CurrentStockStore]" displayFolder="" count="0" unbalanced="0" hidden="1"/>
    <cacheHierarchy uniqueName="[CurrentStockStore].[TRYExcRate]" caption="TRYExcRate" attribute="1" defaultMemberUniqueName="[CurrentStockStore].[TRYExcRate].[All]" allUniqueName="[CurrentStockStore].[TRYExcRate].[All]" dimensionUniqueName="[CurrentStockStore]" displayFolder="" count="0" unbalanced="0" hidden="1"/>
    <cacheHierarchy uniqueName="[CurrentStockStore].[UnitCost]" caption="UnitCost" attribute="1" defaultMemberUniqueName="[CurrentStockStore].[UnitCost].[All]" allUniqueName="[CurrentStockStore].[UnitCost].[All]" dimensionUniqueName="[CurrentStockStore]" displayFolder="" count="0" unbalanced="0" hidden="1"/>
    <cacheHierarchy uniqueName="[CurrentStockStore].[USDExcRate]" caption="USDExcRate" attribute="1" defaultMemberUniqueName="[CurrentStockStore].[USDExcRate].[All]" allUniqueName="[CurrentStockStore].[USDExcRate].[All]" dimensionUniqueName="[CurrentStockStore]" displayFolder="" count="0" unbalanced="0" hidden="1"/>
    <cacheHierarchy uniqueName="[Delivery].[DeliveryBudget]" caption="DeliveryBudget" attribute="1" defaultMemberUniqueName="[Delivery].[DeliveryBudget].[All]" allUniqueName="[Delivery].[DeliveryBudget].[All]" dimensionUniqueName="[Delivery]" displayFolder="" count="0" unbalanced="0" hidden="1"/>
    <cacheHierarchy uniqueName="[Delivery].[DeliveryQty]" caption="DeliveryQty" attribute="1" defaultMemberUniqueName="[Delivery].[DeliveryQty].[All]" allUniqueName="[Delivery].[DeliveryQty].[All]" dimensionUniqueName="[Delivery]" displayFolder="" count="0" unbalanced="0" hidden="1"/>
    <cacheHierarchy uniqueName="[Delivery].[FirstDayofMonth]" caption="FirstDayofMonth" attribute="1" defaultMemberUniqueName="[Delivery].[FirstDayofMonth].[All]" allUniqueName="[Delivery].[FirstDayofMonth].[All]" dimensionUniqueName="[Delivery]" displayFolder="" count="0" unbalanced="0" hidden="1"/>
    <cacheHierarchy uniqueName="[Delivery].[MaterialKey]" caption="MaterialKey" attribute="1" defaultMemberUniqueName="[Delivery].[MaterialKey].[All]" allUniqueName="[Delivery].[MaterialKey].[All]" dimensionUniqueName="[Delivery]" displayFolder="" count="0" unbalanced="0" hidden="1"/>
    <cacheHierarchy uniqueName="[Delivery].[Month]" caption="Month" attribute="1" defaultMemberUniqueName="[Delivery].[Month].[All]" allUniqueName="[Delivery].[Month].[All]" dimensionUniqueName="[Delivery]" displayFolder="" count="0" unbalanced="0" hidden="1"/>
    <cacheHierarchy uniqueName="[Delivery].[Year]" caption="Year" attribute="1" defaultMemberUniqueName="[Delivery].[Year].[All]" allUniqueName="[Delivery].[Year].[All]" dimensionUniqueName="[Delivery]" displayFolder="" count="0" unbalanced="0" hidden="1"/>
    <cacheHierarchy uniqueName="[ISPUnitPrice].[ISPUnitPriceKey]" caption="ISPUnitPriceKey" attribute="1" defaultMemberUniqueName="[ISPUnitPrice].[ISPUnitPriceKey].[All]" allUniqueName="[ISPUnitPrice].[ISPUnitPriceKey].[All]" dimensionUniqueName="[ISPUnitPrice]" displayFolder="" count="0" unbalanced="0" hidden="1"/>
    <cacheHierarchy uniqueName="[KPI].[Ly]" caption="Ly" attribute="1" defaultMemberUniqueName="[KPI].[Ly].[All]" allUniqueName="[KPI].[Ly].[All]" dimensionUniqueName="[KPI]" displayFolder="" count="0" unbalanced="0" hidden="1"/>
    <cacheHierarchy uniqueName="[KPI].[Ly_LC]" caption="Ly_LC" attribute="1" defaultMemberUniqueName="[KPI].[Ly_LC].[All]" allUniqueName="[KPI].[Ly_LC].[All]" dimensionUniqueName="[KPI]" displayFolder="" count="0" unbalanced="0" hidden="1"/>
    <cacheHierarchy uniqueName="[KPI].[Ly_TRY]" caption="Ly_TRY" attribute="1" defaultMemberUniqueName="[KPI].[Ly_TRY].[All]" allUniqueName="[KPI].[Ly_TRY].[All]" dimensionUniqueName="[KPI]" displayFolder="" count="0" unbalanced="0" hidden="1"/>
    <cacheHierarchy uniqueName="[KPI].[Ly_USD]" caption="Ly_USD" attribute="1" defaultMemberUniqueName="[KPI].[Ly_USD].[All]" allUniqueName="[KPI].[Ly_USD].[All]" dimensionUniqueName="[KPI]" displayFolder="" count="0" unbalanced="0" hidden="1"/>
    <cacheHierarchy uniqueName="[KPI].[LyLFL]" caption="LyLFL" attribute="1" defaultMemberUniqueName="[KPI].[LyLFL].[All]" allUniqueName="[KPI].[LyLFL].[All]" dimensionUniqueName="[KPI]" displayFolder="" count="0" unbalanced="0" hidden="1"/>
    <cacheHierarchy uniqueName="[KPI].[LyLFL_LC]" caption="LyLFL_LC" attribute="1" defaultMemberUniqueName="[KPI].[LyLFL_LC].[All]" allUniqueName="[KPI].[LyLFL_LC].[All]" dimensionUniqueName="[KPI]" displayFolder="" count="0" unbalanced="0" hidden="1"/>
    <cacheHierarchy uniqueName="[KPI].[LyLFL_TRY]" caption="LyLFL_TRY" attribute="1" defaultMemberUniqueName="[KPI].[LyLFL_TRY].[All]" allUniqueName="[KPI].[LyLFL_TRY].[All]" dimensionUniqueName="[KPI]" displayFolder="" count="0" unbalanced="0" hidden="1"/>
    <cacheHierarchy uniqueName="[KPI].[LyLFL_USD]" caption="LyLFL_USD" attribute="1" defaultMemberUniqueName="[KPI].[LyLFL_USD].[All]" allUniqueName="[KPI].[LyLFL_USD].[All]" dimensionUniqueName="[KPI]" displayFolder="" count="0" unbalanced="0" hidden="1"/>
    <cacheHierarchy uniqueName="[KPI].[MeasureBlokLY02]" caption="MeasureBlokLY02" attribute="1" defaultMemberUniqueName="[KPI].[MeasureBlokLY02].[All]" allUniqueName="[KPI].[MeasureBlokLY02].[All]" dimensionUniqueName="[KPI]" displayFolder="" count="0" unbalanced="0" hidden="1"/>
    <cacheHierarchy uniqueName="[KPI].[MeasureBlokLYLFL04]" caption="MeasureBlokLYLFL04" attribute="1" defaultMemberUniqueName="[KPI].[MeasureBlokLYLFL04].[All]" allUniqueName="[KPI].[MeasureBlokLYLFL04].[All]" dimensionUniqueName="[KPI]" displayFolder="" count="0" unbalanced="0" hidden="1"/>
    <cacheHierarchy uniqueName="[KPI].[MeasureBlokTY01]" caption="MeasureBlokTY01" attribute="1" defaultMemberUniqueName="[KPI].[MeasureBlokTY01].[All]" allUniqueName="[KPI].[MeasureBlokTY01].[All]" dimensionUniqueName="[KPI]" displayFolder="" count="0" unbalanced="0" hidden="1"/>
    <cacheHierarchy uniqueName="[KPI].[MeasureBlokTYLFL03]" caption="MeasureBlokTYLFL03" attribute="1" defaultMemberUniqueName="[KPI].[MeasureBlokTYLFL03].[All]" allUniqueName="[KPI].[MeasureBlokTYLFL03].[All]" dimensionUniqueName="[KPI]" displayFolder="" count="0" unbalanced="0" hidden="1"/>
    <cacheHierarchy uniqueName="[KPI].[ProcessTime]" caption="ProcessTime" attribute="1" defaultMemberUniqueName="[KPI].[ProcessTime].[All]" allUniqueName="[KPI].[ProcessTime].[All]" dimensionUniqueName="[KPI]" displayFolder="" count="0" unbalanced="0" hidden="1"/>
    <cacheHierarchy uniqueName="[KPI].[Ty]" caption="Ty" attribute="1" defaultMemberUniqueName="[KPI].[Ty].[All]" allUniqueName="[KPI].[Ty].[All]" dimensionUniqueName="[KPI]" displayFolder="" count="0" unbalanced="0" hidden="1"/>
    <cacheHierarchy uniqueName="[KPI].[Ty_LC]" caption="Ty_LC" attribute="1" defaultMemberUniqueName="[KPI].[Ty_LC].[All]" allUniqueName="[KPI].[Ty_LC].[All]" dimensionUniqueName="[KPI]" displayFolder="" count="0" unbalanced="0" hidden="1"/>
    <cacheHierarchy uniqueName="[KPI].[Ty_TRY]" caption="Ty_TRY" attribute="1" defaultMemberUniqueName="[KPI].[Ty_TRY].[All]" allUniqueName="[KPI].[Ty_TRY].[All]" dimensionUniqueName="[KPI]" displayFolder="" count="0" unbalanced="0" hidden="1"/>
    <cacheHierarchy uniqueName="[KPI].[Ty_USD]" caption="Ty_USD" attribute="1" defaultMemberUniqueName="[KPI].[Ty_USD].[All]" allUniqueName="[KPI].[Ty_USD].[All]" dimensionUniqueName="[KPI]" displayFolder="" count="0" unbalanced="0" hidden="1"/>
    <cacheHierarchy uniqueName="[KPI].[TyLfl]" caption="TyLfl" attribute="1" defaultMemberUniqueName="[KPI].[TyLfl].[All]" allUniqueName="[KPI].[TyLfl].[All]" dimensionUniqueName="[KPI]" displayFolder="" count="0" unbalanced="0" hidden="1"/>
    <cacheHierarchy uniqueName="[KPI].[TyLfl_LC]" caption="TyLfl_LC" attribute="1" defaultMemberUniqueName="[KPI].[TyLfl_LC].[All]" allUniqueName="[KPI].[TyLfl_LC].[All]" dimensionUniqueName="[KPI]" displayFolder="" count="0" unbalanced="0" hidden="1"/>
    <cacheHierarchy uniqueName="[KPI].[TyLfl_TRY]" caption="TyLfl_TRY" attribute="1" defaultMemberUniqueName="[KPI].[TyLfl_TRY].[All]" allUniqueName="[KPI].[TyLfl_TRY].[All]" dimensionUniqueName="[KPI]" displayFolder="" count="0" unbalanced="0" hidden="1"/>
    <cacheHierarchy uniqueName="[KPI].[TyLfl_USD]" caption="TyLfl_USD" attribute="1" defaultMemberUniqueName="[KPI].[TyLfl_USD].[All]" allUniqueName="[KPI].[TyLfl_USD].[All]" dimensionUniqueName="[KPI]" displayFolder="" count="0" unbalanced="0" hidden="1"/>
    <cacheHierarchy uniqueName="[LFLDate].[LFLDate]" caption="LFLDate" attribute="1" defaultMemberUniqueName="[LFLDate].[LFLDate].[All]" allUniqueName="[LFLDate].[LFLDate].[All]" dimensionUniqueName="[LFLDate]" displayFolder="" count="0" unbalanced="0" hidden="1"/>
    <cacheHierarchy uniqueName="[LFLDate].[SalesChannelKey]" caption="SalesChannelKey" attribute="1" defaultMemberUniqueName="[LFLDate].[SalesChannelKey].[All]" allUniqueName="[LFLDate].[SalesChannelKey].[All]" dimensionUniqueName="[LFLDate]" displayFolder="" count="0" unbalanced="0" hidden="1"/>
    <cacheHierarchy uniqueName="[LFLDate].[SCKeyLFLDate]" caption="SCKeyLFLDate" attribute="1" defaultMemberUniqueName="[LFLDate].[SCKeyLFLDate].[All]" allUniqueName="[LFLDate].[SCKeyLFLDate].[All]" dimensionUniqueName="[LFLDate]" displayFolder="" count="0" unbalanced="0" hidden="1"/>
    <cacheHierarchy uniqueName="[LFLDate].[TYDate]" caption="TYDate" attribute="1" defaultMemberUniqueName="[LFLDate].[TYDate].[All]" allUniqueName="[LFLDate].[TYDate].[All]" dimensionUniqueName="[LFLDate]" displayFolder="" count="0" unbalanced="0" hidden="1"/>
    <cacheHierarchy uniqueName="[OpenImportsDCStock].[AvailableStockUnit]" caption="AvailableStockUnit" attribute="1" defaultMemberUniqueName="[OpenImportsDCStock].[AvailableStockUnit].[All]" allUniqueName="[OpenImportsDCStock].[AvailableStockUnit].[All]" dimensionUniqueName="[OpenImportsDCStock]" displayFolder="" count="0" unbalanced="0" hidden="1"/>
    <cacheHierarchy uniqueName="[OpenImportsDCStock].[BufferStockUnit]" caption="BufferStockUnit" attribute="1" defaultMemberUniqueName="[OpenImportsDCStock].[BufferStockUnit].[All]" allUniqueName="[OpenImportsDCStock].[BufferStockUnit].[All]" dimensionUniqueName="[OpenImportsDCStock]" displayFolder="" count="0" unbalanced="0" hidden="1"/>
    <cacheHierarchy uniqueName="[OpenImportsDCStock].[CUROpenImportsDCStockUnit]" caption="CUROpenImportsDCStockUnit" attribute="1" defaultMemberUniqueName="[OpenImportsDCStock].[CUROpenImportsDCStockUnit].[All]" allUniqueName="[OpenImportsDCStock].[CUROpenImportsDCStockUnit].[All]" dimensionUniqueName="[OpenImportsDCStock]" displayFolder="" count="0" unbalanced="0" hidden="1"/>
    <cacheHierarchy uniqueName="[OpenImportsDCStock].[CUROpenTransferDCStockUnit]" caption="CUROpenTransferDCStockUnit" attribute="1" defaultMemberUniqueName="[OpenImportsDCStock].[CUROpenTransferDCStockUnit].[All]" allUniqueName="[OpenImportsDCStock].[CUROpenTransferDCStockUnit].[All]" dimensionUniqueName="[OpenImportsDCStock]" displayFolder="" count="0" unbalanced="0" hidden="1"/>
    <cacheHierarchy uniqueName="[OpenImportsDCStock].[CURUnapprovedOrderDCStockUnit]" caption="CURUnapprovedOrderDCStockUnit" attribute="1" defaultMemberUniqueName="[OpenImportsDCStock].[CURUnapprovedOrderDCStockUnit].[All]" allUniqueName="[OpenImportsDCStock].[CURUnapprovedOrderDCStockUnit].[All]" dimensionUniqueName="[OpenImportsDCStock]" displayFolder="" count="0" unbalanced="0" hidden="1"/>
    <cacheHierarchy uniqueName="[OpenImportsDCStock].[LocationKey]" caption="LocationKey" attribute="1" defaultMemberUniqueName="[OpenImportsDCStock].[LocationKey].[All]" allUniqueName="[OpenImportsDCStock].[LocationKey].[All]" dimensionUniqueName="[OpenImportsDCStock]" displayFolder="" count="0" unbalanced="0" hidden="1"/>
    <cacheHierarchy uniqueName="[OpenImportsDCStock].[LocationType]" caption="LocationType" attribute="1" defaultMemberUniqueName="[OpenImportsDCStock].[LocationType].[All]" allUniqueName="[OpenImportsDCStock].[LocationType].[All]" dimensionUniqueName="[OpenImportsDCStock]" displayFolder="" count="0" unbalanced="0" hidden="1"/>
    <cacheHierarchy uniqueName="[OpenImportsDCStock].[MaterialKey]" caption="MaterialKey" attribute="1" defaultMemberUniqueName="[OpenImportsDCStock].[MaterialKey].[All]" allUniqueName="[OpenImportsDCStock].[MaterialKey].[All]" dimensionUniqueName="[OpenImportsDCStock]" displayFolder="" count="0" unbalanced="0" hidden="1"/>
    <cacheHierarchy uniqueName="[OpenImportsDCStock].[OpenDeliveryStockUnit]" caption="OpenDeliveryStockUnit" attribute="1" defaultMemberUniqueName="[OpenImportsDCStock].[OpenDeliveryStockUnit].[All]" allUniqueName="[OpenImportsDCStock].[OpenDeliveryStockUnit].[All]" dimensionUniqueName="[OpenImportsDCStock]" displayFolder="" count="0" unbalanced="0" hidden="1"/>
    <cacheHierarchy uniqueName="[OpenImportsDCStock].[OpenOrderStockUnit]" caption="OpenOrderStockUnit" attribute="1" defaultMemberUniqueName="[OpenImportsDCStock].[OpenOrderStockUnit].[All]" allUniqueName="[OpenImportsDCStock].[OpenOrderStockUnit].[All]" dimensionUniqueName="[OpenImportsDCStock]" displayFolder="" count="0" unbalanced="0" hidden="1"/>
    <cacheHierarchy uniqueName="[OpenImportsDCStock].[OpenStoStockUnit]" caption="OpenStoStockUnit" attribute="1" defaultMemberUniqueName="[OpenImportsDCStock].[OpenStoStockUnit].[All]" allUniqueName="[OpenImportsDCStock].[OpenStoStockUnit].[All]" dimensionUniqueName="[OpenImportsDCStock]" displayFolder="" count="0" unbalanced="0" hidden="1"/>
    <cacheHierarchy uniqueName="[OpenImportsDCStock].[RealStockUnit]" caption="RealStockUnit" attribute="1" defaultMemberUniqueName="[OpenImportsDCStock].[RealStockUnit].[All]" allUniqueName="[OpenImportsDCStock].[RealStockUnit].[All]" dimensionUniqueName="[OpenImportsDCStock]" displayFolder="" count="0" unbalanced="0" hidden="1"/>
    <cacheHierarchy uniqueName="[OpenImportsDCStock].[SafetyStockUnit]" caption="SafetyStockUnit" attribute="1" defaultMemberUniqueName="[OpenImportsDCStock].[SafetyStockUnit].[All]" allUniqueName="[OpenImportsDCStock].[SafetyStockUnit].[All]" dimensionUniqueName="[OpenImportsDCStock]" displayFolder="" count="0" unbalanced="0" hidden="1"/>
    <cacheHierarchy uniqueName="[OpenImportsDCStock].[SalesChannelKey]" caption="SalesChannelKey" attribute="1" defaultMemberUniqueName="[OpenImportsDCStock].[SalesChannelKey].[All]" allUniqueName="[OpenImportsDCStock].[SalesChannelKey].[All]" dimensionUniqueName="[OpenImportsDCStock]" displayFolder="" count="0" unbalanced="0" hidden="1"/>
    <cacheHierarchy uniqueName="[OpenImportsDCStock].[StockListKey]" caption="StockListKey" attribute="1" defaultMemberUniqueName="[OpenImportsDCStock].[StockListKey].[All]" allUniqueName="[OpenImportsDCStock].[StockListKey].[All]" dimensionUniqueName="[OpenImportsDCStock]" displayFolder="" count="0" unbalanced="0" hidden="1"/>
    <cacheHierarchy uniqueName="[OpenImportsDCStock].[SubLocationKey]" caption="SubLocationKey" attribute="1" defaultMemberUniqueName="[OpenImportsDCStock].[SubLocationKey].[All]" allUniqueName="[OpenImportsDCStock].[SubLocationKey].[All]" dimensionUniqueName="[OpenImportsDCStock]" displayFolder="" count="0" unbalanced="0" hidden="1"/>
    <cacheHierarchy uniqueName="[OpenImportsStoreStock].[AvailableStockUnit]" caption="AvailableStockUnit" attribute="1" defaultMemberUniqueName="[OpenImportsStoreStock].[AvailableStockUnit].[All]" allUniqueName="[OpenImportsStoreStock].[AvailableStockUnit].[All]" dimensionUniqueName="[OpenImportsStoreStock]" displayFolder="" count="0" unbalanced="0" hidden="1"/>
    <cacheHierarchy uniqueName="[OpenImportsStoreStock].[BufferStockUnit]" caption="BufferStockUnit" attribute="1" defaultMemberUniqueName="[OpenImportsStoreStock].[BufferStockUnit].[All]" allUniqueName="[OpenImportsStoreStock].[BufferStockUnit].[All]" dimensionUniqueName="[OpenImportsStoreStock]" displayFolder="" count="0" unbalanced="0" hidden="1"/>
    <cacheHierarchy uniqueName="[OpenImportsStoreStock].[CUROpenImportsStoreStockUnit]" caption="CUROpenImportsStoreStockUnit" attribute="1" defaultMemberUniqueName="[OpenImportsStoreStock].[CUROpenImportsStoreStockUnit].[All]" allUniqueName="[OpenImportsStoreStock].[CUROpenImportsStoreStockUnit].[All]" dimensionUniqueName="[OpenImportsStoreStock]" displayFolder="" count="0" unbalanced="0" hidden="1"/>
    <cacheHierarchy uniqueName="[OpenImportsStoreStock].[CUROpenTransferStoreStockUnit]" caption="CUROpenTransferStoreStockUnit" attribute="1" defaultMemberUniqueName="[OpenImportsStoreStock].[CUROpenTransferStoreStockUnit].[All]" allUniqueName="[OpenImportsStoreStock].[CUROpenTransferStoreStockUnit].[All]" dimensionUniqueName="[OpenImportsStoreStock]" displayFolder="" count="0" unbalanced="0" hidden="1"/>
    <cacheHierarchy uniqueName="[OpenImportsStoreStock].[CURUnapprovedOrderStoreStockUnit]" caption="CURUnapprovedOrderStoreStockUnit" attribute="1" defaultMemberUniqueName="[OpenImportsStoreStock].[CURUnapprovedOrderStoreStockUnit].[All]" allUniqueName="[OpenImportsStoreStock].[CURUnapprovedOrderStoreStockUnit].[All]" dimensionUniqueName="[OpenImportsStoreStock]" displayFolder="" count="0" unbalanced="0" hidden="1"/>
    <cacheHierarchy uniqueName="[OpenImportsStoreStock].[FROM_PLANT]" caption="FROM_PLANT" attribute="1" defaultMemberUniqueName="[OpenImportsStoreStock].[FROM_PLANT].[All]" allUniqueName="[OpenImportsStoreStock].[FROM_PLANT].[All]" dimensionUniqueName="[OpenImportsStoreStock]" displayFolder="" count="0" unbalanced="0" hidden="1"/>
    <cacheHierarchy uniqueName="[OpenImportsStoreStock].[LocationKey]" caption="LocationKey" attribute="1" defaultMemberUniqueName="[OpenImportsStoreStock].[LocationKey].[All]" allUniqueName="[OpenImportsStoreStock].[LocationKey].[All]" dimensionUniqueName="[OpenImportsStoreStock]" displayFolder="" count="0" unbalanced="0" hidden="1"/>
    <cacheHierarchy uniqueName="[OpenImportsStoreStock].[LocationType]" caption="LocationType" attribute="1" defaultMemberUniqueName="[OpenImportsStoreStock].[LocationType].[All]" allUniqueName="[OpenImportsStoreStock].[LocationType].[All]" dimensionUniqueName="[OpenImportsStoreStock]" displayFolder="" count="0" unbalanced="0" hidden="1"/>
    <cacheHierarchy uniqueName="[OpenImportsStoreStock].[MaterialKey]" caption="MaterialKey" attribute="1" defaultMemberUniqueName="[OpenImportsStoreStock].[MaterialKey].[All]" allUniqueName="[OpenImportsStoreStock].[MaterialKey].[All]" dimensionUniqueName="[OpenImportsStoreStock]" displayFolder="" count="0" unbalanced="0" hidden="1"/>
    <cacheHierarchy uniqueName="[OpenImportsStoreStock].[OpenDeliveryStockUnit]" caption="OpenDeliveryStockUnit" attribute="1" defaultMemberUniqueName="[OpenImportsStoreStock].[OpenDeliveryStockUnit].[All]" allUniqueName="[OpenImportsStoreStock].[OpenDeliveryStockUnit].[All]" dimensionUniqueName="[OpenImportsStoreStock]" displayFolder="" count="0" unbalanced="0" hidden="1"/>
    <cacheHierarchy uniqueName="[OpenImportsStoreStock].[OpenOrderStockUnit]" caption="OpenOrderStockUnit" attribute="1" defaultMemberUniqueName="[OpenImportsStoreStock].[OpenOrderStockUnit].[All]" allUniqueName="[OpenImportsStoreStock].[OpenOrderStockUnit].[All]" dimensionUniqueName="[OpenImportsStoreStock]" displayFolder="" count="0" unbalanced="0" hidden="1"/>
    <cacheHierarchy uniqueName="[OpenImportsStoreStock].[OpenStoStockUnit]" caption="OpenStoStockUnit" attribute="1" defaultMemberUniqueName="[OpenImportsStoreStock].[OpenStoStockUnit].[All]" allUniqueName="[OpenImportsStoreStock].[OpenStoStockUnit].[All]" dimensionUniqueName="[OpenImportsStoreStock]" displayFolder="" count="0" unbalanced="0" hidden="1"/>
    <cacheHierarchy uniqueName="[OpenImportsStoreStock].[RealStockUnit]" caption="RealStockUnit" attribute="1" defaultMemberUniqueName="[OpenImportsStoreStock].[RealStockUnit].[All]" allUniqueName="[OpenImportsStoreStock].[RealStockUnit].[All]" dimensionUniqueName="[OpenImportsStoreStock]" displayFolder="" count="0" unbalanced="0" hidden="1"/>
    <cacheHierarchy uniqueName="[OpenImportsStoreStock].[SafetyStockUnit]" caption="SafetyStockUnit" attribute="1" defaultMemberUniqueName="[OpenImportsStoreStock].[SafetyStockUnit].[All]" allUniqueName="[OpenImportsStoreStock].[SafetyStockUnit].[All]" dimensionUniqueName="[OpenImportsStoreStock]" displayFolder="" count="0" unbalanced="0" hidden="1"/>
    <cacheHierarchy uniqueName="[OpenImportsStoreStock].[SalesChannelKey]" caption="SalesChannelKey" attribute="1" defaultMemberUniqueName="[OpenImportsStoreStock].[SalesChannelKey].[All]" allUniqueName="[OpenImportsStoreStock].[SalesChannelKey].[All]" dimensionUniqueName="[OpenImportsStoreStock]" displayFolder="" count="0" unbalanced="0" hidden="1"/>
    <cacheHierarchy uniqueName="[OpenImportsStoreStock].[StockListKey]" caption="StockListKey" attribute="1" defaultMemberUniqueName="[OpenImportsStoreStock].[StockListKey].[All]" allUniqueName="[OpenImportsStoreStock].[StockListKey].[All]" dimensionUniqueName="[OpenImportsStoreStock]" displayFolder="" count="0" unbalanced="0" hidden="1"/>
    <cacheHierarchy uniqueName="[PurchaseOrder].[DCSubWarehouseKey]" caption="DCSubWarehouseKey" attribute="1" defaultMemberUniqueName="[PurchaseOrder].[DCSubWarehouseKey].[All]" allUniqueName="[PurchaseOrder].[DCSubWarehouseKey].[All]" dimensionUniqueName="[PurchaseOrder]" displayFolder="" count="0" unbalanced="0" hidden="1"/>
    <cacheHierarchy uniqueName="[PurchaseOrder].[DeadLine]" caption="DeadLine" attribute="1" defaultMemberUniqueName="[PurchaseOrder].[DeadLine].[All]" allUniqueName="[PurchaseOrder].[DeadLine].[All]" dimensionUniqueName="[PurchaseOrder]" displayFolder="" count="0" unbalanced="0" hidden="1"/>
    <cacheHierarchy uniqueName="[PurchaseOrder].[DWSourceKey]" caption="DWSourceKey" attribute="1" defaultMemberUniqueName="[PurchaseOrder].[DWSourceKey].[All]" allUniqueName="[PurchaseOrder].[DWSourceKey].[All]" dimensionUniqueName="[PurchaseOrder]" displayFolder="" count="0" unbalanced="0" hidden="1"/>
    <cacheHierarchy uniqueName="[PurchaseOrder].[EstimatedExcRateLC]" caption="EstimatedExcRateLC" attribute="1" defaultMemberUniqueName="[PurchaseOrder].[EstimatedExcRateLC].[All]" allUniqueName="[PurchaseOrder].[EstimatedExcRateLC].[All]" dimensionUniqueName="[PurchaseOrder]" displayFolder="" count="0" unbalanced="0" hidden="1"/>
    <cacheHierarchy uniqueName="[PurchaseOrder].[EtlDate]" caption="EtlDate" attribute="1" defaultMemberUniqueName="[PurchaseOrder].[EtlDate].[All]" allUniqueName="[PurchaseOrder].[EtlDate].[All]" dimensionUniqueName="[PurchaseOrder]" displayFolder="" count="0" unbalanced="0" hidden="1"/>
    <cacheHierarchy uniqueName="[PurchaseOrder].[Factor]" caption="Factor" attribute="1" defaultMemberUniqueName="[PurchaseOrder].[Factor].[All]" allUniqueName="[PurchaseOrder].[Factor].[All]" dimensionUniqueName="[PurchaseOrder]" displayFolder="" count="0" unbalanced="0" hidden="1"/>
    <cacheHierarchy uniqueName="[PurchaseOrder].[GoodsReceiptDate]" caption="GoodsReceiptDate" attribute="1" defaultMemberUniqueName="[PurchaseOrder].[GoodsReceiptDate].[All]" allUniqueName="[PurchaseOrder].[GoodsReceiptDate].[All]" dimensionUniqueName="[PurchaseOrder]" displayFolder="" count="0" unbalanced="0" hidden="1"/>
    <cacheHierarchy uniqueName="[PurchaseOrder].[GoodsReceiptUnit]" caption="GoodsReceiptUnit" attribute="1" defaultMemberUniqueName="[PurchaseOrder].[GoodsReceiptUnit].[All]" allUniqueName="[PurchaseOrder].[GoodsReceiptUnit].[All]" dimensionUniqueName="[PurchaseOrder]" displayFolder="" count="0" unbalanced="0" hidden="1"/>
    <cacheHierarchy uniqueName="[PurchaseOrder].[GoodsReceiptValueLC]" caption="GoodsReceiptValueLC" attribute="1" defaultMemberUniqueName="[PurchaseOrder].[GoodsReceiptValueLC].[All]" allUniqueName="[PurchaseOrder].[GoodsReceiptValueLC].[All]" dimensionUniqueName="[PurchaseOrder]" displayFolder="" count="0" unbalanced="0" hidden="1"/>
    <cacheHierarchy uniqueName="[PurchaseOrder].[LocalCurrencyCode]" caption="LocalCurrencyCode" attribute="1" defaultMemberUniqueName="[PurchaseOrder].[LocalCurrencyCode].[All]" allUniqueName="[PurchaseOrder].[LocalCurrencyCode].[All]" dimensionUniqueName="[PurchaseOrder]" displayFolder="" count="0" unbalanced="0" hidden="1"/>
    <cacheHierarchy uniqueName="[PurchaseOrder].[MaterialKey]" caption="MaterialKey" attribute="1" defaultMemberUniqueName="[PurchaseOrder].[MaterialKey].[All]" allUniqueName="[PurchaseOrder].[MaterialKey].[All]" dimensionUniqueName="[PurchaseOrder]" displayFolder="" count="0" unbalanced="0" hidden="1"/>
    <cacheHierarchy uniqueName="[PurchaseOrder].[OrderCurrencyCode]" caption="OrderCurrencyCode" attribute="1" defaultMemberUniqueName="[PurchaseOrder].[OrderCurrencyCode].[All]" allUniqueName="[PurchaseOrder].[OrderCurrencyCode].[All]" dimensionUniqueName="[PurchaseOrder]" displayFolder="" count="0" unbalanced="0" hidden="1"/>
    <cacheHierarchy uniqueName="[PurchaseOrder].[OtherMerchantGoodsReceiptUnit]" caption="OtherMerchantGoodsReceiptUnit" attribute="1" defaultMemberUniqueName="[PurchaseOrder].[OtherMerchantGoodsReceiptUnit].[All]" allUniqueName="[PurchaseOrder].[OtherMerchantGoodsReceiptUnit].[All]" dimensionUniqueName="[PurchaseOrder]" displayFolder="" count="0" unbalanced="0" hidden="1"/>
    <cacheHierarchy uniqueName="[PurchaseOrder].[OtherMerchantGoodsReceiptValueLC]" caption="OtherMerchantGoodsReceiptValueLC" attribute="1" defaultMemberUniqueName="[PurchaseOrder].[OtherMerchantGoodsReceiptValueLC].[All]" allUniqueName="[PurchaseOrder].[OtherMerchantGoodsReceiptValueLC].[All]" dimensionUniqueName="[PurchaseOrder]" displayFolder="" count="0" unbalanced="0" hidden="1"/>
    <cacheHierarchy uniqueName="[PurchaseOrder].[OtherMerchantPendingPONetValue]" caption="OtherMerchantPendingPONetValue" attribute="1" defaultMemberUniqueName="[PurchaseOrder].[OtherMerchantPendingPONetValue].[All]" allUniqueName="[PurchaseOrder].[OtherMerchantPendingPONetValue].[All]" dimensionUniqueName="[PurchaseOrder]" displayFolder="" count="0" unbalanced="0" hidden="1"/>
    <cacheHierarchy uniqueName="[PurchaseOrder].[OtherMerchantPendingPurchaseOrderUnit]" caption="OtherMerchantPendingPurchaseOrderUnit" attribute="1" defaultMemberUniqueName="[PurchaseOrder].[OtherMerchantPendingPurchaseOrderUnit].[All]" allUniqueName="[PurchaseOrder].[OtherMerchantPendingPurchaseOrderUnit].[All]" dimensionUniqueName="[PurchaseOrder]" displayFolder="" count="0" unbalanced="0" hidden="1"/>
    <cacheHierarchy uniqueName="[PurchaseOrder].[OtherMerchantPurchaseOrderUnit]" caption="OtherMerchantPurchaseOrderUnit" attribute="1" defaultMemberUniqueName="[PurchaseOrder].[OtherMerchantPurchaseOrderUnit].[All]" allUniqueName="[PurchaseOrder].[OtherMerchantPurchaseOrderUnit].[All]" dimensionUniqueName="[PurchaseOrder]" displayFolder="" count="0" unbalanced="0" hidden="1"/>
    <cacheHierarchy uniqueName="[PurchaseOrder].[PendingPONetValue]" caption="PendingPONetValue" attribute="1" defaultMemberUniqueName="[PurchaseOrder].[PendingPONetValue].[All]" allUniqueName="[PurchaseOrder].[PendingPONetValue].[All]" dimensionUniqueName="[PurchaseOrder]" displayFolder="" count="0" unbalanced="0" hidden="1"/>
    <cacheHierarchy uniqueName="[PurchaseOrder].[PendingPurchaseOrderUnit]" caption="PendingPurchaseOrderUnit" attribute="1" defaultMemberUniqueName="[PurchaseOrder].[PendingPurchaseOrderUnit].[All]" allUniqueName="[PurchaseOrder].[PendingPurchaseOrderUnit].[All]" dimensionUniqueName="[PurchaseOrder]" displayFolder="" count="0" unbalanced="0" hidden="1"/>
    <cacheHierarchy uniqueName="[PurchaseOrder].[PONetValue]" caption="PONetValue" attribute="1" defaultMemberUniqueName="[PurchaseOrder].[PONetValue].[All]" allUniqueName="[PurchaseOrder].[PONetValue].[All]" dimensionUniqueName="[PurchaseOrder]" displayFolder="" count="0" unbalanced="0" hidden="1"/>
    <cacheHierarchy uniqueName="[PurchaseOrder].[ProductStateID]" caption="ProductStateID" attribute="1" defaultMemberUniqueName="[PurchaseOrder].[ProductStateID].[All]" allUniqueName="[PurchaseOrder].[ProductStateID].[All]" dimensionUniqueName="[PurchaseOrder]" displayFolder="" count="0" unbalanced="0" hidden="1"/>
    <cacheHierarchy uniqueName="[PurchaseOrder].[PurchaseOrderCode]" caption="PurchaseOrderCode" attribute="1" defaultMemberUniqueName="[PurchaseOrder].[PurchaseOrderCode].[All]" allUniqueName="[PurchaseOrder].[PurchaseOrderCode].[All]" dimensionUniqueName="[PurchaseOrder]" displayFolder="" count="0" unbalanced="0" hidden="1"/>
    <cacheHierarchy uniqueName="[PurchaseOrder].[PurchaseOrderUnit]" caption="PurchaseOrderUnit" attribute="1" defaultMemberUniqueName="[PurchaseOrder].[PurchaseOrderUnit].[All]" allUniqueName="[PurchaseOrder].[PurchaseOrderUnit].[All]" dimensionUniqueName="[PurchaseOrder]" displayFolder="" count="0" unbalanced="0" hidden="1"/>
    <cacheHierarchy uniqueName="[PurchaseOrder].[SalesChannelKey]" caption="SalesChannelKey" attribute="1" defaultMemberUniqueName="[PurchaseOrder].[SalesChannelKey].[All]" allUniqueName="[PurchaseOrder].[SalesChannelKey].[All]" dimensionUniqueName="[PurchaseOrder]" displayFolder="" count="0" unbalanced="0" hidden="1"/>
    <cacheHierarchy uniqueName="[PurchaseOrder].[SalesSeasonID]" caption="SalesSeasonID" attribute="1" defaultMemberUniqueName="[PurchaseOrder].[SalesSeasonID].[All]" allUniqueName="[PurchaseOrder].[SalesSeasonID].[All]" dimensionUniqueName="[PurchaseOrder]" displayFolder="" count="0" unbalanced="0" hidden="1"/>
    <cacheHierarchy uniqueName="[PurchaseOrder].[ToptanSasCarpanı]" caption="ToptanSasCarpanı" attribute="1" defaultMemberUniqueName="[PurchaseOrder].[ToptanSasCarpanı].[All]" allUniqueName="[PurchaseOrder].[ToptanSasCarpanı].[All]" dimensionUniqueName="[PurchaseOrder]" displayFolder="" count="0" unbalanced="0" hidden="1"/>
    <cacheHierarchy uniqueName="[PurchaseOrder].[UnitPrice]" caption="UnitPrice" attribute="1" defaultMemberUniqueName="[PurchaseOrder].[UnitPrice].[All]" allUniqueName="[PurchaseOrder].[UnitPrice].[All]" dimensionUniqueName="[PurchaseOrder]" displayFolder="" count="0" unbalanced="0" hidden="1"/>
    <cacheHierarchy uniqueName="[PurchaseOrderGR].[DCSubWarehouseKey]" caption="DCSubWarehouseKey" attribute="1" defaultMemberUniqueName="[PurchaseOrderGR].[DCSubWarehouseKey].[All]" allUniqueName="[PurchaseOrderGR].[DCSubWarehouseKey].[All]" dimensionUniqueName="[PurchaseOrderGR]" displayFolder="" count="0" unbalanced="0" hidden="1"/>
    <cacheHierarchy uniqueName="[PurchaseOrderGR].[DeadLine]" caption="DeadLine" attribute="1" defaultMemberUniqueName="[PurchaseOrderGR].[DeadLine].[All]" allUniqueName="[PurchaseOrderGR].[DeadLine].[All]" dimensionUniqueName="[PurchaseOrderGR]" displayFolder="" count="0" unbalanced="0" hidden="1"/>
    <cacheHierarchy uniqueName="[PurchaseOrderGR].[DWSourceKey]" caption="DWSourceKey" attribute="1" defaultMemberUniqueName="[PurchaseOrderGR].[DWSourceKey].[All]" allUniqueName="[PurchaseOrderGR].[DWSourceKey].[All]" dimensionUniqueName="[PurchaseOrderGR]" displayFolder="" count="0" unbalanced="0" hidden="1"/>
    <cacheHierarchy uniqueName="[PurchaseOrderGR].[EstimatedExcRateLC]" caption="EstimatedExcRateLC" attribute="1" defaultMemberUniqueName="[PurchaseOrderGR].[EstimatedExcRateLC].[All]" allUniqueName="[PurchaseOrderGR].[EstimatedExcRateLC].[All]" dimensionUniqueName="[PurchaseOrderGR]" displayFolder="" count="0" unbalanced="0" hidden="1"/>
    <cacheHierarchy uniqueName="[PurchaseOrderGR].[EtlDate]" caption="EtlDate" attribute="1" defaultMemberUniqueName="[PurchaseOrderGR].[EtlDate].[All]" allUniqueName="[PurchaseOrderGR].[EtlDate].[All]" dimensionUniqueName="[PurchaseOrderGR]" displayFolder="" count="0" unbalanced="0" hidden="1"/>
    <cacheHierarchy uniqueName="[PurchaseOrderGR].[Factor]" caption="Factor" attribute="1" defaultMemberUniqueName="[PurchaseOrderGR].[Factor].[All]" allUniqueName="[PurchaseOrderGR].[Factor].[All]" dimensionUniqueName="[PurchaseOrderGR]" displayFolder="" count="0" unbalanced="0" hidden="1"/>
    <cacheHierarchy uniqueName="[PurchaseOrderGR].[GoodReceiptValueNavlunLC]" caption="GoodReceiptValueNavlunLC" attribute="1" defaultMemberUniqueName="[PurchaseOrderGR].[GoodReceiptValueNavlunLC].[All]" allUniqueName="[PurchaseOrderGR].[GoodReceiptValueNavlunLC].[All]" dimensionUniqueName="[PurchaseOrderGR]" displayFolder="" count="0" unbalanced="0" hidden="1"/>
    <cacheHierarchy uniqueName="[PurchaseOrderGR].[GoodsReceiptDate]" caption="GoodsReceiptDate" attribute="1" defaultMemberUniqueName="[PurchaseOrderGR].[GoodsReceiptDate].[All]" allUniqueName="[PurchaseOrderGR].[GoodsReceiptDate].[All]" dimensionUniqueName="[PurchaseOrderGR]" displayFolder="" count="0" unbalanced="0" hidden="1"/>
    <cacheHierarchy uniqueName="[PurchaseOrderGR].[GoodsReceiptUnit]" caption="GoodsReceiptUnit" attribute="1" defaultMemberUniqueName="[PurchaseOrderGR].[GoodsReceiptUnit].[All]" allUniqueName="[PurchaseOrderGR].[GoodsReceiptUnit].[All]" dimensionUniqueName="[PurchaseOrderGR]" displayFolder="" count="0" unbalanced="0" hidden="1"/>
    <cacheHierarchy uniqueName="[PurchaseOrderGR].[GoodsReceiptValueLC]" caption="GoodsReceiptValueLC" attribute="1" defaultMemberUniqueName="[PurchaseOrderGR].[GoodsReceiptValueLC].[All]" allUniqueName="[PurchaseOrderGR].[GoodsReceiptValueLC].[All]" dimensionUniqueName="[PurchaseOrderGR]" displayFolder="" count="0" unbalanced="0" hidden="1"/>
    <cacheHierarchy uniqueName="[PurchaseOrderGR].[LocalCurrencyCode]" caption="LocalCurrencyCode" attribute="1" defaultMemberUniqueName="[PurchaseOrderGR].[LocalCurrencyCode].[All]" allUniqueName="[PurchaseOrderGR].[LocalCurrencyCode].[All]" dimensionUniqueName="[PurchaseOrderGR]" displayFolder="" count="0" unbalanced="0" hidden="1"/>
    <cacheHierarchy uniqueName="[PurchaseOrderGR].[MaterialKey]" caption="MaterialKey" attribute="1" defaultMemberUniqueName="[PurchaseOrderGR].[MaterialKey].[All]" allUniqueName="[PurchaseOrderGR].[MaterialKey].[All]" dimensionUniqueName="[PurchaseOrderGR]" displayFolder="" count="0" unbalanced="0" hidden="1"/>
    <cacheHierarchy uniqueName="[PurchaseOrderGR].[OrderCurrencyCode]" caption="OrderCurrencyCode" attribute="1" defaultMemberUniqueName="[PurchaseOrderGR].[OrderCurrencyCode].[All]" allUniqueName="[PurchaseOrderGR].[OrderCurrencyCode].[All]" dimensionUniqueName="[PurchaseOrderGR]" displayFolder="" count="0" unbalanced="0" hidden="1"/>
    <cacheHierarchy uniqueName="[PurchaseOrderGR].[OtherMerchantGoodsReceiptUnit]" caption="OtherMerchantGoodsReceiptUnit" attribute="1" defaultMemberUniqueName="[PurchaseOrderGR].[OtherMerchantGoodsReceiptUnit].[All]" allUniqueName="[PurchaseOrderGR].[OtherMerchantGoodsReceiptUnit].[All]" dimensionUniqueName="[PurchaseOrderGR]" displayFolder="" count="0" unbalanced="0" hidden="1"/>
    <cacheHierarchy uniqueName="[PurchaseOrderGR].[OtherMerchantGoodsReceiptValueLC]" caption="OtherMerchantGoodsReceiptValueLC" attribute="1" defaultMemberUniqueName="[PurchaseOrderGR].[OtherMerchantGoodsReceiptValueLC].[All]" allUniqueName="[PurchaseOrderGR].[OtherMerchantGoodsReceiptValueLC].[All]" dimensionUniqueName="[PurchaseOrderGR]" displayFolder="" count="0" unbalanced="0" hidden="1"/>
    <cacheHierarchy uniqueName="[PurchaseOrderGR].[ProductStateID]" caption="ProductStateID" attribute="1" defaultMemberUniqueName="[PurchaseOrderGR].[ProductStateID].[All]" allUniqueName="[PurchaseOrderGR].[ProductStateID].[All]" dimensionUniqueName="[PurchaseOrderGR]" displayFolder="" count="0" unbalanced="0" hidden="1"/>
    <cacheHierarchy uniqueName="[PurchaseOrderGR].[PurchaseOrderCode]" caption="PurchaseOrderCode" attribute="1" defaultMemberUniqueName="[PurchaseOrderGR].[PurchaseOrderCode].[All]" allUniqueName="[PurchaseOrderGR].[PurchaseOrderCode].[All]" dimensionUniqueName="[PurchaseOrderGR]" displayFolder="" count="0" unbalanced="0" hidden="1"/>
    <cacheHierarchy uniqueName="[PurchaseOrderGR].[SalesChannelKey]" caption="SalesChannelKey" attribute="1" defaultMemberUniqueName="[PurchaseOrderGR].[SalesChannelKey].[All]" allUniqueName="[PurchaseOrderGR].[SalesChannelKey].[All]" dimensionUniqueName="[PurchaseOrderGR]" displayFolder="" count="0" unbalanced="0" hidden="1"/>
    <cacheHierarchy uniqueName="[PurchaseOrderGR].[SalesSeasonID]" caption="SalesSeasonID" attribute="1" defaultMemberUniqueName="[PurchaseOrderGR].[SalesSeasonID].[All]" allUniqueName="[PurchaseOrderGR].[SalesSeasonID].[All]" dimensionUniqueName="[PurchaseOrderGR]" displayFolder="" count="0" unbalanced="0" hidden="1"/>
    <cacheHierarchy uniqueName="[PurchaseOrderGR].[ToptanSasCarpanı]" caption="ToptanSasCarpanı" attribute="1" defaultMemberUniqueName="[PurchaseOrderGR].[ToptanSasCarpanı].[All]" allUniqueName="[PurchaseOrderGR].[ToptanSasCarpanı].[All]" dimensionUniqueName="[PurchaseOrderGR]" displayFolder="" count="0" unbalanced="0" hidden="1"/>
    <cacheHierarchy uniqueName="[Sales].[Ly]" caption="Ly" attribute="1" defaultMemberUniqueName="[Sales].[Ly].[All]" allUniqueName="[Sales].[Ly].[All]" dimensionUniqueName="[Sales]" displayFolder="" count="0" unbalanced="0" hidden="1"/>
    <cacheHierarchy uniqueName="[Sales].[LyLFL]" caption="LyLFL" attribute="1" defaultMemberUniqueName="[Sales].[LyLFL].[All]" allUniqueName="[Sales].[LyLFL].[All]" dimensionUniqueName="[Sales]" displayFolder="" count="0" unbalanced="0" hidden="1"/>
    <cacheHierarchy uniqueName="[Sales].[MeasureBlokLY02]" caption="MeasureBlokLY02" attribute="1" defaultMemberUniqueName="[Sales].[MeasureBlokLY02].[All]" allUniqueName="[Sales].[MeasureBlokLY02].[All]" dimensionUniqueName="[Sales]" displayFolder="" count="0" unbalanced="0" hidden="1"/>
    <cacheHierarchy uniqueName="[Sales].[MeasureBlokLYLFL04]" caption="MeasureBlokLYLFL04" attribute="1" defaultMemberUniqueName="[Sales].[MeasureBlokLYLFL04].[All]" allUniqueName="[Sales].[MeasureBlokLYLFL04].[All]" dimensionUniqueName="[Sales]" displayFolder="" count="0" unbalanced="0" hidden="1"/>
    <cacheHierarchy uniqueName="[Sales].[MeasureBlokTY01]" caption="MeasureBlokTY01" attribute="1" defaultMemberUniqueName="[Sales].[MeasureBlokTY01].[All]" allUniqueName="[Sales].[MeasureBlokTY01].[All]" dimensionUniqueName="[Sales]" displayFolder="" count="0" unbalanced="0" hidden="1"/>
    <cacheHierarchy uniqueName="[Sales].[MeasureBlokTYLFL03]" caption="MeasureBlokTYLFL03" attribute="1" defaultMemberUniqueName="[Sales].[MeasureBlokTYLFL03].[All]" allUniqueName="[Sales].[MeasureBlokTYLFL03].[All]" dimensionUniqueName="[Sales]" displayFolder="" count="0" unbalanced="0" hidden="1"/>
    <cacheHierarchy uniqueName="[Sales].[MeasureGroupName]" caption="MeasureGroupName" attribute="1" defaultMemberUniqueName="[Sales].[MeasureGroupName].[All]" allUniqueName="[Sales].[MeasureGroupName].[All]" dimensionUniqueName="[Sales]" displayFolder="" count="0" unbalanced="0" hidden="1"/>
    <cacheHierarchy uniqueName="[Sales].[ProcessTime]" caption="ProcessTime" attribute="1" defaultMemberUniqueName="[Sales].[ProcessTime].[All]" allUniqueName="[Sales].[ProcessTime].[All]" dimensionUniqueName="[Sales]" displayFolder="" count="0" unbalanced="0" hidden="1"/>
    <cacheHierarchy uniqueName="[Sales].[Ty]" caption="Ty" attribute="1" defaultMemberUniqueName="[Sales].[Ty].[All]" allUniqueName="[Sales].[Ty].[All]" dimensionUniqueName="[Sales]" displayFolder="" count="0" unbalanced="0" hidden="1"/>
    <cacheHierarchy uniqueName="[Sales].[TyLfl]" caption="TyLfl" attribute="1" defaultMemberUniqueName="[Sales].[TyLfl].[All]" allUniqueName="[Sales].[TyLfl].[All]" dimensionUniqueName="[Sales]" displayFolder="" count="0" unbalanced="0" hidden="1"/>
    <cacheHierarchy uniqueName="[SalesBudget].[BudgetCost]" caption="BudgetCost" attribute="1" defaultMemberUniqueName="[SalesBudget].[BudgetCost].[All]" allUniqueName="[SalesBudget].[BudgetCost].[All]" dimensionUniqueName="[SalesBudget]" displayFolder="" count="0" unbalanced="0" hidden="1"/>
    <cacheHierarchy uniqueName="[SalesBudget].[BudgetInitialSalesPrice]" caption="BudgetInitialSalesPrice" attribute="1" defaultMemberUniqueName="[SalesBudget].[BudgetInitialSalesPrice].[All]" allUniqueName="[SalesBudget].[BudgetInitialSalesPrice].[All]" dimensionUniqueName="[SalesBudget]" displayFolder="" count="0" unbalanced="0" hidden="1"/>
    <cacheHierarchy uniqueName="[SalesBudget].[BudgetProfitValue]" caption="BudgetProfitValue" attribute="1" defaultMemberUniqueName="[SalesBudget].[BudgetProfitValue].[All]" allUniqueName="[SalesBudget].[BudgetProfitValue].[All]" dimensionUniqueName="[SalesBudget]" displayFolder="" count="0" unbalanced="0" hidden="1"/>
    <cacheHierarchy uniqueName="[SalesBudget].[BudgetUnit]" caption="BudgetUnit" attribute="1" defaultMemberUniqueName="[SalesBudget].[BudgetUnit].[All]" allUniqueName="[SalesBudget].[BudgetUnit].[All]" dimensionUniqueName="[SalesBudget]" displayFolder="" count="0" unbalanced="0" hidden="1"/>
    <cacheHierarchy uniqueName="[SalesBudget].[BudgetValue]" caption="BudgetValue" attribute="1" defaultMemberUniqueName="[SalesBudget].[BudgetValue].[All]" allUniqueName="[SalesBudget].[BudgetValue].[All]" dimensionUniqueName="[SalesBudget]" displayFolder="" count="0" unbalanced="0" hidden="1"/>
    <cacheHierarchy uniqueName="[SalesBudget].[EURExcRate]" caption="EURExcRate" attribute="1" defaultMemberUniqueName="[SalesBudget].[EURExcRate].[All]" allUniqueName="[SalesBudget].[EURExcRate].[All]" dimensionUniqueName="[SalesBudget]" displayFolder="" count="0" unbalanced="0" hidden="1"/>
    <cacheHierarchy uniqueName="[SalesBudget].[LocationCurrencyCode]" caption="LocationCurrencyCode" attribute="1" defaultMemberUniqueName="[SalesBudget].[LocationCurrencyCode].[All]" allUniqueName="[SalesBudget].[LocationCurrencyCode].[All]" dimensionUniqueName="[SalesBudget]" displayFolder="" count="0" unbalanced="0" hidden="1"/>
    <cacheHierarchy uniqueName="[SalesBudget].[LocationKey]" caption="LocationKey" attribute="1" defaultMemberUniqueName="[SalesBudget].[LocationKey].[All]" allUniqueName="[SalesBudget].[LocationKey].[All]" dimensionUniqueName="[SalesBudget]" displayFolder="" count="0" unbalanced="0" hidden="1"/>
    <cacheHierarchy uniqueName="[SalesBudget].[MaterialKey]" caption="MaterialKey" attribute="1" defaultMemberUniqueName="[SalesBudget].[MaterialKey].[All]" allUniqueName="[SalesBudget].[MaterialKey].[All]" dimensionUniqueName="[SalesBudget]" displayFolder="" count="0" unbalanced="0" hidden="1"/>
    <cacheHierarchy uniqueName="[SalesBudget].[SalesChannelKey]" caption="SalesChannelKey" attribute="1" defaultMemberUniqueName="[SalesBudget].[SalesChannelKey].[All]" allUniqueName="[SalesBudget].[SalesChannelKey].[All]" dimensionUniqueName="[SalesBudget]" displayFolder="" count="0" unbalanced="0" hidden="1"/>
    <cacheHierarchy uniqueName="[SalesBudget].[SubDistChannelCode]" caption="SubDistChannelCode" attribute="1" defaultMemberUniqueName="[SalesBudget].[SubDistChannelCode].[All]" allUniqueName="[SalesBudget].[SubDistChannelCode].[All]" dimensionUniqueName="[SalesBudget]" displayFolder="" count="0" unbalanced="0" hidden="1"/>
    <cacheHierarchy uniqueName="[SalesBudget].[SubDistChannelKey]" caption="SubDistChannelKey" attribute="1" defaultMemberUniqueName="[SalesBudget].[SubDistChannelKey].[All]" allUniqueName="[SalesBudget].[SubDistChannelKey].[All]" dimensionUniqueName="[SalesBudget]" displayFolder="" count="0" unbalanced="0" hidden="1"/>
    <cacheHierarchy uniqueName="[SalesBudget].[TRYExcRate]" caption="TRYExcRate" attribute="1" defaultMemberUniqueName="[SalesBudget].[TRYExcRate].[All]" allUniqueName="[SalesBudget].[TRYExcRate].[All]" dimensionUniqueName="[SalesBudget]" displayFolder="" count="0" unbalanced="0" hidden="1"/>
    <cacheHierarchy uniqueName="[SalesBudget].[TYDate]" caption="TYDate" attribute="1" defaultMemberUniqueName="[SalesBudget].[TYDate].[All]" allUniqueName="[SalesBudget].[TYDate].[All]" dimensionUniqueName="[SalesBudget]" displayFolder="" count="0" unbalanced="0" hidden="1"/>
    <cacheHierarchy uniqueName="[SalesBudget].[USDExcRate]" caption="USDExcRate" attribute="1" defaultMemberUniqueName="[SalesBudget].[USDExcRate].[All]" allUniqueName="[SalesBudget].[USDExcRate].[All]" dimensionUniqueName="[SalesBudget]" displayFolder="" count="0" unbalanced="0" hidden="1"/>
    <cacheHierarchy uniqueName="[SalesBudgetLY].[BudgetTypeName]" caption="BudgetTypeName" attribute="1" defaultMemberUniqueName="[SalesBudgetLY].[BudgetTypeName].[All]" allUniqueName="[SalesBudgetLY].[BudgetTypeName].[All]" dimensionUniqueName="[SalesBudgetLY]" displayFolder="" count="0" unbalanced="0" hidden="1"/>
    <cacheHierarchy uniqueName="[SalesBudgetLY].[EURExcRate]" caption="EURExcRate" attribute="1" defaultMemberUniqueName="[SalesBudgetLY].[EURExcRate].[All]" allUniqueName="[SalesBudgetLY].[EURExcRate].[All]" dimensionUniqueName="[SalesBudgetLY]" displayFolder="" count="0" unbalanced="0" hidden="1"/>
    <cacheHierarchy uniqueName="[SalesBudgetLY].[LocationCurrencyCode]" caption="LocationCurrencyCode" attribute="1" defaultMemberUniqueName="[SalesBudgetLY].[LocationCurrencyCode].[All]" allUniqueName="[SalesBudgetLY].[LocationCurrencyCode].[All]" dimensionUniqueName="[SalesBudgetLY]" displayFolder="" count="0" unbalanced="0" hidden="1"/>
    <cacheHierarchy uniqueName="[SalesBudgetLY].[LocationKey]" caption="LocationKey" attribute="1" defaultMemberUniqueName="[SalesBudgetLY].[LocationKey].[All]" allUniqueName="[SalesBudgetLY].[LocationKey].[All]" dimensionUniqueName="[SalesBudgetLY]" displayFolder="" count="0" unbalanced="0" hidden="1"/>
    <cacheHierarchy uniqueName="[SalesBudgetLY].[LYBudgetCost]" caption="LYBudgetCost" attribute="1" defaultMemberUniqueName="[SalesBudgetLY].[LYBudgetCost].[All]" allUniqueName="[SalesBudgetLY].[LYBudgetCost].[All]" dimensionUniqueName="[SalesBudgetLY]" displayFolder="" count="0" unbalanced="0" hidden="1"/>
    <cacheHierarchy uniqueName="[SalesBudgetLY].[LYBudgetInitialSalesPrice]" caption="LYBudgetInitialSalesPrice" attribute="1" defaultMemberUniqueName="[SalesBudgetLY].[LYBudgetInitialSalesPrice].[All]" allUniqueName="[SalesBudgetLY].[LYBudgetInitialSalesPrice].[All]" dimensionUniqueName="[SalesBudgetLY]" displayFolder="" count="0" unbalanced="0" hidden="1"/>
    <cacheHierarchy uniqueName="[SalesBudgetLY].[LYBudgetProfitValue]" caption="LYBudgetProfitValue" attribute="1" defaultMemberUniqueName="[SalesBudgetLY].[LYBudgetProfitValue].[All]" allUniqueName="[SalesBudgetLY].[LYBudgetProfitValue].[All]" dimensionUniqueName="[SalesBudgetLY]" displayFolder="" count="0" unbalanced="0" hidden="1"/>
    <cacheHierarchy uniqueName="[SalesBudgetLY].[LYBudgetUnit]" caption="LYBudgetUnit" attribute="1" defaultMemberUniqueName="[SalesBudgetLY].[LYBudgetUnit].[All]" allUniqueName="[SalesBudgetLY].[LYBudgetUnit].[All]" dimensionUniqueName="[SalesBudgetLY]" displayFolder="" count="0" unbalanced="0" hidden="1"/>
    <cacheHierarchy uniqueName="[SalesBudgetLY].[LYBudgetValue]" caption="LYBudgetValue" attribute="1" defaultMemberUniqueName="[SalesBudgetLY].[LYBudgetValue].[All]" allUniqueName="[SalesBudgetLY].[LYBudgetValue].[All]" dimensionUniqueName="[SalesBudgetLY]" displayFolder="" count="0" unbalanced="0" hidden="1"/>
    <cacheHierarchy uniqueName="[SalesBudgetLY].[MaterialKey]" caption="MaterialKey" attribute="1" defaultMemberUniqueName="[SalesBudgetLY].[MaterialKey].[All]" allUniqueName="[SalesBudgetLY].[MaterialKey].[All]" dimensionUniqueName="[SalesBudgetLY]" displayFolder="" count="0" unbalanced="0" hidden="1"/>
    <cacheHierarchy uniqueName="[SalesBudgetLY].[SalesChannelKey]" caption="SalesChannelKey" attribute="1" defaultMemberUniqueName="[SalesBudgetLY].[SalesChannelKey].[All]" allUniqueName="[SalesBudgetLY].[SalesChannelKey].[All]" dimensionUniqueName="[SalesBudgetLY]" displayFolder="" count="0" unbalanced="0" hidden="1"/>
    <cacheHierarchy uniqueName="[SalesBudgetLY].[SubDistChannelCode]" caption="SubDistChannelCode" attribute="1" defaultMemberUniqueName="[SalesBudgetLY].[SubDistChannelCode].[All]" allUniqueName="[SalesBudgetLY].[SubDistChannelCode].[All]" dimensionUniqueName="[SalesBudgetLY]" displayFolder="" count="0" unbalanced="0" hidden="1"/>
    <cacheHierarchy uniqueName="[SalesBudgetLY].[SubDistChannelKey]" caption="SubDistChannelKey" attribute="1" defaultMemberUniqueName="[SalesBudgetLY].[SubDistChannelKey].[All]" allUniqueName="[SalesBudgetLY].[SubDistChannelKey].[All]" dimensionUniqueName="[SalesBudgetLY]" displayFolder="" count="0" unbalanced="0" hidden="1"/>
    <cacheHierarchy uniqueName="[SalesBudgetLY].[TRYExcRate]" caption="TRYExcRate" attribute="1" defaultMemberUniqueName="[SalesBudgetLY].[TRYExcRate].[All]" allUniqueName="[SalesBudgetLY].[TRYExcRate].[All]" dimensionUniqueName="[SalesBudgetLY]" displayFolder="" count="0" unbalanced="0" hidden="1"/>
    <cacheHierarchy uniqueName="[SalesBudgetLY].[TYDate]" caption="TYDate" attribute="1" defaultMemberUniqueName="[SalesBudgetLY].[TYDate].[All]" allUniqueName="[SalesBudgetLY].[TYDate].[All]" dimensionUniqueName="[SalesBudgetLY]" displayFolder="" count="0" unbalanced="0" hidden="1"/>
    <cacheHierarchy uniqueName="[SalesBudgetLY].[USDExcRate]" caption="USDExcRate" attribute="1" defaultMemberUniqueName="[SalesBudgetLY].[USDExcRate].[All]" allUniqueName="[SalesBudgetLY].[USDExcRate].[All]" dimensionUniqueName="[SalesBudgetLY]" displayFolder="" count="0" unbalanced="0" hidden="1"/>
    <cacheHierarchy uniqueName="[SalesChannel].[CountryRank]" caption="CountryRank" attribute="1" defaultMemberUniqueName="[SalesChannel].[CountryRank].[All]" allUniqueName="[SalesChannel].[CountryRank].[All]" dimensionUniqueName="[SalesChannel]" displayFolder="" count="0" unbalanced="0" hidden="1"/>
    <cacheHierarchy uniqueName="[SalesChannel].[SalesOrgTypeRank]" caption="SalesOrgTypeRank" attribute="1" defaultMemberUniqueName="[SalesChannel].[SalesOrgTypeRank].[All]" allUniqueName="[SalesChannel].[SalesOrgTypeRank].[All]" dimensionUniqueName="[SalesChannel]" displayFolder="" count="0" unbalanced="0" hidden="1"/>
    <cacheHierarchy uniqueName="[SalesLY].[CurrentSalesPriceID]" caption="CurrentSalesPriceID" attribute="1" defaultMemberUniqueName="[SalesLY].[CurrentSalesPriceID].[All]" allUniqueName="[SalesLY].[CurrentSalesPriceID].[All]" dimensionUniqueName="[SalesLY]" displayFolder="" count="0" unbalanced="0" hidden="1"/>
    <cacheHierarchy uniqueName="[SalesLY].[InitialSalesPriceID]" caption="InitialSalesPriceID" attribute="1" defaultMemberUniqueName="[SalesLY].[InitialSalesPriceID].[All]" allUniqueName="[SalesLY].[InitialSalesPriceID].[All]" dimensionUniqueName="[SalesLY]" displayFolder="" count="0" unbalanced="0" hidden="1"/>
    <cacheHierarchy uniqueName="[SalesLY].[LFLFactor]" caption="LFLFactor" attribute="1" defaultMemberUniqueName="[SalesLY].[LFLFactor].[All]" allUniqueName="[SalesLY].[LFLFactor].[All]" dimensionUniqueName="[SalesLY]" displayFolder="" count="0" unbalanced="0" hidden="1"/>
    <cacheHierarchy uniqueName="[SalesLY].[LocationKey]" caption="LocationKey" attribute="1" defaultMemberUniqueName="[SalesLY].[LocationKey].[All]" allUniqueName="[SalesLY].[LocationKey].[All]" dimensionUniqueName="[SalesLY]" displayFolder="" count="0" unbalanced="0" hidden="1"/>
    <cacheHierarchy uniqueName="[SalesLY].[LYSalesCostLC]" caption="LYSalesCostLC" attribute="1" defaultMemberUniqueName="[SalesLY].[LYSalesCostLC].[All]" allUniqueName="[SalesLY].[LYSalesCostLC].[All]" dimensionUniqueName="[SalesLY]" displayFolder="" count="0" unbalanced="0" hidden="1"/>
    <cacheHierarchy uniqueName="[SalesLY].[LYSalesCostTRY]" caption="LYSalesCostTRY" attribute="1" defaultMemberUniqueName="[SalesLY].[LYSalesCostTRY].[All]" allUniqueName="[SalesLY].[LYSalesCostTRY].[All]" dimensionUniqueName="[SalesLY]" displayFolder="" count="0" unbalanced="0" hidden="1"/>
    <cacheHierarchy uniqueName="[SalesLY].[LYSalesCostUSD]" caption="LYSalesCostUSD" attribute="1" defaultMemberUniqueName="[SalesLY].[LYSalesCostUSD].[All]" allUniqueName="[SalesLY].[LYSalesCostUSD].[All]" dimensionUniqueName="[SalesLY]" displayFolder="" count="0" unbalanced="0" hidden="1"/>
    <cacheHierarchy uniqueName="[SalesLY].[LYSalesCostVATLC]" caption="LYSalesCostVATLC" attribute="1" defaultMemberUniqueName="[SalesLY].[LYSalesCostVATLC].[All]" allUniqueName="[SalesLY].[LYSalesCostVATLC].[All]" dimensionUniqueName="[SalesLY]" displayFolder="" count="0" unbalanced="0" hidden="1"/>
    <cacheHierarchy uniqueName="[SalesLY].[LYSalesCostVATTRY]" caption="LYSalesCostVATTRY" attribute="1" defaultMemberUniqueName="[SalesLY].[LYSalesCostVATTRY].[All]" allUniqueName="[SalesLY].[LYSalesCostVATTRY].[All]" dimensionUniqueName="[SalesLY]" displayFolder="" count="0" unbalanced="0" hidden="1"/>
    <cacheHierarchy uniqueName="[SalesLY].[LYSalesCostVATUSD]" caption="LYSalesCostVATUSD" attribute="1" defaultMemberUniqueName="[SalesLY].[LYSalesCostVATUSD].[All]" allUniqueName="[SalesLY].[LYSalesCostVATUSD].[All]" dimensionUniqueName="[SalesLY]" displayFolder="" count="0" unbalanced="0" hidden="1"/>
    <cacheHierarchy uniqueName="[SalesLY].[LYSalesDiscountValueLC]" caption="LYSalesDiscountValueLC" attribute="1" defaultMemberUniqueName="[SalesLY].[LYSalesDiscountValueLC].[All]" allUniqueName="[SalesLY].[LYSalesDiscountValueLC].[All]" dimensionUniqueName="[SalesLY]" displayFolder="" count="0" unbalanced="0" hidden="1"/>
    <cacheHierarchy uniqueName="[SalesLY].[LYSalesDiscountValueTRY]" caption="LYSalesDiscountValueTRY" attribute="1" defaultMemberUniqueName="[SalesLY].[LYSalesDiscountValueTRY].[All]" allUniqueName="[SalesLY].[LYSalesDiscountValueTRY].[All]" dimensionUniqueName="[SalesLY]" displayFolder="" count="0" unbalanced="0" hidden="1"/>
    <cacheHierarchy uniqueName="[SalesLY].[LYSalesDiscountValueUSD]" caption="LYSalesDiscountValueUSD" attribute="1" defaultMemberUniqueName="[SalesLY].[LYSalesDiscountValueUSD].[All]" allUniqueName="[SalesLY].[LYSalesDiscountValueUSD].[All]" dimensionUniqueName="[SalesLY]" displayFolder="" count="0" unbalanced="0" hidden="1"/>
    <cacheHierarchy uniqueName="[SalesLY].[LYSalesDiscountValueVATLC]" caption="LYSalesDiscountValueVATLC" attribute="1" defaultMemberUniqueName="[SalesLY].[LYSalesDiscountValueVATLC].[All]" allUniqueName="[SalesLY].[LYSalesDiscountValueVATLC].[All]" dimensionUniqueName="[SalesLY]" displayFolder="" count="0" unbalanced="0" hidden="1"/>
    <cacheHierarchy uniqueName="[SalesLY].[LYSalesDiscountValueVATTRY]" caption="LYSalesDiscountValueVATTRY" attribute="1" defaultMemberUniqueName="[SalesLY].[LYSalesDiscountValueVATTRY].[All]" allUniqueName="[SalesLY].[LYSalesDiscountValueVATTRY].[All]" dimensionUniqueName="[SalesLY]" displayFolder="" count="0" unbalanced="0" hidden="1"/>
    <cacheHierarchy uniqueName="[SalesLY].[LYSalesDiscountValueVATUSD]" caption="LYSalesDiscountValueVATUSD" attribute="1" defaultMemberUniqueName="[SalesLY].[LYSalesDiscountValueVATUSD].[All]" allUniqueName="[SalesLY].[LYSalesDiscountValueVATUSD].[All]" dimensionUniqueName="[SalesLY]" displayFolder="" count="0" unbalanced="0" hidden="1"/>
    <cacheHierarchy uniqueName="[SalesLY].[LYSalesGrossProfitLC]" caption="LYSalesGrossProfitLC" attribute="1" defaultMemberUniqueName="[SalesLY].[LYSalesGrossProfitLC].[All]" allUniqueName="[SalesLY].[LYSalesGrossProfitLC].[All]" dimensionUniqueName="[SalesLY]" displayFolder="" count="0" unbalanced="0" hidden="1"/>
    <cacheHierarchy uniqueName="[SalesLY].[LYSalesGrossProfitTRY]" caption="LYSalesGrossProfitTRY" attribute="1" defaultMemberUniqueName="[SalesLY].[LYSalesGrossProfitTRY].[All]" allUniqueName="[SalesLY].[LYSalesGrossProfitTRY].[All]" dimensionUniqueName="[SalesLY]" displayFolder="" count="0" unbalanced="0" hidden="1"/>
    <cacheHierarchy uniqueName="[SalesLY].[LYSalesGrossProfitUSD]" caption="LYSalesGrossProfitUSD" attribute="1" defaultMemberUniqueName="[SalesLY].[LYSalesGrossProfitUSD].[All]" allUniqueName="[SalesLY].[LYSalesGrossProfitUSD].[All]" dimensionUniqueName="[SalesLY]" displayFolder="" count="0" unbalanced="0" hidden="1"/>
    <cacheHierarchy uniqueName="[SalesLY].[LYSalesGrossProfitVATLC]" caption="LYSalesGrossProfitVATLC" attribute="1" defaultMemberUniqueName="[SalesLY].[LYSalesGrossProfitVATLC].[All]" allUniqueName="[SalesLY].[LYSalesGrossProfitVATLC].[All]" dimensionUniqueName="[SalesLY]" displayFolder="" count="0" unbalanced="0" hidden="1"/>
    <cacheHierarchy uniqueName="[SalesLY].[LYSalesGrossProfitVATTRY]" caption="LYSalesGrossProfitVATTRY" attribute="1" defaultMemberUniqueName="[SalesLY].[LYSalesGrossProfitVATTRY].[All]" allUniqueName="[SalesLY].[LYSalesGrossProfitVATTRY].[All]" dimensionUniqueName="[SalesLY]" displayFolder="" count="0" unbalanced="0" hidden="1"/>
    <cacheHierarchy uniqueName="[SalesLY].[LYSalesGrossProfitVATUSD]" caption="LYSalesGrossProfitVATUSD" attribute="1" defaultMemberUniqueName="[SalesLY].[LYSalesGrossProfitVATUSD].[All]" allUniqueName="[SalesLY].[LYSalesGrossProfitVATUSD].[All]" dimensionUniqueName="[SalesLY]" displayFolder="" count="0" unbalanced="0" hidden="1"/>
    <cacheHierarchy uniqueName="[SalesLY].[LYSalesUnit]" caption="LYSalesUnit" attribute="1" defaultMemberUniqueName="[SalesLY].[LYSalesUnit].[All]" allUniqueName="[SalesLY].[LYSalesUnit].[All]" dimensionUniqueName="[SalesLY]" displayFolder="" count="0" unbalanced="0" hidden="1"/>
    <cacheHierarchy uniqueName="[SalesLY].[LYSalesValueCSPLC]" caption="LYSalesValueCSPLC" attribute="1" defaultMemberUniqueName="[SalesLY].[LYSalesValueCSPLC].[All]" allUniqueName="[SalesLY].[LYSalesValueCSPLC].[All]" dimensionUniqueName="[SalesLY]" displayFolder="" count="0" unbalanced="0" hidden="1"/>
    <cacheHierarchy uniqueName="[SalesLY].[LYSalesValueCSPTRY]" caption="LYSalesValueCSPTRY" attribute="1" defaultMemberUniqueName="[SalesLY].[LYSalesValueCSPTRY].[All]" allUniqueName="[SalesLY].[LYSalesValueCSPTRY].[All]" dimensionUniqueName="[SalesLY]" displayFolder="" count="0" unbalanced="0" hidden="1"/>
    <cacheHierarchy uniqueName="[SalesLY].[LYSalesValueCSPUSD]" caption="LYSalesValueCSPUSD" attribute="1" defaultMemberUniqueName="[SalesLY].[LYSalesValueCSPUSD].[All]" allUniqueName="[SalesLY].[LYSalesValueCSPUSD].[All]" dimensionUniqueName="[SalesLY]" displayFolder="" count="0" unbalanced="0" hidden="1"/>
    <cacheHierarchy uniqueName="[SalesLY].[LYSalesValueISPLC]" caption="LYSalesValueISPLC" attribute="1" defaultMemberUniqueName="[SalesLY].[LYSalesValueISPLC].[All]" allUniqueName="[SalesLY].[LYSalesValueISPLC].[All]" dimensionUniqueName="[SalesLY]" displayFolder="" count="0" unbalanced="0" hidden="1"/>
    <cacheHierarchy uniqueName="[SalesLY].[LYSalesValueISPTRY]" caption="LYSalesValueISPTRY" attribute="1" defaultMemberUniqueName="[SalesLY].[LYSalesValueISPTRY].[All]" allUniqueName="[SalesLY].[LYSalesValueISPTRY].[All]" dimensionUniqueName="[SalesLY]" displayFolder="" count="0" unbalanced="0" hidden="1"/>
    <cacheHierarchy uniqueName="[SalesLY].[LYSalesValueISPUSD]" caption="LYSalesValueISPUSD" attribute="1" defaultMemberUniqueName="[SalesLY].[LYSalesValueISPUSD].[All]" allUniqueName="[SalesLY].[LYSalesValueISPUSD].[All]" dimensionUniqueName="[SalesLY]" displayFolder="" count="0" unbalanced="0" hidden="1"/>
    <cacheHierarchy uniqueName="[SalesLY].[LYSalesValueLC]" caption="LYSalesValueLC" attribute="1" defaultMemberUniqueName="[SalesLY].[LYSalesValueLC].[All]" allUniqueName="[SalesLY].[LYSalesValueLC].[All]" dimensionUniqueName="[SalesLY]" displayFolder="" count="0" unbalanced="0" hidden="1"/>
    <cacheHierarchy uniqueName="[SalesLY].[LYSalesValueTRY]" caption="LYSalesValueTRY" attribute="1" defaultMemberUniqueName="[SalesLY].[LYSalesValueTRY].[All]" allUniqueName="[SalesLY].[LYSalesValueTRY].[All]" dimensionUniqueName="[SalesLY]" displayFolder="" count="0" unbalanced="0" hidden="1"/>
    <cacheHierarchy uniqueName="[SalesLY].[LYSalesValueUSD]" caption="LYSalesValueUSD" attribute="1" defaultMemberUniqueName="[SalesLY].[LYSalesValueUSD].[All]" allUniqueName="[SalesLY].[LYSalesValueUSD].[All]" dimensionUniqueName="[SalesLY]" displayFolder="" count="0" unbalanced="0" hidden="1"/>
    <cacheHierarchy uniqueName="[SalesLY].[LYSalesValueVATCSPLC]" caption="LYSalesValueVATCSPLC" attribute="1" defaultMemberUniqueName="[SalesLY].[LYSalesValueVATCSPLC].[All]" allUniqueName="[SalesLY].[LYSalesValueVATCSPLC].[All]" dimensionUniqueName="[SalesLY]" displayFolder="" count="0" unbalanced="0" hidden="1"/>
    <cacheHierarchy uniqueName="[SalesLY].[LYSalesValueVATCSPTRY]" caption="LYSalesValueVATCSPTRY" attribute="1" defaultMemberUniqueName="[SalesLY].[LYSalesValueVATCSPTRY].[All]" allUniqueName="[SalesLY].[LYSalesValueVATCSPTRY].[All]" dimensionUniqueName="[SalesLY]" displayFolder="" count="0" unbalanced="0" hidden="1"/>
    <cacheHierarchy uniqueName="[SalesLY].[LYSalesValueVATCSPUSD]" caption="LYSalesValueVATCSPUSD" attribute="1" defaultMemberUniqueName="[SalesLY].[LYSalesValueVATCSPUSD].[All]" allUniqueName="[SalesLY].[LYSalesValueVATCSPUSD].[All]" dimensionUniqueName="[SalesLY]" displayFolder="" count="0" unbalanced="0" hidden="1"/>
    <cacheHierarchy uniqueName="[SalesLY].[LYSalesValueVATISPLC]" caption="LYSalesValueVATISPLC" attribute="1" defaultMemberUniqueName="[SalesLY].[LYSalesValueVATISPLC].[All]" allUniqueName="[SalesLY].[LYSalesValueVATISPLC].[All]" dimensionUniqueName="[SalesLY]" displayFolder="" count="0" unbalanced="0" hidden="1"/>
    <cacheHierarchy uniqueName="[SalesLY].[LYSalesValueVATISPTRY]" caption="LYSalesValueVATISPTRY" attribute="1" defaultMemberUniqueName="[SalesLY].[LYSalesValueVATISPTRY].[All]" allUniqueName="[SalesLY].[LYSalesValueVATISPTRY].[All]" dimensionUniqueName="[SalesLY]" displayFolder="" count="0" unbalanced="0" hidden="1"/>
    <cacheHierarchy uniqueName="[SalesLY].[LYSalesValueVATISPUSD]" caption="LYSalesValueVATISPUSD" attribute="1" defaultMemberUniqueName="[SalesLY].[LYSalesValueVATISPUSD].[All]" allUniqueName="[SalesLY].[LYSalesValueVATISPUSD].[All]" dimensionUniqueName="[SalesLY]" displayFolder="" count="0" unbalanced="0" hidden="1"/>
    <cacheHierarchy uniqueName="[SalesLY].[LYSalesValueVATLC]" caption="LYSalesValueVATLC" attribute="1" defaultMemberUniqueName="[SalesLY].[LYSalesValueVATLC].[All]" allUniqueName="[SalesLY].[LYSalesValueVATLC].[All]" dimensionUniqueName="[SalesLY]" displayFolder="" count="0" unbalanced="0" hidden="1"/>
    <cacheHierarchy uniqueName="[SalesLY].[LYSalesValueVATTRY]" caption="LYSalesValueVATTRY" attribute="1" defaultMemberUniqueName="[SalesLY].[LYSalesValueVATTRY].[All]" allUniqueName="[SalesLY].[LYSalesValueVATTRY].[All]" dimensionUniqueName="[SalesLY]" displayFolder="" count="0" unbalanced="0" hidden="1"/>
    <cacheHierarchy uniqueName="[SalesLY].[LYSalesValueVATUSD]" caption="LYSalesValueVATUSD" attribute="1" defaultMemberUniqueName="[SalesLY].[LYSalesValueVATUSD].[All]" allUniqueName="[SalesLY].[LYSalesValueVATUSD].[All]" dimensionUniqueName="[SalesLY]" displayFolder="" count="0" unbalanced="0" hidden="1"/>
    <cacheHierarchy uniqueName="[SalesLY].[MaterialKey]" caption="MaterialKey" attribute="1" defaultMemberUniqueName="[SalesLY].[MaterialKey].[All]" allUniqueName="[SalesLY].[MaterialKey].[All]" dimensionUniqueName="[SalesLY]" displayFolder="" count="0" unbalanced="0" hidden="1"/>
    <cacheHierarchy uniqueName="[SalesLY].[OutletID]" caption="OutletID" attribute="1" defaultMemberUniqueName="[SalesLY].[OutletID].[All]" allUniqueName="[SalesLY].[OutletID].[All]" dimensionUniqueName="[SalesLY]" displayFolder="" count="0" unbalanced="0" hidden="1"/>
    <cacheHierarchy uniqueName="[SalesLY].[SalesChannelKey]" caption="SalesChannelKey" attribute="1" defaultMemberUniqueName="[SalesLY].[SalesChannelKey].[All]" allUniqueName="[SalesLY].[SalesChannelKey].[All]" dimensionUniqueName="[SalesLY]" displayFolder="" count="0" unbalanced="0" hidden="1"/>
    <cacheHierarchy uniqueName="[SalesLY].[SalesHour]" caption="SalesHour" attribute="1" defaultMemberUniqueName="[SalesLY].[SalesHour].[All]" allUniqueName="[SalesLY].[SalesHour].[All]" dimensionUniqueName="[SalesLY]" displayFolder="" count="0" unbalanced="0" hidden="1"/>
    <cacheHierarchy uniqueName="[SalesLY].[SalesInvoiceItem]" caption="SalesInvoiceItem" attribute="1" defaultMemberUniqueName="[SalesLY].[SalesInvoiceItem].[All]" allUniqueName="[SalesLY].[SalesInvoiceItem].[All]" dimensionUniqueName="[SalesLY]" displayFolder="" count="0" unbalanced="0" hidden="1"/>
    <cacheHierarchy uniqueName="[SalesLY].[SalesInvoiceNumber]" caption="SalesInvoiceNumber" attribute="1" defaultMemberUniqueName="[SalesLY].[SalesInvoiceNumber].[All]" allUniqueName="[SalesLY].[SalesInvoiceNumber].[All]" dimensionUniqueName="[SalesLY]" displayFolder="" count="0" unbalanced="0" hidden="1"/>
    <cacheHierarchy uniqueName="[SalesLY].[SalesSeasonID]" caption="SalesSeasonID" attribute="1" defaultMemberUniqueName="[SalesLY].[SalesSeasonID].[All]" allUniqueName="[SalesLY].[SalesSeasonID].[All]" dimensionUniqueName="[SalesLY]" displayFolder="" count="0" unbalanced="0" hidden="1"/>
    <cacheHierarchy uniqueName="[SalesLY].[SalesType]" caption="SalesType" attribute="1" defaultMemberUniqueName="[SalesLY].[SalesType].[All]" allUniqueName="[SalesLY].[SalesType].[All]" dimensionUniqueName="[SalesLY]" displayFolder="" count="0" unbalanced="0" hidden="1"/>
    <cacheHierarchy uniqueName="[SalesLY].[SalesUOM]" caption="SalesUOM" attribute="1" defaultMemberUniqueName="[SalesLY].[SalesUOM].[All]" allUniqueName="[SalesLY].[SalesUOM].[All]" dimensionUniqueName="[SalesLY]" displayFolder="" count="0" unbalanced="0" hidden="1"/>
    <cacheHierarchy uniqueName="[SalesLY].[SubDistChannelKey]" caption="SubDistChannelKey" attribute="1" defaultMemberUniqueName="[SalesLY].[SubDistChannelKey].[All]" allUniqueName="[SalesLY].[SubDistChannelKey].[All]" dimensionUniqueName="[SalesLY]" displayFolder="" count="0" unbalanced="0" hidden="1"/>
    <cacheHierarchy uniqueName="[SalesLY].[TYDate]" caption="TYDate" attribute="1" defaultMemberUniqueName="[SalesLY].[TYDate].[All]" allUniqueName="[SalesLY].[TYDate].[All]" dimensionUniqueName="[SalesLY]" displayFolder="" count="0" unbalanced="0" hidden="1"/>
    <cacheHierarchy uniqueName="[SalesTY].[CurrentSalesPriceID]" caption="CurrentSalesPriceID" attribute="1" defaultMemberUniqueName="[SalesTY].[CurrentSalesPriceID].[All]" allUniqueName="[SalesTY].[CurrentSalesPriceID].[All]" dimensionUniqueName="[SalesTY]" displayFolder="" count="0" unbalanced="0" hidden="1"/>
    <cacheHierarchy uniqueName="[SalesTY].[CustomerCode]" caption="CustomerCode" attribute="1" defaultMemberUniqueName="[SalesTY].[CustomerCode].[All]" allUniqueName="[SalesTY].[CustomerCode].[All]" dimensionUniqueName="[SalesTY]" displayFolder="" count="0" unbalanced="0" hidden="1"/>
    <cacheHierarchy uniqueName="[SalesTY].[InitialSalesPriceID]" caption="InitialSalesPriceID" attribute="1" defaultMemberUniqueName="[SalesTY].[InitialSalesPriceID].[All]" allUniqueName="[SalesTY].[InitialSalesPriceID].[All]" dimensionUniqueName="[SalesTY]" displayFolder="" count="0" unbalanced="0" hidden="1"/>
    <cacheHierarchy uniqueName="[SalesTY].[LFLFactor]" caption="LFLFactor" attribute="1" defaultMemberUniqueName="[SalesTY].[LFLFactor].[All]" allUniqueName="[SalesTY].[LFLFactor].[All]" dimensionUniqueName="[SalesTY]" displayFolder="" count="0" unbalanced="0" hidden="1"/>
    <cacheHierarchy uniqueName="[SalesTY].[LocationKey]" caption="LocationKey" attribute="1" defaultMemberUniqueName="[SalesTY].[LocationKey].[All]" allUniqueName="[SalesTY].[LocationKey].[All]" dimensionUniqueName="[SalesTY]" displayFolder="" count="0" unbalanced="0" hidden="1"/>
    <cacheHierarchy uniqueName="[SalesTY].[MaterialKey]" caption="MaterialKey" attribute="1" defaultMemberUniqueName="[SalesTY].[MaterialKey].[All]" allUniqueName="[SalesTY].[MaterialKey].[All]" dimensionUniqueName="[SalesTY]" displayFolder="" count="0" unbalanced="0" hidden="1"/>
    <cacheHierarchy uniqueName="[SalesTY].[OutletID]" caption="OutletID" attribute="1" defaultMemberUniqueName="[SalesTY].[OutletID].[All]" allUniqueName="[SalesTY].[OutletID].[All]" dimensionUniqueName="[SalesTY]" displayFolder="" count="0" unbalanced="0" hidden="1"/>
    <cacheHierarchy uniqueName="[SalesTY].[SalesChannelKey]" caption="SalesChannelKey" attribute="1" defaultMemberUniqueName="[SalesTY].[SalesChannelKey].[All]" allUniqueName="[SalesTY].[SalesChannelKey].[All]" dimensionUniqueName="[SalesTY]" displayFolder="" count="0" unbalanced="0" hidden="1"/>
    <cacheHierarchy uniqueName="[SalesTY].[SalesDate]" caption="SalesDate" attribute="1" defaultMemberUniqueName="[SalesTY].[SalesDate].[All]" allUniqueName="[SalesTY].[SalesDate].[All]" dimensionUniqueName="[SalesTY]" displayFolder="" count="0" unbalanced="0" hidden="1"/>
    <cacheHierarchy uniqueName="[SalesTY].[SalesHour]" caption="SalesHour" attribute="1" defaultMemberUniqueName="[SalesTY].[SalesHour].[All]" allUniqueName="[SalesTY].[SalesHour].[All]" dimensionUniqueName="[SalesTY]" displayFolder="" count="0" unbalanced="0" hidden="1"/>
    <cacheHierarchy uniqueName="[SalesTY].[SalesInvoiceItem]" caption="SalesInvoiceItem" attribute="1" defaultMemberUniqueName="[SalesTY].[SalesInvoiceItem].[All]" allUniqueName="[SalesTY].[SalesInvoiceItem].[All]" dimensionUniqueName="[SalesTY]" displayFolder="" count="0" unbalanced="0" hidden="1"/>
    <cacheHierarchy uniqueName="[SalesTY].[SalesInvoiceNumber]" caption="SalesInvoiceNumber" attribute="1" defaultMemberUniqueName="[SalesTY].[SalesInvoiceNumber].[All]" allUniqueName="[SalesTY].[SalesInvoiceNumber].[All]" dimensionUniqueName="[SalesTY]" displayFolder="" count="0" unbalanced="0" hidden="1"/>
    <cacheHierarchy uniqueName="[SalesTY].[SalesSeasonID]" caption="SalesSeasonID" attribute="1" defaultMemberUniqueName="[SalesTY].[SalesSeasonID].[All]" allUniqueName="[SalesTY].[SalesSeasonID].[All]" dimensionUniqueName="[SalesTY]" displayFolder="" count="0" unbalanced="0" hidden="1"/>
    <cacheHierarchy uniqueName="[SalesTY].[SalesType]" caption="SalesType" attribute="1" defaultMemberUniqueName="[SalesTY].[SalesType].[All]" allUniqueName="[SalesTY].[SalesType].[All]" dimensionUniqueName="[SalesTY]" displayFolder="" count="0" unbalanced="0" hidden="1"/>
    <cacheHierarchy uniqueName="[SalesTY].[SalesUOM]" caption="SalesUOM" attribute="1" defaultMemberUniqueName="[SalesTY].[SalesUOM].[All]" allUniqueName="[SalesTY].[SalesUOM].[All]" dimensionUniqueName="[SalesTY]" displayFolder="" count="0" unbalanced="0" hidden="1"/>
    <cacheHierarchy uniqueName="[SalesTY].[SubDistChannelKey]" caption="SubDistChannelKey" attribute="1" defaultMemberUniqueName="[SalesTY].[SubDistChannelKey].[All]" allUniqueName="[SalesTY].[SubDistChannelKey].[All]" dimensionUniqueName="[SalesTY]" displayFolder="" count="0" unbalanced="0" hidden="1"/>
    <cacheHierarchy uniqueName="[SalesTY].[TYSalesCostLC]" caption="TYSalesCostLC" attribute="1" defaultMemberUniqueName="[SalesTY].[TYSalesCostLC].[All]" allUniqueName="[SalesTY].[TYSalesCostLC].[All]" dimensionUniqueName="[SalesTY]" displayFolder="" count="0" unbalanced="0" hidden="1"/>
    <cacheHierarchy uniqueName="[SalesTY].[TYSalesCostLC_Orj]" caption="TYSalesCostLC_Orj" attribute="1" defaultMemberUniqueName="[SalesTY].[TYSalesCostLC_Orj].[All]" allUniqueName="[SalesTY].[TYSalesCostLC_Orj].[All]" dimensionUniqueName="[SalesTY]" displayFolder="" count="0" unbalanced="0" hidden="1"/>
    <cacheHierarchy uniqueName="[SalesTY].[TYSalesCostTRY]" caption="TYSalesCostTRY" attribute="1" defaultMemberUniqueName="[SalesTY].[TYSalesCostTRY].[All]" allUniqueName="[SalesTY].[TYSalesCostTRY].[All]" dimensionUniqueName="[SalesTY]" displayFolder="" count="0" unbalanced="0" hidden="1"/>
    <cacheHierarchy uniqueName="[SalesTY].[TYSalesCostUSD]" caption="TYSalesCostUSD" attribute="1" defaultMemberUniqueName="[SalesTY].[TYSalesCostUSD].[All]" allUniqueName="[SalesTY].[TYSalesCostUSD].[All]" dimensionUniqueName="[SalesTY]" displayFolder="" count="0" unbalanced="0" hidden="1"/>
    <cacheHierarchy uniqueName="[SalesTY].[TYSalesCostVATLC]" caption="TYSalesCostVATLC" attribute="1" defaultMemberUniqueName="[SalesTY].[TYSalesCostVATLC].[All]" allUniqueName="[SalesTY].[TYSalesCostVATLC].[All]" dimensionUniqueName="[SalesTY]" displayFolder="" count="0" unbalanced="0" hidden="1"/>
    <cacheHierarchy uniqueName="[SalesTY].[TYSalesCostVATTRY]" caption="TYSalesCostVATTRY" attribute="1" defaultMemberUniqueName="[SalesTY].[TYSalesCostVATTRY].[All]" allUniqueName="[SalesTY].[TYSalesCostVATTRY].[All]" dimensionUniqueName="[SalesTY]" displayFolder="" count="0" unbalanced="0" hidden="1"/>
    <cacheHierarchy uniqueName="[SalesTY].[TYSalesCostVATUSD]" caption="TYSalesCostVATUSD" attribute="1" defaultMemberUniqueName="[SalesTY].[TYSalesCostVATUSD].[All]" allUniqueName="[SalesTY].[TYSalesCostVATUSD].[All]" dimensionUniqueName="[SalesTY]" displayFolder="" count="0" unbalanced="0" hidden="1"/>
    <cacheHierarchy uniqueName="[SalesTY].[TYSalesDiscountValueLC]" caption="TYSalesDiscountValueLC" attribute="1" defaultMemberUniqueName="[SalesTY].[TYSalesDiscountValueLC].[All]" allUniqueName="[SalesTY].[TYSalesDiscountValueLC].[All]" dimensionUniqueName="[SalesTY]" displayFolder="" count="0" unbalanced="0" hidden="1"/>
    <cacheHierarchy uniqueName="[SalesTY].[TYSalesDiscountValueTRY]" caption="TYSalesDiscountValueTRY" attribute="1" defaultMemberUniqueName="[SalesTY].[TYSalesDiscountValueTRY].[All]" allUniqueName="[SalesTY].[TYSalesDiscountValueTRY].[All]" dimensionUniqueName="[SalesTY]" displayFolder="" count="0" unbalanced="0" hidden="1"/>
    <cacheHierarchy uniqueName="[SalesTY].[TYSalesDiscountValueUSD]" caption="TYSalesDiscountValueUSD" attribute="1" defaultMemberUniqueName="[SalesTY].[TYSalesDiscountValueUSD].[All]" allUniqueName="[SalesTY].[TYSalesDiscountValueUSD].[All]" dimensionUniqueName="[SalesTY]" displayFolder="" count="0" unbalanced="0" hidden="1"/>
    <cacheHierarchy uniqueName="[SalesTY].[TYSalesDiscountValueVATLC]" caption="TYSalesDiscountValueVATLC" attribute="1" defaultMemberUniqueName="[SalesTY].[TYSalesDiscountValueVATLC].[All]" allUniqueName="[SalesTY].[TYSalesDiscountValueVATLC].[All]" dimensionUniqueName="[SalesTY]" displayFolder="" count="0" unbalanced="0" hidden="1"/>
    <cacheHierarchy uniqueName="[SalesTY].[TYSalesDiscountValueVATTRY]" caption="TYSalesDiscountValueVATTRY" attribute="1" defaultMemberUniqueName="[SalesTY].[TYSalesDiscountValueVATTRY].[All]" allUniqueName="[SalesTY].[TYSalesDiscountValueVATTRY].[All]" dimensionUniqueName="[SalesTY]" displayFolder="" count="0" unbalanced="0" hidden="1"/>
    <cacheHierarchy uniqueName="[SalesTY].[TYSalesDiscountValueVATUSD]" caption="TYSalesDiscountValueVATUSD" attribute="1" defaultMemberUniqueName="[SalesTY].[TYSalesDiscountValueVATUSD].[All]" allUniqueName="[SalesTY].[TYSalesDiscountValueVATUSD].[All]" dimensionUniqueName="[SalesTY]" displayFolder="" count="0" unbalanced="0" hidden="1"/>
    <cacheHierarchy uniqueName="[SalesTY].[TYSalesGrossProfitLC]" caption="TYSalesGrossProfitLC" attribute="1" defaultMemberUniqueName="[SalesTY].[TYSalesGrossProfitLC].[All]" allUniqueName="[SalesTY].[TYSalesGrossProfitLC].[All]" dimensionUniqueName="[SalesTY]" displayFolder="" count="0" unbalanced="0" hidden="1"/>
    <cacheHierarchy uniqueName="[SalesTY].[TYSalesGrossProfitTRY]" caption="TYSalesGrossProfitTRY" attribute="1" defaultMemberUniqueName="[SalesTY].[TYSalesGrossProfitTRY].[All]" allUniqueName="[SalesTY].[TYSalesGrossProfitTRY].[All]" dimensionUniqueName="[SalesTY]" displayFolder="" count="0" unbalanced="0" hidden="1"/>
    <cacheHierarchy uniqueName="[SalesTY].[TYSalesGrossProfitUSD]" caption="TYSalesGrossProfitUSD" attribute="1" defaultMemberUniqueName="[SalesTY].[TYSalesGrossProfitUSD].[All]" allUniqueName="[SalesTY].[TYSalesGrossProfitUSD].[All]" dimensionUniqueName="[SalesTY]" displayFolder="" count="0" unbalanced="0" hidden="1"/>
    <cacheHierarchy uniqueName="[SalesTY].[TYSalesGrossProfitVATLC]" caption="TYSalesGrossProfitVATLC" attribute="1" defaultMemberUniqueName="[SalesTY].[TYSalesGrossProfitVATLC].[All]" allUniqueName="[SalesTY].[TYSalesGrossProfitVATLC].[All]" dimensionUniqueName="[SalesTY]" displayFolder="" count="0" unbalanced="0" hidden="1"/>
    <cacheHierarchy uniqueName="[SalesTY].[TYSalesGrossProfitVATTRY]" caption="TYSalesGrossProfitVATTRY" attribute="1" defaultMemberUniqueName="[SalesTY].[TYSalesGrossProfitVATTRY].[All]" allUniqueName="[SalesTY].[TYSalesGrossProfitVATTRY].[All]" dimensionUniqueName="[SalesTY]" displayFolder="" count="0" unbalanced="0" hidden="1"/>
    <cacheHierarchy uniqueName="[SalesTY].[TYSalesGrossProfitVATUSD]" caption="TYSalesGrossProfitVATUSD" attribute="1" defaultMemberUniqueName="[SalesTY].[TYSalesGrossProfitVATUSD].[All]" allUniqueName="[SalesTY].[TYSalesGrossProfitVATUSD].[All]" dimensionUniqueName="[SalesTY]" displayFolder="" count="0" unbalanced="0" hidden="1"/>
    <cacheHierarchy uniqueName="[SalesTY].[TYSalesUnit]" caption="TYSalesUnit" attribute="1" defaultMemberUniqueName="[SalesTY].[TYSalesUnit].[All]" allUniqueName="[SalesTY].[TYSalesUnit].[All]" dimensionUniqueName="[SalesTY]" displayFolder="" count="0" unbalanced="0" hidden="1"/>
    <cacheHierarchy uniqueName="[SalesTY].[TYSalesValueCSPLC]" caption="TYSalesValueCSPLC" attribute="1" defaultMemberUniqueName="[SalesTY].[TYSalesValueCSPLC].[All]" allUniqueName="[SalesTY].[TYSalesValueCSPLC].[All]" dimensionUniqueName="[SalesTY]" displayFolder="" count="0" unbalanced="0" hidden="1"/>
    <cacheHierarchy uniqueName="[SalesTY].[TYSalesValueCSPTRY]" caption="TYSalesValueCSPTRY" attribute="1" defaultMemberUniqueName="[SalesTY].[TYSalesValueCSPTRY].[All]" allUniqueName="[SalesTY].[TYSalesValueCSPTRY].[All]" dimensionUniqueName="[SalesTY]" displayFolder="" count="0" unbalanced="0" hidden="1"/>
    <cacheHierarchy uniqueName="[SalesTY].[TYSalesValueCSPUSD]" caption="TYSalesValueCSPUSD" attribute="1" defaultMemberUniqueName="[SalesTY].[TYSalesValueCSPUSD].[All]" allUniqueName="[SalesTY].[TYSalesValueCSPUSD].[All]" dimensionUniqueName="[SalesTY]" displayFolder="" count="0" unbalanced="0" hidden="1"/>
    <cacheHierarchy uniqueName="[SalesTY].[TYSalesValueISPLC]" caption="TYSalesValueISPLC" attribute="1" defaultMemberUniqueName="[SalesTY].[TYSalesValueISPLC].[All]" allUniqueName="[SalesTY].[TYSalesValueISPLC].[All]" dimensionUniqueName="[SalesTY]" displayFolder="" count="0" unbalanced="0" hidden="1"/>
    <cacheHierarchy uniqueName="[SalesTY].[TYSalesValueISPTRY]" caption="TYSalesValueISPTRY" attribute="1" defaultMemberUniqueName="[SalesTY].[TYSalesValueISPTRY].[All]" allUniqueName="[SalesTY].[TYSalesValueISPTRY].[All]" dimensionUniqueName="[SalesTY]" displayFolder="" count="0" unbalanced="0" hidden="1"/>
    <cacheHierarchy uniqueName="[SalesTY].[TYSalesValueISPUSD]" caption="TYSalesValueISPUSD" attribute="1" defaultMemberUniqueName="[SalesTY].[TYSalesValueISPUSD].[All]" allUniqueName="[SalesTY].[TYSalesValueISPUSD].[All]" dimensionUniqueName="[SalesTY]" displayFolder="" count="0" unbalanced="0" hidden="1"/>
    <cacheHierarchy uniqueName="[SalesTY].[TYSalesValueLC]" caption="TYSalesValueLC" attribute="1" defaultMemberUniqueName="[SalesTY].[TYSalesValueLC].[All]" allUniqueName="[SalesTY].[TYSalesValueLC].[All]" dimensionUniqueName="[SalesTY]" displayFolder="" count="0" unbalanced="0" hidden="1"/>
    <cacheHierarchy uniqueName="[SalesTY].[TYSalesValueTRY]" caption="TYSalesValueTRY" attribute="1" defaultMemberUniqueName="[SalesTY].[TYSalesValueTRY].[All]" allUniqueName="[SalesTY].[TYSalesValueTRY].[All]" dimensionUniqueName="[SalesTY]" displayFolder="" count="0" unbalanced="0" hidden="1"/>
    <cacheHierarchy uniqueName="[SalesTY].[TYSalesValueUSD]" caption="TYSalesValueUSD" attribute="1" defaultMemberUniqueName="[SalesTY].[TYSalesValueUSD].[All]" allUniqueName="[SalesTY].[TYSalesValueUSD].[All]" dimensionUniqueName="[SalesTY]" displayFolder="" count="0" unbalanced="0" hidden="1"/>
    <cacheHierarchy uniqueName="[SalesTY].[TYSalesValueVATCSPLC]" caption="TYSalesValueVATCSPLC" attribute="1" defaultMemberUniqueName="[SalesTY].[TYSalesValueVATCSPLC].[All]" allUniqueName="[SalesTY].[TYSalesValueVATCSPLC].[All]" dimensionUniqueName="[SalesTY]" displayFolder="" count="0" unbalanced="0" hidden="1"/>
    <cacheHierarchy uniqueName="[SalesTY].[TYSalesValueVATCSPTRY]" caption="TYSalesValueVATCSPTRY" attribute="1" defaultMemberUniqueName="[SalesTY].[TYSalesValueVATCSPTRY].[All]" allUniqueName="[SalesTY].[TYSalesValueVATCSPTRY].[All]" dimensionUniqueName="[SalesTY]" displayFolder="" count="0" unbalanced="0" hidden="1"/>
    <cacheHierarchy uniqueName="[SalesTY].[TYSalesValueVATCSPUSD]" caption="TYSalesValueVATCSPUSD" attribute="1" defaultMemberUniqueName="[SalesTY].[TYSalesValueVATCSPUSD].[All]" allUniqueName="[SalesTY].[TYSalesValueVATCSPUSD].[All]" dimensionUniqueName="[SalesTY]" displayFolder="" count="0" unbalanced="0" hidden="1"/>
    <cacheHierarchy uniqueName="[SalesTY].[TYSalesValueVATISPLC]" caption="TYSalesValueVATISPLC" attribute="1" defaultMemberUniqueName="[SalesTY].[TYSalesValueVATISPLC].[All]" allUniqueName="[SalesTY].[TYSalesValueVATISPLC].[All]" dimensionUniqueName="[SalesTY]" displayFolder="" count="0" unbalanced="0" hidden="1"/>
    <cacheHierarchy uniqueName="[SalesTY].[TYSalesValueVATISPTRY]" caption="TYSalesValueVATISPTRY" attribute="1" defaultMemberUniqueName="[SalesTY].[TYSalesValueVATISPTRY].[All]" allUniqueName="[SalesTY].[TYSalesValueVATISPTRY].[All]" dimensionUniqueName="[SalesTY]" displayFolder="" count="0" unbalanced="0" hidden="1"/>
    <cacheHierarchy uniqueName="[SalesTY].[TYSalesValueVATISPUSD]" caption="TYSalesValueVATISPUSD" attribute="1" defaultMemberUniqueName="[SalesTY].[TYSalesValueVATISPUSD].[All]" allUniqueName="[SalesTY].[TYSalesValueVATISPUSD].[All]" dimensionUniqueName="[SalesTY]" displayFolder="" count="0" unbalanced="0" hidden="1"/>
    <cacheHierarchy uniqueName="[SalesTY].[TYSalesValueVATLC]" caption="TYSalesValueVATLC" attribute="1" defaultMemberUniqueName="[SalesTY].[TYSalesValueVATLC].[All]" allUniqueName="[SalesTY].[TYSalesValueVATLC].[All]" dimensionUniqueName="[SalesTY]" displayFolder="" count="0" unbalanced="0" hidden="1"/>
    <cacheHierarchy uniqueName="[SalesTY].[TYSalesValueVATTRY]" caption="TYSalesValueVATTRY" attribute="1" defaultMemberUniqueName="[SalesTY].[TYSalesValueVATTRY].[All]" allUniqueName="[SalesTY].[TYSalesValueVATTRY].[All]" dimensionUniqueName="[SalesTY]" displayFolder="" count="0" unbalanced="0" hidden="1"/>
    <cacheHierarchy uniqueName="[SalesTY].[TYSalesValueVATUSD]" caption="TYSalesValueVATUSD" attribute="1" defaultMemberUniqueName="[SalesTY].[TYSalesValueVATUSD].[All]" allUniqueName="[SalesTY].[TYSalesValueVATUSD].[All]" dimensionUniqueName="[SalesTY]" displayFolder="" count="0" unbalanced="0" hidden="1"/>
    <cacheHierarchy uniqueName="[StockDC].[CompanyUnitCost]" caption="CompanyUnitCost" attribute="1" defaultMemberUniqueName="[StockDC].[CompanyUnitCost].[All]" allUniqueName="[StockDC].[CompanyUnitCost].[All]" dimensionUniqueName="[StockDC]" displayFolder="" count="0" unbalanced="0" hidden="1"/>
    <cacheHierarchy uniqueName="[StockDC].[EURExcRate]" caption="EURExcRate" attribute="1" defaultMemberUniqueName="[StockDC].[EURExcRate].[All]" allUniqueName="[StockDC].[EURExcRate].[All]" dimensionUniqueName="[StockDC]" displayFolder="" count="0" unbalanced="0" hidden="1"/>
    <cacheHierarchy uniqueName="[StockDC].[InitialSalesPriceID]" caption="InitialSalesPriceID" attribute="1" defaultMemberUniqueName="[StockDC].[InitialSalesPriceID].[All]" allUniqueName="[StockDC].[InitialSalesPriceID].[All]" dimensionUniqueName="[StockDC]" displayFolder="" count="0" unbalanced="0" hidden="1"/>
    <cacheHierarchy uniqueName="[StockDC].[LCExcRate]" caption="LCExcRate" attribute="1" defaultMemberUniqueName="[StockDC].[LCExcRate].[All]" allUniqueName="[StockDC].[LCExcRate].[All]" dimensionUniqueName="[StockDC]" displayFolder="" count="0" unbalanced="0" hidden="1"/>
    <cacheHierarchy uniqueName="[StockDC].[LFLFactor]" caption="LFLFactor" attribute="1" defaultMemberUniqueName="[StockDC].[LFLFactor].[All]" allUniqueName="[StockDC].[LFLFactor].[All]" dimensionUniqueName="[StockDC]" displayFolder="" count="0" unbalanced="0" hidden="1"/>
    <cacheHierarchy uniqueName="[StockDC].[MaterialKey]" caption="MaterialKey" attribute="1" defaultMemberUniqueName="[StockDC].[MaterialKey].[All]" allUniqueName="[StockDC].[MaterialKey].[All]" dimensionUniqueName="[StockDC]" displayFolder="" count="0" unbalanced="0" hidden="1"/>
    <cacheHierarchy uniqueName="[StockDC].[OutletID]" caption="OutletID" attribute="1" defaultMemberUniqueName="[StockDC].[OutletID].[All]" allUniqueName="[StockDC].[OutletID].[All]" dimensionUniqueName="[StockDC]" displayFolder="" count="0" unbalanced="0" hidden="1"/>
    <cacheHierarchy uniqueName="[StockDC].[SalesChannelKey]" caption="SalesChannelKey" attribute="1" defaultMemberUniqueName="[StockDC].[SalesChannelKey].[All]" allUniqueName="[StockDC].[SalesChannelKey].[All]" dimensionUniqueName="[StockDC]" displayFolder="" count="0" unbalanced="0" hidden="1"/>
    <cacheHierarchy uniqueName="[StockDC].[SalesSeasonID]" caption="SalesSeasonID" attribute="1" defaultMemberUniqueName="[StockDC].[SalesSeasonID].[All]" allUniqueName="[StockDC].[SalesSeasonID].[All]" dimensionUniqueName="[StockDC]" displayFolder="" count="0" unbalanced="0" hidden="1"/>
    <cacheHierarchy uniqueName="[StockDC].[StockDate]" caption="StockDate" attribute="1" defaultMemberUniqueName="[StockDC].[StockDate].[All]" allUniqueName="[StockDC].[StockDate].[All]" dimensionUniqueName="[StockDC]" displayFolder="" count="0" unbalanced="0" hidden="1"/>
    <cacheHierarchy uniqueName="[StockDC].[StockUnit]" caption="StockUnit" attribute="1" defaultMemberUniqueName="[StockDC].[StockUnit].[All]" allUniqueName="[StockDC].[StockUnit].[All]" dimensionUniqueName="[StockDC]" displayFolder="" count="0" unbalanced="0" hidden="1"/>
    <cacheHierarchy uniqueName="[StockDC].[SubLocationKey]" caption="SubLocationKey" attribute="1" defaultMemberUniqueName="[StockDC].[SubLocationKey].[All]" allUniqueName="[StockDC].[SubLocationKey].[All]" dimensionUniqueName="[StockDC]" displayFolder="" count="0" unbalanced="0" hidden="1"/>
    <cacheHierarchy uniqueName="[StockDC].[TransitStockUnit]" caption="TransitStockUnit" attribute="1" defaultMemberUniqueName="[StockDC].[TransitStockUnit].[All]" allUniqueName="[StockDC].[TransitStockUnit].[All]" dimensionUniqueName="[StockDC]" displayFolder="" count="0" unbalanced="0" hidden="1"/>
    <cacheHierarchy uniqueName="[StockDC].[TRYExcRate]" caption="TRYExcRate" attribute="1" defaultMemberUniqueName="[StockDC].[TRYExcRate].[All]" allUniqueName="[StockDC].[TRYExcRate].[All]" dimensionUniqueName="[StockDC]" displayFolder="" count="0" unbalanced="0" hidden="1"/>
    <cacheHierarchy uniqueName="[StockDC].[UnitCost]" caption="UnitCost" attribute="1" defaultMemberUniqueName="[StockDC].[UnitCost].[All]" allUniqueName="[StockDC].[UnitCost].[All]" dimensionUniqueName="[StockDC]" displayFolder="" count="0" unbalanced="0" hidden="1"/>
    <cacheHierarchy uniqueName="[StockDC].[USDExcRate]" caption="USDExcRate" attribute="1" defaultMemberUniqueName="[StockDC].[USDExcRate].[All]" allUniqueName="[StockDC].[USDExcRate].[All]" dimensionUniqueName="[StockDC]" displayFolder="" count="0" unbalanced="0" hidden="1"/>
    <cacheHierarchy uniqueName="[StockDCLY].[CompanyUnitCost]" caption="CompanyUnitCost" attribute="1" defaultMemberUniqueName="[StockDCLY].[CompanyUnitCost].[All]" allUniqueName="[StockDCLY].[CompanyUnitCost].[All]" dimensionUniqueName="[StockDCLY]" displayFolder="" count="0" unbalanced="0" hidden="1"/>
    <cacheHierarchy uniqueName="[StockDCLY].[InitialSalesPriceID]" caption="InitialSalesPriceID" attribute="1" defaultMemberUniqueName="[StockDCLY].[InitialSalesPriceID].[All]" allUniqueName="[StockDCLY].[InitialSalesPriceID].[All]" dimensionUniqueName="[StockDCLY]" displayFolder="" count="0" unbalanced="0" hidden="1"/>
    <cacheHierarchy uniqueName="[StockDCLY].[MaterialKey]" caption="MaterialKey" attribute="1" defaultMemberUniqueName="[StockDCLY].[MaterialKey].[All]" allUniqueName="[StockDCLY].[MaterialKey].[All]" dimensionUniqueName="[StockDCLY]" displayFolder="" count="0" unbalanced="0" hidden="1"/>
    <cacheHierarchy uniqueName="[StockDCLY].[OutletID]" caption="OutletID" attribute="1" defaultMemberUniqueName="[StockDCLY].[OutletID].[All]" allUniqueName="[StockDCLY].[OutletID].[All]" dimensionUniqueName="[StockDCLY]" displayFolder="" count="0" unbalanced="0" hidden="1"/>
    <cacheHierarchy uniqueName="[StockDCLY].[SalesChannelKey]" caption="SalesChannelKey" attribute="1" defaultMemberUniqueName="[StockDCLY].[SalesChannelKey].[All]" allUniqueName="[StockDCLY].[SalesChannelKey].[All]" dimensionUniqueName="[StockDCLY]" displayFolder="" count="0" unbalanced="0" hidden="1"/>
    <cacheHierarchy uniqueName="[StockDCLY].[SalesSeasonID]" caption="SalesSeasonID" attribute="1" defaultMemberUniqueName="[StockDCLY].[SalesSeasonID].[All]" allUniqueName="[StockDCLY].[SalesSeasonID].[All]" dimensionUniqueName="[StockDCLY]" displayFolder="" count="0" unbalanced="0" hidden="1"/>
    <cacheHierarchy uniqueName="[StockDCLY].[StockUnit]" caption="StockUnit" attribute="1" defaultMemberUniqueName="[StockDCLY].[StockUnit].[All]" allUniqueName="[StockDCLY].[StockUnit].[All]" dimensionUniqueName="[StockDCLY]" displayFolder="" count="0" unbalanced="0" hidden="1"/>
    <cacheHierarchy uniqueName="[StockDCLY].[SubLocationKey]" caption="SubLocationKey" attribute="1" defaultMemberUniqueName="[StockDCLY].[SubLocationKey].[All]" allUniqueName="[StockDCLY].[SubLocationKey].[All]" dimensionUniqueName="[StockDCLY]" displayFolder="" count="0" unbalanced="0" hidden="1"/>
    <cacheHierarchy uniqueName="[StockDCLY].[TRYExcRate]" caption="TRYExcRate" attribute="1" defaultMemberUniqueName="[StockDCLY].[TRYExcRate].[All]" allUniqueName="[StockDCLY].[TRYExcRate].[All]" dimensionUniqueName="[StockDCLY]" displayFolder="" count="0" unbalanced="0" hidden="1"/>
    <cacheHierarchy uniqueName="[StockDCLY].[TYDate]" caption="TYDate" attribute="1" defaultMemberUniqueName="[StockDCLY].[TYDate].[All]" allUniqueName="[StockDCLY].[TYDate].[All]" dimensionUniqueName="[StockDCLY]" displayFolder="" count="0" unbalanced="0" hidden="1"/>
    <cacheHierarchy uniqueName="[StockDCLY].[UnitCost]" caption="UnitCost" attribute="1" defaultMemberUniqueName="[StockDCLY].[UnitCost].[All]" allUniqueName="[StockDCLY].[UnitCost].[All]" dimensionUniqueName="[StockDCLY]" displayFolder="" count="0" unbalanced="0" hidden="1"/>
    <cacheHierarchy uniqueName="[StockDCLY].[USDExcRate]" caption="USDExcRate" attribute="1" defaultMemberUniqueName="[StockDCLY].[USDExcRate].[All]" allUniqueName="[StockDCLY].[USDExcRate].[All]" dimensionUniqueName="[StockDCLY]" displayFolder="" count="0" unbalanced="0" hidden="1"/>
    <cacheHierarchy uniqueName="[StockStore].[CompanyUnitCost]" caption="CompanyUnitCost" attribute="1" defaultMemberUniqueName="[StockStore].[CompanyUnitCost].[All]" allUniqueName="[StockStore].[CompanyUnitCost].[All]" dimensionUniqueName="[StockStore]" displayFolder="" count="0" unbalanced="0" hidden="1"/>
    <cacheHierarchy uniqueName="[StockStore].[EURExcRate]" caption="EURExcRate" attribute="1" defaultMemberUniqueName="[StockStore].[EURExcRate].[All]" allUniqueName="[StockStore].[EURExcRate].[All]" dimensionUniqueName="[StockStore]" displayFolder="" count="0" unbalanced="0" hidden="1"/>
    <cacheHierarchy uniqueName="[StockStore].[InitialSalesPriceID]" caption="InitialSalesPriceID" attribute="1" defaultMemberUniqueName="[StockStore].[InitialSalesPriceID].[All]" allUniqueName="[StockStore].[InitialSalesPriceID].[All]" dimensionUniqueName="[StockStore]" displayFolder="" count="0" unbalanced="0" hidden="1"/>
    <cacheHierarchy uniqueName="[StockStore].[LCExcRate]" caption="LCExcRate" attribute="1" defaultMemberUniqueName="[StockStore].[LCExcRate].[All]" allUniqueName="[StockStore].[LCExcRate].[All]" dimensionUniqueName="[StockStore]" displayFolder="" count="0" unbalanced="0" hidden="1"/>
    <cacheHierarchy uniqueName="[StockStore].[LFLFactor]" caption="LFLFactor" attribute="1" defaultMemberUniqueName="[StockStore].[LFLFactor].[All]" allUniqueName="[StockStore].[LFLFactor].[All]" dimensionUniqueName="[StockStore]" displayFolder="" count="0" unbalanced="0" hidden="1"/>
    <cacheHierarchy uniqueName="[StockStore].[LocationKey]" caption="LocationKey" attribute="1" defaultMemberUniqueName="[StockStore].[LocationKey].[All]" allUniqueName="[StockStore].[LocationKey].[All]" dimensionUniqueName="[StockStore]" displayFolder="" count="0" unbalanced="0" hidden="1"/>
    <cacheHierarchy uniqueName="[StockStore].[MaterialKey]" caption="MaterialKey" attribute="1" defaultMemberUniqueName="[StockStore].[MaterialKey].[All]" allUniqueName="[StockStore].[MaterialKey].[All]" dimensionUniqueName="[StockStore]" displayFolder="" count="0" unbalanced="0" hidden="1"/>
    <cacheHierarchy uniqueName="[StockStore].[OtherStockUnit]" caption="OtherStockUnit" attribute="1" defaultMemberUniqueName="[StockStore].[OtherStockUnit].[All]" allUniqueName="[StockStore].[OtherStockUnit].[All]" dimensionUniqueName="[StockStore]" displayFolder="" count="0" unbalanced="0" hidden="1"/>
    <cacheHierarchy uniqueName="[StockStore].[OutletID]" caption="OutletID" attribute="1" defaultMemberUniqueName="[StockStore].[OutletID].[All]" allUniqueName="[StockStore].[OutletID].[All]" dimensionUniqueName="[StockStore]" displayFolder="" count="0" unbalanced="0" hidden="1"/>
    <cacheHierarchy uniqueName="[StockStore].[SalesChannelKey]" caption="SalesChannelKey" attribute="1" defaultMemberUniqueName="[StockStore].[SalesChannelKey].[All]" allUniqueName="[StockStore].[SalesChannelKey].[All]" dimensionUniqueName="[StockStore]" displayFolder="" count="0" unbalanced="0" hidden="1"/>
    <cacheHierarchy uniqueName="[StockStore].[SalesSeasonID]" caption="SalesSeasonID" attribute="1" defaultMemberUniqueName="[StockStore].[SalesSeasonID].[All]" allUniqueName="[StockStore].[SalesSeasonID].[All]" dimensionUniqueName="[StockStore]" displayFolder="" count="0" unbalanced="0" hidden="1"/>
    <cacheHierarchy uniqueName="[StockStore].[StockDate]" caption="StockDate" attribute="1" defaultMemberUniqueName="[StockStore].[StockDate].[All]" allUniqueName="[StockStore].[StockDate].[All]" dimensionUniqueName="[StockStore]" displayFolder="" count="0" unbalanced="0" hidden="1"/>
    <cacheHierarchy uniqueName="[StockStore].[StockUnit]" caption="StockUnit" attribute="1" defaultMemberUniqueName="[StockStore].[StockUnit].[All]" allUniqueName="[StockStore].[StockUnit].[All]" dimensionUniqueName="[StockStore]" displayFolder="" count="0" unbalanced="0" hidden="1"/>
    <cacheHierarchy uniqueName="[StockStore].[TransitStockUnit]" caption="TransitStockUnit" attribute="1" defaultMemberUniqueName="[StockStore].[TransitStockUnit].[All]" allUniqueName="[StockStore].[TransitStockUnit].[All]" dimensionUniqueName="[StockStore]" displayFolder="" count="0" unbalanced="0" hidden="1"/>
    <cacheHierarchy uniqueName="[StockStore].[TRYExcRate]" caption="TRYExcRate" attribute="1" defaultMemberUniqueName="[StockStore].[TRYExcRate].[All]" allUniqueName="[StockStore].[TRYExcRate].[All]" dimensionUniqueName="[StockStore]" displayFolder="" count="0" unbalanced="0" hidden="1"/>
    <cacheHierarchy uniqueName="[StockStore].[UnitCost]" caption="UnitCost" attribute="1" defaultMemberUniqueName="[StockStore].[UnitCost].[All]" allUniqueName="[StockStore].[UnitCost].[All]" dimensionUniqueName="[StockStore]" displayFolder="" count="0" unbalanced="0" hidden="1"/>
    <cacheHierarchy uniqueName="[StockStore].[USDExcRate]" caption="USDExcRate" attribute="1" defaultMemberUniqueName="[StockStore].[USDExcRate].[All]" allUniqueName="[StockStore].[USDExcRate].[All]" dimensionUniqueName="[StockStore]" displayFolder="" count="0" unbalanced="0" hidden="1"/>
    <cacheHierarchy uniqueName="[StockStoreLY].[CompanyUnitCost]" caption="CompanyUnitCost" attribute="1" defaultMemberUniqueName="[StockStoreLY].[CompanyUnitCost].[All]" allUniqueName="[StockStoreLY].[CompanyUnitCost].[All]" dimensionUniqueName="[StockStoreLY]" displayFolder="" count="0" unbalanced="0" hidden="1"/>
    <cacheHierarchy uniqueName="[StockStoreLY].[InitialSalesPriceID]" caption="InitialSalesPriceID" attribute="1" defaultMemberUniqueName="[StockStoreLY].[InitialSalesPriceID].[All]" allUniqueName="[StockStoreLY].[InitialSalesPriceID].[All]" dimensionUniqueName="[StockStoreLY]" displayFolder="" count="0" unbalanced="0" hidden="1"/>
    <cacheHierarchy uniqueName="[StockStoreLY].[LFLFactor]" caption="LFLFactor" attribute="1" defaultMemberUniqueName="[StockStoreLY].[LFLFactor].[All]" allUniqueName="[StockStoreLY].[LFLFactor].[All]" dimensionUniqueName="[StockStoreLY]" displayFolder="" count="0" unbalanced="0" hidden="1"/>
    <cacheHierarchy uniqueName="[StockStoreLY].[LocationKey]" caption="LocationKey" attribute="1" defaultMemberUniqueName="[StockStoreLY].[LocationKey].[All]" allUniqueName="[StockStoreLY].[LocationKey].[All]" dimensionUniqueName="[StockStoreLY]" displayFolder="" count="0" unbalanced="0" hidden="1"/>
    <cacheHierarchy uniqueName="[StockStoreLY].[MaterialKey]" caption="MaterialKey" attribute="1" defaultMemberUniqueName="[StockStoreLY].[MaterialKey].[All]" allUniqueName="[StockStoreLY].[MaterialKey].[All]" dimensionUniqueName="[StockStoreLY]" displayFolder="" count="0" unbalanced="0" hidden="1"/>
    <cacheHierarchy uniqueName="[StockStoreLY].[OtherStockUnit]" caption="OtherStockUnit" attribute="1" defaultMemberUniqueName="[StockStoreLY].[OtherStockUnit].[All]" allUniqueName="[StockStoreLY].[OtherStockUnit].[All]" dimensionUniqueName="[StockStoreLY]" displayFolder="" count="0" unbalanced="0" hidden="1"/>
    <cacheHierarchy uniqueName="[StockStoreLY].[OutletID]" caption="OutletID" attribute="1" defaultMemberUniqueName="[StockStoreLY].[OutletID].[All]" allUniqueName="[StockStoreLY].[OutletID].[All]" dimensionUniqueName="[StockStoreLY]" displayFolder="" count="0" unbalanced="0" hidden="1"/>
    <cacheHierarchy uniqueName="[StockStoreLY].[SalesChannelKey]" caption="SalesChannelKey" attribute="1" defaultMemberUniqueName="[StockStoreLY].[SalesChannelKey].[All]" allUniqueName="[StockStoreLY].[SalesChannelKey].[All]" dimensionUniqueName="[StockStoreLY]" displayFolder="" count="0" unbalanced="0" hidden="1"/>
    <cacheHierarchy uniqueName="[StockStoreLY].[SalesSeasonID]" caption="SalesSeasonID" attribute="1" defaultMemberUniqueName="[StockStoreLY].[SalesSeasonID].[All]" allUniqueName="[StockStoreLY].[SalesSeasonID].[All]" dimensionUniqueName="[StockStoreLY]" displayFolder="" count="0" unbalanced="0" hidden="1"/>
    <cacheHierarchy uniqueName="[StockStoreLY].[StockUnit]" caption="StockUnit" attribute="1" defaultMemberUniqueName="[StockStoreLY].[StockUnit].[All]" allUniqueName="[StockStoreLY].[StockUnit].[All]" dimensionUniqueName="[StockStoreLY]" displayFolder="" count="0" unbalanced="0" hidden="1"/>
    <cacheHierarchy uniqueName="[StockStoreLY].[TransitStockUnit]" caption="TransitStockUnit" attribute="1" defaultMemberUniqueName="[StockStoreLY].[TransitStockUnit].[All]" allUniqueName="[StockStoreLY].[TransitStockUnit].[All]" dimensionUniqueName="[StockStoreLY]" displayFolder="" count="0" unbalanced="0" hidden="1"/>
    <cacheHierarchy uniqueName="[StockStoreLY].[TRYExcRate]" caption="TRYExcRate" attribute="1" defaultMemberUniqueName="[StockStoreLY].[TRYExcRate].[All]" allUniqueName="[StockStoreLY].[TRYExcRate].[All]" dimensionUniqueName="[StockStoreLY]" displayFolder="" count="0" unbalanced="0" hidden="1"/>
    <cacheHierarchy uniqueName="[StockStoreLY].[TYDate]" caption="TYDate" attribute="1" defaultMemberUniqueName="[StockStoreLY].[TYDate].[All]" allUniqueName="[StockStoreLY].[TYDate].[All]" dimensionUniqueName="[StockStoreLY]" displayFolder="" count="0" unbalanced="0" hidden="1"/>
    <cacheHierarchy uniqueName="[StockStoreLY].[UnitCost]" caption="UnitCost" attribute="1" defaultMemberUniqueName="[StockStoreLY].[UnitCost].[All]" allUniqueName="[StockStoreLY].[UnitCost].[All]" dimensionUniqueName="[StockStoreLY]" displayFolder="" count="0" unbalanced="0" hidden="1"/>
    <cacheHierarchy uniqueName="[StockStoreLY].[USDExcRate]" caption="USDExcRate" attribute="1" defaultMemberUniqueName="[StockStoreLY].[USDExcRate].[All]" allUniqueName="[StockStoreLY].[USDExcRate].[All]" dimensionUniqueName="[StockStoreLY]" displayFolder="" count="0" unbalanced="0" hidden="1"/>
    <cacheHierarchy uniqueName="[Store].[CapacityUnit]" caption="CapacityUnit" attribute="1" defaultMemberUniqueName="[Store].[CapacityUnit].[All]" allUniqueName="[Store].[CapacityUnit].[All]" dimensionUniqueName="[Store]" displayFolder="" count="0" unbalanced="0" hidden="1"/>
    <cacheHierarchy uniqueName="[Store].[StoreSalesChannelKey]" caption="StoreSalesChannelKey" attribute="1" defaultMemberUniqueName="[Store].[StoreSalesChannelKey].[All]" allUniqueName="[Store].[StoreSalesChannelKey].[All]" dimensionUniqueName="[Store]" displayFolder="" count="0" unbalanced="0" hidden="1"/>
    <cacheHierarchy uniqueName="[StoreCapacity].[BackStoreCapacityArea]" caption="BackStoreCapacityArea" attribute="1" defaultMemberUniqueName="[StoreCapacity].[BackStoreCapacityArea].[All]" allUniqueName="[StoreCapacity].[BackStoreCapacityArea].[All]" dimensionUniqueName="[StoreCapacity]" displayFolder="" count="0" unbalanced="0" hidden="1"/>
    <cacheHierarchy uniqueName="[StoreCapacity].[BackStoreCapacitydm3]" caption="BackStoreCapacitydm3" attribute="1" defaultMemberUniqueName="[StoreCapacity].[BackStoreCapacitydm3].[All]" allUniqueName="[StoreCapacity].[BackStoreCapacitydm3].[All]" dimensionUniqueName="[StoreCapacity]" displayFolder="" count="0" unbalanced="0" hidden="1"/>
    <cacheHierarchy uniqueName="[StoreCapacity].[BackStoreCapacityQuantity]" caption="BackStoreCapacityQuantity" attribute="1" defaultMemberUniqueName="[StoreCapacity].[BackStoreCapacityQuantity].[All]" allUniqueName="[StoreCapacity].[BackStoreCapacityQuantity].[All]" dimensionUniqueName="[StoreCapacity]" displayFolder="" count="0" unbalanced="0" hidden="1"/>
    <cacheHierarchy uniqueName="[StoreCapacity].[DWSourceKey]" caption="DWSourceKey" attribute="1" defaultMemberUniqueName="[StoreCapacity].[DWSourceKey].[All]" allUniqueName="[StoreCapacity].[DWSourceKey].[All]" dimensionUniqueName="[StoreCapacity]" displayFolder="" count="0" unbalanced="0" hidden="1"/>
    <cacheHierarchy uniqueName="[StoreCapacity].[ETLDate]" caption="ETLDate" attribute="1" defaultMemberUniqueName="[StoreCapacity].[ETLDate].[All]" allUniqueName="[StoreCapacity].[ETLDate].[All]" dimensionUniqueName="[StoreCapacity]" displayFolder="" count="0" unbalanced="0" hidden="1"/>
    <cacheHierarchy uniqueName="[StoreCapacity].[InitialSalesPriceID]" caption="InitialSalesPriceID" attribute="1" defaultMemberUniqueName="[StoreCapacity].[InitialSalesPriceID].[All]" allUniqueName="[StoreCapacity].[InitialSalesPriceID].[All]" dimensionUniqueName="[StoreCapacity]" displayFolder="" count="0" unbalanced="0" hidden="1"/>
    <cacheHierarchy uniqueName="[StoreCapacity].[LFLFactor]" caption="LFLFactor" attribute="1" defaultMemberUniqueName="[StoreCapacity].[LFLFactor].[All]" allUniqueName="[StoreCapacity].[LFLFactor].[All]" dimensionUniqueName="[StoreCapacity]" displayFolder="" count="0" unbalanced="0" hidden="1"/>
    <cacheHierarchy uniqueName="[StoreCapacity].[LocationKey]" caption="LocationKey" attribute="1" defaultMemberUniqueName="[StoreCapacity].[LocationKey].[All]" allUniqueName="[StoreCapacity].[LocationKey].[All]" dimensionUniqueName="[StoreCapacity]" displayFolder="" count="0" unbalanced="0" hidden="1"/>
    <cacheHierarchy uniqueName="[StoreCapacity].[MainGroupKey]" caption="MainGroupKey" attribute="1" defaultMemberUniqueName="[StoreCapacity].[MainGroupKey].[All]" allUniqueName="[StoreCapacity].[MainGroupKey].[All]" dimensionUniqueName="[StoreCapacity]" displayFolder="" count="0" unbalanced="0" hidden="1"/>
    <cacheHierarchy uniqueName="[StoreCapacity].[OutletID]" caption="OutletID" attribute="1" defaultMemberUniqueName="[StoreCapacity].[OutletID].[All]" allUniqueName="[StoreCapacity].[OutletID].[All]" dimensionUniqueName="[StoreCapacity]" displayFolder="" count="0" unbalanced="0" hidden="1"/>
    <cacheHierarchy uniqueName="[StoreCapacity].[SalesChannelKey]" caption="SalesChannelKey" attribute="1" defaultMemberUniqueName="[StoreCapacity].[SalesChannelKey].[All]" allUniqueName="[StoreCapacity].[SalesChannelKey].[All]" dimensionUniqueName="[StoreCapacity]" displayFolder="" count="0" unbalanced="0" hidden="1"/>
    <cacheHierarchy uniqueName="[StoreCapacity].[SalesSeasonID]" caption="SalesSeasonID" attribute="1" defaultMemberUniqueName="[StoreCapacity].[SalesSeasonID].[All]" allUniqueName="[StoreCapacity].[SalesSeasonID].[All]" dimensionUniqueName="[StoreCapacity]" displayFolder="" count="0" unbalanced="0" hidden="1"/>
    <cacheHierarchy uniqueName="[StoreCapacity].[StoreCapacitydm3]" caption="StoreCapacitydm3" attribute="1" defaultMemberUniqueName="[StoreCapacity].[StoreCapacitydm3].[All]" allUniqueName="[StoreCapacity].[StoreCapacitydm3].[All]" dimensionUniqueName="[StoreCapacity]" displayFolder="" count="0" unbalanced="0" hidden="1"/>
    <cacheHierarchy uniqueName="[StoreCapacity].[StoreCapacityQuantity]" caption="StoreCapacityQuantity" attribute="1" defaultMemberUniqueName="[StoreCapacity].[StoreCapacityQuantity].[All]" allUniqueName="[StoreCapacity].[StoreCapacityQuantity].[All]" dimensionUniqueName="[StoreCapacity]" displayFolder="" count="0" unbalanced="0" hidden="1"/>
    <cacheHierarchy uniqueName="[StoreCapacity].[StoreCode]" caption="StoreCode" attribute="1" defaultMemberUniqueName="[StoreCapacity].[StoreCode].[All]" allUniqueName="[StoreCapacity].[StoreCode].[All]" dimensionUniqueName="[StoreCapacity]" displayFolder="" count="0" unbalanced="0" hidden="1"/>
    <cacheHierarchy uniqueName="[StoreCapacity].[SubDistChannelKey]" caption="SubDistChannelKey" attribute="1" defaultMemberUniqueName="[StoreCapacity].[SubDistChannelKey].[All]" allUniqueName="[StoreCapacity].[SubDistChannelKey].[All]" dimensionUniqueName="[StoreCapacity]" displayFolder="" count="0" unbalanced="0" hidden="1"/>
    <cacheHierarchy uniqueName="[StoreLFLStatu].[EtlDate]" caption="EtlDate" attribute="1" defaultMemberUniqueName="[StoreLFLStatu].[EtlDate].[All]" allUniqueName="[StoreLFLStatu].[EtlDate].[All]" dimensionUniqueName="[StoreLFLStatu]" displayFolder="" count="0" unbalanced="0" hidden="1"/>
    <cacheHierarchy uniqueName="[StoreTarget].[Cancelled]" caption="Cancelled" attribute="1" defaultMemberUniqueName="[StoreTarget].[Cancelled].[All]" allUniqueName="[StoreTarget].[Cancelled].[All]" dimensionUniqueName="[StoreTarget]" displayFolder="" count="0" unbalanced="0" hidden="1"/>
    <cacheHierarchy uniqueName="[StoreTarget].[ChangeByUser]" caption="ChangeByUser" attribute="1" defaultMemberUniqueName="[StoreTarget].[ChangeByUser].[All]" allUniqueName="[StoreTarget].[ChangeByUser].[All]" dimensionUniqueName="[StoreTarget]" displayFolder="" count="0" unbalanced="0" hidden="1"/>
    <cacheHierarchy uniqueName="[StoreTarget].[ChangeDate]" caption="ChangeDate" attribute="1" defaultMemberUniqueName="[StoreTarget].[ChangeDate].[All]" allUniqueName="[StoreTarget].[ChangeDate].[All]" dimensionUniqueName="[StoreTarget]" displayFolder="" count="0" unbalanced="0" hidden="1"/>
    <cacheHierarchy uniqueName="[StoreTarget].[ChangeTime]" caption="ChangeTime" attribute="1" defaultMemberUniqueName="[StoreTarget].[ChangeTime].[All]" allUniqueName="[StoreTarget].[ChangeTime].[All]" dimensionUniqueName="[StoreTarget]" displayFolder="" count="0" unbalanced="0" hidden="1"/>
    <cacheHierarchy uniqueName="[StoreTarget].[CreatedByUser]" caption="CreatedByUser" attribute="1" defaultMemberUniqueName="[StoreTarget].[CreatedByUser].[All]" allUniqueName="[StoreTarget].[CreatedByUser].[All]" dimensionUniqueName="[StoreTarget]" displayFolder="" count="0" unbalanced="0" hidden="1"/>
    <cacheHierarchy uniqueName="[StoreTarget].[CreationDate]" caption="CreationDate" attribute="1" defaultMemberUniqueName="[StoreTarget].[CreationDate].[All]" allUniqueName="[StoreTarget].[CreationDate].[All]" dimensionUniqueName="[StoreTarget]" displayFolder="" count="0" unbalanced="0" hidden="1"/>
    <cacheHierarchy uniqueName="[StoreTarget].[CreationTime]" caption="CreationTime" attribute="1" defaultMemberUniqueName="[StoreTarget].[CreationTime].[All]" allUniqueName="[StoreTarget].[CreationTime].[All]" dimensionUniqueName="[StoreTarget]" displayFolder="" count="0" unbalanced="0" hidden="1"/>
    <cacheHierarchy uniqueName="[StoreTarget].[Currency]" caption="Currency" attribute="1" defaultMemberUniqueName="[StoreTarget].[Currency].[All]" allUniqueName="[StoreTarget].[Currency].[All]" dimensionUniqueName="[StoreTarget]" displayFolder="" count="0" unbalanced="0" hidden="1"/>
    <cacheHierarchy uniqueName="[StoreTarget].[DwSourceKey]" caption="DwSourceKey" attribute="1" defaultMemberUniqueName="[StoreTarget].[DwSourceKey].[All]" allUniqueName="[StoreTarget].[DwSourceKey].[All]" dimensionUniqueName="[StoreTarget]" displayFolder="" count="0" unbalanced="0" hidden="1"/>
    <cacheHierarchy uniqueName="[StoreTarget].[EtlDate]" caption="EtlDate" attribute="1" defaultMemberUniqueName="[StoreTarget].[EtlDate].[All]" allUniqueName="[StoreTarget].[EtlDate].[All]" dimensionUniqueName="[StoreTarget]" displayFolder="" count="0" unbalanced="0" hidden="1"/>
    <cacheHierarchy uniqueName="[StoreTarget].[LfLFactor]" caption="LfLFactor" attribute="1" defaultMemberUniqueName="[StoreTarget].[LfLFactor].[All]" allUniqueName="[StoreTarget].[LfLFactor].[All]" dimensionUniqueName="[StoreTarget]" displayFolder="" count="0" unbalanced="0" hidden="1"/>
    <cacheHierarchy uniqueName="[StoreTarget].[LocationCode]" caption="LocationCode" attribute="1" defaultMemberUniqueName="[StoreTarget].[LocationCode].[All]" allUniqueName="[StoreTarget].[LocationCode].[All]" dimensionUniqueName="[StoreTarget]" displayFolder="" count="0" unbalanced="0" hidden="1"/>
    <cacheHierarchy uniqueName="[StoreTarget].[LocationKey]" caption="LocationKey" attribute="1" defaultMemberUniqueName="[StoreTarget].[LocationKey].[All]" allUniqueName="[StoreTarget].[LocationKey].[All]" dimensionUniqueName="[StoreTarget]" displayFolder="" count="0" unbalanced="0" hidden="1"/>
    <cacheHierarchy uniqueName="[StoreTarget].[QuantityUnit]" caption="QuantityUnit" attribute="1" defaultMemberUniqueName="[StoreTarget].[QuantityUnit].[All]" allUniqueName="[StoreTarget].[QuantityUnit].[All]" dimensionUniqueName="[StoreTarget]" displayFolder="" count="0" unbalanced="0" hidden="1"/>
    <cacheHierarchy uniqueName="[StoreTarget].[SalesChannelKey]" caption="SalesChannelKey" attribute="1" defaultMemberUniqueName="[StoreTarget].[SalesChannelKey].[All]" allUniqueName="[StoreTarget].[SalesChannelKey].[All]" dimensionUniqueName="[StoreTarget]" displayFolder="" count="0" unbalanced="0" hidden="1"/>
    <cacheHierarchy uniqueName="[StoreTarget].[TargetConversionRate]" caption="TargetConversionRate" attribute="1" defaultMemberUniqueName="[StoreTarget].[TargetConversionRate].[All]" allUniqueName="[StoreTarget].[TargetConversionRate].[All]" dimensionUniqueName="[StoreTarget]" displayFolder="" count="0" unbalanced="0" hidden="1"/>
    <cacheHierarchy uniqueName="[StoreTarget].[TargetDate]" caption="TargetDate" attribute="1" defaultMemberUniqueName="[StoreTarget].[TargetDate].[All]" allUniqueName="[StoreTarget].[TargetDate].[All]" dimensionUniqueName="[StoreTarget]" displayFolder="" count="0" unbalanced="0" hidden="1"/>
    <cacheHierarchy uniqueName="[StoreTarget].[TargetSalesValueLC]" caption="TargetSalesValueLC" attribute="1" defaultMemberUniqueName="[StoreTarget].[TargetSalesValueLC].[All]" allUniqueName="[StoreTarget].[TargetSalesValueLC].[All]" dimensionUniqueName="[StoreTarget]" displayFolder="" count="0" unbalanced="0" hidden="1"/>
    <cacheHierarchy uniqueName="[StoreTarget].[TargetSalesValueTRY]" caption="TargetSalesValueTRY" attribute="1" defaultMemberUniqueName="[StoreTarget].[TargetSalesValueTRY].[All]" allUniqueName="[StoreTarget].[TargetSalesValueTRY].[All]" dimensionUniqueName="[StoreTarget]" displayFolder="" count="0" unbalanced="0" hidden="1"/>
    <cacheHierarchy uniqueName="[StoreTarget].[TargetSalesValueUSD]" caption="TargetSalesValueUSD" attribute="1" defaultMemberUniqueName="[StoreTarget].[TargetSalesValueUSD].[All]" allUniqueName="[StoreTarget].[TargetSalesValueUSD].[All]" dimensionUniqueName="[StoreTarget]" displayFolder="" count="0" unbalanced="0" hidden="1"/>
    <cacheHierarchy uniqueName="[StoreTarget].[TargetType]" caption="TargetType" attribute="1" defaultMemberUniqueName="[StoreTarget].[TargetType].[All]" allUniqueName="[StoreTarget].[TargetType].[All]" dimensionUniqueName="[StoreTarget]" displayFolder="" count="0" unbalanced="0" hidden="1"/>
    <cacheHierarchy uniqueName="[StoreTargetLY].[Cancelled]" caption="Cancelled" attribute="1" defaultMemberUniqueName="[StoreTargetLY].[Cancelled].[All]" allUniqueName="[StoreTargetLY].[Cancelled].[All]" dimensionUniqueName="[StoreTargetLY]" displayFolder="" count="0" unbalanced="0" hidden="1"/>
    <cacheHierarchy uniqueName="[StoreTargetLY].[ChangeByUser]" caption="ChangeByUser" attribute="1" defaultMemberUniqueName="[StoreTargetLY].[ChangeByUser].[All]" allUniqueName="[StoreTargetLY].[ChangeByUser].[All]" dimensionUniqueName="[StoreTargetLY]" displayFolder="" count="0" unbalanced="0" hidden="1"/>
    <cacheHierarchy uniqueName="[StoreTargetLY].[ChangeDate]" caption="ChangeDate" attribute="1" defaultMemberUniqueName="[StoreTargetLY].[ChangeDate].[All]" allUniqueName="[StoreTargetLY].[ChangeDate].[All]" dimensionUniqueName="[StoreTargetLY]" displayFolder="" count="0" unbalanced="0" hidden="1"/>
    <cacheHierarchy uniqueName="[StoreTargetLY].[ChangeTime]" caption="ChangeTime" attribute="1" defaultMemberUniqueName="[StoreTargetLY].[ChangeTime].[All]" allUniqueName="[StoreTargetLY].[ChangeTime].[All]" dimensionUniqueName="[StoreTargetLY]" displayFolder="" count="0" unbalanced="0" hidden="1"/>
    <cacheHierarchy uniqueName="[StoreTargetLY].[CreatedByUser]" caption="CreatedByUser" attribute="1" defaultMemberUniqueName="[StoreTargetLY].[CreatedByUser].[All]" allUniqueName="[StoreTargetLY].[CreatedByUser].[All]" dimensionUniqueName="[StoreTargetLY]" displayFolder="" count="0" unbalanced="0" hidden="1"/>
    <cacheHierarchy uniqueName="[StoreTargetLY].[CreationDate]" caption="CreationDate" attribute="1" defaultMemberUniqueName="[StoreTargetLY].[CreationDate].[All]" allUniqueName="[StoreTargetLY].[CreationDate].[All]" dimensionUniqueName="[StoreTargetLY]" displayFolder="" count="0" unbalanced="0" hidden="1"/>
    <cacheHierarchy uniqueName="[StoreTargetLY].[CreationTime]" caption="CreationTime" attribute="1" defaultMemberUniqueName="[StoreTargetLY].[CreationTime].[All]" allUniqueName="[StoreTargetLY].[CreationTime].[All]" dimensionUniqueName="[StoreTargetLY]" displayFolder="" count="0" unbalanced="0" hidden="1"/>
    <cacheHierarchy uniqueName="[StoreTargetLY].[Currency]" caption="Currency" attribute="1" defaultMemberUniqueName="[StoreTargetLY].[Currency].[All]" allUniqueName="[StoreTargetLY].[Currency].[All]" dimensionUniqueName="[StoreTargetLY]" displayFolder="" count="0" unbalanced="0" hidden="1"/>
    <cacheHierarchy uniqueName="[StoreTargetLY].[DwSourceKey]" caption="DwSourceKey" attribute="1" defaultMemberUniqueName="[StoreTargetLY].[DwSourceKey].[All]" allUniqueName="[StoreTargetLY].[DwSourceKey].[All]" dimensionUniqueName="[StoreTargetLY]" displayFolder="" count="0" unbalanced="0" hidden="1"/>
    <cacheHierarchy uniqueName="[StoreTargetLY].[EtlDate]" caption="EtlDate" attribute="1" defaultMemberUniqueName="[StoreTargetLY].[EtlDate].[All]" allUniqueName="[StoreTargetLY].[EtlDate].[All]" dimensionUniqueName="[StoreTargetLY]" displayFolder="" count="0" unbalanced="0" hidden="1"/>
    <cacheHierarchy uniqueName="[StoreTargetLY].[LfLFactor]" caption="LfLFactor" attribute="1" defaultMemberUniqueName="[StoreTargetLY].[LfLFactor].[All]" allUniqueName="[StoreTargetLY].[LfLFactor].[All]" dimensionUniqueName="[StoreTargetLY]" displayFolder="" count="0" unbalanced="0" hidden="1"/>
    <cacheHierarchy uniqueName="[StoreTargetLY].[LocationCode]" caption="LocationCode" attribute="1" defaultMemberUniqueName="[StoreTargetLY].[LocationCode].[All]" allUniqueName="[StoreTargetLY].[LocationCode].[All]" dimensionUniqueName="[StoreTargetLY]" displayFolder="" count="0" unbalanced="0" hidden="1"/>
    <cacheHierarchy uniqueName="[StoreTargetLY].[LocationKey]" caption="LocationKey" attribute="1" defaultMemberUniqueName="[StoreTargetLY].[LocationKey].[All]" allUniqueName="[StoreTargetLY].[LocationKey].[All]" dimensionUniqueName="[StoreTargetLY]" displayFolder="" count="0" unbalanced="0" hidden="1"/>
    <cacheHierarchy uniqueName="[StoreTargetLY].[QuantityUnit]" caption="QuantityUnit" attribute="1" defaultMemberUniqueName="[StoreTargetLY].[QuantityUnit].[All]" allUniqueName="[StoreTargetLY].[QuantityUnit].[All]" dimensionUniqueName="[StoreTargetLY]" displayFolder="" count="0" unbalanced="0" hidden="1"/>
    <cacheHierarchy uniqueName="[StoreTargetLY].[SalesChannelKey]" caption="SalesChannelKey" attribute="1" defaultMemberUniqueName="[StoreTargetLY].[SalesChannelKey].[All]" allUniqueName="[StoreTargetLY].[SalesChannelKey].[All]" dimensionUniqueName="[StoreTargetLY]" displayFolder="" count="0" unbalanced="0" hidden="1"/>
    <cacheHierarchy uniqueName="[StoreTargetLY].[TargetConversionRate]" caption="TargetConversionRate" attribute="1" defaultMemberUniqueName="[StoreTargetLY].[TargetConversionRate].[All]" allUniqueName="[StoreTargetLY].[TargetConversionRate].[All]" dimensionUniqueName="[StoreTargetLY]" displayFolder="" count="0" unbalanced="0" hidden="1"/>
    <cacheHierarchy uniqueName="[StoreTargetLY].[TargetSalesValueLC]" caption="TargetSalesValueLC" attribute="1" defaultMemberUniqueName="[StoreTargetLY].[TargetSalesValueLC].[All]" allUniqueName="[StoreTargetLY].[TargetSalesValueLC].[All]" dimensionUniqueName="[StoreTargetLY]" displayFolder="" count="0" unbalanced="0" hidden="1"/>
    <cacheHierarchy uniqueName="[StoreTargetLY].[TargetSalesValueTRY]" caption="TargetSalesValueTRY" attribute="1" defaultMemberUniqueName="[StoreTargetLY].[TargetSalesValueTRY].[All]" allUniqueName="[StoreTargetLY].[TargetSalesValueTRY].[All]" dimensionUniqueName="[StoreTargetLY]" displayFolder="" count="0" unbalanced="0" hidden="1"/>
    <cacheHierarchy uniqueName="[StoreTargetLY].[TargetSalesValueUSD]" caption="TargetSalesValueUSD" attribute="1" defaultMemberUniqueName="[StoreTargetLY].[TargetSalesValueUSD].[All]" allUniqueName="[StoreTargetLY].[TargetSalesValueUSD].[All]" dimensionUniqueName="[StoreTargetLY]" displayFolder="" count="0" unbalanced="0" hidden="1"/>
    <cacheHierarchy uniqueName="[StoreTargetLY].[TargetType]" caption="TargetType" attribute="1" defaultMemberUniqueName="[StoreTargetLY].[TargetType].[All]" allUniqueName="[StoreTargetLY].[TargetType].[All]" dimensionUniqueName="[StoreTargetLY]" displayFolder="" count="0" unbalanced="0" hidden="1"/>
    <cacheHierarchy uniqueName="[StoreTargetLY].[TYDate]" caption="TYDate" attribute="1" defaultMemberUniqueName="[StoreTargetLY].[TYDate].[All]" allUniqueName="[StoreTargetLY].[TYDate].[All]" dimensionUniqueName="[StoreTargetLY]" displayFolder="" count="0" unbalanced="0" hidden="1"/>
    <cacheHierarchy uniqueName="[SubDistChannel].[DistrubitionChannelCode]" caption="DistrubitionChannelCode" attribute="1" defaultMemberUniqueName="[SubDistChannel].[DistrubitionChannelCode].[All]" allUniqueName="[SubDistChannel].[DistrubitionChannelCode].[All]" dimensionUniqueName="[SubDistChannel]" displayFolder="" count="0" unbalanced="0" hidden="1"/>
    <cacheHierarchy uniqueName="[SubDistChannel].[DistrubitionChannelDesc]" caption="DistrubitionChannelDesc" attribute="1" defaultMemberUniqueName="[SubDistChannel].[DistrubitionChannelDesc].[All]" allUniqueName="[SubDistChannel].[DistrubitionChannelDesc].[All]" dimensionUniqueName="[SubDistChannel]" displayFolder="" count="0" unbalanced="0" hidden="1"/>
    <cacheHierarchy uniqueName="[SubDistChannel].[DistrubitionChannelKey]" caption="DistrubitionChannelKey" attribute="1" defaultMemberUniqueName="[SubDistChannel].[DistrubitionChannelKey].[All]" allUniqueName="[SubDistChannel].[DistrubitionChannelKey].[All]" dimensionUniqueName="[SubDistChannel]" displayFolder="" count="0" unbalanced="0" hidden="1"/>
    <cacheHierarchy uniqueName="[SubDistChannel].[DWSourceKey]" caption="DWSourceKey" attribute="1" defaultMemberUniqueName="[SubDistChannel].[DWSourceKey].[All]" allUniqueName="[SubDistChannel].[DWSourceKey].[All]" dimensionUniqueName="[SubDistChannel]" displayFolder="" count="0" unbalanced="0" hidden="1"/>
    <cacheHierarchy uniqueName="[SubDistChannel].[EtlDate]" caption="EtlDate" attribute="1" defaultMemberUniqueName="[SubDistChannel].[EtlDate].[All]" allUniqueName="[SubDistChannel].[EtlDate].[All]" dimensionUniqueName="[SubDistChannel]" displayFolder="" count="0" unbalanced="0" hidden="1"/>
    <cacheHierarchy uniqueName="[Visitor].[AdjustedCCR]" caption="AdjustedCCR" attribute="1" defaultMemberUniqueName="[Visitor].[AdjustedCCR].[All]" allUniqueName="[Visitor].[AdjustedCCR].[All]" dimensionUniqueName="[Visitor]" displayFolder="" count="0" unbalanced="0" hidden="1"/>
    <cacheHierarchy uniqueName="[Visitor].[AdjustedVisitorCount]" caption="AdjustedVisitorCount" attribute="1" defaultMemberUniqueName="[Visitor].[AdjustedVisitorCount].[All]" allUniqueName="[Visitor].[AdjustedVisitorCount].[All]" dimensionUniqueName="[Visitor]" displayFolder="" count="0" unbalanced="0" hidden="1"/>
    <cacheHierarchy uniqueName="[Visitor].[CCR_Source]" caption="CCR_Source" attribute="1" defaultMemberUniqueName="[Visitor].[CCR_Source].[All]" allUniqueName="[Visitor].[CCR_Source].[All]" dimensionUniqueName="[Visitor]" displayFolder="" count="0" unbalanced="0" hidden="1"/>
    <cacheHierarchy uniqueName="[Visitor].[CompanyKey]" caption="CompanyKey" attribute="1" defaultMemberUniqueName="[Visitor].[CompanyKey].[All]" allUniqueName="[Visitor].[CompanyKey].[All]" dimensionUniqueName="[Visitor]" displayFolder="" count="0" unbalanced="0" hidden="1"/>
    <cacheHierarchy uniqueName="[Visitor].[CustomerConversionRate]" caption="CustomerConversionRate" attribute="1" defaultMemberUniqueName="[Visitor].[CustomerConversionRate].[All]" allUniqueName="[Visitor].[CustomerConversionRate].[All]" dimensionUniqueName="[Visitor]" displayFolder="" count="0" unbalanced="0" hidden="1"/>
    <cacheHierarchy uniqueName="[Visitor].[DailyInvoiceCount]" caption="DailyInvoiceCount" attribute="1" defaultMemberUniqueName="[Visitor].[DailyInvoiceCount].[All]" allUniqueName="[Visitor].[DailyInvoiceCount].[All]" dimensionUniqueName="[Visitor]" displayFolder="" count="0" unbalanced="0" hidden="1"/>
    <cacheHierarchy uniqueName="[Visitor].[DailyInvoiceReturn]" caption="DailyInvoiceReturn" attribute="1" defaultMemberUniqueName="[Visitor].[DailyInvoiceReturn].[All]" allUniqueName="[Visitor].[DailyInvoiceReturn].[All]" dimensionUniqueName="[Visitor]" displayFolder="" count="0" unbalanced="0" hidden="1"/>
    <cacheHierarchy uniqueName="[Visitor].[DailyInvoiceSale]" caption="DailyInvoiceSale" attribute="1" defaultMemberUniqueName="[Visitor].[DailyInvoiceSale].[All]" allUniqueName="[Visitor].[DailyInvoiceSale].[All]" dimensionUniqueName="[Visitor]" displayFolder="" count="0" unbalanced="0" hidden="1"/>
    <cacheHierarchy uniqueName="[Visitor].[DailyVisitorCount]" caption="DailyVisitorCount" attribute="1" defaultMemberUniqueName="[Visitor].[DailyVisitorCount].[All]" allUniqueName="[Visitor].[DailyVisitorCount].[All]" dimensionUniqueName="[Visitor]" displayFolder="" count="0" unbalanced="0" hidden="1"/>
    <cacheHierarchy uniqueName="[Visitor].[DayoftheWeek]" caption="DayoftheWeek" attribute="1" defaultMemberUniqueName="[Visitor].[DayoftheWeek].[All]" allUniqueName="[Visitor].[DayoftheWeek].[All]" dimensionUniqueName="[Visitor]" displayFolder="" count="0" unbalanced="0" hidden="1"/>
    <cacheHierarchy uniqueName="[Visitor].[DIC_Country]" caption="DIC_Country" attribute="1" defaultMemberUniqueName="[Visitor].[DIC_Country].[All]" allUniqueName="[Visitor].[DIC_Country].[All]" dimensionUniqueName="[Visitor]" displayFolder="" count="0" unbalanced="0" hidden="1"/>
    <cacheHierarchy uniqueName="[Visitor].[DVC_Country]" caption="DVC_Country" attribute="1" defaultMemberUniqueName="[Visitor].[DVC_Country].[All]" allUniqueName="[Visitor].[DVC_Country].[All]" dimensionUniqueName="[Visitor]" displayFolder="" count="0" unbalanced="0" hidden="1"/>
    <cacheHierarchy uniqueName="[Visitor].[ETLDate]" caption="ETLDate" attribute="1" defaultMemberUniqueName="[Visitor].[ETLDate].[All]" allUniqueName="[Visitor].[ETLDate].[All]" dimensionUniqueName="[Visitor]" displayFolder="" count="0" unbalanced="0" hidden="1"/>
    <cacheHierarchy uniqueName="[Visitor].[isAdjustmentRequired]" caption="isAdjustmentRequired" attribute="1" defaultMemberUniqueName="[Visitor].[isAdjustmentRequired].[All]" allUniqueName="[Visitor].[isAdjustmentRequired].[All]" dimensionUniqueName="[Visitor]" displayFolder="" count="0" unbalanced="0" hidden="1"/>
    <cacheHierarchy uniqueName="[Visitor].[LocationKey]" caption="LocationKey" attribute="1" defaultMemberUniqueName="[Visitor].[LocationKey].[All]" allUniqueName="[Visitor].[LocationKey].[All]" dimensionUniqueName="[Visitor]" displayFolder="" count="0" unbalanced="0" hidden="1"/>
    <cacheHierarchy uniqueName="[Visitor].[StoreLfLStatuKey]" caption="StoreLfLStatuKey" attribute="1" defaultMemberUniqueName="[Visitor].[StoreLfLStatuKey].[All]" allUniqueName="[Visitor].[StoreLfLStatuKey].[All]" dimensionUniqueName="[Visitor]" displayFolder="" count="0" unbalanced="0" hidden="1"/>
    <cacheHierarchy uniqueName="[Visitor].[VisitDate]" caption="VisitDate" attribute="1" defaultMemberUniqueName="[Visitor].[VisitDate].[All]" allUniqueName="[Visitor].[VisitDate].[All]" dimensionUniqueName="[Visitor]" displayFolder="" count="0" unbalanced="0" hidden="1"/>
    <cacheHierarchy uniqueName="[VisitorHourly].[LocationKey]" caption="LocationKey" attribute="1" defaultMemberUniqueName="[VisitorHourly].[LocationKey].[All]" allUniqueName="[VisitorHourly].[LocationKey].[All]" dimensionUniqueName="[VisitorHourly]" displayFolder="" count="0" unbalanced="0" hidden="1"/>
    <cacheHierarchy uniqueName="[VisitorHourly].[LYCustomerEntryCount]" caption="LYCustomerEntryCount" attribute="1" defaultMemberUniqueName="[VisitorHourly].[LYCustomerEntryCount].[All]" allUniqueName="[VisitorHourly].[LYCustomerEntryCount].[All]" dimensionUniqueName="[VisitorHourly]" displayFolder="" count="0" unbalanced="0" hidden="1"/>
    <cacheHierarchy uniqueName="[VisitorHourly].[LYLFLFactor]" caption="LYLFLFactor" attribute="1" defaultMemberUniqueName="[VisitorHourly].[LYLFLFactor].[All]" allUniqueName="[VisitorHourly].[LYLFLFactor].[All]" dimensionUniqueName="[VisitorHourly]" displayFolder="" count="0" unbalanced="0" hidden="1"/>
    <cacheHierarchy uniqueName="[VisitorHourly].[SalesChannelKey]" caption="SalesChannelKey" attribute="1" defaultMemberUniqueName="[VisitorHourly].[SalesChannelKey].[All]" allUniqueName="[VisitorHourly].[SalesChannelKey].[All]" dimensionUniqueName="[VisitorHourly]" displayFolder="" count="0" unbalanced="0" hidden="1"/>
    <cacheHierarchy uniqueName="[VisitorHourly].[TYCustomerEntryCount]" caption="TYCustomerEntryCount" attribute="1" defaultMemberUniqueName="[VisitorHourly].[TYCustomerEntryCount].[All]" allUniqueName="[VisitorHourly].[TYCustomerEntryCount].[All]" dimensionUniqueName="[VisitorHourly]" displayFolder="" count="0" unbalanced="0" hidden="1"/>
    <cacheHierarchy uniqueName="[VisitorHourly].[TYLFLFactor]" caption="TYLFLFactor" attribute="1" defaultMemberUniqueName="[VisitorHourly].[TYLFLFactor].[All]" allUniqueName="[VisitorHourly].[TYLFLFactor].[All]" dimensionUniqueName="[VisitorHourly]" displayFolder="" count="0" unbalanced="0" hidden="1"/>
    <cacheHierarchy uniqueName="[VisitorHourly].[VisitDate]" caption="VisitDate" attribute="1" defaultMemberUniqueName="[VisitorHourly].[VisitDate].[All]" allUniqueName="[VisitorHourly].[VisitDate].[All]" dimensionUniqueName="[VisitorHourly]" displayFolder="" count="0" unbalanced="0" hidden="1"/>
    <cacheHierarchy uniqueName="[VisitorHourly].[VisitTimeHH]" caption="VisitTimeHH" attribute="1" defaultMemberUniqueName="[VisitorHourly].[VisitTimeHH].[All]" allUniqueName="[VisitorHourly].[VisitTimeHH].[All]" dimensionUniqueName="[VisitorHourly]" displayFolder="" count="0" unbalanced="0" hidden="1"/>
    <cacheHierarchy uniqueName="[Measures].[TY Avg DC Stock Unit]" caption="TY Avg DC Stock Unit" measure="1" displayFolder="01_TY\_UNIT" measureGroup="StockDC" count="0" oneField="1">
      <fieldsUsage count="1">
        <fieldUsage x="13"/>
      </fieldsUsage>
    </cacheHierarchy>
    <cacheHierarchy uniqueName="[Measures].[TY Avg DC Cus Stock Unit]" caption="TY Avg DC Cus Stock Unit" measure="1" displayFolder="01_TY\_UNIT" measureGroup="StockDC" count="0"/>
    <cacheHierarchy uniqueName="[Measures].[TY Avg DC Transit Stock Unit]" caption="TY Avg DC Transit Stock Unit" measure="1" displayFolder="01_TY\_UNIT" measureGroup="StockDC" count="0"/>
    <cacheHierarchy uniqueName="[Measures].[TY Avg DC Stock Cost LC]" caption="TY Avg DC Stock Cost LC" measure="1" displayFolder="01_TY\LC" measureGroup="StockDC" count="0"/>
    <cacheHierarchy uniqueName="[Measures].[TY Avg DC Transit Stock Cost LC]" caption="TY Avg DC Transit Stock Cost LC" measure="1" displayFolder="01_TY\LC" measureGroup="StockDC" count="0"/>
    <cacheHierarchy uniqueName="[Measures].[TY Avg DC Cus Stock Cost LC]" caption="TY Avg DC Cus Stock Cost LC" measure="1" displayFolder="01_TY\LC" measureGroup="StockDC" count="0"/>
    <cacheHierarchy uniqueName="[Measures].[TY Avg DC Stock Cost TRY]" caption="TY Avg DC Stock Cost TRY" measure="1" displayFolder="01_TY\TRY" measureGroup="StockDC" count="0"/>
    <cacheHierarchy uniqueName="[Measures].[TY Avg DC Transit Stock Cost TRY]" caption="TY Avg DC Transit Stock Cost TRY" measure="1" displayFolder="01_TY\TRY" measureGroup="StockDC" count="0"/>
    <cacheHierarchy uniqueName="[Measures].[TY Avg DC Cus Stock Cost TRY]" caption="TY Avg DC Cus Stock Cost TRY" measure="1" displayFolder="01_TY\TRY" measureGroup="StockDC" count="0"/>
    <cacheHierarchy uniqueName="[Measures].[TY Avg DC Stock Cost USD]" caption="TY Avg DC Stock Cost USD" measure="1" displayFolder="01_TY\USD" measureGroup="StockDC" count="0"/>
    <cacheHierarchy uniqueName="[Measures].[TY Avg DC Transit Stock Cost USD]" caption="TY Avg DC Transit Stock Cost USD" measure="1" displayFolder="01_TY\USD" measureGroup="StockDC" count="0"/>
    <cacheHierarchy uniqueName="[Measures].[TY Avg DC Cus Stock Cost USD]" caption="TY Avg DC Cus Stock Cost USD" measure="1" displayFolder="01_TY\USD" measureGroup="StockDC" count="0"/>
    <cacheHierarchy uniqueName="[Measures].[LY Avg DC Stock Unit]" caption="LY Avg DC Stock Unit" measure="1" displayFolder="02_LY\_UNIT" measureGroup="StockDC" count="0"/>
    <cacheHierarchy uniqueName="[Measures].[LY Avg DC Transit Stock Unit]" caption="LY Avg DC Transit Stock Unit" measure="1" displayFolder="02_LY\_UNIT" measureGroup="StockDC" count="0"/>
    <cacheHierarchy uniqueName="[Measures].[LY Avg DC Cus Stock Unit]" caption="LY Avg DC Cus Stock Unit" measure="1" displayFolder="02_LY\_UNIT" measureGroup="StockDC" count="0"/>
    <cacheHierarchy uniqueName="[Measures].[LY Avg DC Stock Cost LC]" caption="LY Avg DC Stock Cost LC" measure="1" displayFolder="02_LY\LC" measureGroup="StockDC" count="0"/>
    <cacheHierarchy uniqueName="[Measures].[LY Avg DC Transit Stock Cost LC]" caption="LY Avg DC Transit Stock Cost LC" measure="1" displayFolder="02_LY\LC" measureGroup="StockDC" count="0"/>
    <cacheHierarchy uniqueName="[Measures].[LY Avg DC Cus Stock Cost LC]" caption="LY Avg DC Cus Stock Cost LC" measure="1" displayFolder="02_LY\LC" measureGroup="StockDC" count="0"/>
    <cacheHierarchy uniqueName="[Measures].[LY Avg DC Stock Cost TRY]" caption="LY Avg DC Stock Cost TRY" measure="1" displayFolder="02_LY\TRY" measureGroup="StockDC" count="0"/>
    <cacheHierarchy uniqueName="[Measures].[LY Avg DC Transit Stock Cost TRY]" caption="LY Avg DC Transit Stock Cost TRY" measure="1" displayFolder="02_LY\TRY" measureGroup="StockDC" count="0"/>
    <cacheHierarchy uniqueName="[Measures].[LY Avg DC Cus Stock Cost TRY]" caption="LY Avg DC Cus Stock Cost TRY" measure="1" displayFolder="02_LY\TRY" measureGroup="StockDC" count="0"/>
    <cacheHierarchy uniqueName="[Measures].[LY Avg DC Stock Cost USD]" caption="LY Avg DC Stock Cost USD" measure="1" displayFolder="02_LY\USD" measureGroup="StockDC" count="0"/>
    <cacheHierarchy uniqueName="[Measures].[LY Avg DC Transit Stock Cost USD]" caption="LY Avg DC Transit Stock Cost USD" measure="1" displayFolder="02_LY\USD" measureGroup="StockDC" count="0"/>
    <cacheHierarchy uniqueName="[Measures].[LY Avg DC Cus Stock Cost USD]" caption="LY Avg DC Cus Stock Cost USD" measure="1" displayFolder="02_LY\USD" measureGroup="StockDC" count="0"/>
    <cacheHierarchy uniqueName="[Measures].[CUR Open Imports DC Stock Unit]" caption="CUR Open Imports DC Stock Unit" measure="1" displayFolder="00_CURRENT" measureGroup="StockDC" count="0"/>
    <cacheHierarchy uniqueName="[Measures].[CUR Open Transfer DC Stock Unit]" caption="CUR Open Transfer DC Stock Unit" measure="1" displayFolder="00_CURRENT" measureGroup="StockDC" count="0"/>
    <cacheHierarchy uniqueName="[Measures].[EOP TY Avg DC Stock Unit]" caption="EOP TY Avg DC Stock Unit" measure="1" displayFolder="01_TY\_UNIT" measureGroup="StockDC" count="0"/>
    <cacheHierarchy uniqueName="[Measures].[EOP TY Avg DC Transit Stock Unit]" caption="EOP TY Avg DC Transit Stock Unit" measure="1" displayFolder="01_TY\_UNIT" measureGroup="StockDC" count="0"/>
    <cacheHierarchy uniqueName="[Measures].[EOP TY Avg DC Cus Stock Unit]" caption="EOP TY Avg DC Cus Stock Unit" measure="1" displayFolder="01_TY\_UNIT" measureGroup="StockDC" count="0"/>
    <cacheHierarchy uniqueName="[Measures].[EOP TY Avg DC Stock Cost LC]" caption="EOP TY Avg DC Stock Cost LC" measure="1" displayFolder="01_TY\LC" measureGroup="StockDC" count="0"/>
    <cacheHierarchy uniqueName="[Measures].[EOP TY Avg DC Transit Stock Cost LC]" caption="EOP TY Avg DC Transit Stock Cost LC" measure="1" displayFolder="01_TY\LC" measureGroup="StockDC" count="0"/>
    <cacheHierarchy uniqueName="[Measures].[EOP TY Avg DC CUS Stock Cost LC]" caption="EOP TY Avg DC CUS Stock Cost LC" measure="1" displayFolder="01_TY\LC" measureGroup="StockDC" count="0"/>
    <cacheHierarchy uniqueName="[Measures].[EOP TY Avg DC Stock Cost TRY]" caption="EOP TY Avg DC Stock Cost TRY" measure="1" displayFolder="01_TY\TRY" measureGroup="StockDC" count="0"/>
    <cacheHierarchy uniqueName="[Measures].[EOP TY Avg DC Cus Stock Cost TRY]" caption="EOP TY Avg DC Cus Stock Cost TRY" measure="1" displayFolder="01_TY\TRY" measureGroup="StockDC" count="0"/>
    <cacheHierarchy uniqueName="[Measures].[EOP TY Avg DC Transit Stock Cost TRY]" caption="EOP TY Avg DC Transit Stock Cost TRY" measure="1" displayFolder="01_TY\TRY" measureGroup="StockDC" count="0"/>
    <cacheHierarchy uniqueName="[Measures].[TY Avg DC Other Stock Unit]" caption="TY Avg DC Other Stock Unit" measure="1" displayFolder="01_TY\_UNIT" measureGroup="StockDC" count="0"/>
    <cacheHierarchy uniqueName="[Measures].[EOP TY Avg DC Other Stock Unit]" caption="EOP TY Avg DC Other Stock Unit" measure="1" displayFolder="01_TY\_UNIT" measureGroup="StockDC" count="0"/>
    <cacheHierarchy uniqueName="[Measures].[TY Avg DC Other Stock Cost LC]" caption="TY Avg DC Other Stock Cost LC" measure="1" displayFolder="01_TY\LC" measureGroup="StockDC" count="0"/>
    <cacheHierarchy uniqueName="[Measures].[EOP TY Avg DC Other Stock Cost LC]" caption="EOP TY Avg DC Other Stock Cost LC" measure="1" displayFolder="01_TY\LC" measureGroup="StockDC" count="0"/>
    <cacheHierarchy uniqueName="[Measures].[TY Avg DC Other Stock Cost TRY]" caption="TY Avg DC Other Stock Cost TRY" measure="1" displayFolder="01_TY\TRY" measureGroup="StockDC" count="0"/>
    <cacheHierarchy uniqueName="[Measures].[EOP TY Avg DC Other Stock Cost TRY]" caption="EOP TY Avg DC Other Stock Cost TRY" measure="1" displayFolder="01_TY\TRY" measureGroup="StockDC" count="0"/>
    <cacheHierarchy uniqueName="[Measures].[TY Avg DC Other Stock Cost USD]" caption="TY Avg DC Other Stock Cost USD" measure="1" displayFolder="01_TY\USD" measureGroup="StockDC" count="0"/>
    <cacheHierarchy uniqueName="[Measures].[EOP TY Avg DC Stock Cost USD]" caption="EOP TY Avg DC Stock Cost USD" measure="1" displayFolder="01_TY\USD" measureGroup="StockDC" count="0"/>
    <cacheHierarchy uniqueName="[Measures].[EOP TY Avg DC Transit Stock Cost USD]" caption="EOP TY Avg DC Transit Stock Cost USD" measure="1" displayFolder="01_TY\USD" measureGroup="StockDC" count="0"/>
    <cacheHierarchy uniqueName="[Measures].[EOP TY Avg DC Cus Stock Cost USD]" caption="EOP TY Avg DC Cus Stock Cost USD" measure="1" displayFolder="01_TY\USD" measureGroup="StockDC" count="0"/>
    <cacheHierarchy uniqueName="[Measures].[EOP TY Avg DC Other Stock Cost USD]" caption="EOP TY Avg DC Other Stock Cost USD" measure="1" displayFolder="01_TY\USD" measureGroup="StockDC" count="0"/>
    <cacheHierarchy uniqueName="[Measures].[LY Avg DC Other Stock Unit]" caption="LY Avg DC Other Stock Unit" measure="1" displayFolder="02_LY\_UNIT" measureGroup="StockDC" count="0"/>
    <cacheHierarchy uniqueName="[Measures].[LY Avg DC Other Stock Cost LC]" caption="LY Avg DC Other Stock Cost LC" measure="1" displayFolder="02_LY\LC" measureGroup="StockDC" count="0"/>
    <cacheHierarchy uniqueName="[Measures].[LY Avg DC Other Stock Cost TRY]" caption="LY Avg DC Other Stock Cost TRY" measure="1" displayFolder="02_LY\TRY" measureGroup="StockDC" count="0"/>
    <cacheHierarchy uniqueName="[Measures].[LY Avg DC Other Stock Cost USD]" caption="LY Avg DC Other Stock Cost USD" measure="1" displayFolder="02_LY\USD" measureGroup="StockDC" count="0"/>
    <cacheHierarchy uniqueName="[Measures].[EOP Goods Receipt PO DC Stock Unit]" caption="EOP Goods Receipt PO DC Stock Unit" measure="1" displayFolder="01_TY\_UNIT" measureGroup="StockDC" count="0"/>
    <cacheHierarchy uniqueName="[Measures].[EOP Goods Receipt PO DC Transit Stock Unit]" caption="EOP Goods Receipt PO DC Transit Stock Unit" measure="1" displayFolder="01_TY\_UNIT" measureGroup="StockDC" count="0"/>
    <cacheHierarchy uniqueName="[Measures].[EOP Goods Receipt PO DC Cus Stock Unit]" caption="EOP Goods Receipt PO DC Cus Stock Unit" measure="1" displayFolder="01_TY\_UNIT" measureGroup="StockDC" count="0"/>
    <cacheHierarchy uniqueName="[Measures].[EOP Goods Receipt PO DC Other Stock Unit]" caption="EOP Goods Receipt PO DC Other Stock Unit" measure="1" displayFolder="01_TY\_UNIT" measureGroup="StockDC" count="0"/>
    <cacheHierarchy uniqueName="[Measures].[CUR Available DC Stock Unit]" caption="CUR Available DC Stock Unit" measure="1" displayFolder="00_CURRENT" measureGroup="StockDC" count="0"/>
    <cacheHierarchy uniqueName="[Measures].[CUR Real DC Stock Unit]" caption="CUR Real DC Stock Unit" measure="1" displayFolder="00_CURRENT" measureGroup="StockDC" count="0"/>
    <cacheHierarchy uniqueName="[Measures].[CUR Open Delivery DC Stock Unit]" caption="CUR Open Delivery DC Stock Unit" measure="1" displayFolder="00_CURRENT" measureGroup="StockDC" count="0"/>
    <cacheHierarchy uniqueName="[Measures].[CUR Open Order DC Stock Unit]" caption="CUR Open Order DC Stock Unit" measure="1" displayFolder="00_CURRENT" measureGroup="StockDC" count="0"/>
    <cacheHierarchy uniqueName="[Measures].[CUR Open Sto DC Stock Unit]" caption="CUR Open Sto DC Stock Unit" measure="1" displayFolder="00_CURRENT" measureGroup="StockDC" count="0"/>
    <cacheHierarchy uniqueName="[Measures].[CUR Safety DC Stock Unit]" caption="CUR Safety DC Stock Unit" measure="1" displayFolder="00_CURRENT" measureGroup="StockDC" count="0"/>
    <cacheHierarchy uniqueName="[Measures].[CUR Buffer DC Stock Unit]" caption="CUR Buffer DC Stock Unit" measure="1" displayFolder="00_CURRENT" measureGroup="StockDC" count="0"/>
    <cacheHierarchy uniqueName="[Measures].[CUR Unapproved Order DC Stock Unit]" caption="CUR Unapproved Order DC Stock Unit" measure="1" displayFolder="00_CURRENT" measureGroup="StockDC" count="0"/>
    <cacheHierarchy uniqueName="[Measures].[EOP LY DC Transit Stock Unit]" caption="EOP LY DC Transit Stock Unit" measure="1" displayFolder="02_LY\_UNIT" measureGroup="StockDC" count="0"/>
    <cacheHierarchy uniqueName="[Measures].[EOP LY DC Cus Stock Unit]" caption="EOP LY DC Cus Stock Unit" measure="1" displayFolder="02_LY\_UNIT" measureGroup="StockDC" count="0"/>
    <cacheHierarchy uniqueName="[Measures].[EOP LY DC Other Stock Unit]" caption="EOP LY DC Other Stock Unit" measure="1" displayFolder="02_LY\_UNIT" measureGroup="StockDC" count="0"/>
    <cacheHierarchy uniqueName="[Measures].[EOP LY DC Stock Unit]" caption="EOP LY DC Stock Unit" measure="1" displayFolder="02_LY\_UNIT" measureGroup="StockDC" count="0"/>
    <cacheHierarchy uniqueName="[Measures].[Kullanılabilir DC Stok Adet]" caption="Kullanılabilir DC Stok Adet" measure="1" displayFolder="00_CURRENT" measureGroup="StockDC" count="0"/>
    <cacheHierarchy uniqueName="[Measures].[TY Avg Store Stock Unit]" caption="TY Avg Store Stock Unit" measure="1" displayFolder="01_TY\_UNIT" measureGroup="StockStore" count="0" oneField="1">
      <fieldsUsage count="1">
        <fieldUsage x="4"/>
      </fieldsUsage>
    </cacheHierarchy>
    <cacheHierarchy uniqueName="[Measures].[TY Avg Store Transit Stock Unit]" caption="TY Avg Store Transit Stock Unit" measure="1" displayFolder="01_TY\_UNIT" measureGroup="StockStore" count="0" oneField="1">
      <fieldsUsage count="1">
        <fieldUsage x="5"/>
      </fieldsUsage>
    </cacheHierarchy>
    <cacheHierarchy uniqueName="[Measures].[TY Avg Store Stock Cost LC]" caption="TY Avg Store Stock Cost LC" measure="1" displayFolder="01_TY\LC" measureGroup="StockStore" count="0"/>
    <cacheHierarchy uniqueName="[Measures].[TY Avg Store Transit Stock Cost LC]" caption="TY Avg Store Transit Stock Cost LC" measure="1" displayFolder="01_TY\LC" measureGroup="StockStore" count="0"/>
    <cacheHierarchy uniqueName="[Measures].[TY LFL Avg Store Stock Unit]" caption="TY LFL Avg Store Stock Unit" measure="1" displayFolder="02_TYLFL\_UNIT" measureGroup="StockStore" count="0"/>
    <cacheHierarchy uniqueName="[Measures].[TY LFL Avg Store Transit Stock Unit]" caption="TY LFL Avg Store Transit Stock Unit" measure="1" displayFolder="02_TYLFL\_UNIT" measureGroup="StockStore" count="0"/>
    <cacheHierarchy uniqueName="[Measures].[TY LFL Avg Store Stock Cost LC]" caption="TY LFL Avg Store Stock Cost LC" measure="1" displayFolder="02_TYLFL\LC" measureGroup="StockStore" count="0"/>
    <cacheHierarchy uniqueName="[Measures].[TY LFL Avg Store Transit Stock Cost LC]" caption="TY LFL Avg Store Transit Stock Cost LC" measure="1" displayFolder="02_TYLFL\LC" measureGroup="StockStore" count="0"/>
    <cacheHierarchy uniqueName="[Measures].[TY Avg Store Stock Cost TRY]" caption="TY Avg Store Stock Cost TRY" measure="1" displayFolder="01_TY\TRY" measureGroup="StockStore" count="0"/>
    <cacheHierarchy uniqueName="[Measures].[TY Avg Store Transit Stock Cost TRY]" caption="TY Avg Store Transit Stock Cost TRY" measure="1" displayFolder="01_TY\TRY" measureGroup="StockStore" count="0"/>
    <cacheHierarchy uniqueName="[Measures].[TY Avg Store Stock Cost USD]" caption="TY Avg Store Stock Cost USD" measure="1" displayFolder="01_TY\USD" measureGroup="StockStore" count="0"/>
    <cacheHierarchy uniqueName="[Measures].[TY Avg Store Transit Stock Cost USD]" caption="TY Avg Store Transit Stock Cost USD" measure="1" displayFolder="01_TY\USD" measureGroup="StockStore" count="0"/>
    <cacheHierarchy uniqueName="[Measures].[TY LFL Avg Store Stock Cost TRY]" caption="TY LFL Avg Store Stock Cost TRY" measure="1" displayFolder="02_TYLFL\TRY" measureGroup="StockStore" count="0"/>
    <cacheHierarchy uniqueName="[Measures].[TY LFL Avg Store Transit Stock Cost TRY]" caption="TY LFL Avg Store Transit Stock Cost TRY" measure="1" displayFolder="02_TYLFL\TRY" measureGroup="StockStore" count="0"/>
    <cacheHierarchy uniqueName="[Measures].[TY LFL Avg Store Stock Cost USD]" caption="TY LFL Avg Store Stock Cost USD" measure="1" displayFolder="02_TYLFL\USD" measureGroup="StockStore" count="0"/>
    <cacheHierarchy uniqueName="[Measures].[TY LFL Avg Store Transit Stock Cost USD]" caption="TY LFL Avg Store Transit Stock Cost USD" measure="1" displayFolder="02_TYLFL\USD" measureGroup="StockStore" count="0"/>
    <cacheHierarchy uniqueName="[Measures].[StockLastProcessTime]" caption="StockLastProcessTime" measure="1" displayFolder="00_INFO" measureGroup="StockStore" count="0"/>
    <cacheHierarchy uniqueName="[Measures].[LY Avg Store Stock Unit]" caption="LY Avg Store Stock Unit" measure="1" displayFolder="03_LY\_UNIT" measureGroup="StockStore" count="0"/>
    <cacheHierarchy uniqueName="[Measures].[LY Avg Store Transit Stock Unit]" caption="LY Avg Store Transit Stock Unit" measure="1" displayFolder="03_LY\_UNIT" measureGroup="StockStore" count="0"/>
    <cacheHierarchy uniqueName="[Measures].[LY Avg Store Stock Cost LC]" caption="LY Avg Store Stock Cost LC" measure="1" displayFolder="03_LY\LC" measureGroup="StockStore" count="0"/>
    <cacheHierarchy uniqueName="[Measures].[LY Avg Store Transit Stock Cost LC]" caption="LY Avg Store Transit Stock Cost LC" measure="1" displayFolder="03_LY\LC" measureGroup="StockStore" count="0"/>
    <cacheHierarchy uniqueName="[Measures].[LY Avg Store Stock Cost TRY]" caption="LY Avg Store Stock Cost TRY" measure="1" displayFolder="03_LY\TRY" measureGroup="StockStore" count="0"/>
    <cacheHierarchy uniqueName="[Measures].[LY Avg Store Transit Stock Cost TRY]" caption="LY Avg Store Transit Stock Cost TRY" measure="1" displayFolder="03_LY\TRY" measureGroup="StockStore" count="0"/>
    <cacheHierarchy uniqueName="[Measures].[LY Avg Store Stock Cost USD]" caption="LY Avg Store Stock Cost USD" measure="1" displayFolder="03_LY\USD" measureGroup="StockStore" count="0"/>
    <cacheHierarchy uniqueName="[Measures].[LY Avg Store Transit Stock Cost USD]" caption="LY Avg Store Transit Stock Cost USD" measure="1" displayFolder="03_LY\USD" measureGroup="StockStore" count="0"/>
    <cacheHierarchy uniqueName="[Measures].[LY LFL Avg Store Stock Unit]" caption="LY LFL Avg Store Stock Unit" measure="1" displayFolder="04_LYLFL\_UNIT" measureGroup="StockStore" count="0"/>
    <cacheHierarchy uniqueName="[Measures].[LY LFL Avg Store Transit Stock Unit]" caption="LY LFL Avg Store Transit Stock Unit" measure="1" displayFolder="04_LYLFL\_UNIT" measureGroup="StockStore" count="0"/>
    <cacheHierarchy uniqueName="[Measures].[LY LFL Avg Store Stock Cost LC]" caption="LY LFL Avg Store Stock Cost LC" measure="1" displayFolder="04_LYLFL\LC" measureGroup="StockStore" count="0"/>
    <cacheHierarchy uniqueName="[Measures].[LY LFL Avg Store Transit Stock Cost LC]" caption="LY LFL Avg Store Transit Stock Cost LC" measure="1" displayFolder="04_LYLFL\LC" measureGroup="StockStore" count="0"/>
    <cacheHierarchy uniqueName="[Measures].[LY LFL Avg Store Stock Cost TRY]" caption="LY LFL Avg Store Stock Cost TRY" measure="1" displayFolder="04_LYLFL\TRY" measureGroup="StockStore" count="0"/>
    <cacheHierarchy uniqueName="[Measures].[LY LFL Avg Store Transit Stock Cost TRY]" caption="LY LFL Avg Store Transit Stock Cost TRY" measure="1" displayFolder="04_LYLFL\TRY" measureGroup="StockStore" count="0"/>
    <cacheHierarchy uniqueName="[Measures].[LY LFL Avg Store Stock Cost USD]" caption="LY LFL Avg Store Stock Cost USD" measure="1" displayFolder="04_LYLFL\USD" measureGroup="StockStore" count="0"/>
    <cacheHierarchy uniqueName="[Measures].[LY LFL Avg Store Transit Stock Cost USD]" caption="LY LFL Avg Store Transit Stock Cost USD" measure="1" displayFolder="04_LYLFL\USD" measureGroup="StockStore" count="0"/>
    <cacheHierarchy uniqueName="[Measures].[CUR Open Imports Store Stock Unit]" caption="CUR Open Imports Store Stock Unit" measure="1" displayFolder="00_CURRENT" measureGroup="StockStore" count="0"/>
    <cacheHierarchy uniqueName="[Measures].[CUR Open Transfer Store Stock Unit]" caption="CUR Open Transfer Store Stock Unit" measure="1" displayFolder="00_CURRENT" measureGroup="StockStore" count="0"/>
    <cacheHierarchy uniqueName="[Measures].[EOP TY Store Stock Unit]" caption="EOP TY Store Stock Unit" measure="1" displayFolder="01_TY\_UNIT" measureGroup="StockStore" count="0"/>
    <cacheHierarchy uniqueName="[Measures].[EOP TY Avg Store Stock Cost LC]" caption="EOP TY Avg Store Stock Cost LC" measure="1" displayFolder="01_TY\LC" measureGroup="StockStore" count="0"/>
    <cacheHierarchy uniqueName="[Measures].[EOP TY Store Transit Stock Unit]" caption="EOP TY Store Transit Stock Unit" measure="1" displayFolder="01_TY\_UNIT" measureGroup="StockStore" count="0"/>
    <cacheHierarchy uniqueName="[Measures].[EOP TY Avg Store Transit Stock Cost LC]" caption="EOP TY Avg Store Transit Stock Cost LC" measure="1" displayFolder="01_TY\LC" measureGroup="StockStore" count="0"/>
    <cacheHierarchy uniqueName="[Measures].[EOP TY Avg Store Stock Cost TRY]" caption="EOP TY Avg Store Stock Cost TRY" measure="1" displayFolder="01_TY\TRY" measureGroup="StockStore" count="0"/>
    <cacheHierarchy uniqueName="[Measures].[EOP TY Avg Store Transit Stock Cost TRY]" caption="EOP TY Avg Store Transit Stock Cost TRY" measure="1" displayFolder="01_TY\TRY" measureGroup="StockStore" count="0"/>
    <cacheHierarchy uniqueName="[Measures].[EOP LY Store Stock Unit]" caption="EOP LY Store Stock Unit" measure="1" displayFolder="03_LY\_UNIT" measureGroup="StockStore" count="0"/>
    <cacheHierarchy uniqueName="[Measures].[EOP LY Store Transit Stock Unit]" caption="EOP LY Store Transit Stock Unit" measure="1" displayFolder="03_LY\_UNIT" measureGroup="StockStore" count="0"/>
    <cacheHierarchy uniqueName="[Measures].[EOP LY Avg Store Stock Cost LC]" caption="EOP LY Avg Store Stock Cost LC" measure="1" displayFolder="03_LY\LC" measureGroup="StockStore" count="0"/>
    <cacheHierarchy uniqueName="[Measures].[EOP LY Avg Store Transit Stock Cost LC]" caption="EOP LY Avg Store Transit Stock Cost LC" measure="1" displayFolder="03_LY\LC" measureGroup="StockStore" count="0"/>
    <cacheHierarchy uniqueName="[Measures].[EOP LY Avg Store Stock Cost TRY]" caption="EOP LY Avg Store Stock Cost TRY" measure="1" displayFolder="03_LY\TRY" measureGroup="StockStore" count="0"/>
    <cacheHierarchy uniqueName="[Measures].[EOP LY Avg Store Transit Stock Cost TRY]" caption="EOP LY Avg Store Transit Stock Cost TRY" measure="1" displayFolder="03_LY\TRY" measureGroup="StockStore" count="0"/>
    <cacheHierarchy uniqueName="[Measures].[TY Avg Store Other Stock Unit]" caption="TY Avg Store Other Stock Unit" measure="1" displayFolder="01_TY\_UNIT" measureGroup="StockStore" count="0"/>
    <cacheHierarchy uniqueName="[Measures].[TY LFL Avg Store Other Stock Unit]" caption="TY LFL Avg Store Other Stock Unit" measure="1" displayFolder="02_TYLFL\_UNIT" measureGroup="StockStore" count="0"/>
    <cacheHierarchy uniqueName="[Measures].[LY Avg Store Other Stock Unit]" caption="LY Avg Store Other Stock Unit" measure="1" displayFolder="03_LY\_UNIT" measureGroup="StockStore" count="0"/>
    <cacheHierarchy uniqueName="[Measures].[LY LFL Avg Store Other Stock Unit]" caption="LY LFL Avg Store Other Stock Unit" measure="1" displayFolder="04_LYLFL\_UNIT" measureGroup="StockStore" count="0"/>
    <cacheHierarchy uniqueName="[Measures].[TY Avg Company Stock Unit]" caption="TY Avg Company Stock Unit" measure="1" displayFolder="01_TY\_UNIT" measureGroup="StockStore" count="0"/>
    <cacheHierarchy uniqueName="[Measures].[TY Avg Store Other Stock Cost TRY]" caption="TY Avg Store Other Stock Cost TRY" measure="1" displayFolder="01_TY\TRY" measureGroup="StockStore" count="0"/>
    <cacheHierarchy uniqueName="[Measures].[EOP TY Avg Company Stock Cost TRY]" caption="EOP TY Avg Company Stock Cost TRY" measure="1" displayFolder="01_TY\TRY" measureGroup="StockStore" count="0"/>
    <cacheHierarchy uniqueName="[Measures].[EOP TY Avg Store Other Stock Cost TRY]" caption="EOP TY Avg Store Other Stock Cost TRY" measure="1" displayFolder="01_TY\TRY" measureGroup="StockStore" count="0"/>
    <cacheHierarchy uniqueName="[Measures].[TY Avg StoreOther Stock Cost LC]" caption="TY Avg StoreOther Stock Cost LC" measure="1" displayFolder="01_TY\LC" measureGroup="StockStore" count="0"/>
    <cacheHierarchy uniqueName="[Measures].[EOP TY Avg Store Other Stock Cost LC]" caption="EOP TY Avg Store Other Stock Cost LC" measure="1" displayFolder="01_TY\LC" measureGroup="StockStore" count="0"/>
    <cacheHierarchy uniqueName="[Measures].[TY Avg Store Other Stock Cost USD]" caption="TY Avg Store Other Stock Cost USD" measure="1" displayFolder="01_TY\USD" measureGroup="StockStore" count="0"/>
    <cacheHierarchy uniqueName="[Measures].[TY Avg Company Stock Cost TRY]" caption="TY Avg Company Stock Cost TRY" measure="1" displayFolder="01_TY\TRY" measureGroup="StockStore" count="0"/>
    <cacheHierarchy uniqueName="[Measures].[TY Avg Company Stock Cost LC]" caption="TY Avg Company Stock Cost LC" measure="1" displayFolder="01_TY\LC" measureGroup="StockStore" count="0"/>
    <cacheHierarchy uniqueName="[Measures].[TY Avg Company Stock Cost USD]" caption="TY Avg Company Stock Cost USD" measure="1" displayFolder="01_TY\USD" measureGroup="StockStore" count="0"/>
    <cacheHierarchy uniqueName="[Measures].[TY Avg Store Other Stock Cost LC]" caption="TY Avg Store Other Stock Cost LC" measure="1" displayFolder="01_TY\LC" measureGroup="StockStore" count="0"/>
    <cacheHierarchy uniqueName="[Measures].[LY Avg Company Stock Unit]" caption="LY Avg Company Stock Unit" measure="1" displayFolder="03_LY\_UNIT" measureGroup="StockStore" count="0"/>
    <cacheHierarchy uniqueName="[Measures].[LY Avg Company Stock Cost LC]" caption="LY Avg Company Stock Cost LC" measure="1" displayFolder="03_LY\LC" measureGroup="StockStore" count="0"/>
    <cacheHierarchy uniqueName="[Measures].[LY Avg Store Other Stock Cost LC]" caption="LY Avg Store Other Stock Cost LC" measure="1" displayFolder="03_LY\LC" measureGroup="StockStore" count="0"/>
    <cacheHierarchy uniqueName="[Measures].[LY Avg Company Stock Cost TRY]" caption="LY Avg Company Stock Cost TRY" measure="1" displayFolder="03_LY\TRY" measureGroup="StockStore" count="0"/>
    <cacheHierarchy uniqueName="[Measures].[LY Avg Company Stock Cost USD]" caption="LY Avg Company Stock Cost USD" measure="1" displayFolder="03_LY\USD" measureGroup="StockStore" count="0"/>
    <cacheHierarchy uniqueName="[Measures].[EOP TY Company Stock Unit]" caption="EOP TY Company Stock Unit" measure="1" displayFolder="01_TY\_UNIT" measureGroup="StockStore" count="0"/>
    <cacheHierarchy uniqueName="[Measures].[EOP TY Store Other Stock Unit]" caption="EOP TY Store Other Stock Unit" measure="1" displayFolder="01_TY\_UNIT" measureGroup="StockStore" count="0"/>
    <cacheHierarchy uniqueName="[Measures].[EOP TY Company Stock Cost TRY]" caption="EOP TY Company Stock Cost TRY" measure="1" displayFolder="01_TY\TRY" measureGroup="StockStore" count="0"/>
    <cacheHierarchy uniqueName="[Measures].[Cur Unit ISP VAT LC]" caption="Cur Unit ISP VAT LC" measure="1" displayFolder="00_CURRENT" measureGroup="StockStore" count="0"/>
    <cacheHierarchy uniqueName="[Measures].[Cur Discounted Unit ISP VAT LC]" caption="Cur Discounted Unit ISP VAT LC" measure="1" displayFolder="00_CURRENT" measureGroup="StockStore" count="0"/>
    <cacheHierarchy uniqueName="[Measures].[CUR Available Store Stock Unit]" caption="CUR Available Store Stock Unit" measure="1" displayFolder="00_CURRENT" measureGroup="StockStore" count="0"/>
    <cacheHierarchy uniqueName="[Measures].[CUR Real Store Stock Unit]" caption="CUR Real Store Stock Unit" measure="1" displayFolder="00_CURRENT" measureGroup="StockStore" count="0"/>
    <cacheHierarchy uniqueName="[Measures].[CUR Open Delivery Store Stock Unit]" caption="CUR Open Delivery Store Stock Unit" measure="1" displayFolder="00_CURRENT" measureGroup="StockStore" count="0"/>
    <cacheHierarchy uniqueName="[Measures].[CUR Open Sto Store Stock Unit]" caption="CUR Open Sto Store Stock Unit" measure="1" displayFolder="00_CURRENT" measureGroup="StockStore" count="0"/>
    <cacheHierarchy uniqueName="[Measures].[CUR Safety Store Stock Unit]" caption="CUR Safety Store Stock Unit" measure="1" displayFolder="00_CURRENT" measureGroup="StockStore" count="0"/>
    <cacheHierarchy uniqueName="[Measures].[CUR Buffer Store Stock Unit]" caption="CUR Buffer Store Stock Unit" measure="1" displayFolder="00_CURRENT" measureGroup="StockStore" count="0"/>
    <cacheHierarchy uniqueName="[Measures].[CUR Unapproved Order Store Stock Unit]" caption="CUR Unapproved Order Store Stock Unit" measure="1" displayFolder="00_CURRENT" measureGroup="StockStore" count="0"/>
    <cacheHierarchy uniqueName="[Measures].[OrderLastProcessTime]" caption="OrderLastProcessTime" measure="1" displayFolder="00_INFO" measureGroup="StockStore" count="0"/>
    <cacheHierarchy uniqueName="[Measures].[AvailableStockProcessTime]" caption="AvailableStockProcessTime" measure="1" displayFolder="00_INFO" measureGroup="StockStore" count="0"/>
    <cacheHierarchy uniqueName="[Measures].[EOP LY Company Stock Unit]" caption="EOP LY Company Stock Unit" measure="1" displayFolder="03_LY\_UNIT" measureGroup="StockStore" count="0"/>
    <cacheHierarchy uniqueName="[Measures].[EOP LY Store Other Stock Unit]" caption="EOP LY Store Other Stock Unit" measure="1" displayFolder="03_LY\_UNIT" measureGroup="StockStore" count="0"/>
    <cacheHierarchy uniqueName="[Measures].[CUR Open Order Store Stock Unit]" caption="CUR Open Order Store Stock Unit" measure="1" displayFolder="00_CURRENT" measureGroup="StockStore" count="0"/>
    <cacheHierarchy uniqueName="[Measures].[EOP TY Store Stock Dm3]" caption="EOP TY Store Stock Dm3" measure="1" displayFolder="01_TY\_VOLUME" measureGroup="StockStore" count="0"/>
    <cacheHierarchy uniqueName="[Measures].[TY Avg Store Stock Dm3]" caption="TY Avg Store Stock Dm3" measure="1" displayFolder="01_TY\_VOLUME" measureGroup="StockStore" count="0"/>
    <cacheHierarchy uniqueName="[Measures].[EOP TY Store Transit Stock Dm3]" caption="EOP TY Store Transit Stock Dm3" measure="1" displayFolder="01_TY\_VOLUME" measureGroup="StockStore" count="0"/>
    <cacheHierarchy uniqueName="[Measures].[CUR Open Transfer Store Stock Dm3]" caption="CUR Open Transfer Store Stock Dm3" measure="1" displayFolder="00_CURRENT" measureGroup="StockStore" count="0"/>
    <cacheHierarchy uniqueName="[Measures].[CUR Unapproved Order Store Stock Dm3]" caption="CUR Unapproved Order Store Stock Dm3" measure="1" displayFolder="00_CURRENT" measureGroup="StockStore" count="0"/>
    <cacheHierarchy uniqueName="[Measures].[CUR Unapproved Order Store Stock Unit Others]" caption="CUR Unapproved Order Store Stock Unit Others" measure="1" displayFolder="00_CURRENT" measureGroup="StockStore" count="0"/>
    <cacheHierarchy uniqueName="[Measures].[CUR Open Transfer Store Stock Unit Others]" caption="CUR Open Transfer Store Stock Unit Others" measure="1" displayFolder="00_CURRENT" measureGroup="StockStore" count="0"/>
    <cacheHierarchy uniqueName="[Measures].[CUR Open Transfer Store Stock Dm3 Others]" caption="CUR Open Transfer Store Stock Dm3 Others" measure="1" displayFolder="00_CURRENT" measureGroup="StockStore" count="0"/>
    <cacheHierarchy uniqueName="[Measures].[CUR Unapproved Order Store Stock Dm3 Others]" caption="CUR Unapproved Order Store Stock Dm3 Others" measure="1" displayFolder="00_CURRENT" measureGroup="StockStore" count="0"/>
    <cacheHierarchy uniqueName="[Measures].[TY Sales Unit]" caption="TY Sales Unit" measure="1" displayFolder="01_TY\_UNIT" measureGroup="Sales" count="0" oneField="1">
      <fieldsUsage count="1">
        <fieldUsage x="2"/>
      </fieldsUsage>
    </cacheHierarchy>
    <cacheHierarchy uniqueName="[Measures].[TY Sales Value VAT LC]" caption="TY Sales Value VAT LC" measure="1" displayFolder="01_TY\LC" measureGroup="Sales" count="0"/>
    <cacheHierarchy uniqueName="[Measures].[TY Sales Value LC]" caption="TY Sales Value LC" measure="1" displayFolder="01_TY\LC" measureGroup="Sales" count="0" oneField="1">
      <fieldsUsage count="1">
        <fieldUsage x="3"/>
      </fieldsUsage>
    </cacheHierarchy>
    <cacheHierarchy uniqueName="[Measures].[TY Sales Cost VAT LC]" caption="TY Sales Cost VAT LC" measure="1" displayFolder="01_TY\LC" measureGroup="Sales" count="0"/>
    <cacheHierarchy uniqueName="[Measures].[TY Sales Cost LC]" caption="TY Sales Cost LC" measure="1" displayFolder="01_TY\LC" measureGroup="Sales" count="0"/>
    <cacheHierarchy uniqueName="[Measures].[TY ISP Sales Value VAT LC]" caption="TY ISP Sales Value VAT LC" measure="1" displayFolder="01_TY\LC" measureGroup="Sales" count="0"/>
    <cacheHierarchy uniqueName="[Measures].[TY ISP Sales Value LC]" caption="TY ISP Sales Value LC" measure="1" displayFolder="01_TY\LC" measureGroup="Sales" count="0"/>
    <cacheHierarchy uniqueName="[Measures].[TY Sales Discount Value VAT LC]" caption="TY Sales Discount Value VAT LC" measure="1" displayFolder="01_TY\LC" measureGroup="Sales" count="0"/>
    <cacheHierarchy uniqueName="[Measures].[TY Sales Discount Value LC]" caption="TY Sales Discount Value LC" measure="1" displayFolder="01_TY\LC" measureGroup="Sales" count="0"/>
    <cacheHierarchy uniqueName="[Measures].[TY Sales Value VAT TRY]" caption="TY Sales Value VAT TRY" measure="1" displayFolder="01_TY\TRY" measureGroup="Sales" count="0"/>
    <cacheHierarchy uniqueName="[Measures].[TY Sales Value TRY]" caption="TY Sales Value TRY" measure="1" displayFolder="01_TY\TRY" measureGroup="Sales" count="0"/>
    <cacheHierarchy uniqueName="[Measures].[TY Sales Cost VAT TRY]" caption="TY Sales Cost VAT TRY" measure="1" displayFolder="01_TY\TRY" measureGroup="Sales" count="0"/>
    <cacheHierarchy uniqueName="[Measures].[TY Sales Cost TRY]" caption="TY Sales Cost TRY" measure="1" displayFolder="01_TY\TRY" measureGroup="Sales" count="0"/>
    <cacheHierarchy uniqueName="[Measures].[TY ISP Sales Value VAT TRY]" caption="TY ISP Sales Value VAT TRY" measure="1" displayFolder="01_TY\TRY" measureGroup="Sales" count="0"/>
    <cacheHierarchy uniqueName="[Measures].[TY ISP Sales Value TRY]" caption="TY ISP Sales Value TRY" measure="1" displayFolder="01_TY\TRY" measureGroup="Sales" count="0"/>
    <cacheHierarchy uniqueName="[Measures].[TY Sales Discount Value VAT TRY]" caption="TY Sales Discount Value VAT TRY" measure="1" displayFolder="01_TY\TRY" measureGroup="Sales" count="0"/>
    <cacheHierarchy uniqueName="[Measures].[TY Sales Discount Value TRY]" caption="TY Sales Discount Value TRY" measure="1" displayFolder="01_TY\TRY" measureGroup="Sales" count="0"/>
    <cacheHierarchy uniqueName="[Measures].[TY Invoice Count]" caption="TY Invoice Count" measure="1" displayFolder="01_TY\_UNIT" measureGroup="Sales" count="0"/>
    <cacheHierarchy uniqueName="[Measures].[TY Return Invoice Count]" caption="TY Return Invoice Count" measure="1" displayFolder="01_TY\_UNIT" measureGroup="Sales" count="0"/>
    <cacheHierarchy uniqueName="[Measures].[TY Gross Invoice Count]" caption="TY Gross Invoice Count" measure="1" displayFolder="01_TY\_UNIT" measureGroup="Sales" count="0"/>
    <cacheHierarchy uniqueName="[Measures].[SalesLastProcessTime]" caption="SalesLastProcessTime" measure="1" displayFolder="00_INFO" measureGroup="Sales" count="0"/>
    <cacheHierarchy uniqueName="[Measures].[TY LFL Gross Invoice Count]" caption="TY LFL Gross Invoice Count" measure="1" displayFolder="02_TYLFL\_UNIT" measureGroup="Sales" count="0"/>
    <cacheHierarchy uniqueName="[Measures].[TY LFL Return Invoice Count]" caption="TY LFL Return Invoice Count" measure="1" displayFolder="02_TYLFL\_UNIT" measureGroup="Sales" count="0"/>
    <cacheHierarchy uniqueName="[Measures].[TY LFL Invoice Count]" caption="TY LFL Invoice Count" measure="1" displayFolder="02_TYLFL\_UNIT" measureGroup="Sales" count="0"/>
    <cacheHierarchy uniqueName="[Measures].[LY Sales Unit]" caption="LY Sales Unit" measure="1" displayFolder="03_LY\_UNIT" measureGroup="Sales" count="0"/>
    <cacheHierarchy uniqueName="[Measures].[LY Sales Value VAT LC]" caption="LY Sales Value VAT LC" measure="1" displayFolder="03_LY\LC" measureGroup="Sales" count="0"/>
    <cacheHierarchy uniqueName="[Measures].[LY Sales Value LC]" caption="LY Sales Value LC" measure="1" displayFolder="03_LY\LC" measureGroup="Sales" count="0"/>
    <cacheHierarchy uniqueName="[Measures].[LY Sales Cost VAT LC]" caption="LY Sales Cost VAT LC" measure="1" displayFolder="03_LY\LC" measureGroup="Sales" count="0"/>
    <cacheHierarchy uniqueName="[Measures].[LY Sales Cost LC]" caption="LY Sales Cost LC" measure="1" displayFolder="03_LY\LC" measureGroup="Sales" count="0"/>
    <cacheHierarchy uniqueName="[Measures].[LY ISP Sales Value VAT LC]" caption="LY ISP Sales Value VAT LC" measure="1" displayFolder="03_LY\LC" measureGroup="Sales" count="0"/>
    <cacheHierarchy uniqueName="[Measures].[LY ISP Sales Value LC]" caption="LY ISP Sales Value LC" measure="1" displayFolder="03_LY\LC" measureGroup="Sales" count="0"/>
    <cacheHierarchy uniqueName="[Measures].[LY Sales Discount Value VAT LC]" caption="LY Sales Discount Value VAT LC" measure="1" displayFolder="03_LY\LC" measureGroup="Sales" count="0"/>
    <cacheHierarchy uniqueName="[Measures].[LY Sales Discount Value LC]" caption="LY Sales Discount Value LC" measure="1" displayFolder="03_LY\LC" measureGroup="Sales" count="0"/>
    <cacheHierarchy uniqueName="[Measures].[LY Invoice Count]" caption="LY Invoice Count" measure="1" displayFolder="03_LY\_UNIT" measureGroup="Sales" count="0"/>
    <cacheHierarchy uniqueName="[Measures].[LY Gross Invoice Count]" caption="LY Gross Invoice Count" measure="1" displayFolder="03_LY\_UNIT" measureGroup="Sales" count="0"/>
    <cacheHierarchy uniqueName="[Measures].[LY Return Invoice Count]" caption="LY Return Invoice Count" measure="1" displayFolder="03_LY\_UNIT" measureGroup="Sales" count="0"/>
    <cacheHierarchy uniqueName="[Measures].[TY LFL Sales Unit]" caption="TY LFL Sales Unit" measure="1" displayFolder="02_TYLFL\_UNIT" measureGroup="Sales" count="0"/>
    <cacheHierarchy uniqueName="[Measures].[TY LFL Sales Value VAT LC]" caption="TY LFL Sales Value VAT LC" measure="1" displayFolder="02_TYLFL\LC" measureGroup="Sales" count="0"/>
    <cacheHierarchy uniqueName="[Measures].[TY LFL Sales Value LC]" caption="TY LFL Sales Value LC" measure="1" displayFolder="02_TYLFL\LC" measureGroup="Sales" count="0"/>
    <cacheHierarchy uniqueName="[Measures].[TY LFL Sales Cost VAT LC]" caption="TY LFL Sales Cost VAT LC" measure="1" displayFolder="02_TYLFL\LC" measureGroup="Sales" count="0"/>
    <cacheHierarchy uniqueName="[Measures].[TY LFL Sales Cost LC]" caption="TY LFL Sales Cost LC" measure="1" displayFolder="02_TYLFL\LC" measureGroup="Sales" count="0"/>
    <cacheHierarchy uniqueName="[Measures].[TY LFL ISP Sales Value VAT LC]" caption="TY LFL ISP Sales Value VAT LC" measure="1" displayFolder="02_TYLFL\LC" measureGroup="Sales" count="0"/>
    <cacheHierarchy uniqueName="[Measures].[TY LFL ISP Sales Value LC]" caption="TY LFL ISP Sales Value LC" measure="1" displayFolder="02_TYLFL\LC" measureGroup="Sales" count="0"/>
    <cacheHierarchy uniqueName="[Measures].[TY LFL Sales Discount Value VAT LC]" caption="TY LFL Sales Discount Value VAT LC" measure="1" displayFolder="02_TYLFL\LC" measureGroup="Sales" count="0"/>
    <cacheHierarchy uniqueName="[Measures].[TY LFL Sales Discount Value LC]" caption="TY LFL Sales Discount Value LC" measure="1" displayFolder="02_TYLFL\LC" measureGroup="Sales" count="0"/>
    <cacheHierarchy uniqueName="[Measures].[TY Sales Value VAT USD]" caption="TY Sales Value VAT USD" measure="1" displayFolder="01_TY\USD" measureGroup="Sales" count="0"/>
    <cacheHierarchy uniqueName="[Measures].[TY Sales Value USD]" caption="TY Sales Value USD" measure="1" displayFolder="01_TY\USD" measureGroup="Sales" count="0"/>
    <cacheHierarchy uniqueName="[Measures].[TY Sales Cost VAT USD]" caption="TY Sales Cost VAT USD" measure="1" displayFolder="01_TY\USD" measureGroup="Sales" count="0"/>
    <cacheHierarchy uniqueName="[Measures].[TY Sales Cost USD]" caption="TY Sales Cost USD" measure="1" displayFolder="01_TY\USD" measureGroup="Sales" count="0"/>
    <cacheHierarchy uniqueName="[Measures].[TY ISP Sales Value VAT USD]" caption="TY ISP Sales Value VAT USD" measure="1" displayFolder="01_TY\USD" measureGroup="Sales" count="0"/>
    <cacheHierarchy uniqueName="[Measures].[TY ISP Sales Value USD]" caption="TY ISP Sales Value USD" measure="1" displayFolder="01_TY\USD" measureGroup="Sales" count="0"/>
    <cacheHierarchy uniqueName="[Measures].[TY Sales Discount Value VAT USD]" caption="TY Sales Discount Value VAT USD" measure="1" displayFolder="01_TY\USD" measureGroup="Sales" count="0"/>
    <cacheHierarchy uniqueName="[Measures].[TY Sales Discount Value USD]" caption="TY Sales Discount Value USD" measure="1" displayFolder="01_TY\USD" measureGroup="Sales" count="0"/>
    <cacheHierarchy uniqueName="[Measures].[TY LFL Sales Value VAT TRY]" caption="TY LFL Sales Value VAT TRY" measure="1" displayFolder="02_TYLFL\TRY" measureGroup="Sales" count="0"/>
    <cacheHierarchy uniqueName="[Measures].[TY LFL Sales Value TRY]" caption="TY LFL Sales Value TRY" measure="1" displayFolder="02_TYLFL\TRY" measureGroup="Sales" count="0"/>
    <cacheHierarchy uniqueName="[Measures].[TY LFL Sales Cost VAT TRY]" caption="TY LFL Sales Cost VAT TRY" measure="1" displayFolder="02_TYLFL\TRY" measureGroup="Sales" count="0"/>
    <cacheHierarchy uniqueName="[Measures].[TY LFL Sales Cost TRY]" caption="TY LFL Sales Cost TRY" measure="1" displayFolder="02_TYLFL\TRY" measureGroup="Sales" count="0"/>
    <cacheHierarchy uniqueName="[Measures].[TY LFL ISP Sales Value VAT TRY]" caption="TY LFL ISP Sales Value VAT TRY" measure="1" displayFolder="02_TYLFL\TRY" measureGroup="Sales" count="0"/>
    <cacheHierarchy uniqueName="[Measures].[TY LFL ISP Sales Value TRY]" caption="TY LFL ISP Sales Value TRY" measure="1" displayFolder="02_TYLFL\TRY" measureGroup="Sales" count="0"/>
    <cacheHierarchy uniqueName="[Measures].[TY LFL Sales Discount Value VAT TRY]" caption="TY LFL Sales Discount Value VAT TRY" measure="1" displayFolder="02_TYLFL\TRY" measureGroup="Sales" count="0"/>
    <cacheHierarchy uniqueName="[Measures].[TY LFL Sales Discount Value TRY]" caption="TY LFL Sales Discount Value TRY" measure="1" displayFolder="02_TYLFL\TRY" measureGroup="Sales" count="0"/>
    <cacheHierarchy uniqueName="[Measures].[TY LFL Sales Value VAT USD]" caption="TY LFL Sales Value VAT USD" measure="1" displayFolder="02_TYLFL\USD" measureGroup="Sales" count="0"/>
    <cacheHierarchy uniqueName="[Measures].[TY LFL Sales Value USD]" caption="TY LFL Sales Value USD" measure="1" displayFolder="02_TYLFL\USD" measureGroup="Sales" count="0"/>
    <cacheHierarchy uniqueName="[Measures].[TY LFL Sales Cost VAT USD]" caption="TY LFL Sales Cost VAT USD" measure="1" displayFolder="02_TYLFL\USD" measureGroup="Sales" count="0"/>
    <cacheHierarchy uniqueName="[Measures].[TY LFL Sales Cost USD]" caption="TY LFL Sales Cost USD" measure="1" displayFolder="02_TYLFL\USD" measureGroup="Sales" count="0"/>
    <cacheHierarchy uniqueName="[Measures].[TY LFL ISP Sales Value VAT USD]" caption="TY LFL ISP Sales Value VAT USD" measure="1" displayFolder="02_TYLFL\USD" measureGroup="Sales" count="0"/>
    <cacheHierarchy uniqueName="[Measures].[TY LFL ISP Sales Value USD]" caption="TY LFL ISP Sales Value USD" measure="1" displayFolder="02_TYLFL\USD" measureGroup="Sales" count="0"/>
    <cacheHierarchy uniqueName="[Measures].[TY LFL Sales Discount Value VAT USD]" caption="TY LFL Sales Discount Value VAT USD" measure="1" displayFolder="02_TYLFL\USD" measureGroup="Sales" count="0"/>
    <cacheHierarchy uniqueName="[Measures].[TY LFL Sales Discount Value USD]" caption="TY LFL Sales Discount Value USD" measure="1" displayFolder="02_TYLFL\USD" measureGroup="Sales" count="0"/>
    <cacheHierarchy uniqueName="[Measures].[LY Sales Value VAT TRY]" caption="LY Sales Value VAT TRY" measure="1" displayFolder="03_LY\TRY" measureGroup="Sales" count="0"/>
    <cacheHierarchy uniqueName="[Measures].[LY Sales Value TRY]" caption="LY Sales Value TRY" measure="1" displayFolder="03_LY\TRY" measureGroup="Sales" count="0"/>
    <cacheHierarchy uniqueName="[Measures].[LY Sales Cost VAT TRY]" caption="LY Sales Cost VAT TRY" measure="1" displayFolder="03_LY\TRY" measureGroup="Sales" count="0"/>
    <cacheHierarchy uniqueName="[Measures].[LY Sales Cost TRY]" caption="LY Sales Cost TRY" measure="1" displayFolder="03_LY\TRY" measureGroup="Sales" count="0"/>
    <cacheHierarchy uniqueName="[Measures].[LY ISP Sales Value VAT TRY]" caption="LY ISP Sales Value VAT TRY" measure="1" displayFolder="03_LY\TRY" measureGroup="Sales" count="0"/>
    <cacheHierarchy uniqueName="[Measures].[LY ISP Sales Value TRY]" caption="LY ISP Sales Value TRY" measure="1" displayFolder="03_LY\TRY" measureGroup="Sales" count="0"/>
    <cacheHierarchy uniqueName="[Measures].[LY Sales Discount Value VAT TRY]" caption="LY Sales Discount Value VAT TRY" measure="1" displayFolder="03_LY\TRY" measureGroup="Sales" count="0"/>
    <cacheHierarchy uniqueName="[Measures].[LY Sales Discount Value TRY]" caption="LY Sales Discount Value TRY" measure="1" displayFolder="03_LY\TRY" measureGroup="Sales" count="0"/>
    <cacheHierarchy uniqueName="[Measures].[LY Sales Value VAT USD]" caption="LY Sales Value VAT USD" measure="1" displayFolder="03_LY\USD" measureGroup="Sales" count="0"/>
    <cacheHierarchy uniqueName="[Measures].[LY Sales Value USD]" caption="LY Sales Value USD" measure="1" displayFolder="03_LY\USD" measureGroup="Sales" count="0"/>
    <cacheHierarchy uniqueName="[Measures].[LY Sales Cost VAT USD]" caption="LY Sales Cost VAT USD" measure="1" displayFolder="03_LY\USD" measureGroup="Sales" count="0"/>
    <cacheHierarchy uniqueName="[Measures].[LY Sales Cost USD]" caption="LY Sales Cost USD" measure="1" displayFolder="03_LY\USD" measureGroup="Sales" count="0"/>
    <cacheHierarchy uniqueName="[Measures].[LY ISP Sales Value VAT USD]" caption="LY ISP Sales Value VAT USD" measure="1" displayFolder="03_LY\USD" measureGroup="Sales" count="0"/>
    <cacheHierarchy uniqueName="[Measures].[LY ISP Sales Value USD]" caption="LY ISP Sales Value USD" measure="1" displayFolder="03_LY\USD" measureGroup="Sales" count="0"/>
    <cacheHierarchy uniqueName="[Measures].[LY Sales Discount Value VAT USD]" caption="LY Sales Discount Value VAT USD" measure="1" displayFolder="03_LY\USD" measureGroup="Sales" count="0"/>
    <cacheHierarchy uniqueName="[Measures].[LY Sales Discount Value USD]" caption="LY Sales Discount Value USD" measure="1" displayFolder="03_LY\USD" measureGroup="Sales" count="0"/>
    <cacheHierarchy uniqueName="[Measures].[LY LFL Sales Unit]" caption="LY LFL Sales Unit" measure="1" displayFolder="04_LYLFL\_UNIT" measureGroup="Sales" count="0"/>
    <cacheHierarchy uniqueName="[Measures].[LY LFL Sales Value VAT LC]" caption="LY LFL Sales Value VAT LC" measure="1" displayFolder="04_LYLFL\LC" measureGroup="Sales" count="0"/>
    <cacheHierarchy uniqueName="[Measures].[LY LFL Sales Value LC]" caption="LY LFL Sales Value LC" measure="1" displayFolder="04_LYLFL\LC" measureGroup="Sales" count="0"/>
    <cacheHierarchy uniqueName="[Measures].[LY LFL Sales Cost VAT LC]" caption="LY LFL Sales Cost VAT LC" measure="1" displayFolder="04_LYLFL\LC" measureGroup="Sales" count="0"/>
    <cacheHierarchy uniqueName="[Measures].[LY LFL Sales Cost LC]" caption="LY LFL Sales Cost LC" measure="1" displayFolder="04_LYLFL\LC" measureGroup="Sales" count="0"/>
    <cacheHierarchy uniqueName="[Measures].[LY LFL ISP Sales Value VAT LC]" caption="LY LFL ISP Sales Value VAT LC" measure="1" displayFolder="04_LYLFL\LC" measureGroup="Sales" count="0"/>
    <cacheHierarchy uniqueName="[Measures].[LY LFL ISP Sales Value LC]" caption="LY LFL ISP Sales Value LC" measure="1" displayFolder="04_LYLFL\LC" measureGroup="Sales" count="0"/>
    <cacheHierarchy uniqueName="[Measures].[LY LFL Sales Discount Value VAT LC]" caption="LY LFL Sales Discount Value VAT LC" measure="1" displayFolder="04_LYLFL\LC" measureGroup="Sales" count="0"/>
    <cacheHierarchy uniqueName="[Measures].[LY LFL Sales Discount Value LC]" caption="LY LFL Sales Discount Value LC" measure="1" displayFolder="04_LYLFL\LC" measureGroup="Sales" count="0"/>
    <cacheHierarchy uniqueName="[Measures].[LY LFL Sales Value VAT TRY]" caption="LY LFL Sales Value VAT TRY" measure="1" displayFolder="04_LYLFL\TRY" measureGroup="Sales" count="0"/>
    <cacheHierarchy uniqueName="[Measures].[LY LFL Sales Value TRY]" caption="LY LFL Sales Value TRY" measure="1" displayFolder="04_LYLFL\TRY" measureGroup="Sales" count="0"/>
    <cacheHierarchy uniqueName="[Measures].[LY LFL Sales Cost VAT TRY]" caption="LY LFL Sales Cost VAT TRY" measure="1" displayFolder="04_LYLFL\TRY" measureGroup="Sales" count="0"/>
    <cacheHierarchy uniqueName="[Measures].[LY LFL Sales Cost TRY]" caption="LY LFL Sales Cost TRY" measure="1" displayFolder="04_LYLFL\TRY" measureGroup="Sales" count="0"/>
    <cacheHierarchy uniqueName="[Measures].[LY LFL ISP Sales Value VAT TRY]" caption="LY LFL ISP Sales Value VAT TRY" measure="1" displayFolder="04_LYLFL\TRY" measureGroup="Sales" count="0"/>
    <cacheHierarchy uniqueName="[Measures].[LY LFL ISP Sales Value TRY]" caption="LY LFL ISP Sales Value TRY" measure="1" displayFolder="04_LYLFL\TRY" measureGroup="Sales" count="0"/>
    <cacheHierarchy uniqueName="[Measures].[LY LFL Sales Discount Value VAT TRY]" caption="LY LFL Sales Discount Value VAT TRY" measure="1" displayFolder="04_LYLFL\TRY" measureGroup="Sales" count="0"/>
    <cacheHierarchy uniqueName="[Measures].[LY LFL Sales Discount Value TRY]" caption="LY LFL Sales Discount Value TRY" measure="1" displayFolder="04_LYLFL\TRY" measureGroup="Sales" count="0"/>
    <cacheHierarchy uniqueName="[Measures].[LY LFL Gross Invoice Count]" caption="LY LFL Gross Invoice Count" measure="1" displayFolder="04_LYLFL\_UNIT" measureGroup="Sales" count="0"/>
    <cacheHierarchy uniqueName="[Measures].[LY LFL Return Invoice Count]" caption="LY LFL Return Invoice Count" measure="1" displayFolder="04_LYLFL\_UNIT" measureGroup="Sales" count="0"/>
    <cacheHierarchy uniqueName="[Measures].[LY LFL Invoice Count]" caption="LY LFL Invoice Count" measure="1" displayFolder="04_LYLFL\_UNIT" measureGroup="Sales" count="0"/>
    <cacheHierarchy uniqueName="[Measures].[LY LFL Sales Value VAT USD]" caption="LY LFL Sales Value VAT USD" measure="1" displayFolder="04_LYLFL\USD" measureGroup="Sales" count="0"/>
    <cacheHierarchy uniqueName="[Measures].[LY LFL Sales Value USD]" caption="LY LFL Sales Value USD" measure="1" displayFolder="04_LYLFL\USD" measureGroup="Sales" count="0"/>
    <cacheHierarchy uniqueName="[Measures].[LY LFL Sales Cost VAT USD]" caption="LY LFL Sales Cost VAT USD" measure="1" displayFolder="04_LYLFL\USD" measureGroup="Sales" count="0"/>
    <cacheHierarchy uniqueName="[Measures].[LY LFL Sales Cost USD]" caption="LY LFL Sales Cost USD" measure="1" displayFolder="04_LYLFL\USD" measureGroup="Sales" count="0"/>
    <cacheHierarchy uniqueName="[Measures].[LY LFL ISP Sales Value VAT USD]" caption="LY LFL ISP Sales Value VAT USD" measure="1" displayFolder="04_LYLFL\USD" measureGroup="Sales" count="0"/>
    <cacheHierarchy uniqueName="[Measures].[LY LFL ISP Sales Value USD]" caption="LY LFL ISP Sales Value USD" measure="1" displayFolder="04_LYLFL\USD" measureGroup="Sales" count="0"/>
    <cacheHierarchy uniqueName="[Measures].[LY LFL Sales Discount Value VAT USD]" caption="LY LFL Sales Discount Value VAT USD" measure="1" displayFolder="04_LYLFL\USD" measureGroup="Sales" count="0"/>
    <cacheHierarchy uniqueName="[Measures].[LY LFL Sales Discount Value USD]" caption="LY LFL Sales Discount Value USD" measure="1" displayFolder="04_LYLFL\USD" measureGroup="Sales" count="0"/>
    <cacheHierarchy uniqueName="[Measures].[MinLflDate]" caption="MinLflDate" measure="1" displayFolder="00_INFO" measureGroup="Sales" count="0"/>
    <cacheHierarchy uniqueName="[Measures].[TY Unit Sales Price LC]" caption="TY Unit Sales Price LC" measure="1" displayFolder="01_TY\LC" measureGroup="Sales" count="0" oneField="1">
      <fieldsUsage count="1">
        <fieldUsage x="18"/>
      </fieldsUsage>
    </cacheHierarchy>
    <cacheHierarchy uniqueName="[Measures].[TY Unit Cost LC]" caption="TY Unit Cost LC" measure="1" displayFolder="01_TY\LC" measureGroup="Sales" count="0"/>
    <cacheHierarchy uniqueName="[Measures].[TY Unit ISP LC]" caption="TY Unit ISP LC" measure="1" displayFolder="01_TY\LC" measureGroup="Sales" count="0"/>
    <cacheHierarchy uniqueName="[Measures].[LY Unit Sales Price LC]" caption="LY Unit Sales Price LC" measure="1" displayFolder="03_LY\LC" measureGroup="Sales" count="0"/>
    <cacheHierarchy uniqueName="[Measures].[LY Unit Cost LC]" caption="LY Unit Cost LC" measure="1" displayFolder="03_LY\LC" measureGroup="Sales" count="0"/>
    <cacheHierarchy uniqueName="[Measures].[LY Unit ISP LC]" caption="LY Unit ISP LC" measure="1" displayFolder="03_LY\LC" measureGroup="Sales" count="0"/>
    <cacheHierarchy uniqueName="[Measures].[TY LFL Unit Sales Price LC]" caption="TY LFL Unit Sales Price LC" measure="1" displayFolder="02_TYLFL\LC" measureGroup="Sales" count="0"/>
    <cacheHierarchy uniqueName="[Measures].[TY LFL Unit Cost LC]" caption="TY LFL Unit Cost LC" measure="1" displayFolder="02_TYLFL\LC" measureGroup="Sales" count="0"/>
    <cacheHierarchy uniqueName="[Measures].[TY LFL Unit ISP LC]" caption="TY LFL Unit ISP LC" measure="1" displayFolder="02_TYLFL\LC" measureGroup="Sales" count="0"/>
    <cacheHierarchy uniqueName="[Measures].[LY LFL Unit Sales Price LC]" caption="LY LFL Unit Sales Price LC" measure="1" displayFolder="04_LYLFL\LC" measureGroup="Sales" count="0"/>
    <cacheHierarchy uniqueName="[Measures].[LY LFL Unit Cost LC]" caption="LY LFL Unit Cost LC" measure="1" displayFolder="04_LYLFL\LC" measureGroup="Sales" count="0"/>
    <cacheHierarchy uniqueName="[Measures].[LY LFL Unit ISP LC]" caption="LY LFL Unit ISP LC" measure="1" displayFolder="04_LYLFL\LC" measureGroup="Sales" count="0"/>
    <cacheHierarchy uniqueName="[Measures].[TY Unit Sales Price TRY]" caption="TY Unit Sales Price TRY" measure="1" displayFolder="01_TY\TRY" measureGroup="Sales" count="0"/>
    <cacheHierarchy uniqueName="[Measures].[TY Unit Cost TRY]" caption="TY Unit Cost TRY" measure="1" displayFolder="01_TY\TRY" measureGroup="Sales" count="0"/>
    <cacheHierarchy uniqueName="[Measures].[TY Unit ISP TRY]" caption="TY Unit ISP TRY" measure="1" displayFolder="01_TY\TRY" measureGroup="Sales" count="0"/>
    <cacheHierarchy uniqueName="[Measures].[LY Unit Sales Price TRY]" caption="LY Unit Sales Price TRY" measure="1" displayFolder="03_LY\TRY" measureGroup="Sales" count="0"/>
    <cacheHierarchy uniqueName="[Measures].[LY Unit Cost TRY]" caption="LY Unit Cost TRY" measure="1" displayFolder="03_LY\TRY" measureGroup="Sales" count="0"/>
    <cacheHierarchy uniqueName="[Measures].[LY Unit ISP TRY]" caption="LY Unit ISP TRY" measure="1" displayFolder="03_LY\TRY" measureGroup="Sales" count="0"/>
    <cacheHierarchy uniqueName="[Measures].[TY LFL Unit Sales Price TRY]" caption="TY LFL Unit Sales Price TRY" measure="1" displayFolder="02_TYLFL\TRY" measureGroup="Sales" count="0"/>
    <cacheHierarchy uniqueName="[Measures].[TY LFL Unit Cost TRY]" caption="TY LFL Unit Cost TRY" measure="1" displayFolder="02_TYLFL\TRY" measureGroup="Sales" count="0"/>
    <cacheHierarchy uniqueName="[Measures].[TY LFL Unit ISP TRY]" caption="TY LFL Unit ISP TRY" measure="1" displayFolder="02_TYLFL\TRY" measureGroup="Sales" count="0"/>
    <cacheHierarchy uniqueName="[Measures].[LY LFL Unit Sales Price TRY]" caption="LY LFL Unit Sales Price TRY" measure="1" displayFolder="04_LYLFL\TRY" measureGroup="Sales" count="0"/>
    <cacheHierarchy uniqueName="[Measures].[LY LFL Unit Cost TRY]" caption="LY LFL Unit Cost TRY" measure="1" displayFolder="04_LYLFL\TRY" measureGroup="Sales" count="0"/>
    <cacheHierarchy uniqueName="[Measures].[LY LFL Unit ISP TRY]" caption="LY LFL Unit ISP TRY" measure="1" displayFolder="04_LYLFL\TRY" measureGroup="Sales" count="0"/>
    <cacheHierarchy uniqueName="[Measures].[TY Unit Sales Price USD]" caption="TY Unit Sales Price USD" measure="1" displayFolder="01_TY\USD" measureGroup="Sales" count="0"/>
    <cacheHierarchy uniqueName="[Measures].[TY Unit Cost USD]" caption="TY Unit Cost USD" measure="1" displayFolder="01_TY\USD" measureGroup="Sales" count="0"/>
    <cacheHierarchy uniqueName="[Measures].[TY Unit ISP USD]" caption="TY Unit ISP USD" measure="1" displayFolder="01_TY\USD" measureGroup="Sales" count="0"/>
    <cacheHierarchy uniqueName="[Measures].[LY Unit Sales Price USD]" caption="LY Unit Sales Price USD" measure="1" displayFolder="03_LY\USD" measureGroup="Sales" count="0"/>
    <cacheHierarchy uniqueName="[Measures].[LY Unit Cost USD]" caption="LY Unit Cost USD" measure="1" displayFolder="03_LY\USD" measureGroup="Sales" count="0"/>
    <cacheHierarchy uniqueName="[Measures].[LY Unit ISP USD]" caption="LY Unit ISP USD" measure="1" displayFolder="03_LY\USD" measureGroup="Sales" count="0"/>
    <cacheHierarchy uniqueName="[Measures].[TY LFL Unit Sales Price USD]" caption="TY LFL Unit Sales Price USD" measure="1" displayFolder="02_TYLFL\USD" measureGroup="Sales" count="0"/>
    <cacheHierarchy uniqueName="[Measures].[TY LFL Unit Cost USD]" caption="TY LFL Unit Cost USD" measure="1" displayFolder="02_TYLFL\USD" measureGroup="Sales" count="0"/>
    <cacheHierarchy uniqueName="[Measures].[TY LFL Unit ISP USD]" caption="TY LFL Unit ISP USD" measure="1" displayFolder="02_TYLFL\USD" measureGroup="Sales" count="0"/>
    <cacheHierarchy uniqueName="[Measures].[LY LFL Unit Sales Price USD]" caption="LY LFL Unit Sales Price USD" measure="1" displayFolder="04_LYLFL\USD" measureGroup="Sales" count="0"/>
    <cacheHierarchy uniqueName="[Measures].[LY LFL Unit Cost USD]" caption="LY LFL Unit Cost USD" measure="1" displayFolder="04_LYLFL\USD" measureGroup="Sales" count="0"/>
    <cacheHierarchy uniqueName="[Measures].[LY LFL Unit ISP USD]" caption="LY LFL Unit ISP USD" measure="1" displayFolder="04_LYLFL\USD" measureGroup="Sales" count="0"/>
    <cacheHierarchy uniqueName="[Measures].[TY Gross Profit LC]" caption="TY Gross Profit LC" measure="1" displayFolder="01_TY\LC" measureGroup="Sales" count="0" oneField="1">
      <fieldsUsage count="1">
        <fieldUsage x="15"/>
      </fieldsUsage>
    </cacheHierarchy>
    <cacheHierarchy uniqueName="[Measures].[TY Gross Profit VAT LC]" caption="TY Gross Profit VAT LC" measure="1" displayFolder="01_TY\LC" measureGroup="Sales" count="0"/>
    <cacheHierarchy uniqueName="[Measures].[LY Gross Profit LC]" caption="LY Gross Profit LC" measure="1" displayFolder="03_LY\LC" measureGroup="Sales" count="0"/>
    <cacheHierarchy uniqueName="[Measures].[LY Gross Profit VAT LC]" caption="LY Gross Profit VAT LC" measure="1" displayFolder="03_LY\LC" measureGroup="Sales" count="0"/>
    <cacheHierarchy uniqueName="[Measures].[TY Gross Profit TRY]" caption="TY Gross Profit TRY" measure="1" displayFolder="01_TY\TRY" measureGroup="Sales" count="0"/>
    <cacheHierarchy uniqueName="[Measures].[TY Gross Profit VAT TRY]" caption="TY Gross Profit VAT TRY" measure="1" displayFolder="01_TY\TRY" measureGroup="Sales" count="0"/>
    <cacheHierarchy uniqueName="[Measures].[TY Gross Profit USD]" caption="TY Gross Profit USD" measure="1" displayFolder="01_TY\USD" measureGroup="Sales" count="0"/>
    <cacheHierarchy uniqueName="[Measures].[TY Gross Profit VAT USD]" caption="TY Gross Profit VAT USD" measure="1" displayFolder="01_TY\USD" measureGroup="Sales" count="0"/>
    <cacheHierarchy uniqueName="[Measures].[LY Gross Profit TRY]" caption="LY Gross Profit TRY" measure="1" displayFolder="03_LY\TRY" measureGroup="Sales" count="0"/>
    <cacheHierarchy uniqueName="[Measures].[LY Gross Profit VAT TRY]" caption="LY Gross Profit VAT TRY" measure="1" displayFolder="03_LY\TRY" measureGroup="Sales" count="0"/>
    <cacheHierarchy uniqueName="[Measures].[LY Gross Profit USD]" caption="LY Gross Profit USD" measure="1" displayFolder="03_LY\USD" measureGroup="Sales" count="0"/>
    <cacheHierarchy uniqueName="[Measures].[LY Gross Profit VAT USD]" caption="LY Gross Profit VAT USD" measure="1" displayFolder="03_LY\USD" measureGroup="Sales" count="0"/>
    <cacheHierarchy uniqueName="[Measures].[TY LFL Gross Profit LC]" caption="TY LFL Gross Profit LC" measure="1" displayFolder="02_TYLFL\LC" measureGroup="Sales" count="0"/>
    <cacheHierarchy uniqueName="[Measures].[TY LFL Gross Profit VAT LC]" caption="TY LFL Gross Profit VAT LC" measure="1" displayFolder="02_TYLFL\LC" measureGroup="Sales" count="0"/>
    <cacheHierarchy uniqueName="[Measures].[TY LFL Gross Profit TRY]" caption="TY LFL Gross Profit TRY" measure="1" displayFolder="02_TYLFL\TRY" measureGroup="Sales" count="0"/>
    <cacheHierarchy uniqueName="[Measures].[TY LFL Gross Profit VAT TRY]" caption="TY LFL Gross Profit VAT TRY" measure="1" displayFolder="02_TYLFL\TRY" measureGroup="Sales" count="0"/>
    <cacheHierarchy uniqueName="[Measures].[TY LFL Gross Profit USD]" caption="TY LFL Gross Profit USD" measure="1" displayFolder="02_TYLFL\USD" measureGroup="Sales" count="0"/>
    <cacheHierarchy uniqueName="[Measures].[TY LFL Gross Profit VAT USD]" caption="TY LFL Gross Profit VAT USD" measure="1" displayFolder="02_TYLFL\USD" measureGroup="Sales" count="0"/>
    <cacheHierarchy uniqueName="[Measures].[LY LFL Gross Profit LC]" caption="LY LFL Gross Profit LC" measure="1" displayFolder="04_LYLFL\LC" measureGroup="Sales" count="0"/>
    <cacheHierarchy uniqueName="[Measures].[LY LFL Gross Profit VAT LC]" caption="LY LFL Gross Profit VAT LC" measure="1" displayFolder="04_LYLFL\LC" measureGroup="Sales" count="0"/>
    <cacheHierarchy uniqueName="[Measures].[LY LFL Gross Profit TRY]" caption="LY LFL Gross Profit TRY" measure="1" displayFolder="04_LYLFL\TRY" measureGroup="Sales" count="0"/>
    <cacheHierarchy uniqueName="[Measures].[LY LFL Gross Profit VAT TRY]" caption="LY LFL Gross Profit VAT TRY" measure="1" displayFolder="04_LYLFL\TRY" measureGroup="Sales" count="0"/>
    <cacheHierarchy uniqueName="[Measures].[LY LFL Gross Profit USD]" caption="LY LFL Gross Profit USD" measure="1" displayFolder="04_LYLFL\USD" measureGroup="Sales" count="0"/>
    <cacheHierarchy uniqueName="[Measures].[LY LFL Gross Profit VAT USD]" caption="LY LFL Gross Profit VAT USD" measure="1" displayFolder="04_LYLFL\USD" measureGroup="Sales" count="0"/>
    <cacheHierarchy uniqueName="[Measures].[TY Unit ISP VAT LC]" caption="TY Unit ISP VAT LC" measure="1" displayFolder="01_TY\LC" measureGroup="Sales" count="0"/>
    <cacheHierarchy uniqueName="[Measures].[LY Unit ISP VAT LC]" caption="LY Unit ISP VAT LC" measure="1" displayFolder="03_LY\LC" measureGroup="Sales" count="0"/>
    <cacheHierarchy uniqueName="[Measures].[TY LFL Unit ISP VAT LC]" caption="TY LFL Unit ISP VAT LC" measure="1" displayFolder="02_TYLFL\LC" measureGroup="Sales" count="0"/>
    <cacheHierarchy uniqueName="[Measures].[LY LFL Unit ISP VAT LC]" caption="LY LFL Unit ISP VAT LC" measure="1" displayFolder="02_TYLFL\LC" measureGroup="Sales" count="0"/>
    <cacheHierarchy uniqueName="[Measures].[TY Unit ISP VAT TRY]" caption="TY Unit ISP VAT TRY" measure="1" displayFolder="01_TY\TRY" measureGroup="Sales" count="0"/>
    <cacheHierarchy uniqueName="[Measures].[LY Unit ISP VAT TRY]" caption="LY Unit ISP VAT TRY" measure="1" displayFolder="03_LY\TRY" measureGroup="Sales" count="0"/>
    <cacheHierarchy uniqueName="[Measures].[TY LFL Unit ISP VAT TRY]" caption="TY LFL Unit ISP VAT TRY" measure="1" displayFolder="02_TYLFL\TRY" measureGroup="Sales" count="0"/>
    <cacheHierarchy uniqueName="[Measures].[LY LFL Unit ISP VAT TRY]" caption="LY LFL Unit ISP VAT TRY" measure="1" displayFolder="04_LYLFL\TRY" measureGroup="Sales" count="0"/>
    <cacheHierarchy uniqueName="[Measures].[TY Unit ISP VAT USD]" caption="TY Unit ISP VAT USD" measure="1" displayFolder="01_TY\USD" measureGroup="Sales" count="0"/>
    <cacheHierarchy uniqueName="[Measures].[LY Unit ISP VAT USD]" caption="LY Unit ISP VAT USD" measure="1" displayFolder="03_LY\USD" measureGroup="Sales" count="0"/>
    <cacheHierarchy uniqueName="[Measures].[TY LFL Unit ISP VAT USD]" caption="TY LFL Unit ISP VAT USD" measure="1" displayFolder="02_TYLFL\USD" measureGroup="Sales" count="0"/>
    <cacheHierarchy uniqueName="[Measures].[LY LFL Unit ISP VAT USD]" caption="LY LFL Unit ISP VAT USD" measure="1" displayFolder="04_LYLFL\USD" measureGroup="Sales" count="0"/>
    <cacheHierarchy uniqueName="[Measures].[TY Target Sales Value LC]" caption="TY Target Sales Value LC" measure="1" displayFolder="01_TY\LC" measureGroup="Sales" count="0"/>
    <cacheHierarchy uniqueName="[Measures].[TY Target Sales Value TRY]" caption="TY Target Sales Value TRY" measure="1" displayFolder="01_TY\TRY" measureGroup="Sales" count="0"/>
    <cacheHierarchy uniqueName="[Measures].[TY Target Sales Value USD]" caption="TY Target Sales Value USD" measure="1" displayFolder="01_TY\USD" measureGroup="Sales" count="0"/>
    <cacheHierarchy uniqueName="[Measures].[LY Target Sales Value LC]" caption="LY Target Sales Value LC" measure="1" displayFolder="03_LY\LC" measureGroup="Sales" count="0"/>
    <cacheHierarchy uniqueName="[Measures].[LY Target Sales Value TRY]" caption="LY Target Sales Value TRY" measure="1" displayFolder="03_LY\TRY" measureGroup="Sales" count="0"/>
    <cacheHierarchy uniqueName="[Measures].[LY Target Sales Value USD]" caption="LY Target Sales Value USD" measure="1" displayFolder="03_LY\USD" measureGroup="Sales" count="0"/>
    <cacheHierarchy uniqueName="[Measures].[TY LFL Target Sales Value LC]" caption="TY LFL Target Sales Value LC" measure="1" displayFolder="02_TYLFL\LC" measureGroup="Sales" count="0"/>
    <cacheHierarchy uniqueName="[Measures].[TY LFL Target Sales Value TRY]" caption="TY LFL Target Sales Value TRY" measure="1" displayFolder="02_TYLFL\TRY" measureGroup="Sales" count="0"/>
    <cacheHierarchy uniqueName="[Measures].[TY LFL Target Sales Value USD]" caption="TY LFL Target Sales Value USD" measure="1" displayFolder="02_TYLFL\USD" measureGroup="Sales" count="0"/>
    <cacheHierarchy uniqueName="[Measures].[LY LFL Target Sales Value LC]" caption="LY LFL Target Sales Value LC" measure="1" displayFolder="04_LYLFL\LC" measureGroup="Sales" count="0"/>
    <cacheHierarchy uniqueName="[Measures].[LY LFL Target Sales Value TRY]" caption="LY LFL Target Sales Value TRY" measure="1" displayFolder="04_LYLFL\TRY" measureGroup="Sales" count="0"/>
    <cacheHierarchy uniqueName="[Measures].[LY LFL Target Sales Value USD]" caption="LY LFL Target Sales Value USD" measure="1" displayFolder="04_LYLFL\USD" measureGroup="Sales" count="0"/>
    <cacheHierarchy uniqueName="[Measures].[TY Sales Cost LC Forecast]" caption="TY Sales Cost LC Forecast" measure="1" displayFolder="01_TY\LC" measureGroup="Sales" count="0"/>
    <cacheHierarchy uniqueName="[Measures].[TY Gross Profit LC Forecast]" caption="TY Gross Profit LC Forecast" measure="1" displayFolder="01_TY\LC" measureGroup="Sales" count="0"/>
    <cacheHierarchy uniqueName="[Measures].[TY Gross Marjin LC% Forecast]" caption="TY Gross Marjin LC% Forecast" measure="1" displayFolder="01_TY\LC" measureGroup="Sales" count="0"/>
    <cacheHierarchy uniqueName="[Measures].[TY Sales Unit Dm3]" caption="TY Sales Unit Dm3" measure="1" displayFolder="01_TY\_VOLUME" measureGroup="Sales" count="0"/>
    <cacheHierarchy uniqueName="[Measures].[TY Sales Budget Unit]" caption="TY Sales Budget Unit" measure="1" displayFolder="TY\_UNIT" measureGroup="SalesBudget" count="0"/>
    <cacheHierarchy uniqueName="[Measures].[TY Sales Budget Value LC]" caption="TY Sales Budget Value LC" measure="1" displayFolder="TY\LC" measureGroup="SalesBudget" count="0"/>
    <cacheHierarchy uniqueName="[Measures].[TY Sales Budget Cost LC]" caption="TY Sales Budget Cost LC" measure="1" displayFolder="TY\LC" measureGroup="SalesBudget" count="0"/>
    <cacheHierarchy uniqueName="[Measures].[TY Sales Budget Profit Value LC]" caption="TY Sales Budget Profit Value LC" measure="1" displayFolder="TY\LC" measureGroup="SalesBudget" count="0"/>
    <cacheHierarchy uniqueName="[Measures].[Achieved TY Sales Budget Unit]" caption="Achieved TY Sales Budget Unit" measure="1" displayFolder="TY\_UNIT" measureGroup="SalesBudget" count="0"/>
    <cacheHierarchy uniqueName="[Measures].[Achieved TY Sales Budget Value LC]" caption="Achieved TY Sales Budget Value LC" measure="1" displayFolder="TY\LC" measureGroup="SalesBudget" count="0"/>
    <cacheHierarchy uniqueName="[Measures].[Achieved TY Sales Budget Cost LC]" caption="Achieved TY Sales Budget Cost LC" measure="1" displayFolder="TY\LC" measureGroup="SalesBudget" count="0"/>
    <cacheHierarchy uniqueName="[Measures].[Achieved TY Sales Budget Profit Value LC]" caption="Achieved TY Sales Budget Profit Value LC" measure="1" displayFolder="TY\LC" measureGroup="SalesBudget" count="0"/>
    <cacheHierarchy uniqueName="[Measures].[TY Budget Unit Gap]" caption="TY Budget Unit Gap" measure="1" displayFolder="TY\_UNIT" measureGroup="SalesBudget" count="0"/>
    <cacheHierarchy uniqueName="[Measures].[TY Sales Budget Value LC Gap]" caption="TY Sales Budget Value LC Gap" measure="1" displayFolder="TY\LC" measureGroup="SalesBudget" count="0"/>
    <cacheHierarchy uniqueName="[Measures].[TY Sales Budget Cost LC Gap]" caption="TY Sales Budget Cost LC Gap" measure="1" displayFolder="TY\LC" measureGroup="SalesBudget" count="0"/>
    <cacheHierarchy uniqueName="[Measures].[TY Sales Budget Profit Value LC Gap]" caption="TY Sales Budget Profit Value LC Gap" measure="1" displayFolder="TY\LC" measureGroup="SalesBudget" count="0"/>
    <cacheHierarchy uniqueName="[Measures].[TY Sales Budget Value TRY]" caption="TY Sales Budget Value TRY" measure="1" displayFolder="TY\TRY" measureGroup="SalesBudget" count="0"/>
    <cacheHierarchy uniqueName="[Measures].[TY Sales Budget Cost TRY]" caption="TY Sales Budget Cost TRY" measure="1" displayFolder="TY\TRY" measureGroup="SalesBudget" count="0"/>
    <cacheHierarchy uniqueName="[Measures].[TY Sales Budget Profit Value TRY]" caption="TY Sales Budget Profit Value TRY" measure="1" displayFolder="TY\TRY" measureGroup="SalesBudget" count="0"/>
    <cacheHierarchy uniqueName="[Measures].[TY Sales Budget Value USD]" caption="TY Sales Budget Value USD" measure="1" displayFolder="TY\USD" measureGroup="SalesBudget" count="0"/>
    <cacheHierarchy uniqueName="[Measures].[TY Sales Budget Cost USD]" caption="TY Sales Budget Cost USD" measure="1" displayFolder="TY\USD" measureGroup="SalesBudget" count="0"/>
    <cacheHierarchy uniqueName="[Measures].[Achieved TY Sales Budget Value TRY]" caption="Achieved TY Sales Budget Value TRY" measure="1" displayFolder="TY\TRY" measureGroup="SalesBudget" count="0"/>
    <cacheHierarchy uniqueName="[Measures].[Achieved TY Sales Budget Cost TRY]" caption="Achieved TY Sales Budget Cost TRY" measure="1" displayFolder="TY\TRY" measureGroup="SalesBudget" count="0"/>
    <cacheHierarchy uniqueName="[Measures].[Achieved TY Sales Budget Profit Value TRY]" caption="Achieved TY Sales Budget Profit Value TRY" measure="1" displayFolder="TY\TRY" measureGroup="SalesBudget" count="0"/>
    <cacheHierarchy uniqueName="[Measures].[Achieved TY Sales Budget Value USD]" caption="Achieved TY Sales Budget Value USD" measure="1" displayFolder="TY\USD" measureGroup="SalesBudget" count="0"/>
    <cacheHierarchy uniqueName="[Measures].[TY Sales Budget Profit Value USD]" caption="TY Sales Budget Profit Value USD" measure="1" displayFolder="TY\USD" measureGroup="SalesBudget" count="0"/>
    <cacheHierarchy uniqueName="[Measures].[Achieved TY Sales Budget Cost USD]" caption="Achieved TY Sales Budget Cost USD" measure="1" displayFolder="TY\USD" measureGroup="SalesBudget" count="0"/>
    <cacheHierarchy uniqueName="[Measures].[TY Sales Budget Value TRY Gap]" caption="TY Sales Budget Value TRY Gap" measure="1" displayFolder="TY\TRY" measureGroup="SalesBudget" count="0"/>
    <cacheHierarchy uniqueName="[Measures].[TY Sales Budget Cost TRY Gap]" caption="TY Sales Budget Cost TRY Gap" measure="1" displayFolder="TY\TRY" measureGroup="SalesBudget" count="0"/>
    <cacheHierarchy uniqueName="[Measures].[TY Sales Budget Profit Value TRY Gap]" caption="TY Sales Budget Profit Value TRY Gap" measure="1" displayFolder="TY\TRY" measureGroup="SalesBudget" count="0"/>
    <cacheHierarchy uniqueName="[Measures].[Achieved TY Sales Budget Profit Value USD]" caption="Achieved TY Sales Budget Profit Value USD" measure="1" displayFolder="TY\USD" measureGroup="SalesBudget" count="0"/>
    <cacheHierarchy uniqueName="[Measures].[TY Sales Budget Value USD Gap]" caption="TY Sales Budget Value USD Gap" measure="1" displayFolder="TY\USD" measureGroup="SalesBudget" count="0"/>
    <cacheHierarchy uniqueName="[Measures].[TY Sales Budget Cost USD Gap]" caption="TY Sales Budget Cost USD Gap" measure="1" displayFolder="TY\USD" measureGroup="SalesBudget" count="0"/>
    <cacheHierarchy uniqueName="[Measures].[TY Sales Budget Profit Value USD Gap]" caption="TY Sales Budget Profit Value USD Gap" measure="1" displayFolder="TY\USD" measureGroup="SalesBudget" count="0"/>
    <cacheHierarchy uniqueName="[Measures].[LY Sales Budget Unit]" caption="LY Sales Budget Unit" measure="1" displayFolder="LY\_UNIT" measureGroup="SalesBudget" count="0"/>
    <cacheHierarchy uniqueName="[Measures].[Achieved LY Sales Budget Unit]" caption="Achieved LY Sales Budget Unit" measure="1" displayFolder="LY\_UNIT" measureGroup="SalesBudget" count="0"/>
    <cacheHierarchy uniqueName="[Measures].[LY Budget Unit Gap]" caption="LY Budget Unit Gap" measure="1" displayFolder="LY\_UNIT" measureGroup="SalesBudget" count="0"/>
    <cacheHierarchy uniqueName="[Measures].[LY Sales Budget Value LC]" caption="LY Sales Budget Value LC" measure="1" displayFolder="LY\LC" measureGroup="SalesBudget" count="0"/>
    <cacheHierarchy uniqueName="[Measures].[LY Sales Budget Cost LC]" caption="LY Sales Budget Cost LC" measure="1" displayFolder="LY\LC" measureGroup="SalesBudget" count="0"/>
    <cacheHierarchy uniqueName="[Measures].[LY Sales Budget Profit Value LC]" caption="LY Sales Budget Profit Value LC" measure="1" displayFolder="LY\LC" measureGroup="SalesBudget" count="0"/>
    <cacheHierarchy uniqueName="[Measures].[Achieved LY Sales Budget Value LC]" caption="Achieved LY Sales Budget Value LC" measure="1" displayFolder="LY\LC" measureGroup="SalesBudget" count="0"/>
    <cacheHierarchy uniqueName="[Measures].[Achieved LY Sales Budget Cost LC]" caption="Achieved LY Sales Budget Cost LC" measure="1" displayFolder="LY\LC" measureGroup="SalesBudget" count="0"/>
    <cacheHierarchy uniqueName="[Measures].[Achieved LY Sales Budget Profit Value LC]" caption="Achieved LY Sales Budget Profit Value LC" measure="1" displayFolder="LY\LC" measureGroup="SalesBudget" count="0"/>
    <cacheHierarchy uniqueName="[Measures].[LY Sales Budget Value LC Gap]" caption="LY Sales Budget Value LC Gap" measure="1" displayFolder="LY\LC" measureGroup="SalesBudget" count="0"/>
    <cacheHierarchy uniqueName="[Measures].[LY Sales Budget Cost LC Gap]" caption="LY Sales Budget Cost LC Gap" measure="1" displayFolder="LY\LC" measureGroup="SalesBudget" count="0"/>
    <cacheHierarchy uniqueName="[Measures].[LY Sales Budget Profit Value LC Gap]" caption="LY Sales Budget Profit Value LC Gap" measure="1" displayFolder="LY\LC" measureGroup="SalesBudget" count="0"/>
    <cacheHierarchy uniqueName="[Measures].[LY Sales Budget Value TRY]" caption="LY Sales Budget Value TRY" measure="1" displayFolder="LY\TRY" measureGroup="SalesBudget" count="0"/>
    <cacheHierarchy uniqueName="[Measures].[LY Sales Budget Cost TRY]" caption="LY Sales Budget Cost TRY" measure="1" displayFolder="LY\TRY" measureGroup="SalesBudget" count="0"/>
    <cacheHierarchy uniqueName="[Measures].[LY Sales Budget Profit Value TRY]" caption="LY Sales Budget Profit Value TRY" measure="1" displayFolder="LY\TRY" measureGroup="SalesBudget" count="0"/>
    <cacheHierarchy uniqueName="[Measures].[LY Sales Budget Value USD]" caption="LY Sales Budget Value USD" measure="1" displayFolder="LY\USD" measureGroup="SalesBudget" count="0"/>
    <cacheHierarchy uniqueName="[Measures].[LY Sales Budget Cost USD]" caption="LY Sales Budget Cost USD" measure="1" displayFolder="LY\USD" measureGroup="SalesBudget" count="0"/>
    <cacheHierarchy uniqueName="[Measures].[Achieved LY Sales Budget Value TRY]" caption="Achieved LY Sales Budget Value TRY" measure="1" displayFolder="LY\TRY" measureGroup="SalesBudget" count="0"/>
    <cacheHierarchy uniqueName="[Measures].[Achieved LY Sales Budget Cost TRY]" caption="Achieved LY Sales Budget Cost TRY" measure="1" displayFolder="LY\TRY" measureGroup="SalesBudget" count="0"/>
    <cacheHierarchy uniqueName="[Measures].[Achieved LY Sales Budget Profit Value TRY]" caption="Achieved LY Sales Budget Profit Value TRY" measure="1" displayFolder="LY\TRY" measureGroup="SalesBudget" count="0"/>
    <cacheHierarchy uniqueName="[Measures].[Achieved LY Sales Budget Value USD]" caption="Achieved LY Sales Budget Value USD" measure="1" displayFolder="LY\USD" measureGroup="SalesBudget" count="0"/>
    <cacheHierarchy uniqueName="[Measures].[LY Sales Budget Profit Value USD]" caption="LY Sales Budget Profit Value USD" measure="1" displayFolder="LY\USD" measureGroup="SalesBudget" count="0"/>
    <cacheHierarchy uniqueName="[Measures].[Achieved LY Sales Budget Cost USD]" caption="Achieved LY Sales Budget Cost USD" measure="1" displayFolder="LY\USD" measureGroup="SalesBudget" count="0"/>
    <cacheHierarchy uniqueName="[Measures].[LY Sales Budget Value TRY Gap]" caption="LY Sales Budget Value TRY Gap" measure="1" displayFolder="LY\TRY" measureGroup="SalesBudget" count="0"/>
    <cacheHierarchy uniqueName="[Measures].[LY Sales Budget Cost TRY Gap]" caption="LY Sales Budget Cost TRY Gap" measure="1" displayFolder="LY\TRY" measureGroup="SalesBudget" count="0"/>
    <cacheHierarchy uniqueName="[Measures].[LY Sales Budget Profit Value TRY Gap]" caption="LY Sales Budget Profit Value TRY Gap" measure="1" displayFolder="LY\TRY" measureGroup="SalesBudget" count="0"/>
    <cacheHierarchy uniqueName="[Measures].[Achieved LY Sales Budget Profit Value USD]" caption="Achieved LY Sales Budget Profit Value USD" measure="1" displayFolder="LY\USD" measureGroup="SalesBudget" count="0"/>
    <cacheHierarchy uniqueName="[Measures].[LY Sales Budget Value USD Gap]" caption="LY Sales Budget Value USD Gap" measure="1" displayFolder="LY\USD" measureGroup="SalesBudget" count="0"/>
    <cacheHierarchy uniqueName="[Measures].[LY Sales Budget Cost USD Gap]" caption="LY Sales Budget Cost USD Gap" measure="1" displayFolder="LY\USD" measureGroup="SalesBudget" count="0"/>
    <cacheHierarchy uniqueName="[Measures].[LY Sales Budget Profit Value USD Gap]" caption="LY Sales Budget Profit Value USD Gap" measure="1" displayFolder="LY\USD" measureGroup="SalesBudget" count="0"/>
    <cacheHierarchy uniqueName="[Measures].[TY Sales Budget Gross Marjin TRY%]" caption="TY Sales Budget Gross Marjin TRY%" measure="1" displayFolder="TY\TRY" measureGroup="SalesBudget" count="0"/>
    <cacheHierarchy uniqueName="[Measures].[TY Sales Budget Gross _x0009_Marjin LC%]" caption="TY Sales Budget Gross _x0009_Marjin LC%" measure="1" displayFolder="TY\LC" measureGroup="SalesBudget" count="0"/>
    <cacheHierarchy uniqueName="[Measures].[TY Sales Budget Gross Marjin USD%]" caption="TY Sales Budget Gross Marjin USD%" measure="1" displayFolder="TY\USD" measureGroup="SalesBudget" count="0"/>
    <cacheHierarchy uniqueName="[Measures].[TY Gross Marjin TRY%]" caption="TY Gross Marjin TRY%" measure="1" displayFolder="01_TY\TRY" measureGroup="KPI" count="0"/>
    <cacheHierarchy uniqueName="[Measures].[TY Gross Marjin LC%]" caption="TY Gross Marjin LC%" measure="1" displayFolder="01_TY\LC" measureGroup="KPI" count="0" oneField="1">
      <fieldsUsage count="1">
        <fieldUsage x="16"/>
      </fieldsUsage>
    </cacheHierarchy>
    <cacheHierarchy uniqueName="[Measures].[TY Gross Marjin USD%]" caption="TY Gross Marjin USD%" measure="1" displayFolder="01_TY\USD" measureGroup="KPI" count="0"/>
    <cacheHierarchy uniqueName="[Measures].[LY Gross Marjin LC%]" caption="LY Gross Marjin LC%" measure="1" displayFolder="03_LY\LC" measureGroup="KPI" count="0"/>
    <cacheHierarchy uniqueName="[Measures].[LY Gross Marjin TRY%]" caption="LY Gross Marjin TRY%" measure="1" displayFolder="03_LY\TRY" measureGroup="KPI" count="0"/>
    <cacheHierarchy uniqueName="[Measures].[LY Gross Marjin USD%]" caption="LY Gross Marjin USD%" measure="1" displayFolder="03_LY\USD" measureGroup="KPI" count="0"/>
    <cacheHierarchy uniqueName="[Measures].[TY LFL Gross Marjin LC%]" caption="TY LFL Gross Marjin LC%" measure="1" displayFolder="02_TYLFL\LC" measureGroup="KPI" count="0"/>
    <cacheHierarchy uniqueName="[Measures].[TY LFL Gross Marjin TRY%]" caption="TY LFL Gross Marjin TRY%" measure="1" displayFolder="02_TYLFL\TRY" measureGroup="KPI" count="0"/>
    <cacheHierarchy uniqueName="[Measures].[TY LFL Gross Marjin USD%]" caption="TY LFL Gross Marjin USD%" measure="1" displayFolder="02_TYLFL\USD" measureGroup="KPI" count="0"/>
    <cacheHierarchy uniqueName="[Measures].[LY LFL Gross Marjin LC%]" caption="LY LFL Gross Marjin LC%" measure="1" displayFolder="04_LYLFL\LC" measureGroup="KPI" count="0"/>
    <cacheHierarchy uniqueName="[Measures].[LY LFL Gross Marjin TRY%]" caption="LY LFL Gross Marjin TRY%" measure="1" displayFolder="04_LYLFL\TRY" measureGroup="KPI" count="0"/>
    <cacheHierarchy uniqueName="[Measures].[LY LFL Gross Marjin USD%]" caption="LY LFL Gross Marjin USD%" measure="1" displayFolder="04_LYLFL\USD" measureGroup="KPI" count="0"/>
    <cacheHierarchy uniqueName="[Measures].[TY Store Back Cover LC]" caption="TY Store Back Cover LC" measure="1" displayFolder="01_TY\LC" measureGroup="KPI" count="0"/>
    <cacheHierarchy uniqueName="[Measures].[TY Store Back Cover Unit]" caption="TY Store Back Cover Unit" measure="1" displayFolder="01_TY\UNIT" measureGroup="KPI" count="0" oneField="1">
      <fieldsUsage count="1">
        <fieldUsage x="17"/>
      </fieldsUsage>
    </cacheHierarchy>
    <cacheHierarchy uniqueName="[Measures].[TY Store Turnover Unit]" caption="TY Store Turnover Unit" measure="1" displayFolder="01_TY\_UNIT" measureGroup="KPI" count="0"/>
    <cacheHierarchy uniqueName="[Measures].[TY Store Turnover  LC]" caption="TY Store Turnover  LC" measure="1" displayFolder="01_TY\LC" measureGroup="KPI" count="0"/>
    <cacheHierarchy uniqueName="[Measures].[TY Store Turnover TRY]" caption="TY Store Turnover TRY" measure="1" displayFolder="01_TY\TRY" measureGroup="KPI" count="0"/>
    <cacheHierarchy uniqueName="[Measures].[TY Store Turnover USD]" caption="TY Store Turnover USD" measure="1" displayFolder="01_TY\USD" measureGroup="KPI" count="0"/>
    <cacheHierarchy uniqueName="[Measures].[TY Actual MarkDown LC%]" caption="TY Actual MarkDown LC%" measure="1" displayFolder="01_TY\LC" measureGroup="KPI" count="0"/>
    <cacheHierarchy uniqueName="[Measures].[TY Actual MarkDown TRY%]" caption="TY Actual MarkDown TRY%" measure="1" displayFolder="01_TY\TRY" measureGroup="KPI" count="0"/>
    <cacheHierarchy uniqueName="[Measures].[TY Actual MarkDown USD%]" caption="TY Actual MarkDown USD%" measure="1" displayFolder="01_TY\USD" measureGroup="KPI" count="0"/>
    <cacheHierarchy uniqueName="[Measures].[TY Store Back Cover TRY]" caption="TY Store Back Cover TRY" measure="1" displayFolder="01_TY\TRY" measureGroup="KPI" count="0"/>
    <cacheHierarchy uniqueName="[Measures].[TY Store Back Cover USD]" caption="TY Store Back Cover USD" measure="1" displayFolder="01_TY\USD" measureGroup="KPI" count="0"/>
    <cacheHierarchy uniqueName="[Measures].[TY LFL Store Back Cover Unit]" caption="TY LFL Store Back Cover Unit" measure="1" displayFolder="02_TYLFL\_UNIT" measureGroup="KPI" count="0"/>
    <cacheHierarchy uniqueName="[Measures].[LY Store Turnover Unit]" caption="LY Store Turnover Unit" measure="1" displayFolder="03_LY\_UNIT" measureGroup="KPI" count="0"/>
    <cacheHierarchy uniqueName="[Measures].[LY Store Turnover  LC]" caption="LY Store Turnover  LC" measure="1" displayFolder="03_LY\LC" measureGroup="KPI" count="0"/>
    <cacheHierarchy uniqueName="[Measures].[LY Store Turnover TRY]" caption="LY Store Turnover TRY" measure="1" displayFolder="03_LY\TRY" measureGroup="KPI" count="0"/>
    <cacheHierarchy uniqueName="[Measures].[LY Store Turnover USD]" caption="LY Store Turnover USD" measure="1" displayFolder="03_LY\USD" measureGroup="KPI" count="0"/>
    <cacheHierarchy uniqueName="[Measures].[TY LFL Store Turnover Unit]" caption="TY LFL Store Turnover Unit" measure="1" displayFolder="02_TYLFL\_UNIT" measureGroup="KPI" count="0"/>
    <cacheHierarchy uniqueName="[Measures].[TY LFL Store Turnover  LC]" caption="TY LFL Store Turnover  LC" measure="1" displayFolder="02_TYLFL\LC" measureGroup="KPI" count="0"/>
    <cacheHierarchy uniqueName="[Measures].[TY LFL Store Turnover TRY]" caption="TY LFL Store Turnover TRY" measure="1" displayFolder="02_TYLFL\TRY" measureGroup="KPI" count="0"/>
    <cacheHierarchy uniqueName="[Measures].[TY LFL Store Turnover USD]" caption="TY LFL Store Turnover USD" measure="1" displayFolder="02_TYLFL\USD" measureGroup="KPI" count="0"/>
    <cacheHierarchy uniqueName="[Measures].[LY LFL Store Turnover Unit]" caption="LY LFL Store Turnover Unit" measure="1" displayFolder="04_LYLFL\_UNIT" measureGroup="KPI" count="0"/>
    <cacheHierarchy uniqueName="[Measures].[LY LFL Store Turnover  LC]" caption="LY LFL Store Turnover  LC" measure="1" displayFolder="04_LYLFL\LC" measureGroup="KPI" count="0"/>
    <cacheHierarchy uniqueName="[Measures].[LY LFL Store Turnover TRY]" caption="LY LFL Store Turnover TRY" measure="1" displayFolder="04_LYLFL\TRY" measureGroup="KPI" count="0"/>
    <cacheHierarchy uniqueName="[Measures].[LY LFL Store Turnover USD]" caption="LY LFL Store Turnover USD" measure="1" displayFolder="04_LYLFL\USD" measureGroup="KPI" count="0"/>
    <cacheHierarchy uniqueName="[Measures].[TY Actual MarkUp LC]" caption="TY Actual MarkUp LC" measure="1" displayFolder="01_TY\LC" measureGroup="KPI" count="0"/>
    <cacheHierarchy uniqueName="[Measures].[TY Actual MarkUp TRY]" caption="TY Actual MarkUp TRY" measure="1" displayFolder="01_TY\TRY" measureGroup="KPI" count="0"/>
    <cacheHierarchy uniqueName="[Measures].[TY Actual MarkUp USD]" caption="TY Actual MarkUp USD" measure="1" displayFolder="01_TY\USD" measureGroup="KPI" count="0"/>
    <cacheHierarchy uniqueName="[Measures].[LY Actual MarkUp LC]" caption="LY Actual MarkUp LC" measure="1" displayFolder="03_LY\LC" measureGroup="KPI" count="0"/>
    <cacheHierarchy uniqueName="[Measures].[LY Actual MarkUp TRY]" caption="LY Actual MarkUp TRY" measure="1" displayFolder="03_LY\TRY" measureGroup="KPI" count="0"/>
    <cacheHierarchy uniqueName="[Measures].[LY Actual MarkUp USD]" caption="LY Actual MarkUp USD" measure="1" displayFolder="03_LY\USD" measureGroup="KPI" count="0"/>
    <cacheHierarchy uniqueName="[Measures].[TY LFL Actual MarkUp LC]" caption="TY LFL Actual MarkUp LC" measure="1" displayFolder="02_TYLFL\LC" measureGroup="KPI" count="0"/>
    <cacheHierarchy uniqueName="[Measures].[TY LFL Actual MarkUp TRY]" caption="TY LFL Actual MarkUp TRY" measure="1" displayFolder="02_TYLFL\TRY" measureGroup="KPI" count="0"/>
    <cacheHierarchy uniqueName="[Measures].[TY LFL Actual MarkUp USD]" caption="TY LFL Actual MarkUp USD" measure="1" displayFolder="02_TYLFL\USD" measureGroup="KPI" count="0"/>
    <cacheHierarchy uniqueName="[Measures].[LY LFL Actual MarkUp LC]" caption="LY LFL Actual MarkUp LC" measure="1" displayFolder="04_LYLFL\LC" measureGroup="KPI" count="0"/>
    <cacheHierarchy uniqueName="[Measures].[LY LFL Actual MarkUp TRY]" caption="LY LFL Actual MarkUp TRY" measure="1" displayFolder="04_LYLFL\TRY" measureGroup="KPI" count="0"/>
    <cacheHierarchy uniqueName="[Measures].[LY LFL Actual MarkUp USD]" caption="LY LFL Actual MarkUp USD" measure="1" displayFolder="04_LYLFL\USD" measureGroup="KPI" count="0"/>
    <cacheHierarchy uniqueName="[Measures].[LY Store Back Cover Unit]" caption="LY Store Back Cover Unit" measure="1" displayFolder="03_LY\_UNIT" measureGroup="KPI" count="0"/>
    <cacheHierarchy uniqueName="[Measures].[LY LFL Store Back Cover Unit]" caption="LY LFL Store Back Cover Unit" measure="1" displayFolder="04_LYLFL\_UNIT" measureGroup="KPI" count="0"/>
    <cacheHierarchy uniqueName="[Measures].[TY Conversion Rate]" caption="TY Conversion Rate" measure="1" displayFolder="01_TY\_UNIT" measureGroup="KPI" count="0"/>
    <cacheHierarchy uniqueName="[Measures].[LY Conversion Rate]" caption="LY Conversion Rate" measure="1" displayFolder="03_LY\_UNIT" measureGroup="KPI" count="0"/>
    <cacheHierarchy uniqueName="[Measures].[TY LFL Conversion Rate]" caption="TY LFL Conversion Rate" measure="1" displayFolder="02_TYLFL\_UNIT" measureGroup="KPI" count="0"/>
    <cacheHierarchy uniqueName="[Measures].[LY LFL Conversion Rate]" caption="LY LFL Conversion Rate" measure="1" displayFolder="04_LYLFL\_UNIT" measureGroup="KPI" count="0"/>
    <cacheHierarchy uniqueName="[Measures].[TY MerchYearWeekCount]" caption="TY MerchYearWeekCount" measure="1" displayFolder="00_INFO" measureGroup="KPI" count="0"/>
    <cacheHierarchy uniqueName="[Measures].[LY MerchYearWeekCount]" caption="LY MerchYearWeekCount" measure="1" displayFolder="00_INFO" measureGroup="KPI" count="0"/>
    <cacheHierarchy uniqueName="[Measures].[LY Store Back Cover LC]" caption="LY Store Back Cover LC" measure="1" displayFolder="03_LY\LC" measureGroup="KPI" count="0"/>
    <cacheHierarchy uniqueName="[Measures].[LY Store Back Cover TRY]" caption="LY Store Back Cover TRY" measure="1" displayFolder="03_LY\TRY" measureGroup="KPI" count="0"/>
    <cacheHierarchy uniqueName="[Measures].[LY Store Back Cover USD]" caption="LY Store Back Cover USD" measure="1" displayFolder="03_LY\USD" measureGroup="KPI" count="0"/>
    <cacheHierarchy uniqueName="[Measures].[TY LFL Store Back Cover LC]" caption="TY LFL Store Back Cover LC" measure="1" displayFolder="02_TYLFL\LC" measureGroup="KPI" count="0"/>
    <cacheHierarchy uniqueName="[Measures].[TYLFL MerchYearWeekCount]" caption="TYLFL MerchYearWeekCount" measure="1" displayFolder="00_INFO" measureGroup="KPI" count="0"/>
    <cacheHierarchy uniqueName="[Measures].[LYLFL MerchYearWeekCount]" caption="LYLFL MerchYearWeekCount" measure="1" displayFolder="00_INFO" measureGroup="KPI" count="0"/>
    <cacheHierarchy uniqueName="[Measures].[Sales Value TYvsLY LC%]" caption="Sales Value TYvsLY LC%" measure="1" displayFolder="01_TY\LC" measureGroup="KPI" count="0"/>
    <cacheHierarchy uniqueName="[Measures].[Sales Value TYvsLY TRY%]" caption="Sales Value TYvsLY TRY%" measure="1" displayFolder="01_TY\TRY" measureGroup="KPI" count="0"/>
    <cacheHierarchy uniqueName="[Measures].[Sales Value TYvsLY USD%]" caption="Sales Value TYvsLY USD%" measure="1" displayFolder="01_TY\USD" measureGroup="KPI" count="0"/>
    <cacheHierarchy uniqueName="[Measures].[Sales Unit TYvsLY%]" caption="Sales Unit TYvsLY%" measure="1" displayFolder="01_TY\_UNIT" measureGroup="KPI" count="0"/>
    <cacheHierarchy uniqueName="[Measures].[LFL Sales Unit TYvsLY%]" caption="LFL Sales Unit TYvsLY%" measure="1" displayFolder="02_TYLFL\_UNIT" measureGroup="KPI" count="0"/>
    <cacheHierarchy uniqueName="[Measures].[LFL Sales Value TYvsLY LC%]" caption="LFL Sales Value TYvsLY LC%" measure="1" displayFolder="02_TYLFL\LC" measureGroup="KPI" count="0"/>
    <cacheHierarchy uniqueName="[Measures].[LFL Sales Value TYvsLY TRY%]" caption="LFL Sales Value TYvsLY TRY%" measure="1" displayFolder="02_TYLFL\TRY" measureGroup="KPI" count="0"/>
    <cacheHierarchy uniqueName="[Measures].[LFL Sales Value TYvsLY USD%]" caption="LFL Sales Value TYvsLY USD%" measure="1" displayFolder="02_TYLFL\USD" measureGroup="KPI" count="0"/>
    <cacheHierarchy uniqueName="[Measures].[Store Stock Unit TYvsLY%]" caption="Store Stock Unit TYvsLY%" measure="1" displayFolder="01_TY\_UNIT" measureGroup="KPI" count="0"/>
    <cacheHierarchy uniqueName="[Measures].[Store Stock Cost TYvsLY LC%]" caption="Store Stock Cost TYvsLY LC%" measure="1" displayFolder="01_TY\LC" measureGroup="KPI" count="0"/>
    <cacheHierarchy uniqueName="[Measures].[Store Stock Cost TYvsLY TRY%]" caption="Store Stock Cost TYvsLY TRY%" measure="1" displayFolder="01_TY\TRY" measureGroup="KPI" count="0"/>
    <cacheHierarchy uniqueName="[Measures].[Store Stock Cost TYvsLY USD%]" caption="Store Stock Cost TYvsLY USD%" measure="1" displayFolder="01_TY\USD" measureGroup="KPI" count="0"/>
    <cacheHierarchy uniqueName="[Measures].[LFL Store Stock Unit TYvsLY%]" caption="LFL Store Stock Unit TYvsLY%" measure="1" displayFolder="02_TYLFL\_UNIT" measureGroup="KPI" count="0"/>
    <cacheHierarchy uniqueName="[Measures].[LFL Store Stock Cost TYvsLY LC%]" caption="LFL Store Stock Cost TYvsLY LC%" measure="1" displayFolder="02_TYLFL\LC" measureGroup="KPI" count="0"/>
    <cacheHierarchy uniqueName="[Measures].[LFL Stock Cost TYvsLY TRY%]" caption="LFL Stock Cost TYvsLY TRY%" measure="1" displayFolder="02_TYLFL\TRY" measureGroup="KPI" count="0"/>
    <cacheHierarchy uniqueName="[Measures].[LFL Store Stock Cost TYvsLY USD%]" caption="LFL Store Stock Cost TYvsLY USD%" measure="1" displayFolder="02_TYLFL\USD" measureGroup="KPI" count="0"/>
    <cacheHierarchy uniqueName="[Measures].[Unit Sales Price TYvsLY LC%]" caption="Unit Sales Price TYvsLY LC%" measure="1" displayFolder="01_TY\LC" measureGroup="KPI" count="0"/>
    <cacheHierarchy uniqueName="[Measures].[Unit Sales Price TYvsLY TRY%]" caption="Unit Sales Price TYvsLY TRY%" measure="1" displayFolder="01_TY\TRY" measureGroup="KPI" count="0"/>
    <cacheHierarchy uniqueName="[Measures].[Unit Sales Price TYvsLY USD%]" caption="Unit Sales Price TYvsLY USD%" measure="1" displayFolder="01_TY\USD" measureGroup="KPI" count="0"/>
    <cacheHierarchy uniqueName="[Measures].[LFL Unit Sales Price TYvsLY LC%]" caption="LFL Unit Sales Price TYvsLY LC%" measure="1" displayFolder="02_TYLFL\LC" measureGroup="KPI" count="0"/>
    <cacheHierarchy uniqueName="[Measures].[LFL Unit Sales Price TYvsLY TRY%]" caption="LFL Unit Sales Price TYvsLY TRY%" measure="1" displayFolder="02_TYLFL\TRY" measureGroup="KPI" count="0"/>
    <cacheHierarchy uniqueName="[Measures].[LFL Unit Sales Price TYvsLY USD%]" caption="LFL Unit Sales Price TYvsLY USD%" measure="1" displayFolder="02_TYLFL\USD" measureGroup="KPI" count="0"/>
    <cacheHierarchy uniqueName="[Measures].[Unit Cost TYvsLY LC%]" caption="Unit Cost TYvsLY LC%" measure="1" displayFolder="01_TY\LC" measureGroup="KPI" count="0"/>
    <cacheHierarchy uniqueName="[Measures].[Unit Cost TYvsLY TRY%]" caption="Unit Cost TYvsLY TRY%" measure="1" displayFolder="01_TY\TRY" measureGroup="KPI" count="0"/>
    <cacheHierarchy uniqueName="[Measures].[Unit Cost TYvsLY USD%]" caption="Unit Cost TYvsLY USD%" measure="1" displayFolder="01_TY\USD" measureGroup="KPI" count="0"/>
    <cacheHierarchy uniqueName="[Measures].[LFL Unit Cost TYvsLY LC%]" caption="LFL Unit Cost TYvsLY LC%" measure="1" displayFolder="02_TYLFL\LC" measureGroup="KPI" count="0"/>
    <cacheHierarchy uniqueName="[Measures].[LFL Unit Cost TYvsLY TRY%]" caption="LFL Unit Cost TYvsLY TRY%" measure="1" displayFolder="02_TYLFL\TRY" measureGroup="KPI" count="0"/>
    <cacheHierarchy uniqueName="[Measures].[LFL Unit Cost TYvsLY USD%]" caption="LFL Unit Cost TYvsLY USD%" measure="1" displayFolder="02_TYLFL\USD" measureGroup="KPI" count="0"/>
    <cacheHierarchy uniqueName="[Measures].[Unit ISP TYvsLY LC%]" caption="Unit ISP TYvsLY LC%" measure="1" displayFolder="01_TY\LC" measureGroup="KPI" count="0"/>
    <cacheHierarchy uniqueName="[Measures].[Unit ISP TYvsLY TRY%]" caption="Unit ISP TYvsLY TRY%" measure="1" displayFolder="01_TY\TRY" measureGroup="KPI" count="0"/>
    <cacheHierarchy uniqueName="[Measures].[Unit ISP TYvsLY USD%]" caption="Unit ISP TYvsLY USD%" measure="1" displayFolder="01_TY\USD" measureGroup="KPI" count="0"/>
    <cacheHierarchy uniqueName="[Measures].[LFL Unit ISP TYvsLY LC%]" caption="LFL Unit ISP TYvsLY LC%" measure="1" displayFolder="02_TYLFL\LC" measureGroup="KPI" count="0"/>
    <cacheHierarchy uniqueName="[Measures].[LFL Unit ISP TYvsLY TRY%]" caption="LFL Unit ISP TYvsLY TRY%" measure="1" displayFolder="02_TYLFL\TRY" measureGroup="KPI" count="0"/>
    <cacheHierarchy uniqueName="[Measures].[LFL Unit ISP TYvsLY USD%]" caption="LFL Unit ISP TYvsLY USD%" measure="1" displayFolder="02_TYLFL\USD" measureGroup="KPI" count="0"/>
    <cacheHierarchy uniqueName="[Measures].[Store Back Cover Unit TYvsLY%]" caption="Store Back Cover Unit TYvsLY%" measure="1" displayFolder="01_TY\_UNIT" measureGroup="KPI" count="0"/>
    <cacheHierarchy uniqueName="[Measures].[LFL Store Back Cover Unit TYvsLY%]" caption="LFL Store Back Cover Unit TYvsLY%" measure="1" displayFolder="02_TYLFL\_UNIT" measureGroup="KPI" count="0"/>
    <cacheHierarchy uniqueName="[Measures].[Gross Marjin TYvsLY LC%]" caption="Gross Marjin TYvsLY LC%" measure="1" displayFolder="01_TY\LC" measureGroup="KPI" count="0"/>
    <cacheHierarchy uniqueName="[Measures].[Gross Marjin TYvsLY TRY%]" caption="Gross Marjin TYvsLY TRY%" measure="1" displayFolder="01_TY\TRY" measureGroup="KPI" count="0"/>
    <cacheHierarchy uniqueName="[Measures].[Gross Marjin TYvsLY USD%]" caption="Gross Marjin TYvsLY USD%" measure="1" displayFolder="01_TY\USD" measureGroup="KPI" count="0"/>
    <cacheHierarchy uniqueName="[Measures].[LFL Gross Marjin TYvsLY LC%]" caption="LFL Gross Marjin TYvsLY LC%" measure="1" displayFolder="02_TYLFL\LC" measureGroup="KPI" count="0"/>
    <cacheHierarchy uniqueName="[Measures].[LFL Gross Marjin TYvsLY TRY%]" caption="LFL Gross Marjin TYvsLY TRY%" measure="1" displayFolder="02_TYLFL\TRY" measureGroup="KPI" count="0"/>
    <cacheHierarchy uniqueName="[Measures].[LFL Gross Marjin TYvsLY USD%]" caption="LFL Gross Marjin TYvsLY USD%" measure="1" displayFolder="02_TYLFL\USD" measureGroup="KPI" count="0"/>
    <cacheHierarchy uniqueName="[Measures].[Sales Profit TYvsLY LC%]" caption="Sales Profit TYvsLY LC%" measure="1" displayFolder="01_TY\LC" measureGroup="KPI" count="0"/>
    <cacheHierarchy uniqueName="[Measures].[Sales Profit TYvsLY TRY%]" caption="Sales Profit TYvsLY TRY%" measure="1" displayFolder="01_TY\TRY" measureGroup="KPI" count="0"/>
    <cacheHierarchy uniqueName="[Measures].[Sales Profit TYvsLY USD%]" caption="Sales Profit TYvsLY USD%" measure="1" displayFolder="01_TY\USD" measureGroup="KPI" count="0"/>
    <cacheHierarchy uniqueName="[Measures].[LFL Sales Profit TYvsLY LC%]" caption="LFL Sales Profit TYvsLY LC%" measure="1" displayFolder="02_TYLFL\LC" measureGroup="KPI" count="0"/>
    <cacheHierarchy uniqueName="[Measures].[LFL Sales Profit TYvsLY TRY%]" caption="LFL Sales Profit TYvsLY TRY%" measure="1" displayFolder="02_TYLFL\TRY" measureGroup="KPI" count="0"/>
    <cacheHierarchy uniqueName="[Measures].[LFL Sales Profit TYvsLY USD%]" caption="LFL Sales Profit TYvsLY USD%" measure="1" displayFolder="02_TYLFL\USD" measureGroup="KPI" count="0"/>
    <cacheHierarchy uniqueName="[Measures].[TY LFL Store Back Cover TRY]" caption="TY LFL Store Back Cover TRY" measure="1" displayFolder="02_TYLFL\TRY" measureGroup="KPI" count="0"/>
    <cacheHierarchy uniqueName="[Measures].[TY LFL Store Back Cover USD]" caption="TY LFL Store Back Cover USD" measure="1" displayFolder="02_TYLFL\USD" measureGroup="KPI" count="0"/>
    <cacheHierarchy uniqueName="[Measures].[LY LFL Store Back Cover LC]" caption="LY LFL Store Back Cover LC" measure="1" displayFolder="04_LYLFL\LC" measureGroup="KPI" count="0"/>
    <cacheHierarchy uniqueName="[Measures].[LY LFL Store Back Cover TRY]" caption="LY LFL Store Back Cover TRY" measure="1" displayFolder="04_LYLFL\TRY" measureGroup="KPI" count="0"/>
    <cacheHierarchy uniqueName="[Measures].[LY LFL Store Back Cover USD]" caption="LY LFL Store Back Cover USD" measure="1" displayFolder="04_LYLFL\USD" measureGroup="KPI" count="0"/>
    <cacheHierarchy uniqueName="[Measures].[Store Back Cover TYvsLY LC%]" caption="Store Back Cover TYvsLY LC%" measure="1" displayFolder="01_TY\LC" measureGroup="KPI" count="0"/>
    <cacheHierarchy uniqueName="[Measures].[Store Back Cover TYvsLY TRY%]" caption="Store Back Cover TYvsLY TRY%" measure="1" displayFolder="01_TY\TRY" measureGroup="KPI" count="0"/>
    <cacheHierarchy uniqueName="[Measures].[Store Back Cover TYvsLY USD%]" caption="Store Back Cover TYvsLY USD%" measure="1" displayFolder="01_TY\USD" measureGroup="KPI" count="0"/>
    <cacheHierarchy uniqueName="[Measures].[LFL Store Back Cover TYvsLY LC%]" caption="LFL Store Back Cover TYvsLY LC%" measure="1" displayFolder="02_TYLFL\LC" measureGroup="KPI" count="0"/>
    <cacheHierarchy uniqueName="[Measures].[LFL Store Back Cover TYvsLY TRY%]" caption="LFL Store Back Cover TYvsLY TRY%" measure="1" displayFolder="02_TYLFL\TRY" measureGroup="KPI" count="0"/>
    <cacheHierarchy uniqueName="[Measures].[LFL Store Back Cover TYvsLY USD%]" caption="LFL Store Back Cover TYvsLY USD%" measure="1" displayFolder="02_TYLFL\USD" measureGroup="KPI" count="0"/>
    <cacheHierarchy uniqueName="[Measures].[TY GMROII LC]" caption="TY GMROII LC" measure="1" displayFolder="01_TY\LC" measureGroup="KPI" count="0"/>
    <cacheHierarchy uniqueName="[Measures].[TY GMROII TRY]" caption="TY GMROII TRY" measure="1" displayFolder="01_TY\TRY" measureGroup="KPI" count="0"/>
    <cacheHierarchy uniqueName="[Measures].[TY GMROII USD]" caption="TY GMROII USD" measure="1" displayFolder="01_TY\USD" measureGroup="KPI" count="0"/>
    <cacheHierarchy uniqueName="[Measures].[LY GMROII LC]" caption="LY GMROII LC" measure="1" displayFolder="03_LY\LC" measureGroup="KPI" count="0"/>
    <cacheHierarchy uniqueName="[Measures].[LY GMROII TRY]" caption="LY GMROII TRY" measure="1" displayFolder="03_LY\TRY" measureGroup="KPI" count="0"/>
    <cacheHierarchy uniqueName="[Measures].[LY GMROII USD]" caption="LY GMROII USD" measure="1" displayFolder="03_LY\USD" measureGroup="KPI" count="0"/>
    <cacheHierarchy uniqueName="[Measures].[TY LFL GMROII LC]" caption="TY LFL GMROII LC" measure="1" displayFolder="02_TYLFL\LC" measureGroup="KPI" count="0"/>
    <cacheHierarchy uniqueName="[Measures].[TY LFL GMROII TRY]" caption="TY LFL GMROII TRY" measure="1" displayFolder="02_TYLFL\TRY" measureGroup="KPI" count="0"/>
    <cacheHierarchy uniqueName="[Measures].[TY LFL GMROII USD]" caption="TY LFL GMROII USD" measure="1" displayFolder="02_TYLFL\USD" measureGroup="KPI" count="0"/>
    <cacheHierarchy uniqueName="[Measures].[LY LFL GMROII LC]" caption="LY LFL GMROII LC" measure="1" displayFolder="04_LYLFL\LC" measureGroup="KPI" count="0"/>
    <cacheHierarchy uniqueName="[Measures].[LY LFL GMROII TRY]" caption="LY LFL GMROII TRY" measure="1" displayFolder="04_LYLFL\TRY" measureGroup="KPI" count="0"/>
    <cacheHierarchy uniqueName="[Measures].[LY LFL GMROII USD]" caption="LY LFL GMROII USD" measure="1" displayFolder="04_LYLFL\USD" measureGroup="KPI" count="0"/>
    <cacheHierarchy uniqueName="[Measures].[LY Actual MarkDown LC%]" caption="LY Actual MarkDown LC%" measure="1" displayFolder="03_LY\LC" measureGroup="KPI" count="0"/>
    <cacheHierarchy uniqueName="[Measures].[LY Actual MarkDown TRY%]" caption="LY Actual MarkDown TRY%" measure="1" displayFolder="03_LY\TRY" measureGroup="KPI" count="0"/>
    <cacheHierarchy uniqueName="[Measures].[LY Actual MarkDown USD%]" caption="LY Actual MarkDown USD%" measure="1" displayFolder="03_LY\USD" measureGroup="KPI" count="0"/>
    <cacheHierarchy uniqueName="[Measures].[TY LFL Actual MarkDown LC%]" caption="TY LFL Actual MarkDown LC%" measure="1" displayFolder="02_TYLFL\LC" measureGroup="KPI" count="0"/>
    <cacheHierarchy uniqueName="[Measures].[TY LFL Actual MarkDown TRY%]" caption="TY LFL Actual MarkDown TRY%" measure="1" displayFolder="02_TYLFL\TRY" measureGroup="KPI" count="0"/>
    <cacheHierarchy uniqueName="[Measures].[TY LFL Actual MarkDown USD%]" caption="TY LFL Actual MarkDown USD%" measure="1" displayFolder="02_TYLFL\USD" measureGroup="KPI" count="0"/>
    <cacheHierarchy uniqueName="[Measures].[LY LFL Actual MarkDown LC%]" caption="LY LFL Actual MarkDown LC%" measure="1" displayFolder="04_LYLFL\LC" measureGroup="KPI" count="0"/>
    <cacheHierarchy uniqueName="[Measures].[LY LFL Actual MarkDown TRY%]" caption="LY LFL Actual MarkDown TRY%" measure="1" displayFolder="04_LYLFL\TRY" measureGroup="KPI" count="0"/>
    <cacheHierarchy uniqueName="[Measures].[LY LFL Actual MarkDown USD%]" caption="LY LFL Actual MarkDown USD%" measure="1" displayFolder="04_LYLFL\USD" measureGroup="KPI" count="0"/>
    <cacheHierarchy uniqueName="[Measures].[Last 7Days TY Sales Unit]" caption="Last 7Days TY Sales Unit" measure="1" displayFolder="LASTN" measureGroup="KPI" count="0"/>
    <cacheHierarchy uniqueName="[Measures].[Last 7Days TY Sales Value LC]" caption="Last 7Days TY Sales Value LC" measure="1" displayFolder="LASTN" measureGroup="KPI" count="0"/>
    <cacheHierarchy uniqueName="[Measures].[Last 14Days TY Sales Unit]" caption="Last 14Days TY Sales Unit" measure="1" displayFolder="LASTN" measureGroup="KPI" count="0"/>
    <cacheHierarchy uniqueName="[Measures].[Last 14Days TY Sales Value LC]" caption="Last 14Days TY Sales Value LC" measure="1" displayFolder="LASTN" measureGroup="KPI" count="0"/>
    <cacheHierarchy uniqueName="[Measures].[Last 28Days TY Sales Unit]" caption="Last 28Days TY Sales Unit" measure="1" displayFolder="LASTN" measureGroup="KPI" count="0"/>
    <cacheHierarchy uniqueName="[Measures].[Last 28Days TY Sales Value LC]" caption="Last 28Days TY Sales Value LC" measure="1" displayFolder="LASTN" measureGroup="KPI" count="0"/>
    <cacheHierarchy uniqueName="[Measures].[Last 90Days TY Sales Unit]" caption="Last 90Days TY Sales Unit" measure="1" displayFolder="LASTN" measureGroup="KPI" count="0"/>
    <cacheHierarchy uniqueName="[Measures].[Last 90Days TY Sales Value LC]" caption="Last 90Days TY Sales Value LC" measure="1" displayFolder="LASTN" measureGroup="KPI" count="0"/>
    <cacheHierarchy uniqueName="[Measures].[Last 180Days TY Sales Unit]" caption="Last 180Days TY Sales Unit" measure="1" displayFolder="LASTN" measureGroup="KPI" count="0"/>
    <cacheHierarchy uniqueName="[Measures].[Last 180Days TY Sales Value LC]" caption="Last 180Days TY Sales Value LC" measure="1" displayFolder="LASTN" measureGroup="KPI" count="0"/>
    <cacheHierarchy uniqueName="[Measures].[TY UPT]" caption="TY UPT" measure="1" displayFolder="01_TY\_UNIT" measureGroup="KPI" count="0"/>
    <cacheHierarchy uniqueName="[Measures].[TY AOV LC]" caption="TY AOV LC" measure="1" displayFolder="01_TY\LC" measureGroup="KPI" count="0"/>
    <cacheHierarchy uniqueName="[Measures].[TY AOV TRY]" caption="TY AOV TRY" measure="1" displayFolder="01_TY\TRY" measureGroup="KPI" count="0"/>
    <cacheHierarchy uniqueName="[Measures].[TY AOV USD]" caption="TY AOV USD" measure="1" displayFolder="01_TY\USD" measureGroup="KPI" count="0"/>
    <cacheHierarchy uniqueName="[Measures].[LY UPT]" caption="LY UPT" measure="1" displayFolder="03_LY\_UNIT" measureGroup="KPI" count="0"/>
    <cacheHierarchy uniqueName="[Measures].[LY AOV LC]" caption="LY AOV LC" measure="1" displayFolder="03_LY\LC" measureGroup="KPI" count="0"/>
    <cacheHierarchy uniqueName="[Measures].[LY AOV TRY]" caption="LY AOV TRY" measure="1" displayFolder="03_LY\TRY" measureGroup="KPI" count="0"/>
    <cacheHierarchy uniqueName="[Measures].[LY AOV USD]" caption="LY AOV USD" measure="1" displayFolder="03_LY\USD" measureGroup="KPI" count="0"/>
    <cacheHierarchy uniqueName="[Measures].[TY LFL UPT]" caption="TY LFL UPT" measure="1" displayFolder="02_TYLFL\_UNIT" measureGroup="KPI" count="0"/>
    <cacheHierarchy uniqueName="[Measures].[TY LFL AOV LC]" caption="TY LFL AOV LC" measure="1" displayFolder="02_TYLFL\LC" measureGroup="KPI" count="0"/>
    <cacheHierarchy uniqueName="[Measures].[TY LFL AOV TRY]" caption="TY LFL AOV TRY" measure="1" displayFolder="02_TYLFL\TRY" measureGroup="KPI" count="0"/>
    <cacheHierarchy uniqueName="[Measures].[TY LFL AOV USD]" caption="TY LFL AOV USD" measure="1" displayFolder="02_TYLFL\USD" measureGroup="KPI" count="0"/>
    <cacheHierarchy uniqueName="[Measures].[LY LFL UPT]" caption="LY LFL UPT" measure="1" displayFolder="04_LYLFL\_UNIT" measureGroup="KPI" count="0"/>
    <cacheHierarchy uniqueName="[Measures].[LY LFL AOV LC]" caption="LY LFL AOV LC" measure="1" displayFolder="04_LYLFL\LC" measureGroup="KPI" count="0"/>
    <cacheHierarchy uniqueName="[Measures].[LY LFL AOV TRY]" caption="LY LFL AOV TRY" measure="1" displayFolder="04_LYLFL\TRY" measureGroup="KPI" count="0"/>
    <cacheHierarchy uniqueName="[Measures].[LY LFL AOV USD]" caption="LY LFL AOV USD" measure="1" displayFolder="04_LYLFL\USD" measureGroup="KPI" count="0"/>
    <cacheHierarchy uniqueName="[Measures].[TY DayCount]" caption="TY DayCount" measure="1" displayFolder="00_INFO" measureGroup="KPI" count="0"/>
    <cacheHierarchy uniqueName="[Measures].[TY Store Count]" caption="TY Store Count" measure="1" displayFolder="01_TY\_UNIT" measureGroup="KPI" count="0"/>
    <cacheHierarchy uniqueName="[Measures].[LY Store Count]" caption="LY Store Count" measure="1" displayFolder="03_LY\_UNIT" measureGroup="KPI" count="0"/>
    <cacheHierarchy uniqueName="[Measures].[TY LFL Store Count]" caption="TY LFL Store Count" measure="1" displayFolder="02_TYLFL\_UNIT" measureGroup="KPI" count="0"/>
    <cacheHierarchy uniqueName="[Measures].[LY LFL Store Count]" caption="LY LFL Store Count" measure="1" displayFolder="04_LYLFL\_UNIT" measureGroup="KPI" count="0"/>
    <cacheHierarchy uniqueName="[Measures].[Sales Unit TyTWvsTyLW%]" caption="Sales Unit TyTWvsTyLW%" measure="1" displayFolder="TyTWvsTyLW" measureGroup="KPI" count="0"/>
    <cacheHierarchy uniqueName="[Measures].[LFL Sales Unit TyTWvsTyLW%]" caption="LFL Sales Unit TyTWvsTyLW%" measure="1" displayFolder="TyTWvsTyLW" measureGroup="KPI" count="0"/>
    <cacheHierarchy uniqueName="[Measures].[Sales Value TyTWvsTyLW LC%]" caption="Sales Value TyTWvsTyLW LC%" measure="1" displayFolder="TyTWvsTyLW" measureGroup="KPI" count="0"/>
    <cacheHierarchy uniqueName="[Measures].[Sales Value TyTWvsTyLW TRY%]" caption="Sales Value TyTWvsTyLW TRY%" measure="1" displayFolder="TyTWvsTyLW" measureGroup="KPI" count="0"/>
    <cacheHierarchy uniqueName="[Measures].[Sales Value TyTWvsTyLW USD%]" caption="Sales Value TyTWvsTyLW USD%" measure="1" displayFolder="TyTWvsTyLW" measureGroup="KPI" count="0"/>
    <cacheHierarchy uniqueName="[Measures].[LFL Sales Value TyTWvsTyLW LC%]" caption="LFL Sales Value TyTWvsTyLW LC%" measure="1" displayFolder="TyTWvsTyLW" measureGroup="KPI" count="0"/>
    <cacheHierarchy uniqueName="[Measures].[LFL Sales Value TyTWvsTyLW TRY%]" caption="LFL Sales Value TyTWvsTyLW TRY%" measure="1" displayFolder="TyTWvsTyLW" measureGroup="KPI" count="0"/>
    <cacheHierarchy uniqueName="[Measures].[LFL Sales Value TyTWvsTyLW USD%]" caption="LFL Sales Value TyTWvsTyLW USD%" measure="1" displayFolder="TyTWvsTyLW" measureGroup="KPI" count="0"/>
    <cacheHierarchy uniqueName="[Measures].[Store Stock Unit TyTWvsTyLW%]" caption="Store Stock Unit TyTWvsTyLW%" measure="1" displayFolder="TyTWvsTyLW" measureGroup="KPI" count="0"/>
    <cacheHierarchy uniqueName="[Measures].[Store Stock Cost TyTWvsTyLW LC%]" caption="Store Stock Cost TyTWvsTyLW LC%" measure="1" displayFolder="TyTWvsTyLW" measureGroup="KPI" count="0"/>
    <cacheHierarchy uniqueName="[Measures].[Store Stock Cost TyTWvsTyLW TRY%]" caption="Store Stock Cost TyTWvsTyLW TRY%" measure="1" displayFolder="TyTWvsTyLW" measureGroup="KPI" count="0"/>
    <cacheHierarchy uniqueName="[Measures].[Store Stock Cost TyTWvsTyLW USD%]" caption="Store Stock Cost TyTWvsTyLW USD%" measure="1" displayFolder="TyTWvsTyLW" measureGroup="KPI" count="0"/>
    <cacheHierarchy uniqueName="[Measures].[LFL Store Stock Unit TyTWvsTyLW%]" caption="LFL Store Stock Unit TyTWvsTyLW%" measure="1" displayFolder="TyTWvsTyLW" measureGroup="KPI" count="0"/>
    <cacheHierarchy uniqueName="[Measures].[LFL Store Stock Cost TyTWvsTyLW LC%]" caption="LFL Store Stock Cost TyTWvsTyLW LC%" measure="1" displayFolder="TyTWvsTyLW" measureGroup="KPI" count="0"/>
    <cacheHierarchy uniqueName="[Measures].[LFL Store Stock Cost TyTWvsTyLW TRY%]" caption="LFL Store Stock Cost TyTWvsTyLW TRY%" measure="1" displayFolder="TyTWvsTyLW" measureGroup="KPI" count="0"/>
    <cacheHierarchy uniqueName="[Measures].[LFL Store Stock Cost TyTWvsTyLW USD%]" caption="LFL Store Stock Cost TyTWvsTyLW USD%" measure="1" displayFolder="TyTWvsTyLW" measureGroup="KPI" count="0"/>
    <cacheHierarchy uniqueName="[Measures].[Unit Sales Price TyTWvsTyLW LC%]" caption="Unit Sales Price TyTWvsTyLW LC%" measure="1" displayFolder="TyTWvsTyLW" measureGroup="KPI" count="0"/>
    <cacheHierarchy uniqueName="[Measures].[Unit Sales Price TyTWvsTyLW TRY%]" caption="Unit Sales Price TyTWvsTyLW TRY%" measure="1" displayFolder="TyTWvsTyLW" measureGroup="KPI" count="0"/>
    <cacheHierarchy uniqueName="[Measures].[Unit Sales Price TyTWvsTyLW USD%]" caption="Unit Sales Price TyTWvsTyLW USD%" measure="1" displayFolder="TyTWvsTyLW" measureGroup="KPI" count="0"/>
    <cacheHierarchy uniqueName="[Measures].[LFL Unit Sales Price TyTWvsTyLW LC%]" caption="LFL Unit Sales Price TyTWvsTyLW LC%" measure="1" displayFolder="TyTWvsTyLW" measureGroup="KPI" count="0"/>
    <cacheHierarchy uniqueName="[Measures].[LFL Unit Sales Price TyTWvsTyLW TRY%]" caption="LFL Unit Sales Price TyTWvsTyLW TRY%" measure="1" displayFolder="TyTWvsTyLW" measureGroup="KPI" count="0"/>
    <cacheHierarchy uniqueName="[Measures].[LFL Unit Sales Price TyTWvsTyLW USD%]" caption="LFL Unit Sales Price TyTWvsTyLW USD%" measure="1" displayFolder="TyTWvsTyLW" measureGroup="KPI" count="0"/>
    <cacheHierarchy uniqueName="[Measures].[TY DC Inc Back Cover Unit]" caption="TY DC Inc Back Cover Unit" measure="1" displayFolder="01_TY\_UNIT" measureGroup="KPI" count="0"/>
    <cacheHierarchy uniqueName="[Measures].[TY DC Inc Back Cover LC]" caption="TY DC Inc Back Cover LC" measure="1" displayFolder="01_TY\LC" measureGroup="KPI" count="0"/>
    <cacheHierarchy uniqueName="[Measures].[TY DC Inc Back Cover TRY]" caption="TY DC Inc Back Cover TRY" measure="1" displayFolder="01_TY\TRY" measureGroup="KPI" count="0"/>
    <cacheHierarchy uniqueName="[Measures].[TY DC Inc Back Cover USD]" caption="TY DC Inc Back Cover USD" measure="1" displayFolder="01_TY\USD" measureGroup="KPI" count="0"/>
    <cacheHierarchy uniqueName="[Measures].[LY DC Inc Back Cover Unit]" caption="LY DC Inc Back Cover Unit" measure="1" displayFolder="03_LY\_UNIT" measureGroup="KPI" count="0"/>
    <cacheHierarchy uniqueName="[Measures].[LY DC Inc Back Cover LC]" caption="LY DC Inc Back Cover LC" measure="1" displayFolder="03_LY\LC" measureGroup="KPI" count="0"/>
    <cacheHierarchy uniqueName="[Measures].[LY DC Inc Back Cover TRY]" caption="LY DC Inc Back Cover TRY" measure="1" displayFolder="03_LY\TRY" measureGroup="KPI" count="0"/>
    <cacheHierarchy uniqueName="[Measures].[LY DC Inc Back Cover USD]" caption="LY DC Inc Back Cover USD" measure="1" displayFolder="03_LY\USD" measureGroup="KPI" count="0"/>
    <cacheHierarchy uniqueName="[Measures].[DC Inc Back Cover Unit TYvsLY%]" caption="DC Inc Back Cover Unit TYvsLY%" measure="1" displayFolder="01_TY\_UNIT" measureGroup="KPI" count="0"/>
    <cacheHierarchy uniqueName="[Measures].[DC Inc Back Cover TYvsLY LC%]" caption="DC Inc Back Cover TYvsLY LC%" measure="1" displayFolder="01_TY\LC" measureGroup="KPI" count="0"/>
    <cacheHierarchy uniqueName="[Measures].[DC Inc Back Cover TYvsLY TRY%]" caption="DC Inc Back Cover TYvsLY TRY%" measure="1" displayFolder="01_TY\TRY" measureGroup="KPI" count="0"/>
    <cacheHierarchy uniqueName="[Measures].[DC Inc Back Cover TYvsLY USD%]" caption="DC Inc Back Cover TYvsLY USD%" measure="1" displayFolder="01_TY\USD" measureGroup="KPI" count="0"/>
    <cacheHierarchy uniqueName="[Measures].[ShowAll]" caption="ShowAll" measure="1" displayFolder="00_INFO" measureGroup="KPI" count="0"/>
    <cacheHierarchy uniqueName="[Measures].[Store Area m2]" caption="Store Area m2" measure="1" displayFolder="00_INFO" measureGroup="KPI" count="0"/>
    <cacheHierarchy uniqueName="[Measures].[TY Store Total Back Cover Unit]" caption="TY Store Total Back Cover Unit" measure="1" displayFolder="01_TY\UNIT" measureGroup="KPI" count="0"/>
    <cacheHierarchy uniqueName="[Measures].[TY Store Total Back Cover LC]" caption="TY Store Total Back Cover LC" measure="1" displayFolder="01_TY\LC" measureGroup="KPI" count="0"/>
    <cacheHierarchy uniqueName="[Measures].[TY Store Count by Sales]" caption="TY Store Count by Sales" measure="1" displayFolder="01_TY\_UNIT" measureGroup="KPI" count="0"/>
    <cacheHierarchy uniqueName="[Measures].[LY Store Count by Sales]" caption="LY Store Count by Sales" measure="1" displayFolder="03_LY\_UNIT" measureGroup="KPI" count="0"/>
    <cacheHierarchy uniqueName="[Measures].[TY LFL Store Count by Sales]" caption="TY LFL Store Count by Sales" measure="1" displayFolder="02_TYLFL\_UNIT" measureGroup="KPI" count="0"/>
    <cacheHierarchy uniqueName="[Measures].[LY LFL Store Count by Sales]" caption="LY LFL Store Count by Sales" measure="1" displayFolder="04_LYLFL\_UNIT" measureGroup="KPI" count="0"/>
    <cacheHierarchy uniqueName="[Measures].[TY Store Count by Stock]" caption="TY Store Count by Stock" measure="1" displayFolder="01_TY\_UNIT" measureGroup="KPI" count="0"/>
    <cacheHierarchy uniqueName="[Measures].[LY Store Count by Stock]" caption="LY Store Count by Stock" measure="1" displayFolder="03_LY\_UNIT" measureGroup="KPI" count="0"/>
    <cacheHierarchy uniqueName="[Measures].[TY LFL Store Count by Stock]" caption="TY LFL Store Count by Stock" measure="1" displayFolder="02_TYLFL\_UNIT" measureGroup="KPI" count="0"/>
    <cacheHierarchy uniqueName="[Measures].[LY LFL Store Count by Stock]" caption="LY LFL Store Count by Stock" measure="1" displayFolder="04_LYLFL\_UNIT" measureGroup="KPI" count="0"/>
    <cacheHierarchy uniqueName="[Measures].[TY Store Total Back Cover TRY]" caption="TY Store Total Back Cover TRY" measure="1" displayFolder="01_TY\TRY" measureGroup="KPI" count="0"/>
    <cacheHierarchy uniqueName="[Measures].[TY Store Total Back Cover USD]" caption="TY Store Total Back Cover USD" measure="1" displayFolder="01_TY\USD" measureGroup="KPI" count="0"/>
    <cacheHierarchy uniqueName="[Measures].[TY Country Back Cover Unit]" caption="TY Country Back Cover Unit" measure="1" displayFolder="01_TY\UNIT" measureGroup="KPI" count="0"/>
    <cacheHierarchy uniqueName="[Measures].[PO Unit]" caption="PO Unit" measure="1" displayFolder="_UNIT" measureGroup="PurchaseOrder" count="0"/>
    <cacheHierarchy uniqueName="[Measures].[Goods Receipt PO Unit]" caption="Goods Receipt PO Unit" measure="1" displayFolder="_UNIT" measureGroup="PurchaseOrder" count="0"/>
    <cacheHierarchy uniqueName="[Measures].[Pending PO Unit]" caption="Pending PO Unit" measure="1" displayFolder="_UNIT" measureGroup="PurchaseOrder" count="0"/>
    <cacheHierarchy uniqueName="[Measures].[Other Merchant PO Unit]" caption="Other Merchant PO Unit" measure="1" displayFolder="_UNIT" measureGroup="PurchaseOrder" count="0"/>
    <cacheHierarchy uniqueName="[Measures].[Other Merchant Goods Receipt PO Unit]" caption="Other Merchant Goods Receipt PO Unit" measure="1" displayFolder="_UNIT" measureGroup="PurchaseOrder" count="0"/>
    <cacheHierarchy uniqueName="[Measures].[Other Merchant Pending PO Unit]" caption="Other Merchant Pending PO Unit" measure="1" displayFolder="_UNIT" measureGroup="PurchaseOrder" count="0"/>
    <cacheHierarchy uniqueName="[Measures].[Pending PO Unit Runing Total]" caption="Pending PO Unit Runing Total" measure="1" displayFolder="_UNIT" measureGroup="PurchaseOrder" count="0"/>
    <cacheHierarchy uniqueName="[Measures].[Other Merchant Pending PO Unit Runing Total]" caption="Other Merchant Pending PO Unit Runing Total" measure="1" displayFolder="_UNIT" measureGroup="PurchaseOrder" count="0"/>
    <cacheHierarchy uniqueName="[Measures].[PO Unit Year Total]" caption="PO Unit Year Total" measure="1" displayFolder="_UNIT" measureGroup="PurchaseOrder" count="0"/>
    <cacheHierarchy uniqueName="[Measures].[Goods Receipt PO Unit Year Total]" caption="Goods Receipt PO Unit Year Total" measure="1" displayFolder="_UNIT" measureGroup="PurchaseOrder" count="0"/>
    <cacheHierarchy uniqueName="[Measures].[Other Merchant PO Unit Year Total]" caption="Other Merchant PO Unit Year Total" measure="1" displayFolder="_UNIT" measureGroup="PurchaseOrder" count="0"/>
    <cacheHierarchy uniqueName="[Measures].[Other Merchant Goods Receipt PO Unit Year Total]" caption="Other Merchant Goods Receipt PO Unit Year Total" measure="1" displayFolder="_UNIT" measureGroup="PurchaseOrder" count="0"/>
    <cacheHierarchy uniqueName="[Measures].[ALL PO Unit]" caption="ALL PO Unit" measure="1" displayFolder="_UNIT" measureGroup="PurchaseOrder" count="0"/>
    <cacheHierarchy uniqueName="[Measures].[ALL PO Unit Year Total]" caption="ALL PO Unit Year Total" measure="1" displayFolder="_UNIT" measureGroup="PurchaseOrder" count="0"/>
    <cacheHierarchy uniqueName="[Measures].[ALL Pending PO Unit]" caption="ALL Pending PO Unit" measure="1" displayFolder="_UNIT" measureGroup="PurchaseOrder" count="0"/>
    <cacheHierarchy uniqueName="[Measures].[ALL Pending PO Unit Runing Total]" caption="ALL Pending PO Unit Runing Total" measure="1" displayFolder="_UNIT" measureGroup="PurchaseOrder" count="0"/>
    <cacheHierarchy uniqueName="[Measures].[ALL Goods Receipt PO Unit]" caption="ALL Goods Receipt PO Unit" measure="1" displayFolder="_UNIT" measureGroup="PurchaseOrder" count="0"/>
    <cacheHierarchy uniqueName="[Measures].[ALL Goods Receipt PO Unit Year Total]" caption="ALL Goods Receipt PO Unit Year Total" measure="1" displayFolder="_UNIT" measureGroup="PurchaseOrder" count="0"/>
    <cacheHierarchy uniqueName="[Measures].[PO Value LC]" caption="PO Value LC" measure="1" displayFolder="_VALUE" measureGroup="PurchaseOrder" count="0"/>
    <cacheHierarchy uniqueName="[Measures].[PO Value LC Year Total]" caption="PO Value LC Year Total" measure="1" displayFolder="_VALUE" measureGroup="PurchaseOrder" count="0"/>
    <cacheHierarchy uniqueName="[Measures].[Goods Receipt PO Value LC]" caption="Goods Receipt PO Value LC" measure="1" displayFolder="_VALUE" measureGroup="PurchaseOrder" count="0"/>
    <cacheHierarchy uniqueName="[Measures].[Goods Receipt PO Value LC Year Total]" caption="Goods Receipt PO Value LC Year Total" measure="1" displayFolder="_VALUE" measureGroup="PurchaseOrder" count="0"/>
    <cacheHierarchy uniqueName="[Measures].[Pending PO Value LC]" caption="Pending PO Value LC" measure="1" displayFolder="_VALUE" measureGroup="PurchaseOrder" count="0"/>
    <cacheHierarchy uniqueName="[Measures].[Pending PO Value LC Runing Total]" caption="Pending PO Value LC Runing Total" measure="1" displayFolder="_VALUE" measureGroup="PurchaseOrder" count="0"/>
    <cacheHierarchy uniqueName="[Measures].[Other Merchant Goods Receipt PO Value LC]" caption="Other Merchant Goods Receipt PO Value LC" measure="1" displayFolder="_VALUE" measureGroup="PurchaseOrder" count="0"/>
    <cacheHierarchy uniqueName="[Measures].[Other Merchant Goods Receipt PO Value LC Year Total]" caption="Other Merchant Goods Receipt PO Value LC Year Total" measure="1" displayFolder="_VALUE" measureGroup="PurchaseOrder" count="0"/>
    <cacheHierarchy uniqueName="[Measures].[Other Merchant Pending PO Value LC]" caption="Other Merchant Pending PO Value LC" measure="1" displayFolder="_VALUE" measureGroup="PurchaseOrder" count="0"/>
    <cacheHierarchy uniqueName="[Measures].[Other Merchant Pending PO Value LC Runing Total]" caption="Other Merchant Pending PO Value LC Runing Total" measure="1" displayFolder="_VALUE" measureGroup="PurchaseOrder" count="0"/>
    <cacheHierarchy uniqueName="[Measures].[Other Merchant PO Value LC]" caption="Other Merchant PO Value LC" measure="1" displayFolder="_VALUE" measureGroup="PurchaseOrder" count="0"/>
    <cacheHierarchy uniqueName="[Measures].[Other Merchant PO Value LC Year Total]" caption="Other Merchant PO Value LC Year Total" measure="1" displayFolder="_VALUE" measureGroup="PurchaseOrder" count="0"/>
    <cacheHierarchy uniqueName="[Measures].[ALL PO Value LC]" caption="ALL PO Value LC" measure="1" displayFolder="_VALUE" measureGroup="PurchaseOrder" count="0"/>
    <cacheHierarchy uniqueName="[Measures].[ALL PO Value LC Year Total]" caption="ALL PO Value LC Year Total" measure="1" displayFolder="_VALUE" measureGroup="PurchaseOrder" count="0"/>
    <cacheHierarchy uniqueName="[Measures].[ALL Goods Receipt PO Value LC]" caption="ALL Goods Receipt PO Value LC" measure="1" displayFolder="_VALUE" measureGroup="PurchaseOrder" count="0"/>
    <cacheHierarchy uniqueName="[Measures].[ALL Goods Receipt PO Value LC Year Total]" caption="ALL Goods Receipt PO Value LC Year Total" measure="1" displayFolder="_VALUE" measureGroup="PurchaseOrder" count="0"/>
    <cacheHierarchy uniqueName="[Measures].[ALL Pending PO Value LC]" caption="ALL Pending PO Value LC" measure="1" displayFolder="_VALUE" measureGroup="PurchaseOrder" count="0"/>
    <cacheHierarchy uniqueName="[Measures].[ALL Pending PO Value LC Runing Total]" caption="ALL Pending PO Value LC Runing Total" measure="1" displayFolder="_VALUE" measureGroup="PurchaseOrder" count="0"/>
    <cacheHierarchy uniqueName="[Measures].[Pending PO Unit (WholeSale)]" caption="Pending PO Unit (WholeSale)" measure="1" displayFolder="_UNIT" measureGroup="PurchaseOrder" count="0"/>
    <cacheHierarchy uniqueName="[Measures].[Pending PO Value LC (WholeSale)]" caption="Pending PO Value LC (WholeSale)" measure="1" displayFolder="_VALUE" measureGroup="PurchaseOrder" count="0"/>
    <cacheHierarchy uniqueName="[Measures].[Goods Receipt PO Unit (WholeSale)]" caption="Goods Receipt PO Unit (WholeSale)" measure="1" displayFolder="_UNIT" measureGroup="PurchaseOrder" count="0"/>
    <cacheHierarchy uniqueName="[Measures].[Goods Receipt PO Value LC (WholeSale)]" caption="Goods Receipt PO Value LC (WholeSale)" measure="1" displayFolder="_VALUE" measureGroup="PurchaseOrder" count="0"/>
    <cacheHierarchy uniqueName="[Measures].[TY Customer Entry Count]" caption="TY Customer Entry Count" measure="1" displayFolder="01_TY" measureGroup="VisitorHourly" count="0"/>
    <cacheHierarchy uniqueName="[Measures].[LY Customer Entry Count]" caption="LY Customer Entry Count" measure="1" displayFolder="03_LY" measureGroup="VisitorHourly" count="0"/>
    <cacheHierarchy uniqueName="[Measures].[TY LFL Customer Entry Count]" caption="TY LFL Customer Entry Count" measure="1" displayFolder="02_TYLFL" measureGroup="VisitorHourly" count="0"/>
    <cacheHierarchy uniqueName="[Measures].[LY LFL Customer Entry Count]" caption="LY LFL Customer Entry Count" measure="1" displayFolder="04_LYLFL" measureGroup="VisitorHourly" count="0"/>
    <cacheHierarchy uniqueName="[Measures].[Daily Invoice Sale]" caption="Daily Invoice Sale" measure="1" displayFolder="01_SALE" measureGroup="Visitor" count="0"/>
    <cacheHierarchy uniqueName="[Measures].[Daily Invoice Return]" caption="Daily Invoice Return" measure="1" displayFolder="01_SALE" measureGroup="Visitor" count="0"/>
    <cacheHierarchy uniqueName="[Measures].[Net Daily Invoice (Sale-Return)]" caption="Net Daily Invoice (Sale-Return)" measure="1" displayFolder="01_SALE" measureGroup="Visitor" count="0"/>
    <cacheHierarchy uniqueName="[Measures].[Daily Visitor Count]" caption="Daily Visitor Count" measure="1" displayFolder="02_VISITOR" measureGroup="Visitor" count="0"/>
    <cacheHierarchy uniqueName="[Measures].[Net Daily Invoice of Company]" caption="Net Daily Invoice of Company" measure="1" displayFolder="01_SALE" measureGroup="Visitor" count="0"/>
    <cacheHierarchy uniqueName="[Measures].[Daily Visitor Count of Company]" caption="Daily Visitor Count of Company" measure="1" displayFolder="02_VISITOR" measureGroup="Visitor" count="0"/>
    <cacheHierarchy uniqueName="[Measures].[Customer Conversion Rate]" caption="Customer Conversion Rate" measure="1" displayFolder="03_CCR" measureGroup="Visitor" count="0"/>
    <cacheHierarchy uniqueName="[Measures].[Adjusted Customer Conversion Rate]" caption="Adjusted Customer Conversion Rate" measure="1" displayFolder="03_CCR" measureGroup="Visitor" count="0"/>
    <cacheHierarchy uniqueName="[Measures].[Adjusted Visitor Count]" caption="Adjusted Visitor Count" measure="1" displayFolder="02_VISITOR" measureGroup="Visitor" count="0"/>
    <cacheHierarchy uniqueName="[Measures].[TY Avg Capacity Plan Unit]" caption="TY Avg Capacity Plan Unit" measure="1" displayFolder="01_TY\_UNIT" measureGroup="Capacity" count="0"/>
    <cacheHierarchy uniqueName="[Measures].[TY LFL Avg Capacity Plan Unit]" caption="TY LFL Avg Capacity Plan Unit" measure="1" displayFolder="01_TY\_UNIT" measureGroup="Capacity" count="0"/>
    <cacheHierarchy uniqueName="[Measures].[CUR Store Capacity Quantity]" caption="CUR Store Capacity Quantity" measure="1" displayFolder="00_CURRENT\_UNIT" measureGroup="Capacity" count="0"/>
    <cacheHierarchy uniqueName="[Measures].[CUR Backstore Capacity Quantity]" caption="CUR Backstore Capacity Quantity" measure="1" displayFolder="00_CURRENT\_UNIT" measureGroup="Capacity" count="0"/>
    <cacheHierarchy uniqueName="[Measures].[CUR Total Store Capacity Quantity]" caption="CUR Total Store Capacity Quantity" measure="1" displayFolder="00_CURRENT\_UNIT" measureGroup="Capacity" count="0"/>
    <cacheHierarchy uniqueName="[Measures].[CUR Store Capacity dm3]" caption="CUR Store Capacity dm3" measure="1" displayFolder="00_CURRENT\_DM3" measureGroup="Capacity" count="0"/>
    <cacheHierarchy uniqueName="[Measures].[CUR Backstore Capacity dm3]" caption="CUR Backstore Capacity dm3" measure="1" displayFolder="00_CURRENT\_DM3" measureGroup="Capacity" count="0"/>
    <cacheHierarchy uniqueName="[Measures].[CUR Total Store Capacity dm3]" caption="CUR Total Store Capacity dm3" measure="1" displayFolder="00_CURRENT\_DM3" measureGroup="Capacity" count="0"/>
    <cacheHierarchy uniqueName="[Measures].[TY Avg Capacity Plan Cost LC]" caption="TY Avg Capacity Plan Cost LC" measure="1" displayFolder="01_TY\_LC" measureGroup="Capacity" count="0"/>
    <cacheHierarchy uniqueName="[Measures].[TY LFL Avg Capacity Plan Cost LC]" caption="TY LFL Avg Capacity Plan Cost LC" measure="1" displayFolder="01_TY\_LC" measureGroup="Capacity" count="0"/>
    <cacheHierarchy uniqueName="[Measures].[Fiziki Dm3 Doluluk %]" caption="Fiziki Dm3 Doluluk %" measure="1" displayFolder="00_CURRENT\_DM3" measureGroup="Capacity" count="0"/>
    <cacheHierarchy uniqueName="[Measures].[Nihai Dm3 Doluluk %]" caption="Nihai Dm3 Doluluk %" measure="1" displayFolder="00_CURRENT\_DM3" measureGroup="Capacity" count="0"/>
    <cacheHierarchy uniqueName="[Measures].[Fiziki Adet Doluluk %]" caption="Fiziki Adet Doluluk %" measure="1" displayFolder="00_CURRENT\_UNIT" measureGroup="Capacity" count="0"/>
    <cacheHierarchy uniqueName="[Measures].[Nihai Adet Doluluk %]" caption="Nihai Adet Doluluk %" measure="1" displayFolder="00_CURRENT\_UNIT" measureGroup="Capacity" count="0"/>
    <cacheHierarchy uniqueName="[Measures].[BrKar/Dm3]" caption="BrKar/Dm3" measure="1" displayFolder="00_CURRENT\_DM3" measureGroup="Capacity" count="0"/>
    <cacheHierarchy uniqueName="[Measures].[NET Nihai Dm3 Doluluk %]" caption="NET Nihai Dm3 Doluluk %" measure="1" displayFolder="00_CURRENT\_DM3" measureGroup="Capacity" count="0"/>
    <cacheHierarchy uniqueName="[Measures].[Delivery Quantity Outbound from DC to Store]" caption="Delivery Quantity Outbound from DC to Store" measure="1" displayFolder="" measureGroup="Delivery" count="0"/>
    <cacheHierarchy uniqueName="[Measures].[Delivery Quantity Target from DC to Store]" caption="Delivery Quantity Target from DC to Store" measure="1" displayFolder="" measureGroup="Delivery" count="0"/>
    <cacheHierarchy uniqueName="[Measures].[__Default measure]" caption="__Default measure" measure="1" displayFolder="" count="0" hidden="1"/>
    <cacheHierarchy uniqueName="[Measures].[DCStockUnit]" caption="DCStockUnit" measure="1" displayFolder="01_TY\_UNIT" measureGroup="StockDC" count="0" hidden="1"/>
    <cacheHierarchy uniqueName="[Measures].[DCCUSStockUnit]" caption="DCCUSStockUnit" measure="1" displayFolder="01_TY\_UNIT" measureGroup="StockDC" count="0" hidden="1"/>
    <cacheHierarchy uniqueName="[Measures].[DCTRNStockUnit]" caption="DCTRNStockUnit" measure="1" displayFolder="01_TY\_UNIT" measureGroup="StockDC" count="0" hidden="1"/>
    <cacheHierarchy uniqueName="[Measures].[DCStockCostLC]" caption="DCStockCostLC" measure="1" displayFolder="01_TY\LC" measureGroup="StockDC" count="0" hidden="1"/>
    <cacheHierarchy uniqueName="[Measures].[DCTRNStockCostLC]" caption="DCTRNStockCostLC" measure="1" displayFolder="01_TY\LC" measureGroup="StockDC" count="0" hidden="1"/>
    <cacheHierarchy uniqueName="[Measures].[DCCUSStockCostLC]" caption="DCCUSStockCostLC" measure="1" displayFolder="01_TY\LC" measureGroup="StockDC" count="0" hidden="1"/>
    <cacheHierarchy uniqueName="[Measures].[DCStockCostTRY]" caption="DCStockCostTRY" measure="1" displayFolder="01_TY\TRY" measureGroup="StockDC" count="0" hidden="1"/>
    <cacheHierarchy uniqueName="[Measures].[DCTRNStockCostTRY]" caption="DCTRNStockCostTRY" measure="1" displayFolder="01_TY\TRY" measureGroup="StockDC" count="0" hidden="1"/>
    <cacheHierarchy uniqueName="[Measures].[DCCUSStockCostTRY]" caption="DCCUSStockCostTRY" measure="1" displayFolder="01_TY\TRY" measureGroup="StockDC" count="0" hidden="1"/>
    <cacheHierarchy uniqueName="[Measures].[DCStockCostUSD]" caption="DCStockCostUSD" measure="1" displayFolder="01_TY\USD" measureGroup="StockDC" count="0" hidden="1"/>
    <cacheHierarchy uniqueName="[Measures].[DCTRNStockCostUSD]" caption="DCTRNStockCostUSD" measure="1" displayFolder="01_TY\USD" measureGroup="StockDC" count="0" hidden="1"/>
    <cacheHierarchy uniqueName="[Measures].[DCCUSStockCostUSD]" caption="DCCUSStockCostUSD" measure="1" displayFolder="01_TY\USD" measureGroup="StockDC" count="0" hidden="1"/>
    <cacheHierarchy uniqueName="[Measures].[LYDCStockUnit]" caption="LYDCStockUnit" measure="1" displayFolder="02_LY\_UNIT" measureGroup="StockDC" count="0" hidden="1"/>
    <cacheHierarchy uniqueName="[Measures].[LYDCTRNStockUnit]" caption="LYDCTRNStockUnit" measure="1" displayFolder="02_LY\_UNIT" measureGroup="StockDC" count="0" hidden="1"/>
    <cacheHierarchy uniqueName="[Measures].[LYDCCUSStockUnit]" caption="LYDCCUSStockUnit" measure="1" displayFolder="02_LY\_UNIT" measureGroup="StockDC" count="0" hidden="1"/>
    <cacheHierarchy uniqueName="[Measures].[LYDCStockCostLC]" caption="LYDCStockCostLC" measure="1" displayFolder="02_LY\LC" measureGroup="StockDC" count="0" hidden="1"/>
    <cacheHierarchy uniqueName="[Measures].[LYDCTRNStockCostLC]" caption="LYDCTRNStockCostLC" measure="1" displayFolder="02_LY\LC" measureGroup="StockDC" count="0" hidden="1"/>
    <cacheHierarchy uniqueName="[Measures].[LYDCCUSStockCostLC]" caption="LYDCCUSStockCostLC" measure="1" displayFolder="02_LY\LC" measureGroup="StockDC" count="0" hidden="1"/>
    <cacheHierarchy uniqueName="[Measures].[LYDCStockCostTRY]" caption="LYDCStockCostTRY" measure="1" displayFolder="02_LY\TRY" measureGroup="StockDC" count="0" hidden="1"/>
    <cacheHierarchy uniqueName="[Measures].[LYDCTRNStockCostTRY]" caption="LYDCTRNStockCostTRY" measure="1" displayFolder="02_LY\TRY" measureGroup="StockDC" count="0" hidden="1"/>
    <cacheHierarchy uniqueName="[Measures].[LYDCCUSStockCostTRY]" caption="LYDCCUSStockCostTRY" measure="1" displayFolder="02_LY\TRY" measureGroup="StockDC" count="0" hidden="1"/>
    <cacheHierarchy uniqueName="[Measures].[LYDCStockCostUSD]" caption="LYDCStockCostUSD" measure="1" displayFolder="02_LY\USD" measureGroup="StockDC" count="0" hidden="1"/>
    <cacheHierarchy uniqueName="[Measures].[LYDCTRNStockCostUSD]" caption="LYDCTRNStockCostUSD" measure="1" displayFolder="02_LY\USD" measureGroup="StockDC" count="0" hidden="1"/>
    <cacheHierarchy uniqueName="[Measures].[LYDCCUSStockCostUSD]" caption="LYDCCUSStockCostUSD" measure="1" displayFolder="02_LY\USD" measureGroup="StockDC" count="0" hidden="1"/>
    <cacheHierarchy uniqueName="[Measures].[DCOTHStockUnit]" caption="DCOTHStockUnit" measure="1" displayFolder="01_TY\_UNIT" measureGroup="StockDC" count="0" hidden="1"/>
    <cacheHierarchy uniqueName="[Measures].[DCOthStockCostLC]" caption="DCOthStockCostLC" measure="1" displayFolder="01_TY\LC" measureGroup="StockDC" count="0" hidden="1"/>
    <cacheHierarchy uniqueName="[Measures].[DCOTHStockCostTRY]" caption="DCOTHStockCostTRY" measure="1" displayFolder="01_TY\TRY" measureGroup="StockDC" count="0" hidden="1"/>
    <cacheHierarchy uniqueName="[Measures].[DCOTHStockCostUSD]" caption="DCOTHStockCostUSD" measure="1" displayFolder="01_TY\USD" measureGroup="StockDC" count="0" hidden="1"/>
    <cacheHierarchy uniqueName="[Measures].[LYDCOTHStockUnit]" caption="LYDCOTHStockUnit" measure="1" displayFolder="02_LY\_UNIT" measureGroup="StockDC" count="0" hidden="1"/>
    <cacheHierarchy uniqueName="[Measures].[LYDCOTHStockCostLC]" caption="LYDCOTHStockCostLC" measure="1" displayFolder="02_LY\LC" measureGroup="StockDC" count="0" hidden="1"/>
    <cacheHierarchy uniqueName="[Measures].[LYDCOTHStockCostTRY]" caption="LYDCOTHStockCostTRY" measure="1" displayFolder="02_LY\TRY" measureGroup="StockDC" count="0" hidden="1"/>
    <cacheHierarchy uniqueName="[Measures].[LYDCOTHStockCostUSD]" caption="LYDCOTHStockCostUSD" measure="1" displayFolder="02_LY\USD" measureGroup="StockDC" count="0" hidden="1"/>
    <cacheHierarchy uniqueName="[Measures].[SumofStockUnit]" caption="SumofStockUnit" measure="1" displayFolder="01_TY\_UNIT" measureGroup="StockStore" count="0" hidden="1"/>
    <cacheHierarchy uniqueName="[Measures].[SumofTransitStockUnit]" caption="SumofTransitStockUnit" measure="1" displayFolder="01_TY\_UNIT" measureGroup="StockStore" count="0" hidden="1"/>
    <cacheHierarchy uniqueName="[Measures].[StoreStockCostLC]" caption="StoreStockCostLC" measure="1" displayFolder="01_TY\LC" measureGroup="StockStore" count="0" hidden="1"/>
    <cacheHierarchy uniqueName="[Measures].[StoreTransitStockCostLC]" caption="StoreTransitStockCostLC" measure="1" displayFolder="01_TY\LC" measureGroup="StockStore" count="0" hidden="1"/>
    <cacheHierarchy uniqueName="[Measures].[TyLFLSumofStockUnit]" caption="TyLFLSumofStockUnit" measure="1" displayFolder="02_TYLFL\_UNIT" measureGroup="StockStore" count="0" hidden="1"/>
    <cacheHierarchy uniqueName="[Measures].[TyLFLSumofTransitStockUnit]" caption="TyLFLSumofTransitStockUnit" measure="1" displayFolder="02_TYLFL\_UNIT" measureGroup="StockStore" count="0" hidden="1"/>
    <cacheHierarchy uniqueName="[Measures].[TYlfl StoreStockCostLC]" caption="TYlfl StoreStockCostLC" measure="1" displayFolder="02_TYLFL\LC" measureGroup="StockStore" count="0" hidden="1"/>
    <cacheHierarchy uniqueName="[Measures].[TYlfl StoreTransitStockCostLC]" caption="TYlfl StoreTransitStockCostLC" measure="1" displayFolder="02_TYLFL\LC" measureGroup="StockStore" count="0" hidden="1"/>
    <cacheHierarchy uniqueName="[Measures].[StoreStockCostTRY]" caption="StoreStockCostTRY" measure="1" displayFolder="01_TY\TRY" measureGroup="StockStore" count="0" hidden="1"/>
    <cacheHierarchy uniqueName="[Measures].[StoreTransitStockCostTRY]" caption="StoreTransitStockCostTRY" measure="1" displayFolder="01_TY\TRY" measureGroup="StockStore" count="0" hidden="1"/>
    <cacheHierarchy uniqueName="[Measures].[StoreStockCostUSD]" caption="StoreStockCostUSD" measure="1" displayFolder="01_TY\USD" measureGroup="StockStore" count="0" hidden="1"/>
    <cacheHierarchy uniqueName="[Measures].[StoreTransitStockCostUSD]" caption="StoreTransitStockCostUSD" measure="1" displayFolder="01_TY\USD" measureGroup="StockStore" count="0" hidden="1"/>
    <cacheHierarchy uniqueName="[Measures].[TYLFL StoreStockCostTRY]" caption="TYLFL StoreStockCostTRY" measure="1" displayFolder="02_TYLFL\TRY" measureGroup="StockStore" count="0" hidden="1"/>
    <cacheHierarchy uniqueName="[Measures].[TYLFL StoreTransitStockCostTRY]" caption="TYLFL StoreTransitStockCostTRY" measure="1" displayFolder="02_TYLFL\TRY" measureGroup="StockStore" count="0" hidden="1"/>
    <cacheHierarchy uniqueName="[Measures].[TYLFL StoreStockCostUSD]" caption="TYLFL StoreStockCostUSD" measure="1" displayFolder="02_TYLFL\USD" measureGroup="StockStore" count="0" hidden="1"/>
    <cacheHierarchy uniqueName="[Measures].[TYLFL StoreTransitStockCostUSD]" caption="TYLFL StoreTransitStockCostUSD" measure="1" displayFolder="02_TYLFL\USD" measureGroup="StockStore" count="0" hidden="1"/>
    <cacheHierarchy uniqueName="[Measures].[LYSumofStockUnit]" caption="LYSumofStockUnit" measure="1" displayFolder="03_LY\_UNIT" measureGroup="StockStore" count="0" hidden="1"/>
    <cacheHierarchy uniqueName="[Measures].[LYSumofTransitStockUnit]" caption="LYSumofTransitStockUnit" measure="1" displayFolder="03_LY\_UNIT" measureGroup="StockStore" count="0" hidden="1"/>
    <cacheHierarchy uniqueName="[Measures].[LYStoreStockCostLC]" caption="LYStoreStockCostLC" measure="1" displayFolder="03_LY\LC" measureGroup="StockStore" count="0" hidden="1"/>
    <cacheHierarchy uniqueName="[Measures].[LYStoreTransitStockCostLC]" caption="LYStoreTransitStockCostLC" measure="1" displayFolder="03_LY\LC" measureGroup="StockStore" count="0" hidden="1"/>
    <cacheHierarchy uniqueName="[Measures].[LYStoreStockCostTRY]" caption="LYStoreStockCostTRY" measure="1" displayFolder="03_LY\TRY" measureGroup="StockStore" count="0" hidden="1"/>
    <cacheHierarchy uniqueName="[Measures].[LYStoreTransitStockCostTRY]" caption="LYStoreTransitStockCostTRY" measure="1" displayFolder="03_LY\TRY" measureGroup="StockStore" count="0" hidden="1"/>
    <cacheHierarchy uniqueName="[Measures].[LYStoreStockCostUSD]" caption="LYStoreStockCostUSD" measure="1" displayFolder="03_LY\USD" measureGroup="StockStore" count="0" hidden="1"/>
    <cacheHierarchy uniqueName="[Measures].[LYStoreTransitStockCostUSD]" caption="LYStoreTransitStockCostUSD" measure="1" displayFolder="03_LY\USD" measureGroup="StockStore" count="0" hidden="1"/>
    <cacheHierarchy uniqueName="[Measures].[LyLFLSumofStockUnit]" caption="LyLFLSumofStockUnit" measure="1" displayFolder="04_LYLFL\_UNIT" measureGroup="StockStore" count="0" hidden="1"/>
    <cacheHierarchy uniqueName="[Measures].[LyLFLSumofTransitStockUnit]" caption="LyLFLSumofTransitStockUnit" measure="1" displayFolder="04_LYLFL\_UNIT" measureGroup="StockStore" count="0" hidden="1"/>
    <cacheHierarchy uniqueName="[Measures].[LYlfl StoreStockCostLC]" caption="LYlfl StoreStockCostLC" measure="1" displayFolder="04_LYLFL\LC" measureGroup="StockStore" count="0" hidden="1"/>
    <cacheHierarchy uniqueName="[Measures].[LYlfl StoreTransitStockCostLC]" caption="LYlfl StoreTransitStockCostLC" measure="1" displayFolder="04_LYLFL\LC" measureGroup="StockStore" count="0" hidden="1"/>
    <cacheHierarchy uniqueName="[Measures].[LYLFL StoreStockCostTRY]" caption="LYLFL StoreStockCostTRY" measure="1" displayFolder="04_LYLFL\TRY" measureGroup="StockStore" count="0" hidden="1"/>
    <cacheHierarchy uniqueName="[Measures].[LYLFL StoreTransitStockCostTRY]" caption="LYLFL StoreTransitStockCostTRY" measure="1" displayFolder="04_LYLFL\TRY" measureGroup="StockStore" count="0" hidden="1"/>
    <cacheHierarchy uniqueName="[Measures].[LYLFL StoreStockCostUSD]" caption="LYLFL StoreStockCostUSD" measure="1" displayFolder="04_LYLFL\USD" measureGroup="StockStore" count="0" hidden="1"/>
    <cacheHierarchy uniqueName="[Measures].[LYLFL StoreTransitStockCostUSD]" caption="LYLFL StoreTransitStockCostUSD" measure="1" displayFolder="04_LYLFL\USD" measureGroup="StockStore" count="0" hidden="1"/>
    <cacheHierarchy uniqueName="[Measures].[RoEcomStok]" caption="RoEcomStok" measure="1" displayFolder="" measureGroup="StockStore" count="0" hidden="1"/>
    <cacheHierarchy uniqueName="[Measures].[laststokdate]" caption="laststokdate" measure="1" displayFolder="" measureGroup="StockStore" count="0" hidden="1"/>
    <cacheHierarchy uniqueName="[Measures].[SumofOtherStockUnit]" caption="SumofOtherStockUnit" measure="1" displayFolder="" measureGroup="StockStore" count="0" hidden="1"/>
    <cacheHierarchy uniqueName="[Measures].[TyLFLSumofOtherStockUnit]" caption="TyLFLSumofOtherStockUnit" measure="1" displayFolder="" measureGroup="StockStore" count="0" hidden="1"/>
    <cacheHierarchy uniqueName="[Measures].[LYSumofOtherStockUnit]" caption="LYSumofOtherStockUnit" measure="1" displayFolder="" measureGroup="StockStore" count="0" hidden="1"/>
    <cacheHierarchy uniqueName="[Measures].[LyLFLSumofOtherStockUnit]" caption="LyLFLSumofOtherStockUnit" measure="1" displayFolder="" measureGroup="StockStore" count="0" hidden="1"/>
    <cacheHierarchy uniqueName="[Measures].[StoreOtherStockCostTRY]" caption="StoreOtherStockCostTRY" measure="1" displayFolder="" measureGroup="StockStore" count="0" hidden="1"/>
    <cacheHierarchy uniqueName="[Measures].[StoreOtherStockCostLC]" caption="StoreOtherStockCostLC" measure="1" displayFolder="" measureGroup="StockStore" count="0" hidden="1"/>
    <cacheHierarchy uniqueName="[Measures].[StoreOtherStockCostUSD]" caption="StoreOtherStockCostUSD" measure="1" displayFolder="" measureGroup="StockStore" count="0" hidden="1"/>
    <cacheHierarchy uniqueName="[Measures].[Salable Stock Unit]" caption="Salable Stock Unit" measure="1" displayFolder="" measureGroup="StockStore" count="0" hidden="1"/>
    <cacheHierarchy uniqueName="[Measures].[LYStoreOtherStockCostLC]" caption="LYStoreOtherStockCostLC" measure="1" displayFolder="" measureGroup="StockStore" count="0" hidden="1"/>
    <cacheHierarchy uniqueName="[Measures].[LYStoreOtherStockCostTRY]" caption="LYStoreOtherStockCostTRY" measure="1" displayFolder="" measureGroup="StockStore" count="0" hidden="1"/>
    <cacheHierarchy uniqueName="[Measures].[LYStoreOtherStockCostUSD]" caption="LYStoreOtherStockCostUSD" measure="1" displayFolder="" measureGroup="StockStore" count="0" hidden="1"/>
    <cacheHierarchy uniqueName="[Measures].[Copy of CUR Open Transfer Store Stock Unit]" caption="Copy of CUR Open Transfer Store Stock Unit" measure="1" displayFolder="" measureGroup="StockStore" count="0" hidden="1"/>
    <cacheHierarchy uniqueName="[Measures].[SumofStockUnitDm3]" caption="SumofStockUnitDm3" measure="1" displayFolder="" measureGroup="StockStore" count="0" hidden="1"/>
    <cacheHierarchy uniqueName="[Measures].[SumofTransitStockUnitDm3]" caption="SumofTransitStockUnitDm3" measure="1" displayFolder="" measureGroup="StockStore" count="0" hidden="1"/>
    <cacheHierarchy uniqueName="[Measures].[TY CSP Sales Value VAT LC]" caption="TY CSP Sales Value VAT LC" measure="1" displayFolder="01_TY\LC" measureGroup="Sales" count="0" hidden="1"/>
    <cacheHierarchy uniqueName="[Measures].[TY CSP Sales Value LC]" caption="TY CSP Sales Value LC" measure="1" displayFolder="01_TY\LC" measureGroup="Sales" count="0" hidden="1"/>
    <cacheHierarchy uniqueName="[Measures].[TY CSP Sales Value VAT TRY]" caption="TY CSP Sales Value VAT TRY" measure="1" displayFolder="01_TY\TRY" measureGroup="Sales" count="0" hidden="1"/>
    <cacheHierarchy uniqueName="[Measures].[TY CSP Sales Value TRY]" caption="TY CSP Sales Value TRY" measure="1" displayFolder="01_TY\TRY" measureGroup="Sales" count="0" hidden="1"/>
    <cacheHierarchy uniqueName="[Measures].[LY CSP Sales Value VAT LC]" caption="LY CSP Sales Value VAT LC" measure="1" displayFolder="03_LY\LC" measureGroup="Sales" count="0" hidden="1"/>
    <cacheHierarchy uniqueName="[Measures].[LY CSP Sales Value LC]" caption="LY CSP Sales Value LC" measure="1" displayFolder="03_LY\LC" measureGroup="Sales" count="0" hidden="1"/>
    <cacheHierarchy uniqueName="[Measures].[TY LFL CSP Sales Value VAT LC]" caption="TY LFL CSP Sales Value VAT LC" measure="1" displayFolder="02_TYLFL\LC" measureGroup="Sales" count="0" hidden="1"/>
    <cacheHierarchy uniqueName="[Measures].[TY LFL CSP Sales Value LC]" caption="TY LFL CSP Sales Value LC" measure="1" displayFolder="02_TYLFL\LC" measureGroup="Sales" count="0" hidden="1"/>
    <cacheHierarchy uniqueName="[Measures].[TY CSP Sales Value VAT USD]" caption="TY CSP Sales Value VAT USD" measure="1" displayFolder="01_TY\USD" measureGroup="Sales" count="0" hidden="1"/>
    <cacheHierarchy uniqueName="[Measures].[TY CSP Sales Value USD]" caption="TY CSP Sales Value USD" measure="1" displayFolder="01_TY\USD" measureGroup="Sales" count="0" hidden="1"/>
    <cacheHierarchy uniqueName="[Measures].[TY LFL CSP Sales Value VAT TRY]" caption="TY LFL CSP Sales Value VAT TRY" measure="1" displayFolder="02_TYLFL\TRY" measureGroup="Sales" count="0" hidden="1"/>
    <cacheHierarchy uniqueName="[Measures].[TY LFL CSP Sales Value TRY]" caption="TY LFL CSP Sales Value TRY" measure="1" displayFolder="02_TYLFL\TRY" measureGroup="Sales" count="0" hidden="1"/>
    <cacheHierarchy uniqueName="[Measures].[TY LFL CSP Sales Value VAT USD]" caption="TY LFL CSP Sales Value VAT USD" measure="1" displayFolder="02_TYLFL\USD" measureGroup="Sales" count="0" hidden="1"/>
    <cacheHierarchy uniqueName="[Measures].[TY LFL CSP Sales Value USD]" caption="TY LFL CSP Sales Value USD" measure="1" displayFolder="02_TYLFL\USD" measureGroup="Sales" count="0" hidden="1"/>
    <cacheHierarchy uniqueName="[Measures].[LY CSP Sales Value VAT TRY]" caption="LY CSP Sales Value VAT TRY" measure="1" displayFolder="03_LY\TRY" measureGroup="Sales" count="0" hidden="1"/>
    <cacheHierarchy uniqueName="[Measures].[LY CSP Sales Value TRY]" caption="LY CSP Sales Value TRY" measure="1" displayFolder="03_LY\TRY" measureGroup="Sales" count="0" hidden="1"/>
    <cacheHierarchy uniqueName="[Measures].[LY CSP Sales Value VAT USD]" caption="LY CSP Sales Value VAT USD" measure="1" displayFolder="03_LY\USD" measureGroup="Sales" count="0" hidden="1"/>
    <cacheHierarchy uniqueName="[Measures].[LY CSP Sales Value USD]" caption="LY CSP Sales Value USD" measure="1" displayFolder="03_LY\USD" measureGroup="Sales" count="0" hidden="1"/>
    <cacheHierarchy uniqueName="[Measures].[LY LFL CSP Sales Value VAT LC]" caption="LY LFL CSP Sales Value VAT LC" measure="1" displayFolder="04_LYLFL\LC" measureGroup="Sales" count="0" hidden="1"/>
    <cacheHierarchy uniqueName="[Measures].[LY LFL CSP Sales Value LC]" caption="LY LFL CSP Sales Value LC" measure="1" displayFolder="04_LYLFL\LC" measureGroup="Sales" count="0" hidden="1"/>
    <cacheHierarchy uniqueName="[Measures].[LY LFL CSP Sales Value VAT TRY]" caption="LY LFL CSP Sales Value VAT TRY" measure="1" displayFolder="04_LYLFL\TRY" measureGroup="Sales" count="0" hidden="1"/>
    <cacheHierarchy uniqueName="[Measures].[LY LFL CSP Sales Value TRY]" caption="LY LFL CSP Sales Value TRY" measure="1" displayFolder="04_LYLFL\TRY" measureGroup="Sales" count="0" hidden="1"/>
    <cacheHierarchy uniqueName="[Measures].[LY LFL CSP Sales Value VAT USD]" caption="LY LFL CSP Sales Value VAT USD" measure="1" displayFolder="04_LYLFL\USD" measureGroup="Sales" count="0" hidden="1"/>
    <cacheHierarchy uniqueName="[Measures].[LY LFL CSP Sales Value USD]" caption="LY LFL CSP Sales Value USD" measure="1" displayFolder="04_LYLFL\USD" measureGroup="Sales" count="0" hidden="1"/>
    <cacheHierarchy uniqueName="[Measures].[TY Unit CSP LC]" caption="TY Unit CSP LC" measure="1" displayFolder="01_TY\LC" measureGroup="Sales" count="0" hidden="1"/>
    <cacheHierarchy uniqueName="[Measures].[LY Unit CSP LC]" caption="LY Unit CSP LC" measure="1" displayFolder="03_LY\LC" measureGroup="Sales" count="0" hidden="1"/>
    <cacheHierarchy uniqueName="[Measures].[TY LFL Unit CSP LC]" caption="TY LFL Unit CSP LC" measure="1" displayFolder="02_TYLFL\LC" measureGroup="Sales" count="0" hidden="1"/>
    <cacheHierarchy uniqueName="[Measures].[LY LFL Unit CSP LC]" caption="LY LFL Unit CSP LC" measure="1" displayFolder="04_LYLFL\LC" measureGroup="Sales" count="0" hidden="1"/>
    <cacheHierarchy uniqueName="[Measures].[TY Unit CSP TRY]" caption="TY Unit CSP TRY" measure="1" displayFolder="01_TY\TRY" measureGroup="Sales" count="0" hidden="1"/>
    <cacheHierarchy uniqueName="[Measures].[LY Unit CSP TRY]" caption="LY Unit CSP TRY" measure="1" displayFolder="03_LY\TRY" measureGroup="Sales" count="0" hidden="1"/>
    <cacheHierarchy uniqueName="[Measures].[TY LFL Unit CSPTRY]" caption="TY LFL Unit CSPTRY" measure="1" displayFolder="02_TYLFL\TRY" measureGroup="Sales" count="0" hidden="1"/>
    <cacheHierarchy uniqueName="[Measures].[LY LFL Unit CSP TRY]" caption="LY LFL Unit CSP TRY" measure="1" displayFolder="04_LYLFL\TRY" measureGroup="Sales" count="0" hidden="1"/>
    <cacheHierarchy uniqueName="[Measures].[TY Unit CSP USD]" caption="TY Unit CSP USD" measure="1" displayFolder="01_TY\USD" measureGroup="Sales" count="0" hidden="1"/>
    <cacheHierarchy uniqueName="[Measures].[LY Unit CSP USD]" caption="LY Unit CSP USD" measure="1" displayFolder="03_LY\USD" measureGroup="Sales" count="0" hidden="1"/>
    <cacheHierarchy uniqueName="[Measures].[TY LFL Unit CSP USD]" caption="TY LFL Unit CSP USD" measure="1" displayFolder="02_TYLFL\USD" measureGroup="Sales" count="0" hidden="1"/>
    <cacheHierarchy uniqueName="[Measures].[SumofSalesUnitDm3]" caption="SumofSalesUnitDm3" measure="1" displayFolder="" measureGroup="Sales" count="0" hidden="1"/>
    <cacheHierarchy uniqueName="[Measures].[TY Store Cover Unit]" caption="TY Store Cover Unit" measure="1" displayFolder="01_TY\_UNIT" measureGroup="KPI" count="0" hidden="1"/>
    <cacheHierarchy uniqueName="[Measures].[TY Store Cover LC]" caption="TY Store Cover LC" measure="1" displayFolder="01_TY\LC" measureGroup="KPI" count="0" hidden="1"/>
    <cacheHierarchy uniqueName="[Measures].[TY Store Cover TRY]" caption="TY Store Cover TRY" measure="1" displayFolder="01_TY\TRY" measureGroup="KPI" count="0" hidden="1"/>
    <cacheHierarchy uniqueName="[Measures].[TY Store Cover USD]" caption="TY Store Cover USD" measure="1" displayFolder="01_TY\USD" measureGroup="KPI" count="0" hidden="1"/>
    <cacheHierarchy uniqueName="[Measures].[LY Store Cover LC]" caption="LY Store Cover LC" measure="1" displayFolder="03_LY\LC" measureGroup="KPI" count="0" hidden="1"/>
    <cacheHierarchy uniqueName="[Measures].[LY Store Cover TRY]" caption="LY Store Cover TRY" measure="1" displayFolder="03_LY\TRY" measureGroup="KPI" count="0" hidden="1"/>
    <cacheHierarchy uniqueName="[Measures].[LY Store Cover USD]" caption="LY Store Cover USD" measure="1" displayFolder="03_LY\USD" measureGroup="KPI" count="0" hidden="1"/>
    <cacheHierarchy uniqueName="[Measures].[TY LFL Store Cover LC]" caption="TY LFL Store Cover LC" measure="1" displayFolder="02_TYLFL\LC" measureGroup="KPI" count="0" hidden="1"/>
    <cacheHierarchy uniqueName="[Measures].[TY LFL Store Cover TRY]" caption="TY LFL Store Cover TRY" measure="1" displayFolder="02_TYLFL\TRY" measureGroup="KPI" count="0" hidden="1"/>
    <cacheHierarchy uniqueName="[Measures].[TY LFL Store Cover USD]" caption="TY LFL Store Cover USD" measure="1" displayFolder="02_TYLFL\USD" measureGroup="KPI" count="0" hidden="1"/>
    <cacheHierarchy uniqueName="[Measures].[LY LFL Store Cover LC]" caption="LY LFL Store Cover LC" measure="1" displayFolder="04_LYLFL\LC" measureGroup="KPI" count="0" hidden="1"/>
    <cacheHierarchy uniqueName="[Measures].[LY LFL Store Cover TRY]" caption="LY LFL Store Cover TRY" measure="1" displayFolder="04_LYLFL\TRY" measureGroup="KPI" count="0" hidden="1"/>
    <cacheHierarchy uniqueName="[Measures].[LY LFL Store Cover USD]" caption="LY LFL Store Cover USD" measure="1" displayFolder="04_LYLFL\USD" measureGroup="KPI" count="0" hidden="1"/>
    <cacheHierarchy uniqueName="[Measures].[LY Store Cover Unit]" caption="LY Store Cover Unit" measure="1" displayFolder="03_LY\_UNIT" measureGroup="KPI" count="0" hidden="1"/>
    <cacheHierarchy uniqueName="[Measures].[TY LFL Store Cover Unit]" caption="TY LFL Store Cover Unit" measure="1" displayFolder="02_TYLFL\_UNIT" measureGroup="KPI" count="0" hidden="1"/>
    <cacheHierarchy uniqueName="[Measures].[LY LFL Store Cover Unit]" caption="LY LFL Store Cover Unit" measure="1" displayFolder="04_LYLFL\_UNIT" measureGroup="KPI" count="0" hidden="1"/>
    <cacheHierarchy uniqueName="[Measures].[Store Cover Unit TYvsLY%]" caption="Store Cover Unit TYvsLY%" measure="1" displayFolder="01_TY\_UNIT" measureGroup="KPI" count="0" hidden="1"/>
    <cacheHierarchy uniqueName="[Measures].[LFL Store Cover Unit TYvsLY%]" caption="LFL Store Cover Unit TYvsLY%" measure="1" displayFolder="02_TYLFL\_UNIT" measureGroup="KPI" count="0" hidden="1"/>
    <cacheHierarchy uniqueName="[Measures].[TY Country Back Cover Unit TR]" caption="TY Country Back Cover Unit TR" measure="1" displayFolder="" measureGroup="KPI" count="0" hidden="1"/>
    <cacheHierarchy uniqueName="[Measures].[TY Country Back Cover Unit YD]" caption="TY Country Back Cover Unit YD" measure="1" displayFolder="" measureGroup="KPI" count="0" hidden="1"/>
    <cacheHierarchy uniqueName="[Measures].[TY SKU Count by Store Stock]" caption="TY SKU Count by Store Stock" measure="1" displayFolder="01_TY\_UNIT" measureGroup="KPI" count="0" hidden="1"/>
    <cacheHierarchy uniqueName="[Measures].[LY SKU Count by Store Stock]" caption="LY SKU Count by Store Stock" measure="1" displayFolder="03_LY\_UNIT" measureGroup="KPI" count="0" hidden="1"/>
    <cacheHierarchy uniqueName="[Measures].[TY LFL SKU Count by Store Stock]" caption="TY LFL SKU Count by Store Stock" measure="1" displayFolder="02_TYLFL\_UNIT" measureGroup="KPI" count="0" hidden="1"/>
    <cacheHierarchy uniqueName="[Measures].[LY LFL SKU Count by Store Stock]" caption="LY LFL SKU Count by Store Stock" measure="1" displayFolder="04_LYLFL\_UNIT" measureGroup="KPI" count="0" hidden="1"/>
    <cacheHierarchy uniqueName="[Measures].[CUR Store Count by Total Stock]" caption="CUR Store Count by Total Stock" measure="1" displayFolder="01_TY\_UNIT" measureGroup="KPI" count="0" hidden="1"/>
    <cacheHierarchy uniqueName="[Measures].[Last 21Days TY Sales Unit]" caption="Last 21Days TY Sales Unit" measure="1" displayFolder="LASTN" measureGroup="KPI" count="0" hidden="1"/>
    <cacheHierarchy uniqueName="[Measures].[PO Unit Total]" caption="PO Unit Total" measure="1" displayFolder="" measureGroup="PurchaseOrder" count="0" hidden="1"/>
    <cacheHierarchy uniqueName="[Measures].[PO Unit Running Total 30 Days]" caption="PO Unit Running Total 30 Days" measure="1" displayFolder="" measureGroup="PurchaseOrder" count="0" hidden="1"/>
    <cacheHierarchy uniqueName="[Measures].[PO Unit Last 30 Days Total]" caption="PO Unit Last 30 Days Total" measure="1" displayFolder="" measureGroup="PurchaseOrder" count="0" hidden="1"/>
    <cacheHierarchy uniqueName="[Measures].[Goods Receipt PO Unit Base]" caption="Goods Receipt PO Unit Base" measure="1" displayFolder="_UNIT" measureGroup="PurchaseOrder" count="0" hidden="1"/>
    <cacheHierarchy uniqueName="[Measures].[Goods Receipt PO Value LC Base]" caption="Goods Receipt PO Value LC Base" measure="1" displayFolder="_VALUE" measureGroup="PurchaseOrder" count="0" hidden="1"/>
    <cacheHierarchy uniqueName="[Measures].[Goods Receipt PO Value Navlun LC Base]" caption="Goods Receipt PO Value Navlun LC Base" measure="1" displayFolder="" measureGroup="PurchaseOrder" count="0" hidden="1"/>
    <cacheHierarchy uniqueName="[Measures].[Goods Receipt PO Value LC Old]" caption="Goods Receipt PO Value LC Old" measure="1" displayFolder="_VALUE" measureGroup="PurchaseOrder" count="0" hidden="1"/>
    <cacheHierarchy uniqueName="[Measures].[Goods Receipt PO Unit Base (WholeSale)]" caption="Goods Receipt PO Unit Base (WholeSale)" measure="1" displayFolder="" measureGroup="PurchaseOrder" count="0" hidden="1"/>
    <cacheHierarchy uniqueName="[Measures].[Goods Receipt PO Value Navlun LC Base (WholeSale)]" caption="Goods Receipt PO Value Navlun LC Base (WholeSale)" measure="1" displayFolder="" measureGroup="PurchaseOrder" count="0" hidden="1"/>
    <cacheHierarchy uniqueName="[Measures].[TyLFLSumofCapacityPlanUnit]" caption="TyLFLSumofCapacityPlanUnit" measure="1" displayFolder="" measureGroup="Capacity" count="0" hidden="1"/>
    <cacheHierarchy uniqueName="[Measures].[TySumofCapacityPlanUnit]" caption="TySumofCapacityPlanUnit" measure="1" displayFolder="" measureGroup="Capacity" count="0" hidden="1"/>
    <cacheHierarchy uniqueName="[Measures].[CUR Backstore Capacity Area]" caption="CUR Backstore Capacity Area" measure="1" displayFolder="00_CURRENT\_UNIT" measureGroup="Capacity" count="0" hidden="1"/>
    <cacheHierarchy uniqueName="[Measures].[TySumofCapacityPlanCostLC]" caption="TySumofCapacityPlanCostLC" measure="1" displayFolder="" measureGroup="Capacity" count="0" hidden="1"/>
    <cacheHierarchy uniqueName="[Measures].[TyLFLSumofCapacityPlanCostLC]" caption="TyLFLSumofCapacityPlanCostLC" measure="1" displayFolder="" measureGroup="Capacity" count="0" hidden="1"/>
    <cacheHierarchy uniqueName="[Measures].[CUR NET Cumulative Stock DM3]" caption="CUR NET Cumulative Stock DM3" measure="1" displayFolder="" measureGroup="Capacity" count="0" hidden="1"/>
    <cacheHierarchy uniqueName="Unsupported0" caption="Date" measure="1" count="0">
      <extLst>
        <ext xmlns:x14="http://schemas.microsoft.com/office/spreadsheetml/2009/9/main" uri="{8CF416AD-EC4C-4aba-99F5-12A058AE0983}">
          <x14:cacheHierarchy ignore="1"/>
        </ext>
      </extLst>
    </cacheHierarchy>
    <cacheHierarchy uniqueName="Unsupported1" caption="Date" measure="1" count="0">
      <extLst>
        <ext xmlns:x14="http://schemas.microsoft.com/office/spreadsheetml/2009/9/main" uri="{8CF416AD-EC4C-4aba-99F5-12A058AE0983}">
          <x14:cacheHierarchy ignore="1"/>
        </ext>
      </extLst>
    </cacheHierarchy>
    <cacheHierarchy uniqueName="Unsupported2" caption="Date" measure="1" count="0">
      <extLst>
        <ext xmlns:x14="http://schemas.microsoft.com/office/spreadsheetml/2009/9/main" uri="{8CF416AD-EC4C-4aba-99F5-12A058AE0983}">
          <x14:cacheHierarchy ignore="1"/>
        </ext>
      </extLst>
    </cacheHierarchy>
    <cacheHierarchy uniqueName="Unsupported3" caption="Date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3">
    <dimension name="Calendar" uniqueName="[Calendar]" caption="Calendar"/>
    <dimension name="DCWarehouse" uniqueName="[DCWarehouse]" caption="DCWarehouse"/>
    <dimension name="Delivery" uniqueName="[Delivery]" caption="Delivery"/>
    <dimension name="ISPUnitPrice" uniqueName="[ISPUnitPrice]" caption="ISPUnitPrice"/>
    <dimension name="Material" uniqueName="[Material]" caption="Material"/>
    <dimension measure="1" name="Measures" uniqueName="[Measures]" caption="Measures"/>
    <dimension name="SalesBudget" uniqueName="[SalesBudget]" caption="SalesBudget"/>
    <dimension name="SalesChannel" uniqueName="[SalesChannel]" caption="SalesChannel"/>
    <dimension name="SalesSeason" uniqueName="[SalesSeason]" caption="SalesSeason"/>
    <dimension name="StockList" uniqueName="[StockList]" caption="StockList"/>
    <dimension name="Store" uniqueName="[Store]" caption="Store"/>
    <dimension name="StoreLFLStatu" uniqueName="[StoreLFLStatu]" caption="StoreLFLStatu"/>
    <dimension name="SubDistChannel" uniqueName="[SubDistChannel]" caption="SubDistChannel"/>
  </dimensions>
  <measureGroups count="35">
    <measureGroup name="Calendar" caption="Calendar"/>
    <measureGroup name="Capacity" caption="Capacity"/>
    <measureGroup name="CapacityPlanTY" caption="CapacityPlanTY"/>
    <measureGroup name="CurrentStockSales" caption="CurrentStockSales"/>
    <measureGroup name="CurrentStockStore" caption="CurrentStockStore"/>
    <measureGroup name="DCWarehouse" caption="DCWarehouse"/>
    <measureGroup name="Delivery" caption="Delivery"/>
    <measureGroup name="ISPUnitPrice" caption="ISPUnitPrice"/>
    <measureGroup name="KPI" caption="KPI"/>
    <measureGroup name="LFLDate" caption="LFLDate"/>
    <measureGroup name="Material" caption="Material"/>
    <measureGroup name="OpenImportsDCStock" caption="OpenImportsDCStock"/>
    <measureGroup name="OpenImportsStoreStock" caption="OpenImportsStoreStock"/>
    <measureGroup name="PurchaseOrder" caption="PurchaseOrder"/>
    <measureGroup name="PurchaseOrderGR" caption="PurchaseOrderGR"/>
    <measureGroup name="Sales" caption="Sales"/>
    <measureGroup name="SalesBudget" caption="SalesBudget"/>
    <measureGroup name="SalesBudgetLY" caption="SalesBudgetLY"/>
    <measureGroup name="SalesChannel" caption="SalesChannel"/>
    <measureGroup name="SalesLY" caption="SalesLY"/>
    <measureGroup name="SalesSeason" caption="SalesSeason"/>
    <measureGroup name="SalesTY" caption="SalesTY"/>
    <measureGroup name="StockDC" caption="StockDC"/>
    <measureGroup name="StockDCLY" caption="StockDCLY"/>
    <measureGroup name="StockList" caption="StockList"/>
    <measureGroup name="StockStore" caption="StockStore"/>
    <measureGroup name="StockStoreLY" caption="StockStoreLY"/>
    <measureGroup name="Store" caption="Store"/>
    <measureGroup name="StoreCapacity" caption="StoreCapacity"/>
    <measureGroup name="StoreLFLStatu" caption="StoreLFLStatu"/>
    <measureGroup name="StoreTarget" caption="StoreTarget"/>
    <measureGroup name="StoreTargetLY" caption="StoreTargetLY"/>
    <measureGroup name="SubDistChannel" caption="SubDistChannel"/>
    <measureGroup name="Visitor" caption="Visitor"/>
    <measureGroup name="VisitorHourly" caption="VisitorHourly"/>
  </measureGroups>
  <maps count="130">
    <map measureGroup="0" dimension="0"/>
    <map measureGroup="1" dimension="0"/>
    <map measureGroup="1" dimension="4"/>
    <map measureGroup="1" dimension="7"/>
    <map measureGroup="1" dimension="8"/>
    <map measureGroup="1" dimension="10"/>
    <map measureGroup="1" dimension="11"/>
    <map measureGroup="1" dimension="12"/>
    <map measureGroup="2" dimension="0"/>
    <map measureGroup="2" dimension="4"/>
    <map measureGroup="2" dimension="7"/>
    <map measureGroup="2" dimension="12"/>
    <map measureGroup="3" dimension="4"/>
    <map measureGroup="3" dimension="10"/>
    <map measureGroup="4" dimension="3"/>
    <map measureGroup="4" dimension="4"/>
    <map measureGroup="4" dimension="7"/>
    <map measureGroup="4" dimension="10"/>
    <map measureGroup="4" dimension="12"/>
    <map measureGroup="5" dimension="1"/>
    <map measureGroup="6" dimension="0"/>
    <map measureGroup="6" dimension="2"/>
    <map measureGroup="6" dimension="4"/>
    <map measureGroup="7" dimension="3"/>
    <map measureGroup="9" dimension="0"/>
    <map measureGroup="9" dimension="7"/>
    <map measureGroup="9" dimension="12"/>
    <map measureGroup="10" dimension="4"/>
    <map measureGroup="11" dimension="1"/>
    <map measureGroup="11" dimension="4"/>
    <map measureGroup="11" dimension="9"/>
    <map measureGroup="12" dimension="4"/>
    <map measureGroup="12" dimension="7"/>
    <map measureGroup="12" dimension="9"/>
    <map measureGroup="12" dimension="10"/>
    <map measureGroup="12" dimension="12"/>
    <map measureGroup="13" dimension="0"/>
    <map measureGroup="13" dimension="1"/>
    <map measureGroup="13" dimension="4"/>
    <map measureGroup="13" dimension="7"/>
    <map measureGroup="13" dimension="8"/>
    <map measureGroup="13" dimension="11"/>
    <map measureGroup="13" dimension="12"/>
    <map measureGroup="14" dimension="0"/>
    <map measureGroup="14" dimension="1"/>
    <map measureGroup="14" dimension="4"/>
    <map measureGroup="14" dimension="7"/>
    <map measureGroup="14" dimension="8"/>
    <map measureGroup="14" dimension="11"/>
    <map measureGroup="14" dimension="12"/>
    <map measureGroup="16" dimension="0"/>
    <map measureGroup="16" dimension="4"/>
    <map measureGroup="16" dimension="6"/>
    <map measureGroup="16" dimension="7"/>
    <map measureGroup="16" dimension="12"/>
    <map measureGroup="17" dimension="0"/>
    <map measureGroup="17" dimension="4"/>
    <map measureGroup="17" dimension="7"/>
    <map measureGroup="17" dimension="12"/>
    <map measureGroup="18" dimension="7"/>
    <map measureGroup="18" dimension="12"/>
    <map measureGroup="19" dimension="0"/>
    <map measureGroup="19" dimension="3"/>
    <map measureGroup="19" dimension="4"/>
    <map measureGroup="19" dimension="7"/>
    <map measureGroup="19" dimension="8"/>
    <map measureGroup="19" dimension="10"/>
    <map measureGroup="19" dimension="11"/>
    <map measureGroup="19" dimension="12"/>
    <map measureGroup="20" dimension="8"/>
    <map measureGroup="21" dimension="0"/>
    <map measureGroup="21" dimension="3"/>
    <map measureGroup="21" dimension="4"/>
    <map measureGroup="21" dimension="7"/>
    <map measureGroup="21" dimension="8"/>
    <map measureGroup="21" dimension="10"/>
    <map measureGroup="21" dimension="11"/>
    <map measureGroup="21" dimension="12"/>
    <map measureGroup="22" dimension="0"/>
    <map measureGroup="22" dimension="1"/>
    <map measureGroup="22" dimension="3"/>
    <map measureGroup="22" dimension="4"/>
    <map measureGroup="22" dimension="8"/>
    <map measureGroup="23" dimension="0"/>
    <map measureGroup="23" dimension="1"/>
    <map measureGroup="23" dimension="3"/>
    <map measureGroup="23" dimension="4"/>
    <map measureGroup="23" dimension="8"/>
    <map measureGroup="24" dimension="9"/>
    <map measureGroup="25" dimension="0"/>
    <map measureGroup="25" dimension="3"/>
    <map measureGroup="25" dimension="4"/>
    <map measureGroup="25" dimension="7"/>
    <map measureGroup="25" dimension="8"/>
    <map measureGroup="25" dimension="10"/>
    <map measureGroup="25" dimension="11"/>
    <map measureGroup="25" dimension="12"/>
    <map measureGroup="26" dimension="0"/>
    <map measureGroup="26" dimension="3"/>
    <map measureGroup="26" dimension="4"/>
    <map measureGroup="26" dimension="7"/>
    <map measureGroup="26" dimension="8"/>
    <map measureGroup="26" dimension="10"/>
    <map measureGroup="26" dimension="11"/>
    <map measureGroup="26" dimension="12"/>
    <map measureGroup="27" dimension="10"/>
    <map measureGroup="28" dimension="4"/>
    <map measureGroup="28" dimension="7"/>
    <map measureGroup="28" dimension="8"/>
    <map measureGroup="28" dimension="10"/>
    <map measureGroup="28" dimension="11"/>
    <map measureGroup="28" dimension="12"/>
    <map measureGroup="29" dimension="11"/>
    <map measureGroup="30" dimension="0"/>
    <map measureGroup="30" dimension="7"/>
    <map measureGroup="30" dimension="10"/>
    <map measureGroup="30" dimension="12"/>
    <map measureGroup="31" dimension="0"/>
    <map measureGroup="31" dimension="7"/>
    <map measureGroup="31" dimension="10"/>
    <map measureGroup="31" dimension="12"/>
    <map measureGroup="32" dimension="7"/>
    <map measureGroup="32" dimension="12"/>
    <map measureGroup="33" dimension="0"/>
    <map measureGroup="33" dimension="10"/>
    <map measureGroup="33" dimension="11"/>
    <map measureGroup="34" dimension="0"/>
    <map measureGroup="34" dimension="7"/>
    <map measureGroup="34" dimension="10"/>
    <map measureGroup="34" dimension="1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ehmet Fatih Başol" refreshedDate="46063.389460879633" backgroundQuery="1" createdVersion="8" refreshedVersion="8" minRefreshableVersion="3" recordCount="0" supportSubquery="1" supportAdvancedDrill="1" xr:uid="{2B077060-CE01-457A-AEA1-BF4950F84BAB}">
  <cacheSource type="external" connectionId="2"/>
  <cacheFields count="29">
    <cacheField name="[SalesChannel].[SalesOrgType].[SalesOrgType]" caption="SalesOrgType" numFmtId="0" hierarchy="148" level="1">
      <sharedItems containsSemiMixedTypes="0" containsString="0"/>
    </cacheField>
    <cacheField name="[SalesChannel].[DistrubitionChannelDesc].[DistrubitionChannelDesc]" caption="DistrubitionChannelDesc" numFmtId="0" hierarchy="140" level="1">
      <sharedItems containsSemiMixedTypes="0" containsString="0"/>
    </cacheField>
    <cacheField name="[Measures].[TY Sales Unit]" caption="TY Sales Unit" numFmtId="0" hierarchy="853" level="32767"/>
    <cacheField name="[Measures].[TY Sales Value LC]" caption="TY Sales Value LC" numFmtId="0" hierarchy="855" level="32767"/>
    <cacheField name="[Measures].[TY Sales Cost LC]" caption="TY Sales Cost LC" numFmtId="0" hierarchy="857" level="32767"/>
    <cacheField name="[Measures].[TY Avg Store Stock Unit]" caption="TY Avg Store Stock Unit" numFmtId="0" hierarchy="760" level="32767"/>
    <cacheField name="[Measures].[TY Avg Store Transit Stock Unit]" caption="TY Avg Store Transit Stock Unit" numFmtId="0" hierarchy="761" level="32767"/>
    <cacheField name="[Calendar].[H_Merch].[MerchYear]" caption="MerchYear" numFmtId="0" hierarchy="6" level="1">
      <sharedItems containsSemiMixedTypes="0" containsString="0"/>
    </cacheField>
    <cacheField name="[Calendar].[H_Merch].[MerchYearMonthName]" caption="MerchYearMonthName" numFmtId="0" hierarchy="6" level="2">
      <sharedItems containsSemiMixedTypes="0" containsString="0"/>
    </cacheField>
    <cacheField name="[Calendar].[H_Merch].[MerchYearWeek]" caption="MerchYearWeek" numFmtId="0" hierarchy="6" level="3">
      <sharedItems containsSemiMixedTypes="0" containsString="0"/>
    </cacheField>
    <cacheField name="[Calendar].[H_Merch].[Date]" caption="Date" numFmtId="0" hierarchy="6" level="4">
      <sharedItems containsSemiMixedTypes="0" containsString="0"/>
    </cacheField>
    <cacheField name="[Store].[LocationCountry].[LocationCountry]" caption="LocationCountry" numFmtId="0" hierarchy="165" level="1">
      <sharedItems containsSemiMixedTypes="0" containsString="0"/>
    </cacheField>
    <cacheField name="[Calendar].[MerchWeek].[MerchWeek]" caption="MerchWeek" numFmtId="0" hierarchy="14" level="1">
      <sharedItems count="3">
        <s v="[Calendar].[MerchWeek].&amp;[5]" c="5"/>
        <s v="[Calendar].[MerchWeek].&amp;[6]" c="6"/>
        <s v="[Calendar].[MerchWeek].&amp;[7]" c="7"/>
      </sharedItems>
    </cacheField>
    <cacheField name="[Material].[H_MainGroup].[MainGroupDesc]" caption="MainGroupDesc" numFmtId="0" hierarchy="69" level="1">
      <sharedItems containsSemiMixedTypes="0" containsString="0"/>
    </cacheField>
    <cacheField name="[Material].[H_MainGroup].[SubGroupDesc]" caption="SubGroupDesc" numFmtId="0" hierarchy="69" level="2">
      <sharedItems containsSemiMixedTypes="0" containsString="0"/>
    </cacheField>
    <cacheField name="[Measures].[TY Gross Invoice Count]" caption="TY Gross Invoice Count" numFmtId="0" hierarchy="872" level="32767"/>
    <cacheField name="[Measures].[TY Invoice Count]" caption="TY Invoice Count" numFmtId="0" hierarchy="870" level="32767"/>
    <cacheField name="[Measures].[TY Return Invoice Count]" caption="TY Return Invoice Count" numFmtId="0" hierarchy="871" level="32767"/>
    <cacheField name="[Measures].[TY Avg DC Stock Unit]" caption="TY Avg DC Stock Unit" numFmtId="0" hierarchy="693" level="32767"/>
    <cacheField name="[SalesChannel].[H_SalesChannel].[SalesOrgType]" caption="SalesOrgType" numFmtId="0" hierarchy="142" level="1">
      <sharedItems containsSemiMixedTypes="0" containsString="0"/>
    </cacheField>
    <cacheField name="[SalesChannel].[H_SalesChannel].[CountryName]" caption="CountryName" numFmtId="0" hierarchy="142" level="2">
      <sharedItems containsSemiMixedTypes="0" containsString="0"/>
    </cacheField>
    <cacheField name="[SalesChannel].[H_SalesChannel].[DistrubitionChannelDesc]" caption="DistrubitionChannelDesc" numFmtId="0" hierarchy="142" level="3">
      <sharedItems containsSemiMixedTypes="0" containsString="0"/>
    </cacheField>
    <cacheField name="[Calendar].[LastNDays].[LastNDays]" caption="LastNDays" numFmtId="0" hierarchy="9" level="1">
      <sharedItems containsSemiMixedTypes="0" containsString="0"/>
    </cacheField>
    <cacheField name="[Calendar].[DayName].[DayName]" caption="DayName" numFmtId="0" hierarchy="2" level="1">
      <sharedItems count="7">
        <s v="[Calendar].[DayName].&amp;[Salı]" c="Salı"/>
        <s v="[Calendar].[DayName].&amp;[Çarşamba]" c="Çarşamba"/>
        <s v="[Calendar].[DayName].&amp;[Perşembe]" c="Perşembe"/>
        <s v="[Calendar].[DayName].&amp;[Cuma]" c="Cuma"/>
        <s v="[Calendar].[DayName].&amp;[Cumartesi]" c="Cumartesi"/>
        <s v="[Calendar].[DayName].&amp;[Pazar]" c="Pazar"/>
        <s v="[Calendar].[DayName].&amp;[Pazartesi]" c="Pazartesi"/>
      </sharedItems>
    </cacheField>
    <cacheField name="[Calendar].[Date].[Date]" caption="Date" numFmtId="0" level="1">
      <sharedItems count="14">
        <s v="[Calendar].[Date].&amp;[2026-01-27T00:00:00]" c="27.01.2026"/>
        <s v="[Calendar].[Date].&amp;[2026-01-28T00:00:00]" c="28.01.2026"/>
        <s v="[Calendar].[Date].&amp;[2026-01-29T00:00:00]" c="29.01.2026"/>
        <s v="[Calendar].[Date].&amp;[2026-01-30T00:00:00]" c="30.01.2026"/>
        <s v="[Calendar].[Date].&amp;[2026-01-31T00:00:00]" c="31.01.2026"/>
        <s v="[Calendar].[Date].&amp;[2026-02-01T00:00:00]" c="1.02.2026"/>
        <s v="[Calendar].[Date].&amp;[2026-02-02T00:00:00]" c="2.02.2026"/>
        <s v="[Calendar].[Date].&amp;[2026-02-03T00:00:00]" c="3.02.2026"/>
        <s v="[Calendar].[Date].&amp;[2026-02-04T00:00:00]" c="4.02.2026"/>
        <s v="[Calendar].[Date].&amp;[2026-02-05T00:00:00]" c="5.02.2026"/>
        <s v="[Calendar].[Date].&amp;[2026-02-06T00:00:00]" c="6.02.2026"/>
        <s v="[Calendar].[Date].&amp;[2026-02-07T00:00:00]" c="7.02.2026"/>
        <s v="[Calendar].[Date].&amp;[2026-02-08T00:00:00]" c="8.02.2026"/>
        <s v="[Calendar].[Date].&amp;[2026-02-09T00:00:00]" c="9.02.2026"/>
      </sharedItems>
    </cacheField>
    <cacheField name="[Measures].[TY Gross Marjin LC%]" caption="TY Gross Marjin LC%" numFmtId="0" hierarchy="1119" level="32767"/>
    <cacheField name="[Material].[MerchProduct].[MerchProduct]" caption="MerchProduct" numFmtId="0" hierarchy="100" level="1">
      <sharedItems containsSemiMixedTypes="0" containsString="0"/>
    </cacheField>
    <cacheField name="[SalesChannel].[CountryName].[CountryName]" caption="CountryName" numFmtId="0" hierarchy="138" level="1">
      <sharedItems containsSemiMixedTypes="0" containsString="0"/>
    </cacheField>
    <cacheField name="[Calendar].[MerchMonth].[MerchMonth]" caption="MerchMonth" numFmtId="0" hierarchy="12" level="1">
      <sharedItems containsSemiMixedTypes="0" containsString="0"/>
    </cacheField>
  </cacheFields>
  <cacheHierarchies count="1569">
    <cacheHierarchy uniqueName="[Calendar].[Date]" caption="Date" attribute="1" time="1" keyAttribute="1" defaultMemberUniqueName="[Calendar].[Date].[All]" allUniqueName="[Calendar].[Date].[All]" dimensionUniqueName="[Calendar]" displayFolder="" count="2" memberValueDatatype="7" unbalanced="0">
      <fieldsUsage count="2">
        <fieldUsage x="-1"/>
        <fieldUsage x="24"/>
      </fieldsUsage>
    </cacheHierarchy>
    <cacheHierarchy uniqueName="[Calendar].[DateID]" caption="DateID" attribute="1" time="1" defaultMemberUniqueName="[Calendar].[DateID].[All]" allUniqueName="[Calendar].[DateID].[All]" dimensionUniqueName="[Calendar]" displayFolder="" count="0" unbalanced="0"/>
    <cacheHierarchy uniqueName="[Calendar].[DayName]" caption="DayName" attribute="1" time="1" defaultMemberUniqueName="[Calendar].[DayName].[All]" allUniqueName="[Calendar].[DayName].[All]" dimensionUniqueName="[Calendar]" displayFolder="" count="2" unbalanced="0">
      <fieldsUsage count="2">
        <fieldUsage x="-1"/>
        <fieldUsage x="23"/>
      </fieldsUsage>
    </cacheHierarchy>
    <cacheHierarchy uniqueName="[Calendar].[DayOfMonth]" caption="DayOfMonth" attribute="1" time="1" defaultMemberUniqueName="[Calendar].[DayOfMonth].[All]" allUniqueName="[Calendar].[DayOfMonth].[All]" dimensionUniqueName="[Calendar]" displayFolder="Gregorian" count="0" unbalanced="0"/>
    <cacheHierarchy uniqueName="[Calendar].[DayOfWeek]" caption="DayOfWeek" attribute="1" time="1" defaultMemberUniqueName="[Calendar].[DayOfWeek].[All]" allUniqueName="[Calendar].[DayOfWeek].[All]" dimensionUniqueName="[Calendar]" displayFolder="Gregorian" count="0" unbalanced="0"/>
    <cacheHierarchy uniqueName="[Calendar].[H_Gregorian]" caption="H_Gregorian" time="1" defaultMemberUniqueName="[Calendar].[H_Gregorian].[All]" allUniqueName="[Calendar].[H_Gregorian].[All]" dimensionUniqueName="[Calendar]" displayFolder="" count="0" unbalanced="0"/>
    <cacheHierarchy uniqueName="[Calendar].[H_Merch]" caption="H_Merch" time="1" defaultMemberUniqueName="[Calendar].[H_Merch].[All]" allUniqueName="[Calendar].[H_Merch].[All]" dimensionUniqueName="[Calendar]" displayFolder="" count="5" unbalanced="0">
      <fieldsUsage count="5">
        <fieldUsage x="-1"/>
        <fieldUsage x="7"/>
        <fieldUsage x="8"/>
        <fieldUsage x="9"/>
        <fieldUsage x="10"/>
      </fieldsUsage>
    </cacheHierarchy>
    <cacheHierarchy uniqueName="[Calendar].[IsWeekend]" caption="IsWeekend" attribute="1" time="1" defaultMemberUniqueName="[Calendar].[IsWeekend].[All]" allUniqueName="[Calendar].[IsWeekend].[All]" dimensionUniqueName="[Calendar]" displayFolder="" count="0" unbalanced="0"/>
    <cacheHierarchy uniqueName="[Calendar].[Last7DaysPartSequence]" caption="Last7DaysPartSequence" attribute="1" time="1" defaultMemberUniqueName="[Calendar].[Last7DaysPartSequence].[All]" allUniqueName="[Calendar].[Last7DaysPartSequence].[All]" dimensionUniqueName="[Calendar]" displayFolder="" count="0" unbalanced="0"/>
    <cacheHierarchy uniqueName="[Calendar].[LastNDays]" caption="LastNDays" attribute="1" time="1" defaultMemberUniqueName="[Calendar].[LastNDays].[All]" allUniqueName="[Calendar].[LastNDays].[All]" dimensionUniqueName="[Calendar]" displayFolder="" count="2" unbalanced="0">
      <fieldsUsage count="2">
        <fieldUsage x="-1"/>
        <fieldUsage x="22"/>
      </fieldsUsage>
    </cacheHierarchy>
    <cacheHierarchy uniqueName="[Calendar].[LastNMonths]" caption="LastNMonths" attribute="1" time="1" defaultMemberUniqueName="[Calendar].[LastNMonths].[All]" allUniqueName="[Calendar].[LastNMonths].[All]" dimensionUniqueName="[Calendar]" displayFolder="" count="0" unbalanced="0"/>
    <cacheHierarchy uniqueName="[Calendar].[LastNWeeks]" caption="LastNWeeks" attribute="1" time="1" defaultMemberUniqueName="[Calendar].[LastNWeeks].[All]" allUniqueName="[Calendar].[LastNWeeks].[All]" dimensionUniqueName="[Calendar]" displayFolder="" count="0" unbalanced="0"/>
    <cacheHierarchy uniqueName="[Calendar].[MerchMonth]" caption="MerchMonth" attribute="1" time="1" defaultMemberUniqueName="[Calendar].[MerchMonth].[All]" allUniqueName="[Calendar].[MerchMonth].[All]" dimensionUniqueName="[Calendar]" displayFolder="Merch" count="2" unbalanced="0">
      <fieldsUsage count="2">
        <fieldUsage x="-1"/>
        <fieldUsage x="28"/>
      </fieldsUsage>
    </cacheHierarchy>
    <cacheHierarchy uniqueName="[Calendar].[MerchMonthName]" caption="MerchMonthName" attribute="1" time="1" defaultMemberUniqueName="[Calendar].[MerchMonthName].[All]" allUniqueName="[Calendar].[MerchMonthName].[All]" dimensionUniqueName="[Calendar]" displayFolder="Merch" count="0" unbalanced="0"/>
    <cacheHierarchy uniqueName="[Calendar].[MerchWeek]" caption="MerchWeek" attribute="1" time="1" defaultMemberUniqueName="[Calendar].[MerchWeek].[All]" allUniqueName="[Calendar].[MerchWeek].[All]" dimensionUniqueName="[Calendar]" displayFolder="Merch" count="2" unbalanced="0">
      <fieldsUsage count="2">
        <fieldUsage x="-1"/>
        <fieldUsage x="12"/>
      </fieldsUsage>
    </cacheHierarchy>
    <cacheHierarchy uniqueName="[Calendar].[MerchYear]" caption="MerchYear" attribute="1" time="1" defaultMemberUniqueName="[Calendar].[MerchYear].[All]" allUniqueName="[Calendar].[MerchYear].[All]" dimensionUniqueName="[Calendar]" displayFolder="Merch" count="0" unbalanced="0"/>
    <cacheHierarchy uniqueName="[Calendar].[MerchYearMonth]" caption="MerchYearMonth" attribute="1" time="1" defaultMemberUniqueName="[Calendar].[MerchYearMonth].[All]" allUniqueName="[Calendar].[MerchYearMonth].[All]" dimensionUniqueName="[Calendar]" displayFolder="Merch" count="0" unbalanced="0"/>
    <cacheHierarchy uniqueName="[Calendar].[MerchYearMonthName]" caption="MerchYearMonthName" attribute="1" time="1" defaultMemberUniqueName="[Calendar].[MerchYearMonthName].[All]" allUniqueName="[Calendar].[MerchYearMonthName].[All]" dimensionUniqueName="[Calendar]" displayFolder="Merch" count="0" unbalanced="0"/>
    <cacheHierarchy uniqueName="[Calendar].[MerchYearWeek]" caption="MerchYearWeek" attribute="1" time="1" defaultMemberUniqueName="[Calendar].[MerchYearWeek].[All]" allUniqueName="[Calendar].[MerchYearWeek].[All]" dimensionUniqueName="[Calendar]" displayFolder="Merch" count="0" unbalanced="0"/>
    <cacheHierarchy uniqueName="[Calendar].[Month]" caption="Month" attribute="1" time="1" defaultMemberUniqueName="[Calendar].[Month].[All]" allUniqueName="[Calendar].[Month].[All]" dimensionUniqueName="[Calendar]" displayFolder="Gregorian" count="0" unbalanced="0"/>
    <cacheHierarchy uniqueName="[Calendar].[MonthName]" caption="MonthName" attribute="1" time="1" defaultMemberUniqueName="[Calendar].[MonthName].[All]" allUniqueName="[Calendar].[MonthName].[All]" dimensionUniqueName="[Calendar]" displayFolder="Gregorian" count="0" unbalanced="0"/>
    <cacheHierarchy uniqueName="[Calendar].[MonthPeriod]" caption="MonthPeriod" attribute="1" time="1" defaultMemberUniqueName="[Calendar].[MonthPeriod].[All]" allUniqueName="[Calendar].[MonthPeriod].[All]" dimensionUniqueName="[Calendar]" displayFolder="" count="0" unbalanced="0"/>
    <cacheHierarchy uniqueName="[Calendar].[PastDate]" caption="PastDate" attribute="1" time="1" defaultMemberUniqueName="[Calendar].[PastDate].[All]" allUniqueName="[Calendar].[PastDate].[All]" dimensionUniqueName="[Calendar]" displayFolder="" count="0" unbalanced="0"/>
    <cacheHierarchy uniqueName="[Calendar].[Week]" caption="Week" attribute="1" time="1" defaultMemberUniqueName="[Calendar].[Week].[All]" allUniqueName="[Calendar].[Week].[All]" dimensionUniqueName="[Calendar]" displayFolder="Gregorian" count="0" unbalanced="0"/>
    <cacheHierarchy uniqueName="[Calendar].[WeekPartSequence]" caption="WeekPartSequence" attribute="1" time="1" defaultMemberUniqueName="[Calendar].[WeekPartSequence].[All]" allUniqueName="[Calendar].[WeekPartSequence].[All]" dimensionUniqueName="[Calendar]" displayFolder="" count="0" unbalanced="0"/>
    <cacheHierarchy uniqueName="[Calendar].[WeekPeriod]" caption="WeekPeriod" attribute="1" time="1" defaultMemberUniqueName="[Calendar].[WeekPeriod].[All]" allUniqueName="[Calendar].[WeekPeriod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Gregorian" count="0" unbalanced="0"/>
    <cacheHierarchy uniqueName="[Calendar].[YearMonth]" caption="YearMonth" attribute="1" time="1" defaultMemberUniqueName="[Calendar].[YearMonth].[All]" allUniqueName="[Calendar].[YearMonth].[All]" dimensionUniqueName="[Calendar]" displayFolder="Gregorian" count="0" unbalanced="0"/>
    <cacheHierarchy uniqueName="[Calendar].[YearMonthName]" caption="YearMonthName" attribute="1" time="1" defaultMemberUniqueName="[Calendar].[YearMonthName].[All]" allUniqueName="[Calendar].[YearMonthName].[All]" dimensionUniqueName="[Calendar]" displayFolder="Gregorian" count="0" unbalanced="0"/>
    <cacheHierarchy uniqueName="[Calendar].[YearPeriod]" caption="YearPeriod" attribute="1" time="1" defaultMemberUniqueName="[Calendar].[YearPeriod].[All]" allUniqueName="[Calendar].[YearPeriod].[All]" dimensionUniqueName="[Calendar]" displayFolder="" count="0" unbalanced="0"/>
    <cacheHierarchy uniqueName="[Calendar].[YearWeek]" caption="YearWeek" attribute="1" time="1" defaultMemberUniqueName="[Calendar].[YearWeek].[All]" allUniqueName="[Calendar].[YearWeek].[All]" dimensionUniqueName="[Calendar]" displayFolder="Gregorian" count="0" unbalanced="0"/>
    <cacheHierarchy uniqueName="[DCWarehouse].[DCCompanyCode]" caption="DCCompanyCode" attribute="1" defaultMemberUniqueName="[DCWarehouse].[DCCompanyCode].[All]" allUniqueName="[DCWarehouse].[DCCompanyCode].[All]" dimensionUniqueName="[DCWarehouse]" displayFolder="" count="0" unbalanced="0"/>
    <cacheHierarchy uniqueName="[DCWarehouse].[DCCompanyName]" caption="DCCompanyName" attribute="1" defaultMemberUniqueName="[DCWarehouse].[DCCompanyName].[All]" allUniqueName="[DCWarehouse].[DCCompanyName].[All]" dimensionUniqueName="[DCWarehouse]" displayFolder="" count="0" unbalanced="0"/>
    <cacheHierarchy uniqueName="[DCWarehouse].[DCCompanyRegion]" caption="DCCompanyRegion" attribute="1" defaultMemberUniqueName="[DCWarehouse].[DCCompanyRegion].[All]" allUniqueName="[DCWarehouse].[DCCompanyRegion].[All]" dimensionUniqueName="[DCWarehouse]" displayFolder="" count="0" unbalanced="0"/>
    <cacheHierarchy uniqueName="[DCWarehouse].[DCDistrubitionChannelCode]" caption="DCDistrubitionChannelCode" attribute="1" defaultMemberUniqueName="[DCWarehouse].[DCDistrubitionChannelCode].[All]" allUniqueName="[DCWarehouse].[DCDistrubitionChannelCode].[All]" dimensionUniqueName="[DCWarehouse]" displayFolder="" count="0" unbalanced="0"/>
    <cacheHierarchy uniqueName="[DCWarehouse].[DCSalesOrgCode]" caption="DCSalesOrgCode" attribute="1" defaultMemberUniqueName="[DCWarehouse].[DCSalesOrgCode].[All]" allUniqueName="[DCWarehouse].[DCSalesOrgCode].[All]" dimensionUniqueName="[DCWarehouse]" displayFolder="" count="0" unbalanced="0"/>
    <cacheHierarchy uniqueName="[DCWarehouse].[DCSalesOrgType]" caption="DCSalesOrgType" attribute="1" defaultMemberUniqueName="[DCWarehouse].[DCSalesOrgType].[All]" allUniqueName="[DCWarehouse].[DCSalesOrgType].[All]" dimensionUniqueName="[DCWarehouse]" displayFolder="" count="0" unbalanced="0"/>
    <cacheHierarchy uniqueName="[DCWarehouse].[DCSubWarehouseCode]" caption="DCSubWarehouseCode" attribute="1" defaultMemberUniqueName="[DCWarehouse].[DCSubWarehouseCode].[All]" allUniqueName="[DCWarehouse].[DCSubWarehouseCode].[All]" dimensionUniqueName="[DCWarehouse]" displayFolder="" count="0" unbalanced="0"/>
    <cacheHierarchy uniqueName="[DCWarehouse].[DCSubWarehouseKey]" caption="DCSubWarehouseKey" attribute="1" defaultMemberUniqueName="[DCWarehouse].[DCSubWarehouseKey].[All]" allUniqueName="[DCWarehouse].[DCSubWarehouseKey].[All]" dimensionUniqueName="[DCWarehouse]" displayFolder="Key" count="0" unbalanced="0"/>
    <cacheHierarchy uniqueName="[DCWarehouse].[DCWarehouseCode]" caption="DCWarehouseCode" attribute="1" defaultMemberUniqueName="[DCWarehouse].[DCWarehouseCode].[All]" allUniqueName="[DCWarehouse].[DCWarehouseCode].[All]" dimensionUniqueName="[DCWarehouse]" displayFolder="" count="0" unbalanced="0"/>
    <cacheHierarchy uniqueName="[DCWarehouse].[DCWarehouseDataType]" caption="DCWarehouseDataType" attribute="1" defaultMemberUniqueName="[DCWarehouse].[DCWarehouseDataType].[All]" allUniqueName="[DCWarehouse].[DCWarehouseDataType].[All]" dimensionUniqueName="[DCWarehouse]" displayFolder="" count="0" unbalanced="0"/>
    <cacheHierarchy uniqueName="[DCWarehouse].[DCWarehouseDesc]" caption="DCWarehouseDesc" attribute="1" defaultMemberUniqueName="[DCWarehouse].[DCWarehouseDesc].[All]" allUniqueName="[DCWarehouse].[DCWarehouseDesc].[All]" dimensionUniqueName="[DCWarehouse]" displayFolder="" count="0" unbalanced="0"/>
    <cacheHierarchy uniqueName="[DCWarehouse].[DCWarehouseKey]" caption="DCWarehouseKey" attribute="1" defaultMemberUniqueName="[DCWarehouse].[DCWarehouseKey].[All]" allUniqueName="[DCWarehouse].[DCWarehouseKey].[All]" dimensionUniqueName="[DCWarehouse]" displayFolder="Key" count="0" unbalanced="0"/>
    <cacheHierarchy uniqueName="[Delivery].[CustomerClass]" caption="CustomerClass" attribute="1" defaultMemberUniqueName="[Delivery].[CustomerClass].[All]" allUniqueName="[Delivery].[CustomerClass].[All]" dimensionUniqueName="[Delivery]" displayFolder="" count="0" unbalanced="0"/>
    <cacheHierarchy uniqueName="[Delivery].[MainCustomerClass]" caption="MainCustomerClass" attribute="1" defaultMemberUniqueName="[Delivery].[MainCustomerClass].[All]" allUniqueName="[Delivery].[MainCustomerClass].[All]" dimensionUniqueName="[Delivery]" displayFolder="" count="0" unbalanced="0"/>
    <cacheHierarchy uniqueName="[ISPUnitPrice].[ISPLCPriceGroup100]" caption="ISPLCPriceGroup100" attribute="1" defaultMemberUniqueName="[ISPUnitPrice].[ISPLCPriceGroup100].[All]" allUniqueName="[ISPUnitPrice].[ISPLCPriceGroup100].[All]" dimensionUniqueName="[ISPUnitPrice]" displayFolder="" count="0" unbalanced="0"/>
    <cacheHierarchy uniqueName="[ISPUnitPrice].[ISPLCPriceVAT]" caption="ISPLCPriceVAT" attribute="1" defaultMemberUniqueName="[ISPUnitPrice].[ISPLCPriceVAT].[All]" allUniqueName="[ISPUnitPrice].[ISPLCPriceVAT].[All]" dimensionUniqueName="[ISPUnitPrice]" displayFolder="" count="0" unbalanced="0"/>
    <cacheHierarchy uniqueName="[Material].[Barcode]" caption="Barcode" attribute="1" defaultMemberUniqueName="[Material].[Barcode].[All]" allUniqueName="[Material].[Barcode].[All]" dimensionUniqueName="[Material]" displayFolder="" count="0" unbalanced="0"/>
    <cacheHierarchy uniqueName="[Material].[BrandCode]" caption="BrandCode" attribute="1" defaultMemberUniqueName="[Material].[BrandCode].[All]" allUniqueName="[Material].[BrandCode].[All]" dimensionUniqueName="[Material]" displayFolder="" count="0" unbalanced="0"/>
    <cacheHierarchy uniqueName="[Material].[BrandDesc]" caption="BrandDesc" attribute="1" defaultMemberUniqueName="[Material].[BrandDesc].[All]" allUniqueName="[Material].[BrandDesc].[All]" dimensionUniqueName="[Material]" displayFolder="" count="0" unbalanced="0"/>
    <cacheHierarchy uniqueName="[Material].[BudgetGroupCode]" caption="BudgetGroupCode" attribute="1" defaultMemberUniqueName="[Material].[BudgetGroupCode].[All]" allUniqueName="[Material].[BudgetGroupCode].[All]" dimensionUniqueName="[Material]" displayFolder="" count="0" unbalanced="0"/>
    <cacheHierarchy uniqueName="[Material].[BudgetGroupDesc]" caption="BudgetGroupDesc" attribute="1" defaultMemberUniqueName="[Material].[BudgetGroupDesc].[All]" allUniqueName="[Material].[BudgetGroupDesc].[All]" dimensionUniqueName="[Material]" displayFolder="" count="0" unbalanced="0"/>
    <cacheHierarchy uniqueName="[Material].[Category]" caption="Category" attribute="1" defaultMemberUniqueName="[Material].[Category].[All]" allUniqueName="[Material].[Category].[All]" dimensionUniqueName="[Material]" displayFolder="" count="0" unbalanced="0"/>
    <cacheHierarchy uniqueName="[Material].[CategoryLeader]" caption="CategoryLeader" attribute="1" defaultMemberUniqueName="[Material].[CategoryLeader].[All]" allUniqueName="[Material].[CategoryLeader].[All]" dimensionUniqueName="[Material]" displayFolder="" count="0" unbalanced="0"/>
    <cacheHierarchy uniqueName="[Material].[CatlCode]" caption="CatlCode" attribute="1" defaultMemberUniqueName="[Material].[CatlCode].[All]" allUniqueName="[Material].[CatlCode].[All]" dimensionUniqueName="[Material]" displayFolder="" count="0" unbalanced="0"/>
    <cacheHierarchy uniqueName="[Material].[CatlDesc]" caption="CatlDesc" attribute="1" defaultMemberUniqueName="[Material].[CatlDesc].[All]" allUniqueName="[Material].[CatlDesc].[All]" dimensionUniqueName="[Material]" displayFolder="" count="0" unbalanced="0"/>
    <cacheHierarchy uniqueName="[Material].[ColorCode]" caption="ColorCode" attribute="1" defaultMemberUniqueName="[Material].[ColorCode].[All]" allUniqueName="[Material].[ColorCode].[All]" dimensionUniqueName="[Material]" displayFolder="" count="0" unbalanced="0"/>
    <cacheHierarchy uniqueName="[Material].[ColorDesc]" caption="ColorDesc" attribute="1" defaultMemberUniqueName="[Material].[ColorDesc].[All]" allUniqueName="[Material].[ColorDesc].[All]" dimensionUniqueName="[Material]" displayFolder="" count="0" unbalanced="0"/>
    <cacheHierarchy uniqueName="[Material].[CombineCode]" caption="CombineCode" attribute="1" defaultMemberUniqueName="[Material].[CombineCode].[All]" allUniqueName="[Material].[CombineCode].[All]" dimensionUniqueName="[Material]" displayFolder="" count="0" unbalanced="0"/>
    <cacheHierarchy uniqueName="[Material].[CombineDesc]" caption="CombineDesc" attribute="1" defaultMemberUniqueName="[Material].[CombineDesc].[All]" allUniqueName="[Material].[CombineDesc].[All]" dimensionUniqueName="[Material]" displayFolder="" count="0" unbalanced="0"/>
    <cacheHierarchy uniqueName="[Material].[CurProductStateID]" caption="CurProductStateID" attribute="1" defaultMemberUniqueName="[Material].[CurProductStateID].[All]" allUniqueName="[Material].[CurProductStateID].[All]" dimensionUniqueName="[Material]" displayFolder="" count="0" unbalanced="0"/>
    <cacheHierarchy uniqueName="[Material].[CurProductStateName]" caption="CurProductStateName" attribute="1" defaultMemberUniqueName="[Material].[CurProductStateName].[All]" allUniqueName="[Material].[CurProductStateName].[All]" dimensionUniqueName="[Material]" displayFolder="" count="0" unbalanced="0"/>
    <cacheHierarchy uniqueName="[Material].[CurSalesSeasonID]" caption="CurSalesSeasonID" attribute="1" defaultMemberUniqueName="[Material].[CurSalesSeasonID].[All]" allUniqueName="[Material].[CurSalesSeasonID].[All]" dimensionUniqueName="[Material]" displayFolder="" count="0" unbalanced="0"/>
    <cacheHierarchy uniqueName="[Material].[CurSalesSeasonName]" caption="CurSalesSeasonName" attribute="1" defaultMemberUniqueName="[Material].[CurSalesSeasonName].[All]" allUniqueName="[Material].[CurSalesSeasonName].[All]" dimensionUniqueName="[Material]" displayFolder="" count="0" unbalanced="0"/>
    <cacheHierarchy uniqueName="[Material].[DesingCode]" caption="DesingCode" attribute="1" defaultMemberUniqueName="[Material].[DesingCode].[All]" allUniqueName="[Material].[DesingCode].[All]" dimensionUniqueName="[Material]" displayFolder="" count="0" unbalanced="0"/>
    <cacheHierarchy uniqueName="[Material].[DesingDesc]" caption="DesingDesc" attribute="1" defaultMemberUniqueName="[Material].[DesingDesc].[All]" allUniqueName="[Material].[DesingDesc].[All]" dimensionUniqueName="[Material]" displayFolder="" count="0" unbalanced="0"/>
    <cacheHierarchy uniqueName="[Material].[EtlDate]" caption="EtlDate" attribute="1" defaultMemberUniqueName="[Material].[EtlDate].[All]" allUniqueName="[Material].[EtlDate].[All]" dimensionUniqueName="[Material]" displayFolder="" count="0" unbalanced="0"/>
    <cacheHierarchy uniqueName="[Material].[FabricCode]" caption="FabricCode" attribute="1" defaultMemberUniqueName="[Material].[FabricCode].[All]" allUniqueName="[Material].[FabricCode].[All]" dimensionUniqueName="[Material]" displayFolder="" count="0" unbalanced="0"/>
    <cacheHierarchy uniqueName="[Material].[FacricDesc]" caption="FacricDesc" attribute="1" defaultMemberUniqueName="[Material].[FacricDesc].[All]" allUniqueName="[Material].[FacricDesc].[All]" dimensionUniqueName="[Material]" displayFolder="" count="0" unbalanced="0"/>
    <cacheHierarchy uniqueName="[Material].[H_MainGroup]" caption="H_MainGroup" defaultMemberUniqueName="[Material].[H_MainGroup].[All]" allUniqueName="[Material].[H_MainGroup].[All]" dimensionUniqueName="[Material]" displayFolder="" count="3" unbalanced="0">
      <fieldsUsage count="3">
        <fieldUsage x="-1"/>
        <fieldUsage x="13"/>
        <fieldUsage x="14"/>
      </fieldsUsage>
    </cacheHierarchy>
    <cacheHierarchy uniqueName="[Material].[HygieneCode]" caption="HygieneCode" attribute="1" defaultMemberUniqueName="[Material].[HygieneCode].[All]" allUniqueName="[Material].[HygieneCode].[All]" dimensionUniqueName="[Material]" displayFolder="" count="0" unbalanced="0"/>
    <cacheHierarchy uniqueName="[Material].[HygieneDesc]" caption="HygieneDesc" attribute="1" defaultMemberUniqueName="[Material].[HygieneDesc].[All]" allUniqueName="[Material].[HygieneDesc].[All]" dimensionUniqueName="[Material]" displayFolder="" count="0" unbalanced="0"/>
    <cacheHierarchy uniqueName="[Material].[ImageURL]" caption="ImageURL" attribute="1" defaultMemberUniqueName="[Material].[ImageURL].[All]" allUniqueName="[Material].[ImageURL].[All]" dimensionUniqueName="[Material]" displayFolder="" count="0" unbalanced="0"/>
    <cacheHierarchy uniqueName="[Material].[LivingArea]" caption="LivingArea" attribute="1" defaultMemberUniqueName="[Material].[LivingArea].[All]" allUniqueName="[Material].[LivingArea].[All]" dimensionUniqueName="[Material]" displayFolder="" count="0" unbalanced="0"/>
    <cacheHierarchy uniqueName="[Material].[MainGroupCode]" caption="MainGroupCode" attribute="1" defaultMemberUniqueName="[Material].[MainGroupCode].[All]" allUniqueName="[Material].[MainGroupCode].[All]" dimensionUniqueName="[Material]" displayFolder="" count="0" unbalanced="0"/>
    <cacheHierarchy uniqueName="[Material].[MainGroupDesc]" caption="MainGroupDesc" attribute="1" defaultMemberUniqueName="[Material].[MainGroupDesc].[All]" allUniqueName="[Material].[MainGroupDesc].[All]" dimensionUniqueName="[Material]" displayFolder="" count="0" unbalanced="0"/>
    <cacheHierarchy uniqueName="[Material].[MatDim]" caption="MatDim" attribute="1" defaultMemberUniqueName="[Material].[MatDim].[All]" allUniqueName="[Material].[MatDim].[All]" dimensionUniqueName="[Material]" displayFolder="" count="0" unbalanced="0"/>
    <cacheHierarchy uniqueName="[Material].[MatDimUnit]" caption="MatDimUnit" attribute="1" defaultMemberUniqueName="[Material].[MatDimUnit].[All]" allUniqueName="[Material].[MatDimUnit].[All]" dimensionUniqueName="[Material]" displayFolder="" count="0" unbalanced="0"/>
    <cacheHierarchy uniqueName="[Material].[MaterialCode]" caption="MaterialCode" attribute="1" defaultMemberUniqueName="[Material].[MaterialCode].[All]" allUniqueName="[Material].[MaterialCode].[All]" dimensionUniqueName="[Material]" displayFolder="" count="0" unbalanced="0"/>
    <cacheHierarchy uniqueName="[Material].[MaterialCodeDesc]" caption="MaterialCodeDesc" attribute="1" defaultMemberUniqueName="[Material].[MaterialCodeDesc].[All]" allUniqueName="[Material].[MaterialCodeDesc].[All]" dimensionUniqueName="[Material]" displayFolder="" count="0" unbalanced="0"/>
    <cacheHierarchy uniqueName="[Material].[MaterialCodeWoZero]" caption="MaterialCodeWoZero" attribute="1" defaultMemberUniqueName="[Material].[MaterialCodeWoZero].[All]" allUniqueName="[Material].[MaterialCodeWoZero].[All]" dimensionUniqueName="[Material]" displayFolder="" count="0" unbalanced="0"/>
    <cacheHierarchy uniqueName="[Material].[MaterialDesc]" caption="MaterialDesc" attribute="1" defaultMemberUniqueName="[Material].[MaterialDesc].[All]" allUniqueName="[Material].[MaterialDesc].[All]" dimensionUniqueName="[Material]" displayFolder="" count="0" unbalanced="0"/>
    <cacheHierarchy uniqueName="[Material].[MaterialDm3]" caption="MaterialDm3" attribute="1" defaultMemberUniqueName="[Material].[MaterialDm3].[All]" allUniqueName="[Material].[MaterialDm3].[All]" dimensionUniqueName="[Material]" displayFolder="" count="0" unbalanced="0"/>
    <cacheHierarchy uniqueName="[Material].[MaterialFeatureCode]" caption="MaterialFeatureCode" attribute="1" defaultMemberUniqueName="[Material].[MaterialFeatureCode].[All]" allUniqueName="[Material].[MaterialFeatureCode].[All]" dimensionUniqueName="[Material]" displayFolder="" count="0" unbalanced="0"/>
    <cacheHierarchy uniqueName="[Material].[MaterialFeatureDesc]" caption="MaterialFeatureDesc" attribute="1" defaultMemberUniqueName="[Material].[MaterialFeatureDesc].[All]" allUniqueName="[Material].[MaterialFeatureDesc].[All]" dimensionUniqueName="[Material]" displayFolder="" count="0" unbalanced="0"/>
    <cacheHierarchy uniqueName="[Material].[MaterialKey]" caption="MaterialKey" attribute="1" defaultMemberUniqueName="[Material].[MaterialKey].[All]" allUniqueName="[Material].[MaterialKey].[All]" dimensionUniqueName="[Material]" displayFolder="" count="0" unbalanced="0"/>
    <cacheHierarchy uniqueName="[Material].[MaterialOtherFeatureCode]" caption="MaterialOtherFeatureCode" attribute="1" defaultMemberUniqueName="[Material].[MaterialOtherFeatureCode].[All]" allUniqueName="[Material].[MaterialOtherFeatureCode].[All]" dimensionUniqueName="[Material]" displayFolder="" count="0" unbalanced="0"/>
    <cacheHierarchy uniqueName="[Material].[MaterialOtherFeatureDesc]" caption="MaterialOtherFeatureDesc" attribute="1" defaultMemberUniqueName="[Material].[MaterialOtherFeatureDesc].[All]" allUniqueName="[Material].[MaterialOtherFeatureDesc].[All]" dimensionUniqueName="[Material]" displayFolder="" count="0" unbalanced="0"/>
    <cacheHierarchy uniqueName="[Material].[MaterialSpecialFeatureCode]" caption="MaterialSpecialFeatureCode" attribute="1" defaultMemberUniqueName="[Material].[MaterialSpecialFeatureCode].[All]" allUniqueName="[Material].[MaterialSpecialFeatureCode].[All]" dimensionUniqueName="[Material]" displayFolder="" count="0" unbalanced="0"/>
    <cacheHierarchy uniqueName="[Material].[MaterialSpecialFeatureDesc]" caption="MaterialSpecialFeatureDesc" attribute="1" defaultMemberUniqueName="[Material].[MaterialSpecialFeatureDesc].[All]" allUniqueName="[Material].[MaterialSpecialFeatureDesc].[All]" dimensionUniqueName="[Material]" displayFolder="" count="0" unbalanced="0"/>
    <cacheHierarchy uniqueName="[Material].[MaterialTypeCode]" caption="MaterialTypeCode" attribute="1" defaultMemberUniqueName="[Material].[MaterialTypeCode].[All]" allUniqueName="[Material].[MaterialTypeCode].[All]" dimensionUniqueName="[Material]" displayFolder="" count="0" unbalanced="0"/>
    <cacheHierarchy uniqueName="[Material].[MaterialTypeDesc]" caption="MaterialTypeDesc" attribute="1" defaultMemberUniqueName="[Material].[MaterialTypeDesc].[All]" allUniqueName="[Material].[MaterialTypeDesc].[All]" dimensionUniqueName="[Material]" displayFolder="" count="0" unbalanced="0"/>
    <cacheHierarchy uniqueName="[Material].[MatHeight]" caption="MatHeight" attribute="1" defaultMemberUniqueName="[Material].[MatHeight].[All]" allUniqueName="[Material].[MatHeight].[All]" dimensionUniqueName="[Material]" displayFolder="" count="0" unbalanced="0"/>
    <cacheHierarchy uniqueName="[Material].[MatLenght]" caption="MatLenght" attribute="1" defaultMemberUniqueName="[Material].[MatLenght].[All]" allUniqueName="[Material].[MatLenght].[All]" dimensionUniqueName="[Material]" displayFolder="" count="0" unbalanced="0"/>
    <cacheHierarchy uniqueName="[Material].[MatVolume]" caption="MatVolume" attribute="1" defaultMemberUniqueName="[Material].[MatVolume].[All]" allUniqueName="[Material].[MatVolume].[All]" dimensionUniqueName="[Material]" displayFolder="" count="0" unbalanced="0"/>
    <cacheHierarchy uniqueName="[Material].[MatVolumeUnit]" caption="MatVolumeUnit" attribute="1" defaultMemberUniqueName="[Material].[MatVolumeUnit].[All]" allUniqueName="[Material].[MatVolumeUnit].[All]" dimensionUniqueName="[Material]" displayFolder="" count="0" unbalanced="0"/>
    <cacheHierarchy uniqueName="[Material].[MatWeight]" caption="MatWeight" attribute="1" defaultMemberUniqueName="[Material].[MatWeight].[All]" allUniqueName="[Material].[MatWeight].[All]" dimensionUniqueName="[Material]" displayFolder="" count="0" unbalanced="0"/>
    <cacheHierarchy uniqueName="[Material].[MatWeightUnit]" caption="MatWeightUnit" attribute="1" defaultMemberUniqueName="[Material].[MatWeightUnit].[All]" allUniqueName="[Material].[MatWeightUnit].[All]" dimensionUniqueName="[Material]" displayFolder="" count="0" unbalanced="0"/>
    <cacheHierarchy uniqueName="[Material].[MatWidth]" caption="MatWidth" attribute="1" defaultMemberUniqueName="[Material].[MatWidth].[All]" allUniqueName="[Material].[MatWidth].[All]" dimensionUniqueName="[Material]" displayFolder="" count="0" unbalanced="0"/>
    <cacheHierarchy uniqueName="[Material].[MaxStockQty]" caption="MaxStockQty" attribute="1" defaultMemberUniqueName="[Material].[MaxStockQty].[All]" allUniqueName="[Material].[MaxStockQty].[All]" dimensionUniqueName="[Material]" displayFolder="" count="0" unbalanced="0"/>
    <cacheHierarchy uniqueName="[Material].[MerchProduct]" caption="MerchProduct" attribute="1" defaultMemberUniqueName="[Material].[MerchProduct].[All]" allUniqueName="[Material].[MerchProduct].[All]" dimensionUniqueName="[Material]" displayFolder="" count="2" unbalanced="0">
      <fieldsUsage count="2">
        <fieldUsage x="-1"/>
        <fieldUsage x="26"/>
      </fieldsUsage>
    </cacheHierarchy>
    <cacheHierarchy uniqueName="[Material].[MinStockQty]" caption="MinStockQty" attribute="1" defaultMemberUniqueName="[Material].[MinStockQty].[All]" allUniqueName="[Material].[MinStockQty].[All]" dimensionUniqueName="[Material]" displayFolder="" count="0" unbalanced="0"/>
    <cacheHierarchy uniqueName="[Material].[PackagingType]" caption="PackagingType" attribute="1" defaultMemberUniqueName="[Material].[PackagingType].[All]" allUniqueName="[Material].[PackagingType].[All]" dimensionUniqueName="[Material]" displayFolder="" count="0" unbalanced="0"/>
    <cacheHierarchy uniqueName="[Material].[PlaningQualityCode]" caption="PlaningQualityCode" attribute="1" defaultMemberUniqueName="[Material].[PlaningQualityCode].[All]" allUniqueName="[Material].[PlaningQualityCode].[All]" dimensionUniqueName="[Material]" displayFolder="" count="0" unbalanced="0"/>
    <cacheHierarchy uniqueName="[Material].[PlaningQualityDesc]" caption="PlaningQualityDesc" attribute="1" defaultMemberUniqueName="[Material].[PlaningQualityDesc].[All]" allUniqueName="[Material].[PlaningQualityDesc].[All]" dimensionUniqueName="[Material]" displayFolder="" count="0" unbalanced="0"/>
    <cacheHierarchy uniqueName="[Material].[PlanStatus]" caption="PlanStatus" attribute="1" defaultMemberUniqueName="[Material].[PlanStatus].[All]" allUniqueName="[Material].[PlanStatus].[All]" dimensionUniqueName="[Material]" displayFolder="" count="0" unbalanced="0"/>
    <cacheHierarchy uniqueName="[Material].[PriceX]" caption="PriceX" attribute="1" defaultMemberUniqueName="[Material].[PriceX].[All]" allUniqueName="[Material].[PriceX].[All]" dimensionUniqueName="[Material]" displayFolder="" count="0" unbalanced="0"/>
    <cacheHierarchy uniqueName="[Material].[ProductFamily]" caption="ProductFamily" attribute="1" defaultMemberUniqueName="[Material].[ProductFamily].[All]" allUniqueName="[Material].[ProductFamily].[All]" dimensionUniqueName="[Material]" displayFolder="" count="0" unbalanced="0"/>
    <cacheHierarchy uniqueName="[Material].[ProductSegment]" caption="ProductSegment" attribute="1" defaultMemberUniqueName="[Material].[ProductSegment].[All]" allUniqueName="[Material].[ProductSegment].[All]" dimensionUniqueName="[Material]" displayFolder="" count="0" unbalanced="0"/>
    <cacheHierarchy uniqueName="[Material].[ProductStoreSegment]" caption="ProductStoreSegment" attribute="1" defaultMemberUniqueName="[Material].[ProductStoreSegment].[All]" allUniqueName="[Material].[ProductStoreSegment].[All]" dimensionUniqueName="[Material]" displayFolder="" count="0" unbalanced="0"/>
    <cacheHierarchy uniqueName="[Material].[QtyInBox]" caption="QtyInBox" attribute="1" defaultMemberUniqueName="[Material].[QtyInBox].[All]" allUniqueName="[Material].[QtyInBox].[All]" dimensionUniqueName="[Material]" displayFolder="" count="0" unbalanced="0"/>
    <cacheHierarchy uniqueName="[Material].[QtyInPackage]" caption="QtyInPackage" attribute="1" defaultMemberUniqueName="[Material].[QtyInPackage].[All]" allUniqueName="[Material].[QtyInPackage].[All]" dimensionUniqueName="[Material]" displayFolder="" count="0" unbalanced="0"/>
    <cacheHierarchy uniqueName="[Material].[QtyInPallet]" caption="QtyInPallet" attribute="1" defaultMemberUniqueName="[Material].[QtyInPallet].[All]" allUniqueName="[Material].[QtyInPallet].[All]" dimensionUniqueName="[Material]" displayFolder="" count="0" unbalanced="0"/>
    <cacheHierarchy uniqueName="[Material].[RemainingDaysforPlan]" caption="RemainingDaysforPlan" attribute="1" defaultMemberUniqueName="[Material].[RemainingDaysforPlan].[All]" allUniqueName="[Material].[RemainingDaysforPlan].[All]" dimensionUniqueName="[Material]" displayFolder="" count="0" unbalanced="0"/>
    <cacheHierarchy uniqueName="[Material].[Season]" caption="Season" attribute="1" defaultMemberUniqueName="[Material].[Season].[All]" allUniqueName="[Material].[Season].[All]" dimensionUniqueName="[Material]" displayFolder="" count="0" unbalanced="0"/>
    <cacheHierarchy uniqueName="[Material].[SeasonYear]" caption="SeasonYear" attribute="1" defaultMemberUniqueName="[Material].[SeasonYear].[All]" allUniqueName="[Material].[SeasonYear].[All]" dimensionUniqueName="[Material]" displayFolder="" count="0" unbalanced="0"/>
    <cacheHierarchy uniqueName="[Material].[Size_Code]" caption="Size_Code" attribute="1" defaultMemberUniqueName="[Material].[Size_Code].[All]" allUniqueName="[Material].[Size_Code].[All]" dimensionUniqueName="[Material]" displayFolder="" count="0" unbalanced="0"/>
    <cacheHierarchy uniqueName="[Material].[Size_Desc]" caption="Size_Desc" attribute="1" defaultMemberUniqueName="[Material].[Size_Desc].[All]" allUniqueName="[Material].[Size_Desc].[All]" dimensionUniqueName="[Material]" displayFolder="" count="0" unbalanced="0"/>
    <cacheHierarchy uniqueName="[Material].[Status]" caption="Status" attribute="1" defaultMemberUniqueName="[Material].[Status].[All]" allUniqueName="[Material].[Status].[All]" dimensionUniqueName="[Material]" displayFolder="" count="0" unbalanced="0"/>
    <cacheHierarchy uniqueName="[Material].[SubGroupCode]" caption="SubGroupCode" attribute="1" defaultMemberUniqueName="[Material].[SubGroupCode].[All]" allUniqueName="[Material].[SubGroupCode].[All]" dimensionUniqueName="[Material]" displayFolder="" count="0" unbalanced="0"/>
    <cacheHierarchy uniqueName="[Material].[SubGroupDesc]" caption="SubGroupDesc" attribute="1" defaultMemberUniqueName="[Material].[SubGroupDesc].[All]" allUniqueName="[Material].[SubGroupDesc].[All]" dimensionUniqueName="[Material]" displayFolder="" count="0" unbalanced="0"/>
    <cacheHierarchy uniqueName="[Material].[TagGroupDesc]" caption="TagGroupDesc" attribute="1" defaultMemberUniqueName="[Material].[TagGroupDesc].[All]" allUniqueName="[Material].[TagGroupDesc].[All]" dimensionUniqueName="[Material]" displayFolder="" count="0" unbalanced="0"/>
    <cacheHierarchy uniqueName="[Material].[TextileProduct]" caption="TextileProduct" attribute="1" defaultMemberUniqueName="[Material].[TextileProduct].[All]" allUniqueName="[Material].[TextileProduct].[All]" dimensionUniqueName="[Material]" displayFolder="" count="0" unbalanced="0"/>
    <cacheHierarchy uniqueName="[Material].[Theme]" caption="Theme" attribute="1" defaultMemberUniqueName="[Material].[Theme].[All]" allUniqueName="[Material].[Theme].[All]" dimensionUniqueName="[Material]" displayFolder="" count="0" unbalanced="0"/>
    <cacheHierarchy uniqueName="[Material].[TribeLeader]" caption="TribeLeader" attribute="1" defaultMemberUniqueName="[Material].[TribeLeader].[All]" allUniqueName="[Material].[TribeLeader].[All]" dimensionUniqueName="[Material]" displayFolder="" count="0" unbalanced="0"/>
    <cacheHierarchy uniqueName="[Material].[VatRate]" caption="VatRate" attribute="1" defaultMemberUniqueName="[Material].[VatRate].[All]" allUniqueName="[Material].[VatRate].[All]" dimensionUniqueName="[Material]" displayFolder="" count="0" unbalanced="0"/>
    <cacheHierarchy uniqueName="[Material].[VendorCode]" caption="VendorCode" attribute="1" defaultMemberUniqueName="[Material].[VendorCode].[All]" allUniqueName="[Material].[VendorCode].[All]" dimensionUniqueName="[Material]" displayFolder="" count="0" unbalanced="0"/>
    <cacheHierarchy uniqueName="[Material].[VendorCountry]" caption="VendorCountry" attribute="1" defaultMemberUniqueName="[Material].[VendorCountry].[All]" allUniqueName="[Material].[VendorCountry].[All]" dimensionUniqueName="[Material]" displayFolder="" count="0" unbalanced="0"/>
    <cacheHierarchy uniqueName="[Material].[VendorKey]" caption="VendorKey" attribute="1" defaultMemberUniqueName="[Material].[VendorKey].[All]" allUniqueName="[Material].[VendorKey].[All]" dimensionUniqueName="[Material]" displayFolder="" count="0" unbalanced="0"/>
    <cacheHierarchy uniqueName="[Material].[VendorName]" caption="VendorName" attribute="1" defaultMemberUniqueName="[Material].[VendorName].[All]" allUniqueName="[Material].[VendorName].[All]" dimensionUniqueName="[Material]" displayFolder="" count="0" unbalanced="0"/>
    <cacheHierarchy uniqueName="[Material].[YearSeason]" caption="YearSeason" attribute="1" defaultMemberUniqueName="[Material].[YearSeason].[All]" allUniqueName="[Material].[YearSeason].[All]" dimensionUniqueName="[Material]" displayFolder="" count="0" unbalanced="0"/>
    <cacheHierarchy uniqueName="[SalesBudget].[BudgetTypeName]" caption="BudgetTypeName" attribute="1" defaultMemberUniqueName="[SalesBudget].[BudgetTypeName].[All]" allUniqueName="[SalesBudget].[BudgetTypeName].[All]" dimensionUniqueName="[SalesBudget]" displayFolder="" count="0" unbalanced="0"/>
    <cacheHierarchy uniqueName="[SalesChannel].[CompanyCode]" caption="CompanyCode" attribute="1" defaultMemberUniqueName="[SalesChannel].[CompanyCode].[All]" allUniqueName="[SalesChannel].[CompanyCode].[All]" dimensionUniqueName="[SalesChannel]" displayFolder="SalesChannelCode" count="0" unbalanced="0"/>
    <cacheHierarchy uniqueName="[SalesChannel].[CompanyCurrency]" caption="CompanyCurrency" attribute="1" defaultMemberUniqueName="[SalesChannel].[CompanyCurrency].[All]" allUniqueName="[SalesChannel].[CompanyCurrency].[All]" dimensionUniqueName="[SalesChannel]" displayFolder="SalesChannelCode" count="0" unbalanced="0"/>
    <cacheHierarchy uniqueName="[SalesChannel].[CompanyKey]" caption="CompanyKey" attribute="1" defaultMemberUniqueName="[SalesChannel].[CompanyKey].[All]" allUniqueName="[SalesChannel].[CompanyKey].[All]" dimensionUniqueName="[SalesChannel]" displayFolder="SalesChannelCode" count="0" unbalanced="0"/>
    <cacheHierarchy uniqueName="[SalesChannel].[CompanyName]" caption="CompanyName" attribute="1" defaultMemberUniqueName="[SalesChannel].[CompanyName].[All]" allUniqueName="[SalesChannel].[CompanyName].[All]" dimensionUniqueName="[SalesChannel]" displayFolder="SalesChannelName" count="0" unbalanced="0"/>
    <cacheHierarchy uniqueName="[SalesChannel].[CompanyRegion]" caption="CompanyRegion" attribute="1" defaultMemberUniqueName="[SalesChannel].[CompanyRegion].[All]" allUniqueName="[SalesChannel].[CompanyRegion].[All]" dimensionUniqueName="[SalesChannel]" displayFolder="" count="0" unbalanced="0"/>
    <cacheHierarchy uniqueName="[SalesChannel].[CountryCode]" caption="CountryCode" attribute="1" defaultMemberUniqueName="[SalesChannel].[CountryCode].[All]" allUniqueName="[SalesChannel].[CountryCode].[All]" dimensionUniqueName="[SalesChannel]" displayFolder="SalesChannelCode" count="0" unbalanced="0"/>
    <cacheHierarchy uniqueName="[SalesChannel].[CountryName]" caption="CountryName" attribute="1" defaultMemberUniqueName="[SalesChannel].[CountryName].[All]" allUniqueName="[SalesChannel].[CountryName].[All]" dimensionUniqueName="[SalesChannel]" displayFolder="SalesChannelName" count="2" unbalanced="0">
      <fieldsUsage count="2">
        <fieldUsage x="-1"/>
        <fieldUsage x="27"/>
      </fieldsUsage>
    </cacheHierarchy>
    <cacheHierarchy uniqueName="[SalesChannel].[DistrubitionChannelCode]" caption="DistrubitionChannelCode" attribute="1" defaultMemberUniqueName="[SalesChannel].[DistrubitionChannelCode].[All]" allUniqueName="[SalesChannel].[DistrubitionChannelCode].[All]" dimensionUniqueName="[SalesChannel]" displayFolder="SalesChannelCode" count="0" unbalanced="0"/>
    <cacheHierarchy uniqueName="[SalesChannel].[DistrubitionChannelDesc]" caption="DistrubitionChannelDesc" attribute="1" defaultMemberUniqueName="[SalesChannel].[DistrubitionChannelDesc].[All]" allUniqueName="[SalesChannel].[DistrubitionChannelDesc].[All]" dimensionUniqueName="[SalesChannel]" displayFolder="SalesChannelName" count="2" unbalanced="0">
      <fieldsUsage count="2">
        <fieldUsage x="-1"/>
        <fieldUsage x="1"/>
      </fieldsUsage>
    </cacheHierarchy>
    <cacheHierarchy uniqueName="[SalesChannel].[DistrubitionChannelKey]" caption="DistrubitionChannelKey" attribute="1" defaultMemberUniqueName="[SalesChannel].[DistrubitionChannelKey].[All]" allUniqueName="[SalesChannel].[DistrubitionChannelKey].[All]" dimensionUniqueName="[SalesChannel]" displayFolder="SalesChannelCode" count="0" unbalanced="0"/>
    <cacheHierarchy uniqueName="[SalesChannel].[H_SalesChannel]" caption="H_SalesChannel" defaultMemberUniqueName="[SalesChannel].[H_SalesChannel].[All]" allUniqueName="[SalesChannel].[H_SalesChannel].[All]" dimensionUniqueName="[SalesChannel]" displayFolder="" count="4" unbalanced="0">
      <fieldsUsage count="4">
        <fieldUsage x="-1"/>
        <fieldUsage x="19"/>
        <fieldUsage x="20"/>
        <fieldUsage x="21"/>
      </fieldsUsage>
    </cacheHierarchy>
    <cacheHierarchy uniqueName="[SalesChannel].[SalesChannelCode]" caption="SalesChannelCode" attribute="1" defaultMemberUniqueName="[SalesChannel].[SalesChannelCode].[All]" allUniqueName="[SalesChannel].[SalesChannelCode].[All]" dimensionUniqueName="[SalesChannel]" displayFolder="SalesChannelCode" count="0" unbalanced="0"/>
    <cacheHierarchy uniqueName="[SalesChannel].[SalesChannelKey]" caption="SalesChannelKey" attribute="1" defaultMemberUniqueName="[SalesChannel].[SalesChannelKey].[All]" allUniqueName="[SalesChannel].[SalesChannelKey].[All]" dimensionUniqueName="[SalesChannel]" displayFolder="SalesChannelCode" count="0" unbalanced="0"/>
    <cacheHierarchy uniqueName="[SalesChannel].[SalesOrgCode]" caption="SalesOrgCode" attribute="1" defaultMemberUniqueName="[SalesChannel].[SalesOrgCode].[All]" allUniqueName="[SalesChannel].[SalesOrgCode].[All]" dimensionUniqueName="[SalesChannel]" displayFolder="SalesChannelCode" count="0" unbalanced="0"/>
    <cacheHierarchy uniqueName="[SalesChannel].[SalesOrgDesc]" caption="SalesOrgDesc" attribute="1" defaultMemberUniqueName="[SalesChannel].[SalesOrgDesc].[All]" allUniqueName="[SalesChannel].[SalesOrgDesc].[All]" dimensionUniqueName="[SalesChannel]" displayFolder="SalesChannelName" count="0" unbalanced="0"/>
    <cacheHierarchy uniqueName="[SalesChannel].[SalesOrgKey]" caption="SalesOrgKey" attribute="1" defaultMemberUniqueName="[SalesChannel].[SalesOrgKey].[All]" allUniqueName="[SalesChannel].[SalesOrgKey].[All]" dimensionUniqueName="[SalesChannel]" displayFolder="SalesChannelCode" count="0" unbalanced="0"/>
    <cacheHierarchy uniqueName="[SalesChannel].[SalesOrgType]" caption="SalesOrgType" attribute="1" defaultMemberUniqueName="[SalesChannel].[SalesOrgType].[All]" allUniqueName="[SalesChannel].[SalesOrgType].[All]" dimensionUniqueName="[SalesChannel]" displayFolder="" count="2" unbalanced="0">
      <fieldsUsage count="2">
        <fieldUsage x="-1"/>
        <fieldUsage x="0"/>
      </fieldsUsage>
    </cacheHierarchy>
    <cacheHierarchy uniqueName="[SalesSeason].[EtlDate]" caption="EtlDate" attribute="1" defaultMemberUniqueName="[SalesSeason].[EtlDate].[All]" allUniqueName="[SalesSeason].[EtlDate].[All]" dimensionUniqueName="[SalesSeason]" displayFolder="" count="0" unbalanced="0"/>
    <cacheHierarchy uniqueName="[SalesSeason].[SalesSeasonCode]" caption="SalesSeasonCode" attribute="1" defaultMemberUniqueName="[SalesSeason].[SalesSeasonCode].[All]" allUniqueName="[SalesSeason].[SalesSeasonCode].[All]" dimensionUniqueName="[SalesSeason]" displayFolder="" count="0" unbalanced="0"/>
    <cacheHierarchy uniqueName="[SalesSeason].[SalesSeasonID]" caption="SalesSeasonID" attribute="1" defaultMemberUniqueName="[SalesSeason].[SalesSeasonID].[All]" allUniqueName="[SalesSeason].[SalesSeasonID].[All]" dimensionUniqueName="[SalesSeason]" displayFolder="" count="0" unbalanced="0"/>
    <cacheHierarchy uniqueName="[SalesSeason].[SalesSeasonName]" caption="SalesSeasonName" attribute="1" defaultMemberUniqueName="[SalesSeason].[SalesSeasonName].[All]" allUniqueName="[SalesSeason].[SalesSeasonName].[All]" dimensionUniqueName="[SalesSeason]" displayFolder="" count="0" unbalanced="0"/>
    <cacheHierarchy uniqueName="[StockList].[StockList]" caption="StockList" attribute="1" defaultMemberUniqueName="[StockList].[StockList].[All]" allUniqueName="[StockList].[StockList].[All]" dimensionUniqueName="[StockList]" displayFolder="" count="0" unbalanced="0"/>
    <cacheHierarchy uniqueName="[StockList].[StockListChannelName]" caption="StockListChannelName" attribute="1" defaultMemberUniqueName="[StockList].[StockListChannelName].[All]" allUniqueName="[StockList].[StockListChannelName].[All]" dimensionUniqueName="[StockList]" displayFolder="" count="0" unbalanced="0"/>
    <cacheHierarchy uniqueName="[StockList].[StockListCode]" caption="StockListCode" attribute="1" defaultMemberUniqueName="[StockList].[StockListCode].[All]" allUniqueName="[StockList].[StockListCode].[All]" dimensionUniqueName="[StockList]" displayFolder="" count="0" unbalanced="0"/>
    <cacheHierarchy uniqueName="[StockList].[StockListKey]" caption="StockListKey" attribute="1" defaultMemberUniqueName="[StockList].[StockListKey].[All]" allUniqueName="[StockList].[StockListKey].[All]" dimensionUniqueName="[StockList]" displayFolder="" count="0" unbalanced="0"/>
    <cacheHierarchy uniqueName="[Store].[AllocationSpecialist]" caption="AllocationSpecialist" attribute="1" defaultMemberUniqueName="[Store].[AllocationSpecialist].[All]" allUniqueName="[Store].[AllocationSpecialist].[All]" dimensionUniqueName="[Store]" displayFolder="" count="0" unbalanced="0"/>
    <cacheHierarchy uniqueName="[Store].[BackStoreM2]" caption="BackStoreM2" attribute="1" defaultMemberUniqueName="[Store].[BackStoreM2].[All]" allUniqueName="[Store].[BackStoreM2].[All]" dimensionUniqueName="[Store]" displayFolder="" count="0" unbalanced="0"/>
    <cacheHierarchy uniqueName="[Store].[CapacityClusterCode]" caption="CapacityClusterCode" attribute="1" defaultMemberUniqueName="[Store].[CapacityClusterCode].[All]" allUniqueName="[Store].[CapacityClusterCode].[All]" dimensionUniqueName="[Store]" displayFolder="" count="0" unbalanced="0"/>
    <cacheHierarchy uniqueName="[Store].[CapacityClusterDesc]" caption="CapacityClusterDesc" attribute="1" defaultMemberUniqueName="[Store].[CapacityClusterDesc].[All]" allUniqueName="[Store].[CapacityClusterDesc].[All]" dimensionUniqueName="[Store]" displayFolder="" count="0" unbalanced="0"/>
    <cacheHierarchy uniqueName="[Store].[CityCode]" caption="CityCode" attribute="1" defaultMemberUniqueName="[Store].[CityCode].[All]" allUniqueName="[Store].[CityCode].[All]" dimensionUniqueName="[Store]" displayFolder="" count="0" unbalanced="0"/>
    <cacheHierarchy uniqueName="[Store].[GrossAreaMeters]" caption="GrossAreaMeters" attribute="1" defaultMemberUniqueName="[Store].[GrossAreaMeters].[All]" allUniqueName="[Store].[GrossAreaMeters].[All]" dimensionUniqueName="[Store]" displayFolder="" count="0" unbalanced="0"/>
    <cacheHierarchy uniqueName="[Store].[Latitude]" caption="Latitude" attribute="1" defaultMemberUniqueName="[Store].[Latitude].[All]" allUniqueName="[Store].[Latitude].[All]" dimensionUniqueName="[Store]" displayFolder="" count="0" unbalanced="0"/>
    <cacheHierarchy uniqueName="[Store].[LocationCityDesc]" caption="LocationCityDesc" attribute="1" defaultMemberUniqueName="[Store].[LocationCityDesc].[All]" allUniqueName="[Store].[LocationCityDesc].[All]" dimensionUniqueName="[Store]" displayFolder="" count="0" unbalanced="0"/>
    <cacheHierarchy uniqueName="[Store].[LocationCountry]" caption="LocationCountry" attribute="1" defaultMemberUniqueName="[Store].[LocationCountry].[All]" allUniqueName="[Store].[LocationCountry].[All]" dimensionUniqueName="[Store]" displayFolder="" count="2" unbalanced="0">
      <fieldsUsage count="2">
        <fieldUsage x="-1"/>
        <fieldUsage x="11"/>
      </fieldsUsage>
    </cacheHierarchy>
    <cacheHierarchy uniqueName="[Store].[LocationCurrencyCode]" caption="LocationCurrencyCode" attribute="1" defaultMemberUniqueName="[Store].[LocationCurrencyCode].[All]" allUniqueName="[Store].[LocationCurrencyCode].[All]" dimensionUniqueName="[Store]" displayFolder="" count="0" unbalanced="0"/>
    <cacheHierarchy uniqueName="[Store].[LocationKey]" caption="LocationKey" attribute="1" defaultMemberUniqueName="[Store].[LocationKey].[All]" allUniqueName="[Store].[LocationKey].[All]" dimensionUniqueName="[Store]" displayFolder="" count="0" unbalanced="0"/>
    <cacheHierarchy uniqueName="[Store].[LocationSeason]" caption="LocationSeason" attribute="1" defaultMemberUniqueName="[Store].[LocationSeason].[All]" allUniqueName="[Store].[LocationSeason].[All]" dimensionUniqueName="[Store]" displayFolder="" count="0" unbalanced="0"/>
    <cacheHierarchy uniqueName="[Store].[LocationType]" caption="LocationType" attribute="1" defaultMemberUniqueName="[Store].[LocationType].[All]" allUniqueName="[Store].[LocationType].[All]" dimensionUniqueName="[Store]" displayFolder="" count="0" unbalanced="0"/>
    <cacheHierarchy uniqueName="[Store].[Longitude]" caption="Longitude" attribute="1" defaultMemberUniqueName="[Store].[Longitude].[All]" allUniqueName="[Store].[Longitude].[All]" dimensionUniqueName="[Store]" displayFolder="" count="0" unbalanced="0"/>
    <cacheHierarchy uniqueName="[Store].[OperationRegionCode]" caption="OperationRegionCode" attribute="1" defaultMemberUniqueName="[Store].[OperationRegionCode].[All]" allUniqueName="[Store].[OperationRegionCode].[All]" dimensionUniqueName="[Store]" displayFolder="" count="0" unbalanced="0"/>
    <cacheHierarchy uniqueName="[Store].[OperationRegionDesc]" caption="OperationRegionDesc" attribute="1" defaultMemberUniqueName="[Store].[OperationRegionDesc].[All]" allUniqueName="[Store].[OperationRegionDesc].[All]" dimensionUniqueName="[Store]" displayFolder="" count="0" unbalanced="0"/>
    <cacheHierarchy uniqueName="[Store].[RegionManager1]" caption="RegionManager1" attribute="1" defaultMemberUniqueName="[Store].[RegionManager1].[All]" allUniqueName="[Store].[RegionManager1].[All]" dimensionUniqueName="[Store]" displayFolder="" count="0" unbalanced="0"/>
    <cacheHierarchy uniqueName="[Store].[RegionManager2]" caption="RegionManager2" attribute="1" defaultMemberUniqueName="[Store].[RegionManager2].[All]" allUniqueName="[Store].[RegionManager2].[All]" dimensionUniqueName="[Store]" displayFolder="" count="0" unbalanced="0"/>
    <cacheHierarchy uniqueName="[Store].[RegionOpManager]" caption="RegionOpManager" attribute="1" defaultMemberUniqueName="[Store].[RegionOpManager].[All]" allUniqueName="[Store].[RegionOpManager].[All]" dimensionUniqueName="[Store]" displayFolder="" count="0" unbalanced="0"/>
    <cacheHierarchy uniqueName="[Store].[SalesOrgRegion]" caption="SalesOrgRegion" attribute="1" defaultMemberUniqueName="[Store].[SalesOrgRegion].[All]" allUniqueName="[Store].[SalesOrgRegion].[All]" dimensionUniqueName="[Store]" displayFolder="" count="0" unbalanced="0"/>
    <cacheHierarchy uniqueName="[Store].[SquareMeters]" caption="SquareMeters" attribute="1" defaultMemberUniqueName="[Store].[SquareMeters].[All]" allUniqueName="[Store].[SquareMeters].[All]" dimensionUniqueName="[Store]" displayFolder="" count="0" unbalanced="0"/>
    <cacheHierarchy uniqueName="[Store].[StockBufferFactor]" caption="StockBufferFactor" attribute="1" defaultMemberUniqueName="[Store].[StockBufferFactor].[All]" allUniqueName="[Store].[StockBufferFactor].[All]" dimensionUniqueName="[Store]" displayFolder="" count="0" unbalanced="0"/>
    <cacheHierarchy uniqueName="[Store].[StoreClass]" caption="StoreClass" attribute="1" defaultMemberUniqueName="[Store].[StoreClass].[All]" allUniqueName="[Store].[StoreClass].[All]" dimensionUniqueName="[Store]" displayFolder="" count="0" unbalanced="0"/>
    <cacheHierarchy uniqueName="[Store].[StoreCloseDate]" caption="StoreCloseDate" attribute="1" defaultMemberUniqueName="[Store].[StoreCloseDate].[All]" allUniqueName="[Store].[StoreCloseDate].[All]" dimensionUniqueName="[Store]" displayFolder="" count="0" unbalanced="0"/>
    <cacheHierarchy uniqueName="[Store].[StoreCode]" caption="StoreCode" attribute="1" defaultMemberUniqueName="[Store].[StoreCode].[All]" allUniqueName="[Store].[StoreCode].[All]" dimensionUniqueName="[Store]" displayFolder="" count="0" unbalanced="0"/>
    <cacheHierarchy uniqueName="[Store].[StoreCompanyRegion]" caption="StoreCompanyRegion" attribute="1" defaultMemberUniqueName="[Store].[StoreCompanyRegion].[All]" allUniqueName="[Store].[StoreCompanyRegion].[All]" dimensionUniqueName="[Store]" displayFolder="" count="0" unbalanced="0"/>
    <cacheHierarchy uniqueName="[Store].[StoreCustomerCluster]" caption="StoreCustomerCluster" attribute="1" defaultMemberUniqueName="[Store].[StoreCustomerCluster].[All]" allUniqueName="[Store].[StoreCustomerCluster].[All]" dimensionUniqueName="[Store]" displayFolder="" count="0" unbalanced="0"/>
    <cacheHierarchy uniqueName="[Store].[StoreDistChannelCode]" caption="StoreDistChannelCode" attribute="1" defaultMemberUniqueName="[Store].[StoreDistChannelCode].[All]" allUniqueName="[Store].[StoreDistChannelCode].[All]" dimensionUniqueName="[Store]" displayFolder="" count="0" unbalanced="0"/>
    <cacheHierarchy uniqueName="[Store].[StoreDistChannelDesc]" caption="StoreDistChannelDesc" attribute="1" defaultMemberUniqueName="[Store].[StoreDistChannelDesc].[All]" allUniqueName="[Store].[StoreDistChannelDesc].[All]" dimensionUniqueName="[Store]" displayFolder="" count="0" unbalanced="0"/>
    <cacheHierarchy uniqueName="[Store].[StoreIN_Outlet]" caption="StoreIN_Outlet" attribute="1" defaultMemberUniqueName="[Store].[StoreIN_Outlet].[All]" allUniqueName="[Store].[StoreIN_Outlet].[All]" dimensionUniqueName="[Store]" displayFolder="" count="0" unbalanced="0"/>
    <cacheHierarchy uniqueName="[Store].[StoreName]" caption="StoreName" attribute="1" defaultMemberUniqueName="[Store].[StoreName].[All]" allUniqueName="[Store].[StoreName].[All]" dimensionUniqueName="[Store]" displayFolder="" count="0" unbalanced="0"/>
    <cacheHierarchy uniqueName="[Store].[StoreOpenDate]" caption="StoreOpenDate" attribute="1" defaultMemberUniqueName="[Store].[StoreOpenDate].[All]" allUniqueName="[Store].[StoreOpenDate].[All]" dimensionUniqueName="[Store]" displayFolder="" count="0" unbalanced="0"/>
    <cacheHierarchy uniqueName="[Store].[StorePriceChannel]" caption="StorePriceChannel" attribute="1" defaultMemberUniqueName="[Store].[StorePriceChannel].[All]" allUniqueName="[Store].[StorePriceChannel].[All]" dimensionUniqueName="[Store]" displayFolder="" count="0" unbalanced="0"/>
    <cacheHierarchy uniqueName="[Store].[StorePriceScore]" caption="StorePriceScore" attribute="1" defaultMemberUniqueName="[Store].[StorePriceScore].[All]" allUniqueName="[Store].[StorePriceScore].[All]" dimensionUniqueName="[Store]" displayFolder="" count="0" unbalanced="0"/>
    <cacheHierarchy uniqueName="[Store].[StoreRegionCode]" caption="StoreRegionCode" attribute="1" defaultMemberUniqueName="[Store].[StoreRegionCode].[All]" allUniqueName="[Store].[StoreRegionCode].[All]" dimensionUniqueName="[Store]" displayFolder="" count="0" unbalanced="0"/>
    <cacheHierarchy uniqueName="[Store].[StoreRegionDesc]" caption="StoreRegionDesc" attribute="1" defaultMemberUniqueName="[Store].[StoreRegionDesc].[All]" allUniqueName="[Store].[StoreRegionDesc].[All]" dimensionUniqueName="[Store]" displayFolder="" count="0" unbalanced="0"/>
    <cacheHierarchy uniqueName="[Store].[StoreSeasonDesc]" caption="StoreSeasonDesc" attribute="1" defaultMemberUniqueName="[Store].[StoreSeasonDesc].[All]" allUniqueName="[Store].[StoreSeasonDesc].[All]" dimensionUniqueName="[Store]" displayFolder="" count="0" unbalanced="0"/>
    <cacheHierarchy uniqueName="[Store].[StoreSize]" caption="StoreSize" attribute="1" defaultMemberUniqueName="[Store].[StoreSize].[All]" allUniqueName="[Store].[StoreSize].[All]" dimensionUniqueName="[Store]" displayFolder="" count="0" unbalanced="0"/>
    <cacheHierarchy uniqueName="[Store].[StoreStatus]" caption="StoreStatus" attribute="1" defaultMemberUniqueName="[Store].[StoreStatus].[All]" allUniqueName="[Store].[StoreStatus].[All]" dimensionUniqueName="[Store]" displayFolder="" count="0" unbalanced="0"/>
    <cacheHierarchy uniqueName="[Store].[StoreTopType]" caption="StoreTopType" attribute="1" defaultMemberUniqueName="[Store].[StoreTopType].[All]" allUniqueName="[Store].[StoreTopType].[All]" dimensionUniqueName="[Store]" displayFolder="" count="0" unbalanced="0"/>
    <cacheHierarchy uniqueName="[Store].[StoreType]" caption="StoreType" attribute="1" defaultMemberUniqueName="[Store].[StoreType].[All]" allUniqueName="[Store].[StoreType].[All]" dimensionUniqueName="[Store]" displayFolder="" count="0" unbalanced="0"/>
    <cacheHierarchy uniqueName="[Store].[Tourist]" caption="Tourist" attribute="1" defaultMemberUniqueName="[Store].[Tourist].[All]" allUniqueName="[Store].[Tourist].[All]" dimensionUniqueName="[Store]" displayFolder="" count="0" unbalanced="0"/>
    <cacheHierarchy uniqueName="[StoreLFLStatu].[StoreLFLStatuDesc]" caption="StoreLFLStatuDesc" attribute="1" defaultMemberUniqueName="[StoreLFLStatu].[StoreLFLStatuDesc].[All]" allUniqueName="[StoreLFLStatu].[StoreLFLStatuDesc].[All]" dimensionUniqueName="[StoreLFLStatu]" displayFolder="" count="0" unbalanced="0"/>
    <cacheHierarchy uniqueName="[StoreLFLStatu].[StoreLFLStatuGroupDesc]" caption="StoreLFLStatuGroupDesc" attribute="1" defaultMemberUniqueName="[StoreLFLStatu].[StoreLFLStatuGroupDesc].[All]" allUniqueName="[StoreLFLStatu].[StoreLFLStatuGroupDesc].[All]" dimensionUniqueName="[StoreLFLStatu]" displayFolder="" count="0" unbalanced="0"/>
    <cacheHierarchy uniqueName="[StoreLFLStatu].[StoreLFLStatuKey]" caption="StoreLFLStatuKey" attribute="1" defaultMemberUniqueName="[StoreLFLStatu].[StoreLFLStatuKey].[All]" allUniqueName="[StoreLFLStatu].[StoreLFLStatuKey].[All]" dimensionUniqueName="[StoreLFLStatu]" displayFolder="" count="0" unbalanced="0"/>
    <cacheHierarchy uniqueName="[SubDistChannel].[SubDistChannelCode]" caption="SubDistChannelCode" attribute="1" defaultMemberUniqueName="[SubDistChannel].[SubDistChannelCode].[All]" allUniqueName="[SubDistChannel].[SubDistChannelCode].[All]" dimensionUniqueName="[SubDistChannel]" displayFolder="" count="0" unbalanced="0"/>
    <cacheHierarchy uniqueName="[SubDistChannel].[SubDistChannelDesc]" caption="SubDistChannelDesc" attribute="1" defaultMemberUniqueName="[SubDistChannel].[SubDistChannelDesc].[All]" allUniqueName="[SubDistChannel].[SubDistChannelDesc].[All]" dimensionUniqueName="[SubDistChannel]" displayFolder="" count="0" unbalanced="0"/>
    <cacheHierarchy uniqueName="[SubDistChannel].[SubDistChannelKey]" caption="SubDistChannelKey" attribute="1" defaultMemberUniqueName="[SubDistChannel].[SubDistChannelKey].[All]" allUniqueName="[SubDistChannel].[SubDistChannelKey].[All]" dimensionUniqueName="[SubDistChannel]" displayFolder="" count="0" unbalanced="0"/>
    <cacheHierarchy uniqueName="[Calendar].[EtlDate]" caption="EtlDate" attribute="1" time="1" defaultMemberUniqueName="[Calendar].[EtlDate].[All]" allUniqueName="[Calendar].[EtlDate].[All]" dimensionUniqueName="[Calendar]" displayFolder="" count="0" unbalanced="0" hidden="1"/>
    <cacheHierarchy uniqueName="[Capacity].[Date]" caption="Date" attribute="1" defaultMemberUniqueName="[Capacity].[Date].[All]" allUniqueName="[Capacity].[Date].[All]" dimensionUniqueName="[Capacity]" displayFolder="" count="0" unbalanced="0" hidden="1"/>
    <cacheHierarchy uniqueName="[Capacity].[InitialSalesPriceID]" caption="InitialSalesPriceID" attribute="1" defaultMemberUniqueName="[Capacity].[InitialSalesPriceID].[All]" allUniqueName="[Capacity].[InitialSalesPriceID].[All]" dimensionUniqueName="[Capacity]" displayFolder="" count="0" unbalanced="0" hidden="1"/>
    <cacheHierarchy uniqueName="[Capacity].[LFLFactor]" caption="LFLFactor" attribute="1" defaultMemberUniqueName="[Capacity].[LFLFactor].[All]" allUniqueName="[Capacity].[LFLFactor].[All]" dimensionUniqueName="[Capacity]" displayFolder="" count="0" unbalanced="0" hidden="1"/>
    <cacheHierarchy uniqueName="[Capacity].[LocationKey]" caption="LocationKey" attribute="1" defaultMemberUniqueName="[Capacity].[LocationKey].[All]" allUniqueName="[Capacity].[LocationKey].[All]" dimensionUniqueName="[Capacity]" displayFolder="" count="0" unbalanced="0" hidden="1"/>
    <cacheHierarchy uniqueName="[Capacity].[MaterialKey]" caption="MaterialKey" attribute="1" defaultMemberUniqueName="[Capacity].[MaterialKey].[All]" allUniqueName="[Capacity].[MaterialKey].[All]" dimensionUniqueName="[Capacity]" displayFolder="" count="0" unbalanced="0" hidden="1"/>
    <cacheHierarchy uniqueName="[Capacity].[OutletID]" caption="OutletID" attribute="1" defaultMemberUniqueName="[Capacity].[OutletID].[All]" allUniqueName="[Capacity].[OutletID].[All]" dimensionUniqueName="[Capacity]" displayFolder="" count="0" unbalanced="0" hidden="1"/>
    <cacheHierarchy uniqueName="[Capacity].[SalesChannelKey]" caption="SalesChannelKey" attribute="1" defaultMemberUniqueName="[Capacity].[SalesChannelKey].[All]" allUniqueName="[Capacity].[SalesChannelKey].[All]" dimensionUniqueName="[Capacity]" displayFolder="" count="0" unbalanced="0" hidden="1"/>
    <cacheHierarchy uniqueName="[Capacity].[SalesSeasonID]" caption="SalesSeasonID" attribute="1" defaultMemberUniqueName="[Capacity].[SalesSeasonID].[All]" allUniqueName="[Capacity].[SalesSeasonID].[All]" dimensionUniqueName="[Capacity]" displayFolder="" count="0" unbalanced="0" hidden="1"/>
    <cacheHierarchy uniqueName="[Capacity].[SubDistChannelKey]" caption="SubDistChannelKey" attribute="1" defaultMemberUniqueName="[Capacity].[SubDistChannelKey].[All]" allUniqueName="[Capacity].[SubDistChannelKey].[All]" dimensionUniqueName="[Capacity]" displayFolder="" count="0" unbalanced="0" hidden="1"/>
    <cacheHierarchy uniqueName="[Capacity].[TYCapacityPlanUnit]" caption="TYCapacityPlanUnit" attribute="1" defaultMemberUniqueName="[Capacity].[TYCapacityPlanUnit].[All]" allUniqueName="[Capacity].[TYCapacityPlanUnit].[All]" dimensionUniqueName="[Capacity]" displayFolder="" count="0" unbalanced="0" hidden="1"/>
    <cacheHierarchy uniqueName="[CapacityPlanTY].[Date]" caption="Date" attribute="1" defaultMemberUniqueName="[CapacityPlanTY].[Date].[All]" allUniqueName="[CapacityPlanTY].[Date].[All]" dimensionUniqueName="[CapacityPlanTY]" displayFolder="" count="0" unbalanced="0" hidden="1"/>
    <cacheHierarchy uniqueName="[CapacityPlanTY].[DistrubitionChannelCode]" caption="DistrubitionChannelCode" attribute="1" defaultMemberUniqueName="[CapacityPlanTY].[DistrubitionChannelCode].[All]" allUniqueName="[CapacityPlanTY].[DistrubitionChannelCode].[All]" dimensionUniqueName="[CapacityPlanTY]" displayFolder="" count="0" unbalanced="0" hidden="1"/>
    <cacheHierarchy uniqueName="[CapacityPlanTY].[DWSourceKey]" caption="DWSourceKey" attribute="1" defaultMemberUniqueName="[CapacityPlanTY].[DWSourceKey].[All]" allUniqueName="[CapacityPlanTY].[DWSourceKey].[All]" dimensionUniqueName="[CapacityPlanTY]" displayFolder="" count="0" unbalanced="0" hidden="1"/>
    <cacheHierarchy uniqueName="[CapacityPlanTY].[ETLDate]" caption="ETLDate" attribute="1" defaultMemberUniqueName="[CapacityPlanTY].[ETLDate].[All]" allUniqueName="[CapacityPlanTY].[ETLDate].[All]" dimensionUniqueName="[CapacityPlanTY]" displayFolder="" count="0" unbalanced="0" hidden="1"/>
    <cacheHierarchy uniqueName="[CapacityPlanTY].[EURExcRate]" caption="EURExcRate" attribute="1" defaultMemberUniqueName="[CapacityPlanTY].[EURExcRate].[All]" allUniqueName="[CapacityPlanTY].[EURExcRate].[All]" dimensionUniqueName="[CapacityPlanTY]" displayFolder="" count="0" unbalanced="0" hidden="1"/>
    <cacheHierarchy uniqueName="[CapacityPlanTY].[LFLPlanAvgStoreStockCostLC]" caption="LFLPlanAvgStoreStockCostLC" attribute="1" defaultMemberUniqueName="[CapacityPlanTY].[LFLPlanAvgStoreStockCostLC].[All]" allUniqueName="[CapacityPlanTY].[LFLPlanAvgStoreStockCostLC].[All]" dimensionUniqueName="[CapacityPlanTY]" displayFolder="" count="0" unbalanced="0" hidden="1"/>
    <cacheHierarchy uniqueName="[CapacityPlanTY].[LFLPlanAvgStoreStockUnit]" caption="LFLPlanAvgStoreStockUnit" attribute="1" defaultMemberUniqueName="[CapacityPlanTY].[LFLPlanAvgStoreStockUnit].[All]" allUniqueName="[CapacityPlanTY].[LFLPlanAvgStoreStockUnit].[All]" dimensionUniqueName="[CapacityPlanTY]" displayFolder="" count="0" unbalanced="0" hidden="1"/>
    <cacheHierarchy uniqueName="[CapacityPlanTY].[LocationCurrencyCode]" caption="LocationCurrencyCode" attribute="1" defaultMemberUniqueName="[CapacityPlanTY].[LocationCurrencyCode].[All]" allUniqueName="[CapacityPlanTY].[LocationCurrencyCode].[All]" dimensionUniqueName="[CapacityPlanTY]" displayFolder="" count="0" unbalanced="0" hidden="1"/>
    <cacheHierarchy uniqueName="[CapacityPlanTY].[LocationKey]" caption="LocationKey" attribute="1" defaultMemberUniqueName="[CapacityPlanTY].[LocationKey].[All]" allUniqueName="[CapacityPlanTY].[LocationKey].[All]" dimensionUniqueName="[CapacityPlanTY]" displayFolder="" count="0" unbalanced="0" hidden="1"/>
    <cacheHierarchy uniqueName="[CapacityPlanTY].[MainGroupCode]" caption="MainGroupCode" attribute="1" defaultMemberUniqueName="[CapacityPlanTY].[MainGroupCode].[All]" allUniqueName="[CapacityPlanTY].[MainGroupCode].[All]" dimensionUniqueName="[CapacityPlanTY]" displayFolder="" count="0" unbalanced="0" hidden="1"/>
    <cacheHierarchy uniqueName="[CapacityPlanTY].[MaterialKey]" caption="MaterialKey" attribute="1" defaultMemberUniqueName="[CapacityPlanTY].[MaterialKey].[All]" allUniqueName="[CapacityPlanTY].[MaterialKey].[All]" dimensionUniqueName="[CapacityPlanTY]" displayFolder="" count="0" unbalanced="0" hidden="1"/>
    <cacheHierarchy uniqueName="[CapacityPlanTY].[PlanAvgStoreStockCostLC]" caption="PlanAvgStoreStockCostLC" attribute="1" defaultMemberUniqueName="[CapacityPlanTY].[PlanAvgStoreStockCostLC].[All]" allUniqueName="[CapacityPlanTY].[PlanAvgStoreStockCostLC].[All]" dimensionUniqueName="[CapacityPlanTY]" displayFolder="" count="0" unbalanced="0" hidden="1"/>
    <cacheHierarchy uniqueName="[CapacityPlanTY].[PlanAvgStoreStockUnit]" caption="PlanAvgStoreStockUnit" attribute="1" defaultMemberUniqueName="[CapacityPlanTY].[PlanAvgStoreStockUnit].[All]" allUniqueName="[CapacityPlanTY].[PlanAvgStoreStockUnit].[All]" dimensionUniqueName="[CapacityPlanTY]" displayFolder="" count="0" unbalanced="0" hidden="1"/>
    <cacheHierarchy uniqueName="[CapacityPlanTY].[SalesChannelKey]" caption="SalesChannelKey" attribute="1" defaultMemberUniqueName="[CapacityPlanTY].[SalesChannelKey].[All]" allUniqueName="[CapacityPlanTY].[SalesChannelKey].[All]" dimensionUniqueName="[CapacityPlanTY]" displayFolder="" count="0" unbalanced="0" hidden="1"/>
    <cacheHierarchy uniqueName="[CapacityPlanTY].[SalesOrgCode]" caption="SalesOrgCode" attribute="1" defaultMemberUniqueName="[CapacityPlanTY].[SalesOrgCode].[All]" allUniqueName="[CapacityPlanTY].[SalesOrgCode].[All]" dimensionUniqueName="[CapacityPlanTY]" displayFolder="" count="0" unbalanced="0" hidden="1"/>
    <cacheHierarchy uniqueName="[CapacityPlanTY].[SubDistChannelKey]" caption="SubDistChannelKey" attribute="1" defaultMemberUniqueName="[CapacityPlanTY].[SubDistChannelKey].[All]" allUniqueName="[CapacityPlanTY].[SubDistChannelKey].[All]" dimensionUniqueName="[CapacityPlanTY]" displayFolder="" count="0" unbalanced="0" hidden="1"/>
    <cacheHierarchy uniqueName="[CapacityPlanTY].[SubGroupCode]" caption="SubGroupCode" attribute="1" defaultMemberUniqueName="[CapacityPlanTY].[SubGroupCode].[All]" allUniqueName="[CapacityPlanTY].[SubGroupCode].[All]" dimensionUniqueName="[CapacityPlanTY]" displayFolder="" count="0" unbalanced="0" hidden="1"/>
    <cacheHierarchy uniqueName="[CapacityPlanTY].[TRYExcRate]" caption="TRYExcRate" attribute="1" defaultMemberUniqueName="[CapacityPlanTY].[TRYExcRate].[All]" allUniqueName="[CapacityPlanTY].[TRYExcRate].[All]" dimensionUniqueName="[CapacityPlanTY]" displayFolder="" count="0" unbalanced="0" hidden="1"/>
    <cacheHierarchy uniqueName="[CapacityPlanTY].[USDExcRate]" caption="USDExcRate" attribute="1" defaultMemberUniqueName="[CapacityPlanTY].[USDExcRate].[All]" allUniqueName="[CapacityPlanTY].[USDExcRate].[All]" dimensionUniqueName="[CapacityPlanTY]" displayFolder="" count="0" unbalanced="0" hidden="1"/>
    <cacheHierarchy uniqueName="[CapacityPlanTY].[YearMonth]" caption="YearMonth" attribute="1" defaultMemberUniqueName="[CapacityPlanTY].[YearMonth].[All]" allUniqueName="[CapacityPlanTY].[YearMonth].[All]" dimensionUniqueName="[CapacityPlanTY]" displayFolder="" count="0" unbalanced="0" hidden="1"/>
    <cacheHierarchy uniqueName="[CurrentStockSales].[BanProfit]" caption="BanProfit" attribute="1" defaultMemberUniqueName="[CurrentStockSales].[BanProfit].[All]" allUniqueName="[CurrentStockSales].[BanProfit].[All]" dimensionUniqueName="[CurrentStockSales]" displayFolder="" count="0" unbalanced="0" hidden="1"/>
    <cacheHierarchy uniqueName="[CurrentStockSales].[CumStockDM3]" caption="CumStockDM3" attribute="1" defaultMemberUniqueName="[CurrentStockSales].[CumStockDM3].[All]" allUniqueName="[CurrentStockSales].[CumStockDM3].[All]" dimensionUniqueName="[CurrentStockSales]" displayFolder="" count="0" unbalanced="0" hidden="1"/>
    <cacheHierarchy uniqueName="[CurrentStockSales].[CumStokUnit]" caption="CumStokUnit" attribute="1" defaultMemberUniqueName="[CurrentStockSales].[CumStokUnit].[All]" allUniqueName="[CurrentStockSales].[CumStokUnit].[All]" dimensionUniqueName="[CurrentStockSales]" displayFolder="" count="0" unbalanced="0" hidden="1"/>
    <cacheHierarchy uniqueName="[CurrentStockSales].[CUROpenTransferStoreStockUnit]" caption="CUROpenTransferStoreStockUnit" attribute="1" defaultMemberUniqueName="[CurrentStockSales].[CUROpenTransferStoreStockUnit].[All]" allUniqueName="[CurrentStockSales].[CUROpenTransferStoreStockUnit].[All]" dimensionUniqueName="[CurrentStockSales]" displayFolder="" count="0" unbalanced="0" hidden="1"/>
    <cacheHierarchy uniqueName="[CurrentStockSales].[CURUnapprovedOrderStoreStockUnit]" caption="CURUnapprovedOrderStoreStockUnit" attribute="1" defaultMemberUniqueName="[CurrentStockSales].[CURUnapprovedOrderStoreStockUnit].[All]" allUniqueName="[CurrentStockSales].[CURUnapprovedOrderStoreStockUnit].[All]" dimensionUniqueName="[CurrentStockSales]" displayFolder="" count="0" unbalanced="0" hidden="1"/>
    <cacheHierarchy uniqueName="[CurrentStockSales].[GrossProfit007]" caption="GrossProfit007" attribute="1" defaultMemberUniqueName="[CurrentStockSales].[GrossProfit007].[All]" allUniqueName="[CurrentStockSales].[GrossProfit007].[All]" dimensionUniqueName="[CurrentStockSales]" displayFolder="" count="0" unbalanced="0" hidden="1"/>
    <cacheHierarchy uniqueName="[CurrentStockSales].[GrossProfit021]" caption="GrossProfit021" attribute="1" defaultMemberUniqueName="[CurrentStockSales].[GrossProfit021].[All]" allUniqueName="[CurrentStockSales].[GrossProfit021].[All]" dimensionUniqueName="[CurrentStockSales]" displayFolder="" count="0" unbalanced="0" hidden="1"/>
    <cacheHierarchy uniqueName="[CurrentStockSales].[LivingArea]" caption="LivingArea" attribute="1" defaultMemberUniqueName="[CurrentStockSales].[LivingArea].[All]" allUniqueName="[CurrentStockSales].[LivingArea].[All]" dimensionUniqueName="[CurrentStockSales]" displayFolder="" count="0" unbalanced="0" hidden="1"/>
    <cacheHierarchy uniqueName="[CurrentStockSales].[MainGroupCode]" caption="MainGroupCode" attribute="1" defaultMemberUniqueName="[CurrentStockSales].[MainGroupCode].[All]" allUniqueName="[CurrentStockSales].[MainGroupCode].[All]" dimensionUniqueName="[CurrentStockSales]" displayFolder="" count="0" unbalanced="0" hidden="1"/>
    <cacheHierarchy uniqueName="[CurrentStockSales].[Marj_w1]" caption="Marj_w1" attribute="1" defaultMemberUniqueName="[CurrentStockSales].[Marj_w1].[All]" allUniqueName="[CurrentStockSales].[Marj_w1].[All]" dimensionUniqueName="[CurrentStockSales]" displayFolder="" count="0" unbalanced="0" hidden="1"/>
    <cacheHierarchy uniqueName="[CurrentStockSales].[Marj_w3]" caption="Marj_w3" attribute="1" defaultMemberUniqueName="[CurrentStockSales].[Marj_w3].[All]" allUniqueName="[CurrentStockSales].[Marj_w3].[All]" dimensionUniqueName="[CurrentStockSales]" displayFolder="" count="0" unbalanced="0" hidden="1"/>
    <cacheHierarchy uniqueName="[CurrentStockSales].[MaterialCode]" caption="MaterialCode" attribute="1" defaultMemberUniqueName="[CurrentStockSales].[MaterialCode].[All]" allUniqueName="[CurrentStockSales].[MaterialCode].[All]" dimensionUniqueName="[CurrentStockSales]" displayFolder="" count="0" unbalanced="0" hidden="1"/>
    <cacheHierarchy uniqueName="[CurrentStockSales].[MaterialDm3]" caption="MaterialDm3" attribute="1" defaultMemberUniqueName="[CurrentStockSales].[MaterialDm3].[All]" allUniqueName="[CurrentStockSales].[MaterialDm3].[All]" dimensionUniqueName="[CurrentStockSales]" displayFolder="" count="0" unbalanced="0" hidden="1"/>
    <cacheHierarchy uniqueName="[CurrentStockSales].[MaterialKey]" caption="MaterialKey" attribute="1" defaultMemberUniqueName="[CurrentStockSales].[MaterialKey].[All]" allUniqueName="[CurrentStockSales].[MaterialKey].[All]" dimensionUniqueName="[CurrentStockSales]" displayFolder="" count="0" unbalanced="0" hidden="1"/>
    <cacheHierarchy uniqueName="[CurrentStockSales].[NetCumStockDM3]" caption="NetCumStockDM3" attribute="1" defaultMemberUniqueName="[CurrentStockSales].[NetCumStockDM3].[All]" allUniqueName="[CurrentStockSales].[NetCumStockDM3].[All]" dimensionUniqueName="[CurrentStockSales]" displayFolder="" count="0" unbalanced="0" hidden="1"/>
    <cacheHierarchy uniqueName="[CurrentStockSales].[NetCumStokUnit]" caption="NetCumStokUnit" attribute="1" defaultMemberUniqueName="[CurrentStockSales].[NetCumStokUnit].[All]" allUniqueName="[CurrentStockSales].[NetCumStokUnit].[All]" dimensionUniqueName="[CurrentStockSales]" displayFolder="" count="0" unbalanced="0" hidden="1"/>
    <cacheHierarchy uniqueName="[CurrentStockSales].[QtyInBox]" caption="QtyInBox" attribute="1" defaultMemberUniqueName="[CurrentStockSales].[QtyInBox].[All]" allUniqueName="[CurrentStockSales].[QtyInBox].[All]" dimensionUniqueName="[CurrentStockSales]" displayFolder="" count="0" unbalanced="0" hidden="1"/>
    <cacheHierarchy uniqueName="[CurrentStockSales].[SalesUnit007]" caption="SalesUnit007" attribute="1" defaultMemberUniqueName="[CurrentStockSales].[SalesUnit007].[All]" allUniqueName="[CurrentStockSales].[SalesUnit007].[All]" dimensionUniqueName="[CurrentStockSales]" displayFolder="" count="0" unbalanced="0" hidden="1"/>
    <cacheHierarchy uniqueName="[CurrentStockSales].[SalesUnit021]" caption="SalesUnit021" attribute="1" defaultMemberUniqueName="[CurrentStockSales].[SalesUnit021].[All]" allUniqueName="[CurrentStockSales].[SalesUnit021].[All]" dimensionUniqueName="[CurrentStockSales]" displayFolder="" count="0" unbalanced="0" hidden="1"/>
    <cacheHierarchy uniqueName="[CurrentStockSales].[SalesValue007]" caption="SalesValue007" attribute="1" defaultMemberUniqueName="[CurrentStockSales].[SalesValue007].[All]" allUniqueName="[CurrentStockSales].[SalesValue007].[All]" dimensionUniqueName="[CurrentStockSales]" displayFolder="" count="0" unbalanced="0" hidden="1"/>
    <cacheHierarchy uniqueName="[CurrentStockSales].[SalesValue021]" caption="SalesValue021" attribute="1" defaultMemberUniqueName="[CurrentStockSales].[SalesValue021].[All]" allUniqueName="[CurrentStockSales].[SalesValue021].[All]" dimensionUniqueName="[CurrentStockSales]" displayFolder="" count="0" unbalanced="0" hidden="1"/>
    <cacheHierarchy uniqueName="[CurrentStockSales].[StockBufferFactor]" caption="StockBufferFactor" attribute="1" defaultMemberUniqueName="[CurrentStockSales].[StockBufferFactor].[All]" allUniqueName="[CurrentStockSales].[StockBufferFactor].[All]" dimensionUniqueName="[CurrentStockSales]" displayFolder="" count="0" unbalanced="0" hidden="1"/>
    <cacheHierarchy uniqueName="[CurrentStockSales].[StoreCode]" caption="StoreCode" attribute="1" defaultMemberUniqueName="[CurrentStockSales].[StoreCode].[All]" allUniqueName="[CurrentStockSales].[StoreCode].[All]" dimensionUniqueName="[CurrentStockSales]" displayFolder="" count="0" unbalanced="0" hidden="1"/>
    <cacheHierarchy uniqueName="[CurrentStockSales].[StoreStockUnit]" caption="StoreStockUnit" attribute="1" defaultMemberUniqueName="[CurrentStockSales].[StoreStockUnit].[All]" allUniqueName="[CurrentStockSales].[StoreStockUnit].[All]" dimensionUniqueName="[CurrentStockSales]" displayFolder="" count="0" unbalanced="0" hidden="1"/>
    <cacheHierarchy uniqueName="[CurrentStockSales].[StoreTransitStockUnit]" caption="StoreTransitStockUnit" attribute="1" defaultMemberUniqueName="[CurrentStockSales].[StoreTransitStockUnit].[All]" allUniqueName="[CurrentStockSales].[StoreTransitStockUnit].[All]" dimensionUniqueName="[CurrentStockSales]" displayFolder="" count="0" unbalanced="0" hidden="1"/>
    <cacheHierarchy uniqueName="[CurrentStockSales].[TRMarj_w1]" caption="TRMarj_w1" attribute="1" defaultMemberUniqueName="[CurrentStockSales].[TRMarj_w1].[All]" allUniqueName="[CurrentStockSales].[TRMarj_w1].[All]" dimensionUniqueName="[CurrentStockSales]" displayFolder="" count="0" unbalanced="0" hidden="1"/>
    <cacheHierarchy uniqueName="[CurrentStockSales].[TRMarj_w3]" caption="TRMarj_w3" attribute="1" defaultMemberUniqueName="[CurrentStockSales].[TRMarj_w3].[All]" allUniqueName="[CurrentStockSales].[TRMarj_w3].[All]" dimensionUniqueName="[CurrentStockSales]" displayFolder="" count="0" unbalanced="0" hidden="1"/>
    <cacheHierarchy uniqueName="[CurrentStockSales].[WeeklyAvgSales]" caption="WeeklyAvgSales" attribute="1" defaultMemberUniqueName="[CurrentStockSales].[WeeklyAvgSales].[All]" allUniqueName="[CurrentStockSales].[WeeklyAvgSales].[All]" dimensionUniqueName="[CurrentStockSales]" displayFolder="" count="0" unbalanced="0" hidden="1"/>
    <cacheHierarchy uniqueName="[CurrentStockStore].[CompanyUnitCost]" caption="CompanyUnitCost" attribute="1" defaultMemberUniqueName="[CurrentStockStore].[CompanyUnitCost].[All]" allUniqueName="[CurrentStockStore].[CompanyUnitCost].[All]" dimensionUniqueName="[CurrentStockStore]" displayFolder="" count="0" unbalanced="0" hidden="1"/>
    <cacheHierarchy uniqueName="[CurrentStockStore].[EURExcRate]" caption="EURExcRate" attribute="1" defaultMemberUniqueName="[CurrentStockStore].[EURExcRate].[All]" allUniqueName="[CurrentStockStore].[EURExcRate].[All]" dimensionUniqueName="[CurrentStockStore]" displayFolder="" count="0" unbalanced="0" hidden="1"/>
    <cacheHierarchy uniqueName="[CurrentStockStore].[InitialSalesPriceID]" caption="InitialSalesPriceID" attribute="1" defaultMemberUniqueName="[CurrentStockStore].[InitialSalesPriceID].[All]" allUniqueName="[CurrentStockStore].[InitialSalesPriceID].[All]" dimensionUniqueName="[CurrentStockStore]" displayFolder="" count="0" unbalanced="0" hidden="1"/>
    <cacheHierarchy uniqueName="[CurrentStockStore].[ISPLCPriceVAT]" caption="ISPLCPriceVAT" attribute="1" defaultMemberUniqueName="[CurrentStockStore].[ISPLCPriceVAT].[All]" allUniqueName="[CurrentStockStore].[ISPLCPriceVAT].[All]" dimensionUniqueName="[CurrentStockStore]" displayFolder="" count="0" unbalanced="0" hidden="1"/>
    <cacheHierarchy uniqueName="[CurrentStockStore].[LCExcRate]" caption="LCExcRate" attribute="1" defaultMemberUniqueName="[CurrentStockStore].[LCExcRate].[All]" allUniqueName="[CurrentStockStore].[LCExcRate].[All]" dimensionUniqueName="[CurrentStockStore]" displayFolder="" count="0" unbalanced="0" hidden="1"/>
    <cacheHierarchy uniqueName="[CurrentStockStore].[LFLFactor]" caption="LFLFactor" attribute="1" defaultMemberUniqueName="[CurrentStockStore].[LFLFactor].[All]" allUniqueName="[CurrentStockStore].[LFLFactor].[All]" dimensionUniqueName="[CurrentStockStore]" displayFolder="" count="0" unbalanced="0" hidden="1"/>
    <cacheHierarchy uniqueName="[CurrentStockStore].[LocationKey]" caption="LocationKey" attribute="1" defaultMemberUniqueName="[CurrentStockStore].[LocationKey].[All]" allUniqueName="[CurrentStockStore].[LocationKey].[All]" dimensionUniqueName="[CurrentStockStore]" displayFolder="" count="0" unbalanced="0" hidden="1"/>
    <cacheHierarchy uniqueName="[CurrentStockStore].[MaterialKey]" caption="MaterialKey" attribute="1" defaultMemberUniqueName="[CurrentStockStore].[MaterialKey].[All]" allUniqueName="[CurrentStockStore].[MaterialKey].[All]" dimensionUniqueName="[CurrentStockStore]" displayFolder="" count="0" unbalanced="0" hidden="1"/>
    <cacheHierarchy uniqueName="[CurrentStockStore].[OtherStockUnit]" caption="OtherStockUnit" attribute="1" defaultMemberUniqueName="[CurrentStockStore].[OtherStockUnit].[All]" allUniqueName="[CurrentStockStore].[OtherStockUnit].[All]" dimensionUniqueName="[CurrentStockStore]" displayFolder="" count="0" unbalanced="0" hidden="1"/>
    <cacheHierarchy uniqueName="[CurrentStockStore].[OutletID]" caption="OutletID" attribute="1" defaultMemberUniqueName="[CurrentStockStore].[OutletID].[All]" allUniqueName="[CurrentStockStore].[OutletID].[All]" dimensionUniqueName="[CurrentStockStore]" displayFolder="" count="0" unbalanced="0" hidden="1"/>
    <cacheHierarchy uniqueName="[CurrentStockStore].[SalesChannelKey]" caption="SalesChannelKey" attribute="1" defaultMemberUniqueName="[CurrentStockStore].[SalesChannelKey].[All]" allUniqueName="[CurrentStockStore].[SalesChannelKey].[All]" dimensionUniqueName="[CurrentStockStore]" displayFolder="" count="0" unbalanced="0" hidden="1"/>
    <cacheHierarchy uniqueName="[CurrentStockStore].[SalesSeasonID]" caption="SalesSeasonID" attribute="1" defaultMemberUniqueName="[CurrentStockStore].[SalesSeasonID].[All]" allUniqueName="[CurrentStockStore].[SalesSeasonID].[All]" dimensionUniqueName="[CurrentStockStore]" displayFolder="" count="0" unbalanced="0" hidden="1"/>
    <cacheHierarchy uniqueName="[CurrentStockStore].[StockDate]" caption="StockDate" attribute="1" defaultMemberUniqueName="[CurrentStockStore].[StockDate].[All]" allUniqueName="[CurrentStockStore].[StockDate].[All]" dimensionUniqueName="[CurrentStockStore]" displayFolder="" count="0" unbalanced="0" hidden="1"/>
    <cacheHierarchy uniqueName="[CurrentStockStore].[StockUnit]" caption="StockUnit" attribute="1" defaultMemberUniqueName="[CurrentStockStore].[StockUnit].[All]" allUniqueName="[CurrentStockStore].[StockUnit].[All]" dimensionUniqueName="[CurrentStockStore]" displayFolder="" count="0" unbalanced="0" hidden="1"/>
    <cacheHierarchy uniqueName="[CurrentStockStore].[TransitStockUnit]" caption="TransitStockUnit" attribute="1" defaultMemberUniqueName="[CurrentStockStore].[TransitStockUnit].[All]" allUniqueName="[CurrentStockStore].[TransitStockUnit].[All]" dimensionUniqueName="[CurrentStockStore]" displayFolder="" count="0" unbalanced="0" hidden="1"/>
    <cacheHierarchy uniqueName="[CurrentStockStore].[TRYExcRate]" caption="TRYExcRate" attribute="1" defaultMemberUniqueName="[CurrentStockStore].[TRYExcRate].[All]" allUniqueName="[CurrentStockStore].[TRYExcRate].[All]" dimensionUniqueName="[CurrentStockStore]" displayFolder="" count="0" unbalanced="0" hidden="1"/>
    <cacheHierarchy uniqueName="[CurrentStockStore].[UnitCost]" caption="UnitCost" attribute="1" defaultMemberUniqueName="[CurrentStockStore].[UnitCost].[All]" allUniqueName="[CurrentStockStore].[UnitCost].[All]" dimensionUniqueName="[CurrentStockStore]" displayFolder="" count="0" unbalanced="0" hidden="1"/>
    <cacheHierarchy uniqueName="[CurrentStockStore].[USDExcRate]" caption="USDExcRate" attribute="1" defaultMemberUniqueName="[CurrentStockStore].[USDExcRate].[All]" allUniqueName="[CurrentStockStore].[USDExcRate].[All]" dimensionUniqueName="[CurrentStockStore]" displayFolder="" count="0" unbalanced="0" hidden="1"/>
    <cacheHierarchy uniqueName="[Delivery].[DeliveryBudget]" caption="DeliveryBudget" attribute="1" defaultMemberUniqueName="[Delivery].[DeliveryBudget].[All]" allUniqueName="[Delivery].[DeliveryBudget].[All]" dimensionUniqueName="[Delivery]" displayFolder="" count="0" unbalanced="0" hidden="1"/>
    <cacheHierarchy uniqueName="[Delivery].[DeliveryQty]" caption="DeliveryQty" attribute="1" defaultMemberUniqueName="[Delivery].[DeliveryQty].[All]" allUniqueName="[Delivery].[DeliveryQty].[All]" dimensionUniqueName="[Delivery]" displayFolder="" count="0" unbalanced="0" hidden="1"/>
    <cacheHierarchy uniqueName="[Delivery].[FirstDayofMonth]" caption="FirstDayofMonth" attribute="1" defaultMemberUniqueName="[Delivery].[FirstDayofMonth].[All]" allUniqueName="[Delivery].[FirstDayofMonth].[All]" dimensionUniqueName="[Delivery]" displayFolder="" count="0" unbalanced="0" hidden="1"/>
    <cacheHierarchy uniqueName="[Delivery].[MaterialKey]" caption="MaterialKey" attribute="1" defaultMemberUniqueName="[Delivery].[MaterialKey].[All]" allUniqueName="[Delivery].[MaterialKey].[All]" dimensionUniqueName="[Delivery]" displayFolder="" count="0" unbalanced="0" hidden="1"/>
    <cacheHierarchy uniqueName="[Delivery].[Month]" caption="Month" attribute="1" defaultMemberUniqueName="[Delivery].[Month].[All]" allUniqueName="[Delivery].[Month].[All]" dimensionUniqueName="[Delivery]" displayFolder="" count="0" unbalanced="0" hidden="1"/>
    <cacheHierarchy uniqueName="[Delivery].[Year]" caption="Year" attribute="1" defaultMemberUniqueName="[Delivery].[Year].[All]" allUniqueName="[Delivery].[Year].[All]" dimensionUniqueName="[Delivery]" displayFolder="" count="0" unbalanced="0" hidden="1"/>
    <cacheHierarchy uniqueName="[ISPUnitPrice].[ISPUnitPriceKey]" caption="ISPUnitPriceKey" attribute="1" defaultMemberUniqueName="[ISPUnitPrice].[ISPUnitPriceKey].[All]" allUniqueName="[ISPUnitPrice].[ISPUnitPriceKey].[All]" dimensionUniqueName="[ISPUnitPrice]" displayFolder="" count="0" unbalanced="0" hidden="1"/>
    <cacheHierarchy uniqueName="[KPI].[Ly]" caption="Ly" attribute="1" defaultMemberUniqueName="[KPI].[Ly].[All]" allUniqueName="[KPI].[Ly].[All]" dimensionUniqueName="[KPI]" displayFolder="" count="0" unbalanced="0" hidden="1"/>
    <cacheHierarchy uniqueName="[KPI].[Ly_LC]" caption="Ly_LC" attribute="1" defaultMemberUniqueName="[KPI].[Ly_LC].[All]" allUniqueName="[KPI].[Ly_LC].[All]" dimensionUniqueName="[KPI]" displayFolder="" count="0" unbalanced="0" hidden="1"/>
    <cacheHierarchy uniqueName="[KPI].[Ly_TRY]" caption="Ly_TRY" attribute="1" defaultMemberUniqueName="[KPI].[Ly_TRY].[All]" allUniqueName="[KPI].[Ly_TRY].[All]" dimensionUniqueName="[KPI]" displayFolder="" count="0" unbalanced="0" hidden="1"/>
    <cacheHierarchy uniqueName="[KPI].[Ly_USD]" caption="Ly_USD" attribute="1" defaultMemberUniqueName="[KPI].[Ly_USD].[All]" allUniqueName="[KPI].[Ly_USD].[All]" dimensionUniqueName="[KPI]" displayFolder="" count="0" unbalanced="0" hidden="1"/>
    <cacheHierarchy uniqueName="[KPI].[LyLFL]" caption="LyLFL" attribute="1" defaultMemberUniqueName="[KPI].[LyLFL].[All]" allUniqueName="[KPI].[LyLFL].[All]" dimensionUniqueName="[KPI]" displayFolder="" count="0" unbalanced="0" hidden="1"/>
    <cacheHierarchy uniqueName="[KPI].[LyLFL_LC]" caption="LyLFL_LC" attribute="1" defaultMemberUniqueName="[KPI].[LyLFL_LC].[All]" allUniqueName="[KPI].[LyLFL_LC].[All]" dimensionUniqueName="[KPI]" displayFolder="" count="0" unbalanced="0" hidden="1"/>
    <cacheHierarchy uniqueName="[KPI].[LyLFL_TRY]" caption="LyLFL_TRY" attribute="1" defaultMemberUniqueName="[KPI].[LyLFL_TRY].[All]" allUniqueName="[KPI].[LyLFL_TRY].[All]" dimensionUniqueName="[KPI]" displayFolder="" count="0" unbalanced="0" hidden="1"/>
    <cacheHierarchy uniqueName="[KPI].[LyLFL_USD]" caption="LyLFL_USD" attribute="1" defaultMemberUniqueName="[KPI].[LyLFL_USD].[All]" allUniqueName="[KPI].[LyLFL_USD].[All]" dimensionUniqueName="[KPI]" displayFolder="" count="0" unbalanced="0" hidden="1"/>
    <cacheHierarchy uniqueName="[KPI].[MeasureBlokLY02]" caption="MeasureBlokLY02" attribute="1" defaultMemberUniqueName="[KPI].[MeasureBlokLY02].[All]" allUniqueName="[KPI].[MeasureBlokLY02].[All]" dimensionUniqueName="[KPI]" displayFolder="" count="0" unbalanced="0" hidden="1"/>
    <cacheHierarchy uniqueName="[KPI].[MeasureBlokLYLFL04]" caption="MeasureBlokLYLFL04" attribute="1" defaultMemberUniqueName="[KPI].[MeasureBlokLYLFL04].[All]" allUniqueName="[KPI].[MeasureBlokLYLFL04].[All]" dimensionUniqueName="[KPI]" displayFolder="" count="0" unbalanced="0" hidden="1"/>
    <cacheHierarchy uniqueName="[KPI].[MeasureBlokTY01]" caption="MeasureBlokTY01" attribute="1" defaultMemberUniqueName="[KPI].[MeasureBlokTY01].[All]" allUniqueName="[KPI].[MeasureBlokTY01].[All]" dimensionUniqueName="[KPI]" displayFolder="" count="0" unbalanced="0" hidden="1"/>
    <cacheHierarchy uniqueName="[KPI].[MeasureBlokTYLFL03]" caption="MeasureBlokTYLFL03" attribute="1" defaultMemberUniqueName="[KPI].[MeasureBlokTYLFL03].[All]" allUniqueName="[KPI].[MeasureBlokTYLFL03].[All]" dimensionUniqueName="[KPI]" displayFolder="" count="0" unbalanced="0" hidden="1"/>
    <cacheHierarchy uniqueName="[KPI].[ProcessTime]" caption="ProcessTime" attribute="1" defaultMemberUniqueName="[KPI].[ProcessTime].[All]" allUniqueName="[KPI].[ProcessTime].[All]" dimensionUniqueName="[KPI]" displayFolder="" count="0" unbalanced="0" hidden="1"/>
    <cacheHierarchy uniqueName="[KPI].[Ty]" caption="Ty" attribute="1" defaultMemberUniqueName="[KPI].[Ty].[All]" allUniqueName="[KPI].[Ty].[All]" dimensionUniqueName="[KPI]" displayFolder="" count="0" unbalanced="0" hidden="1"/>
    <cacheHierarchy uniqueName="[KPI].[Ty_LC]" caption="Ty_LC" attribute="1" defaultMemberUniqueName="[KPI].[Ty_LC].[All]" allUniqueName="[KPI].[Ty_LC].[All]" dimensionUniqueName="[KPI]" displayFolder="" count="0" unbalanced="0" hidden="1"/>
    <cacheHierarchy uniqueName="[KPI].[Ty_TRY]" caption="Ty_TRY" attribute="1" defaultMemberUniqueName="[KPI].[Ty_TRY].[All]" allUniqueName="[KPI].[Ty_TRY].[All]" dimensionUniqueName="[KPI]" displayFolder="" count="0" unbalanced="0" hidden="1"/>
    <cacheHierarchy uniqueName="[KPI].[Ty_USD]" caption="Ty_USD" attribute="1" defaultMemberUniqueName="[KPI].[Ty_USD].[All]" allUniqueName="[KPI].[Ty_USD].[All]" dimensionUniqueName="[KPI]" displayFolder="" count="0" unbalanced="0" hidden="1"/>
    <cacheHierarchy uniqueName="[KPI].[TyLfl]" caption="TyLfl" attribute="1" defaultMemberUniqueName="[KPI].[TyLfl].[All]" allUniqueName="[KPI].[TyLfl].[All]" dimensionUniqueName="[KPI]" displayFolder="" count="0" unbalanced="0" hidden="1"/>
    <cacheHierarchy uniqueName="[KPI].[TyLfl_LC]" caption="TyLfl_LC" attribute="1" defaultMemberUniqueName="[KPI].[TyLfl_LC].[All]" allUniqueName="[KPI].[TyLfl_LC].[All]" dimensionUniqueName="[KPI]" displayFolder="" count="0" unbalanced="0" hidden="1"/>
    <cacheHierarchy uniqueName="[KPI].[TyLfl_TRY]" caption="TyLfl_TRY" attribute="1" defaultMemberUniqueName="[KPI].[TyLfl_TRY].[All]" allUniqueName="[KPI].[TyLfl_TRY].[All]" dimensionUniqueName="[KPI]" displayFolder="" count="0" unbalanced="0" hidden="1"/>
    <cacheHierarchy uniqueName="[KPI].[TyLfl_USD]" caption="TyLfl_USD" attribute="1" defaultMemberUniqueName="[KPI].[TyLfl_USD].[All]" allUniqueName="[KPI].[TyLfl_USD].[All]" dimensionUniqueName="[KPI]" displayFolder="" count="0" unbalanced="0" hidden="1"/>
    <cacheHierarchy uniqueName="[LFLDate].[LFLDate]" caption="LFLDate" attribute="1" defaultMemberUniqueName="[LFLDate].[LFLDate].[All]" allUniqueName="[LFLDate].[LFLDate].[All]" dimensionUniqueName="[LFLDate]" displayFolder="" count="0" unbalanced="0" hidden="1"/>
    <cacheHierarchy uniqueName="[LFLDate].[SalesChannelKey]" caption="SalesChannelKey" attribute="1" defaultMemberUniqueName="[LFLDate].[SalesChannelKey].[All]" allUniqueName="[LFLDate].[SalesChannelKey].[All]" dimensionUniqueName="[LFLDate]" displayFolder="" count="0" unbalanced="0" hidden="1"/>
    <cacheHierarchy uniqueName="[LFLDate].[SCKeyLFLDate]" caption="SCKeyLFLDate" attribute="1" defaultMemberUniqueName="[LFLDate].[SCKeyLFLDate].[All]" allUniqueName="[LFLDate].[SCKeyLFLDate].[All]" dimensionUniqueName="[LFLDate]" displayFolder="" count="0" unbalanced="0" hidden="1"/>
    <cacheHierarchy uniqueName="[LFLDate].[TYDate]" caption="TYDate" attribute="1" defaultMemberUniqueName="[LFLDate].[TYDate].[All]" allUniqueName="[LFLDate].[TYDate].[All]" dimensionUniqueName="[LFLDate]" displayFolder="" count="0" unbalanced="0" hidden="1"/>
    <cacheHierarchy uniqueName="[OpenImportsDCStock].[AvailableStockUnit]" caption="AvailableStockUnit" attribute="1" defaultMemberUniqueName="[OpenImportsDCStock].[AvailableStockUnit].[All]" allUniqueName="[OpenImportsDCStock].[AvailableStockUnit].[All]" dimensionUniqueName="[OpenImportsDCStock]" displayFolder="" count="0" unbalanced="0" hidden="1"/>
    <cacheHierarchy uniqueName="[OpenImportsDCStock].[BufferStockUnit]" caption="BufferStockUnit" attribute="1" defaultMemberUniqueName="[OpenImportsDCStock].[BufferStockUnit].[All]" allUniqueName="[OpenImportsDCStock].[BufferStockUnit].[All]" dimensionUniqueName="[OpenImportsDCStock]" displayFolder="" count="0" unbalanced="0" hidden="1"/>
    <cacheHierarchy uniqueName="[OpenImportsDCStock].[CUROpenImportsDCStockUnit]" caption="CUROpenImportsDCStockUnit" attribute="1" defaultMemberUniqueName="[OpenImportsDCStock].[CUROpenImportsDCStockUnit].[All]" allUniqueName="[OpenImportsDCStock].[CUROpenImportsDCStockUnit].[All]" dimensionUniqueName="[OpenImportsDCStock]" displayFolder="" count="0" unbalanced="0" hidden="1"/>
    <cacheHierarchy uniqueName="[OpenImportsDCStock].[CUROpenTransferDCStockUnit]" caption="CUROpenTransferDCStockUnit" attribute="1" defaultMemberUniqueName="[OpenImportsDCStock].[CUROpenTransferDCStockUnit].[All]" allUniqueName="[OpenImportsDCStock].[CUROpenTransferDCStockUnit].[All]" dimensionUniqueName="[OpenImportsDCStock]" displayFolder="" count="0" unbalanced="0" hidden="1"/>
    <cacheHierarchy uniqueName="[OpenImportsDCStock].[CURUnapprovedOrderDCStockUnit]" caption="CURUnapprovedOrderDCStockUnit" attribute="1" defaultMemberUniqueName="[OpenImportsDCStock].[CURUnapprovedOrderDCStockUnit].[All]" allUniqueName="[OpenImportsDCStock].[CURUnapprovedOrderDCStockUnit].[All]" dimensionUniqueName="[OpenImportsDCStock]" displayFolder="" count="0" unbalanced="0" hidden="1"/>
    <cacheHierarchy uniqueName="[OpenImportsDCStock].[LocationKey]" caption="LocationKey" attribute="1" defaultMemberUniqueName="[OpenImportsDCStock].[LocationKey].[All]" allUniqueName="[OpenImportsDCStock].[LocationKey].[All]" dimensionUniqueName="[OpenImportsDCStock]" displayFolder="" count="0" unbalanced="0" hidden="1"/>
    <cacheHierarchy uniqueName="[OpenImportsDCStock].[LocationType]" caption="LocationType" attribute="1" defaultMemberUniqueName="[OpenImportsDCStock].[LocationType].[All]" allUniqueName="[OpenImportsDCStock].[LocationType].[All]" dimensionUniqueName="[OpenImportsDCStock]" displayFolder="" count="0" unbalanced="0" hidden="1"/>
    <cacheHierarchy uniqueName="[OpenImportsDCStock].[MaterialKey]" caption="MaterialKey" attribute="1" defaultMemberUniqueName="[OpenImportsDCStock].[MaterialKey].[All]" allUniqueName="[OpenImportsDCStock].[MaterialKey].[All]" dimensionUniqueName="[OpenImportsDCStock]" displayFolder="" count="0" unbalanced="0" hidden="1"/>
    <cacheHierarchy uniqueName="[OpenImportsDCStock].[OpenDeliveryStockUnit]" caption="OpenDeliveryStockUnit" attribute="1" defaultMemberUniqueName="[OpenImportsDCStock].[OpenDeliveryStockUnit].[All]" allUniqueName="[OpenImportsDCStock].[OpenDeliveryStockUnit].[All]" dimensionUniqueName="[OpenImportsDCStock]" displayFolder="" count="0" unbalanced="0" hidden="1"/>
    <cacheHierarchy uniqueName="[OpenImportsDCStock].[OpenOrderStockUnit]" caption="OpenOrderStockUnit" attribute="1" defaultMemberUniqueName="[OpenImportsDCStock].[OpenOrderStockUnit].[All]" allUniqueName="[OpenImportsDCStock].[OpenOrderStockUnit].[All]" dimensionUniqueName="[OpenImportsDCStock]" displayFolder="" count="0" unbalanced="0" hidden="1"/>
    <cacheHierarchy uniqueName="[OpenImportsDCStock].[OpenStoStockUnit]" caption="OpenStoStockUnit" attribute="1" defaultMemberUniqueName="[OpenImportsDCStock].[OpenStoStockUnit].[All]" allUniqueName="[OpenImportsDCStock].[OpenStoStockUnit].[All]" dimensionUniqueName="[OpenImportsDCStock]" displayFolder="" count="0" unbalanced="0" hidden="1"/>
    <cacheHierarchy uniqueName="[OpenImportsDCStock].[RealStockUnit]" caption="RealStockUnit" attribute="1" defaultMemberUniqueName="[OpenImportsDCStock].[RealStockUnit].[All]" allUniqueName="[OpenImportsDCStock].[RealStockUnit].[All]" dimensionUniqueName="[OpenImportsDCStock]" displayFolder="" count="0" unbalanced="0" hidden="1"/>
    <cacheHierarchy uniqueName="[OpenImportsDCStock].[SafetyStockUnit]" caption="SafetyStockUnit" attribute="1" defaultMemberUniqueName="[OpenImportsDCStock].[SafetyStockUnit].[All]" allUniqueName="[OpenImportsDCStock].[SafetyStockUnit].[All]" dimensionUniqueName="[OpenImportsDCStock]" displayFolder="" count="0" unbalanced="0" hidden="1"/>
    <cacheHierarchy uniqueName="[OpenImportsDCStock].[SalesChannelKey]" caption="SalesChannelKey" attribute="1" defaultMemberUniqueName="[OpenImportsDCStock].[SalesChannelKey].[All]" allUniqueName="[OpenImportsDCStock].[SalesChannelKey].[All]" dimensionUniqueName="[OpenImportsDCStock]" displayFolder="" count="0" unbalanced="0" hidden="1"/>
    <cacheHierarchy uniqueName="[OpenImportsDCStock].[StockListKey]" caption="StockListKey" attribute="1" defaultMemberUniqueName="[OpenImportsDCStock].[StockListKey].[All]" allUniqueName="[OpenImportsDCStock].[StockListKey].[All]" dimensionUniqueName="[OpenImportsDCStock]" displayFolder="" count="0" unbalanced="0" hidden="1"/>
    <cacheHierarchy uniqueName="[OpenImportsDCStock].[SubLocationKey]" caption="SubLocationKey" attribute="1" defaultMemberUniqueName="[OpenImportsDCStock].[SubLocationKey].[All]" allUniqueName="[OpenImportsDCStock].[SubLocationKey].[All]" dimensionUniqueName="[OpenImportsDCStock]" displayFolder="" count="0" unbalanced="0" hidden="1"/>
    <cacheHierarchy uniqueName="[OpenImportsStoreStock].[AvailableStockUnit]" caption="AvailableStockUnit" attribute="1" defaultMemberUniqueName="[OpenImportsStoreStock].[AvailableStockUnit].[All]" allUniqueName="[OpenImportsStoreStock].[AvailableStockUnit].[All]" dimensionUniqueName="[OpenImportsStoreStock]" displayFolder="" count="0" unbalanced="0" hidden="1"/>
    <cacheHierarchy uniqueName="[OpenImportsStoreStock].[BufferStockUnit]" caption="BufferStockUnit" attribute="1" defaultMemberUniqueName="[OpenImportsStoreStock].[BufferStockUnit].[All]" allUniqueName="[OpenImportsStoreStock].[BufferStockUnit].[All]" dimensionUniqueName="[OpenImportsStoreStock]" displayFolder="" count="0" unbalanced="0" hidden="1"/>
    <cacheHierarchy uniqueName="[OpenImportsStoreStock].[CUROpenImportsStoreStockUnit]" caption="CUROpenImportsStoreStockUnit" attribute="1" defaultMemberUniqueName="[OpenImportsStoreStock].[CUROpenImportsStoreStockUnit].[All]" allUniqueName="[OpenImportsStoreStock].[CUROpenImportsStoreStockUnit].[All]" dimensionUniqueName="[OpenImportsStoreStock]" displayFolder="" count="0" unbalanced="0" hidden="1"/>
    <cacheHierarchy uniqueName="[OpenImportsStoreStock].[CUROpenTransferStoreStockUnit]" caption="CUROpenTransferStoreStockUnit" attribute="1" defaultMemberUniqueName="[OpenImportsStoreStock].[CUROpenTransferStoreStockUnit].[All]" allUniqueName="[OpenImportsStoreStock].[CUROpenTransferStoreStockUnit].[All]" dimensionUniqueName="[OpenImportsStoreStock]" displayFolder="" count="0" unbalanced="0" hidden="1"/>
    <cacheHierarchy uniqueName="[OpenImportsStoreStock].[CURUnapprovedOrderStoreStockUnit]" caption="CURUnapprovedOrderStoreStockUnit" attribute="1" defaultMemberUniqueName="[OpenImportsStoreStock].[CURUnapprovedOrderStoreStockUnit].[All]" allUniqueName="[OpenImportsStoreStock].[CURUnapprovedOrderStoreStockUnit].[All]" dimensionUniqueName="[OpenImportsStoreStock]" displayFolder="" count="0" unbalanced="0" hidden="1"/>
    <cacheHierarchy uniqueName="[OpenImportsStoreStock].[FROM_PLANT]" caption="FROM_PLANT" attribute="1" defaultMemberUniqueName="[OpenImportsStoreStock].[FROM_PLANT].[All]" allUniqueName="[OpenImportsStoreStock].[FROM_PLANT].[All]" dimensionUniqueName="[OpenImportsStoreStock]" displayFolder="" count="0" unbalanced="0" hidden="1"/>
    <cacheHierarchy uniqueName="[OpenImportsStoreStock].[LocationKey]" caption="LocationKey" attribute="1" defaultMemberUniqueName="[OpenImportsStoreStock].[LocationKey].[All]" allUniqueName="[OpenImportsStoreStock].[LocationKey].[All]" dimensionUniqueName="[OpenImportsStoreStock]" displayFolder="" count="0" unbalanced="0" hidden="1"/>
    <cacheHierarchy uniqueName="[OpenImportsStoreStock].[LocationType]" caption="LocationType" attribute="1" defaultMemberUniqueName="[OpenImportsStoreStock].[LocationType].[All]" allUniqueName="[OpenImportsStoreStock].[LocationType].[All]" dimensionUniqueName="[OpenImportsStoreStock]" displayFolder="" count="0" unbalanced="0" hidden="1"/>
    <cacheHierarchy uniqueName="[OpenImportsStoreStock].[MaterialKey]" caption="MaterialKey" attribute="1" defaultMemberUniqueName="[OpenImportsStoreStock].[MaterialKey].[All]" allUniqueName="[OpenImportsStoreStock].[MaterialKey].[All]" dimensionUniqueName="[OpenImportsStoreStock]" displayFolder="" count="0" unbalanced="0" hidden="1"/>
    <cacheHierarchy uniqueName="[OpenImportsStoreStock].[OpenDeliveryStockUnit]" caption="OpenDeliveryStockUnit" attribute="1" defaultMemberUniqueName="[OpenImportsStoreStock].[OpenDeliveryStockUnit].[All]" allUniqueName="[OpenImportsStoreStock].[OpenDeliveryStockUnit].[All]" dimensionUniqueName="[OpenImportsStoreStock]" displayFolder="" count="0" unbalanced="0" hidden="1"/>
    <cacheHierarchy uniqueName="[OpenImportsStoreStock].[OpenOrderStockUnit]" caption="OpenOrderStockUnit" attribute="1" defaultMemberUniqueName="[OpenImportsStoreStock].[OpenOrderStockUnit].[All]" allUniqueName="[OpenImportsStoreStock].[OpenOrderStockUnit].[All]" dimensionUniqueName="[OpenImportsStoreStock]" displayFolder="" count="0" unbalanced="0" hidden="1"/>
    <cacheHierarchy uniqueName="[OpenImportsStoreStock].[OpenStoStockUnit]" caption="OpenStoStockUnit" attribute="1" defaultMemberUniqueName="[OpenImportsStoreStock].[OpenStoStockUnit].[All]" allUniqueName="[OpenImportsStoreStock].[OpenStoStockUnit].[All]" dimensionUniqueName="[OpenImportsStoreStock]" displayFolder="" count="0" unbalanced="0" hidden="1"/>
    <cacheHierarchy uniqueName="[OpenImportsStoreStock].[RealStockUnit]" caption="RealStockUnit" attribute="1" defaultMemberUniqueName="[OpenImportsStoreStock].[RealStockUnit].[All]" allUniqueName="[OpenImportsStoreStock].[RealStockUnit].[All]" dimensionUniqueName="[OpenImportsStoreStock]" displayFolder="" count="0" unbalanced="0" hidden="1"/>
    <cacheHierarchy uniqueName="[OpenImportsStoreStock].[SafetyStockUnit]" caption="SafetyStockUnit" attribute="1" defaultMemberUniqueName="[OpenImportsStoreStock].[SafetyStockUnit].[All]" allUniqueName="[OpenImportsStoreStock].[SafetyStockUnit].[All]" dimensionUniqueName="[OpenImportsStoreStock]" displayFolder="" count="0" unbalanced="0" hidden="1"/>
    <cacheHierarchy uniqueName="[OpenImportsStoreStock].[SalesChannelKey]" caption="SalesChannelKey" attribute="1" defaultMemberUniqueName="[OpenImportsStoreStock].[SalesChannelKey].[All]" allUniqueName="[OpenImportsStoreStock].[SalesChannelKey].[All]" dimensionUniqueName="[OpenImportsStoreStock]" displayFolder="" count="0" unbalanced="0" hidden="1"/>
    <cacheHierarchy uniqueName="[OpenImportsStoreStock].[StockListKey]" caption="StockListKey" attribute="1" defaultMemberUniqueName="[OpenImportsStoreStock].[StockListKey].[All]" allUniqueName="[OpenImportsStoreStock].[StockListKey].[All]" dimensionUniqueName="[OpenImportsStoreStock]" displayFolder="" count="0" unbalanced="0" hidden="1"/>
    <cacheHierarchy uniqueName="[PurchaseOrder].[DCSubWarehouseKey]" caption="DCSubWarehouseKey" attribute="1" defaultMemberUniqueName="[PurchaseOrder].[DCSubWarehouseKey].[All]" allUniqueName="[PurchaseOrder].[DCSubWarehouseKey].[All]" dimensionUniqueName="[PurchaseOrder]" displayFolder="" count="0" unbalanced="0" hidden="1"/>
    <cacheHierarchy uniqueName="[PurchaseOrder].[DeadLine]" caption="DeadLine" attribute="1" defaultMemberUniqueName="[PurchaseOrder].[DeadLine].[All]" allUniqueName="[PurchaseOrder].[DeadLine].[All]" dimensionUniqueName="[PurchaseOrder]" displayFolder="" count="0" unbalanced="0" hidden="1"/>
    <cacheHierarchy uniqueName="[PurchaseOrder].[DWSourceKey]" caption="DWSourceKey" attribute="1" defaultMemberUniqueName="[PurchaseOrder].[DWSourceKey].[All]" allUniqueName="[PurchaseOrder].[DWSourceKey].[All]" dimensionUniqueName="[PurchaseOrder]" displayFolder="" count="0" unbalanced="0" hidden="1"/>
    <cacheHierarchy uniqueName="[PurchaseOrder].[EstimatedExcRateLC]" caption="EstimatedExcRateLC" attribute="1" defaultMemberUniqueName="[PurchaseOrder].[EstimatedExcRateLC].[All]" allUniqueName="[PurchaseOrder].[EstimatedExcRateLC].[All]" dimensionUniqueName="[PurchaseOrder]" displayFolder="" count="0" unbalanced="0" hidden="1"/>
    <cacheHierarchy uniqueName="[PurchaseOrder].[EtlDate]" caption="EtlDate" attribute="1" defaultMemberUniqueName="[PurchaseOrder].[EtlDate].[All]" allUniqueName="[PurchaseOrder].[EtlDate].[All]" dimensionUniqueName="[PurchaseOrder]" displayFolder="" count="0" unbalanced="0" hidden="1"/>
    <cacheHierarchy uniqueName="[PurchaseOrder].[Factor]" caption="Factor" attribute="1" defaultMemberUniqueName="[PurchaseOrder].[Factor].[All]" allUniqueName="[PurchaseOrder].[Factor].[All]" dimensionUniqueName="[PurchaseOrder]" displayFolder="" count="0" unbalanced="0" hidden="1"/>
    <cacheHierarchy uniqueName="[PurchaseOrder].[GoodsReceiptDate]" caption="GoodsReceiptDate" attribute="1" defaultMemberUniqueName="[PurchaseOrder].[GoodsReceiptDate].[All]" allUniqueName="[PurchaseOrder].[GoodsReceiptDate].[All]" dimensionUniqueName="[PurchaseOrder]" displayFolder="" count="0" unbalanced="0" hidden="1"/>
    <cacheHierarchy uniqueName="[PurchaseOrder].[GoodsReceiptUnit]" caption="GoodsReceiptUnit" attribute="1" defaultMemberUniqueName="[PurchaseOrder].[GoodsReceiptUnit].[All]" allUniqueName="[PurchaseOrder].[GoodsReceiptUnit].[All]" dimensionUniqueName="[PurchaseOrder]" displayFolder="" count="0" unbalanced="0" hidden="1"/>
    <cacheHierarchy uniqueName="[PurchaseOrder].[GoodsReceiptValueLC]" caption="GoodsReceiptValueLC" attribute="1" defaultMemberUniqueName="[PurchaseOrder].[GoodsReceiptValueLC].[All]" allUniqueName="[PurchaseOrder].[GoodsReceiptValueLC].[All]" dimensionUniqueName="[PurchaseOrder]" displayFolder="" count="0" unbalanced="0" hidden="1"/>
    <cacheHierarchy uniqueName="[PurchaseOrder].[LocalCurrencyCode]" caption="LocalCurrencyCode" attribute="1" defaultMemberUniqueName="[PurchaseOrder].[LocalCurrencyCode].[All]" allUniqueName="[PurchaseOrder].[LocalCurrencyCode].[All]" dimensionUniqueName="[PurchaseOrder]" displayFolder="" count="0" unbalanced="0" hidden="1"/>
    <cacheHierarchy uniqueName="[PurchaseOrder].[MaterialKey]" caption="MaterialKey" attribute="1" defaultMemberUniqueName="[PurchaseOrder].[MaterialKey].[All]" allUniqueName="[PurchaseOrder].[MaterialKey].[All]" dimensionUniqueName="[PurchaseOrder]" displayFolder="" count="0" unbalanced="0" hidden="1"/>
    <cacheHierarchy uniqueName="[PurchaseOrder].[OrderCurrencyCode]" caption="OrderCurrencyCode" attribute="1" defaultMemberUniqueName="[PurchaseOrder].[OrderCurrencyCode].[All]" allUniqueName="[PurchaseOrder].[OrderCurrencyCode].[All]" dimensionUniqueName="[PurchaseOrder]" displayFolder="" count="0" unbalanced="0" hidden="1"/>
    <cacheHierarchy uniqueName="[PurchaseOrder].[OtherMerchantGoodsReceiptUnit]" caption="OtherMerchantGoodsReceiptUnit" attribute="1" defaultMemberUniqueName="[PurchaseOrder].[OtherMerchantGoodsReceiptUnit].[All]" allUniqueName="[PurchaseOrder].[OtherMerchantGoodsReceiptUnit].[All]" dimensionUniqueName="[PurchaseOrder]" displayFolder="" count="0" unbalanced="0" hidden="1"/>
    <cacheHierarchy uniqueName="[PurchaseOrder].[OtherMerchantGoodsReceiptValueLC]" caption="OtherMerchantGoodsReceiptValueLC" attribute="1" defaultMemberUniqueName="[PurchaseOrder].[OtherMerchantGoodsReceiptValueLC].[All]" allUniqueName="[PurchaseOrder].[OtherMerchantGoodsReceiptValueLC].[All]" dimensionUniqueName="[PurchaseOrder]" displayFolder="" count="0" unbalanced="0" hidden="1"/>
    <cacheHierarchy uniqueName="[PurchaseOrder].[OtherMerchantPendingPONetValue]" caption="OtherMerchantPendingPONetValue" attribute="1" defaultMemberUniqueName="[PurchaseOrder].[OtherMerchantPendingPONetValue].[All]" allUniqueName="[PurchaseOrder].[OtherMerchantPendingPONetValue].[All]" dimensionUniqueName="[PurchaseOrder]" displayFolder="" count="0" unbalanced="0" hidden="1"/>
    <cacheHierarchy uniqueName="[PurchaseOrder].[OtherMerchantPendingPurchaseOrderUnit]" caption="OtherMerchantPendingPurchaseOrderUnit" attribute="1" defaultMemberUniqueName="[PurchaseOrder].[OtherMerchantPendingPurchaseOrderUnit].[All]" allUniqueName="[PurchaseOrder].[OtherMerchantPendingPurchaseOrderUnit].[All]" dimensionUniqueName="[PurchaseOrder]" displayFolder="" count="0" unbalanced="0" hidden="1"/>
    <cacheHierarchy uniqueName="[PurchaseOrder].[OtherMerchantPurchaseOrderUnit]" caption="OtherMerchantPurchaseOrderUnit" attribute="1" defaultMemberUniqueName="[PurchaseOrder].[OtherMerchantPurchaseOrderUnit].[All]" allUniqueName="[PurchaseOrder].[OtherMerchantPurchaseOrderUnit].[All]" dimensionUniqueName="[PurchaseOrder]" displayFolder="" count="0" unbalanced="0" hidden="1"/>
    <cacheHierarchy uniqueName="[PurchaseOrder].[PendingPONetValue]" caption="PendingPONetValue" attribute="1" defaultMemberUniqueName="[PurchaseOrder].[PendingPONetValue].[All]" allUniqueName="[PurchaseOrder].[PendingPONetValue].[All]" dimensionUniqueName="[PurchaseOrder]" displayFolder="" count="0" unbalanced="0" hidden="1"/>
    <cacheHierarchy uniqueName="[PurchaseOrder].[PendingPurchaseOrderUnit]" caption="PendingPurchaseOrderUnit" attribute="1" defaultMemberUniqueName="[PurchaseOrder].[PendingPurchaseOrderUnit].[All]" allUniqueName="[PurchaseOrder].[PendingPurchaseOrderUnit].[All]" dimensionUniqueName="[PurchaseOrder]" displayFolder="" count="0" unbalanced="0" hidden="1"/>
    <cacheHierarchy uniqueName="[PurchaseOrder].[PONetValue]" caption="PONetValue" attribute="1" defaultMemberUniqueName="[PurchaseOrder].[PONetValue].[All]" allUniqueName="[PurchaseOrder].[PONetValue].[All]" dimensionUniqueName="[PurchaseOrder]" displayFolder="" count="0" unbalanced="0" hidden="1"/>
    <cacheHierarchy uniqueName="[PurchaseOrder].[ProductStateID]" caption="ProductStateID" attribute="1" defaultMemberUniqueName="[PurchaseOrder].[ProductStateID].[All]" allUniqueName="[PurchaseOrder].[ProductStateID].[All]" dimensionUniqueName="[PurchaseOrder]" displayFolder="" count="0" unbalanced="0" hidden="1"/>
    <cacheHierarchy uniqueName="[PurchaseOrder].[PurchaseOrderCode]" caption="PurchaseOrderCode" attribute="1" defaultMemberUniqueName="[PurchaseOrder].[PurchaseOrderCode].[All]" allUniqueName="[PurchaseOrder].[PurchaseOrderCode].[All]" dimensionUniqueName="[PurchaseOrder]" displayFolder="" count="0" unbalanced="0" hidden="1"/>
    <cacheHierarchy uniqueName="[PurchaseOrder].[PurchaseOrderUnit]" caption="PurchaseOrderUnit" attribute="1" defaultMemberUniqueName="[PurchaseOrder].[PurchaseOrderUnit].[All]" allUniqueName="[PurchaseOrder].[PurchaseOrderUnit].[All]" dimensionUniqueName="[PurchaseOrder]" displayFolder="" count="0" unbalanced="0" hidden="1"/>
    <cacheHierarchy uniqueName="[PurchaseOrder].[SalesChannelKey]" caption="SalesChannelKey" attribute="1" defaultMemberUniqueName="[PurchaseOrder].[SalesChannelKey].[All]" allUniqueName="[PurchaseOrder].[SalesChannelKey].[All]" dimensionUniqueName="[PurchaseOrder]" displayFolder="" count="0" unbalanced="0" hidden="1"/>
    <cacheHierarchy uniqueName="[PurchaseOrder].[SalesSeasonID]" caption="SalesSeasonID" attribute="1" defaultMemberUniqueName="[PurchaseOrder].[SalesSeasonID].[All]" allUniqueName="[PurchaseOrder].[SalesSeasonID].[All]" dimensionUniqueName="[PurchaseOrder]" displayFolder="" count="0" unbalanced="0" hidden="1"/>
    <cacheHierarchy uniqueName="[PurchaseOrder].[ToptanSasCarpanı]" caption="ToptanSasCarpanı" attribute="1" defaultMemberUniqueName="[PurchaseOrder].[ToptanSasCarpanı].[All]" allUniqueName="[PurchaseOrder].[ToptanSasCarpanı].[All]" dimensionUniqueName="[PurchaseOrder]" displayFolder="" count="0" unbalanced="0" hidden="1"/>
    <cacheHierarchy uniqueName="[PurchaseOrder].[UnitPrice]" caption="UnitPrice" attribute="1" defaultMemberUniqueName="[PurchaseOrder].[UnitPrice].[All]" allUniqueName="[PurchaseOrder].[UnitPrice].[All]" dimensionUniqueName="[PurchaseOrder]" displayFolder="" count="0" unbalanced="0" hidden="1"/>
    <cacheHierarchy uniqueName="[PurchaseOrderGR].[DCSubWarehouseKey]" caption="DCSubWarehouseKey" attribute="1" defaultMemberUniqueName="[PurchaseOrderGR].[DCSubWarehouseKey].[All]" allUniqueName="[PurchaseOrderGR].[DCSubWarehouseKey].[All]" dimensionUniqueName="[PurchaseOrderGR]" displayFolder="" count="0" unbalanced="0" hidden="1"/>
    <cacheHierarchy uniqueName="[PurchaseOrderGR].[DeadLine]" caption="DeadLine" attribute="1" defaultMemberUniqueName="[PurchaseOrderGR].[DeadLine].[All]" allUniqueName="[PurchaseOrderGR].[DeadLine].[All]" dimensionUniqueName="[PurchaseOrderGR]" displayFolder="" count="0" unbalanced="0" hidden="1"/>
    <cacheHierarchy uniqueName="[PurchaseOrderGR].[DWSourceKey]" caption="DWSourceKey" attribute="1" defaultMemberUniqueName="[PurchaseOrderGR].[DWSourceKey].[All]" allUniqueName="[PurchaseOrderGR].[DWSourceKey].[All]" dimensionUniqueName="[PurchaseOrderGR]" displayFolder="" count="0" unbalanced="0" hidden="1"/>
    <cacheHierarchy uniqueName="[PurchaseOrderGR].[EstimatedExcRateLC]" caption="EstimatedExcRateLC" attribute="1" defaultMemberUniqueName="[PurchaseOrderGR].[EstimatedExcRateLC].[All]" allUniqueName="[PurchaseOrderGR].[EstimatedExcRateLC].[All]" dimensionUniqueName="[PurchaseOrderGR]" displayFolder="" count="0" unbalanced="0" hidden="1"/>
    <cacheHierarchy uniqueName="[PurchaseOrderGR].[EtlDate]" caption="EtlDate" attribute="1" defaultMemberUniqueName="[PurchaseOrderGR].[EtlDate].[All]" allUniqueName="[PurchaseOrderGR].[EtlDate].[All]" dimensionUniqueName="[PurchaseOrderGR]" displayFolder="" count="0" unbalanced="0" hidden="1"/>
    <cacheHierarchy uniqueName="[PurchaseOrderGR].[Factor]" caption="Factor" attribute="1" defaultMemberUniqueName="[PurchaseOrderGR].[Factor].[All]" allUniqueName="[PurchaseOrderGR].[Factor].[All]" dimensionUniqueName="[PurchaseOrderGR]" displayFolder="" count="0" unbalanced="0" hidden="1"/>
    <cacheHierarchy uniqueName="[PurchaseOrderGR].[GoodReceiptValueNavlunLC]" caption="GoodReceiptValueNavlunLC" attribute="1" defaultMemberUniqueName="[PurchaseOrderGR].[GoodReceiptValueNavlunLC].[All]" allUniqueName="[PurchaseOrderGR].[GoodReceiptValueNavlunLC].[All]" dimensionUniqueName="[PurchaseOrderGR]" displayFolder="" count="0" unbalanced="0" hidden="1"/>
    <cacheHierarchy uniqueName="[PurchaseOrderGR].[GoodsReceiptDate]" caption="GoodsReceiptDate" attribute="1" defaultMemberUniqueName="[PurchaseOrderGR].[GoodsReceiptDate].[All]" allUniqueName="[PurchaseOrderGR].[GoodsReceiptDate].[All]" dimensionUniqueName="[PurchaseOrderGR]" displayFolder="" count="0" unbalanced="0" hidden="1"/>
    <cacheHierarchy uniqueName="[PurchaseOrderGR].[GoodsReceiptUnit]" caption="GoodsReceiptUnit" attribute="1" defaultMemberUniqueName="[PurchaseOrderGR].[GoodsReceiptUnit].[All]" allUniqueName="[PurchaseOrderGR].[GoodsReceiptUnit].[All]" dimensionUniqueName="[PurchaseOrderGR]" displayFolder="" count="0" unbalanced="0" hidden="1"/>
    <cacheHierarchy uniqueName="[PurchaseOrderGR].[GoodsReceiptValueLC]" caption="GoodsReceiptValueLC" attribute="1" defaultMemberUniqueName="[PurchaseOrderGR].[GoodsReceiptValueLC].[All]" allUniqueName="[PurchaseOrderGR].[GoodsReceiptValueLC].[All]" dimensionUniqueName="[PurchaseOrderGR]" displayFolder="" count="0" unbalanced="0" hidden="1"/>
    <cacheHierarchy uniqueName="[PurchaseOrderGR].[LocalCurrencyCode]" caption="LocalCurrencyCode" attribute="1" defaultMemberUniqueName="[PurchaseOrderGR].[LocalCurrencyCode].[All]" allUniqueName="[PurchaseOrderGR].[LocalCurrencyCode].[All]" dimensionUniqueName="[PurchaseOrderGR]" displayFolder="" count="0" unbalanced="0" hidden="1"/>
    <cacheHierarchy uniqueName="[PurchaseOrderGR].[MaterialKey]" caption="MaterialKey" attribute="1" defaultMemberUniqueName="[PurchaseOrderGR].[MaterialKey].[All]" allUniqueName="[PurchaseOrderGR].[MaterialKey].[All]" dimensionUniqueName="[PurchaseOrderGR]" displayFolder="" count="0" unbalanced="0" hidden="1"/>
    <cacheHierarchy uniqueName="[PurchaseOrderGR].[OrderCurrencyCode]" caption="OrderCurrencyCode" attribute="1" defaultMemberUniqueName="[PurchaseOrderGR].[OrderCurrencyCode].[All]" allUniqueName="[PurchaseOrderGR].[OrderCurrencyCode].[All]" dimensionUniqueName="[PurchaseOrderGR]" displayFolder="" count="0" unbalanced="0" hidden="1"/>
    <cacheHierarchy uniqueName="[PurchaseOrderGR].[OtherMerchantGoodsReceiptUnit]" caption="OtherMerchantGoodsReceiptUnit" attribute="1" defaultMemberUniqueName="[PurchaseOrderGR].[OtherMerchantGoodsReceiptUnit].[All]" allUniqueName="[PurchaseOrderGR].[OtherMerchantGoodsReceiptUnit].[All]" dimensionUniqueName="[PurchaseOrderGR]" displayFolder="" count="0" unbalanced="0" hidden="1"/>
    <cacheHierarchy uniqueName="[PurchaseOrderGR].[OtherMerchantGoodsReceiptValueLC]" caption="OtherMerchantGoodsReceiptValueLC" attribute="1" defaultMemberUniqueName="[PurchaseOrderGR].[OtherMerchantGoodsReceiptValueLC].[All]" allUniqueName="[PurchaseOrderGR].[OtherMerchantGoodsReceiptValueLC].[All]" dimensionUniqueName="[PurchaseOrderGR]" displayFolder="" count="0" unbalanced="0" hidden="1"/>
    <cacheHierarchy uniqueName="[PurchaseOrderGR].[ProductStateID]" caption="ProductStateID" attribute="1" defaultMemberUniqueName="[PurchaseOrderGR].[ProductStateID].[All]" allUniqueName="[PurchaseOrderGR].[ProductStateID].[All]" dimensionUniqueName="[PurchaseOrderGR]" displayFolder="" count="0" unbalanced="0" hidden="1"/>
    <cacheHierarchy uniqueName="[PurchaseOrderGR].[PurchaseOrderCode]" caption="PurchaseOrderCode" attribute="1" defaultMemberUniqueName="[PurchaseOrderGR].[PurchaseOrderCode].[All]" allUniqueName="[PurchaseOrderGR].[PurchaseOrderCode].[All]" dimensionUniqueName="[PurchaseOrderGR]" displayFolder="" count="0" unbalanced="0" hidden="1"/>
    <cacheHierarchy uniqueName="[PurchaseOrderGR].[SalesChannelKey]" caption="SalesChannelKey" attribute="1" defaultMemberUniqueName="[PurchaseOrderGR].[SalesChannelKey].[All]" allUniqueName="[PurchaseOrderGR].[SalesChannelKey].[All]" dimensionUniqueName="[PurchaseOrderGR]" displayFolder="" count="0" unbalanced="0" hidden="1"/>
    <cacheHierarchy uniqueName="[PurchaseOrderGR].[SalesSeasonID]" caption="SalesSeasonID" attribute="1" defaultMemberUniqueName="[PurchaseOrderGR].[SalesSeasonID].[All]" allUniqueName="[PurchaseOrderGR].[SalesSeasonID].[All]" dimensionUniqueName="[PurchaseOrderGR]" displayFolder="" count="0" unbalanced="0" hidden="1"/>
    <cacheHierarchy uniqueName="[PurchaseOrderGR].[ToptanSasCarpanı]" caption="ToptanSasCarpanı" attribute="1" defaultMemberUniqueName="[PurchaseOrderGR].[ToptanSasCarpanı].[All]" allUniqueName="[PurchaseOrderGR].[ToptanSasCarpanı].[All]" dimensionUniqueName="[PurchaseOrderGR]" displayFolder="" count="0" unbalanced="0" hidden="1"/>
    <cacheHierarchy uniqueName="[Sales].[Ly]" caption="Ly" attribute="1" defaultMemberUniqueName="[Sales].[Ly].[All]" allUniqueName="[Sales].[Ly].[All]" dimensionUniqueName="[Sales]" displayFolder="" count="0" unbalanced="0" hidden="1"/>
    <cacheHierarchy uniqueName="[Sales].[LyLFL]" caption="LyLFL" attribute="1" defaultMemberUniqueName="[Sales].[LyLFL].[All]" allUniqueName="[Sales].[LyLFL].[All]" dimensionUniqueName="[Sales]" displayFolder="" count="0" unbalanced="0" hidden="1"/>
    <cacheHierarchy uniqueName="[Sales].[MeasureBlokLY02]" caption="MeasureBlokLY02" attribute="1" defaultMemberUniqueName="[Sales].[MeasureBlokLY02].[All]" allUniqueName="[Sales].[MeasureBlokLY02].[All]" dimensionUniqueName="[Sales]" displayFolder="" count="0" unbalanced="0" hidden="1"/>
    <cacheHierarchy uniqueName="[Sales].[MeasureBlokLYLFL04]" caption="MeasureBlokLYLFL04" attribute="1" defaultMemberUniqueName="[Sales].[MeasureBlokLYLFL04].[All]" allUniqueName="[Sales].[MeasureBlokLYLFL04].[All]" dimensionUniqueName="[Sales]" displayFolder="" count="0" unbalanced="0" hidden="1"/>
    <cacheHierarchy uniqueName="[Sales].[MeasureBlokTY01]" caption="MeasureBlokTY01" attribute="1" defaultMemberUniqueName="[Sales].[MeasureBlokTY01].[All]" allUniqueName="[Sales].[MeasureBlokTY01].[All]" dimensionUniqueName="[Sales]" displayFolder="" count="0" unbalanced="0" hidden="1"/>
    <cacheHierarchy uniqueName="[Sales].[MeasureBlokTYLFL03]" caption="MeasureBlokTYLFL03" attribute="1" defaultMemberUniqueName="[Sales].[MeasureBlokTYLFL03].[All]" allUniqueName="[Sales].[MeasureBlokTYLFL03].[All]" dimensionUniqueName="[Sales]" displayFolder="" count="0" unbalanced="0" hidden="1"/>
    <cacheHierarchy uniqueName="[Sales].[MeasureGroupName]" caption="MeasureGroupName" attribute="1" defaultMemberUniqueName="[Sales].[MeasureGroupName].[All]" allUniqueName="[Sales].[MeasureGroupName].[All]" dimensionUniqueName="[Sales]" displayFolder="" count="0" unbalanced="0" hidden="1"/>
    <cacheHierarchy uniqueName="[Sales].[ProcessTime]" caption="ProcessTime" attribute="1" defaultMemberUniqueName="[Sales].[ProcessTime].[All]" allUniqueName="[Sales].[ProcessTime].[All]" dimensionUniqueName="[Sales]" displayFolder="" count="0" unbalanced="0" hidden="1"/>
    <cacheHierarchy uniqueName="[Sales].[Ty]" caption="Ty" attribute="1" defaultMemberUniqueName="[Sales].[Ty].[All]" allUniqueName="[Sales].[Ty].[All]" dimensionUniqueName="[Sales]" displayFolder="" count="0" unbalanced="0" hidden="1"/>
    <cacheHierarchy uniqueName="[Sales].[TyLfl]" caption="TyLfl" attribute="1" defaultMemberUniqueName="[Sales].[TyLfl].[All]" allUniqueName="[Sales].[TyLfl].[All]" dimensionUniqueName="[Sales]" displayFolder="" count="0" unbalanced="0" hidden="1"/>
    <cacheHierarchy uniqueName="[SalesBudget].[BudgetCost]" caption="BudgetCost" attribute="1" defaultMemberUniqueName="[SalesBudget].[BudgetCost].[All]" allUniqueName="[SalesBudget].[BudgetCost].[All]" dimensionUniqueName="[SalesBudget]" displayFolder="" count="0" unbalanced="0" hidden="1"/>
    <cacheHierarchy uniqueName="[SalesBudget].[BudgetInitialSalesPrice]" caption="BudgetInitialSalesPrice" attribute="1" defaultMemberUniqueName="[SalesBudget].[BudgetInitialSalesPrice].[All]" allUniqueName="[SalesBudget].[BudgetInitialSalesPrice].[All]" dimensionUniqueName="[SalesBudget]" displayFolder="" count="0" unbalanced="0" hidden="1"/>
    <cacheHierarchy uniqueName="[SalesBudget].[BudgetProfitValue]" caption="BudgetProfitValue" attribute="1" defaultMemberUniqueName="[SalesBudget].[BudgetProfitValue].[All]" allUniqueName="[SalesBudget].[BudgetProfitValue].[All]" dimensionUniqueName="[SalesBudget]" displayFolder="" count="0" unbalanced="0" hidden="1"/>
    <cacheHierarchy uniqueName="[SalesBudget].[BudgetUnit]" caption="BudgetUnit" attribute="1" defaultMemberUniqueName="[SalesBudget].[BudgetUnit].[All]" allUniqueName="[SalesBudget].[BudgetUnit].[All]" dimensionUniqueName="[SalesBudget]" displayFolder="" count="0" unbalanced="0" hidden="1"/>
    <cacheHierarchy uniqueName="[SalesBudget].[BudgetValue]" caption="BudgetValue" attribute="1" defaultMemberUniqueName="[SalesBudget].[BudgetValue].[All]" allUniqueName="[SalesBudget].[BudgetValue].[All]" dimensionUniqueName="[SalesBudget]" displayFolder="" count="0" unbalanced="0" hidden="1"/>
    <cacheHierarchy uniqueName="[SalesBudget].[EURExcRate]" caption="EURExcRate" attribute="1" defaultMemberUniqueName="[SalesBudget].[EURExcRate].[All]" allUniqueName="[SalesBudget].[EURExcRate].[All]" dimensionUniqueName="[SalesBudget]" displayFolder="" count="0" unbalanced="0" hidden="1"/>
    <cacheHierarchy uniqueName="[SalesBudget].[LocationCurrencyCode]" caption="LocationCurrencyCode" attribute="1" defaultMemberUniqueName="[SalesBudget].[LocationCurrencyCode].[All]" allUniqueName="[SalesBudget].[LocationCurrencyCode].[All]" dimensionUniqueName="[SalesBudget]" displayFolder="" count="0" unbalanced="0" hidden="1"/>
    <cacheHierarchy uniqueName="[SalesBudget].[LocationKey]" caption="LocationKey" attribute="1" defaultMemberUniqueName="[SalesBudget].[LocationKey].[All]" allUniqueName="[SalesBudget].[LocationKey].[All]" dimensionUniqueName="[SalesBudget]" displayFolder="" count="0" unbalanced="0" hidden="1"/>
    <cacheHierarchy uniqueName="[SalesBudget].[MaterialKey]" caption="MaterialKey" attribute="1" defaultMemberUniqueName="[SalesBudget].[MaterialKey].[All]" allUniqueName="[SalesBudget].[MaterialKey].[All]" dimensionUniqueName="[SalesBudget]" displayFolder="" count="0" unbalanced="0" hidden="1"/>
    <cacheHierarchy uniqueName="[SalesBudget].[SalesChannelKey]" caption="SalesChannelKey" attribute="1" defaultMemberUniqueName="[SalesBudget].[SalesChannelKey].[All]" allUniqueName="[SalesBudget].[SalesChannelKey].[All]" dimensionUniqueName="[SalesBudget]" displayFolder="" count="0" unbalanced="0" hidden="1"/>
    <cacheHierarchy uniqueName="[SalesBudget].[SubDistChannelCode]" caption="SubDistChannelCode" attribute="1" defaultMemberUniqueName="[SalesBudget].[SubDistChannelCode].[All]" allUniqueName="[SalesBudget].[SubDistChannelCode].[All]" dimensionUniqueName="[SalesBudget]" displayFolder="" count="0" unbalanced="0" hidden="1"/>
    <cacheHierarchy uniqueName="[SalesBudget].[SubDistChannelKey]" caption="SubDistChannelKey" attribute="1" defaultMemberUniqueName="[SalesBudget].[SubDistChannelKey].[All]" allUniqueName="[SalesBudget].[SubDistChannelKey].[All]" dimensionUniqueName="[SalesBudget]" displayFolder="" count="0" unbalanced="0" hidden="1"/>
    <cacheHierarchy uniqueName="[SalesBudget].[TRYExcRate]" caption="TRYExcRate" attribute="1" defaultMemberUniqueName="[SalesBudget].[TRYExcRate].[All]" allUniqueName="[SalesBudget].[TRYExcRate].[All]" dimensionUniqueName="[SalesBudget]" displayFolder="" count="0" unbalanced="0" hidden="1"/>
    <cacheHierarchy uniqueName="[SalesBudget].[TYDate]" caption="TYDate" attribute="1" defaultMemberUniqueName="[SalesBudget].[TYDate].[All]" allUniqueName="[SalesBudget].[TYDate].[All]" dimensionUniqueName="[SalesBudget]" displayFolder="" count="0" unbalanced="0" hidden="1"/>
    <cacheHierarchy uniqueName="[SalesBudget].[USDExcRate]" caption="USDExcRate" attribute="1" defaultMemberUniqueName="[SalesBudget].[USDExcRate].[All]" allUniqueName="[SalesBudget].[USDExcRate].[All]" dimensionUniqueName="[SalesBudget]" displayFolder="" count="0" unbalanced="0" hidden="1"/>
    <cacheHierarchy uniqueName="[SalesBudgetLY].[BudgetTypeName]" caption="BudgetTypeName" attribute="1" defaultMemberUniqueName="[SalesBudgetLY].[BudgetTypeName].[All]" allUniqueName="[SalesBudgetLY].[BudgetTypeName].[All]" dimensionUniqueName="[SalesBudgetLY]" displayFolder="" count="0" unbalanced="0" hidden="1"/>
    <cacheHierarchy uniqueName="[SalesBudgetLY].[EURExcRate]" caption="EURExcRate" attribute="1" defaultMemberUniqueName="[SalesBudgetLY].[EURExcRate].[All]" allUniqueName="[SalesBudgetLY].[EURExcRate].[All]" dimensionUniqueName="[SalesBudgetLY]" displayFolder="" count="0" unbalanced="0" hidden="1"/>
    <cacheHierarchy uniqueName="[SalesBudgetLY].[LocationCurrencyCode]" caption="LocationCurrencyCode" attribute="1" defaultMemberUniqueName="[SalesBudgetLY].[LocationCurrencyCode].[All]" allUniqueName="[SalesBudgetLY].[LocationCurrencyCode].[All]" dimensionUniqueName="[SalesBudgetLY]" displayFolder="" count="0" unbalanced="0" hidden="1"/>
    <cacheHierarchy uniqueName="[SalesBudgetLY].[LocationKey]" caption="LocationKey" attribute="1" defaultMemberUniqueName="[SalesBudgetLY].[LocationKey].[All]" allUniqueName="[SalesBudgetLY].[LocationKey].[All]" dimensionUniqueName="[SalesBudgetLY]" displayFolder="" count="0" unbalanced="0" hidden="1"/>
    <cacheHierarchy uniqueName="[SalesBudgetLY].[LYBudgetCost]" caption="LYBudgetCost" attribute="1" defaultMemberUniqueName="[SalesBudgetLY].[LYBudgetCost].[All]" allUniqueName="[SalesBudgetLY].[LYBudgetCost].[All]" dimensionUniqueName="[SalesBudgetLY]" displayFolder="" count="0" unbalanced="0" hidden="1"/>
    <cacheHierarchy uniqueName="[SalesBudgetLY].[LYBudgetInitialSalesPrice]" caption="LYBudgetInitialSalesPrice" attribute="1" defaultMemberUniqueName="[SalesBudgetLY].[LYBudgetInitialSalesPrice].[All]" allUniqueName="[SalesBudgetLY].[LYBudgetInitialSalesPrice].[All]" dimensionUniqueName="[SalesBudgetLY]" displayFolder="" count="0" unbalanced="0" hidden="1"/>
    <cacheHierarchy uniqueName="[SalesBudgetLY].[LYBudgetProfitValue]" caption="LYBudgetProfitValue" attribute="1" defaultMemberUniqueName="[SalesBudgetLY].[LYBudgetProfitValue].[All]" allUniqueName="[SalesBudgetLY].[LYBudgetProfitValue].[All]" dimensionUniqueName="[SalesBudgetLY]" displayFolder="" count="0" unbalanced="0" hidden="1"/>
    <cacheHierarchy uniqueName="[SalesBudgetLY].[LYBudgetUnit]" caption="LYBudgetUnit" attribute="1" defaultMemberUniqueName="[SalesBudgetLY].[LYBudgetUnit].[All]" allUniqueName="[SalesBudgetLY].[LYBudgetUnit].[All]" dimensionUniqueName="[SalesBudgetLY]" displayFolder="" count="0" unbalanced="0" hidden="1"/>
    <cacheHierarchy uniqueName="[SalesBudgetLY].[LYBudgetValue]" caption="LYBudgetValue" attribute="1" defaultMemberUniqueName="[SalesBudgetLY].[LYBudgetValue].[All]" allUniqueName="[SalesBudgetLY].[LYBudgetValue].[All]" dimensionUniqueName="[SalesBudgetLY]" displayFolder="" count="0" unbalanced="0" hidden="1"/>
    <cacheHierarchy uniqueName="[SalesBudgetLY].[MaterialKey]" caption="MaterialKey" attribute="1" defaultMemberUniqueName="[SalesBudgetLY].[MaterialKey].[All]" allUniqueName="[SalesBudgetLY].[MaterialKey].[All]" dimensionUniqueName="[SalesBudgetLY]" displayFolder="" count="0" unbalanced="0" hidden="1"/>
    <cacheHierarchy uniqueName="[SalesBudgetLY].[SalesChannelKey]" caption="SalesChannelKey" attribute="1" defaultMemberUniqueName="[SalesBudgetLY].[SalesChannelKey].[All]" allUniqueName="[SalesBudgetLY].[SalesChannelKey].[All]" dimensionUniqueName="[SalesBudgetLY]" displayFolder="" count="0" unbalanced="0" hidden="1"/>
    <cacheHierarchy uniqueName="[SalesBudgetLY].[SubDistChannelCode]" caption="SubDistChannelCode" attribute="1" defaultMemberUniqueName="[SalesBudgetLY].[SubDistChannelCode].[All]" allUniqueName="[SalesBudgetLY].[SubDistChannelCode].[All]" dimensionUniqueName="[SalesBudgetLY]" displayFolder="" count="0" unbalanced="0" hidden="1"/>
    <cacheHierarchy uniqueName="[SalesBudgetLY].[SubDistChannelKey]" caption="SubDistChannelKey" attribute="1" defaultMemberUniqueName="[SalesBudgetLY].[SubDistChannelKey].[All]" allUniqueName="[SalesBudgetLY].[SubDistChannelKey].[All]" dimensionUniqueName="[SalesBudgetLY]" displayFolder="" count="0" unbalanced="0" hidden="1"/>
    <cacheHierarchy uniqueName="[SalesBudgetLY].[TRYExcRate]" caption="TRYExcRate" attribute="1" defaultMemberUniqueName="[SalesBudgetLY].[TRYExcRate].[All]" allUniqueName="[SalesBudgetLY].[TRYExcRate].[All]" dimensionUniqueName="[SalesBudgetLY]" displayFolder="" count="0" unbalanced="0" hidden="1"/>
    <cacheHierarchy uniqueName="[SalesBudgetLY].[TYDate]" caption="TYDate" attribute="1" defaultMemberUniqueName="[SalesBudgetLY].[TYDate].[All]" allUniqueName="[SalesBudgetLY].[TYDate].[All]" dimensionUniqueName="[SalesBudgetLY]" displayFolder="" count="0" unbalanced="0" hidden="1"/>
    <cacheHierarchy uniqueName="[SalesBudgetLY].[USDExcRate]" caption="USDExcRate" attribute="1" defaultMemberUniqueName="[SalesBudgetLY].[USDExcRate].[All]" allUniqueName="[SalesBudgetLY].[USDExcRate].[All]" dimensionUniqueName="[SalesBudgetLY]" displayFolder="" count="0" unbalanced="0" hidden="1"/>
    <cacheHierarchy uniqueName="[SalesChannel].[CountryRank]" caption="CountryRank" attribute="1" defaultMemberUniqueName="[SalesChannel].[CountryRank].[All]" allUniqueName="[SalesChannel].[CountryRank].[All]" dimensionUniqueName="[SalesChannel]" displayFolder="" count="0" unbalanced="0" hidden="1"/>
    <cacheHierarchy uniqueName="[SalesChannel].[SalesOrgTypeRank]" caption="SalesOrgTypeRank" attribute="1" defaultMemberUniqueName="[SalesChannel].[SalesOrgTypeRank].[All]" allUniqueName="[SalesChannel].[SalesOrgTypeRank].[All]" dimensionUniqueName="[SalesChannel]" displayFolder="" count="0" unbalanced="0" hidden="1"/>
    <cacheHierarchy uniqueName="[SalesLY].[CurrentSalesPriceID]" caption="CurrentSalesPriceID" attribute="1" defaultMemberUniqueName="[SalesLY].[CurrentSalesPriceID].[All]" allUniqueName="[SalesLY].[CurrentSalesPriceID].[All]" dimensionUniqueName="[SalesLY]" displayFolder="" count="0" unbalanced="0" hidden="1"/>
    <cacheHierarchy uniqueName="[SalesLY].[InitialSalesPriceID]" caption="InitialSalesPriceID" attribute="1" defaultMemberUniqueName="[SalesLY].[InitialSalesPriceID].[All]" allUniqueName="[SalesLY].[InitialSalesPriceID].[All]" dimensionUniqueName="[SalesLY]" displayFolder="" count="0" unbalanced="0" hidden="1"/>
    <cacheHierarchy uniqueName="[SalesLY].[LFLFactor]" caption="LFLFactor" attribute="1" defaultMemberUniqueName="[SalesLY].[LFLFactor].[All]" allUniqueName="[SalesLY].[LFLFactor].[All]" dimensionUniqueName="[SalesLY]" displayFolder="" count="0" unbalanced="0" hidden="1"/>
    <cacheHierarchy uniqueName="[SalesLY].[LocationKey]" caption="LocationKey" attribute="1" defaultMemberUniqueName="[SalesLY].[LocationKey].[All]" allUniqueName="[SalesLY].[LocationKey].[All]" dimensionUniqueName="[SalesLY]" displayFolder="" count="0" unbalanced="0" hidden="1"/>
    <cacheHierarchy uniqueName="[SalesLY].[LYSalesCostLC]" caption="LYSalesCostLC" attribute="1" defaultMemberUniqueName="[SalesLY].[LYSalesCostLC].[All]" allUniqueName="[SalesLY].[LYSalesCostLC].[All]" dimensionUniqueName="[SalesLY]" displayFolder="" count="0" unbalanced="0" hidden="1"/>
    <cacheHierarchy uniqueName="[SalesLY].[LYSalesCostTRY]" caption="LYSalesCostTRY" attribute="1" defaultMemberUniqueName="[SalesLY].[LYSalesCostTRY].[All]" allUniqueName="[SalesLY].[LYSalesCostTRY].[All]" dimensionUniqueName="[SalesLY]" displayFolder="" count="0" unbalanced="0" hidden="1"/>
    <cacheHierarchy uniqueName="[SalesLY].[LYSalesCostUSD]" caption="LYSalesCostUSD" attribute="1" defaultMemberUniqueName="[SalesLY].[LYSalesCostUSD].[All]" allUniqueName="[SalesLY].[LYSalesCostUSD].[All]" dimensionUniqueName="[SalesLY]" displayFolder="" count="0" unbalanced="0" hidden="1"/>
    <cacheHierarchy uniqueName="[SalesLY].[LYSalesCostVATLC]" caption="LYSalesCostVATLC" attribute="1" defaultMemberUniqueName="[SalesLY].[LYSalesCostVATLC].[All]" allUniqueName="[SalesLY].[LYSalesCostVATLC].[All]" dimensionUniqueName="[SalesLY]" displayFolder="" count="0" unbalanced="0" hidden="1"/>
    <cacheHierarchy uniqueName="[SalesLY].[LYSalesCostVATTRY]" caption="LYSalesCostVATTRY" attribute="1" defaultMemberUniqueName="[SalesLY].[LYSalesCostVATTRY].[All]" allUniqueName="[SalesLY].[LYSalesCostVATTRY].[All]" dimensionUniqueName="[SalesLY]" displayFolder="" count="0" unbalanced="0" hidden="1"/>
    <cacheHierarchy uniqueName="[SalesLY].[LYSalesCostVATUSD]" caption="LYSalesCostVATUSD" attribute="1" defaultMemberUniqueName="[SalesLY].[LYSalesCostVATUSD].[All]" allUniqueName="[SalesLY].[LYSalesCostVATUSD].[All]" dimensionUniqueName="[SalesLY]" displayFolder="" count="0" unbalanced="0" hidden="1"/>
    <cacheHierarchy uniqueName="[SalesLY].[LYSalesDiscountValueLC]" caption="LYSalesDiscountValueLC" attribute="1" defaultMemberUniqueName="[SalesLY].[LYSalesDiscountValueLC].[All]" allUniqueName="[SalesLY].[LYSalesDiscountValueLC].[All]" dimensionUniqueName="[SalesLY]" displayFolder="" count="0" unbalanced="0" hidden="1"/>
    <cacheHierarchy uniqueName="[SalesLY].[LYSalesDiscountValueTRY]" caption="LYSalesDiscountValueTRY" attribute="1" defaultMemberUniqueName="[SalesLY].[LYSalesDiscountValueTRY].[All]" allUniqueName="[SalesLY].[LYSalesDiscountValueTRY].[All]" dimensionUniqueName="[SalesLY]" displayFolder="" count="0" unbalanced="0" hidden="1"/>
    <cacheHierarchy uniqueName="[SalesLY].[LYSalesDiscountValueUSD]" caption="LYSalesDiscountValueUSD" attribute="1" defaultMemberUniqueName="[SalesLY].[LYSalesDiscountValueUSD].[All]" allUniqueName="[SalesLY].[LYSalesDiscountValueUSD].[All]" dimensionUniqueName="[SalesLY]" displayFolder="" count="0" unbalanced="0" hidden="1"/>
    <cacheHierarchy uniqueName="[SalesLY].[LYSalesDiscountValueVATLC]" caption="LYSalesDiscountValueVATLC" attribute="1" defaultMemberUniqueName="[SalesLY].[LYSalesDiscountValueVATLC].[All]" allUniqueName="[SalesLY].[LYSalesDiscountValueVATLC].[All]" dimensionUniqueName="[SalesLY]" displayFolder="" count="0" unbalanced="0" hidden="1"/>
    <cacheHierarchy uniqueName="[SalesLY].[LYSalesDiscountValueVATTRY]" caption="LYSalesDiscountValueVATTRY" attribute="1" defaultMemberUniqueName="[SalesLY].[LYSalesDiscountValueVATTRY].[All]" allUniqueName="[SalesLY].[LYSalesDiscountValueVATTRY].[All]" dimensionUniqueName="[SalesLY]" displayFolder="" count="0" unbalanced="0" hidden="1"/>
    <cacheHierarchy uniqueName="[SalesLY].[LYSalesDiscountValueVATUSD]" caption="LYSalesDiscountValueVATUSD" attribute="1" defaultMemberUniqueName="[SalesLY].[LYSalesDiscountValueVATUSD].[All]" allUniqueName="[SalesLY].[LYSalesDiscountValueVATUSD].[All]" dimensionUniqueName="[SalesLY]" displayFolder="" count="0" unbalanced="0" hidden="1"/>
    <cacheHierarchy uniqueName="[SalesLY].[LYSalesGrossProfitLC]" caption="LYSalesGrossProfitLC" attribute="1" defaultMemberUniqueName="[SalesLY].[LYSalesGrossProfitLC].[All]" allUniqueName="[SalesLY].[LYSalesGrossProfitLC].[All]" dimensionUniqueName="[SalesLY]" displayFolder="" count="0" unbalanced="0" hidden="1"/>
    <cacheHierarchy uniqueName="[SalesLY].[LYSalesGrossProfitTRY]" caption="LYSalesGrossProfitTRY" attribute="1" defaultMemberUniqueName="[SalesLY].[LYSalesGrossProfitTRY].[All]" allUniqueName="[SalesLY].[LYSalesGrossProfitTRY].[All]" dimensionUniqueName="[SalesLY]" displayFolder="" count="0" unbalanced="0" hidden="1"/>
    <cacheHierarchy uniqueName="[SalesLY].[LYSalesGrossProfitUSD]" caption="LYSalesGrossProfitUSD" attribute="1" defaultMemberUniqueName="[SalesLY].[LYSalesGrossProfitUSD].[All]" allUniqueName="[SalesLY].[LYSalesGrossProfitUSD].[All]" dimensionUniqueName="[SalesLY]" displayFolder="" count="0" unbalanced="0" hidden="1"/>
    <cacheHierarchy uniqueName="[SalesLY].[LYSalesGrossProfitVATLC]" caption="LYSalesGrossProfitVATLC" attribute="1" defaultMemberUniqueName="[SalesLY].[LYSalesGrossProfitVATLC].[All]" allUniqueName="[SalesLY].[LYSalesGrossProfitVATLC].[All]" dimensionUniqueName="[SalesLY]" displayFolder="" count="0" unbalanced="0" hidden="1"/>
    <cacheHierarchy uniqueName="[SalesLY].[LYSalesGrossProfitVATTRY]" caption="LYSalesGrossProfitVATTRY" attribute="1" defaultMemberUniqueName="[SalesLY].[LYSalesGrossProfitVATTRY].[All]" allUniqueName="[SalesLY].[LYSalesGrossProfitVATTRY].[All]" dimensionUniqueName="[SalesLY]" displayFolder="" count="0" unbalanced="0" hidden="1"/>
    <cacheHierarchy uniqueName="[SalesLY].[LYSalesGrossProfitVATUSD]" caption="LYSalesGrossProfitVATUSD" attribute="1" defaultMemberUniqueName="[SalesLY].[LYSalesGrossProfitVATUSD].[All]" allUniqueName="[SalesLY].[LYSalesGrossProfitVATUSD].[All]" dimensionUniqueName="[SalesLY]" displayFolder="" count="0" unbalanced="0" hidden="1"/>
    <cacheHierarchy uniqueName="[SalesLY].[LYSalesUnit]" caption="LYSalesUnit" attribute="1" defaultMemberUniqueName="[SalesLY].[LYSalesUnit].[All]" allUniqueName="[SalesLY].[LYSalesUnit].[All]" dimensionUniqueName="[SalesLY]" displayFolder="" count="0" unbalanced="0" hidden="1"/>
    <cacheHierarchy uniqueName="[SalesLY].[LYSalesValueCSPLC]" caption="LYSalesValueCSPLC" attribute="1" defaultMemberUniqueName="[SalesLY].[LYSalesValueCSPLC].[All]" allUniqueName="[SalesLY].[LYSalesValueCSPLC].[All]" dimensionUniqueName="[SalesLY]" displayFolder="" count="0" unbalanced="0" hidden="1"/>
    <cacheHierarchy uniqueName="[SalesLY].[LYSalesValueCSPTRY]" caption="LYSalesValueCSPTRY" attribute="1" defaultMemberUniqueName="[SalesLY].[LYSalesValueCSPTRY].[All]" allUniqueName="[SalesLY].[LYSalesValueCSPTRY].[All]" dimensionUniqueName="[SalesLY]" displayFolder="" count="0" unbalanced="0" hidden="1"/>
    <cacheHierarchy uniqueName="[SalesLY].[LYSalesValueCSPUSD]" caption="LYSalesValueCSPUSD" attribute="1" defaultMemberUniqueName="[SalesLY].[LYSalesValueCSPUSD].[All]" allUniqueName="[SalesLY].[LYSalesValueCSPUSD].[All]" dimensionUniqueName="[SalesLY]" displayFolder="" count="0" unbalanced="0" hidden="1"/>
    <cacheHierarchy uniqueName="[SalesLY].[LYSalesValueISPLC]" caption="LYSalesValueISPLC" attribute="1" defaultMemberUniqueName="[SalesLY].[LYSalesValueISPLC].[All]" allUniqueName="[SalesLY].[LYSalesValueISPLC].[All]" dimensionUniqueName="[SalesLY]" displayFolder="" count="0" unbalanced="0" hidden="1"/>
    <cacheHierarchy uniqueName="[SalesLY].[LYSalesValueISPTRY]" caption="LYSalesValueISPTRY" attribute="1" defaultMemberUniqueName="[SalesLY].[LYSalesValueISPTRY].[All]" allUniqueName="[SalesLY].[LYSalesValueISPTRY].[All]" dimensionUniqueName="[SalesLY]" displayFolder="" count="0" unbalanced="0" hidden="1"/>
    <cacheHierarchy uniqueName="[SalesLY].[LYSalesValueISPUSD]" caption="LYSalesValueISPUSD" attribute="1" defaultMemberUniqueName="[SalesLY].[LYSalesValueISPUSD].[All]" allUniqueName="[SalesLY].[LYSalesValueISPUSD].[All]" dimensionUniqueName="[SalesLY]" displayFolder="" count="0" unbalanced="0" hidden="1"/>
    <cacheHierarchy uniqueName="[SalesLY].[LYSalesValueLC]" caption="LYSalesValueLC" attribute="1" defaultMemberUniqueName="[SalesLY].[LYSalesValueLC].[All]" allUniqueName="[SalesLY].[LYSalesValueLC].[All]" dimensionUniqueName="[SalesLY]" displayFolder="" count="0" unbalanced="0" hidden="1"/>
    <cacheHierarchy uniqueName="[SalesLY].[LYSalesValueTRY]" caption="LYSalesValueTRY" attribute="1" defaultMemberUniqueName="[SalesLY].[LYSalesValueTRY].[All]" allUniqueName="[SalesLY].[LYSalesValueTRY].[All]" dimensionUniqueName="[SalesLY]" displayFolder="" count="0" unbalanced="0" hidden="1"/>
    <cacheHierarchy uniqueName="[SalesLY].[LYSalesValueUSD]" caption="LYSalesValueUSD" attribute="1" defaultMemberUniqueName="[SalesLY].[LYSalesValueUSD].[All]" allUniqueName="[SalesLY].[LYSalesValueUSD].[All]" dimensionUniqueName="[SalesLY]" displayFolder="" count="0" unbalanced="0" hidden="1"/>
    <cacheHierarchy uniqueName="[SalesLY].[LYSalesValueVATCSPLC]" caption="LYSalesValueVATCSPLC" attribute="1" defaultMemberUniqueName="[SalesLY].[LYSalesValueVATCSPLC].[All]" allUniqueName="[SalesLY].[LYSalesValueVATCSPLC].[All]" dimensionUniqueName="[SalesLY]" displayFolder="" count="0" unbalanced="0" hidden="1"/>
    <cacheHierarchy uniqueName="[SalesLY].[LYSalesValueVATCSPTRY]" caption="LYSalesValueVATCSPTRY" attribute="1" defaultMemberUniqueName="[SalesLY].[LYSalesValueVATCSPTRY].[All]" allUniqueName="[SalesLY].[LYSalesValueVATCSPTRY].[All]" dimensionUniqueName="[SalesLY]" displayFolder="" count="0" unbalanced="0" hidden="1"/>
    <cacheHierarchy uniqueName="[SalesLY].[LYSalesValueVATCSPUSD]" caption="LYSalesValueVATCSPUSD" attribute="1" defaultMemberUniqueName="[SalesLY].[LYSalesValueVATCSPUSD].[All]" allUniqueName="[SalesLY].[LYSalesValueVATCSPUSD].[All]" dimensionUniqueName="[SalesLY]" displayFolder="" count="0" unbalanced="0" hidden="1"/>
    <cacheHierarchy uniqueName="[SalesLY].[LYSalesValueVATISPLC]" caption="LYSalesValueVATISPLC" attribute="1" defaultMemberUniqueName="[SalesLY].[LYSalesValueVATISPLC].[All]" allUniqueName="[SalesLY].[LYSalesValueVATISPLC].[All]" dimensionUniqueName="[SalesLY]" displayFolder="" count="0" unbalanced="0" hidden="1"/>
    <cacheHierarchy uniqueName="[SalesLY].[LYSalesValueVATISPTRY]" caption="LYSalesValueVATISPTRY" attribute="1" defaultMemberUniqueName="[SalesLY].[LYSalesValueVATISPTRY].[All]" allUniqueName="[SalesLY].[LYSalesValueVATISPTRY].[All]" dimensionUniqueName="[SalesLY]" displayFolder="" count="0" unbalanced="0" hidden="1"/>
    <cacheHierarchy uniqueName="[SalesLY].[LYSalesValueVATISPUSD]" caption="LYSalesValueVATISPUSD" attribute="1" defaultMemberUniqueName="[SalesLY].[LYSalesValueVATISPUSD].[All]" allUniqueName="[SalesLY].[LYSalesValueVATISPUSD].[All]" dimensionUniqueName="[SalesLY]" displayFolder="" count="0" unbalanced="0" hidden="1"/>
    <cacheHierarchy uniqueName="[SalesLY].[LYSalesValueVATLC]" caption="LYSalesValueVATLC" attribute="1" defaultMemberUniqueName="[SalesLY].[LYSalesValueVATLC].[All]" allUniqueName="[SalesLY].[LYSalesValueVATLC].[All]" dimensionUniqueName="[SalesLY]" displayFolder="" count="0" unbalanced="0" hidden="1"/>
    <cacheHierarchy uniqueName="[SalesLY].[LYSalesValueVATTRY]" caption="LYSalesValueVATTRY" attribute="1" defaultMemberUniqueName="[SalesLY].[LYSalesValueVATTRY].[All]" allUniqueName="[SalesLY].[LYSalesValueVATTRY].[All]" dimensionUniqueName="[SalesLY]" displayFolder="" count="0" unbalanced="0" hidden="1"/>
    <cacheHierarchy uniqueName="[SalesLY].[LYSalesValueVATUSD]" caption="LYSalesValueVATUSD" attribute="1" defaultMemberUniqueName="[SalesLY].[LYSalesValueVATUSD].[All]" allUniqueName="[SalesLY].[LYSalesValueVATUSD].[All]" dimensionUniqueName="[SalesLY]" displayFolder="" count="0" unbalanced="0" hidden="1"/>
    <cacheHierarchy uniqueName="[SalesLY].[MaterialKey]" caption="MaterialKey" attribute="1" defaultMemberUniqueName="[SalesLY].[MaterialKey].[All]" allUniqueName="[SalesLY].[MaterialKey].[All]" dimensionUniqueName="[SalesLY]" displayFolder="" count="0" unbalanced="0" hidden="1"/>
    <cacheHierarchy uniqueName="[SalesLY].[OutletID]" caption="OutletID" attribute="1" defaultMemberUniqueName="[SalesLY].[OutletID].[All]" allUniqueName="[SalesLY].[OutletID].[All]" dimensionUniqueName="[SalesLY]" displayFolder="" count="0" unbalanced="0" hidden="1"/>
    <cacheHierarchy uniqueName="[SalesLY].[SalesChannelKey]" caption="SalesChannelKey" attribute="1" defaultMemberUniqueName="[SalesLY].[SalesChannelKey].[All]" allUniqueName="[SalesLY].[SalesChannelKey].[All]" dimensionUniqueName="[SalesLY]" displayFolder="" count="0" unbalanced="0" hidden="1"/>
    <cacheHierarchy uniqueName="[SalesLY].[SalesHour]" caption="SalesHour" attribute="1" defaultMemberUniqueName="[SalesLY].[SalesHour].[All]" allUniqueName="[SalesLY].[SalesHour].[All]" dimensionUniqueName="[SalesLY]" displayFolder="" count="0" unbalanced="0" hidden="1"/>
    <cacheHierarchy uniqueName="[SalesLY].[SalesInvoiceItem]" caption="SalesInvoiceItem" attribute="1" defaultMemberUniqueName="[SalesLY].[SalesInvoiceItem].[All]" allUniqueName="[SalesLY].[SalesInvoiceItem].[All]" dimensionUniqueName="[SalesLY]" displayFolder="" count="0" unbalanced="0" hidden="1"/>
    <cacheHierarchy uniqueName="[SalesLY].[SalesInvoiceNumber]" caption="SalesInvoiceNumber" attribute="1" defaultMemberUniqueName="[SalesLY].[SalesInvoiceNumber].[All]" allUniqueName="[SalesLY].[SalesInvoiceNumber].[All]" dimensionUniqueName="[SalesLY]" displayFolder="" count="0" unbalanced="0" hidden="1"/>
    <cacheHierarchy uniqueName="[SalesLY].[SalesSeasonID]" caption="SalesSeasonID" attribute="1" defaultMemberUniqueName="[SalesLY].[SalesSeasonID].[All]" allUniqueName="[SalesLY].[SalesSeasonID].[All]" dimensionUniqueName="[SalesLY]" displayFolder="" count="0" unbalanced="0" hidden="1"/>
    <cacheHierarchy uniqueName="[SalesLY].[SalesType]" caption="SalesType" attribute="1" defaultMemberUniqueName="[SalesLY].[SalesType].[All]" allUniqueName="[SalesLY].[SalesType].[All]" dimensionUniqueName="[SalesLY]" displayFolder="" count="0" unbalanced="0" hidden="1"/>
    <cacheHierarchy uniqueName="[SalesLY].[SalesUOM]" caption="SalesUOM" attribute="1" defaultMemberUniqueName="[SalesLY].[SalesUOM].[All]" allUniqueName="[SalesLY].[SalesUOM].[All]" dimensionUniqueName="[SalesLY]" displayFolder="" count="0" unbalanced="0" hidden="1"/>
    <cacheHierarchy uniqueName="[SalesLY].[SubDistChannelKey]" caption="SubDistChannelKey" attribute="1" defaultMemberUniqueName="[SalesLY].[SubDistChannelKey].[All]" allUniqueName="[SalesLY].[SubDistChannelKey].[All]" dimensionUniqueName="[SalesLY]" displayFolder="" count="0" unbalanced="0" hidden="1"/>
    <cacheHierarchy uniqueName="[SalesLY].[TYDate]" caption="TYDate" attribute="1" defaultMemberUniqueName="[SalesLY].[TYDate].[All]" allUniqueName="[SalesLY].[TYDate].[All]" dimensionUniqueName="[SalesLY]" displayFolder="" count="0" unbalanced="0" hidden="1"/>
    <cacheHierarchy uniqueName="[SalesTY].[CurrentSalesPriceID]" caption="CurrentSalesPriceID" attribute="1" defaultMemberUniqueName="[SalesTY].[CurrentSalesPriceID].[All]" allUniqueName="[SalesTY].[CurrentSalesPriceID].[All]" dimensionUniqueName="[SalesTY]" displayFolder="" count="0" unbalanced="0" hidden="1"/>
    <cacheHierarchy uniqueName="[SalesTY].[CustomerCode]" caption="CustomerCode" attribute="1" defaultMemberUniqueName="[SalesTY].[CustomerCode].[All]" allUniqueName="[SalesTY].[CustomerCode].[All]" dimensionUniqueName="[SalesTY]" displayFolder="" count="0" unbalanced="0" hidden="1"/>
    <cacheHierarchy uniqueName="[SalesTY].[InitialSalesPriceID]" caption="InitialSalesPriceID" attribute="1" defaultMemberUniqueName="[SalesTY].[InitialSalesPriceID].[All]" allUniqueName="[SalesTY].[InitialSalesPriceID].[All]" dimensionUniqueName="[SalesTY]" displayFolder="" count="0" unbalanced="0" hidden="1"/>
    <cacheHierarchy uniqueName="[SalesTY].[LFLFactor]" caption="LFLFactor" attribute="1" defaultMemberUniqueName="[SalesTY].[LFLFactor].[All]" allUniqueName="[SalesTY].[LFLFactor].[All]" dimensionUniqueName="[SalesTY]" displayFolder="" count="0" unbalanced="0" hidden="1"/>
    <cacheHierarchy uniqueName="[SalesTY].[LocationKey]" caption="LocationKey" attribute="1" defaultMemberUniqueName="[SalesTY].[LocationKey].[All]" allUniqueName="[SalesTY].[LocationKey].[All]" dimensionUniqueName="[SalesTY]" displayFolder="" count="0" unbalanced="0" hidden="1"/>
    <cacheHierarchy uniqueName="[SalesTY].[MaterialKey]" caption="MaterialKey" attribute="1" defaultMemberUniqueName="[SalesTY].[MaterialKey].[All]" allUniqueName="[SalesTY].[MaterialKey].[All]" dimensionUniqueName="[SalesTY]" displayFolder="" count="0" unbalanced="0" hidden="1"/>
    <cacheHierarchy uniqueName="[SalesTY].[OutletID]" caption="OutletID" attribute="1" defaultMemberUniqueName="[SalesTY].[OutletID].[All]" allUniqueName="[SalesTY].[OutletID].[All]" dimensionUniqueName="[SalesTY]" displayFolder="" count="0" unbalanced="0" hidden="1"/>
    <cacheHierarchy uniqueName="[SalesTY].[SalesChannelKey]" caption="SalesChannelKey" attribute="1" defaultMemberUniqueName="[SalesTY].[SalesChannelKey].[All]" allUniqueName="[SalesTY].[SalesChannelKey].[All]" dimensionUniqueName="[SalesTY]" displayFolder="" count="0" unbalanced="0" hidden="1"/>
    <cacheHierarchy uniqueName="[SalesTY].[SalesDate]" caption="SalesDate" attribute="1" defaultMemberUniqueName="[SalesTY].[SalesDate].[All]" allUniqueName="[SalesTY].[SalesDate].[All]" dimensionUniqueName="[SalesTY]" displayFolder="" count="0" unbalanced="0" hidden="1"/>
    <cacheHierarchy uniqueName="[SalesTY].[SalesHour]" caption="SalesHour" attribute="1" defaultMemberUniqueName="[SalesTY].[SalesHour].[All]" allUniqueName="[SalesTY].[SalesHour].[All]" dimensionUniqueName="[SalesTY]" displayFolder="" count="0" unbalanced="0" hidden="1"/>
    <cacheHierarchy uniqueName="[SalesTY].[SalesInvoiceItem]" caption="SalesInvoiceItem" attribute="1" defaultMemberUniqueName="[SalesTY].[SalesInvoiceItem].[All]" allUniqueName="[SalesTY].[SalesInvoiceItem].[All]" dimensionUniqueName="[SalesTY]" displayFolder="" count="0" unbalanced="0" hidden="1"/>
    <cacheHierarchy uniqueName="[SalesTY].[SalesInvoiceNumber]" caption="SalesInvoiceNumber" attribute="1" defaultMemberUniqueName="[SalesTY].[SalesInvoiceNumber].[All]" allUniqueName="[SalesTY].[SalesInvoiceNumber].[All]" dimensionUniqueName="[SalesTY]" displayFolder="" count="0" unbalanced="0" hidden="1"/>
    <cacheHierarchy uniqueName="[SalesTY].[SalesSeasonID]" caption="SalesSeasonID" attribute="1" defaultMemberUniqueName="[SalesTY].[SalesSeasonID].[All]" allUniqueName="[SalesTY].[SalesSeasonID].[All]" dimensionUniqueName="[SalesTY]" displayFolder="" count="0" unbalanced="0" hidden="1"/>
    <cacheHierarchy uniqueName="[SalesTY].[SalesType]" caption="SalesType" attribute="1" defaultMemberUniqueName="[SalesTY].[SalesType].[All]" allUniqueName="[SalesTY].[SalesType].[All]" dimensionUniqueName="[SalesTY]" displayFolder="" count="0" unbalanced="0" hidden="1"/>
    <cacheHierarchy uniqueName="[SalesTY].[SalesUOM]" caption="SalesUOM" attribute="1" defaultMemberUniqueName="[SalesTY].[SalesUOM].[All]" allUniqueName="[SalesTY].[SalesUOM].[All]" dimensionUniqueName="[SalesTY]" displayFolder="" count="0" unbalanced="0" hidden="1"/>
    <cacheHierarchy uniqueName="[SalesTY].[SubDistChannelKey]" caption="SubDistChannelKey" attribute="1" defaultMemberUniqueName="[SalesTY].[SubDistChannelKey].[All]" allUniqueName="[SalesTY].[SubDistChannelKey].[All]" dimensionUniqueName="[SalesTY]" displayFolder="" count="0" unbalanced="0" hidden="1"/>
    <cacheHierarchy uniqueName="[SalesTY].[TYSalesCostLC]" caption="TYSalesCostLC" attribute="1" defaultMemberUniqueName="[SalesTY].[TYSalesCostLC].[All]" allUniqueName="[SalesTY].[TYSalesCostLC].[All]" dimensionUniqueName="[SalesTY]" displayFolder="" count="0" unbalanced="0" hidden="1"/>
    <cacheHierarchy uniqueName="[SalesTY].[TYSalesCostLC_Orj]" caption="TYSalesCostLC_Orj" attribute="1" defaultMemberUniqueName="[SalesTY].[TYSalesCostLC_Orj].[All]" allUniqueName="[SalesTY].[TYSalesCostLC_Orj].[All]" dimensionUniqueName="[SalesTY]" displayFolder="" count="0" unbalanced="0" hidden="1"/>
    <cacheHierarchy uniqueName="[SalesTY].[TYSalesCostTRY]" caption="TYSalesCostTRY" attribute="1" defaultMemberUniqueName="[SalesTY].[TYSalesCostTRY].[All]" allUniqueName="[SalesTY].[TYSalesCostTRY].[All]" dimensionUniqueName="[SalesTY]" displayFolder="" count="0" unbalanced="0" hidden="1"/>
    <cacheHierarchy uniqueName="[SalesTY].[TYSalesCostUSD]" caption="TYSalesCostUSD" attribute="1" defaultMemberUniqueName="[SalesTY].[TYSalesCostUSD].[All]" allUniqueName="[SalesTY].[TYSalesCostUSD].[All]" dimensionUniqueName="[SalesTY]" displayFolder="" count="0" unbalanced="0" hidden="1"/>
    <cacheHierarchy uniqueName="[SalesTY].[TYSalesCostVATLC]" caption="TYSalesCostVATLC" attribute="1" defaultMemberUniqueName="[SalesTY].[TYSalesCostVATLC].[All]" allUniqueName="[SalesTY].[TYSalesCostVATLC].[All]" dimensionUniqueName="[SalesTY]" displayFolder="" count="0" unbalanced="0" hidden="1"/>
    <cacheHierarchy uniqueName="[SalesTY].[TYSalesCostVATTRY]" caption="TYSalesCostVATTRY" attribute="1" defaultMemberUniqueName="[SalesTY].[TYSalesCostVATTRY].[All]" allUniqueName="[SalesTY].[TYSalesCostVATTRY].[All]" dimensionUniqueName="[SalesTY]" displayFolder="" count="0" unbalanced="0" hidden="1"/>
    <cacheHierarchy uniqueName="[SalesTY].[TYSalesCostVATUSD]" caption="TYSalesCostVATUSD" attribute="1" defaultMemberUniqueName="[SalesTY].[TYSalesCostVATUSD].[All]" allUniqueName="[SalesTY].[TYSalesCostVATUSD].[All]" dimensionUniqueName="[SalesTY]" displayFolder="" count="0" unbalanced="0" hidden="1"/>
    <cacheHierarchy uniqueName="[SalesTY].[TYSalesDiscountValueLC]" caption="TYSalesDiscountValueLC" attribute="1" defaultMemberUniqueName="[SalesTY].[TYSalesDiscountValueLC].[All]" allUniqueName="[SalesTY].[TYSalesDiscountValueLC].[All]" dimensionUniqueName="[SalesTY]" displayFolder="" count="0" unbalanced="0" hidden="1"/>
    <cacheHierarchy uniqueName="[SalesTY].[TYSalesDiscountValueTRY]" caption="TYSalesDiscountValueTRY" attribute="1" defaultMemberUniqueName="[SalesTY].[TYSalesDiscountValueTRY].[All]" allUniqueName="[SalesTY].[TYSalesDiscountValueTRY].[All]" dimensionUniqueName="[SalesTY]" displayFolder="" count="0" unbalanced="0" hidden="1"/>
    <cacheHierarchy uniqueName="[SalesTY].[TYSalesDiscountValueUSD]" caption="TYSalesDiscountValueUSD" attribute="1" defaultMemberUniqueName="[SalesTY].[TYSalesDiscountValueUSD].[All]" allUniqueName="[SalesTY].[TYSalesDiscountValueUSD].[All]" dimensionUniqueName="[SalesTY]" displayFolder="" count="0" unbalanced="0" hidden="1"/>
    <cacheHierarchy uniqueName="[SalesTY].[TYSalesDiscountValueVATLC]" caption="TYSalesDiscountValueVATLC" attribute="1" defaultMemberUniqueName="[SalesTY].[TYSalesDiscountValueVATLC].[All]" allUniqueName="[SalesTY].[TYSalesDiscountValueVATLC].[All]" dimensionUniqueName="[SalesTY]" displayFolder="" count="0" unbalanced="0" hidden="1"/>
    <cacheHierarchy uniqueName="[SalesTY].[TYSalesDiscountValueVATTRY]" caption="TYSalesDiscountValueVATTRY" attribute="1" defaultMemberUniqueName="[SalesTY].[TYSalesDiscountValueVATTRY].[All]" allUniqueName="[SalesTY].[TYSalesDiscountValueVATTRY].[All]" dimensionUniqueName="[SalesTY]" displayFolder="" count="0" unbalanced="0" hidden="1"/>
    <cacheHierarchy uniqueName="[SalesTY].[TYSalesDiscountValueVATUSD]" caption="TYSalesDiscountValueVATUSD" attribute="1" defaultMemberUniqueName="[SalesTY].[TYSalesDiscountValueVATUSD].[All]" allUniqueName="[SalesTY].[TYSalesDiscountValueVATUSD].[All]" dimensionUniqueName="[SalesTY]" displayFolder="" count="0" unbalanced="0" hidden="1"/>
    <cacheHierarchy uniqueName="[SalesTY].[TYSalesGrossProfitLC]" caption="TYSalesGrossProfitLC" attribute="1" defaultMemberUniqueName="[SalesTY].[TYSalesGrossProfitLC].[All]" allUniqueName="[SalesTY].[TYSalesGrossProfitLC].[All]" dimensionUniqueName="[SalesTY]" displayFolder="" count="0" unbalanced="0" hidden="1"/>
    <cacheHierarchy uniqueName="[SalesTY].[TYSalesGrossProfitTRY]" caption="TYSalesGrossProfitTRY" attribute="1" defaultMemberUniqueName="[SalesTY].[TYSalesGrossProfitTRY].[All]" allUniqueName="[SalesTY].[TYSalesGrossProfitTRY].[All]" dimensionUniqueName="[SalesTY]" displayFolder="" count="0" unbalanced="0" hidden="1"/>
    <cacheHierarchy uniqueName="[SalesTY].[TYSalesGrossProfitUSD]" caption="TYSalesGrossProfitUSD" attribute="1" defaultMemberUniqueName="[SalesTY].[TYSalesGrossProfitUSD].[All]" allUniqueName="[SalesTY].[TYSalesGrossProfitUSD].[All]" dimensionUniqueName="[SalesTY]" displayFolder="" count="0" unbalanced="0" hidden="1"/>
    <cacheHierarchy uniqueName="[SalesTY].[TYSalesGrossProfitVATLC]" caption="TYSalesGrossProfitVATLC" attribute="1" defaultMemberUniqueName="[SalesTY].[TYSalesGrossProfitVATLC].[All]" allUniqueName="[SalesTY].[TYSalesGrossProfitVATLC].[All]" dimensionUniqueName="[SalesTY]" displayFolder="" count="0" unbalanced="0" hidden="1"/>
    <cacheHierarchy uniqueName="[SalesTY].[TYSalesGrossProfitVATTRY]" caption="TYSalesGrossProfitVATTRY" attribute="1" defaultMemberUniqueName="[SalesTY].[TYSalesGrossProfitVATTRY].[All]" allUniqueName="[SalesTY].[TYSalesGrossProfitVATTRY].[All]" dimensionUniqueName="[SalesTY]" displayFolder="" count="0" unbalanced="0" hidden="1"/>
    <cacheHierarchy uniqueName="[SalesTY].[TYSalesGrossProfitVATUSD]" caption="TYSalesGrossProfitVATUSD" attribute="1" defaultMemberUniqueName="[SalesTY].[TYSalesGrossProfitVATUSD].[All]" allUniqueName="[SalesTY].[TYSalesGrossProfitVATUSD].[All]" dimensionUniqueName="[SalesTY]" displayFolder="" count="0" unbalanced="0" hidden="1"/>
    <cacheHierarchy uniqueName="[SalesTY].[TYSalesUnit]" caption="TYSalesUnit" attribute="1" defaultMemberUniqueName="[SalesTY].[TYSalesUnit].[All]" allUniqueName="[SalesTY].[TYSalesUnit].[All]" dimensionUniqueName="[SalesTY]" displayFolder="" count="0" unbalanced="0" hidden="1"/>
    <cacheHierarchy uniqueName="[SalesTY].[TYSalesValueCSPLC]" caption="TYSalesValueCSPLC" attribute="1" defaultMemberUniqueName="[SalesTY].[TYSalesValueCSPLC].[All]" allUniqueName="[SalesTY].[TYSalesValueCSPLC].[All]" dimensionUniqueName="[SalesTY]" displayFolder="" count="0" unbalanced="0" hidden="1"/>
    <cacheHierarchy uniqueName="[SalesTY].[TYSalesValueCSPTRY]" caption="TYSalesValueCSPTRY" attribute="1" defaultMemberUniqueName="[SalesTY].[TYSalesValueCSPTRY].[All]" allUniqueName="[SalesTY].[TYSalesValueCSPTRY].[All]" dimensionUniqueName="[SalesTY]" displayFolder="" count="0" unbalanced="0" hidden="1"/>
    <cacheHierarchy uniqueName="[SalesTY].[TYSalesValueCSPUSD]" caption="TYSalesValueCSPUSD" attribute="1" defaultMemberUniqueName="[SalesTY].[TYSalesValueCSPUSD].[All]" allUniqueName="[SalesTY].[TYSalesValueCSPUSD].[All]" dimensionUniqueName="[SalesTY]" displayFolder="" count="0" unbalanced="0" hidden="1"/>
    <cacheHierarchy uniqueName="[SalesTY].[TYSalesValueISPLC]" caption="TYSalesValueISPLC" attribute="1" defaultMemberUniqueName="[SalesTY].[TYSalesValueISPLC].[All]" allUniqueName="[SalesTY].[TYSalesValueISPLC].[All]" dimensionUniqueName="[SalesTY]" displayFolder="" count="0" unbalanced="0" hidden="1"/>
    <cacheHierarchy uniqueName="[SalesTY].[TYSalesValueISPTRY]" caption="TYSalesValueISPTRY" attribute="1" defaultMemberUniqueName="[SalesTY].[TYSalesValueISPTRY].[All]" allUniqueName="[SalesTY].[TYSalesValueISPTRY].[All]" dimensionUniqueName="[SalesTY]" displayFolder="" count="0" unbalanced="0" hidden="1"/>
    <cacheHierarchy uniqueName="[SalesTY].[TYSalesValueISPUSD]" caption="TYSalesValueISPUSD" attribute="1" defaultMemberUniqueName="[SalesTY].[TYSalesValueISPUSD].[All]" allUniqueName="[SalesTY].[TYSalesValueISPUSD].[All]" dimensionUniqueName="[SalesTY]" displayFolder="" count="0" unbalanced="0" hidden="1"/>
    <cacheHierarchy uniqueName="[SalesTY].[TYSalesValueLC]" caption="TYSalesValueLC" attribute="1" defaultMemberUniqueName="[SalesTY].[TYSalesValueLC].[All]" allUniqueName="[SalesTY].[TYSalesValueLC].[All]" dimensionUniqueName="[SalesTY]" displayFolder="" count="0" unbalanced="0" hidden="1"/>
    <cacheHierarchy uniqueName="[SalesTY].[TYSalesValueTRY]" caption="TYSalesValueTRY" attribute="1" defaultMemberUniqueName="[SalesTY].[TYSalesValueTRY].[All]" allUniqueName="[SalesTY].[TYSalesValueTRY].[All]" dimensionUniqueName="[SalesTY]" displayFolder="" count="0" unbalanced="0" hidden="1"/>
    <cacheHierarchy uniqueName="[SalesTY].[TYSalesValueUSD]" caption="TYSalesValueUSD" attribute="1" defaultMemberUniqueName="[SalesTY].[TYSalesValueUSD].[All]" allUniqueName="[SalesTY].[TYSalesValueUSD].[All]" dimensionUniqueName="[SalesTY]" displayFolder="" count="0" unbalanced="0" hidden="1"/>
    <cacheHierarchy uniqueName="[SalesTY].[TYSalesValueVATCSPLC]" caption="TYSalesValueVATCSPLC" attribute="1" defaultMemberUniqueName="[SalesTY].[TYSalesValueVATCSPLC].[All]" allUniqueName="[SalesTY].[TYSalesValueVATCSPLC].[All]" dimensionUniqueName="[SalesTY]" displayFolder="" count="0" unbalanced="0" hidden="1"/>
    <cacheHierarchy uniqueName="[SalesTY].[TYSalesValueVATCSPTRY]" caption="TYSalesValueVATCSPTRY" attribute="1" defaultMemberUniqueName="[SalesTY].[TYSalesValueVATCSPTRY].[All]" allUniqueName="[SalesTY].[TYSalesValueVATCSPTRY].[All]" dimensionUniqueName="[SalesTY]" displayFolder="" count="0" unbalanced="0" hidden="1"/>
    <cacheHierarchy uniqueName="[SalesTY].[TYSalesValueVATCSPUSD]" caption="TYSalesValueVATCSPUSD" attribute="1" defaultMemberUniqueName="[SalesTY].[TYSalesValueVATCSPUSD].[All]" allUniqueName="[SalesTY].[TYSalesValueVATCSPUSD].[All]" dimensionUniqueName="[SalesTY]" displayFolder="" count="0" unbalanced="0" hidden="1"/>
    <cacheHierarchy uniqueName="[SalesTY].[TYSalesValueVATISPLC]" caption="TYSalesValueVATISPLC" attribute="1" defaultMemberUniqueName="[SalesTY].[TYSalesValueVATISPLC].[All]" allUniqueName="[SalesTY].[TYSalesValueVATISPLC].[All]" dimensionUniqueName="[SalesTY]" displayFolder="" count="0" unbalanced="0" hidden="1"/>
    <cacheHierarchy uniqueName="[SalesTY].[TYSalesValueVATISPTRY]" caption="TYSalesValueVATISPTRY" attribute="1" defaultMemberUniqueName="[SalesTY].[TYSalesValueVATISPTRY].[All]" allUniqueName="[SalesTY].[TYSalesValueVATISPTRY].[All]" dimensionUniqueName="[SalesTY]" displayFolder="" count="0" unbalanced="0" hidden="1"/>
    <cacheHierarchy uniqueName="[SalesTY].[TYSalesValueVATISPUSD]" caption="TYSalesValueVATISPUSD" attribute="1" defaultMemberUniqueName="[SalesTY].[TYSalesValueVATISPUSD].[All]" allUniqueName="[SalesTY].[TYSalesValueVATISPUSD].[All]" dimensionUniqueName="[SalesTY]" displayFolder="" count="0" unbalanced="0" hidden="1"/>
    <cacheHierarchy uniqueName="[SalesTY].[TYSalesValueVATLC]" caption="TYSalesValueVATLC" attribute="1" defaultMemberUniqueName="[SalesTY].[TYSalesValueVATLC].[All]" allUniqueName="[SalesTY].[TYSalesValueVATLC].[All]" dimensionUniqueName="[SalesTY]" displayFolder="" count="0" unbalanced="0" hidden="1"/>
    <cacheHierarchy uniqueName="[SalesTY].[TYSalesValueVATTRY]" caption="TYSalesValueVATTRY" attribute="1" defaultMemberUniqueName="[SalesTY].[TYSalesValueVATTRY].[All]" allUniqueName="[SalesTY].[TYSalesValueVATTRY].[All]" dimensionUniqueName="[SalesTY]" displayFolder="" count="0" unbalanced="0" hidden="1"/>
    <cacheHierarchy uniqueName="[SalesTY].[TYSalesValueVATUSD]" caption="TYSalesValueVATUSD" attribute="1" defaultMemberUniqueName="[SalesTY].[TYSalesValueVATUSD].[All]" allUniqueName="[SalesTY].[TYSalesValueVATUSD].[All]" dimensionUniqueName="[SalesTY]" displayFolder="" count="0" unbalanced="0" hidden="1"/>
    <cacheHierarchy uniqueName="[StockDC].[CompanyUnitCost]" caption="CompanyUnitCost" attribute="1" defaultMemberUniqueName="[StockDC].[CompanyUnitCost].[All]" allUniqueName="[StockDC].[CompanyUnitCost].[All]" dimensionUniqueName="[StockDC]" displayFolder="" count="0" unbalanced="0" hidden="1"/>
    <cacheHierarchy uniqueName="[StockDC].[EURExcRate]" caption="EURExcRate" attribute="1" defaultMemberUniqueName="[StockDC].[EURExcRate].[All]" allUniqueName="[StockDC].[EURExcRate].[All]" dimensionUniqueName="[StockDC]" displayFolder="" count="0" unbalanced="0" hidden="1"/>
    <cacheHierarchy uniqueName="[StockDC].[InitialSalesPriceID]" caption="InitialSalesPriceID" attribute="1" defaultMemberUniqueName="[StockDC].[InitialSalesPriceID].[All]" allUniqueName="[StockDC].[InitialSalesPriceID].[All]" dimensionUniqueName="[StockDC]" displayFolder="" count="0" unbalanced="0" hidden="1"/>
    <cacheHierarchy uniqueName="[StockDC].[LCExcRate]" caption="LCExcRate" attribute="1" defaultMemberUniqueName="[StockDC].[LCExcRate].[All]" allUniqueName="[StockDC].[LCExcRate].[All]" dimensionUniqueName="[StockDC]" displayFolder="" count="0" unbalanced="0" hidden="1"/>
    <cacheHierarchy uniqueName="[StockDC].[LFLFactor]" caption="LFLFactor" attribute="1" defaultMemberUniqueName="[StockDC].[LFLFactor].[All]" allUniqueName="[StockDC].[LFLFactor].[All]" dimensionUniqueName="[StockDC]" displayFolder="" count="0" unbalanced="0" hidden="1"/>
    <cacheHierarchy uniqueName="[StockDC].[MaterialKey]" caption="MaterialKey" attribute="1" defaultMemberUniqueName="[StockDC].[MaterialKey].[All]" allUniqueName="[StockDC].[MaterialKey].[All]" dimensionUniqueName="[StockDC]" displayFolder="" count="0" unbalanced="0" hidden="1"/>
    <cacheHierarchy uniqueName="[StockDC].[OutletID]" caption="OutletID" attribute="1" defaultMemberUniqueName="[StockDC].[OutletID].[All]" allUniqueName="[StockDC].[OutletID].[All]" dimensionUniqueName="[StockDC]" displayFolder="" count="0" unbalanced="0" hidden="1"/>
    <cacheHierarchy uniqueName="[StockDC].[SalesChannelKey]" caption="SalesChannelKey" attribute="1" defaultMemberUniqueName="[StockDC].[SalesChannelKey].[All]" allUniqueName="[StockDC].[SalesChannelKey].[All]" dimensionUniqueName="[StockDC]" displayFolder="" count="0" unbalanced="0" hidden="1"/>
    <cacheHierarchy uniqueName="[StockDC].[SalesSeasonID]" caption="SalesSeasonID" attribute="1" defaultMemberUniqueName="[StockDC].[SalesSeasonID].[All]" allUniqueName="[StockDC].[SalesSeasonID].[All]" dimensionUniqueName="[StockDC]" displayFolder="" count="0" unbalanced="0" hidden="1"/>
    <cacheHierarchy uniqueName="[StockDC].[StockDate]" caption="StockDate" attribute="1" defaultMemberUniqueName="[StockDC].[StockDate].[All]" allUniqueName="[StockDC].[StockDate].[All]" dimensionUniqueName="[StockDC]" displayFolder="" count="0" unbalanced="0" hidden="1"/>
    <cacheHierarchy uniqueName="[StockDC].[StockUnit]" caption="StockUnit" attribute="1" defaultMemberUniqueName="[StockDC].[StockUnit].[All]" allUniqueName="[StockDC].[StockUnit].[All]" dimensionUniqueName="[StockDC]" displayFolder="" count="0" unbalanced="0" hidden="1"/>
    <cacheHierarchy uniqueName="[StockDC].[SubLocationKey]" caption="SubLocationKey" attribute="1" defaultMemberUniqueName="[StockDC].[SubLocationKey].[All]" allUniqueName="[StockDC].[SubLocationKey].[All]" dimensionUniqueName="[StockDC]" displayFolder="" count="0" unbalanced="0" hidden="1"/>
    <cacheHierarchy uniqueName="[StockDC].[TransitStockUnit]" caption="TransitStockUnit" attribute="1" defaultMemberUniqueName="[StockDC].[TransitStockUnit].[All]" allUniqueName="[StockDC].[TransitStockUnit].[All]" dimensionUniqueName="[StockDC]" displayFolder="" count="0" unbalanced="0" hidden="1"/>
    <cacheHierarchy uniqueName="[StockDC].[TRYExcRate]" caption="TRYExcRate" attribute="1" defaultMemberUniqueName="[StockDC].[TRYExcRate].[All]" allUniqueName="[StockDC].[TRYExcRate].[All]" dimensionUniqueName="[StockDC]" displayFolder="" count="0" unbalanced="0" hidden="1"/>
    <cacheHierarchy uniqueName="[StockDC].[UnitCost]" caption="UnitCost" attribute="1" defaultMemberUniqueName="[StockDC].[UnitCost].[All]" allUniqueName="[StockDC].[UnitCost].[All]" dimensionUniqueName="[StockDC]" displayFolder="" count="0" unbalanced="0" hidden="1"/>
    <cacheHierarchy uniqueName="[StockDC].[USDExcRate]" caption="USDExcRate" attribute="1" defaultMemberUniqueName="[StockDC].[USDExcRate].[All]" allUniqueName="[StockDC].[USDExcRate].[All]" dimensionUniqueName="[StockDC]" displayFolder="" count="0" unbalanced="0" hidden="1"/>
    <cacheHierarchy uniqueName="[StockDCLY].[CompanyUnitCost]" caption="CompanyUnitCost" attribute="1" defaultMemberUniqueName="[StockDCLY].[CompanyUnitCost].[All]" allUniqueName="[StockDCLY].[CompanyUnitCost].[All]" dimensionUniqueName="[StockDCLY]" displayFolder="" count="0" unbalanced="0" hidden="1"/>
    <cacheHierarchy uniqueName="[StockDCLY].[InitialSalesPriceID]" caption="InitialSalesPriceID" attribute="1" defaultMemberUniqueName="[StockDCLY].[InitialSalesPriceID].[All]" allUniqueName="[StockDCLY].[InitialSalesPriceID].[All]" dimensionUniqueName="[StockDCLY]" displayFolder="" count="0" unbalanced="0" hidden="1"/>
    <cacheHierarchy uniqueName="[StockDCLY].[MaterialKey]" caption="MaterialKey" attribute="1" defaultMemberUniqueName="[StockDCLY].[MaterialKey].[All]" allUniqueName="[StockDCLY].[MaterialKey].[All]" dimensionUniqueName="[StockDCLY]" displayFolder="" count="0" unbalanced="0" hidden="1"/>
    <cacheHierarchy uniqueName="[StockDCLY].[OutletID]" caption="OutletID" attribute="1" defaultMemberUniqueName="[StockDCLY].[OutletID].[All]" allUniqueName="[StockDCLY].[OutletID].[All]" dimensionUniqueName="[StockDCLY]" displayFolder="" count="0" unbalanced="0" hidden="1"/>
    <cacheHierarchy uniqueName="[StockDCLY].[SalesChannelKey]" caption="SalesChannelKey" attribute="1" defaultMemberUniqueName="[StockDCLY].[SalesChannelKey].[All]" allUniqueName="[StockDCLY].[SalesChannelKey].[All]" dimensionUniqueName="[StockDCLY]" displayFolder="" count="0" unbalanced="0" hidden="1"/>
    <cacheHierarchy uniqueName="[StockDCLY].[SalesSeasonID]" caption="SalesSeasonID" attribute="1" defaultMemberUniqueName="[StockDCLY].[SalesSeasonID].[All]" allUniqueName="[StockDCLY].[SalesSeasonID].[All]" dimensionUniqueName="[StockDCLY]" displayFolder="" count="0" unbalanced="0" hidden="1"/>
    <cacheHierarchy uniqueName="[StockDCLY].[StockUnit]" caption="StockUnit" attribute="1" defaultMemberUniqueName="[StockDCLY].[StockUnit].[All]" allUniqueName="[StockDCLY].[StockUnit].[All]" dimensionUniqueName="[StockDCLY]" displayFolder="" count="0" unbalanced="0" hidden="1"/>
    <cacheHierarchy uniqueName="[StockDCLY].[SubLocationKey]" caption="SubLocationKey" attribute="1" defaultMemberUniqueName="[StockDCLY].[SubLocationKey].[All]" allUniqueName="[StockDCLY].[SubLocationKey].[All]" dimensionUniqueName="[StockDCLY]" displayFolder="" count="0" unbalanced="0" hidden="1"/>
    <cacheHierarchy uniqueName="[StockDCLY].[TRYExcRate]" caption="TRYExcRate" attribute="1" defaultMemberUniqueName="[StockDCLY].[TRYExcRate].[All]" allUniqueName="[StockDCLY].[TRYExcRate].[All]" dimensionUniqueName="[StockDCLY]" displayFolder="" count="0" unbalanced="0" hidden="1"/>
    <cacheHierarchy uniqueName="[StockDCLY].[TYDate]" caption="TYDate" attribute="1" defaultMemberUniqueName="[StockDCLY].[TYDate].[All]" allUniqueName="[StockDCLY].[TYDate].[All]" dimensionUniqueName="[StockDCLY]" displayFolder="" count="0" unbalanced="0" hidden="1"/>
    <cacheHierarchy uniqueName="[StockDCLY].[UnitCost]" caption="UnitCost" attribute="1" defaultMemberUniqueName="[StockDCLY].[UnitCost].[All]" allUniqueName="[StockDCLY].[UnitCost].[All]" dimensionUniqueName="[StockDCLY]" displayFolder="" count="0" unbalanced="0" hidden="1"/>
    <cacheHierarchy uniqueName="[StockDCLY].[USDExcRate]" caption="USDExcRate" attribute="1" defaultMemberUniqueName="[StockDCLY].[USDExcRate].[All]" allUniqueName="[StockDCLY].[USDExcRate].[All]" dimensionUniqueName="[StockDCLY]" displayFolder="" count="0" unbalanced="0" hidden="1"/>
    <cacheHierarchy uniqueName="[StockStore].[CompanyUnitCost]" caption="CompanyUnitCost" attribute="1" defaultMemberUniqueName="[StockStore].[CompanyUnitCost].[All]" allUniqueName="[StockStore].[CompanyUnitCost].[All]" dimensionUniqueName="[StockStore]" displayFolder="" count="0" unbalanced="0" hidden="1"/>
    <cacheHierarchy uniqueName="[StockStore].[EURExcRate]" caption="EURExcRate" attribute="1" defaultMemberUniqueName="[StockStore].[EURExcRate].[All]" allUniqueName="[StockStore].[EURExcRate].[All]" dimensionUniqueName="[StockStore]" displayFolder="" count="0" unbalanced="0" hidden="1"/>
    <cacheHierarchy uniqueName="[StockStore].[InitialSalesPriceID]" caption="InitialSalesPriceID" attribute="1" defaultMemberUniqueName="[StockStore].[InitialSalesPriceID].[All]" allUniqueName="[StockStore].[InitialSalesPriceID].[All]" dimensionUniqueName="[StockStore]" displayFolder="" count="0" unbalanced="0" hidden="1"/>
    <cacheHierarchy uniqueName="[StockStore].[LCExcRate]" caption="LCExcRate" attribute="1" defaultMemberUniqueName="[StockStore].[LCExcRate].[All]" allUniqueName="[StockStore].[LCExcRate].[All]" dimensionUniqueName="[StockStore]" displayFolder="" count="0" unbalanced="0" hidden="1"/>
    <cacheHierarchy uniqueName="[StockStore].[LFLFactor]" caption="LFLFactor" attribute="1" defaultMemberUniqueName="[StockStore].[LFLFactor].[All]" allUniqueName="[StockStore].[LFLFactor].[All]" dimensionUniqueName="[StockStore]" displayFolder="" count="0" unbalanced="0" hidden="1"/>
    <cacheHierarchy uniqueName="[StockStore].[LocationKey]" caption="LocationKey" attribute="1" defaultMemberUniqueName="[StockStore].[LocationKey].[All]" allUniqueName="[StockStore].[LocationKey].[All]" dimensionUniqueName="[StockStore]" displayFolder="" count="0" unbalanced="0" hidden="1"/>
    <cacheHierarchy uniqueName="[StockStore].[MaterialKey]" caption="MaterialKey" attribute="1" defaultMemberUniqueName="[StockStore].[MaterialKey].[All]" allUniqueName="[StockStore].[MaterialKey].[All]" dimensionUniqueName="[StockStore]" displayFolder="" count="0" unbalanced="0" hidden="1"/>
    <cacheHierarchy uniqueName="[StockStore].[OtherStockUnit]" caption="OtherStockUnit" attribute="1" defaultMemberUniqueName="[StockStore].[OtherStockUnit].[All]" allUniqueName="[StockStore].[OtherStockUnit].[All]" dimensionUniqueName="[StockStore]" displayFolder="" count="0" unbalanced="0" hidden="1"/>
    <cacheHierarchy uniqueName="[StockStore].[OutletID]" caption="OutletID" attribute="1" defaultMemberUniqueName="[StockStore].[OutletID].[All]" allUniqueName="[StockStore].[OutletID].[All]" dimensionUniqueName="[StockStore]" displayFolder="" count="0" unbalanced="0" hidden="1"/>
    <cacheHierarchy uniqueName="[StockStore].[SalesChannelKey]" caption="SalesChannelKey" attribute="1" defaultMemberUniqueName="[StockStore].[SalesChannelKey].[All]" allUniqueName="[StockStore].[SalesChannelKey].[All]" dimensionUniqueName="[StockStore]" displayFolder="" count="0" unbalanced="0" hidden="1"/>
    <cacheHierarchy uniqueName="[StockStore].[SalesSeasonID]" caption="SalesSeasonID" attribute="1" defaultMemberUniqueName="[StockStore].[SalesSeasonID].[All]" allUniqueName="[StockStore].[SalesSeasonID].[All]" dimensionUniqueName="[StockStore]" displayFolder="" count="0" unbalanced="0" hidden="1"/>
    <cacheHierarchy uniqueName="[StockStore].[StockDate]" caption="StockDate" attribute="1" defaultMemberUniqueName="[StockStore].[StockDate].[All]" allUniqueName="[StockStore].[StockDate].[All]" dimensionUniqueName="[StockStore]" displayFolder="" count="0" unbalanced="0" hidden="1"/>
    <cacheHierarchy uniqueName="[StockStore].[StockUnit]" caption="StockUnit" attribute="1" defaultMemberUniqueName="[StockStore].[StockUnit].[All]" allUniqueName="[StockStore].[StockUnit].[All]" dimensionUniqueName="[StockStore]" displayFolder="" count="0" unbalanced="0" hidden="1"/>
    <cacheHierarchy uniqueName="[StockStore].[TransitStockUnit]" caption="TransitStockUnit" attribute="1" defaultMemberUniqueName="[StockStore].[TransitStockUnit].[All]" allUniqueName="[StockStore].[TransitStockUnit].[All]" dimensionUniqueName="[StockStore]" displayFolder="" count="0" unbalanced="0" hidden="1"/>
    <cacheHierarchy uniqueName="[StockStore].[TRYExcRate]" caption="TRYExcRate" attribute="1" defaultMemberUniqueName="[StockStore].[TRYExcRate].[All]" allUniqueName="[StockStore].[TRYExcRate].[All]" dimensionUniqueName="[StockStore]" displayFolder="" count="0" unbalanced="0" hidden="1"/>
    <cacheHierarchy uniqueName="[StockStore].[UnitCost]" caption="UnitCost" attribute="1" defaultMemberUniqueName="[StockStore].[UnitCost].[All]" allUniqueName="[StockStore].[UnitCost].[All]" dimensionUniqueName="[StockStore]" displayFolder="" count="0" unbalanced="0" hidden="1"/>
    <cacheHierarchy uniqueName="[StockStore].[USDExcRate]" caption="USDExcRate" attribute="1" defaultMemberUniqueName="[StockStore].[USDExcRate].[All]" allUniqueName="[StockStore].[USDExcRate].[All]" dimensionUniqueName="[StockStore]" displayFolder="" count="0" unbalanced="0" hidden="1"/>
    <cacheHierarchy uniqueName="[StockStoreLY].[CompanyUnitCost]" caption="CompanyUnitCost" attribute="1" defaultMemberUniqueName="[StockStoreLY].[CompanyUnitCost].[All]" allUniqueName="[StockStoreLY].[CompanyUnitCost].[All]" dimensionUniqueName="[StockStoreLY]" displayFolder="" count="0" unbalanced="0" hidden="1"/>
    <cacheHierarchy uniqueName="[StockStoreLY].[InitialSalesPriceID]" caption="InitialSalesPriceID" attribute="1" defaultMemberUniqueName="[StockStoreLY].[InitialSalesPriceID].[All]" allUniqueName="[StockStoreLY].[InitialSalesPriceID].[All]" dimensionUniqueName="[StockStoreLY]" displayFolder="" count="0" unbalanced="0" hidden="1"/>
    <cacheHierarchy uniqueName="[StockStoreLY].[LFLFactor]" caption="LFLFactor" attribute="1" defaultMemberUniqueName="[StockStoreLY].[LFLFactor].[All]" allUniqueName="[StockStoreLY].[LFLFactor].[All]" dimensionUniqueName="[StockStoreLY]" displayFolder="" count="0" unbalanced="0" hidden="1"/>
    <cacheHierarchy uniqueName="[StockStoreLY].[LocationKey]" caption="LocationKey" attribute="1" defaultMemberUniqueName="[StockStoreLY].[LocationKey].[All]" allUniqueName="[StockStoreLY].[LocationKey].[All]" dimensionUniqueName="[StockStoreLY]" displayFolder="" count="0" unbalanced="0" hidden="1"/>
    <cacheHierarchy uniqueName="[StockStoreLY].[MaterialKey]" caption="MaterialKey" attribute="1" defaultMemberUniqueName="[StockStoreLY].[MaterialKey].[All]" allUniqueName="[StockStoreLY].[MaterialKey].[All]" dimensionUniqueName="[StockStoreLY]" displayFolder="" count="0" unbalanced="0" hidden="1"/>
    <cacheHierarchy uniqueName="[StockStoreLY].[OtherStockUnit]" caption="OtherStockUnit" attribute="1" defaultMemberUniqueName="[StockStoreLY].[OtherStockUnit].[All]" allUniqueName="[StockStoreLY].[OtherStockUnit].[All]" dimensionUniqueName="[StockStoreLY]" displayFolder="" count="0" unbalanced="0" hidden="1"/>
    <cacheHierarchy uniqueName="[StockStoreLY].[OutletID]" caption="OutletID" attribute="1" defaultMemberUniqueName="[StockStoreLY].[OutletID].[All]" allUniqueName="[StockStoreLY].[OutletID].[All]" dimensionUniqueName="[StockStoreLY]" displayFolder="" count="0" unbalanced="0" hidden="1"/>
    <cacheHierarchy uniqueName="[StockStoreLY].[SalesChannelKey]" caption="SalesChannelKey" attribute="1" defaultMemberUniqueName="[StockStoreLY].[SalesChannelKey].[All]" allUniqueName="[StockStoreLY].[SalesChannelKey].[All]" dimensionUniqueName="[StockStoreLY]" displayFolder="" count="0" unbalanced="0" hidden="1"/>
    <cacheHierarchy uniqueName="[StockStoreLY].[SalesSeasonID]" caption="SalesSeasonID" attribute="1" defaultMemberUniqueName="[StockStoreLY].[SalesSeasonID].[All]" allUniqueName="[StockStoreLY].[SalesSeasonID].[All]" dimensionUniqueName="[StockStoreLY]" displayFolder="" count="0" unbalanced="0" hidden="1"/>
    <cacheHierarchy uniqueName="[StockStoreLY].[StockUnit]" caption="StockUnit" attribute="1" defaultMemberUniqueName="[StockStoreLY].[StockUnit].[All]" allUniqueName="[StockStoreLY].[StockUnit].[All]" dimensionUniqueName="[StockStoreLY]" displayFolder="" count="0" unbalanced="0" hidden="1"/>
    <cacheHierarchy uniqueName="[StockStoreLY].[TransitStockUnit]" caption="TransitStockUnit" attribute="1" defaultMemberUniqueName="[StockStoreLY].[TransitStockUnit].[All]" allUniqueName="[StockStoreLY].[TransitStockUnit].[All]" dimensionUniqueName="[StockStoreLY]" displayFolder="" count="0" unbalanced="0" hidden="1"/>
    <cacheHierarchy uniqueName="[StockStoreLY].[TRYExcRate]" caption="TRYExcRate" attribute="1" defaultMemberUniqueName="[StockStoreLY].[TRYExcRate].[All]" allUniqueName="[StockStoreLY].[TRYExcRate].[All]" dimensionUniqueName="[StockStoreLY]" displayFolder="" count="0" unbalanced="0" hidden="1"/>
    <cacheHierarchy uniqueName="[StockStoreLY].[TYDate]" caption="TYDate" attribute="1" defaultMemberUniqueName="[StockStoreLY].[TYDate].[All]" allUniqueName="[StockStoreLY].[TYDate].[All]" dimensionUniqueName="[StockStoreLY]" displayFolder="" count="0" unbalanced="0" hidden="1"/>
    <cacheHierarchy uniqueName="[StockStoreLY].[UnitCost]" caption="UnitCost" attribute="1" defaultMemberUniqueName="[StockStoreLY].[UnitCost].[All]" allUniqueName="[StockStoreLY].[UnitCost].[All]" dimensionUniqueName="[StockStoreLY]" displayFolder="" count="0" unbalanced="0" hidden="1"/>
    <cacheHierarchy uniqueName="[StockStoreLY].[USDExcRate]" caption="USDExcRate" attribute="1" defaultMemberUniqueName="[StockStoreLY].[USDExcRate].[All]" allUniqueName="[StockStoreLY].[USDExcRate].[All]" dimensionUniqueName="[StockStoreLY]" displayFolder="" count="0" unbalanced="0" hidden="1"/>
    <cacheHierarchy uniqueName="[Store].[CapacityUnit]" caption="CapacityUnit" attribute="1" defaultMemberUniqueName="[Store].[CapacityUnit].[All]" allUniqueName="[Store].[CapacityUnit].[All]" dimensionUniqueName="[Store]" displayFolder="" count="0" unbalanced="0" hidden="1"/>
    <cacheHierarchy uniqueName="[Store].[StoreSalesChannelKey]" caption="StoreSalesChannelKey" attribute="1" defaultMemberUniqueName="[Store].[StoreSalesChannelKey].[All]" allUniqueName="[Store].[StoreSalesChannelKey].[All]" dimensionUniqueName="[Store]" displayFolder="" count="0" unbalanced="0" hidden="1"/>
    <cacheHierarchy uniqueName="[StoreCapacity].[BackStoreCapacityArea]" caption="BackStoreCapacityArea" attribute="1" defaultMemberUniqueName="[StoreCapacity].[BackStoreCapacityArea].[All]" allUniqueName="[StoreCapacity].[BackStoreCapacityArea].[All]" dimensionUniqueName="[StoreCapacity]" displayFolder="" count="0" unbalanced="0" hidden="1"/>
    <cacheHierarchy uniqueName="[StoreCapacity].[BackStoreCapacitydm3]" caption="BackStoreCapacitydm3" attribute="1" defaultMemberUniqueName="[StoreCapacity].[BackStoreCapacitydm3].[All]" allUniqueName="[StoreCapacity].[BackStoreCapacitydm3].[All]" dimensionUniqueName="[StoreCapacity]" displayFolder="" count="0" unbalanced="0" hidden="1"/>
    <cacheHierarchy uniqueName="[StoreCapacity].[BackStoreCapacityQuantity]" caption="BackStoreCapacityQuantity" attribute="1" defaultMemberUniqueName="[StoreCapacity].[BackStoreCapacityQuantity].[All]" allUniqueName="[StoreCapacity].[BackStoreCapacityQuantity].[All]" dimensionUniqueName="[StoreCapacity]" displayFolder="" count="0" unbalanced="0" hidden="1"/>
    <cacheHierarchy uniqueName="[StoreCapacity].[DWSourceKey]" caption="DWSourceKey" attribute="1" defaultMemberUniqueName="[StoreCapacity].[DWSourceKey].[All]" allUniqueName="[StoreCapacity].[DWSourceKey].[All]" dimensionUniqueName="[StoreCapacity]" displayFolder="" count="0" unbalanced="0" hidden="1"/>
    <cacheHierarchy uniqueName="[StoreCapacity].[ETLDate]" caption="ETLDate" attribute="1" defaultMemberUniqueName="[StoreCapacity].[ETLDate].[All]" allUniqueName="[StoreCapacity].[ETLDate].[All]" dimensionUniqueName="[StoreCapacity]" displayFolder="" count="0" unbalanced="0" hidden="1"/>
    <cacheHierarchy uniqueName="[StoreCapacity].[InitialSalesPriceID]" caption="InitialSalesPriceID" attribute="1" defaultMemberUniqueName="[StoreCapacity].[InitialSalesPriceID].[All]" allUniqueName="[StoreCapacity].[InitialSalesPriceID].[All]" dimensionUniqueName="[StoreCapacity]" displayFolder="" count="0" unbalanced="0" hidden="1"/>
    <cacheHierarchy uniqueName="[StoreCapacity].[LFLFactor]" caption="LFLFactor" attribute="1" defaultMemberUniqueName="[StoreCapacity].[LFLFactor].[All]" allUniqueName="[StoreCapacity].[LFLFactor].[All]" dimensionUniqueName="[StoreCapacity]" displayFolder="" count="0" unbalanced="0" hidden="1"/>
    <cacheHierarchy uniqueName="[StoreCapacity].[LocationKey]" caption="LocationKey" attribute="1" defaultMemberUniqueName="[StoreCapacity].[LocationKey].[All]" allUniqueName="[StoreCapacity].[LocationKey].[All]" dimensionUniqueName="[StoreCapacity]" displayFolder="" count="0" unbalanced="0" hidden="1"/>
    <cacheHierarchy uniqueName="[StoreCapacity].[MainGroupKey]" caption="MainGroupKey" attribute="1" defaultMemberUniqueName="[StoreCapacity].[MainGroupKey].[All]" allUniqueName="[StoreCapacity].[MainGroupKey].[All]" dimensionUniqueName="[StoreCapacity]" displayFolder="" count="0" unbalanced="0" hidden="1"/>
    <cacheHierarchy uniqueName="[StoreCapacity].[OutletID]" caption="OutletID" attribute="1" defaultMemberUniqueName="[StoreCapacity].[OutletID].[All]" allUniqueName="[StoreCapacity].[OutletID].[All]" dimensionUniqueName="[StoreCapacity]" displayFolder="" count="0" unbalanced="0" hidden="1"/>
    <cacheHierarchy uniqueName="[StoreCapacity].[SalesChannelKey]" caption="SalesChannelKey" attribute="1" defaultMemberUniqueName="[StoreCapacity].[SalesChannelKey].[All]" allUniqueName="[StoreCapacity].[SalesChannelKey].[All]" dimensionUniqueName="[StoreCapacity]" displayFolder="" count="0" unbalanced="0" hidden="1"/>
    <cacheHierarchy uniqueName="[StoreCapacity].[SalesSeasonID]" caption="SalesSeasonID" attribute="1" defaultMemberUniqueName="[StoreCapacity].[SalesSeasonID].[All]" allUniqueName="[StoreCapacity].[SalesSeasonID].[All]" dimensionUniqueName="[StoreCapacity]" displayFolder="" count="0" unbalanced="0" hidden="1"/>
    <cacheHierarchy uniqueName="[StoreCapacity].[StoreCapacitydm3]" caption="StoreCapacitydm3" attribute="1" defaultMemberUniqueName="[StoreCapacity].[StoreCapacitydm3].[All]" allUniqueName="[StoreCapacity].[StoreCapacitydm3].[All]" dimensionUniqueName="[StoreCapacity]" displayFolder="" count="0" unbalanced="0" hidden="1"/>
    <cacheHierarchy uniqueName="[StoreCapacity].[StoreCapacityQuantity]" caption="StoreCapacityQuantity" attribute="1" defaultMemberUniqueName="[StoreCapacity].[StoreCapacityQuantity].[All]" allUniqueName="[StoreCapacity].[StoreCapacityQuantity].[All]" dimensionUniqueName="[StoreCapacity]" displayFolder="" count="0" unbalanced="0" hidden="1"/>
    <cacheHierarchy uniqueName="[StoreCapacity].[StoreCode]" caption="StoreCode" attribute="1" defaultMemberUniqueName="[StoreCapacity].[StoreCode].[All]" allUniqueName="[StoreCapacity].[StoreCode].[All]" dimensionUniqueName="[StoreCapacity]" displayFolder="" count="0" unbalanced="0" hidden="1"/>
    <cacheHierarchy uniqueName="[StoreCapacity].[SubDistChannelKey]" caption="SubDistChannelKey" attribute="1" defaultMemberUniqueName="[StoreCapacity].[SubDistChannelKey].[All]" allUniqueName="[StoreCapacity].[SubDistChannelKey].[All]" dimensionUniqueName="[StoreCapacity]" displayFolder="" count="0" unbalanced="0" hidden="1"/>
    <cacheHierarchy uniqueName="[StoreLFLStatu].[EtlDate]" caption="EtlDate" attribute="1" defaultMemberUniqueName="[StoreLFLStatu].[EtlDate].[All]" allUniqueName="[StoreLFLStatu].[EtlDate].[All]" dimensionUniqueName="[StoreLFLStatu]" displayFolder="" count="0" unbalanced="0" hidden="1"/>
    <cacheHierarchy uniqueName="[StoreTarget].[Cancelled]" caption="Cancelled" attribute="1" defaultMemberUniqueName="[StoreTarget].[Cancelled].[All]" allUniqueName="[StoreTarget].[Cancelled].[All]" dimensionUniqueName="[StoreTarget]" displayFolder="" count="0" unbalanced="0" hidden="1"/>
    <cacheHierarchy uniqueName="[StoreTarget].[ChangeByUser]" caption="ChangeByUser" attribute="1" defaultMemberUniqueName="[StoreTarget].[ChangeByUser].[All]" allUniqueName="[StoreTarget].[ChangeByUser].[All]" dimensionUniqueName="[StoreTarget]" displayFolder="" count="0" unbalanced="0" hidden="1"/>
    <cacheHierarchy uniqueName="[StoreTarget].[ChangeDate]" caption="ChangeDate" attribute="1" defaultMemberUniqueName="[StoreTarget].[ChangeDate].[All]" allUniqueName="[StoreTarget].[ChangeDate].[All]" dimensionUniqueName="[StoreTarget]" displayFolder="" count="0" unbalanced="0" hidden="1"/>
    <cacheHierarchy uniqueName="[StoreTarget].[ChangeTime]" caption="ChangeTime" attribute="1" defaultMemberUniqueName="[StoreTarget].[ChangeTime].[All]" allUniqueName="[StoreTarget].[ChangeTime].[All]" dimensionUniqueName="[StoreTarget]" displayFolder="" count="0" unbalanced="0" hidden="1"/>
    <cacheHierarchy uniqueName="[StoreTarget].[CreatedByUser]" caption="CreatedByUser" attribute="1" defaultMemberUniqueName="[StoreTarget].[CreatedByUser].[All]" allUniqueName="[StoreTarget].[CreatedByUser].[All]" dimensionUniqueName="[StoreTarget]" displayFolder="" count="0" unbalanced="0" hidden="1"/>
    <cacheHierarchy uniqueName="[StoreTarget].[CreationDate]" caption="CreationDate" attribute="1" defaultMemberUniqueName="[StoreTarget].[CreationDate].[All]" allUniqueName="[StoreTarget].[CreationDate].[All]" dimensionUniqueName="[StoreTarget]" displayFolder="" count="0" unbalanced="0" hidden="1"/>
    <cacheHierarchy uniqueName="[StoreTarget].[CreationTime]" caption="CreationTime" attribute="1" defaultMemberUniqueName="[StoreTarget].[CreationTime].[All]" allUniqueName="[StoreTarget].[CreationTime].[All]" dimensionUniqueName="[StoreTarget]" displayFolder="" count="0" unbalanced="0" hidden="1"/>
    <cacheHierarchy uniqueName="[StoreTarget].[Currency]" caption="Currency" attribute="1" defaultMemberUniqueName="[StoreTarget].[Currency].[All]" allUniqueName="[StoreTarget].[Currency].[All]" dimensionUniqueName="[StoreTarget]" displayFolder="" count="0" unbalanced="0" hidden="1"/>
    <cacheHierarchy uniqueName="[StoreTarget].[DwSourceKey]" caption="DwSourceKey" attribute="1" defaultMemberUniqueName="[StoreTarget].[DwSourceKey].[All]" allUniqueName="[StoreTarget].[DwSourceKey].[All]" dimensionUniqueName="[StoreTarget]" displayFolder="" count="0" unbalanced="0" hidden="1"/>
    <cacheHierarchy uniqueName="[StoreTarget].[EtlDate]" caption="EtlDate" attribute="1" defaultMemberUniqueName="[StoreTarget].[EtlDate].[All]" allUniqueName="[StoreTarget].[EtlDate].[All]" dimensionUniqueName="[StoreTarget]" displayFolder="" count="0" unbalanced="0" hidden="1"/>
    <cacheHierarchy uniqueName="[StoreTarget].[LfLFactor]" caption="LfLFactor" attribute="1" defaultMemberUniqueName="[StoreTarget].[LfLFactor].[All]" allUniqueName="[StoreTarget].[LfLFactor].[All]" dimensionUniqueName="[StoreTarget]" displayFolder="" count="0" unbalanced="0" hidden="1"/>
    <cacheHierarchy uniqueName="[StoreTarget].[LocationCode]" caption="LocationCode" attribute="1" defaultMemberUniqueName="[StoreTarget].[LocationCode].[All]" allUniqueName="[StoreTarget].[LocationCode].[All]" dimensionUniqueName="[StoreTarget]" displayFolder="" count="0" unbalanced="0" hidden="1"/>
    <cacheHierarchy uniqueName="[StoreTarget].[LocationKey]" caption="LocationKey" attribute="1" defaultMemberUniqueName="[StoreTarget].[LocationKey].[All]" allUniqueName="[StoreTarget].[LocationKey].[All]" dimensionUniqueName="[StoreTarget]" displayFolder="" count="0" unbalanced="0" hidden="1"/>
    <cacheHierarchy uniqueName="[StoreTarget].[QuantityUnit]" caption="QuantityUnit" attribute="1" defaultMemberUniqueName="[StoreTarget].[QuantityUnit].[All]" allUniqueName="[StoreTarget].[QuantityUnit].[All]" dimensionUniqueName="[StoreTarget]" displayFolder="" count="0" unbalanced="0" hidden="1"/>
    <cacheHierarchy uniqueName="[StoreTarget].[SalesChannelKey]" caption="SalesChannelKey" attribute="1" defaultMemberUniqueName="[StoreTarget].[SalesChannelKey].[All]" allUniqueName="[StoreTarget].[SalesChannelKey].[All]" dimensionUniqueName="[StoreTarget]" displayFolder="" count="0" unbalanced="0" hidden="1"/>
    <cacheHierarchy uniqueName="[StoreTarget].[TargetConversionRate]" caption="TargetConversionRate" attribute="1" defaultMemberUniqueName="[StoreTarget].[TargetConversionRate].[All]" allUniqueName="[StoreTarget].[TargetConversionRate].[All]" dimensionUniqueName="[StoreTarget]" displayFolder="" count="0" unbalanced="0" hidden="1"/>
    <cacheHierarchy uniqueName="[StoreTarget].[TargetDate]" caption="TargetDate" attribute="1" defaultMemberUniqueName="[StoreTarget].[TargetDate].[All]" allUniqueName="[StoreTarget].[TargetDate].[All]" dimensionUniqueName="[StoreTarget]" displayFolder="" count="0" unbalanced="0" hidden="1"/>
    <cacheHierarchy uniqueName="[StoreTarget].[TargetSalesValueLC]" caption="TargetSalesValueLC" attribute="1" defaultMemberUniqueName="[StoreTarget].[TargetSalesValueLC].[All]" allUniqueName="[StoreTarget].[TargetSalesValueLC].[All]" dimensionUniqueName="[StoreTarget]" displayFolder="" count="0" unbalanced="0" hidden="1"/>
    <cacheHierarchy uniqueName="[StoreTarget].[TargetSalesValueTRY]" caption="TargetSalesValueTRY" attribute="1" defaultMemberUniqueName="[StoreTarget].[TargetSalesValueTRY].[All]" allUniqueName="[StoreTarget].[TargetSalesValueTRY].[All]" dimensionUniqueName="[StoreTarget]" displayFolder="" count="0" unbalanced="0" hidden="1"/>
    <cacheHierarchy uniqueName="[StoreTarget].[TargetSalesValueUSD]" caption="TargetSalesValueUSD" attribute="1" defaultMemberUniqueName="[StoreTarget].[TargetSalesValueUSD].[All]" allUniqueName="[StoreTarget].[TargetSalesValueUSD].[All]" dimensionUniqueName="[StoreTarget]" displayFolder="" count="0" unbalanced="0" hidden="1"/>
    <cacheHierarchy uniqueName="[StoreTarget].[TargetType]" caption="TargetType" attribute="1" defaultMemberUniqueName="[StoreTarget].[TargetType].[All]" allUniqueName="[StoreTarget].[TargetType].[All]" dimensionUniqueName="[StoreTarget]" displayFolder="" count="0" unbalanced="0" hidden="1"/>
    <cacheHierarchy uniqueName="[StoreTargetLY].[Cancelled]" caption="Cancelled" attribute="1" defaultMemberUniqueName="[StoreTargetLY].[Cancelled].[All]" allUniqueName="[StoreTargetLY].[Cancelled].[All]" dimensionUniqueName="[StoreTargetLY]" displayFolder="" count="0" unbalanced="0" hidden="1"/>
    <cacheHierarchy uniqueName="[StoreTargetLY].[ChangeByUser]" caption="ChangeByUser" attribute="1" defaultMemberUniqueName="[StoreTargetLY].[ChangeByUser].[All]" allUniqueName="[StoreTargetLY].[ChangeByUser].[All]" dimensionUniqueName="[StoreTargetLY]" displayFolder="" count="0" unbalanced="0" hidden="1"/>
    <cacheHierarchy uniqueName="[StoreTargetLY].[ChangeDate]" caption="ChangeDate" attribute="1" defaultMemberUniqueName="[StoreTargetLY].[ChangeDate].[All]" allUniqueName="[StoreTargetLY].[ChangeDate].[All]" dimensionUniqueName="[StoreTargetLY]" displayFolder="" count="0" unbalanced="0" hidden="1"/>
    <cacheHierarchy uniqueName="[StoreTargetLY].[ChangeTime]" caption="ChangeTime" attribute="1" defaultMemberUniqueName="[StoreTargetLY].[ChangeTime].[All]" allUniqueName="[StoreTargetLY].[ChangeTime].[All]" dimensionUniqueName="[StoreTargetLY]" displayFolder="" count="0" unbalanced="0" hidden="1"/>
    <cacheHierarchy uniqueName="[StoreTargetLY].[CreatedByUser]" caption="CreatedByUser" attribute="1" defaultMemberUniqueName="[StoreTargetLY].[CreatedByUser].[All]" allUniqueName="[StoreTargetLY].[CreatedByUser].[All]" dimensionUniqueName="[StoreTargetLY]" displayFolder="" count="0" unbalanced="0" hidden="1"/>
    <cacheHierarchy uniqueName="[StoreTargetLY].[CreationDate]" caption="CreationDate" attribute="1" defaultMemberUniqueName="[StoreTargetLY].[CreationDate].[All]" allUniqueName="[StoreTargetLY].[CreationDate].[All]" dimensionUniqueName="[StoreTargetLY]" displayFolder="" count="0" unbalanced="0" hidden="1"/>
    <cacheHierarchy uniqueName="[StoreTargetLY].[CreationTime]" caption="CreationTime" attribute="1" defaultMemberUniqueName="[StoreTargetLY].[CreationTime].[All]" allUniqueName="[StoreTargetLY].[CreationTime].[All]" dimensionUniqueName="[StoreTargetLY]" displayFolder="" count="0" unbalanced="0" hidden="1"/>
    <cacheHierarchy uniqueName="[StoreTargetLY].[Currency]" caption="Currency" attribute="1" defaultMemberUniqueName="[StoreTargetLY].[Currency].[All]" allUniqueName="[StoreTargetLY].[Currency].[All]" dimensionUniqueName="[StoreTargetLY]" displayFolder="" count="0" unbalanced="0" hidden="1"/>
    <cacheHierarchy uniqueName="[StoreTargetLY].[DwSourceKey]" caption="DwSourceKey" attribute="1" defaultMemberUniqueName="[StoreTargetLY].[DwSourceKey].[All]" allUniqueName="[StoreTargetLY].[DwSourceKey].[All]" dimensionUniqueName="[StoreTargetLY]" displayFolder="" count="0" unbalanced="0" hidden="1"/>
    <cacheHierarchy uniqueName="[StoreTargetLY].[EtlDate]" caption="EtlDate" attribute="1" defaultMemberUniqueName="[StoreTargetLY].[EtlDate].[All]" allUniqueName="[StoreTargetLY].[EtlDate].[All]" dimensionUniqueName="[StoreTargetLY]" displayFolder="" count="0" unbalanced="0" hidden="1"/>
    <cacheHierarchy uniqueName="[StoreTargetLY].[LfLFactor]" caption="LfLFactor" attribute="1" defaultMemberUniqueName="[StoreTargetLY].[LfLFactor].[All]" allUniqueName="[StoreTargetLY].[LfLFactor].[All]" dimensionUniqueName="[StoreTargetLY]" displayFolder="" count="0" unbalanced="0" hidden="1"/>
    <cacheHierarchy uniqueName="[StoreTargetLY].[LocationCode]" caption="LocationCode" attribute="1" defaultMemberUniqueName="[StoreTargetLY].[LocationCode].[All]" allUniqueName="[StoreTargetLY].[LocationCode].[All]" dimensionUniqueName="[StoreTargetLY]" displayFolder="" count="0" unbalanced="0" hidden="1"/>
    <cacheHierarchy uniqueName="[StoreTargetLY].[LocationKey]" caption="LocationKey" attribute="1" defaultMemberUniqueName="[StoreTargetLY].[LocationKey].[All]" allUniqueName="[StoreTargetLY].[LocationKey].[All]" dimensionUniqueName="[StoreTargetLY]" displayFolder="" count="0" unbalanced="0" hidden="1"/>
    <cacheHierarchy uniqueName="[StoreTargetLY].[QuantityUnit]" caption="QuantityUnit" attribute="1" defaultMemberUniqueName="[StoreTargetLY].[QuantityUnit].[All]" allUniqueName="[StoreTargetLY].[QuantityUnit].[All]" dimensionUniqueName="[StoreTargetLY]" displayFolder="" count="0" unbalanced="0" hidden="1"/>
    <cacheHierarchy uniqueName="[StoreTargetLY].[SalesChannelKey]" caption="SalesChannelKey" attribute="1" defaultMemberUniqueName="[StoreTargetLY].[SalesChannelKey].[All]" allUniqueName="[StoreTargetLY].[SalesChannelKey].[All]" dimensionUniqueName="[StoreTargetLY]" displayFolder="" count="0" unbalanced="0" hidden="1"/>
    <cacheHierarchy uniqueName="[StoreTargetLY].[TargetConversionRate]" caption="TargetConversionRate" attribute="1" defaultMemberUniqueName="[StoreTargetLY].[TargetConversionRate].[All]" allUniqueName="[StoreTargetLY].[TargetConversionRate].[All]" dimensionUniqueName="[StoreTargetLY]" displayFolder="" count="0" unbalanced="0" hidden="1"/>
    <cacheHierarchy uniqueName="[StoreTargetLY].[TargetSalesValueLC]" caption="TargetSalesValueLC" attribute="1" defaultMemberUniqueName="[StoreTargetLY].[TargetSalesValueLC].[All]" allUniqueName="[StoreTargetLY].[TargetSalesValueLC].[All]" dimensionUniqueName="[StoreTargetLY]" displayFolder="" count="0" unbalanced="0" hidden="1"/>
    <cacheHierarchy uniqueName="[StoreTargetLY].[TargetSalesValueTRY]" caption="TargetSalesValueTRY" attribute="1" defaultMemberUniqueName="[StoreTargetLY].[TargetSalesValueTRY].[All]" allUniqueName="[StoreTargetLY].[TargetSalesValueTRY].[All]" dimensionUniqueName="[StoreTargetLY]" displayFolder="" count="0" unbalanced="0" hidden="1"/>
    <cacheHierarchy uniqueName="[StoreTargetLY].[TargetSalesValueUSD]" caption="TargetSalesValueUSD" attribute="1" defaultMemberUniqueName="[StoreTargetLY].[TargetSalesValueUSD].[All]" allUniqueName="[StoreTargetLY].[TargetSalesValueUSD].[All]" dimensionUniqueName="[StoreTargetLY]" displayFolder="" count="0" unbalanced="0" hidden="1"/>
    <cacheHierarchy uniqueName="[StoreTargetLY].[TargetType]" caption="TargetType" attribute="1" defaultMemberUniqueName="[StoreTargetLY].[TargetType].[All]" allUniqueName="[StoreTargetLY].[TargetType].[All]" dimensionUniqueName="[StoreTargetLY]" displayFolder="" count="0" unbalanced="0" hidden="1"/>
    <cacheHierarchy uniqueName="[StoreTargetLY].[TYDate]" caption="TYDate" attribute="1" defaultMemberUniqueName="[StoreTargetLY].[TYDate].[All]" allUniqueName="[StoreTargetLY].[TYDate].[All]" dimensionUniqueName="[StoreTargetLY]" displayFolder="" count="0" unbalanced="0" hidden="1"/>
    <cacheHierarchy uniqueName="[SubDistChannel].[DistrubitionChannelCode]" caption="DistrubitionChannelCode" attribute="1" defaultMemberUniqueName="[SubDistChannel].[DistrubitionChannelCode].[All]" allUniqueName="[SubDistChannel].[DistrubitionChannelCode].[All]" dimensionUniqueName="[SubDistChannel]" displayFolder="" count="0" unbalanced="0" hidden="1"/>
    <cacheHierarchy uniqueName="[SubDistChannel].[DistrubitionChannelDesc]" caption="DistrubitionChannelDesc" attribute="1" defaultMemberUniqueName="[SubDistChannel].[DistrubitionChannelDesc].[All]" allUniqueName="[SubDistChannel].[DistrubitionChannelDesc].[All]" dimensionUniqueName="[SubDistChannel]" displayFolder="" count="0" unbalanced="0" hidden="1"/>
    <cacheHierarchy uniqueName="[SubDistChannel].[DistrubitionChannelKey]" caption="DistrubitionChannelKey" attribute="1" defaultMemberUniqueName="[SubDistChannel].[DistrubitionChannelKey].[All]" allUniqueName="[SubDistChannel].[DistrubitionChannelKey].[All]" dimensionUniqueName="[SubDistChannel]" displayFolder="" count="0" unbalanced="0" hidden="1"/>
    <cacheHierarchy uniqueName="[SubDistChannel].[DWSourceKey]" caption="DWSourceKey" attribute="1" defaultMemberUniqueName="[SubDistChannel].[DWSourceKey].[All]" allUniqueName="[SubDistChannel].[DWSourceKey].[All]" dimensionUniqueName="[SubDistChannel]" displayFolder="" count="0" unbalanced="0" hidden="1"/>
    <cacheHierarchy uniqueName="[SubDistChannel].[EtlDate]" caption="EtlDate" attribute="1" defaultMemberUniqueName="[SubDistChannel].[EtlDate].[All]" allUniqueName="[SubDistChannel].[EtlDate].[All]" dimensionUniqueName="[SubDistChannel]" displayFolder="" count="0" unbalanced="0" hidden="1"/>
    <cacheHierarchy uniqueName="[Visitor].[AdjustedCCR]" caption="AdjustedCCR" attribute="1" defaultMemberUniqueName="[Visitor].[AdjustedCCR].[All]" allUniqueName="[Visitor].[AdjustedCCR].[All]" dimensionUniqueName="[Visitor]" displayFolder="" count="0" unbalanced="0" hidden="1"/>
    <cacheHierarchy uniqueName="[Visitor].[AdjustedVisitorCount]" caption="AdjustedVisitorCount" attribute="1" defaultMemberUniqueName="[Visitor].[AdjustedVisitorCount].[All]" allUniqueName="[Visitor].[AdjustedVisitorCount].[All]" dimensionUniqueName="[Visitor]" displayFolder="" count="0" unbalanced="0" hidden="1"/>
    <cacheHierarchy uniqueName="[Visitor].[CCR_Source]" caption="CCR_Source" attribute="1" defaultMemberUniqueName="[Visitor].[CCR_Source].[All]" allUniqueName="[Visitor].[CCR_Source].[All]" dimensionUniqueName="[Visitor]" displayFolder="" count="0" unbalanced="0" hidden="1"/>
    <cacheHierarchy uniqueName="[Visitor].[CompanyKey]" caption="CompanyKey" attribute="1" defaultMemberUniqueName="[Visitor].[CompanyKey].[All]" allUniqueName="[Visitor].[CompanyKey].[All]" dimensionUniqueName="[Visitor]" displayFolder="" count="0" unbalanced="0" hidden="1"/>
    <cacheHierarchy uniqueName="[Visitor].[CustomerConversionRate]" caption="CustomerConversionRate" attribute="1" defaultMemberUniqueName="[Visitor].[CustomerConversionRate].[All]" allUniqueName="[Visitor].[CustomerConversionRate].[All]" dimensionUniqueName="[Visitor]" displayFolder="" count="0" unbalanced="0" hidden="1"/>
    <cacheHierarchy uniqueName="[Visitor].[DailyInvoiceCount]" caption="DailyInvoiceCount" attribute="1" defaultMemberUniqueName="[Visitor].[DailyInvoiceCount].[All]" allUniqueName="[Visitor].[DailyInvoiceCount].[All]" dimensionUniqueName="[Visitor]" displayFolder="" count="0" unbalanced="0" hidden="1"/>
    <cacheHierarchy uniqueName="[Visitor].[DailyInvoiceReturn]" caption="DailyInvoiceReturn" attribute="1" defaultMemberUniqueName="[Visitor].[DailyInvoiceReturn].[All]" allUniqueName="[Visitor].[DailyInvoiceReturn].[All]" dimensionUniqueName="[Visitor]" displayFolder="" count="0" unbalanced="0" hidden="1"/>
    <cacheHierarchy uniqueName="[Visitor].[DailyInvoiceSale]" caption="DailyInvoiceSale" attribute="1" defaultMemberUniqueName="[Visitor].[DailyInvoiceSale].[All]" allUniqueName="[Visitor].[DailyInvoiceSale].[All]" dimensionUniqueName="[Visitor]" displayFolder="" count="0" unbalanced="0" hidden="1"/>
    <cacheHierarchy uniqueName="[Visitor].[DailyVisitorCount]" caption="DailyVisitorCount" attribute="1" defaultMemberUniqueName="[Visitor].[DailyVisitorCount].[All]" allUniqueName="[Visitor].[DailyVisitorCount].[All]" dimensionUniqueName="[Visitor]" displayFolder="" count="0" unbalanced="0" hidden="1"/>
    <cacheHierarchy uniqueName="[Visitor].[DayoftheWeek]" caption="DayoftheWeek" attribute="1" defaultMemberUniqueName="[Visitor].[DayoftheWeek].[All]" allUniqueName="[Visitor].[DayoftheWeek].[All]" dimensionUniqueName="[Visitor]" displayFolder="" count="0" unbalanced="0" hidden="1"/>
    <cacheHierarchy uniqueName="[Visitor].[DIC_Country]" caption="DIC_Country" attribute="1" defaultMemberUniqueName="[Visitor].[DIC_Country].[All]" allUniqueName="[Visitor].[DIC_Country].[All]" dimensionUniqueName="[Visitor]" displayFolder="" count="0" unbalanced="0" hidden="1"/>
    <cacheHierarchy uniqueName="[Visitor].[DVC_Country]" caption="DVC_Country" attribute="1" defaultMemberUniqueName="[Visitor].[DVC_Country].[All]" allUniqueName="[Visitor].[DVC_Country].[All]" dimensionUniqueName="[Visitor]" displayFolder="" count="0" unbalanced="0" hidden="1"/>
    <cacheHierarchy uniqueName="[Visitor].[ETLDate]" caption="ETLDate" attribute="1" defaultMemberUniqueName="[Visitor].[ETLDate].[All]" allUniqueName="[Visitor].[ETLDate].[All]" dimensionUniqueName="[Visitor]" displayFolder="" count="0" unbalanced="0" hidden="1"/>
    <cacheHierarchy uniqueName="[Visitor].[isAdjustmentRequired]" caption="isAdjustmentRequired" attribute="1" defaultMemberUniqueName="[Visitor].[isAdjustmentRequired].[All]" allUniqueName="[Visitor].[isAdjustmentRequired].[All]" dimensionUniqueName="[Visitor]" displayFolder="" count="0" unbalanced="0" hidden="1"/>
    <cacheHierarchy uniqueName="[Visitor].[LocationKey]" caption="LocationKey" attribute="1" defaultMemberUniqueName="[Visitor].[LocationKey].[All]" allUniqueName="[Visitor].[LocationKey].[All]" dimensionUniqueName="[Visitor]" displayFolder="" count="0" unbalanced="0" hidden="1"/>
    <cacheHierarchy uniqueName="[Visitor].[StoreLfLStatuKey]" caption="StoreLfLStatuKey" attribute="1" defaultMemberUniqueName="[Visitor].[StoreLfLStatuKey].[All]" allUniqueName="[Visitor].[StoreLfLStatuKey].[All]" dimensionUniqueName="[Visitor]" displayFolder="" count="0" unbalanced="0" hidden="1"/>
    <cacheHierarchy uniqueName="[Visitor].[VisitDate]" caption="VisitDate" attribute="1" defaultMemberUniqueName="[Visitor].[VisitDate].[All]" allUniqueName="[Visitor].[VisitDate].[All]" dimensionUniqueName="[Visitor]" displayFolder="" count="0" unbalanced="0" hidden="1"/>
    <cacheHierarchy uniqueName="[VisitorHourly].[LocationKey]" caption="LocationKey" attribute="1" defaultMemberUniqueName="[VisitorHourly].[LocationKey].[All]" allUniqueName="[VisitorHourly].[LocationKey].[All]" dimensionUniqueName="[VisitorHourly]" displayFolder="" count="0" unbalanced="0" hidden="1"/>
    <cacheHierarchy uniqueName="[VisitorHourly].[LYCustomerEntryCount]" caption="LYCustomerEntryCount" attribute="1" defaultMemberUniqueName="[VisitorHourly].[LYCustomerEntryCount].[All]" allUniqueName="[VisitorHourly].[LYCustomerEntryCount].[All]" dimensionUniqueName="[VisitorHourly]" displayFolder="" count="0" unbalanced="0" hidden="1"/>
    <cacheHierarchy uniqueName="[VisitorHourly].[LYLFLFactor]" caption="LYLFLFactor" attribute="1" defaultMemberUniqueName="[VisitorHourly].[LYLFLFactor].[All]" allUniqueName="[VisitorHourly].[LYLFLFactor].[All]" dimensionUniqueName="[VisitorHourly]" displayFolder="" count="0" unbalanced="0" hidden="1"/>
    <cacheHierarchy uniqueName="[VisitorHourly].[SalesChannelKey]" caption="SalesChannelKey" attribute="1" defaultMemberUniqueName="[VisitorHourly].[SalesChannelKey].[All]" allUniqueName="[VisitorHourly].[SalesChannelKey].[All]" dimensionUniqueName="[VisitorHourly]" displayFolder="" count="0" unbalanced="0" hidden="1"/>
    <cacheHierarchy uniqueName="[VisitorHourly].[TYCustomerEntryCount]" caption="TYCustomerEntryCount" attribute="1" defaultMemberUniqueName="[VisitorHourly].[TYCustomerEntryCount].[All]" allUniqueName="[VisitorHourly].[TYCustomerEntryCount].[All]" dimensionUniqueName="[VisitorHourly]" displayFolder="" count="0" unbalanced="0" hidden="1"/>
    <cacheHierarchy uniqueName="[VisitorHourly].[TYLFLFactor]" caption="TYLFLFactor" attribute="1" defaultMemberUniqueName="[VisitorHourly].[TYLFLFactor].[All]" allUniqueName="[VisitorHourly].[TYLFLFactor].[All]" dimensionUniqueName="[VisitorHourly]" displayFolder="" count="0" unbalanced="0" hidden="1"/>
    <cacheHierarchy uniqueName="[VisitorHourly].[VisitDate]" caption="VisitDate" attribute="1" defaultMemberUniqueName="[VisitorHourly].[VisitDate].[All]" allUniqueName="[VisitorHourly].[VisitDate].[All]" dimensionUniqueName="[VisitorHourly]" displayFolder="" count="0" unbalanced="0" hidden="1"/>
    <cacheHierarchy uniqueName="[VisitorHourly].[VisitTimeHH]" caption="VisitTimeHH" attribute="1" defaultMemberUniqueName="[VisitorHourly].[VisitTimeHH].[All]" allUniqueName="[VisitorHourly].[VisitTimeHH].[All]" dimensionUniqueName="[VisitorHourly]" displayFolder="" count="0" unbalanced="0" hidden="1"/>
    <cacheHierarchy uniqueName="[Measures].[TY Avg DC Stock Unit]" caption="TY Avg DC Stock Unit" measure="1" displayFolder="01_TY\_UNIT" measureGroup="StockDC" count="0" oneField="1">
      <fieldsUsage count="1">
        <fieldUsage x="18"/>
      </fieldsUsage>
    </cacheHierarchy>
    <cacheHierarchy uniqueName="[Measures].[TY Avg DC Cus Stock Unit]" caption="TY Avg DC Cus Stock Unit" measure="1" displayFolder="01_TY\_UNIT" measureGroup="StockDC" count="0"/>
    <cacheHierarchy uniqueName="[Measures].[TY Avg DC Transit Stock Unit]" caption="TY Avg DC Transit Stock Unit" measure="1" displayFolder="01_TY\_UNIT" measureGroup="StockDC" count="0"/>
    <cacheHierarchy uniqueName="[Measures].[TY Avg DC Stock Cost LC]" caption="TY Avg DC Stock Cost LC" measure="1" displayFolder="01_TY\LC" measureGroup="StockDC" count="0"/>
    <cacheHierarchy uniqueName="[Measures].[TY Avg DC Transit Stock Cost LC]" caption="TY Avg DC Transit Stock Cost LC" measure="1" displayFolder="01_TY\LC" measureGroup="StockDC" count="0"/>
    <cacheHierarchy uniqueName="[Measures].[TY Avg DC Cus Stock Cost LC]" caption="TY Avg DC Cus Stock Cost LC" measure="1" displayFolder="01_TY\LC" measureGroup="StockDC" count="0"/>
    <cacheHierarchy uniqueName="[Measures].[TY Avg DC Stock Cost TRY]" caption="TY Avg DC Stock Cost TRY" measure="1" displayFolder="01_TY\TRY" measureGroup="StockDC" count="0"/>
    <cacheHierarchy uniqueName="[Measures].[TY Avg DC Transit Stock Cost TRY]" caption="TY Avg DC Transit Stock Cost TRY" measure="1" displayFolder="01_TY\TRY" measureGroup="StockDC" count="0"/>
    <cacheHierarchy uniqueName="[Measures].[TY Avg DC Cus Stock Cost TRY]" caption="TY Avg DC Cus Stock Cost TRY" measure="1" displayFolder="01_TY\TRY" measureGroup="StockDC" count="0"/>
    <cacheHierarchy uniqueName="[Measures].[TY Avg DC Stock Cost USD]" caption="TY Avg DC Stock Cost USD" measure="1" displayFolder="01_TY\USD" measureGroup="StockDC" count="0"/>
    <cacheHierarchy uniqueName="[Measures].[TY Avg DC Transit Stock Cost USD]" caption="TY Avg DC Transit Stock Cost USD" measure="1" displayFolder="01_TY\USD" measureGroup="StockDC" count="0"/>
    <cacheHierarchy uniqueName="[Measures].[TY Avg DC Cus Stock Cost USD]" caption="TY Avg DC Cus Stock Cost USD" measure="1" displayFolder="01_TY\USD" measureGroup="StockDC" count="0"/>
    <cacheHierarchy uniqueName="[Measures].[LY Avg DC Stock Unit]" caption="LY Avg DC Stock Unit" measure="1" displayFolder="02_LY\_UNIT" measureGroup="StockDC" count="0"/>
    <cacheHierarchy uniqueName="[Measures].[LY Avg DC Transit Stock Unit]" caption="LY Avg DC Transit Stock Unit" measure="1" displayFolder="02_LY\_UNIT" measureGroup="StockDC" count="0"/>
    <cacheHierarchy uniqueName="[Measures].[LY Avg DC Cus Stock Unit]" caption="LY Avg DC Cus Stock Unit" measure="1" displayFolder="02_LY\_UNIT" measureGroup="StockDC" count="0"/>
    <cacheHierarchy uniqueName="[Measures].[LY Avg DC Stock Cost LC]" caption="LY Avg DC Stock Cost LC" measure="1" displayFolder="02_LY\LC" measureGroup="StockDC" count="0"/>
    <cacheHierarchy uniqueName="[Measures].[LY Avg DC Transit Stock Cost LC]" caption="LY Avg DC Transit Stock Cost LC" measure="1" displayFolder="02_LY\LC" measureGroup="StockDC" count="0"/>
    <cacheHierarchy uniqueName="[Measures].[LY Avg DC Cus Stock Cost LC]" caption="LY Avg DC Cus Stock Cost LC" measure="1" displayFolder="02_LY\LC" measureGroup="StockDC" count="0"/>
    <cacheHierarchy uniqueName="[Measures].[LY Avg DC Stock Cost TRY]" caption="LY Avg DC Stock Cost TRY" measure="1" displayFolder="02_LY\TRY" measureGroup="StockDC" count="0"/>
    <cacheHierarchy uniqueName="[Measures].[LY Avg DC Transit Stock Cost TRY]" caption="LY Avg DC Transit Stock Cost TRY" measure="1" displayFolder="02_LY\TRY" measureGroup="StockDC" count="0"/>
    <cacheHierarchy uniqueName="[Measures].[LY Avg DC Cus Stock Cost TRY]" caption="LY Avg DC Cus Stock Cost TRY" measure="1" displayFolder="02_LY\TRY" measureGroup="StockDC" count="0"/>
    <cacheHierarchy uniqueName="[Measures].[LY Avg DC Stock Cost USD]" caption="LY Avg DC Stock Cost USD" measure="1" displayFolder="02_LY\USD" measureGroup="StockDC" count="0"/>
    <cacheHierarchy uniqueName="[Measures].[LY Avg DC Transit Stock Cost USD]" caption="LY Avg DC Transit Stock Cost USD" measure="1" displayFolder="02_LY\USD" measureGroup="StockDC" count="0"/>
    <cacheHierarchy uniqueName="[Measures].[LY Avg DC Cus Stock Cost USD]" caption="LY Avg DC Cus Stock Cost USD" measure="1" displayFolder="02_LY\USD" measureGroup="StockDC" count="0"/>
    <cacheHierarchy uniqueName="[Measures].[CUR Open Imports DC Stock Unit]" caption="CUR Open Imports DC Stock Unit" measure="1" displayFolder="00_CURRENT" measureGroup="StockDC" count="0"/>
    <cacheHierarchy uniqueName="[Measures].[CUR Open Transfer DC Stock Unit]" caption="CUR Open Transfer DC Stock Unit" measure="1" displayFolder="00_CURRENT" measureGroup="StockDC" count="0"/>
    <cacheHierarchy uniqueName="[Measures].[EOP TY Avg DC Stock Unit]" caption="EOP TY Avg DC Stock Unit" measure="1" displayFolder="01_TY\_UNIT" measureGroup="StockDC" count="0"/>
    <cacheHierarchy uniqueName="[Measures].[EOP TY Avg DC Transit Stock Unit]" caption="EOP TY Avg DC Transit Stock Unit" measure="1" displayFolder="01_TY\_UNIT" measureGroup="StockDC" count="0"/>
    <cacheHierarchy uniqueName="[Measures].[EOP TY Avg DC Cus Stock Unit]" caption="EOP TY Avg DC Cus Stock Unit" measure="1" displayFolder="01_TY\_UNIT" measureGroup="StockDC" count="0"/>
    <cacheHierarchy uniqueName="[Measures].[EOP TY Avg DC Stock Cost LC]" caption="EOP TY Avg DC Stock Cost LC" measure="1" displayFolder="01_TY\LC" measureGroup="StockDC" count="0"/>
    <cacheHierarchy uniqueName="[Measures].[EOP TY Avg DC Transit Stock Cost LC]" caption="EOP TY Avg DC Transit Stock Cost LC" measure="1" displayFolder="01_TY\LC" measureGroup="StockDC" count="0"/>
    <cacheHierarchy uniqueName="[Measures].[EOP TY Avg DC CUS Stock Cost LC]" caption="EOP TY Avg DC CUS Stock Cost LC" measure="1" displayFolder="01_TY\LC" measureGroup="StockDC" count="0"/>
    <cacheHierarchy uniqueName="[Measures].[EOP TY Avg DC Stock Cost TRY]" caption="EOP TY Avg DC Stock Cost TRY" measure="1" displayFolder="01_TY\TRY" measureGroup="StockDC" count="0"/>
    <cacheHierarchy uniqueName="[Measures].[EOP TY Avg DC Cus Stock Cost TRY]" caption="EOP TY Avg DC Cus Stock Cost TRY" measure="1" displayFolder="01_TY\TRY" measureGroup="StockDC" count="0"/>
    <cacheHierarchy uniqueName="[Measures].[EOP TY Avg DC Transit Stock Cost TRY]" caption="EOP TY Avg DC Transit Stock Cost TRY" measure="1" displayFolder="01_TY\TRY" measureGroup="StockDC" count="0"/>
    <cacheHierarchy uniqueName="[Measures].[TY Avg DC Other Stock Unit]" caption="TY Avg DC Other Stock Unit" measure="1" displayFolder="01_TY\_UNIT" measureGroup="StockDC" count="0"/>
    <cacheHierarchy uniqueName="[Measures].[EOP TY Avg DC Other Stock Unit]" caption="EOP TY Avg DC Other Stock Unit" measure="1" displayFolder="01_TY\_UNIT" measureGroup="StockDC" count="0"/>
    <cacheHierarchy uniqueName="[Measures].[TY Avg DC Other Stock Cost LC]" caption="TY Avg DC Other Stock Cost LC" measure="1" displayFolder="01_TY\LC" measureGroup="StockDC" count="0"/>
    <cacheHierarchy uniqueName="[Measures].[EOP TY Avg DC Other Stock Cost LC]" caption="EOP TY Avg DC Other Stock Cost LC" measure="1" displayFolder="01_TY\LC" measureGroup="StockDC" count="0"/>
    <cacheHierarchy uniqueName="[Measures].[TY Avg DC Other Stock Cost TRY]" caption="TY Avg DC Other Stock Cost TRY" measure="1" displayFolder="01_TY\TRY" measureGroup="StockDC" count="0"/>
    <cacheHierarchy uniqueName="[Measures].[EOP TY Avg DC Other Stock Cost TRY]" caption="EOP TY Avg DC Other Stock Cost TRY" measure="1" displayFolder="01_TY\TRY" measureGroup="StockDC" count="0"/>
    <cacheHierarchy uniqueName="[Measures].[TY Avg DC Other Stock Cost USD]" caption="TY Avg DC Other Stock Cost USD" measure="1" displayFolder="01_TY\USD" measureGroup="StockDC" count="0"/>
    <cacheHierarchy uniqueName="[Measures].[EOP TY Avg DC Stock Cost USD]" caption="EOP TY Avg DC Stock Cost USD" measure="1" displayFolder="01_TY\USD" measureGroup="StockDC" count="0"/>
    <cacheHierarchy uniqueName="[Measures].[EOP TY Avg DC Transit Stock Cost USD]" caption="EOP TY Avg DC Transit Stock Cost USD" measure="1" displayFolder="01_TY\USD" measureGroup="StockDC" count="0"/>
    <cacheHierarchy uniqueName="[Measures].[EOP TY Avg DC Cus Stock Cost USD]" caption="EOP TY Avg DC Cus Stock Cost USD" measure="1" displayFolder="01_TY\USD" measureGroup="StockDC" count="0"/>
    <cacheHierarchy uniqueName="[Measures].[EOP TY Avg DC Other Stock Cost USD]" caption="EOP TY Avg DC Other Stock Cost USD" measure="1" displayFolder="01_TY\USD" measureGroup="StockDC" count="0"/>
    <cacheHierarchy uniqueName="[Measures].[LY Avg DC Other Stock Unit]" caption="LY Avg DC Other Stock Unit" measure="1" displayFolder="02_LY\_UNIT" measureGroup="StockDC" count="0"/>
    <cacheHierarchy uniqueName="[Measures].[LY Avg DC Other Stock Cost LC]" caption="LY Avg DC Other Stock Cost LC" measure="1" displayFolder="02_LY\LC" measureGroup="StockDC" count="0"/>
    <cacheHierarchy uniqueName="[Measures].[LY Avg DC Other Stock Cost TRY]" caption="LY Avg DC Other Stock Cost TRY" measure="1" displayFolder="02_LY\TRY" measureGroup="StockDC" count="0"/>
    <cacheHierarchy uniqueName="[Measures].[LY Avg DC Other Stock Cost USD]" caption="LY Avg DC Other Stock Cost USD" measure="1" displayFolder="02_LY\USD" measureGroup="StockDC" count="0"/>
    <cacheHierarchy uniqueName="[Measures].[EOP Goods Receipt PO DC Stock Unit]" caption="EOP Goods Receipt PO DC Stock Unit" measure="1" displayFolder="01_TY\_UNIT" measureGroup="StockDC" count="0"/>
    <cacheHierarchy uniqueName="[Measures].[EOP Goods Receipt PO DC Transit Stock Unit]" caption="EOP Goods Receipt PO DC Transit Stock Unit" measure="1" displayFolder="01_TY\_UNIT" measureGroup="StockDC" count="0"/>
    <cacheHierarchy uniqueName="[Measures].[EOP Goods Receipt PO DC Cus Stock Unit]" caption="EOP Goods Receipt PO DC Cus Stock Unit" measure="1" displayFolder="01_TY\_UNIT" measureGroup="StockDC" count="0"/>
    <cacheHierarchy uniqueName="[Measures].[EOP Goods Receipt PO DC Other Stock Unit]" caption="EOP Goods Receipt PO DC Other Stock Unit" measure="1" displayFolder="01_TY\_UNIT" measureGroup="StockDC" count="0"/>
    <cacheHierarchy uniqueName="[Measures].[CUR Available DC Stock Unit]" caption="CUR Available DC Stock Unit" measure="1" displayFolder="00_CURRENT" measureGroup="StockDC" count="0"/>
    <cacheHierarchy uniqueName="[Measures].[CUR Real DC Stock Unit]" caption="CUR Real DC Stock Unit" measure="1" displayFolder="00_CURRENT" measureGroup="StockDC" count="0"/>
    <cacheHierarchy uniqueName="[Measures].[CUR Open Delivery DC Stock Unit]" caption="CUR Open Delivery DC Stock Unit" measure="1" displayFolder="00_CURRENT" measureGroup="StockDC" count="0"/>
    <cacheHierarchy uniqueName="[Measures].[CUR Open Order DC Stock Unit]" caption="CUR Open Order DC Stock Unit" measure="1" displayFolder="00_CURRENT" measureGroup="StockDC" count="0"/>
    <cacheHierarchy uniqueName="[Measures].[CUR Open Sto DC Stock Unit]" caption="CUR Open Sto DC Stock Unit" measure="1" displayFolder="00_CURRENT" measureGroup="StockDC" count="0"/>
    <cacheHierarchy uniqueName="[Measures].[CUR Safety DC Stock Unit]" caption="CUR Safety DC Stock Unit" measure="1" displayFolder="00_CURRENT" measureGroup="StockDC" count="0"/>
    <cacheHierarchy uniqueName="[Measures].[CUR Buffer DC Stock Unit]" caption="CUR Buffer DC Stock Unit" measure="1" displayFolder="00_CURRENT" measureGroup="StockDC" count="0"/>
    <cacheHierarchy uniqueName="[Measures].[CUR Unapproved Order DC Stock Unit]" caption="CUR Unapproved Order DC Stock Unit" measure="1" displayFolder="00_CURRENT" measureGroup="StockDC" count="0"/>
    <cacheHierarchy uniqueName="[Measures].[EOP LY DC Transit Stock Unit]" caption="EOP LY DC Transit Stock Unit" measure="1" displayFolder="02_LY\_UNIT" measureGroup="StockDC" count="0"/>
    <cacheHierarchy uniqueName="[Measures].[EOP LY DC Cus Stock Unit]" caption="EOP LY DC Cus Stock Unit" measure="1" displayFolder="02_LY\_UNIT" measureGroup="StockDC" count="0"/>
    <cacheHierarchy uniqueName="[Measures].[EOP LY DC Other Stock Unit]" caption="EOP LY DC Other Stock Unit" measure="1" displayFolder="02_LY\_UNIT" measureGroup="StockDC" count="0"/>
    <cacheHierarchy uniqueName="[Measures].[EOP LY DC Stock Unit]" caption="EOP LY DC Stock Unit" measure="1" displayFolder="02_LY\_UNIT" measureGroup="StockDC" count="0"/>
    <cacheHierarchy uniqueName="[Measures].[Kullanılabilir DC Stok Adet]" caption="Kullanılabilir DC Stok Adet" measure="1" displayFolder="00_CURRENT" measureGroup="StockDC" count="0"/>
    <cacheHierarchy uniqueName="[Measures].[TY Avg Store Stock Unit]" caption="TY Avg Store Stock Unit" measure="1" displayFolder="01_TY\_UNIT" measureGroup="StockStore" count="0" oneField="1">
      <fieldsUsage count="1">
        <fieldUsage x="5"/>
      </fieldsUsage>
    </cacheHierarchy>
    <cacheHierarchy uniqueName="[Measures].[TY Avg Store Transit Stock Unit]" caption="TY Avg Store Transit Stock Unit" measure="1" displayFolder="01_TY\_UNIT" measureGroup="StockStore" count="0" oneField="1">
      <fieldsUsage count="1">
        <fieldUsage x="6"/>
      </fieldsUsage>
    </cacheHierarchy>
    <cacheHierarchy uniqueName="[Measures].[TY Avg Store Stock Cost LC]" caption="TY Avg Store Stock Cost LC" measure="1" displayFolder="01_TY\LC" measureGroup="StockStore" count="0"/>
    <cacheHierarchy uniqueName="[Measures].[TY Avg Store Transit Stock Cost LC]" caption="TY Avg Store Transit Stock Cost LC" measure="1" displayFolder="01_TY\LC" measureGroup="StockStore" count="0"/>
    <cacheHierarchy uniqueName="[Measures].[TY LFL Avg Store Stock Unit]" caption="TY LFL Avg Store Stock Unit" measure="1" displayFolder="02_TYLFL\_UNIT" measureGroup="StockStore" count="0"/>
    <cacheHierarchy uniqueName="[Measures].[TY LFL Avg Store Transit Stock Unit]" caption="TY LFL Avg Store Transit Stock Unit" measure="1" displayFolder="02_TYLFL\_UNIT" measureGroup="StockStore" count="0"/>
    <cacheHierarchy uniqueName="[Measures].[TY LFL Avg Store Stock Cost LC]" caption="TY LFL Avg Store Stock Cost LC" measure="1" displayFolder="02_TYLFL\LC" measureGroup="StockStore" count="0"/>
    <cacheHierarchy uniqueName="[Measures].[TY LFL Avg Store Transit Stock Cost LC]" caption="TY LFL Avg Store Transit Stock Cost LC" measure="1" displayFolder="02_TYLFL\LC" measureGroup="StockStore" count="0"/>
    <cacheHierarchy uniqueName="[Measures].[TY Avg Store Stock Cost TRY]" caption="TY Avg Store Stock Cost TRY" measure="1" displayFolder="01_TY\TRY" measureGroup="StockStore" count="0"/>
    <cacheHierarchy uniqueName="[Measures].[TY Avg Store Transit Stock Cost TRY]" caption="TY Avg Store Transit Stock Cost TRY" measure="1" displayFolder="01_TY\TRY" measureGroup="StockStore" count="0"/>
    <cacheHierarchy uniqueName="[Measures].[TY Avg Store Stock Cost USD]" caption="TY Avg Store Stock Cost USD" measure="1" displayFolder="01_TY\USD" measureGroup="StockStore" count="0"/>
    <cacheHierarchy uniqueName="[Measures].[TY Avg Store Transit Stock Cost USD]" caption="TY Avg Store Transit Stock Cost USD" measure="1" displayFolder="01_TY\USD" measureGroup="StockStore" count="0"/>
    <cacheHierarchy uniqueName="[Measures].[TY LFL Avg Store Stock Cost TRY]" caption="TY LFL Avg Store Stock Cost TRY" measure="1" displayFolder="02_TYLFL\TRY" measureGroup="StockStore" count="0"/>
    <cacheHierarchy uniqueName="[Measures].[TY LFL Avg Store Transit Stock Cost TRY]" caption="TY LFL Avg Store Transit Stock Cost TRY" measure="1" displayFolder="02_TYLFL\TRY" measureGroup="StockStore" count="0"/>
    <cacheHierarchy uniqueName="[Measures].[TY LFL Avg Store Stock Cost USD]" caption="TY LFL Avg Store Stock Cost USD" measure="1" displayFolder="02_TYLFL\USD" measureGroup="StockStore" count="0"/>
    <cacheHierarchy uniqueName="[Measures].[TY LFL Avg Store Transit Stock Cost USD]" caption="TY LFL Avg Store Transit Stock Cost USD" measure="1" displayFolder="02_TYLFL\USD" measureGroup="StockStore" count="0"/>
    <cacheHierarchy uniqueName="[Measures].[StockLastProcessTime]" caption="StockLastProcessTime" measure="1" displayFolder="00_INFO" measureGroup="StockStore" count="0"/>
    <cacheHierarchy uniqueName="[Measures].[LY Avg Store Stock Unit]" caption="LY Avg Store Stock Unit" measure="1" displayFolder="03_LY\_UNIT" measureGroup="StockStore" count="0"/>
    <cacheHierarchy uniqueName="[Measures].[LY Avg Store Transit Stock Unit]" caption="LY Avg Store Transit Stock Unit" measure="1" displayFolder="03_LY\_UNIT" measureGroup="StockStore" count="0"/>
    <cacheHierarchy uniqueName="[Measures].[LY Avg Store Stock Cost LC]" caption="LY Avg Store Stock Cost LC" measure="1" displayFolder="03_LY\LC" measureGroup="StockStore" count="0"/>
    <cacheHierarchy uniqueName="[Measures].[LY Avg Store Transit Stock Cost LC]" caption="LY Avg Store Transit Stock Cost LC" measure="1" displayFolder="03_LY\LC" measureGroup="StockStore" count="0"/>
    <cacheHierarchy uniqueName="[Measures].[LY Avg Store Stock Cost TRY]" caption="LY Avg Store Stock Cost TRY" measure="1" displayFolder="03_LY\TRY" measureGroup="StockStore" count="0"/>
    <cacheHierarchy uniqueName="[Measures].[LY Avg Store Transit Stock Cost TRY]" caption="LY Avg Store Transit Stock Cost TRY" measure="1" displayFolder="03_LY\TRY" measureGroup="StockStore" count="0"/>
    <cacheHierarchy uniqueName="[Measures].[LY Avg Store Stock Cost USD]" caption="LY Avg Store Stock Cost USD" measure="1" displayFolder="03_LY\USD" measureGroup="StockStore" count="0"/>
    <cacheHierarchy uniqueName="[Measures].[LY Avg Store Transit Stock Cost USD]" caption="LY Avg Store Transit Stock Cost USD" measure="1" displayFolder="03_LY\USD" measureGroup="StockStore" count="0"/>
    <cacheHierarchy uniqueName="[Measures].[LY LFL Avg Store Stock Unit]" caption="LY LFL Avg Store Stock Unit" measure="1" displayFolder="04_LYLFL\_UNIT" measureGroup="StockStore" count="0"/>
    <cacheHierarchy uniqueName="[Measures].[LY LFL Avg Store Transit Stock Unit]" caption="LY LFL Avg Store Transit Stock Unit" measure="1" displayFolder="04_LYLFL\_UNIT" measureGroup="StockStore" count="0"/>
    <cacheHierarchy uniqueName="[Measures].[LY LFL Avg Store Stock Cost LC]" caption="LY LFL Avg Store Stock Cost LC" measure="1" displayFolder="04_LYLFL\LC" measureGroup="StockStore" count="0"/>
    <cacheHierarchy uniqueName="[Measures].[LY LFL Avg Store Transit Stock Cost LC]" caption="LY LFL Avg Store Transit Stock Cost LC" measure="1" displayFolder="04_LYLFL\LC" measureGroup="StockStore" count="0"/>
    <cacheHierarchy uniqueName="[Measures].[LY LFL Avg Store Stock Cost TRY]" caption="LY LFL Avg Store Stock Cost TRY" measure="1" displayFolder="04_LYLFL\TRY" measureGroup="StockStore" count="0"/>
    <cacheHierarchy uniqueName="[Measures].[LY LFL Avg Store Transit Stock Cost TRY]" caption="LY LFL Avg Store Transit Stock Cost TRY" measure="1" displayFolder="04_LYLFL\TRY" measureGroup="StockStore" count="0"/>
    <cacheHierarchy uniqueName="[Measures].[LY LFL Avg Store Stock Cost USD]" caption="LY LFL Avg Store Stock Cost USD" measure="1" displayFolder="04_LYLFL\USD" measureGroup="StockStore" count="0"/>
    <cacheHierarchy uniqueName="[Measures].[LY LFL Avg Store Transit Stock Cost USD]" caption="LY LFL Avg Store Transit Stock Cost USD" measure="1" displayFolder="04_LYLFL\USD" measureGroup="StockStore" count="0"/>
    <cacheHierarchy uniqueName="[Measures].[CUR Open Imports Store Stock Unit]" caption="CUR Open Imports Store Stock Unit" measure="1" displayFolder="00_CURRENT" measureGroup="StockStore" count="0"/>
    <cacheHierarchy uniqueName="[Measures].[CUR Open Transfer Store Stock Unit]" caption="CUR Open Transfer Store Stock Unit" measure="1" displayFolder="00_CURRENT" measureGroup="StockStore" count="0"/>
    <cacheHierarchy uniqueName="[Measures].[EOP TY Store Stock Unit]" caption="EOP TY Store Stock Unit" measure="1" displayFolder="01_TY\_UNIT" measureGroup="StockStore" count="0"/>
    <cacheHierarchy uniqueName="[Measures].[EOP TY Avg Store Stock Cost LC]" caption="EOP TY Avg Store Stock Cost LC" measure="1" displayFolder="01_TY\LC" measureGroup="StockStore" count="0"/>
    <cacheHierarchy uniqueName="[Measures].[EOP TY Store Transit Stock Unit]" caption="EOP TY Store Transit Stock Unit" measure="1" displayFolder="01_TY\_UNIT" measureGroup="StockStore" count="0"/>
    <cacheHierarchy uniqueName="[Measures].[EOP TY Avg Store Transit Stock Cost LC]" caption="EOP TY Avg Store Transit Stock Cost LC" measure="1" displayFolder="01_TY\LC" measureGroup="StockStore" count="0"/>
    <cacheHierarchy uniqueName="[Measures].[EOP TY Avg Store Stock Cost TRY]" caption="EOP TY Avg Store Stock Cost TRY" measure="1" displayFolder="01_TY\TRY" measureGroup="StockStore" count="0"/>
    <cacheHierarchy uniqueName="[Measures].[EOP TY Avg Store Transit Stock Cost TRY]" caption="EOP TY Avg Store Transit Stock Cost TRY" measure="1" displayFolder="01_TY\TRY" measureGroup="StockStore" count="0"/>
    <cacheHierarchy uniqueName="[Measures].[EOP LY Store Stock Unit]" caption="EOP LY Store Stock Unit" measure="1" displayFolder="03_LY\_UNIT" measureGroup="StockStore" count="0"/>
    <cacheHierarchy uniqueName="[Measures].[EOP LY Store Transit Stock Unit]" caption="EOP LY Store Transit Stock Unit" measure="1" displayFolder="03_LY\_UNIT" measureGroup="StockStore" count="0"/>
    <cacheHierarchy uniqueName="[Measures].[EOP LY Avg Store Stock Cost LC]" caption="EOP LY Avg Store Stock Cost LC" measure="1" displayFolder="03_LY\LC" measureGroup="StockStore" count="0"/>
    <cacheHierarchy uniqueName="[Measures].[EOP LY Avg Store Transit Stock Cost LC]" caption="EOP LY Avg Store Transit Stock Cost LC" measure="1" displayFolder="03_LY\LC" measureGroup="StockStore" count="0"/>
    <cacheHierarchy uniqueName="[Measures].[EOP LY Avg Store Stock Cost TRY]" caption="EOP LY Avg Store Stock Cost TRY" measure="1" displayFolder="03_LY\TRY" measureGroup="StockStore" count="0"/>
    <cacheHierarchy uniqueName="[Measures].[EOP LY Avg Store Transit Stock Cost TRY]" caption="EOP LY Avg Store Transit Stock Cost TRY" measure="1" displayFolder="03_LY\TRY" measureGroup="StockStore" count="0"/>
    <cacheHierarchy uniqueName="[Measures].[TY Avg Store Other Stock Unit]" caption="TY Avg Store Other Stock Unit" measure="1" displayFolder="01_TY\_UNIT" measureGroup="StockStore" count="0"/>
    <cacheHierarchy uniqueName="[Measures].[TY LFL Avg Store Other Stock Unit]" caption="TY LFL Avg Store Other Stock Unit" measure="1" displayFolder="02_TYLFL\_UNIT" measureGroup="StockStore" count="0"/>
    <cacheHierarchy uniqueName="[Measures].[LY Avg Store Other Stock Unit]" caption="LY Avg Store Other Stock Unit" measure="1" displayFolder="03_LY\_UNIT" measureGroup="StockStore" count="0"/>
    <cacheHierarchy uniqueName="[Measures].[LY LFL Avg Store Other Stock Unit]" caption="LY LFL Avg Store Other Stock Unit" measure="1" displayFolder="04_LYLFL\_UNIT" measureGroup="StockStore" count="0"/>
    <cacheHierarchy uniqueName="[Measures].[TY Avg Company Stock Unit]" caption="TY Avg Company Stock Unit" measure="1" displayFolder="01_TY\_UNIT" measureGroup="StockStore" count="0"/>
    <cacheHierarchy uniqueName="[Measures].[TY Avg Store Other Stock Cost TRY]" caption="TY Avg Store Other Stock Cost TRY" measure="1" displayFolder="01_TY\TRY" measureGroup="StockStore" count="0"/>
    <cacheHierarchy uniqueName="[Measures].[EOP TY Avg Company Stock Cost TRY]" caption="EOP TY Avg Company Stock Cost TRY" measure="1" displayFolder="01_TY\TRY" measureGroup="StockStore" count="0"/>
    <cacheHierarchy uniqueName="[Measures].[EOP TY Avg Store Other Stock Cost TRY]" caption="EOP TY Avg Store Other Stock Cost TRY" measure="1" displayFolder="01_TY\TRY" measureGroup="StockStore" count="0"/>
    <cacheHierarchy uniqueName="[Measures].[TY Avg StoreOther Stock Cost LC]" caption="TY Avg StoreOther Stock Cost LC" measure="1" displayFolder="01_TY\LC" measureGroup="StockStore" count="0"/>
    <cacheHierarchy uniqueName="[Measures].[EOP TY Avg Store Other Stock Cost LC]" caption="EOP TY Avg Store Other Stock Cost LC" measure="1" displayFolder="01_TY\LC" measureGroup="StockStore" count="0"/>
    <cacheHierarchy uniqueName="[Measures].[TY Avg Store Other Stock Cost USD]" caption="TY Avg Store Other Stock Cost USD" measure="1" displayFolder="01_TY\USD" measureGroup="StockStore" count="0"/>
    <cacheHierarchy uniqueName="[Measures].[TY Avg Company Stock Cost TRY]" caption="TY Avg Company Stock Cost TRY" measure="1" displayFolder="01_TY\TRY" measureGroup="StockStore" count="0"/>
    <cacheHierarchy uniqueName="[Measures].[TY Avg Company Stock Cost LC]" caption="TY Avg Company Stock Cost LC" measure="1" displayFolder="01_TY\LC" measureGroup="StockStore" count="0"/>
    <cacheHierarchy uniqueName="[Measures].[TY Avg Company Stock Cost USD]" caption="TY Avg Company Stock Cost USD" measure="1" displayFolder="01_TY\USD" measureGroup="StockStore" count="0"/>
    <cacheHierarchy uniqueName="[Measures].[TY Avg Store Other Stock Cost LC]" caption="TY Avg Store Other Stock Cost LC" measure="1" displayFolder="01_TY\LC" measureGroup="StockStore" count="0"/>
    <cacheHierarchy uniqueName="[Measures].[LY Avg Company Stock Unit]" caption="LY Avg Company Stock Unit" measure="1" displayFolder="03_LY\_UNIT" measureGroup="StockStore" count="0"/>
    <cacheHierarchy uniqueName="[Measures].[LY Avg Company Stock Cost LC]" caption="LY Avg Company Stock Cost LC" measure="1" displayFolder="03_LY\LC" measureGroup="StockStore" count="0"/>
    <cacheHierarchy uniqueName="[Measures].[LY Avg Store Other Stock Cost LC]" caption="LY Avg Store Other Stock Cost LC" measure="1" displayFolder="03_LY\LC" measureGroup="StockStore" count="0"/>
    <cacheHierarchy uniqueName="[Measures].[LY Avg Company Stock Cost TRY]" caption="LY Avg Company Stock Cost TRY" measure="1" displayFolder="03_LY\TRY" measureGroup="StockStore" count="0"/>
    <cacheHierarchy uniqueName="[Measures].[LY Avg Company Stock Cost USD]" caption="LY Avg Company Stock Cost USD" measure="1" displayFolder="03_LY\USD" measureGroup="StockStore" count="0"/>
    <cacheHierarchy uniqueName="[Measures].[EOP TY Company Stock Unit]" caption="EOP TY Company Stock Unit" measure="1" displayFolder="01_TY\_UNIT" measureGroup="StockStore" count="0"/>
    <cacheHierarchy uniqueName="[Measures].[EOP TY Store Other Stock Unit]" caption="EOP TY Store Other Stock Unit" measure="1" displayFolder="01_TY\_UNIT" measureGroup="StockStore" count="0"/>
    <cacheHierarchy uniqueName="[Measures].[EOP TY Company Stock Cost TRY]" caption="EOP TY Company Stock Cost TRY" measure="1" displayFolder="01_TY\TRY" measureGroup="StockStore" count="0"/>
    <cacheHierarchy uniqueName="[Measures].[Cur Unit ISP VAT LC]" caption="Cur Unit ISP VAT LC" measure="1" displayFolder="00_CURRENT" measureGroup="StockStore" count="0"/>
    <cacheHierarchy uniqueName="[Measures].[Cur Discounted Unit ISP VAT LC]" caption="Cur Discounted Unit ISP VAT LC" measure="1" displayFolder="00_CURRENT" measureGroup="StockStore" count="0"/>
    <cacheHierarchy uniqueName="[Measures].[CUR Available Store Stock Unit]" caption="CUR Available Store Stock Unit" measure="1" displayFolder="00_CURRENT" measureGroup="StockStore" count="0"/>
    <cacheHierarchy uniqueName="[Measures].[CUR Real Store Stock Unit]" caption="CUR Real Store Stock Unit" measure="1" displayFolder="00_CURRENT" measureGroup="StockStore" count="0"/>
    <cacheHierarchy uniqueName="[Measures].[CUR Open Delivery Store Stock Unit]" caption="CUR Open Delivery Store Stock Unit" measure="1" displayFolder="00_CURRENT" measureGroup="StockStore" count="0"/>
    <cacheHierarchy uniqueName="[Measures].[CUR Open Sto Store Stock Unit]" caption="CUR Open Sto Store Stock Unit" measure="1" displayFolder="00_CURRENT" measureGroup="StockStore" count="0"/>
    <cacheHierarchy uniqueName="[Measures].[CUR Safety Store Stock Unit]" caption="CUR Safety Store Stock Unit" measure="1" displayFolder="00_CURRENT" measureGroup="StockStore" count="0"/>
    <cacheHierarchy uniqueName="[Measures].[CUR Buffer Store Stock Unit]" caption="CUR Buffer Store Stock Unit" measure="1" displayFolder="00_CURRENT" measureGroup="StockStore" count="0"/>
    <cacheHierarchy uniqueName="[Measures].[CUR Unapproved Order Store Stock Unit]" caption="CUR Unapproved Order Store Stock Unit" measure="1" displayFolder="00_CURRENT" measureGroup="StockStore" count="0"/>
    <cacheHierarchy uniqueName="[Measures].[OrderLastProcessTime]" caption="OrderLastProcessTime" measure="1" displayFolder="00_INFO" measureGroup="StockStore" count="0"/>
    <cacheHierarchy uniqueName="[Measures].[AvailableStockProcessTime]" caption="AvailableStockProcessTime" measure="1" displayFolder="00_INFO" measureGroup="StockStore" count="0"/>
    <cacheHierarchy uniqueName="[Measures].[EOP LY Company Stock Unit]" caption="EOP LY Company Stock Unit" measure="1" displayFolder="03_LY\_UNIT" measureGroup="StockStore" count="0"/>
    <cacheHierarchy uniqueName="[Measures].[EOP LY Store Other Stock Unit]" caption="EOP LY Store Other Stock Unit" measure="1" displayFolder="03_LY\_UNIT" measureGroup="StockStore" count="0"/>
    <cacheHierarchy uniqueName="[Measures].[CUR Open Order Store Stock Unit]" caption="CUR Open Order Store Stock Unit" measure="1" displayFolder="00_CURRENT" measureGroup="StockStore" count="0"/>
    <cacheHierarchy uniqueName="[Measures].[EOP TY Store Stock Dm3]" caption="EOP TY Store Stock Dm3" measure="1" displayFolder="01_TY\_VOLUME" measureGroup="StockStore" count="0"/>
    <cacheHierarchy uniqueName="[Measures].[TY Avg Store Stock Dm3]" caption="TY Avg Store Stock Dm3" measure="1" displayFolder="01_TY\_VOLUME" measureGroup="StockStore" count="0"/>
    <cacheHierarchy uniqueName="[Measures].[EOP TY Store Transit Stock Dm3]" caption="EOP TY Store Transit Stock Dm3" measure="1" displayFolder="01_TY\_VOLUME" measureGroup="StockStore" count="0"/>
    <cacheHierarchy uniqueName="[Measures].[CUR Open Transfer Store Stock Dm3]" caption="CUR Open Transfer Store Stock Dm3" measure="1" displayFolder="00_CURRENT" measureGroup="StockStore" count="0"/>
    <cacheHierarchy uniqueName="[Measures].[CUR Unapproved Order Store Stock Dm3]" caption="CUR Unapproved Order Store Stock Dm3" measure="1" displayFolder="00_CURRENT" measureGroup="StockStore" count="0"/>
    <cacheHierarchy uniqueName="[Measures].[CUR Unapproved Order Store Stock Unit Others]" caption="CUR Unapproved Order Store Stock Unit Others" measure="1" displayFolder="00_CURRENT" measureGroup="StockStore" count="0"/>
    <cacheHierarchy uniqueName="[Measures].[CUR Open Transfer Store Stock Unit Others]" caption="CUR Open Transfer Store Stock Unit Others" measure="1" displayFolder="00_CURRENT" measureGroup="StockStore" count="0"/>
    <cacheHierarchy uniqueName="[Measures].[CUR Open Transfer Store Stock Dm3 Others]" caption="CUR Open Transfer Store Stock Dm3 Others" measure="1" displayFolder="00_CURRENT" measureGroup="StockStore" count="0"/>
    <cacheHierarchy uniqueName="[Measures].[CUR Unapproved Order Store Stock Dm3 Others]" caption="CUR Unapproved Order Store Stock Dm3 Others" measure="1" displayFolder="00_CURRENT" measureGroup="StockStore" count="0"/>
    <cacheHierarchy uniqueName="[Measures].[TY Sales Unit]" caption="TY Sales Unit" measure="1" displayFolder="01_TY\_UNIT" measureGroup="Sales" count="0" oneField="1">
      <fieldsUsage count="1">
        <fieldUsage x="2"/>
      </fieldsUsage>
    </cacheHierarchy>
    <cacheHierarchy uniqueName="[Measures].[TY Sales Value VAT LC]" caption="TY Sales Value VAT LC" measure="1" displayFolder="01_TY\LC" measureGroup="Sales" count="0"/>
    <cacheHierarchy uniqueName="[Measures].[TY Sales Value LC]" caption="TY Sales Value LC" measure="1" displayFolder="01_TY\LC" measureGroup="Sales" count="0" oneField="1">
      <fieldsUsage count="1">
        <fieldUsage x="3"/>
      </fieldsUsage>
    </cacheHierarchy>
    <cacheHierarchy uniqueName="[Measures].[TY Sales Cost VAT LC]" caption="TY Sales Cost VAT LC" measure="1" displayFolder="01_TY\LC" measureGroup="Sales" count="0"/>
    <cacheHierarchy uniqueName="[Measures].[TY Sales Cost LC]" caption="TY Sales Cost LC" measure="1" displayFolder="01_TY\LC" measureGroup="Sales" count="0" oneField="1">
      <fieldsUsage count="1">
        <fieldUsage x="4"/>
      </fieldsUsage>
    </cacheHierarchy>
    <cacheHierarchy uniqueName="[Measures].[TY ISP Sales Value VAT LC]" caption="TY ISP Sales Value VAT LC" measure="1" displayFolder="01_TY\LC" measureGroup="Sales" count="0"/>
    <cacheHierarchy uniqueName="[Measures].[TY ISP Sales Value LC]" caption="TY ISP Sales Value LC" measure="1" displayFolder="01_TY\LC" measureGroup="Sales" count="0"/>
    <cacheHierarchy uniqueName="[Measures].[TY Sales Discount Value VAT LC]" caption="TY Sales Discount Value VAT LC" measure="1" displayFolder="01_TY\LC" measureGroup="Sales" count="0"/>
    <cacheHierarchy uniqueName="[Measures].[TY Sales Discount Value LC]" caption="TY Sales Discount Value LC" measure="1" displayFolder="01_TY\LC" measureGroup="Sales" count="0"/>
    <cacheHierarchy uniqueName="[Measures].[TY Sales Value VAT TRY]" caption="TY Sales Value VAT TRY" measure="1" displayFolder="01_TY\TRY" measureGroup="Sales" count="0"/>
    <cacheHierarchy uniqueName="[Measures].[TY Sales Value TRY]" caption="TY Sales Value TRY" measure="1" displayFolder="01_TY\TRY" measureGroup="Sales" count="0"/>
    <cacheHierarchy uniqueName="[Measures].[TY Sales Cost VAT TRY]" caption="TY Sales Cost VAT TRY" measure="1" displayFolder="01_TY\TRY" measureGroup="Sales" count="0"/>
    <cacheHierarchy uniqueName="[Measures].[TY Sales Cost TRY]" caption="TY Sales Cost TRY" measure="1" displayFolder="01_TY\TRY" measureGroup="Sales" count="0"/>
    <cacheHierarchy uniqueName="[Measures].[TY ISP Sales Value VAT TRY]" caption="TY ISP Sales Value VAT TRY" measure="1" displayFolder="01_TY\TRY" measureGroup="Sales" count="0"/>
    <cacheHierarchy uniqueName="[Measures].[TY ISP Sales Value TRY]" caption="TY ISP Sales Value TRY" measure="1" displayFolder="01_TY\TRY" measureGroup="Sales" count="0"/>
    <cacheHierarchy uniqueName="[Measures].[TY Sales Discount Value VAT TRY]" caption="TY Sales Discount Value VAT TRY" measure="1" displayFolder="01_TY\TRY" measureGroup="Sales" count="0"/>
    <cacheHierarchy uniqueName="[Measures].[TY Sales Discount Value TRY]" caption="TY Sales Discount Value TRY" measure="1" displayFolder="01_TY\TRY" measureGroup="Sales" count="0"/>
    <cacheHierarchy uniqueName="[Measures].[TY Invoice Count]" caption="TY Invoice Count" measure="1" displayFolder="01_TY\_UNIT" measureGroup="Sales" count="0" oneField="1">
      <fieldsUsage count="1">
        <fieldUsage x="16"/>
      </fieldsUsage>
    </cacheHierarchy>
    <cacheHierarchy uniqueName="[Measures].[TY Return Invoice Count]" caption="TY Return Invoice Count" measure="1" displayFolder="01_TY\_UNIT" measureGroup="Sales" count="0" oneField="1">
      <fieldsUsage count="1">
        <fieldUsage x="17"/>
      </fieldsUsage>
    </cacheHierarchy>
    <cacheHierarchy uniqueName="[Measures].[TY Gross Invoice Count]" caption="TY Gross Invoice Count" measure="1" displayFolder="01_TY\_UNIT" measureGroup="Sales" count="0" oneField="1">
      <fieldsUsage count="1">
        <fieldUsage x="15"/>
      </fieldsUsage>
    </cacheHierarchy>
    <cacheHierarchy uniqueName="[Measures].[SalesLastProcessTime]" caption="SalesLastProcessTime" measure="1" displayFolder="00_INFO" measureGroup="Sales" count="0"/>
    <cacheHierarchy uniqueName="[Measures].[TY LFL Gross Invoice Count]" caption="TY LFL Gross Invoice Count" measure="1" displayFolder="02_TYLFL\_UNIT" measureGroup="Sales" count="0"/>
    <cacheHierarchy uniqueName="[Measures].[TY LFL Return Invoice Count]" caption="TY LFL Return Invoice Count" measure="1" displayFolder="02_TYLFL\_UNIT" measureGroup="Sales" count="0"/>
    <cacheHierarchy uniqueName="[Measures].[TY LFL Invoice Count]" caption="TY LFL Invoice Count" measure="1" displayFolder="02_TYLFL\_UNIT" measureGroup="Sales" count="0"/>
    <cacheHierarchy uniqueName="[Measures].[LY Sales Unit]" caption="LY Sales Unit" measure="1" displayFolder="03_LY\_UNIT" measureGroup="Sales" count="0"/>
    <cacheHierarchy uniqueName="[Measures].[LY Sales Value VAT LC]" caption="LY Sales Value VAT LC" measure="1" displayFolder="03_LY\LC" measureGroup="Sales" count="0"/>
    <cacheHierarchy uniqueName="[Measures].[LY Sales Value LC]" caption="LY Sales Value LC" measure="1" displayFolder="03_LY\LC" measureGroup="Sales" count="0"/>
    <cacheHierarchy uniqueName="[Measures].[LY Sales Cost VAT LC]" caption="LY Sales Cost VAT LC" measure="1" displayFolder="03_LY\LC" measureGroup="Sales" count="0"/>
    <cacheHierarchy uniqueName="[Measures].[LY Sales Cost LC]" caption="LY Sales Cost LC" measure="1" displayFolder="03_LY\LC" measureGroup="Sales" count="0"/>
    <cacheHierarchy uniqueName="[Measures].[LY ISP Sales Value VAT LC]" caption="LY ISP Sales Value VAT LC" measure="1" displayFolder="03_LY\LC" measureGroup="Sales" count="0"/>
    <cacheHierarchy uniqueName="[Measures].[LY ISP Sales Value LC]" caption="LY ISP Sales Value LC" measure="1" displayFolder="03_LY\LC" measureGroup="Sales" count="0"/>
    <cacheHierarchy uniqueName="[Measures].[LY Sales Discount Value VAT LC]" caption="LY Sales Discount Value VAT LC" measure="1" displayFolder="03_LY\LC" measureGroup="Sales" count="0"/>
    <cacheHierarchy uniqueName="[Measures].[LY Sales Discount Value LC]" caption="LY Sales Discount Value LC" measure="1" displayFolder="03_LY\LC" measureGroup="Sales" count="0"/>
    <cacheHierarchy uniqueName="[Measures].[LY Invoice Count]" caption="LY Invoice Count" measure="1" displayFolder="03_LY\_UNIT" measureGroup="Sales" count="0"/>
    <cacheHierarchy uniqueName="[Measures].[LY Gross Invoice Count]" caption="LY Gross Invoice Count" measure="1" displayFolder="03_LY\_UNIT" measureGroup="Sales" count="0"/>
    <cacheHierarchy uniqueName="[Measures].[LY Return Invoice Count]" caption="LY Return Invoice Count" measure="1" displayFolder="03_LY\_UNIT" measureGroup="Sales" count="0"/>
    <cacheHierarchy uniqueName="[Measures].[TY LFL Sales Unit]" caption="TY LFL Sales Unit" measure="1" displayFolder="02_TYLFL\_UNIT" measureGroup="Sales" count="0"/>
    <cacheHierarchy uniqueName="[Measures].[TY LFL Sales Value VAT LC]" caption="TY LFL Sales Value VAT LC" measure="1" displayFolder="02_TYLFL\LC" measureGroup="Sales" count="0"/>
    <cacheHierarchy uniqueName="[Measures].[TY LFL Sales Value LC]" caption="TY LFL Sales Value LC" measure="1" displayFolder="02_TYLFL\LC" measureGroup="Sales" count="0"/>
    <cacheHierarchy uniqueName="[Measures].[TY LFL Sales Cost VAT LC]" caption="TY LFL Sales Cost VAT LC" measure="1" displayFolder="02_TYLFL\LC" measureGroup="Sales" count="0"/>
    <cacheHierarchy uniqueName="[Measures].[TY LFL Sales Cost LC]" caption="TY LFL Sales Cost LC" measure="1" displayFolder="02_TYLFL\LC" measureGroup="Sales" count="0"/>
    <cacheHierarchy uniqueName="[Measures].[TY LFL ISP Sales Value VAT LC]" caption="TY LFL ISP Sales Value VAT LC" measure="1" displayFolder="02_TYLFL\LC" measureGroup="Sales" count="0"/>
    <cacheHierarchy uniqueName="[Measures].[TY LFL ISP Sales Value LC]" caption="TY LFL ISP Sales Value LC" measure="1" displayFolder="02_TYLFL\LC" measureGroup="Sales" count="0"/>
    <cacheHierarchy uniqueName="[Measures].[TY LFL Sales Discount Value VAT LC]" caption="TY LFL Sales Discount Value VAT LC" measure="1" displayFolder="02_TYLFL\LC" measureGroup="Sales" count="0"/>
    <cacheHierarchy uniqueName="[Measures].[TY LFL Sales Discount Value LC]" caption="TY LFL Sales Discount Value LC" measure="1" displayFolder="02_TYLFL\LC" measureGroup="Sales" count="0"/>
    <cacheHierarchy uniqueName="[Measures].[TY Sales Value VAT USD]" caption="TY Sales Value VAT USD" measure="1" displayFolder="01_TY\USD" measureGroup="Sales" count="0"/>
    <cacheHierarchy uniqueName="[Measures].[TY Sales Value USD]" caption="TY Sales Value USD" measure="1" displayFolder="01_TY\USD" measureGroup="Sales" count="0"/>
    <cacheHierarchy uniqueName="[Measures].[TY Sales Cost VAT USD]" caption="TY Sales Cost VAT USD" measure="1" displayFolder="01_TY\USD" measureGroup="Sales" count="0"/>
    <cacheHierarchy uniqueName="[Measures].[TY Sales Cost USD]" caption="TY Sales Cost USD" measure="1" displayFolder="01_TY\USD" measureGroup="Sales" count="0"/>
    <cacheHierarchy uniqueName="[Measures].[TY ISP Sales Value VAT USD]" caption="TY ISP Sales Value VAT USD" measure="1" displayFolder="01_TY\USD" measureGroup="Sales" count="0"/>
    <cacheHierarchy uniqueName="[Measures].[TY ISP Sales Value USD]" caption="TY ISP Sales Value USD" measure="1" displayFolder="01_TY\USD" measureGroup="Sales" count="0"/>
    <cacheHierarchy uniqueName="[Measures].[TY Sales Discount Value VAT USD]" caption="TY Sales Discount Value VAT USD" measure="1" displayFolder="01_TY\USD" measureGroup="Sales" count="0"/>
    <cacheHierarchy uniqueName="[Measures].[TY Sales Discount Value USD]" caption="TY Sales Discount Value USD" measure="1" displayFolder="01_TY\USD" measureGroup="Sales" count="0"/>
    <cacheHierarchy uniqueName="[Measures].[TY LFL Sales Value VAT TRY]" caption="TY LFL Sales Value VAT TRY" measure="1" displayFolder="02_TYLFL\TRY" measureGroup="Sales" count="0"/>
    <cacheHierarchy uniqueName="[Measures].[TY LFL Sales Value TRY]" caption="TY LFL Sales Value TRY" measure="1" displayFolder="02_TYLFL\TRY" measureGroup="Sales" count="0"/>
    <cacheHierarchy uniqueName="[Measures].[TY LFL Sales Cost VAT TRY]" caption="TY LFL Sales Cost VAT TRY" measure="1" displayFolder="02_TYLFL\TRY" measureGroup="Sales" count="0"/>
    <cacheHierarchy uniqueName="[Measures].[TY LFL Sales Cost TRY]" caption="TY LFL Sales Cost TRY" measure="1" displayFolder="02_TYLFL\TRY" measureGroup="Sales" count="0"/>
    <cacheHierarchy uniqueName="[Measures].[TY LFL ISP Sales Value VAT TRY]" caption="TY LFL ISP Sales Value VAT TRY" measure="1" displayFolder="02_TYLFL\TRY" measureGroup="Sales" count="0"/>
    <cacheHierarchy uniqueName="[Measures].[TY LFL ISP Sales Value TRY]" caption="TY LFL ISP Sales Value TRY" measure="1" displayFolder="02_TYLFL\TRY" measureGroup="Sales" count="0"/>
    <cacheHierarchy uniqueName="[Measures].[TY LFL Sales Discount Value VAT TRY]" caption="TY LFL Sales Discount Value VAT TRY" measure="1" displayFolder="02_TYLFL\TRY" measureGroup="Sales" count="0"/>
    <cacheHierarchy uniqueName="[Measures].[TY LFL Sales Discount Value TRY]" caption="TY LFL Sales Discount Value TRY" measure="1" displayFolder="02_TYLFL\TRY" measureGroup="Sales" count="0"/>
    <cacheHierarchy uniqueName="[Measures].[TY LFL Sales Value VAT USD]" caption="TY LFL Sales Value VAT USD" measure="1" displayFolder="02_TYLFL\USD" measureGroup="Sales" count="0"/>
    <cacheHierarchy uniqueName="[Measures].[TY LFL Sales Value USD]" caption="TY LFL Sales Value USD" measure="1" displayFolder="02_TYLFL\USD" measureGroup="Sales" count="0"/>
    <cacheHierarchy uniqueName="[Measures].[TY LFL Sales Cost VAT USD]" caption="TY LFL Sales Cost VAT USD" measure="1" displayFolder="02_TYLFL\USD" measureGroup="Sales" count="0"/>
    <cacheHierarchy uniqueName="[Measures].[TY LFL Sales Cost USD]" caption="TY LFL Sales Cost USD" measure="1" displayFolder="02_TYLFL\USD" measureGroup="Sales" count="0"/>
    <cacheHierarchy uniqueName="[Measures].[TY LFL ISP Sales Value VAT USD]" caption="TY LFL ISP Sales Value VAT USD" measure="1" displayFolder="02_TYLFL\USD" measureGroup="Sales" count="0"/>
    <cacheHierarchy uniqueName="[Measures].[TY LFL ISP Sales Value USD]" caption="TY LFL ISP Sales Value USD" measure="1" displayFolder="02_TYLFL\USD" measureGroup="Sales" count="0"/>
    <cacheHierarchy uniqueName="[Measures].[TY LFL Sales Discount Value VAT USD]" caption="TY LFL Sales Discount Value VAT USD" measure="1" displayFolder="02_TYLFL\USD" measureGroup="Sales" count="0"/>
    <cacheHierarchy uniqueName="[Measures].[TY LFL Sales Discount Value USD]" caption="TY LFL Sales Discount Value USD" measure="1" displayFolder="02_TYLFL\USD" measureGroup="Sales" count="0"/>
    <cacheHierarchy uniqueName="[Measures].[LY Sales Value VAT TRY]" caption="LY Sales Value VAT TRY" measure="1" displayFolder="03_LY\TRY" measureGroup="Sales" count="0"/>
    <cacheHierarchy uniqueName="[Measures].[LY Sales Value TRY]" caption="LY Sales Value TRY" measure="1" displayFolder="03_LY\TRY" measureGroup="Sales" count="0"/>
    <cacheHierarchy uniqueName="[Measures].[LY Sales Cost VAT TRY]" caption="LY Sales Cost VAT TRY" measure="1" displayFolder="03_LY\TRY" measureGroup="Sales" count="0"/>
    <cacheHierarchy uniqueName="[Measures].[LY Sales Cost TRY]" caption="LY Sales Cost TRY" measure="1" displayFolder="03_LY\TRY" measureGroup="Sales" count="0"/>
    <cacheHierarchy uniqueName="[Measures].[LY ISP Sales Value VAT TRY]" caption="LY ISP Sales Value VAT TRY" measure="1" displayFolder="03_LY\TRY" measureGroup="Sales" count="0"/>
    <cacheHierarchy uniqueName="[Measures].[LY ISP Sales Value TRY]" caption="LY ISP Sales Value TRY" measure="1" displayFolder="03_LY\TRY" measureGroup="Sales" count="0"/>
    <cacheHierarchy uniqueName="[Measures].[LY Sales Discount Value VAT TRY]" caption="LY Sales Discount Value VAT TRY" measure="1" displayFolder="03_LY\TRY" measureGroup="Sales" count="0"/>
    <cacheHierarchy uniqueName="[Measures].[LY Sales Discount Value TRY]" caption="LY Sales Discount Value TRY" measure="1" displayFolder="03_LY\TRY" measureGroup="Sales" count="0"/>
    <cacheHierarchy uniqueName="[Measures].[LY Sales Value VAT USD]" caption="LY Sales Value VAT USD" measure="1" displayFolder="03_LY\USD" measureGroup="Sales" count="0"/>
    <cacheHierarchy uniqueName="[Measures].[LY Sales Value USD]" caption="LY Sales Value USD" measure="1" displayFolder="03_LY\USD" measureGroup="Sales" count="0"/>
    <cacheHierarchy uniqueName="[Measures].[LY Sales Cost VAT USD]" caption="LY Sales Cost VAT USD" measure="1" displayFolder="03_LY\USD" measureGroup="Sales" count="0"/>
    <cacheHierarchy uniqueName="[Measures].[LY Sales Cost USD]" caption="LY Sales Cost USD" measure="1" displayFolder="03_LY\USD" measureGroup="Sales" count="0"/>
    <cacheHierarchy uniqueName="[Measures].[LY ISP Sales Value VAT USD]" caption="LY ISP Sales Value VAT USD" measure="1" displayFolder="03_LY\USD" measureGroup="Sales" count="0"/>
    <cacheHierarchy uniqueName="[Measures].[LY ISP Sales Value USD]" caption="LY ISP Sales Value USD" measure="1" displayFolder="03_LY\USD" measureGroup="Sales" count="0"/>
    <cacheHierarchy uniqueName="[Measures].[LY Sales Discount Value VAT USD]" caption="LY Sales Discount Value VAT USD" measure="1" displayFolder="03_LY\USD" measureGroup="Sales" count="0"/>
    <cacheHierarchy uniqueName="[Measures].[LY Sales Discount Value USD]" caption="LY Sales Discount Value USD" measure="1" displayFolder="03_LY\USD" measureGroup="Sales" count="0"/>
    <cacheHierarchy uniqueName="[Measures].[LY LFL Sales Unit]" caption="LY LFL Sales Unit" measure="1" displayFolder="04_LYLFL\_UNIT" measureGroup="Sales" count="0"/>
    <cacheHierarchy uniqueName="[Measures].[LY LFL Sales Value VAT LC]" caption="LY LFL Sales Value VAT LC" measure="1" displayFolder="04_LYLFL\LC" measureGroup="Sales" count="0"/>
    <cacheHierarchy uniqueName="[Measures].[LY LFL Sales Value LC]" caption="LY LFL Sales Value LC" measure="1" displayFolder="04_LYLFL\LC" measureGroup="Sales" count="0"/>
    <cacheHierarchy uniqueName="[Measures].[LY LFL Sales Cost VAT LC]" caption="LY LFL Sales Cost VAT LC" measure="1" displayFolder="04_LYLFL\LC" measureGroup="Sales" count="0"/>
    <cacheHierarchy uniqueName="[Measures].[LY LFL Sales Cost LC]" caption="LY LFL Sales Cost LC" measure="1" displayFolder="04_LYLFL\LC" measureGroup="Sales" count="0"/>
    <cacheHierarchy uniqueName="[Measures].[LY LFL ISP Sales Value VAT LC]" caption="LY LFL ISP Sales Value VAT LC" measure="1" displayFolder="04_LYLFL\LC" measureGroup="Sales" count="0"/>
    <cacheHierarchy uniqueName="[Measures].[LY LFL ISP Sales Value LC]" caption="LY LFL ISP Sales Value LC" measure="1" displayFolder="04_LYLFL\LC" measureGroup="Sales" count="0"/>
    <cacheHierarchy uniqueName="[Measures].[LY LFL Sales Discount Value VAT LC]" caption="LY LFL Sales Discount Value VAT LC" measure="1" displayFolder="04_LYLFL\LC" measureGroup="Sales" count="0"/>
    <cacheHierarchy uniqueName="[Measures].[LY LFL Sales Discount Value LC]" caption="LY LFL Sales Discount Value LC" measure="1" displayFolder="04_LYLFL\LC" measureGroup="Sales" count="0"/>
    <cacheHierarchy uniqueName="[Measures].[LY LFL Sales Value VAT TRY]" caption="LY LFL Sales Value VAT TRY" measure="1" displayFolder="04_LYLFL\TRY" measureGroup="Sales" count="0"/>
    <cacheHierarchy uniqueName="[Measures].[LY LFL Sales Value TRY]" caption="LY LFL Sales Value TRY" measure="1" displayFolder="04_LYLFL\TRY" measureGroup="Sales" count="0"/>
    <cacheHierarchy uniqueName="[Measures].[LY LFL Sales Cost VAT TRY]" caption="LY LFL Sales Cost VAT TRY" measure="1" displayFolder="04_LYLFL\TRY" measureGroup="Sales" count="0"/>
    <cacheHierarchy uniqueName="[Measures].[LY LFL Sales Cost TRY]" caption="LY LFL Sales Cost TRY" measure="1" displayFolder="04_LYLFL\TRY" measureGroup="Sales" count="0"/>
    <cacheHierarchy uniqueName="[Measures].[LY LFL ISP Sales Value VAT TRY]" caption="LY LFL ISP Sales Value VAT TRY" measure="1" displayFolder="04_LYLFL\TRY" measureGroup="Sales" count="0"/>
    <cacheHierarchy uniqueName="[Measures].[LY LFL ISP Sales Value TRY]" caption="LY LFL ISP Sales Value TRY" measure="1" displayFolder="04_LYLFL\TRY" measureGroup="Sales" count="0"/>
    <cacheHierarchy uniqueName="[Measures].[LY LFL Sales Discount Value VAT TRY]" caption="LY LFL Sales Discount Value VAT TRY" measure="1" displayFolder="04_LYLFL\TRY" measureGroup="Sales" count="0"/>
    <cacheHierarchy uniqueName="[Measures].[LY LFL Sales Discount Value TRY]" caption="LY LFL Sales Discount Value TRY" measure="1" displayFolder="04_LYLFL\TRY" measureGroup="Sales" count="0"/>
    <cacheHierarchy uniqueName="[Measures].[LY LFL Gross Invoice Count]" caption="LY LFL Gross Invoice Count" measure="1" displayFolder="04_LYLFL\_UNIT" measureGroup="Sales" count="0"/>
    <cacheHierarchy uniqueName="[Measures].[LY LFL Return Invoice Count]" caption="LY LFL Return Invoice Count" measure="1" displayFolder="04_LYLFL\_UNIT" measureGroup="Sales" count="0"/>
    <cacheHierarchy uniqueName="[Measures].[LY LFL Invoice Count]" caption="LY LFL Invoice Count" measure="1" displayFolder="04_LYLFL\_UNIT" measureGroup="Sales" count="0"/>
    <cacheHierarchy uniqueName="[Measures].[LY LFL Sales Value VAT USD]" caption="LY LFL Sales Value VAT USD" measure="1" displayFolder="04_LYLFL\USD" measureGroup="Sales" count="0"/>
    <cacheHierarchy uniqueName="[Measures].[LY LFL Sales Value USD]" caption="LY LFL Sales Value USD" measure="1" displayFolder="04_LYLFL\USD" measureGroup="Sales" count="0"/>
    <cacheHierarchy uniqueName="[Measures].[LY LFL Sales Cost VAT USD]" caption="LY LFL Sales Cost VAT USD" measure="1" displayFolder="04_LYLFL\USD" measureGroup="Sales" count="0"/>
    <cacheHierarchy uniqueName="[Measures].[LY LFL Sales Cost USD]" caption="LY LFL Sales Cost USD" measure="1" displayFolder="04_LYLFL\USD" measureGroup="Sales" count="0"/>
    <cacheHierarchy uniqueName="[Measures].[LY LFL ISP Sales Value VAT USD]" caption="LY LFL ISP Sales Value VAT USD" measure="1" displayFolder="04_LYLFL\USD" measureGroup="Sales" count="0"/>
    <cacheHierarchy uniqueName="[Measures].[LY LFL ISP Sales Value USD]" caption="LY LFL ISP Sales Value USD" measure="1" displayFolder="04_LYLFL\USD" measureGroup="Sales" count="0"/>
    <cacheHierarchy uniqueName="[Measures].[LY LFL Sales Discount Value VAT USD]" caption="LY LFL Sales Discount Value VAT USD" measure="1" displayFolder="04_LYLFL\USD" measureGroup="Sales" count="0"/>
    <cacheHierarchy uniqueName="[Measures].[LY LFL Sales Discount Value USD]" caption="LY LFL Sales Discount Value USD" measure="1" displayFolder="04_LYLFL\USD" measureGroup="Sales" count="0"/>
    <cacheHierarchy uniqueName="[Measures].[MinLflDate]" caption="MinLflDate" measure="1" displayFolder="00_INFO" measureGroup="Sales" count="0"/>
    <cacheHierarchy uniqueName="[Measures].[TY Unit Sales Price LC]" caption="TY Unit Sales Price LC" measure="1" displayFolder="01_TY\LC" measureGroup="Sales" count="0"/>
    <cacheHierarchy uniqueName="[Measures].[TY Unit Cost LC]" caption="TY Unit Cost LC" measure="1" displayFolder="01_TY\LC" measureGroup="Sales" count="0"/>
    <cacheHierarchy uniqueName="[Measures].[TY Unit ISP LC]" caption="TY Unit ISP LC" measure="1" displayFolder="01_TY\LC" measureGroup="Sales" count="0"/>
    <cacheHierarchy uniqueName="[Measures].[LY Unit Sales Price LC]" caption="LY Unit Sales Price LC" measure="1" displayFolder="03_LY\LC" measureGroup="Sales" count="0"/>
    <cacheHierarchy uniqueName="[Measures].[LY Unit Cost LC]" caption="LY Unit Cost LC" measure="1" displayFolder="03_LY\LC" measureGroup="Sales" count="0"/>
    <cacheHierarchy uniqueName="[Measures].[LY Unit ISP LC]" caption="LY Unit ISP LC" measure="1" displayFolder="03_LY\LC" measureGroup="Sales" count="0"/>
    <cacheHierarchy uniqueName="[Measures].[TY LFL Unit Sales Price LC]" caption="TY LFL Unit Sales Price LC" measure="1" displayFolder="02_TYLFL\LC" measureGroup="Sales" count="0"/>
    <cacheHierarchy uniqueName="[Measures].[TY LFL Unit Cost LC]" caption="TY LFL Unit Cost LC" measure="1" displayFolder="02_TYLFL\LC" measureGroup="Sales" count="0"/>
    <cacheHierarchy uniqueName="[Measures].[TY LFL Unit ISP LC]" caption="TY LFL Unit ISP LC" measure="1" displayFolder="02_TYLFL\LC" measureGroup="Sales" count="0"/>
    <cacheHierarchy uniqueName="[Measures].[LY LFL Unit Sales Price LC]" caption="LY LFL Unit Sales Price LC" measure="1" displayFolder="04_LYLFL\LC" measureGroup="Sales" count="0"/>
    <cacheHierarchy uniqueName="[Measures].[LY LFL Unit Cost LC]" caption="LY LFL Unit Cost LC" measure="1" displayFolder="04_LYLFL\LC" measureGroup="Sales" count="0"/>
    <cacheHierarchy uniqueName="[Measures].[LY LFL Unit ISP LC]" caption="LY LFL Unit ISP LC" measure="1" displayFolder="04_LYLFL\LC" measureGroup="Sales" count="0"/>
    <cacheHierarchy uniqueName="[Measures].[TY Unit Sales Price TRY]" caption="TY Unit Sales Price TRY" measure="1" displayFolder="01_TY\TRY" measureGroup="Sales" count="0"/>
    <cacheHierarchy uniqueName="[Measures].[TY Unit Cost TRY]" caption="TY Unit Cost TRY" measure="1" displayFolder="01_TY\TRY" measureGroup="Sales" count="0"/>
    <cacheHierarchy uniqueName="[Measures].[TY Unit ISP TRY]" caption="TY Unit ISP TRY" measure="1" displayFolder="01_TY\TRY" measureGroup="Sales" count="0"/>
    <cacheHierarchy uniqueName="[Measures].[LY Unit Sales Price TRY]" caption="LY Unit Sales Price TRY" measure="1" displayFolder="03_LY\TRY" measureGroup="Sales" count="0"/>
    <cacheHierarchy uniqueName="[Measures].[LY Unit Cost TRY]" caption="LY Unit Cost TRY" measure="1" displayFolder="03_LY\TRY" measureGroup="Sales" count="0"/>
    <cacheHierarchy uniqueName="[Measures].[LY Unit ISP TRY]" caption="LY Unit ISP TRY" measure="1" displayFolder="03_LY\TRY" measureGroup="Sales" count="0"/>
    <cacheHierarchy uniqueName="[Measures].[TY LFL Unit Sales Price TRY]" caption="TY LFL Unit Sales Price TRY" measure="1" displayFolder="02_TYLFL\TRY" measureGroup="Sales" count="0"/>
    <cacheHierarchy uniqueName="[Measures].[TY LFL Unit Cost TRY]" caption="TY LFL Unit Cost TRY" measure="1" displayFolder="02_TYLFL\TRY" measureGroup="Sales" count="0"/>
    <cacheHierarchy uniqueName="[Measures].[TY LFL Unit ISP TRY]" caption="TY LFL Unit ISP TRY" measure="1" displayFolder="02_TYLFL\TRY" measureGroup="Sales" count="0"/>
    <cacheHierarchy uniqueName="[Measures].[LY LFL Unit Sales Price TRY]" caption="LY LFL Unit Sales Price TRY" measure="1" displayFolder="04_LYLFL\TRY" measureGroup="Sales" count="0"/>
    <cacheHierarchy uniqueName="[Measures].[LY LFL Unit Cost TRY]" caption="LY LFL Unit Cost TRY" measure="1" displayFolder="04_LYLFL\TRY" measureGroup="Sales" count="0"/>
    <cacheHierarchy uniqueName="[Measures].[LY LFL Unit ISP TRY]" caption="LY LFL Unit ISP TRY" measure="1" displayFolder="04_LYLFL\TRY" measureGroup="Sales" count="0"/>
    <cacheHierarchy uniqueName="[Measures].[TY Unit Sales Price USD]" caption="TY Unit Sales Price USD" measure="1" displayFolder="01_TY\USD" measureGroup="Sales" count="0"/>
    <cacheHierarchy uniqueName="[Measures].[TY Unit Cost USD]" caption="TY Unit Cost USD" measure="1" displayFolder="01_TY\USD" measureGroup="Sales" count="0"/>
    <cacheHierarchy uniqueName="[Measures].[TY Unit ISP USD]" caption="TY Unit ISP USD" measure="1" displayFolder="01_TY\USD" measureGroup="Sales" count="0"/>
    <cacheHierarchy uniqueName="[Measures].[LY Unit Sales Price USD]" caption="LY Unit Sales Price USD" measure="1" displayFolder="03_LY\USD" measureGroup="Sales" count="0"/>
    <cacheHierarchy uniqueName="[Measures].[LY Unit Cost USD]" caption="LY Unit Cost USD" measure="1" displayFolder="03_LY\USD" measureGroup="Sales" count="0"/>
    <cacheHierarchy uniqueName="[Measures].[LY Unit ISP USD]" caption="LY Unit ISP USD" measure="1" displayFolder="03_LY\USD" measureGroup="Sales" count="0"/>
    <cacheHierarchy uniqueName="[Measures].[TY LFL Unit Sales Price USD]" caption="TY LFL Unit Sales Price USD" measure="1" displayFolder="02_TYLFL\USD" measureGroup="Sales" count="0"/>
    <cacheHierarchy uniqueName="[Measures].[TY LFL Unit Cost USD]" caption="TY LFL Unit Cost USD" measure="1" displayFolder="02_TYLFL\USD" measureGroup="Sales" count="0"/>
    <cacheHierarchy uniqueName="[Measures].[TY LFL Unit ISP USD]" caption="TY LFL Unit ISP USD" measure="1" displayFolder="02_TYLFL\USD" measureGroup="Sales" count="0"/>
    <cacheHierarchy uniqueName="[Measures].[LY LFL Unit Sales Price USD]" caption="LY LFL Unit Sales Price USD" measure="1" displayFolder="04_LYLFL\USD" measureGroup="Sales" count="0"/>
    <cacheHierarchy uniqueName="[Measures].[LY LFL Unit Cost USD]" caption="LY LFL Unit Cost USD" measure="1" displayFolder="04_LYLFL\USD" measureGroup="Sales" count="0"/>
    <cacheHierarchy uniqueName="[Measures].[LY LFL Unit ISP USD]" caption="LY LFL Unit ISP USD" measure="1" displayFolder="04_LYLFL\USD" measureGroup="Sales" count="0"/>
    <cacheHierarchy uniqueName="[Measures].[TY Gross Profit LC]" caption="TY Gross Profit LC" measure="1" displayFolder="01_TY\LC" measureGroup="Sales" count="0"/>
    <cacheHierarchy uniqueName="[Measures].[TY Gross Profit VAT LC]" caption="TY Gross Profit VAT LC" measure="1" displayFolder="01_TY\LC" measureGroup="Sales" count="0"/>
    <cacheHierarchy uniqueName="[Measures].[LY Gross Profit LC]" caption="LY Gross Profit LC" measure="1" displayFolder="03_LY\LC" measureGroup="Sales" count="0"/>
    <cacheHierarchy uniqueName="[Measures].[LY Gross Profit VAT LC]" caption="LY Gross Profit VAT LC" measure="1" displayFolder="03_LY\LC" measureGroup="Sales" count="0"/>
    <cacheHierarchy uniqueName="[Measures].[TY Gross Profit TRY]" caption="TY Gross Profit TRY" measure="1" displayFolder="01_TY\TRY" measureGroup="Sales" count="0"/>
    <cacheHierarchy uniqueName="[Measures].[TY Gross Profit VAT TRY]" caption="TY Gross Profit VAT TRY" measure="1" displayFolder="01_TY\TRY" measureGroup="Sales" count="0"/>
    <cacheHierarchy uniqueName="[Measures].[TY Gross Profit USD]" caption="TY Gross Profit USD" measure="1" displayFolder="01_TY\USD" measureGroup="Sales" count="0"/>
    <cacheHierarchy uniqueName="[Measures].[TY Gross Profit VAT USD]" caption="TY Gross Profit VAT USD" measure="1" displayFolder="01_TY\USD" measureGroup="Sales" count="0"/>
    <cacheHierarchy uniqueName="[Measures].[LY Gross Profit TRY]" caption="LY Gross Profit TRY" measure="1" displayFolder="03_LY\TRY" measureGroup="Sales" count="0"/>
    <cacheHierarchy uniqueName="[Measures].[LY Gross Profit VAT TRY]" caption="LY Gross Profit VAT TRY" measure="1" displayFolder="03_LY\TRY" measureGroup="Sales" count="0"/>
    <cacheHierarchy uniqueName="[Measures].[LY Gross Profit USD]" caption="LY Gross Profit USD" measure="1" displayFolder="03_LY\USD" measureGroup="Sales" count="0"/>
    <cacheHierarchy uniqueName="[Measures].[LY Gross Profit VAT USD]" caption="LY Gross Profit VAT USD" measure="1" displayFolder="03_LY\USD" measureGroup="Sales" count="0"/>
    <cacheHierarchy uniqueName="[Measures].[TY LFL Gross Profit LC]" caption="TY LFL Gross Profit LC" measure="1" displayFolder="02_TYLFL\LC" measureGroup="Sales" count="0"/>
    <cacheHierarchy uniqueName="[Measures].[TY LFL Gross Profit VAT LC]" caption="TY LFL Gross Profit VAT LC" measure="1" displayFolder="02_TYLFL\LC" measureGroup="Sales" count="0"/>
    <cacheHierarchy uniqueName="[Measures].[TY LFL Gross Profit TRY]" caption="TY LFL Gross Profit TRY" measure="1" displayFolder="02_TYLFL\TRY" measureGroup="Sales" count="0"/>
    <cacheHierarchy uniqueName="[Measures].[TY LFL Gross Profit VAT TRY]" caption="TY LFL Gross Profit VAT TRY" measure="1" displayFolder="02_TYLFL\TRY" measureGroup="Sales" count="0"/>
    <cacheHierarchy uniqueName="[Measures].[TY LFL Gross Profit USD]" caption="TY LFL Gross Profit USD" measure="1" displayFolder="02_TYLFL\USD" measureGroup="Sales" count="0"/>
    <cacheHierarchy uniqueName="[Measures].[TY LFL Gross Profit VAT USD]" caption="TY LFL Gross Profit VAT USD" measure="1" displayFolder="02_TYLFL\USD" measureGroup="Sales" count="0"/>
    <cacheHierarchy uniqueName="[Measures].[LY LFL Gross Profit LC]" caption="LY LFL Gross Profit LC" measure="1" displayFolder="04_LYLFL\LC" measureGroup="Sales" count="0"/>
    <cacheHierarchy uniqueName="[Measures].[LY LFL Gross Profit VAT LC]" caption="LY LFL Gross Profit VAT LC" measure="1" displayFolder="04_LYLFL\LC" measureGroup="Sales" count="0"/>
    <cacheHierarchy uniqueName="[Measures].[LY LFL Gross Profit TRY]" caption="LY LFL Gross Profit TRY" measure="1" displayFolder="04_LYLFL\TRY" measureGroup="Sales" count="0"/>
    <cacheHierarchy uniqueName="[Measures].[LY LFL Gross Profit VAT TRY]" caption="LY LFL Gross Profit VAT TRY" measure="1" displayFolder="04_LYLFL\TRY" measureGroup="Sales" count="0"/>
    <cacheHierarchy uniqueName="[Measures].[LY LFL Gross Profit USD]" caption="LY LFL Gross Profit USD" measure="1" displayFolder="04_LYLFL\USD" measureGroup="Sales" count="0"/>
    <cacheHierarchy uniqueName="[Measures].[LY LFL Gross Profit VAT USD]" caption="LY LFL Gross Profit VAT USD" measure="1" displayFolder="04_LYLFL\USD" measureGroup="Sales" count="0"/>
    <cacheHierarchy uniqueName="[Measures].[TY Unit ISP VAT LC]" caption="TY Unit ISP VAT LC" measure="1" displayFolder="01_TY\LC" measureGroup="Sales" count="0"/>
    <cacheHierarchy uniqueName="[Measures].[LY Unit ISP VAT LC]" caption="LY Unit ISP VAT LC" measure="1" displayFolder="03_LY\LC" measureGroup="Sales" count="0"/>
    <cacheHierarchy uniqueName="[Measures].[TY LFL Unit ISP VAT LC]" caption="TY LFL Unit ISP VAT LC" measure="1" displayFolder="02_TYLFL\LC" measureGroup="Sales" count="0"/>
    <cacheHierarchy uniqueName="[Measures].[LY LFL Unit ISP VAT LC]" caption="LY LFL Unit ISP VAT LC" measure="1" displayFolder="02_TYLFL\LC" measureGroup="Sales" count="0"/>
    <cacheHierarchy uniqueName="[Measures].[TY Unit ISP VAT TRY]" caption="TY Unit ISP VAT TRY" measure="1" displayFolder="01_TY\TRY" measureGroup="Sales" count="0"/>
    <cacheHierarchy uniqueName="[Measures].[LY Unit ISP VAT TRY]" caption="LY Unit ISP VAT TRY" measure="1" displayFolder="03_LY\TRY" measureGroup="Sales" count="0"/>
    <cacheHierarchy uniqueName="[Measures].[TY LFL Unit ISP VAT TRY]" caption="TY LFL Unit ISP VAT TRY" measure="1" displayFolder="02_TYLFL\TRY" measureGroup="Sales" count="0"/>
    <cacheHierarchy uniqueName="[Measures].[LY LFL Unit ISP VAT TRY]" caption="LY LFL Unit ISP VAT TRY" measure="1" displayFolder="04_LYLFL\TRY" measureGroup="Sales" count="0"/>
    <cacheHierarchy uniqueName="[Measures].[TY Unit ISP VAT USD]" caption="TY Unit ISP VAT USD" measure="1" displayFolder="01_TY\USD" measureGroup="Sales" count="0"/>
    <cacheHierarchy uniqueName="[Measures].[LY Unit ISP VAT USD]" caption="LY Unit ISP VAT USD" measure="1" displayFolder="03_LY\USD" measureGroup="Sales" count="0"/>
    <cacheHierarchy uniqueName="[Measures].[TY LFL Unit ISP VAT USD]" caption="TY LFL Unit ISP VAT USD" measure="1" displayFolder="02_TYLFL\USD" measureGroup="Sales" count="0"/>
    <cacheHierarchy uniqueName="[Measures].[LY LFL Unit ISP VAT USD]" caption="LY LFL Unit ISP VAT USD" measure="1" displayFolder="04_LYLFL\USD" measureGroup="Sales" count="0"/>
    <cacheHierarchy uniqueName="[Measures].[TY Target Sales Value LC]" caption="TY Target Sales Value LC" measure="1" displayFolder="01_TY\LC" measureGroup="Sales" count="0"/>
    <cacheHierarchy uniqueName="[Measures].[TY Target Sales Value TRY]" caption="TY Target Sales Value TRY" measure="1" displayFolder="01_TY\TRY" measureGroup="Sales" count="0"/>
    <cacheHierarchy uniqueName="[Measures].[TY Target Sales Value USD]" caption="TY Target Sales Value USD" measure="1" displayFolder="01_TY\USD" measureGroup="Sales" count="0"/>
    <cacheHierarchy uniqueName="[Measures].[LY Target Sales Value LC]" caption="LY Target Sales Value LC" measure="1" displayFolder="03_LY\LC" measureGroup="Sales" count="0"/>
    <cacheHierarchy uniqueName="[Measures].[LY Target Sales Value TRY]" caption="LY Target Sales Value TRY" measure="1" displayFolder="03_LY\TRY" measureGroup="Sales" count="0"/>
    <cacheHierarchy uniqueName="[Measures].[LY Target Sales Value USD]" caption="LY Target Sales Value USD" measure="1" displayFolder="03_LY\USD" measureGroup="Sales" count="0"/>
    <cacheHierarchy uniqueName="[Measures].[TY LFL Target Sales Value LC]" caption="TY LFL Target Sales Value LC" measure="1" displayFolder="02_TYLFL\LC" measureGroup="Sales" count="0"/>
    <cacheHierarchy uniqueName="[Measures].[TY LFL Target Sales Value TRY]" caption="TY LFL Target Sales Value TRY" measure="1" displayFolder="02_TYLFL\TRY" measureGroup="Sales" count="0"/>
    <cacheHierarchy uniqueName="[Measures].[TY LFL Target Sales Value USD]" caption="TY LFL Target Sales Value USD" measure="1" displayFolder="02_TYLFL\USD" measureGroup="Sales" count="0"/>
    <cacheHierarchy uniqueName="[Measures].[LY LFL Target Sales Value LC]" caption="LY LFL Target Sales Value LC" measure="1" displayFolder="04_LYLFL\LC" measureGroup="Sales" count="0"/>
    <cacheHierarchy uniqueName="[Measures].[LY LFL Target Sales Value TRY]" caption="LY LFL Target Sales Value TRY" measure="1" displayFolder="04_LYLFL\TRY" measureGroup="Sales" count="0"/>
    <cacheHierarchy uniqueName="[Measures].[LY LFL Target Sales Value USD]" caption="LY LFL Target Sales Value USD" measure="1" displayFolder="04_LYLFL\USD" measureGroup="Sales" count="0"/>
    <cacheHierarchy uniqueName="[Measures].[TY Sales Cost LC Forecast]" caption="TY Sales Cost LC Forecast" measure="1" displayFolder="01_TY\LC" measureGroup="Sales" count="0"/>
    <cacheHierarchy uniqueName="[Measures].[TY Gross Profit LC Forecast]" caption="TY Gross Profit LC Forecast" measure="1" displayFolder="01_TY\LC" measureGroup="Sales" count="0"/>
    <cacheHierarchy uniqueName="[Measures].[TY Gross Marjin LC% Forecast]" caption="TY Gross Marjin LC% Forecast" measure="1" displayFolder="01_TY\LC" measureGroup="Sales" count="0"/>
    <cacheHierarchy uniqueName="[Measures].[TY Sales Unit Dm3]" caption="TY Sales Unit Dm3" measure="1" displayFolder="01_TY\_VOLUME" measureGroup="Sales" count="0"/>
    <cacheHierarchy uniqueName="[Measures].[TY Sales Budget Unit]" caption="TY Sales Budget Unit" measure="1" displayFolder="TY\_UNIT" measureGroup="SalesBudget" count="0"/>
    <cacheHierarchy uniqueName="[Measures].[TY Sales Budget Value LC]" caption="TY Sales Budget Value LC" measure="1" displayFolder="TY\LC" measureGroup="SalesBudget" count="0"/>
    <cacheHierarchy uniqueName="[Measures].[TY Sales Budget Cost LC]" caption="TY Sales Budget Cost LC" measure="1" displayFolder="TY\LC" measureGroup="SalesBudget" count="0"/>
    <cacheHierarchy uniqueName="[Measures].[TY Sales Budget Profit Value LC]" caption="TY Sales Budget Profit Value LC" measure="1" displayFolder="TY\LC" measureGroup="SalesBudget" count="0"/>
    <cacheHierarchy uniqueName="[Measures].[Achieved TY Sales Budget Unit]" caption="Achieved TY Sales Budget Unit" measure="1" displayFolder="TY\_UNIT" measureGroup="SalesBudget" count="0"/>
    <cacheHierarchy uniqueName="[Measures].[Achieved TY Sales Budget Value LC]" caption="Achieved TY Sales Budget Value LC" measure="1" displayFolder="TY\LC" measureGroup="SalesBudget" count="0"/>
    <cacheHierarchy uniqueName="[Measures].[Achieved TY Sales Budget Cost LC]" caption="Achieved TY Sales Budget Cost LC" measure="1" displayFolder="TY\LC" measureGroup="SalesBudget" count="0"/>
    <cacheHierarchy uniqueName="[Measures].[Achieved TY Sales Budget Profit Value LC]" caption="Achieved TY Sales Budget Profit Value LC" measure="1" displayFolder="TY\LC" measureGroup="SalesBudget" count="0"/>
    <cacheHierarchy uniqueName="[Measures].[TY Budget Unit Gap]" caption="TY Budget Unit Gap" measure="1" displayFolder="TY\_UNIT" measureGroup="SalesBudget" count="0"/>
    <cacheHierarchy uniqueName="[Measures].[TY Sales Budget Value LC Gap]" caption="TY Sales Budget Value LC Gap" measure="1" displayFolder="TY\LC" measureGroup="SalesBudget" count="0"/>
    <cacheHierarchy uniqueName="[Measures].[TY Sales Budget Cost LC Gap]" caption="TY Sales Budget Cost LC Gap" measure="1" displayFolder="TY\LC" measureGroup="SalesBudget" count="0"/>
    <cacheHierarchy uniqueName="[Measures].[TY Sales Budget Profit Value LC Gap]" caption="TY Sales Budget Profit Value LC Gap" measure="1" displayFolder="TY\LC" measureGroup="SalesBudget" count="0"/>
    <cacheHierarchy uniqueName="[Measures].[TY Sales Budget Value TRY]" caption="TY Sales Budget Value TRY" measure="1" displayFolder="TY\TRY" measureGroup="SalesBudget" count="0"/>
    <cacheHierarchy uniqueName="[Measures].[TY Sales Budget Cost TRY]" caption="TY Sales Budget Cost TRY" measure="1" displayFolder="TY\TRY" measureGroup="SalesBudget" count="0"/>
    <cacheHierarchy uniqueName="[Measures].[TY Sales Budget Profit Value TRY]" caption="TY Sales Budget Profit Value TRY" measure="1" displayFolder="TY\TRY" measureGroup="SalesBudget" count="0"/>
    <cacheHierarchy uniqueName="[Measures].[TY Sales Budget Value USD]" caption="TY Sales Budget Value USD" measure="1" displayFolder="TY\USD" measureGroup="SalesBudget" count="0"/>
    <cacheHierarchy uniqueName="[Measures].[TY Sales Budget Cost USD]" caption="TY Sales Budget Cost USD" measure="1" displayFolder="TY\USD" measureGroup="SalesBudget" count="0"/>
    <cacheHierarchy uniqueName="[Measures].[Achieved TY Sales Budget Value TRY]" caption="Achieved TY Sales Budget Value TRY" measure="1" displayFolder="TY\TRY" measureGroup="SalesBudget" count="0"/>
    <cacheHierarchy uniqueName="[Measures].[Achieved TY Sales Budget Cost TRY]" caption="Achieved TY Sales Budget Cost TRY" measure="1" displayFolder="TY\TRY" measureGroup="SalesBudget" count="0"/>
    <cacheHierarchy uniqueName="[Measures].[Achieved TY Sales Budget Profit Value TRY]" caption="Achieved TY Sales Budget Profit Value TRY" measure="1" displayFolder="TY\TRY" measureGroup="SalesBudget" count="0"/>
    <cacheHierarchy uniqueName="[Measures].[Achieved TY Sales Budget Value USD]" caption="Achieved TY Sales Budget Value USD" measure="1" displayFolder="TY\USD" measureGroup="SalesBudget" count="0"/>
    <cacheHierarchy uniqueName="[Measures].[TY Sales Budget Profit Value USD]" caption="TY Sales Budget Profit Value USD" measure="1" displayFolder="TY\USD" measureGroup="SalesBudget" count="0"/>
    <cacheHierarchy uniqueName="[Measures].[Achieved TY Sales Budget Cost USD]" caption="Achieved TY Sales Budget Cost USD" measure="1" displayFolder="TY\USD" measureGroup="SalesBudget" count="0"/>
    <cacheHierarchy uniqueName="[Measures].[TY Sales Budget Value TRY Gap]" caption="TY Sales Budget Value TRY Gap" measure="1" displayFolder="TY\TRY" measureGroup="SalesBudget" count="0"/>
    <cacheHierarchy uniqueName="[Measures].[TY Sales Budget Cost TRY Gap]" caption="TY Sales Budget Cost TRY Gap" measure="1" displayFolder="TY\TRY" measureGroup="SalesBudget" count="0"/>
    <cacheHierarchy uniqueName="[Measures].[TY Sales Budget Profit Value TRY Gap]" caption="TY Sales Budget Profit Value TRY Gap" measure="1" displayFolder="TY\TRY" measureGroup="SalesBudget" count="0"/>
    <cacheHierarchy uniqueName="[Measures].[Achieved TY Sales Budget Profit Value USD]" caption="Achieved TY Sales Budget Profit Value USD" measure="1" displayFolder="TY\USD" measureGroup="SalesBudget" count="0"/>
    <cacheHierarchy uniqueName="[Measures].[TY Sales Budget Value USD Gap]" caption="TY Sales Budget Value USD Gap" measure="1" displayFolder="TY\USD" measureGroup="SalesBudget" count="0"/>
    <cacheHierarchy uniqueName="[Measures].[TY Sales Budget Cost USD Gap]" caption="TY Sales Budget Cost USD Gap" measure="1" displayFolder="TY\USD" measureGroup="SalesBudget" count="0"/>
    <cacheHierarchy uniqueName="[Measures].[TY Sales Budget Profit Value USD Gap]" caption="TY Sales Budget Profit Value USD Gap" measure="1" displayFolder="TY\USD" measureGroup="SalesBudget" count="0"/>
    <cacheHierarchy uniqueName="[Measures].[LY Sales Budget Unit]" caption="LY Sales Budget Unit" measure="1" displayFolder="LY\_UNIT" measureGroup="SalesBudget" count="0"/>
    <cacheHierarchy uniqueName="[Measures].[Achieved LY Sales Budget Unit]" caption="Achieved LY Sales Budget Unit" measure="1" displayFolder="LY\_UNIT" measureGroup="SalesBudget" count="0"/>
    <cacheHierarchy uniqueName="[Measures].[LY Budget Unit Gap]" caption="LY Budget Unit Gap" measure="1" displayFolder="LY\_UNIT" measureGroup="SalesBudget" count="0"/>
    <cacheHierarchy uniqueName="[Measures].[LY Sales Budget Value LC]" caption="LY Sales Budget Value LC" measure="1" displayFolder="LY\LC" measureGroup="SalesBudget" count="0"/>
    <cacheHierarchy uniqueName="[Measures].[LY Sales Budget Cost LC]" caption="LY Sales Budget Cost LC" measure="1" displayFolder="LY\LC" measureGroup="SalesBudget" count="0"/>
    <cacheHierarchy uniqueName="[Measures].[LY Sales Budget Profit Value LC]" caption="LY Sales Budget Profit Value LC" measure="1" displayFolder="LY\LC" measureGroup="SalesBudget" count="0"/>
    <cacheHierarchy uniqueName="[Measures].[Achieved LY Sales Budget Value LC]" caption="Achieved LY Sales Budget Value LC" measure="1" displayFolder="LY\LC" measureGroup="SalesBudget" count="0"/>
    <cacheHierarchy uniqueName="[Measures].[Achieved LY Sales Budget Cost LC]" caption="Achieved LY Sales Budget Cost LC" measure="1" displayFolder="LY\LC" measureGroup="SalesBudget" count="0"/>
    <cacheHierarchy uniqueName="[Measures].[Achieved LY Sales Budget Profit Value LC]" caption="Achieved LY Sales Budget Profit Value LC" measure="1" displayFolder="LY\LC" measureGroup="SalesBudget" count="0"/>
    <cacheHierarchy uniqueName="[Measures].[LY Sales Budget Value LC Gap]" caption="LY Sales Budget Value LC Gap" measure="1" displayFolder="LY\LC" measureGroup="SalesBudget" count="0"/>
    <cacheHierarchy uniqueName="[Measures].[LY Sales Budget Cost LC Gap]" caption="LY Sales Budget Cost LC Gap" measure="1" displayFolder="LY\LC" measureGroup="SalesBudget" count="0"/>
    <cacheHierarchy uniqueName="[Measures].[LY Sales Budget Profit Value LC Gap]" caption="LY Sales Budget Profit Value LC Gap" measure="1" displayFolder="LY\LC" measureGroup="SalesBudget" count="0"/>
    <cacheHierarchy uniqueName="[Measures].[LY Sales Budget Value TRY]" caption="LY Sales Budget Value TRY" measure="1" displayFolder="LY\TRY" measureGroup="SalesBudget" count="0"/>
    <cacheHierarchy uniqueName="[Measures].[LY Sales Budget Cost TRY]" caption="LY Sales Budget Cost TRY" measure="1" displayFolder="LY\TRY" measureGroup="SalesBudget" count="0"/>
    <cacheHierarchy uniqueName="[Measures].[LY Sales Budget Profit Value TRY]" caption="LY Sales Budget Profit Value TRY" measure="1" displayFolder="LY\TRY" measureGroup="SalesBudget" count="0"/>
    <cacheHierarchy uniqueName="[Measures].[LY Sales Budget Value USD]" caption="LY Sales Budget Value USD" measure="1" displayFolder="LY\USD" measureGroup="SalesBudget" count="0"/>
    <cacheHierarchy uniqueName="[Measures].[LY Sales Budget Cost USD]" caption="LY Sales Budget Cost USD" measure="1" displayFolder="LY\USD" measureGroup="SalesBudget" count="0"/>
    <cacheHierarchy uniqueName="[Measures].[Achieved LY Sales Budget Value TRY]" caption="Achieved LY Sales Budget Value TRY" measure="1" displayFolder="LY\TRY" measureGroup="SalesBudget" count="0"/>
    <cacheHierarchy uniqueName="[Measures].[Achieved LY Sales Budget Cost TRY]" caption="Achieved LY Sales Budget Cost TRY" measure="1" displayFolder="LY\TRY" measureGroup="SalesBudget" count="0"/>
    <cacheHierarchy uniqueName="[Measures].[Achieved LY Sales Budget Profit Value TRY]" caption="Achieved LY Sales Budget Profit Value TRY" measure="1" displayFolder="LY\TRY" measureGroup="SalesBudget" count="0"/>
    <cacheHierarchy uniqueName="[Measures].[Achieved LY Sales Budget Value USD]" caption="Achieved LY Sales Budget Value USD" measure="1" displayFolder="LY\USD" measureGroup="SalesBudget" count="0"/>
    <cacheHierarchy uniqueName="[Measures].[LY Sales Budget Profit Value USD]" caption="LY Sales Budget Profit Value USD" measure="1" displayFolder="LY\USD" measureGroup="SalesBudget" count="0"/>
    <cacheHierarchy uniqueName="[Measures].[Achieved LY Sales Budget Cost USD]" caption="Achieved LY Sales Budget Cost USD" measure="1" displayFolder="LY\USD" measureGroup="SalesBudget" count="0"/>
    <cacheHierarchy uniqueName="[Measures].[LY Sales Budget Value TRY Gap]" caption="LY Sales Budget Value TRY Gap" measure="1" displayFolder="LY\TRY" measureGroup="SalesBudget" count="0"/>
    <cacheHierarchy uniqueName="[Measures].[LY Sales Budget Cost TRY Gap]" caption="LY Sales Budget Cost TRY Gap" measure="1" displayFolder="LY\TRY" measureGroup="SalesBudget" count="0"/>
    <cacheHierarchy uniqueName="[Measures].[LY Sales Budget Profit Value TRY Gap]" caption="LY Sales Budget Profit Value TRY Gap" measure="1" displayFolder="LY\TRY" measureGroup="SalesBudget" count="0"/>
    <cacheHierarchy uniqueName="[Measures].[Achieved LY Sales Budget Profit Value USD]" caption="Achieved LY Sales Budget Profit Value USD" measure="1" displayFolder="LY\USD" measureGroup="SalesBudget" count="0"/>
    <cacheHierarchy uniqueName="[Measures].[LY Sales Budget Value USD Gap]" caption="LY Sales Budget Value USD Gap" measure="1" displayFolder="LY\USD" measureGroup="SalesBudget" count="0"/>
    <cacheHierarchy uniqueName="[Measures].[LY Sales Budget Cost USD Gap]" caption="LY Sales Budget Cost USD Gap" measure="1" displayFolder="LY\USD" measureGroup="SalesBudget" count="0"/>
    <cacheHierarchy uniqueName="[Measures].[LY Sales Budget Profit Value USD Gap]" caption="LY Sales Budget Profit Value USD Gap" measure="1" displayFolder="LY\USD" measureGroup="SalesBudget" count="0"/>
    <cacheHierarchy uniqueName="[Measures].[TY Sales Budget Gross Marjin TRY%]" caption="TY Sales Budget Gross Marjin TRY%" measure="1" displayFolder="TY\TRY" measureGroup="SalesBudget" count="0"/>
    <cacheHierarchy uniqueName="[Measures].[TY Sales Budget Gross _x0009_Marjin LC%]" caption="TY Sales Budget Gross _x0009_Marjin LC%" measure="1" displayFolder="TY\LC" measureGroup="SalesBudget" count="0"/>
    <cacheHierarchy uniqueName="[Measures].[TY Sales Budget Gross Marjin USD%]" caption="TY Sales Budget Gross Marjin USD%" measure="1" displayFolder="TY\USD" measureGroup="SalesBudget" count="0"/>
    <cacheHierarchy uniqueName="[Measures].[TY Gross Marjin TRY%]" caption="TY Gross Marjin TRY%" measure="1" displayFolder="01_TY\TRY" measureGroup="KPI" count="0"/>
    <cacheHierarchy uniqueName="[Measures].[TY Gross Marjin LC%]" caption="TY Gross Marjin LC%" measure="1" displayFolder="01_TY\LC" measureGroup="KPI" count="0" oneField="1">
      <fieldsUsage count="1">
        <fieldUsage x="25"/>
      </fieldsUsage>
    </cacheHierarchy>
    <cacheHierarchy uniqueName="[Measures].[TY Gross Marjin USD%]" caption="TY Gross Marjin USD%" measure="1" displayFolder="01_TY\USD" measureGroup="KPI" count="0"/>
    <cacheHierarchy uniqueName="[Measures].[LY Gross Marjin LC%]" caption="LY Gross Marjin LC%" measure="1" displayFolder="03_LY\LC" measureGroup="KPI" count="0"/>
    <cacheHierarchy uniqueName="[Measures].[LY Gross Marjin TRY%]" caption="LY Gross Marjin TRY%" measure="1" displayFolder="03_LY\TRY" measureGroup="KPI" count="0"/>
    <cacheHierarchy uniqueName="[Measures].[LY Gross Marjin USD%]" caption="LY Gross Marjin USD%" measure="1" displayFolder="03_LY\USD" measureGroup="KPI" count="0"/>
    <cacheHierarchy uniqueName="[Measures].[TY LFL Gross Marjin LC%]" caption="TY LFL Gross Marjin LC%" measure="1" displayFolder="02_TYLFL\LC" measureGroup="KPI" count="0"/>
    <cacheHierarchy uniqueName="[Measures].[TY LFL Gross Marjin TRY%]" caption="TY LFL Gross Marjin TRY%" measure="1" displayFolder="02_TYLFL\TRY" measureGroup="KPI" count="0"/>
    <cacheHierarchy uniqueName="[Measures].[TY LFL Gross Marjin USD%]" caption="TY LFL Gross Marjin USD%" measure="1" displayFolder="02_TYLFL\USD" measureGroup="KPI" count="0"/>
    <cacheHierarchy uniqueName="[Measures].[LY LFL Gross Marjin LC%]" caption="LY LFL Gross Marjin LC%" measure="1" displayFolder="04_LYLFL\LC" measureGroup="KPI" count="0"/>
    <cacheHierarchy uniqueName="[Measures].[LY LFL Gross Marjin TRY%]" caption="LY LFL Gross Marjin TRY%" measure="1" displayFolder="04_LYLFL\TRY" measureGroup="KPI" count="0"/>
    <cacheHierarchy uniqueName="[Measures].[LY LFL Gross Marjin USD%]" caption="LY LFL Gross Marjin USD%" measure="1" displayFolder="04_LYLFL\USD" measureGroup="KPI" count="0"/>
    <cacheHierarchy uniqueName="[Measures].[TY Store Back Cover LC]" caption="TY Store Back Cover LC" measure="1" displayFolder="01_TY\LC" measureGroup="KPI" count="0"/>
    <cacheHierarchy uniqueName="[Measures].[TY Store Back Cover Unit]" caption="TY Store Back Cover Unit" measure="1" displayFolder="01_TY\UNIT" measureGroup="KPI" count="0"/>
    <cacheHierarchy uniqueName="[Measures].[TY Store Turnover Unit]" caption="TY Store Turnover Unit" measure="1" displayFolder="01_TY\_UNIT" measureGroup="KPI" count="0"/>
    <cacheHierarchy uniqueName="[Measures].[TY Store Turnover  LC]" caption="TY Store Turnover  LC" measure="1" displayFolder="01_TY\LC" measureGroup="KPI" count="0"/>
    <cacheHierarchy uniqueName="[Measures].[TY Store Turnover TRY]" caption="TY Store Turnover TRY" measure="1" displayFolder="01_TY\TRY" measureGroup="KPI" count="0"/>
    <cacheHierarchy uniqueName="[Measures].[TY Store Turnover USD]" caption="TY Store Turnover USD" measure="1" displayFolder="01_TY\USD" measureGroup="KPI" count="0"/>
    <cacheHierarchy uniqueName="[Measures].[TY Actual MarkDown LC%]" caption="TY Actual MarkDown LC%" measure="1" displayFolder="01_TY\LC" measureGroup="KPI" count="0"/>
    <cacheHierarchy uniqueName="[Measures].[TY Actual MarkDown TRY%]" caption="TY Actual MarkDown TRY%" measure="1" displayFolder="01_TY\TRY" measureGroup="KPI" count="0"/>
    <cacheHierarchy uniqueName="[Measures].[TY Actual MarkDown USD%]" caption="TY Actual MarkDown USD%" measure="1" displayFolder="01_TY\USD" measureGroup="KPI" count="0"/>
    <cacheHierarchy uniqueName="[Measures].[TY Store Back Cover TRY]" caption="TY Store Back Cover TRY" measure="1" displayFolder="01_TY\TRY" measureGroup="KPI" count="0"/>
    <cacheHierarchy uniqueName="[Measures].[TY Store Back Cover USD]" caption="TY Store Back Cover USD" measure="1" displayFolder="01_TY\USD" measureGroup="KPI" count="0"/>
    <cacheHierarchy uniqueName="[Measures].[TY LFL Store Back Cover Unit]" caption="TY LFL Store Back Cover Unit" measure="1" displayFolder="02_TYLFL\_UNIT" measureGroup="KPI" count="0"/>
    <cacheHierarchy uniqueName="[Measures].[LY Store Turnover Unit]" caption="LY Store Turnover Unit" measure="1" displayFolder="03_LY\_UNIT" measureGroup="KPI" count="0"/>
    <cacheHierarchy uniqueName="[Measures].[LY Store Turnover  LC]" caption="LY Store Turnover  LC" measure="1" displayFolder="03_LY\LC" measureGroup="KPI" count="0"/>
    <cacheHierarchy uniqueName="[Measures].[LY Store Turnover TRY]" caption="LY Store Turnover TRY" measure="1" displayFolder="03_LY\TRY" measureGroup="KPI" count="0"/>
    <cacheHierarchy uniqueName="[Measures].[LY Store Turnover USD]" caption="LY Store Turnover USD" measure="1" displayFolder="03_LY\USD" measureGroup="KPI" count="0"/>
    <cacheHierarchy uniqueName="[Measures].[TY LFL Store Turnover Unit]" caption="TY LFL Store Turnover Unit" measure="1" displayFolder="02_TYLFL\_UNIT" measureGroup="KPI" count="0"/>
    <cacheHierarchy uniqueName="[Measures].[TY LFL Store Turnover  LC]" caption="TY LFL Store Turnover  LC" measure="1" displayFolder="02_TYLFL\LC" measureGroup="KPI" count="0"/>
    <cacheHierarchy uniqueName="[Measures].[TY LFL Store Turnover TRY]" caption="TY LFL Store Turnover TRY" measure="1" displayFolder="02_TYLFL\TRY" measureGroup="KPI" count="0"/>
    <cacheHierarchy uniqueName="[Measures].[TY LFL Store Turnover USD]" caption="TY LFL Store Turnover USD" measure="1" displayFolder="02_TYLFL\USD" measureGroup="KPI" count="0"/>
    <cacheHierarchy uniqueName="[Measures].[LY LFL Store Turnover Unit]" caption="LY LFL Store Turnover Unit" measure="1" displayFolder="04_LYLFL\_UNIT" measureGroup="KPI" count="0"/>
    <cacheHierarchy uniqueName="[Measures].[LY LFL Store Turnover  LC]" caption="LY LFL Store Turnover  LC" measure="1" displayFolder="04_LYLFL\LC" measureGroup="KPI" count="0"/>
    <cacheHierarchy uniqueName="[Measures].[LY LFL Store Turnover TRY]" caption="LY LFL Store Turnover TRY" measure="1" displayFolder="04_LYLFL\TRY" measureGroup="KPI" count="0"/>
    <cacheHierarchy uniqueName="[Measures].[LY LFL Store Turnover USD]" caption="LY LFL Store Turnover USD" measure="1" displayFolder="04_LYLFL\USD" measureGroup="KPI" count="0"/>
    <cacheHierarchy uniqueName="[Measures].[TY Actual MarkUp LC]" caption="TY Actual MarkUp LC" measure="1" displayFolder="01_TY\LC" measureGroup="KPI" count="0"/>
    <cacheHierarchy uniqueName="[Measures].[TY Actual MarkUp TRY]" caption="TY Actual MarkUp TRY" measure="1" displayFolder="01_TY\TRY" measureGroup="KPI" count="0"/>
    <cacheHierarchy uniqueName="[Measures].[TY Actual MarkUp USD]" caption="TY Actual MarkUp USD" measure="1" displayFolder="01_TY\USD" measureGroup="KPI" count="0"/>
    <cacheHierarchy uniqueName="[Measures].[LY Actual MarkUp LC]" caption="LY Actual MarkUp LC" measure="1" displayFolder="03_LY\LC" measureGroup="KPI" count="0"/>
    <cacheHierarchy uniqueName="[Measures].[LY Actual MarkUp TRY]" caption="LY Actual MarkUp TRY" measure="1" displayFolder="03_LY\TRY" measureGroup="KPI" count="0"/>
    <cacheHierarchy uniqueName="[Measures].[LY Actual MarkUp USD]" caption="LY Actual MarkUp USD" measure="1" displayFolder="03_LY\USD" measureGroup="KPI" count="0"/>
    <cacheHierarchy uniqueName="[Measures].[TY LFL Actual MarkUp LC]" caption="TY LFL Actual MarkUp LC" measure="1" displayFolder="02_TYLFL\LC" measureGroup="KPI" count="0"/>
    <cacheHierarchy uniqueName="[Measures].[TY LFL Actual MarkUp TRY]" caption="TY LFL Actual MarkUp TRY" measure="1" displayFolder="02_TYLFL\TRY" measureGroup="KPI" count="0"/>
    <cacheHierarchy uniqueName="[Measures].[TY LFL Actual MarkUp USD]" caption="TY LFL Actual MarkUp USD" measure="1" displayFolder="02_TYLFL\USD" measureGroup="KPI" count="0"/>
    <cacheHierarchy uniqueName="[Measures].[LY LFL Actual MarkUp LC]" caption="LY LFL Actual MarkUp LC" measure="1" displayFolder="04_LYLFL\LC" measureGroup="KPI" count="0"/>
    <cacheHierarchy uniqueName="[Measures].[LY LFL Actual MarkUp TRY]" caption="LY LFL Actual MarkUp TRY" measure="1" displayFolder="04_LYLFL\TRY" measureGroup="KPI" count="0"/>
    <cacheHierarchy uniqueName="[Measures].[LY LFL Actual MarkUp USD]" caption="LY LFL Actual MarkUp USD" measure="1" displayFolder="04_LYLFL\USD" measureGroup="KPI" count="0"/>
    <cacheHierarchy uniqueName="[Measures].[LY Store Back Cover Unit]" caption="LY Store Back Cover Unit" measure="1" displayFolder="03_LY\_UNIT" measureGroup="KPI" count="0"/>
    <cacheHierarchy uniqueName="[Measures].[LY LFL Store Back Cover Unit]" caption="LY LFL Store Back Cover Unit" measure="1" displayFolder="04_LYLFL\_UNIT" measureGroup="KPI" count="0"/>
    <cacheHierarchy uniqueName="[Measures].[TY Conversion Rate]" caption="TY Conversion Rate" measure="1" displayFolder="01_TY\_UNIT" measureGroup="KPI" count="0"/>
    <cacheHierarchy uniqueName="[Measures].[LY Conversion Rate]" caption="LY Conversion Rate" measure="1" displayFolder="03_LY\_UNIT" measureGroup="KPI" count="0"/>
    <cacheHierarchy uniqueName="[Measures].[TY LFL Conversion Rate]" caption="TY LFL Conversion Rate" measure="1" displayFolder="02_TYLFL\_UNIT" measureGroup="KPI" count="0"/>
    <cacheHierarchy uniqueName="[Measures].[LY LFL Conversion Rate]" caption="LY LFL Conversion Rate" measure="1" displayFolder="04_LYLFL\_UNIT" measureGroup="KPI" count="0"/>
    <cacheHierarchy uniqueName="[Measures].[TY MerchYearWeekCount]" caption="TY MerchYearWeekCount" measure="1" displayFolder="00_INFO" measureGroup="KPI" count="0"/>
    <cacheHierarchy uniqueName="[Measures].[LY MerchYearWeekCount]" caption="LY MerchYearWeekCount" measure="1" displayFolder="00_INFO" measureGroup="KPI" count="0"/>
    <cacheHierarchy uniqueName="[Measures].[LY Store Back Cover LC]" caption="LY Store Back Cover LC" measure="1" displayFolder="03_LY\LC" measureGroup="KPI" count="0"/>
    <cacheHierarchy uniqueName="[Measures].[LY Store Back Cover TRY]" caption="LY Store Back Cover TRY" measure="1" displayFolder="03_LY\TRY" measureGroup="KPI" count="0"/>
    <cacheHierarchy uniqueName="[Measures].[LY Store Back Cover USD]" caption="LY Store Back Cover USD" measure="1" displayFolder="03_LY\USD" measureGroup="KPI" count="0"/>
    <cacheHierarchy uniqueName="[Measures].[TY LFL Store Back Cover LC]" caption="TY LFL Store Back Cover LC" measure="1" displayFolder="02_TYLFL\LC" measureGroup="KPI" count="0"/>
    <cacheHierarchy uniqueName="[Measures].[TYLFL MerchYearWeekCount]" caption="TYLFL MerchYearWeekCount" measure="1" displayFolder="00_INFO" measureGroup="KPI" count="0"/>
    <cacheHierarchy uniqueName="[Measures].[LYLFL MerchYearWeekCount]" caption="LYLFL MerchYearWeekCount" measure="1" displayFolder="00_INFO" measureGroup="KPI" count="0"/>
    <cacheHierarchy uniqueName="[Measures].[Sales Value TYvsLY LC%]" caption="Sales Value TYvsLY LC%" measure="1" displayFolder="01_TY\LC" measureGroup="KPI" count="0"/>
    <cacheHierarchy uniqueName="[Measures].[Sales Value TYvsLY TRY%]" caption="Sales Value TYvsLY TRY%" measure="1" displayFolder="01_TY\TRY" measureGroup="KPI" count="0"/>
    <cacheHierarchy uniqueName="[Measures].[Sales Value TYvsLY USD%]" caption="Sales Value TYvsLY USD%" measure="1" displayFolder="01_TY\USD" measureGroup="KPI" count="0"/>
    <cacheHierarchy uniqueName="[Measures].[Sales Unit TYvsLY%]" caption="Sales Unit TYvsLY%" measure="1" displayFolder="01_TY\_UNIT" measureGroup="KPI" count="0"/>
    <cacheHierarchy uniqueName="[Measures].[LFL Sales Unit TYvsLY%]" caption="LFL Sales Unit TYvsLY%" measure="1" displayFolder="02_TYLFL\_UNIT" measureGroup="KPI" count="0"/>
    <cacheHierarchy uniqueName="[Measures].[LFL Sales Value TYvsLY LC%]" caption="LFL Sales Value TYvsLY LC%" measure="1" displayFolder="02_TYLFL\LC" measureGroup="KPI" count="0"/>
    <cacheHierarchy uniqueName="[Measures].[LFL Sales Value TYvsLY TRY%]" caption="LFL Sales Value TYvsLY TRY%" measure="1" displayFolder="02_TYLFL\TRY" measureGroup="KPI" count="0"/>
    <cacheHierarchy uniqueName="[Measures].[LFL Sales Value TYvsLY USD%]" caption="LFL Sales Value TYvsLY USD%" measure="1" displayFolder="02_TYLFL\USD" measureGroup="KPI" count="0"/>
    <cacheHierarchy uniqueName="[Measures].[Store Stock Unit TYvsLY%]" caption="Store Stock Unit TYvsLY%" measure="1" displayFolder="01_TY\_UNIT" measureGroup="KPI" count="0"/>
    <cacheHierarchy uniqueName="[Measures].[Store Stock Cost TYvsLY LC%]" caption="Store Stock Cost TYvsLY LC%" measure="1" displayFolder="01_TY\LC" measureGroup="KPI" count="0"/>
    <cacheHierarchy uniqueName="[Measures].[Store Stock Cost TYvsLY TRY%]" caption="Store Stock Cost TYvsLY TRY%" measure="1" displayFolder="01_TY\TRY" measureGroup="KPI" count="0"/>
    <cacheHierarchy uniqueName="[Measures].[Store Stock Cost TYvsLY USD%]" caption="Store Stock Cost TYvsLY USD%" measure="1" displayFolder="01_TY\USD" measureGroup="KPI" count="0"/>
    <cacheHierarchy uniqueName="[Measures].[LFL Store Stock Unit TYvsLY%]" caption="LFL Store Stock Unit TYvsLY%" measure="1" displayFolder="02_TYLFL\_UNIT" measureGroup="KPI" count="0"/>
    <cacheHierarchy uniqueName="[Measures].[LFL Store Stock Cost TYvsLY LC%]" caption="LFL Store Stock Cost TYvsLY LC%" measure="1" displayFolder="02_TYLFL\LC" measureGroup="KPI" count="0"/>
    <cacheHierarchy uniqueName="[Measures].[LFL Stock Cost TYvsLY TRY%]" caption="LFL Stock Cost TYvsLY TRY%" measure="1" displayFolder="02_TYLFL\TRY" measureGroup="KPI" count="0"/>
    <cacheHierarchy uniqueName="[Measures].[LFL Store Stock Cost TYvsLY USD%]" caption="LFL Store Stock Cost TYvsLY USD%" measure="1" displayFolder="02_TYLFL\USD" measureGroup="KPI" count="0"/>
    <cacheHierarchy uniqueName="[Measures].[Unit Sales Price TYvsLY LC%]" caption="Unit Sales Price TYvsLY LC%" measure="1" displayFolder="01_TY\LC" measureGroup="KPI" count="0"/>
    <cacheHierarchy uniqueName="[Measures].[Unit Sales Price TYvsLY TRY%]" caption="Unit Sales Price TYvsLY TRY%" measure="1" displayFolder="01_TY\TRY" measureGroup="KPI" count="0"/>
    <cacheHierarchy uniqueName="[Measures].[Unit Sales Price TYvsLY USD%]" caption="Unit Sales Price TYvsLY USD%" measure="1" displayFolder="01_TY\USD" measureGroup="KPI" count="0"/>
    <cacheHierarchy uniqueName="[Measures].[LFL Unit Sales Price TYvsLY LC%]" caption="LFL Unit Sales Price TYvsLY LC%" measure="1" displayFolder="02_TYLFL\LC" measureGroup="KPI" count="0"/>
    <cacheHierarchy uniqueName="[Measures].[LFL Unit Sales Price TYvsLY TRY%]" caption="LFL Unit Sales Price TYvsLY TRY%" measure="1" displayFolder="02_TYLFL\TRY" measureGroup="KPI" count="0"/>
    <cacheHierarchy uniqueName="[Measures].[LFL Unit Sales Price TYvsLY USD%]" caption="LFL Unit Sales Price TYvsLY USD%" measure="1" displayFolder="02_TYLFL\USD" measureGroup="KPI" count="0"/>
    <cacheHierarchy uniqueName="[Measures].[Unit Cost TYvsLY LC%]" caption="Unit Cost TYvsLY LC%" measure="1" displayFolder="01_TY\LC" measureGroup="KPI" count="0"/>
    <cacheHierarchy uniqueName="[Measures].[Unit Cost TYvsLY TRY%]" caption="Unit Cost TYvsLY TRY%" measure="1" displayFolder="01_TY\TRY" measureGroup="KPI" count="0"/>
    <cacheHierarchy uniqueName="[Measures].[Unit Cost TYvsLY USD%]" caption="Unit Cost TYvsLY USD%" measure="1" displayFolder="01_TY\USD" measureGroup="KPI" count="0"/>
    <cacheHierarchy uniqueName="[Measures].[LFL Unit Cost TYvsLY LC%]" caption="LFL Unit Cost TYvsLY LC%" measure="1" displayFolder="02_TYLFL\LC" measureGroup="KPI" count="0"/>
    <cacheHierarchy uniqueName="[Measures].[LFL Unit Cost TYvsLY TRY%]" caption="LFL Unit Cost TYvsLY TRY%" measure="1" displayFolder="02_TYLFL\TRY" measureGroup="KPI" count="0"/>
    <cacheHierarchy uniqueName="[Measures].[LFL Unit Cost TYvsLY USD%]" caption="LFL Unit Cost TYvsLY USD%" measure="1" displayFolder="02_TYLFL\USD" measureGroup="KPI" count="0"/>
    <cacheHierarchy uniqueName="[Measures].[Unit ISP TYvsLY LC%]" caption="Unit ISP TYvsLY LC%" measure="1" displayFolder="01_TY\LC" measureGroup="KPI" count="0"/>
    <cacheHierarchy uniqueName="[Measures].[Unit ISP TYvsLY TRY%]" caption="Unit ISP TYvsLY TRY%" measure="1" displayFolder="01_TY\TRY" measureGroup="KPI" count="0"/>
    <cacheHierarchy uniqueName="[Measures].[Unit ISP TYvsLY USD%]" caption="Unit ISP TYvsLY USD%" measure="1" displayFolder="01_TY\USD" measureGroup="KPI" count="0"/>
    <cacheHierarchy uniqueName="[Measures].[LFL Unit ISP TYvsLY LC%]" caption="LFL Unit ISP TYvsLY LC%" measure="1" displayFolder="02_TYLFL\LC" measureGroup="KPI" count="0"/>
    <cacheHierarchy uniqueName="[Measures].[LFL Unit ISP TYvsLY TRY%]" caption="LFL Unit ISP TYvsLY TRY%" measure="1" displayFolder="02_TYLFL\TRY" measureGroup="KPI" count="0"/>
    <cacheHierarchy uniqueName="[Measures].[LFL Unit ISP TYvsLY USD%]" caption="LFL Unit ISP TYvsLY USD%" measure="1" displayFolder="02_TYLFL\USD" measureGroup="KPI" count="0"/>
    <cacheHierarchy uniqueName="[Measures].[Store Back Cover Unit TYvsLY%]" caption="Store Back Cover Unit TYvsLY%" measure="1" displayFolder="01_TY\_UNIT" measureGroup="KPI" count="0"/>
    <cacheHierarchy uniqueName="[Measures].[LFL Store Back Cover Unit TYvsLY%]" caption="LFL Store Back Cover Unit TYvsLY%" measure="1" displayFolder="02_TYLFL\_UNIT" measureGroup="KPI" count="0"/>
    <cacheHierarchy uniqueName="[Measures].[Gross Marjin TYvsLY LC%]" caption="Gross Marjin TYvsLY LC%" measure="1" displayFolder="01_TY\LC" measureGroup="KPI" count="0"/>
    <cacheHierarchy uniqueName="[Measures].[Gross Marjin TYvsLY TRY%]" caption="Gross Marjin TYvsLY TRY%" measure="1" displayFolder="01_TY\TRY" measureGroup="KPI" count="0"/>
    <cacheHierarchy uniqueName="[Measures].[Gross Marjin TYvsLY USD%]" caption="Gross Marjin TYvsLY USD%" measure="1" displayFolder="01_TY\USD" measureGroup="KPI" count="0"/>
    <cacheHierarchy uniqueName="[Measures].[LFL Gross Marjin TYvsLY LC%]" caption="LFL Gross Marjin TYvsLY LC%" measure="1" displayFolder="02_TYLFL\LC" measureGroup="KPI" count="0"/>
    <cacheHierarchy uniqueName="[Measures].[LFL Gross Marjin TYvsLY TRY%]" caption="LFL Gross Marjin TYvsLY TRY%" measure="1" displayFolder="02_TYLFL\TRY" measureGroup="KPI" count="0"/>
    <cacheHierarchy uniqueName="[Measures].[LFL Gross Marjin TYvsLY USD%]" caption="LFL Gross Marjin TYvsLY USD%" measure="1" displayFolder="02_TYLFL\USD" measureGroup="KPI" count="0"/>
    <cacheHierarchy uniqueName="[Measures].[Sales Profit TYvsLY LC%]" caption="Sales Profit TYvsLY LC%" measure="1" displayFolder="01_TY\LC" measureGroup="KPI" count="0"/>
    <cacheHierarchy uniqueName="[Measures].[Sales Profit TYvsLY TRY%]" caption="Sales Profit TYvsLY TRY%" measure="1" displayFolder="01_TY\TRY" measureGroup="KPI" count="0"/>
    <cacheHierarchy uniqueName="[Measures].[Sales Profit TYvsLY USD%]" caption="Sales Profit TYvsLY USD%" measure="1" displayFolder="01_TY\USD" measureGroup="KPI" count="0"/>
    <cacheHierarchy uniqueName="[Measures].[LFL Sales Profit TYvsLY LC%]" caption="LFL Sales Profit TYvsLY LC%" measure="1" displayFolder="02_TYLFL\LC" measureGroup="KPI" count="0"/>
    <cacheHierarchy uniqueName="[Measures].[LFL Sales Profit TYvsLY TRY%]" caption="LFL Sales Profit TYvsLY TRY%" measure="1" displayFolder="02_TYLFL\TRY" measureGroup="KPI" count="0"/>
    <cacheHierarchy uniqueName="[Measures].[LFL Sales Profit TYvsLY USD%]" caption="LFL Sales Profit TYvsLY USD%" measure="1" displayFolder="02_TYLFL\USD" measureGroup="KPI" count="0"/>
    <cacheHierarchy uniqueName="[Measures].[TY LFL Store Back Cover TRY]" caption="TY LFL Store Back Cover TRY" measure="1" displayFolder="02_TYLFL\TRY" measureGroup="KPI" count="0"/>
    <cacheHierarchy uniqueName="[Measures].[TY LFL Store Back Cover USD]" caption="TY LFL Store Back Cover USD" measure="1" displayFolder="02_TYLFL\USD" measureGroup="KPI" count="0"/>
    <cacheHierarchy uniqueName="[Measures].[LY LFL Store Back Cover LC]" caption="LY LFL Store Back Cover LC" measure="1" displayFolder="04_LYLFL\LC" measureGroup="KPI" count="0"/>
    <cacheHierarchy uniqueName="[Measures].[LY LFL Store Back Cover TRY]" caption="LY LFL Store Back Cover TRY" measure="1" displayFolder="04_LYLFL\TRY" measureGroup="KPI" count="0"/>
    <cacheHierarchy uniqueName="[Measures].[LY LFL Store Back Cover USD]" caption="LY LFL Store Back Cover USD" measure="1" displayFolder="04_LYLFL\USD" measureGroup="KPI" count="0"/>
    <cacheHierarchy uniqueName="[Measures].[Store Back Cover TYvsLY LC%]" caption="Store Back Cover TYvsLY LC%" measure="1" displayFolder="01_TY\LC" measureGroup="KPI" count="0"/>
    <cacheHierarchy uniqueName="[Measures].[Store Back Cover TYvsLY TRY%]" caption="Store Back Cover TYvsLY TRY%" measure="1" displayFolder="01_TY\TRY" measureGroup="KPI" count="0"/>
    <cacheHierarchy uniqueName="[Measures].[Store Back Cover TYvsLY USD%]" caption="Store Back Cover TYvsLY USD%" measure="1" displayFolder="01_TY\USD" measureGroup="KPI" count="0"/>
    <cacheHierarchy uniqueName="[Measures].[LFL Store Back Cover TYvsLY LC%]" caption="LFL Store Back Cover TYvsLY LC%" measure="1" displayFolder="02_TYLFL\LC" measureGroup="KPI" count="0"/>
    <cacheHierarchy uniqueName="[Measures].[LFL Store Back Cover TYvsLY TRY%]" caption="LFL Store Back Cover TYvsLY TRY%" measure="1" displayFolder="02_TYLFL\TRY" measureGroup="KPI" count="0"/>
    <cacheHierarchy uniqueName="[Measures].[LFL Store Back Cover TYvsLY USD%]" caption="LFL Store Back Cover TYvsLY USD%" measure="1" displayFolder="02_TYLFL\USD" measureGroup="KPI" count="0"/>
    <cacheHierarchy uniqueName="[Measures].[TY GMROII LC]" caption="TY GMROII LC" measure="1" displayFolder="01_TY\LC" measureGroup="KPI" count="0"/>
    <cacheHierarchy uniqueName="[Measures].[TY GMROII TRY]" caption="TY GMROII TRY" measure="1" displayFolder="01_TY\TRY" measureGroup="KPI" count="0"/>
    <cacheHierarchy uniqueName="[Measures].[TY GMROII USD]" caption="TY GMROII USD" measure="1" displayFolder="01_TY\USD" measureGroup="KPI" count="0"/>
    <cacheHierarchy uniqueName="[Measures].[LY GMROII LC]" caption="LY GMROII LC" measure="1" displayFolder="03_LY\LC" measureGroup="KPI" count="0"/>
    <cacheHierarchy uniqueName="[Measures].[LY GMROII TRY]" caption="LY GMROII TRY" measure="1" displayFolder="03_LY\TRY" measureGroup="KPI" count="0"/>
    <cacheHierarchy uniqueName="[Measures].[LY GMROII USD]" caption="LY GMROII USD" measure="1" displayFolder="03_LY\USD" measureGroup="KPI" count="0"/>
    <cacheHierarchy uniqueName="[Measures].[TY LFL GMROII LC]" caption="TY LFL GMROII LC" measure="1" displayFolder="02_TYLFL\LC" measureGroup="KPI" count="0"/>
    <cacheHierarchy uniqueName="[Measures].[TY LFL GMROII TRY]" caption="TY LFL GMROII TRY" measure="1" displayFolder="02_TYLFL\TRY" measureGroup="KPI" count="0"/>
    <cacheHierarchy uniqueName="[Measures].[TY LFL GMROII USD]" caption="TY LFL GMROII USD" measure="1" displayFolder="02_TYLFL\USD" measureGroup="KPI" count="0"/>
    <cacheHierarchy uniqueName="[Measures].[LY LFL GMROII LC]" caption="LY LFL GMROII LC" measure="1" displayFolder="04_LYLFL\LC" measureGroup="KPI" count="0"/>
    <cacheHierarchy uniqueName="[Measures].[LY LFL GMROII TRY]" caption="LY LFL GMROII TRY" measure="1" displayFolder="04_LYLFL\TRY" measureGroup="KPI" count="0"/>
    <cacheHierarchy uniqueName="[Measures].[LY LFL GMROII USD]" caption="LY LFL GMROII USD" measure="1" displayFolder="04_LYLFL\USD" measureGroup="KPI" count="0"/>
    <cacheHierarchy uniqueName="[Measures].[LY Actual MarkDown LC%]" caption="LY Actual MarkDown LC%" measure="1" displayFolder="03_LY\LC" measureGroup="KPI" count="0"/>
    <cacheHierarchy uniqueName="[Measures].[LY Actual MarkDown TRY%]" caption="LY Actual MarkDown TRY%" measure="1" displayFolder="03_LY\TRY" measureGroup="KPI" count="0"/>
    <cacheHierarchy uniqueName="[Measures].[LY Actual MarkDown USD%]" caption="LY Actual MarkDown USD%" measure="1" displayFolder="03_LY\USD" measureGroup="KPI" count="0"/>
    <cacheHierarchy uniqueName="[Measures].[TY LFL Actual MarkDown LC%]" caption="TY LFL Actual MarkDown LC%" measure="1" displayFolder="02_TYLFL\LC" measureGroup="KPI" count="0"/>
    <cacheHierarchy uniqueName="[Measures].[TY LFL Actual MarkDown TRY%]" caption="TY LFL Actual MarkDown TRY%" measure="1" displayFolder="02_TYLFL\TRY" measureGroup="KPI" count="0"/>
    <cacheHierarchy uniqueName="[Measures].[TY LFL Actual MarkDown USD%]" caption="TY LFL Actual MarkDown USD%" measure="1" displayFolder="02_TYLFL\USD" measureGroup="KPI" count="0"/>
    <cacheHierarchy uniqueName="[Measures].[LY LFL Actual MarkDown LC%]" caption="LY LFL Actual MarkDown LC%" measure="1" displayFolder="04_LYLFL\LC" measureGroup="KPI" count="0"/>
    <cacheHierarchy uniqueName="[Measures].[LY LFL Actual MarkDown TRY%]" caption="LY LFL Actual MarkDown TRY%" measure="1" displayFolder="04_LYLFL\TRY" measureGroup="KPI" count="0"/>
    <cacheHierarchy uniqueName="[Measures].[LY LFL Actual MarkDown USD%]" caption="LY LFL Actual MarkDown USD%" measure="1" displayFolder="04_LYLFL\USD" measureGroup="KPI" count="0"/>
    <cacheHierarchy uniqueName="[Measures].[Last 7Days TY Sales Unit]" caption="Last 7Days TY Sales Unit" measure="1" displayFolder="LASTN" measureGroup="KPI" count="0"/>
    <cacheHierarchy uniqueName="[Measures].[Last 7Days TY Sales Value LC]" caption="Last 7Days TY Sales Value LC" measure="1" displayFolder="LASTN" measureGroup="KPI" count="0"/>
    <cacheHierarchy uniqueName="[Measures].[Last 14Days TY Sales Unit]" caption="Last 14Days TY Sales Unit" measure="1" displayFolder="LASTN" measureGroup="KPI" count="0"/>
    <cacheHierarchy uniqueName="[Measures].[Last 14Days TY Sales Value LC]" caption="Last 14Days TY Sales Value LC" measure="1" displayFolder="LASTN" measureGroup="KPI" count="0"/>
    <cacheHierarchy uniqueName="[Measures].[Last 28Days TY Sales Unit]" caption="Last 28Days TY Sales Unit" measure="1" displayFolder="LASTN" measureGroup="KPI" count="0"/>
    <cacheHierarchy uniqueName="[Measures].[Last 28Days TY Sales Value LC]" caption="Last 28Days TY Sales Value LC" measure="1" displayFolder="LASTN" measureGroup="KPI" count="0"/>
    <cacheHierarchy uniqueName="[Measures].[Last 90Days TY Sales Unit]" caption="Last 90Days TY Sales Unit" measure="1" displayFolder="LASTN" measureGroup="KPI" count="0"/>
    <cacheHierarchy uniqueName="[Measures].[Last 90Days TY Sales Value LC]" caption="Last 90Days TY Sales Value LC" measure="1" displayFolder="LASTN" measureGroup="KPI" count="0"/>
    <cacheHierarchy uniqueName="[Measures].[Last 180Days TY Sales Unit]" caption="Last 180Days TY Sales Unit" measure="1" displayFolder="LASTN" measureGroup="KPI" count="0"/>
    <cacheHierarchy uniqueName="[Measures].[Last 180Days TY Sales Value LC]" caption="Last 180Days TY Sales Value LC" measure="1" displayFolder="LASTN" measureGroup="KPI" count="0"/>
    <cacheHierarchy uniqueName="[Measures].[TY UPT]" caption="TY UPT" measure="1" displayFolder="01_TY\_UNIT" measureGroup="KPI" count="0"/>
    <cacheHierarchy uniqueName="[Measures].[TY AOV LC]" caption="TY AOV LC" measure="1" displayFolder="01_TY\LC" measureGroup="KPI" count="0"/>
    <cacheHierarchy uniqueName="[Measures].[TY AOV TRY]" caption="TY AOV TRY" measure="1" displayFolder="01_TY\TRY" measureGroup="KPI" count="0"/>
    <cacheHierarchy uniqueName="[Measures].[TY AOV USD]" caption="TY AOV USD" measure="1" displayFolder="01_TY\USD" measureGroup="KPI" count="0"/>
    <cacheHierarchy uniqueName="[Measures].[LY UPT]" caption="LY UPT" measure="1" displayFolder="03_LY\_UNIT" measureGroup="KPI" count="0"/>
    <cacheHierarchy uniqueName="[Measures].[LY AOV LC]" caption="LY AOV LC" measure="1" displayFolder="03_LY\LC" measureGroup="KPI" count="0"/>
    <cacheHierarchy uniqueName="[Measures].[LY AOV TRY]" caption="LY AOV TRY" measure="1" displayFolder="03_LY\TRY" measureGroup="KPI" count="0"/>
    <cacheHierarchy uniqueName="[Measures].[LY AOV USD]" caption="LY AOV USD" measure="1" displayFolder="03_LY\USD" measureGroup="KPI" count="0"/>
    <cacheHierarchy uniqueName="[Measures].[TY LFL UPT]" caption="TY LFL UPT" measure="1" displayFolder="02_TYLFL\_UNIT" measureGroup="KPI" count="0"/>
    <cacheHierarchy uniqueName="[Measures].[TY LFL AOV LC]" caption="TY LFL AOV LC" measure="1" displayFolder="02_TYLFL\LC" measureGroup="KPI" count="0"/>
    <cacheHierarchy uniqueName="[Measures].[TY LFL AOV TRY]" caption="TY LFL AOV TRY" measure="1" displayFolder="02_TYLFL\TRY" measureGroup="KPI" count="0"/>
    <cacheHierarchy uniqueName="[Measures].[TY LFL AOV USD]" caption="TY LFL AOV USD" measure="1" displayFolder="02_TYLFL\USD" measureGroup="KPI" count="0"/>
    <cacheHierarchy uniqueName="[Measures].[LY LFL UPT]" caption="LY LFL UPT" measure="1" displayFolder="04_LYLFL\_UNIT" measureGroup="KPI" count="0"/>
    <cacheHierarchy uniqueName="[Measures].[LY LFL AOV LC]" caption="LY LFL AOV LC" measure="1" displayFolder="04_LYLFL\LC" measureGroup="KPI" count="0"/>
    <cacheHierarchy uniqueName="[Measures].[LY LFL AOV TRY]" caption="LY LFL AOV TRY" measure="1" displayFolder="04_LYLFL\TRY" measureGroup="KPI" count="0"/>
    <cacheHierarchy uniqueName="[Measures].[LY LFL AOV USD]" caption="LY LFL AOV USD" measure="1" displayFolder="04_LYLFL\USD" measureGroup="KPI" count="0"/>
    <cacheHierarchy uniqueName="[Measures].[TY DayCount]" caption="TY DayCount" measure="1" displayFolder="00_INFO" measureGroup="KPI" count="0"/>
    <cacheHierarchy uniqueName="[Measures].[TY Store Count]" caption="TY Store Count" measure="1" displayFolder="01_TY\_UNIT" measureGroup="KPI" count="0"/>
    <cacheHierarchy uniqueName="[Measures].[LY Store Count]" caption="LY Store Count" measure="1" displayFolder="03_LY\_UNIT" measureGroup="KPI" count="0"/>
    <cacheHierarchy uniqueName="[Measures].[TY LFL Store Count]" caption="TY LFL Store Count" measure="1" displayFolder="02_TYLFL\_UNIT" measureGroup="KPI" count="0"/>
    <cacheHierarchy uniqueName="[Measures].[LY LFL Store Count]" caption="LY LFL Store Count" measure="1" displayFolder="04_LYLFL\_UNIT" measureGroup="KPI" count="0"/>
    <cacheHierarchy uniqueName="[Measures].[Sales Unit TyTWvsTyLW%]" caption="Sales Unit TyTWvsTyLW%" measure="1" displayFolder="TyTWvsTyLW" measureGroup="KPI" count="0"/>
    <cacheHierarchy uniqueName="[Measures].[LFL Sales Unit TyTWvsTyLW%]" caption="LFL Sales Unit TyTWvsTyLW%" measure="1" displayFolder="TyTWvsTyLW" measureGroup="KPI" count="0"/>
    <cacheHierarchy uniqueName="[Measures].[Sales Value TyTWvsTyLW LC%]" caption="Sales Value TyTWvsTyLW LC%" measure="1" displayFolder="TyTWvsTyLW" measureGroup="KPI" count="0"/>
    <cacheHierarchy uniqueName="[Measures].[Sales Value TyTWvsTyLW TRY%]" caption="Sales Value TyTWvsTyLW TRY%" measure="1" displayFolder="TyTWvsTyLW" measureGroup="KPI" count="0"/>
    <cacheHierarchy uniqueName="[Measures].[Sales Value TyTWvsTyLW USD%]" caption="Sales Value TyTWvsTyLW USD%" measure="1" displayFolder="TyTWvsTyLW" measureGroup="KPI" count="0"/>
    <cacheHierarchy uniqueName="[Measures].[LFL Sales Value TyTWvsTyLW LC%]" caption="LFL Sales Value TyTWvsTyLW LC%" measure="1" displayFolder="TyTWvsTyLW" measureGroup="KPI" count="0"/>
    <cacheHierarchy uniqueName="[Measures].[LFL Sales Value TyTWvsTyLW TRY%]" caption="LFL Sales Value TyTWvsTyLW TRY%" measure="1" displayFolder="TyTWvsTyLW" measureGroup="KPI" count="0"/>
    <cacheHierarchy uniqueName="[Measures].[LFL Sales Value TyTWvsTyLW USD%]" caption="LFL Sales Value TyTWvsTyLW USD%" measure="1" displayFolder="TyTWvsTyLW" measureGroup="KPI" count="0"/>
    <cacheHierarchy uniqueName="[Measures].[Store Stock Unit TyTWvsTyLW%]" caption="Store Stock Unit TyTWvsTyLW%" measure="1" displayFolder="TyTWvsTyLW" measureGroup="KPI" count="0"/>
    <cacheHierarchy uniqueName="[Measures].[Store Stock Cost TyTWvsTyLW LC%]" caption="Store Stock Cost TyTWvsTyLW LC%" measure="1" displayFolder="TyTWvsTyLW" measureGroup="KPI" count="0"/>
    <cacheHierarchy uniqueName="[Measures].[Store Stock Cost TyTWvsTyLW TRY%]" caption="Store Stock Cost TyTWvsTyLW TRY%" measure="1" displayFolder="TyTWvsTyLW" measureGroup="KPI" count="0"/>
    <cacheHierarchy uniqueName="[Measures].[Store Stock Cost TyTWvsTyLW USD%]" caption="Store Stock Cost TyTWvsTyLW USD%" measure="1" displayFolder="TyTWvsTyLW" measureGroup="KPI" count="0"/>
    <cacheHierarchy uniqueName="[Measures].[LFL Store Stock Unit TyTWvsTyLW%]" caption="LFL Store Stock Unit TyTWvsTyLW%" measure="1" displayFolder="TyTWvsTyLW" measureGroup="KPI" count="0"/>
    <cacheHierarchy uniqueName="[Measures].[LFL Store Stock Cost TyTWvsTyLW LC%]" caption="LFL Store Stock Cost TyTWvsTyLW LC%" measure="1" displayFolder="TyTWvsTyLW" measureGroup="KPI" count="0"/>
    <cacheHierarchy uniqueName="[Measures].[LFL Store Stock Cost TyTWvsTyLW TRY%]" caption="LFL Store Stock Cost TyTWvsTyLW TRY%" measure="1" displayFolder="TyTWvsTyLW" measureGroup="KPI" count="0"/>
    <cacheHierarchy uniqueName="[Measures].[LFL Store Stock Cost TyTWvsTyLW USD%]" caption="LFL Store Stock Cost TyTWvsTyLW USD%" measure="1" displayFolder="TyTWvsTyLW" measureGroup="KPI" count="0"/>
    <cacheHierarchy uniqueName="[Measures].[Unit Sales Price TyTWvsTyLW LC%]" caption="Unit Sales Price TyTWvsTyLW LC%" measure="1" displayFolder="TyTWvsTyLW" measureGroup="KPI" count="0"/>
    <cacheHierarchy uniqueName="[Measures].[Unit Sales Price TyTWvsTyLW TRY%]" caption="Unit Sales Price TyTWvsTyLW TRY%" measure="1" displayFolder="TyTWvsTyLW" measureGroup="KPI" count="0"/>
    <cacheHierarchy uniqueName="[Measures].[Unit Sales Price TyTWvsTyLW USD%]" caption="Unit Sales Price TyTWvsTyLW USD%" measure="1" displayFolder="TyTWvsTyLW" measureGroup="KPI" count="0"/>
    <cacheHierarchy uniqueName="[Measures].[LFL Unit Sales Price TyTWvsTyLW LC%]" caption="LFL Unit Sales Price TyTWvsTyLW LC%" measure="1" displayFolder="TyTWvsTyLW" measureGroup="KPI" count="0"/>
    <cacheHierarchy uniqueName="[Measures].[LFL Unit Sales Price TyTWvsTyLW TRY%]" caption="LFL Unit Sales Price TyTWvsTyLW TRY%" measure="1" displayFolder="TyTWvsTyLW" measureGroup="KPI" count="0"/>
    <cacheHierarchy uniqueName="[Measures].[LFL Unit Sales Price TyTWvsTyLW USD%]" caption="LFL Unit Sales Price TyTWvsTyLW USD%" measure="1" displayFolder="TyTWvsTyLW" measureGroup="KPI" count="0"/>
    <cacheHierarchy uniqueName="[Measures].[TY DC Inc Back Cover Unit]" caption="TY DC Inc Back Cover Unit" measure="1" displayFolder="01_TY\_UNIT" measureGroup="KPI" count="0"/>
    <cacheHierarchy uniqueName="[Measures].[TY DC Inc Back Cover LC]" caption="TY DC Inc Back Cover LC" measure="1" displayFolder="01_TY\LC" measureGroup="KPI" count="0"/>
    <cacheHierarchy uniqueName="[Measures].[TY DC Inc Back Cover TRY]" caption="TY DC Inc Back Cover TRY" measure="1" displayFolder="01_TY\TRY" measureGroup="KPI" count="0"/>
    <cacheHierarchy uniqueName="[Measures].[TY DC Inc Back Cover USD]" caption="TY DC Inc Back Cover USD" measure="1" displayFolder="01_TY\USD" measureGroup="KPI" count="0"/>
    <cacheHierarchy uniqueName="[Measures].[LY DC Inc Back Cover Unit]" caption="LY DC Inc Back Cover Unit" measure="1" displayFolder="03_LY\_UNIT" measureGroup="KPI" count="0"/>
    <cacheHierarchy uniqueName="[Measures].[LY DC Inc Back Cover LC]" caption="LY DC Inc Back Cover LC" measure="1" displayFolder="03_LY\LC" measureGroup="KPI" count="0"/>
    <cacheHierarchy uniqueName="[Measures].[LY DC Inc Back Cover TRY]" caption="LY DC Inc Back Cover TRY" measure="1" displayFolder="03_LY\TRY" measureGroup="KPI" count="0"/>
    <cacheHierarchy uniqueName="[Measures].[LY DC Inc Back Cover USD]" caption="LY DC Inc Back Cover USD" measure="1" displayFolder="03_LY\USD" measureGroup="KPI" count="0"/>
    <cacheHierarchy uniqueName="[Measures].[DC Inc Back Cover Unit TYvsLY%]" caption="DC Inc Back Cover Unit TYvsLY%" measure="1" displayFolder="01_TY\_UNIT" measureGroup="KPI" count="0"/>
    <cacheHierarchy uniqueName="[Measures].[DC Inc Back Cover TYvsLY LC%]" caption="DC Inc Back Cover TYvsLY LC%" measure="1" displayFolder="01_TY\LC" measureGroup="KPI" count="0"/>
    <cacheHierarchy uniqueName="[Measures].[DC Inc Back Cover TYvsLY TRY%]" caption="DC Inc Back Cover TYvsLY TRY%" measure="1" displayFolder="01_TY\TRY" measureGroup="KPI" count="0"/>
    <cacheHierarchy uniqueName="[Measures].[DC Inc Back Cover TYvsLY USD%]" caption="DC Inc Back Cover TYvsLY USD%" measure="1" displayFolder="01_TY\USD" measureGroup="KPI" count="0"/>
    <cacheHierarchy uniqueName="[Measures].[ShowAll]" caption="ShowAll" measure="1" displayFolder="00_INFO" measureGroup="KPI" count="0"/>
    <cacheHierarchy uniqueName="[Measures].[Store Area m2]" caption="Store Area m2" measure="1" displayFolder="00_INFO" measureGroup="KPI" count="0"/>
    <cacheHierarchy uniqueName="[Measures].[TY Store Total Back Cover Unit]" caption="TY Store Total Back Cover Unit" measure="1" displayFolder="01_TY\UNIT" measureGroup="KPI" count="0"/>
    <cacheHierarchy uniqueName="[Measures].[TY Store Total Back Cover LC]" caption="TY Store Total Back Cover LC" measure="1" displayFolder="01_TY\LC" measureGroup="KPI" count="0"/>
    <cacheHierarchy uniqueName="[Measures].[TY Store Count by Sales]" caption="TY Store Count by Sales" measure="1" displayFolder="01_TY\_UNIT" measureGroup="KPI" count="0"/>
    <cacheHierarchy uniqueName="[Measures].[LY Store Count by Sales]" caption="LY Store Count by Sales" measure="1" displayFolder="03_LY\_UNIT" measureGroup="KPI" count="0"/>
    <cacheHierarchy uniqueName="[Measures].[TY LFL Store Count by Sales]" caption="TY LFL Store Count by Sales" measure="1" displayFolder="02_TYLFL\_UNIT" measureGroup="KPI" count="0"/>
    <cacheHierarchy uniqueName="[Measures].[LY LFL Store Count by Sales]" caption="LY LFL Store Count by Sales" measure="1" displayFolder="04_LYLFL\_UNIT" measureGroup="KPI" count="0"/>
    <cacheHierarchy uniqueName="[Measures].[TY Store Count by Stock]" caption="TY Store Count by Stock" measure="1" displayFolder="01_TY\_UNIT" measureGroup="KPI" count="0"/>
    <cacheHierarchy uniqueName="[Measures].[LY Store Count by Stock]" caption="LY Store Count by Stock" measure="1" displayFolder="03_LY\_UNIT" measureGroup="KPI" count="0"/>
    <cacheHierarchy uniqueName="[Measures].[TY LFL Store Count by Stock]" caption="TY LFL Store Count by Stock" measure="1" displayFolder="02_TYLFL\_UNIT" measureGroup="KPI" count="0"/>
    <cacheHierarchy uniqueName="[Measures].[LY LFL Store Count by Stock]" caption="LY LFL Store Count by Stock" measure="1" displayFolder="04_LYLFL\_UNIT" measureGroup="KPI" count="0"/>
    <cacheHierarchy uniqueName="[Measures].[TY Store Total Back Cover TRY]" caption="TY Store Total Back Cover TRY" measure="1" displayFolder="01_TY\TRY" measureGroup="KPI" count="0"/>
    <cacheHierarchy uniqueName="[Measures].[TY Store Total Back Cover USD]" caption="TY Store Total Back Cover USD" measure="1" displayFolder="01_TY\USD" measureGroup="KPI" count="0"/>
    <cacheHierarchy uniqueName="[Measures].[TY Country Back Cover Unit]" caption="TY Country Back Cover Unit" measure="1" displayFolder="01_TY\UNIT" measureGroup="KPI" count="0"/>
    <cacheHierarchy uniqueName="[Measures].[PO Unit]" caption="PO Unit" measure="1" displayFolder="_UNIT" measureGroup="PurchaseOrder" count="0"/>
    <cacheHierarchy uniqueName="[Measures].[Goods Receipt PO Unit]" caption="Goods Receipt PO Unit" measure="1" displayFolder="_UNIT" measureGroup="PurchaseOrder" count="0"/>
    <cacheHierarchy uniqueName="[Measures].[Pending PO Unit]" caption="Pending PO Unit" measure="1" displayFolder="_UNIT" measureGroup="PurchaseOrder" count="0"/>
    <cacheHierarchy uniqueName="[Measures].[Other Merchant PO Unit]" caption="Other Merchant PO Unit" measure="1" displayFolder="_UNIT" measureGroup="PurchaseOrder" count="0"/>
    <cacheHierarchy uniqueName="[Measures].[Other Merchant Goods Receipt PO Unit]" caption="Other Merchant Goods Receipt PO Unit" measure="1" displayFolder="_UNIT" measureGroup="PurchaseOrder" count="0"/>
    <cacheHierarchy uniqueName="[Measures].[Other Merchant Pending PO Unit]" caption="Other Merchant Pending PO Unit" measure="1" displayFolder="_UNIT" measureGroup="PurchaseOrder" count="0"/>
    <cacheHierarchy uniqueName="[Measures].[Pending PO Unit Runing Total]" caption="Pending PO Unit Runing Total" measure="1" displayFolder="_UNIT" measureGroup="PurchaseOrder" count="0"/>
    <cacheHierarchy uniqueName="[Measures].[Other Merchant Pending PO Unit Runing Total]" caption="Other Merchant Pending PO Unit Runing Total" measure="1" displayFolder="_UNIT" measureGroup="PurchaseOrder" count="0"/>
    <cacheHierarchy uniqueName="[Measures].[PO Unit Year Total]" caption="PO Unit Year Total" measure="1" displayFolder="_UNIT" measureGroup="PurchaseOrder" count="0"/>
    <cacheHierarchy uniqueName="[Measures].[Goods Receipt PO Unit Year Total]" caption="Goods Receipt PO Unit Year Total" measure="1" displayFolder="_UNIT" measureGroup="PurchaseOrder" count="0"/>
    <cacheHierarchy uniqueName="[Measures].[Other Merchant PO Unit Year Total]" caption="Other Merchant PO Unit Year Total" measure="1" displayFolder="_UNIT" measureGroup="PurchaseOrder" count="0"/>
    <cacheHierarchy uniqueName="[Measures].[Other Merchant Goods Receipt PO Unit Year Total]" caption="Other Merchant Goods Receipt PO Unit Year Total" measure="1" displayFolder="_UNIT" measureGroup="PurchaseOrder" count="0"/>
    <cacheHierarchy uniqueName="[Measures].[ALL PO Unit]" caption="ALL PO Unit" measure="1" displayFolder="_UNIT" measureGroup="PurchaseOrder" count="0"/>
    <cacheHierarchy uniqueName="[Measures].[ALL PO Unit Year Total]" caption="ALL PO Unit Year Total" measure="1" displayFolder="_UNIT" measureGroup="PurchaseOrder" count="0"/>
    <cacheHierarchy uniqueName="[Measures].[ALL Pending PO Unit]" caption="ALL Pending PO Unit" measure="1" displayFolder="_UNIT" measureGroup="PurchaseOrder" count="0"/>
    <cacheHierarchy uniqueName="[Measures].[ALL Pending PO Unit Runing Total]" caption="ALL Pending PO Unit Runing Total" measure="1" displayFolder="_UNIT" measureGroup="PurchaseOrder" count="0"/>
    <cacheHierarchy uniqueName="[Measures].[ALL Goods Receipt PO Unit]" caption="ALL Goods Receipt PO Unit" measure="1" displayFolder="_UNIT" measureGroup="PurchaseOrder" count="0"/>
    <cacheHierarchy uniqueName="[Measures].[ALL Goods Receipt PO Unit Year Total]" caption="ALL Goods Receipt PO Unit Year Total" measure="1" displayFolder="_UNIT" measureGroup="PurchaseOrder" count="0"/>
    <cacheHierarchy uniqueName="[Measures].[PO Value LC]" caption="PO Value LC" measure="1" displayFolder="_VALUE" measureGroup="PurchaseOrder" count="0"/>
    <cacheHierarchy uniqueName="[Measures].[PO Value LC Year Total]" caption="PO Value LC Year Total" measure="1" displayFolder="_VALUE" measureGroup="PurchaseOrder" count="0"/>
    <cacheHierarchy uniqueName="[Measures].[Goods Receipt PO Value LC]" caption="Goods Receipt PO Value LC" measure="1" displayFolder="_VALUE" measureGroup="PurchaseOrder" count="0"/>
    <cacheHierarchy uniqueName="[Measures].[Goods Receipt PO Value LC Year Total]" caption="Goods Receipt PO Value LC Year Total" measure="1" displayFolder="_VALUE" measureGroup="PurchaseOrder" count="0"/>
    <cacheHierarchy uniqueName="[Measures].[Pending PO Value LC]" caption="Pending PO Value LC" measure="1" displayFolder="_VALUE" measureGroup="PurchaseOrder" count="0"/>
    <cacheHierarchy uniqueName="[Measures].[Pending PO Value LC Runing Total]" caption="Pending PO Value LC Runing Total" measure="1" displayFolder="_VALUE" measureGroup="PurchaseOrder" count="0"/>
    <cacheHierarchy uniqueName="[Measures].[Other Merchant Goods Receipt PO Value LC]" caption="Other Merchant Goods Receipt PO Value LC" measure="1" displayFolder="_VALUE" measureGroup="PurchaseOrder" count="0"/>
    <cacheHierarchy uniqueName="[Measures].[Other Merchant Goods Receipt PO Value LC Year Total]" caption="Other Merchant Goods Receipt PO Value LC Year Total" measure="1" displayFolder="_VALUE" measureGroup="PurchaseOrder" count="0"/>
    <cacheHierarchy uniqueName="[Measures].[Other Merchant Pending PO Value LC]" caption="Other Merchant Pending PO Value LC" measure="1" displayFolder="_VALUE" measureGroup="PurchaseOrder" count="0"/>
    <cacheHierarchy uniqueName="[Measures].[Other Merchant Pending PO Value LC Runing Total]" caption="Other Merchant Pending PO Value LC Runing Total" measure="1" displayFolder="_VALUE" measureGroup="PurchaseOrder" count="0"/>
    <cacheHierarchy uniqueName="[Measures].[Other Merchant PO Value LC]" caption="Other Merchant PO Value LC" measure="1" displayFolder="_VALUE" measureGroup="PurchaseOrder" count="0"/>
    <cacheHierarchy uniqueName="[Measures].[Other Merchant PO Value LC Year Total]" caption="Other Merchant PO Value LC Year Total" measure="1" displayFolder="_VALUE" measureGroup="PurchaseOrder" count="0"/>
    <cacheHierarchy uniqueName="[Measures].[ALL PO Value LC]" caption="ALL PO Value LC" measure="1" displayFolder="_VALUE" measureGroup="PurchaseOrder" count="0"/>
    <cacheHierarchy uniqueName="[Measures].[ALL PO Value LC Year Total]" caption="ALL PO Value LC Year Total" measure="1" displayFolder="_VALUE" measureGroup="PurchaseOrder" count="0"/>
    <cacheHierarchy uniqueName="[Measures].[ALL Goods Receipt PO Value LC]" caption="ALL Goods Receipt PO Value LC" measure="1" displayFolder="_VALUE" measureGroup="PurchaseOrder" count="0"/>
    <cacheHierarchy uniqueName="[Measures].[ALL Goods Receipt PO Value LC Year Total]" caption="ALL Goods Receipt PO Value LC Year Total" measure="1" displayFolder="_VALUE" measureGroup="PurchaseOrder" count="0"/>
    <cacheHierarchy uniqueName="[Measures].[ALL Pending PO Value LC]" caption="ALL Pending PO Value LC" measure="1" displayFolder="_VALUE" measureGroup="PurchaseOrder" count="0"/>
    <cacheHierarchy uniqueName="[Measures].[ALL Pending PO Value LC Runing Total]" caption="ALL Pending PO Value LC Runing Total" measure="1" displayFolder="_VALUE" measureGroup="PurchaseOrder" count="0"/>
    <cacheHierarchy uniqueName="[Measures].[Pending PO Unit (WholeSale)]" caption="Pending PO Unit (WholeSale)" measure="1" displayFolder="_UNIT" measureGroup="PurchaseOrder" count="0"/>
    <cacheHierarchy uniqueName="[Measures].[Pending PO Value LC (WholeSale)]" caption="Pending PO Value LC (WholeSale)" measure="1" displayFolder="_VALUE" measureGroup="PurchaseOrder" count="0"/>
    <cacheHierarchy uniqueName="[Measures].[Goods Receipt PO Unit (WholeSale)]" caption="Goods Receipt PO Unit (WholeSale)" measure="1" displayFolder="_UNIT" measureGroup="PurchaseOrder" count="0"/>
    <cacheHierarchy uniqueName="[Measures].[Goods Receipt PO Value LC (WholeSale)]" caption="Goods Receipt PO Value LC (WholeSale)" measure="1" displayFolder="_VALUE" measureGroup="PurchaseOrder" count="0"/>
    <cacheHierarchy uniqueName="[Measures].[TY Customer Entry Count]" caption="TY Customer Entry Count" measure="1" displayFolder="01_TY" measureGroup="VisitorHourly" count="0"/>
    <cacheHierarchy uniqueName="[Measures].[LY Customer Entry Count]" caption="LY Customer Entry Count" measure="1" displayFolder="03_LY" measureGroup="VisitorHourly" count="0"/>
    <cacheHierarchy uniqueName="[Measures].[TY LFL Customer Entry Count]" caption="TY LFL Customer Entry Count" measure="1" displayFolder="02_TYLFL" measureGroup="VisitorHourly" count="0"/>
    <cacheHierarchy uniqueName="[Measures].[LY LFL Customer Entry Count]" caption="LY LFL Customer Entry Count" measure="1" displayFolder="04_LYLFL" measureGroup="VisitorHourly" count="0"/>
    <cacheHierarchy uniqueName="[Measures].[Daily Invoice Sale]" caption="Daily Invoice Sale" measure="1" displayFolder="01_SALE" measureGroup="Visitor" count="0"/>
    <cacheHierarchy uniqueName="[Measures].[Daily Invoice Return]" caption="Daily Invoice Return" measure="1" displayFolder="01_SALE" measureGroup="Visitor" count="0"/>
    <cacheHierarchy uniqueName="[Measures].[Net Daily Invoice (Sale-Return)]" caption="Net Daily Invoice (Sale-Return)" measure="1" displayFolder="01_SALE" measureGroup="Visitor" count="0"/>
    <cacheHierarchy uniqueName="[Measures].[Daily Visitor Count]" caption="Daily Visitor Count" measure="1" displayFolder="02_VISITOR" measureGroup="Visitor" count="0"/>
    <cacheHierarchy uniqueName="[Measures].[Net Daily Invoice of Company]" caption="Net Daily Invoice of Company" measure="1" displayFolder="01_SALE" measureGroup="Visitor" count="0"/>
    <cacheHierarchy uniqueName="[Measures].[Daily Visitor Count of Company]" caption="Daily Visitor Count of Company" measure="1" displayFolder="02_VISITOR" measureGroup="Visitor" count="0"/>
    <cacheHierarchy uniqueName="[Measures].[Customer Conversion Rate]" caption="Customer Conversion Rate" measure="1" displayFolder="03_CCR" measureGroup="Visitor" count="0"/>
    <cacheHierarchy uniqueName="[Measures].[Adjusted Customer Conversion Rate]" caption="Adjusted Customer Conversion Rate" measure="1" displayFolder="03_CCR" measureGroup="Visitor" count="0"/>
    <cacheHierarchy uniqueName="[Measures].[Adjusted Visitor Count]" caption="Adjusted Visitor Count" measure="1" displayFolder="02_VISITOR" measureGroup="Visitor" count="0"/>
    <cacheHierarchy uniqueName="[Measures].[TY Avg Capacity Plan Unit]" caption="TY Avg Capacity Plan Unit" measure="1" displayFolder="01_TY\_UNIT" measureGroup="Capacity" count="0"/>
    <cacheHierarchy uniqueName="[Measures].[TY LFL Avg Capacity Plan Unit]" caption="TY LFL Avg Capacity Plan Unit" measure="1" displayFolder="01_TY\_UNIT" measureGroup="Capacity" count="0"/>
    <cacheHierarchy uniqueName="[Measures].[CUR Store Capacity Quantity]" caption="CUR Store Capacity Quantity" measure="1" displayFolder="00_CURRENT\_UNIT" measureGroup="Capacity" count="0"/>
    <cacheHierarchy uniqueName="[Measures].[CUR Backstore Capacity Quantity]" caption="CUR Backstore Capacity Quantity" measure="1" displayFolder="00_CURRENT\_UNIT" measureGroup="Capacity" count="0"/>
    <cacheHierarchy uniqueName="[Measures].[CUR Total Store Capacity Quantity]" caption="CUR Total Store Capacity Quantity" measure="1" displayFolder="00_CURRENT\_UNIT" measureGroup="Capacity" count="0"/>
    <cacheHierarchy uniqueName="[Measures].[CUR Store Capacity dm3]" caption="CUR Store Capacity dm3" measure="1" displayFolder="00_CURRENT\_DM3" measureGroup="Capacity" count="0"/>
    <cacheHierarchy uniqueName="[Measures].[CUR Backstore Capacity dm3]" caption="CUR Backstore Capacity dm3" measure="1" displayFolder="00_CURRENT\_DM3" measureGroup="Capacity" count="0"/>
    <cacheHierarchy uniqueName="[Measures].[CUR Total Store Capacity dm3]" caption="CUR Total Store Capacity dm3" measure="1" displayFolder="00_CURRENT\_DM3" measureGroup="Capacity" count="0"/>
    <cacheHierarchy uniqueName="[Measures].[TY Avg Capacity Plan Cost LC]" caption="TY Avg Capacity Plan Cost LC" measure="1" displayFolder="01_TY\_LC" measureGroup="Capacity" count="0"/>
    <cacheHierarchy uniqueName="[Measures].[TY LFL Avg Capacity Plan Cost LC]" caption="TY LFL Avg Capacity Plan Cost LC" measure="1" displayFolder="01_TY\_LC" measureGroup="Capacity" count="0"/>
    <cacheHierarchy uniqueName="[Measures].[Fiziki Dm3 Doluluk %]" caption="Fiziki Dm3 Doluluk %" measure="1" displayFolder="00_CURRENT\_DM3" measureGroup="Capacity" count="0"/>
    <cacheHierarchy uniqueName="[Measures].[Nihai Dm3 Doluluk %]" caption="Nihai Dm3 Doluluk %" measure="1" displayFolder="00_CURRENT\_DM3" measureGroup="Capacity" count="0"/>
    <cacheHierarchy uniqueName="[Measures].[Fiziki Adet Doluluk %]" caption="Fiziki Adet Doluluk %" measure="1" displayFolder="00_CURRENT\_UNIT" measureGroup="Capacity" count="0"/>
    <cacheHierarchy uniqueName="[Measures].[Nihai Adet Doluluk %]" caption="Nihai Adet Doluluk %" measure="1" displayFolder="00_CURRENT\_UNIT" measureGroup="Capacity" count="0"/>
    <cacheHierarchy uniqueName="[Measures].[BrKar/Dm3]" caption="BrKar/Dm3" measure="1" displayFolder="00_CURRENT\_DM3" measureGroup="Capacity" count="0"/>
    <cacheHierarchy uniqueName="[Measures].[NET Nihai Dm3 Doluluk %]" caption="NET Nihai Dm3 Doluluk %" measure="1" displayFolder="00_CURRENT\_DM3" measureGroup="Capacity" count="0"/>
    <cacheHierarchy uniqueName="[Measures].[Delivery Quantity Outbound from DC to Store]" caption="Delivery Quantity Outbound from DC to Store" measure="1" displayFolder="" measureGroup="Delivery" count="0"/>
    <cacheHierarchy uniqueName="[Measures].[Delivery Quantity Target from DC to Store]" caption="Delivery Quantity Target from DC to Store" measure="1" displayFolder="" measureGroup="Delivery" count="0"/>
    <cacheHierarchy uniqueName="[Measures].[__Default measure]" caption="__Default measure" measure="1" displayFolder="" count="0" hidden="1"/>
    <cacheHierarchy uniqueName="[Measures].[DCStockUnit]" caption="DCStockUnit" measure="1" displayFolder="01_TY\_UNIT" measureGroup="StockDC" count="0" hidden="1"/>
    <cacheHierarchy uniqueName="[Measures].[DCCUSStockUnit]" caption="DCCUSStockUnit" measure="1" displayFolder="01_TY\_UNIT" measureGroup="StockDC" count="0" hidden="1"/>
    <cacheHierarchy uniqueName="[Measures].[DCTRNStockUnit]" caption="DCTRNStockUnit" measure="1" displayFolder="01_TY\_UNIT" measureGroup="StockDC" count="0" hidden="1"/>
    <cacheHierarchy uniqueName="[Measures].[DCStockCostLC]" caption="DCStockCostLC" measure="1" displayFolder="01_TY\LC" measureGroup="StockDC" count="0" hidden="1"/>
    <cacheHierarchy uniqueName="[Measures].[DCTRNStockCostLC]" caption="DCTRNStockCostLC" measure="1" displayFolder="01_TY\LC" measureGroup="StockDC" count="0" hidden="1"/>
    <cacheHierarchy uniqueName="[Measures].[DCCUSStockCostLC]" caption="DCCUSStockCostLC" measure="1" displayFolder="01_TY\LC" measureGroup="StockDC" count="0" hidden="1"/>
    <cacheHierarchy uniqueName="[Measures].[DCStockCostTRY]" caption="DCStockCostTRY" measure="1" displayFolder="01_TY\TRY" measureGroup="StockDC" count="0" hidden="1"/>
    <cacheHierarchy uniqueName="[Measures].[DCTRNStockCostTRY]" caption="DCTRNStockCostTRY" measure="1" displayFolder="01_TY\TRY" measureGroup="StockDC" count="0" hidden="1"/>
    <cacheHierarchy uniqueName="[Measures].[DCCUSStockCostTRY]" caption="DCCUSStockCostTRY" measure="1" displayFolder="01_TY\TRY" measureGroup="StockDC" count="0" hidden="1"/>
    <cacheHierarchy uniqueName="[Measures].[DCStockCostUSD]" caption="DCStockCostUSD" measure="1" displayFolder="01_TY\USD" measureGroup="StockDC" count="0" hidden="1"/>
    <cacheHierarchy uniqueName="[Measures].[DCTRNStockCostUSD]" caption="DCTRNStockCostUSD" measure="1" displayFolder="01_TY\USD" measureGroup="StockDC" count="0" hidden="1"/>
    <cacheHierarchy uniqueName="[Measures].[DCCUSStockCostUSD]" caption="DCCUSStockCostUSD" measure="1" displayFolder="01_TY\USD" measureGroup="StockDC" count="0" hidden="1"/>
    <cacheHierarchy uniqueName="[Measures].[LYDCStockUnit]" caption="LYDCStockUnit" measure="1" displayFolder="02_LY\_UNIT" measureGroup="StockDC" count="0" hidden="1"/>
    <cacheHierarchy uniqueName="[Measures].[LYDCTRNStockUnit]" caption="LYDCTRNStockUnit" measure="1" displayFolder="02_LY\_UNIT" measureGroup="StockDC" count="0" hidden="1"/>
    <cacheHierarchy uniqueName="[Measures].[LYDCCUSStockUnit]" caption="LYDCCUSStockUnit" measure="1" displayFolder="02_LY\_UNIT" measureGroup="StockDC" count="0" hidden="1"/>
    <cacheHierarchy uniqueName="[Measures].[LYDCStockCostLC]" caption="LYDCStockCostLC" measure="1" displayFolder="02_LY\LC" measureGroup="StockDC" count="0" hidden="1"/>
    <cacheHierarchy uniqueName="[Measures].[LYDCTRNStockCostLC]" caption="LYDCTRNStockCostLC" measure="1" displayFolder="02_LY\LC" measureGroup="StockDC" count="0" hidden="1"/>
    <cacheHierarchy uniqueName="[Measures].[LYDCCUSStockCostLC]" caption="LYDCCUSStockCostLC" measure="1" displayFolder="02_LY\LC" measureGroup="StockDC" count="0" hidden="1"/>
    <cacheHierarchy uniqueName="[Measures].[LYDCStockCostTRY]" caption="LYDCStockCostTRY" measure="1" displayFolder="02_LY\TRY" measureGroup="StockDC" count="0" hidden="1"/>
    <cacheHierarchy uniqueName="[Measures].[LYDCTRNStockCostTRY]" caption="LYDCTRNStockCostTRY" measure="1" displayFolder="02_LY\TRY" measureGroup="StockDC" count="0" hidden="1"/>
    <cacheHierarchy uniqueName="[Measures].[LYDCCUSStockCostTRY]" caption="LYDCCUSStockCostTRY" measure="1" displayFolder="02_LY\TRY" measureGroup="StockDC" count="0" hidden="1"/>
    <cacheHierarchy uniqueName="[Measures].[LYDCStockCostUSD]" caption="LYDCStockCostUSD" measure="1" displayFolder="02_LY\USD" measureGroup="StockDC" count="0" hidden="1"/>
    <cacheHierarchy uniqueName="[Measures].[LYDCTRNStockCostUSD]" caption="LYDCTRNStockCostUSD" measure="1" displayFolder="02_LY\USD" measureGroup="StockDC" count="0" hidden="1"/>
    <cacheHierarchy uniqueName="[Measures].[LYDCCUSStockCostUSD]" caption="LYDCCUSStockCostUSD" measure="1" displayFolder="02_LY\USD" measureGroup="StockDC" count="0" hidden="1"/>
    <cacheHierarchy uniqueName="[Measures].[DCOTHStockUnit]" caption="DCOTHStockUnit" measure="1" displayFolder="01_TY\_UNIT" measureGroup="StockDC" count="0" hidden="1"/>
    <cacheHierarchy uniqueName="[Measures].[DCOthStockCostLC]" caption="DCOthStockCostLC" measure="1" displayFolder="01_TY\LC" measureGroup="StockDC" count="0" hidden="1"/>
    <cacheHierarchy uniqueName="[Measures].[DCOTHStockCostTRY]" caption="DCOTHStockCostTRY" measure="1" displayFolder="01_TY\TRY" measureGroup="StockDC" count="0" hidden="1"/>
    <cacheHierarchy uniqueName="[Measures].[DCOTHStockCostUSD]" caption="DCOTHStockCostUSD" measure="1" displayFolder="01_TY\USD" measureGroup="StockDC" count="0" hidden="1"/>
    <cacheHierarchy uniqueName="[Measures].[LYDCOTHStockUnit]" caption="LYDCOTHStockUnit" measure="1" displayFolder="02_LY\_UNIT" measureGroup="StockDC" count="0" hidden="1"/>
    <cacheHierarchy uniqueName="[Measures].[LYDCOTHStockCostLC]" caption="LYDCOTHStockCostLC" measure="1" displayFolder="02_LY\LC" measureGroup="StockDC" count="0" hidden="1"/>
    <cacheHierarchy uniqueName="[Measures].[LYDCOTHStockCostTRY]" caption="LYDCOTHStockCostTRY" measure="1" displayFolder="02_LY\TRY" measureGroup="StockDC" count="0" hidden="1"/>
    <cacheHierarchy uniqueName="[Measures].[LYDCOTHStockCostUSD]" caption="LYDCOTHStockCostUSD" measure="1" displayFolder="02_LY\USD" measureGroup="StockDC" count="0" hidden="1"/>
    <cacheHierarchy uniqueName="[Measures].[SumofStockUnit]" caption="SumofStockUnit" measure="1" displayFolder="01_TY\_UNIT" measureGroup="StockStore" count="0" hidden="1"/>
    <cacheHierarchy uniqueName="[Measures].[SumofTransitStockUnit]" caption="SumofTransitStockUnit" measure="1" displayFolder="01_TY\_UNIT" measureGroup="StockStore" count="0" hidden="1"/>
    <cacheHierarchy uniqueName="[Measures].[StoreStockCostLC]" caption="StoreStockCostLC" measure="1" displayFolder="01_TY\LC" measureGroup="StockStore" count="0" hidden="1"/>
    <cacheHierarchy uniqueName="[Measures].[StoreTransitStockCostLC]" caption="StoreTransitStockCostLC" measure="1" displayFolder="01_TY\LC" measureGroup="StockStore" count="0" hidden="1"/>
    <cacheHierarchy uniqueName="[Measures].[TyLFLSumofStockUnit]" caption="TyLFLSumofStockUnit" measure="1" displayFolder="02_TYLFL\_UNIT" measureGroup="StockStore" count="0" hidden="1"/>
    <cacheHierarchy uniqueName="[Measures].[TyLFLSumofTransitStockUnit]" caption="TyLFLSumofTransitStockUnit" measure="1" displayFolder="02_TYLFL\_UNIT" measureGroup="StockStore" count="0" hidden="1"/>
    <cacheHierarchy uniqueName="[Measures].[TYlfl StoreStockCostLC]" caption="TYlfl StoreStockCostLC" measure="1" displayFolder="02_TYLFL\LC" measureGroup="StockStore" count="0" hidden="1"/>
    <cacheHierarchy uniqueName="[Measures].[TYlfl StoreTransitStockCostLC]" caption="TYlfl StoreTransitStockCostLC" measure="1" displayFolder="02_TYLFL\LC" measureGroup="StockStore" count="0" hidden="1"/>
    <cacheHierarchy uniqueName="[Measures].[StoreStockCostTRY]" caption="StoreStockCostTRY" measure="1" displayFolder="01_TY\TRY" measureGroup="StockStore" count="0" hidden="1"/>
    <cacheHierarchy uniqueName="[Measures].[StoreTransitStockCostTRY]" caption="StoreTransitStockCostTRY" measure="1" displayFolder="01_TY\TRY" measureGroup="StockStore" count="0" hidden="1"/>
    <cacheHierarchy uniqueName="[Measures].[StoreStockCostUSD]" caption="StoreStockCostUSD" measure="1" displayFolder="01_TY\USD" measureGroup="StockStore" count="0" hidden="1"/>
    <cacheHierarchy uniqueName="[Measures].[StoreTransitStockCostUSD]" caption="StoreTransitStockCostUSD" measure="1" displayFolder="01_TY\USD" measureGroup="StockStore" count="0" hidden="1"/>
    <cacheHierarchy uniqueName="[Measures].[TYLFL StoreStockCostTRY]" caption="TYLFL StoreStockCostTRY" measure="1" displayFolder="02_TYLFL\TRY" measureGroup="StockStore" count="0" hidden="1"/>
    <cacheHierarchy uniqueName="[Measures].[TYLFL StoreTransitStockCostTRY]" caption="TYLFL StoreTransitStockCostTRY" measure="1" displayFolder="02_TYLFL\TRY" measureGroup="StockStore" count="0" hidden="1"/>
    <cacheHierarchy uniqueName="[Measures].[TYLFL StoreStockCostUSD]" caption="TYLFL StoreStockCostUSD" measure="1" displayFolder="02_TYLFL\USD" measureGroup="StockStore" count="0" hidden="1"/>
    <cacheHierarchy uniqueName="[Measures].[TYLFL StoreTransitStockCostUSD]" caption="TYLFL StoreTransitStockCostUSD" measure="1" displayFolder="02_TYLFL\USD" measureGroup="StockStore" count="0" hidden="1"/>
    <cacheHierarchy uniqueName="[Measures].[LYSumofStockUnit]" caption="LYSumofStockUnit" measure="1" displayFolder="03_LY\_UNIT" measureGroup="StockStore" count="0" hidden="1"/>
    <cacheHierarchy uniqueName="[Measures].[LYSumofTransitStockUnit]" caption="LYSumofTransitStockUnit" measure="1" displayFolder="03_LY\_UNIT" measureGroup="StockStore" count="0" hidden="1"/>
    <cacheHierarchy uniqueName="[Measures].[LYStoreStockCostLC]" caption="LYStoreStockCostLC" measure="1" displayFolder="03_LY\LC" measureGroup="StockStore" count="0" hidden="1"/>
    <cacheHierarchy uniqueName="[Measures].[LYStoreTransitStockCostLC]" caption="LYStoreTransitStockCostLC" measure="1" displayFolder="03_LY\LC" measureGroup="StockStore" count="0" hidden="1"/>
    <cacheHierarchy uniqueName="[Measures].[LYStoreStockCostTRY]" caption="LYStoreStockCostTRY" measure="1" displayFolder="03_LY\TRY" measureGroup="StockStore" count="0" hidden="1"/>
    <cacheHierarchy uniqueName="[Measures].[LYStoreTransitStockCostTRY]" caption="LYStoreTransitStockCostTRY" measure="1" displayFolder="03_LY\TRY" measureGroup="StockStore" count="0" hidden="1"/>
    <cacheHierarchy uniqueName="[Measures].[LYStoreStockCostUSD]" caption="LYStoreStockCostUSD" measure="1" displayFolder="03_LY\USD" measureGroup="StockStore" count="0" hidden="1"/>
    <cacheHierarchy uniqueName="[Measures].[LYStoreTransitStockCostUSD]" caption="LYStoreTransitStockCostUSD" measure="1" displayFolder="03_LY\USD" measureGroup="StockStore" count="0" hidden="1"/>
    <cacheHierarchy uniqueName="[Measures].[LyLFLSumofStockUnit]" caption="LyLFLSumofStockUnit" measure="1" displayFolder="04_LYLFL\_UNIT" measureGroup="StockStore" count="0" hidden="1"/>
    <cacheHierarchy uniqueName="[Measures].[LyLFLSumofTransitStockUnit]" caption="LyLFLSumofTransitStockUnit" measure="1" displayFolder="04_LYLFL\_UNIT" measureGroup="StockStore" count="0" hidden="1"/>
    <cacheHierarchy uniqueName="[Measures].[LYlfl StoreStockCostLC]" caption="LYlfl StoreStockCostLC" measure="1" displayFolder="04_LYLFL\LC" measureGroup="StockStore" count="0" hidden="1"/>
    <cacheHierarchy uniqueName="[Measures].[LYlfl StoreTransitStockCostLC]" caption="LYlfl StoreTransitStockCostLC" measure="1" displayFolder="04_LYLFL\LC" measureGroup="StockStore" count="0" hidden="1"/>
    <cacheHierarchy uniqueName="[Measures].[LYLFL StoreStockCostTRY]" caption="LYLFL StoreStockCostTRY" measure="1" displayFolder="04_LYLFL\TRY" measureGroup="StockStore" count="0" hidden="1"/>
    <cacheHierarchy uniqueName="[Measures].[LYLFL StoreTransitStockCostTRY]" caption="LYLFL StoreTransitStockCostTRY" measure="1" displayFolder="04_LYLFL\TRY" measureGroup="StockStore" count="0" hidden="1"/>
    <cacheHierarchy uniqueName="[Measures].[LYLFL StoreStockCostUSD]" caption="LYLFL StoreStockCostUSD" measure="1" displayFolder="04_LYLFL\USD" measureGroup="StockStore" count="0" hidden="1"/>
    <cacheHierarchy uniqueName="[Measures].[LYLFL StoreTransitStockCostUSD]" caption="LYLFL StoreTransitStockCostUSD" measure="1" displayFolder="04_LYLFL\USD" measureGroup="StockStore" count="0" hidden="1"/>
    <cacheHierarchy uniqueName="[Measures].[RoEcomStok]" caption="RoEcomStok" measure="1" displayFolder="" measureGroup="StockStore" count="0" hidden="1"/>
    <cacheHierarchy uniqueName="[Measures].[laststokdate]" caption="laststokdate" measure="1" displayFolder="" measureGroup="StockStore" count="0" hidden="1"/>
    <cacheHierarchy uniqueName="[Measures].[SumofOtherStockUnit]" caption="SumofOtherStockUnit" measure="1" displayFolder="" measureGroup="StockStore" count="0" hidden="1"/>
    <cacheHierarchy uniqueName="[Measures].[TyLFLSumofOtherStockUnit]" caption="TyLFLSumofOtherStockUnit" measure="1" displayFolder="" measureGroup="StockStore" count="0" hidden="1"/>
    <cacheHierarchy uniqueName="[Measures].[LYSumofOtherStockUnit]" caption="LYSumofOtherStockUnit" measure="1" displayFolder="" measureGroup="StockStore" count="0" hidden="1"/>
    <cacheHierarchy uniqueName="[Measures].[LyLFLSumofOtherStockUnit]" caption="LyLFLSumofOtherStockUnit" measure="1" displayFolder="" measureGroup="StockStore" count="0" hidden="1"/>
    <cacheHierarchy uniqueName="[Measures].[StoreOtherStockCostTRY]" caption="StoreOtherStockCostTRY" measure="1" displayFolder="" measureGroup="StockStore" count="0" hidden="1"/>
    <cacheHierarchy uniqueName="[Measures].[StoreOtherStockCostLC]" caption="StoreOtherStockCostLC" measure="1" displayFolder="" measureGroup="StockStore" count="0" hidden="1"/>
    <cacheHierarchy uniqueName="[Measures].[StoreOtherStockCostUSD]" caption="StoreOtherStockCostUSD" measure="1" displayFolder="" measureGroup="StockStore" count="0" hidden="1"/>
    <cacheHierarchy uniqueName="[Measures].[Salable Stock Unit]" caption="Salable Stock Unit" measure="1" displayFolder="" measureGroup="StockStore" count="0" hidden="1"/>
    <cacheHierarchy uniqueName="[Measures].[LYStoreOtherStockCostLC]" caption="LYStoreOtherStockCostLC" measure="1" displayFolder="" measureGroup="StockStore" count="0" hidden="1"/>
    <cacheHierarchy uniqueName="[Measures].[LYStoreOtherStockCostTRY]" caption="LYStoreOtherStockCostTRY" measure="1" displayFolder="" measureGroup="StockStore" count="0" hidden="1"/>
    <cacheHierarchy uniqueName="[Measures].[LYStoreOtherStockCostUSD]" caption="LYStoreOtherStockCostUSD" measure="1" displayFolder="" measureGroup="StockStore" count="0" hidden="1"/>
    <cacheHierarchy uniqueName="[Measures].[Copy of CUR Open Transfer Store Stock Unit]" caption="Copy of CUR Open Transfer Store Stock Unit" measure="1" displayFolder="" measureGroup="StockStore" count="0" hidden="1"/>
    <cacheHierarchy uniqueName="[Measures].[SumofStockUnitDm3]" caption="SumofStockUnitDm3" measure="1" displayFolder="" measureGroup="StockStore" count="0" hidden="1"/>
    <cacheHierarchy uniqueName="[Measures].[SumofTransitStockUnitDm3]" caption="SumofTransitStockUnitDm3" measure="1" displayFolder="" measureGroup="StockStore" count="0" hidden="1"/>
    <cacheHierarchy uniqueName="[Measures].[TY CSP Sales Value VAT LC]" caption="TY CSP Sales Value VAT LC" measure="1" displayFolder="01_TY\LC" measureGroup="Sales" count="0" hidden="1"/>
    <cacheHierarchy uniqueName="[Measures].[TY CSP Sales Value LC]" caption="TY CSP Sales Value LC" measure="1" displayFolder="01_TY\LC" measureGroup="Sales" count="0" hidden="1"/>
    <cacheHierarchy uniqueName="[Measures].[TY CSP Sales Value VAT TRY]" caption="TY CSP Sales Value VAT TRY" measure="1" displayFolder="01_TY\TRY" measureGroup="Sales" count="0" hidden="1"/>
    <cacheHierarchy uniqueName="[Measures].[TY CSP Sales Value TRY]" caption="TY CSP Sales Value TRY" measure="1" displayFolder="01_TY\TRY" measureGroup="Sales" count="0" hidden="1"/>
    <cacheHierarchy uniqueName="[Measures].[LY CSP Sales Value VAT LC]" caption="LY CSP Sales Value VAT LC" measure="1" displayFolder="03_LY\LC" measureGroup="Sales" count="0" hidden="1"/>
    <cacheHierarchy uniqueName="[Measures].[LY CSP Sales Value LC]" caption="LY CSP Sales Value LC" measure="1" displayFolder="03_LY\LC" measureGroup="Sales" count="0" hidden="1"/>
    <cacheHierarchy uniqueName="[Measures].[TY LFL CSP Sales Value VAT LC]" caption="TY LFL CSP Sales Value VAT LC" measure="1" displayFolder="02_TYLFL\LC" measureGroup="Sales" count="0" hidden="1"/>
    <cacheHierarchy uniqueName="[Measures].[TY LFL CSP Sales Value LC]" caption="TY LFL CSP Sales Value LC" measure="1" displayFolder="02_TYLFL\LC" measureGroup="Sales" count="0" hidden="1"/>
    <cacheHierarchy uniqueName="[Measures].[TY CSP Sales Value VAT USD]" caption="TY CSP Sales Value VAT USD" measure="1" displayFolder="01_TY\USD" measureGroup="Sales" count="0" hidden="1"/>
    <cacheHierarchy uniqueName="[Measures].[TY CSP Sales Value USD]" caption="TY CSP Sales Value USD" measure="1" displayFolder="01_TY\USD" measureGroup="Sales" count="0" hidden="1"/>
    <cacheHierarchy uniqueName="[Measures].[TY LFL CSP Sales Value VAT TRY]" caption="TY LFL CSP Sales Value VAT TRY" measure="1" displayFolder="02_TYLFL\TRY" measureGroup="Sales" count="0" hidden="1"/>
    <cacheHierarchy uniqueName="[Measures].[TY LFL CSP Sales Value TRY]" caption="TY LFL CSP Sales Value TRY" measure="1" displayFolder="02_TYLFL\TRY" measureGroup="Sales" count="0" hidden="1"/>
    <cacheHierarchy uniqueName="[Measures].[TY LFL CSP Sales Value VAT USD]" caption="TY LFL CSP Sales Value VAT USD" measure="1" displayFolder="02_TYLFL\USD" measureGroup="Sales" count="0" hidden="1"/>
    <cacheHierarchy uniqueName="[Measures].[TY LFL CSP Sales Value USD]" caption="TY LFL CSP Sales Value USD" measure="1" displayFolder="02_TYLFL\USD" measureGroup="Sales" count="0" hidden="1"/>
    <cacheHierarchy uniqueName="[Measures].[LY CSP Sales Value VAT TRY]" caption="LY CSP Sales Value VAT TRY" measure="1" displayFolder="03_LY\TRY" measureGroup="Sales" count="0" hidden="1"/>
    <cacheHierarchy uniqueName="[Measures].[LY CSP Sales Value TRY]" caption="LY CSP Sales Value TRY" measure="1" displayFolder="03_LY\TRY" measureGroup="Sales" count="0" hidden="1"/>
    <cacheHierarchy uniqueName="[Measures].[LY CSP Sales Value VAT USD]" caption="LY CSP Sales Value VAT USD" measure="1" displayFolder="03_LY\USD" measureGroup="Sales" count="0" hidden="1"/>
    <cacheHierarchy uniqueName="[Measures].[LY CSP Sales Value USD]" caption="LY CSP Sales Value USD" measure="1" displayFolder="03_LY\USD" measureGroup="Sales" count="0" hidden="1"/>
    <cacheHierarchy uniqueName="[Measures].[LY LFL CSP Sales Value VAT LC]" caption="LY LFL CSP Sales Value VAT LC" measure="1" displayFolder="04_LYLFL\LC" measureGroup="Sales" count="0" hidden="1"/>
    <cacheHierarchy uniqueName="[Measures].[LY LFL CSP Sales Value LC]" caption="LY LFL CSP Sales Value LC" measure="1" displayFolder="04_LYLFL\LC" measureGroup="Sales" count="0" hidden="1"/>
    <cacheHierarchy uniqueName="[Measures].[LY LFL CSP Sales Value VAT TRY]" caption="LY LFL CSP Sales Value VAT TRY" measure="1" displayFolder="04_LYLFL\TRY" measureGroup="Sales" count="0" hidden="1"/>
    <cacheHierarchy uniqueName="[Measures].[LY LFL CSP Sales Value TRY]" caption="LY LFL CSP Sales Value TRY" measure="1" displayFolder="04_LYLFL\TRY" measureGroup="Sales" count="0" hidden="1"/>
    <cacheHierarchy uniqueName="[Measures].[LY LFL CSP Sales Value VAT USD]" caption="LY LFL CSP Sales Value VAT USD" measure="1" displayFolder="04_LYLFL\USD" measureGroup="Sales" count="0" hidden="1"/>
    <cacheHierarchy uniqueName="[Measures].[LY LFL CSP Sales Value USD]" caption="LY LFL CSP Sales Value USD" measure="1" displayFolder="04_LYLFL\USD" measureGroup="Sales" count="0" hidden="1"/>
    <cacheHierarchy uniqueName="[Measures].[TY Unit CSP LC]" caption="TY Unit CSP LC" measure="1" displayFolder="01_TY\LC" measureGroup="Sales" count="0" hidden="1"/>
    <cacheHierarchy uniqueName="[Measures].[LY Unit CSP LC]" caption="LY Unit CSP LC" measure="1" displayFolder="03_LY\LC" measureGroup="Sales" count="0" hidden="1"/>
    <cacheHierarchy uniqueName="[Measures].[TY LFL Unit CSP LC]" caption="TY LFL Unit CSP LC" measure="1" displayFolder="02_TYLFL\LC" measureGroup="Sales" count="0" hidden="1"/>
    <cacheHierarchy uniqueName="[Measures].[LY LFL Unit CSP LC]" caption="LY LFL Unit CSP LC" measure="1" displayFolder="04_LYLFL\LC" measureGroup="Sales" count="0" hidden="1"/>
    <cacheHierarchy uniqueName="[Measures].[TY Unit CSP TRY]" caption="TY Unit CSP TRY" measure="1" displayFolder="01_TY\TRY" measureGroup="Sales" count="0" hidden="1"/>
    <cacheHierarchy uniqueName="[Measures].[LY Unit CSP TRY]" caption="LY Unit CSP TRY" measure="1" displayFolder="03_LY\TRY" measureGroup="Sales" count="0" hidden="1"/>
    <cacheHierarchy uniqueName="[Measures].[TY LFL Unit CSPTRY]" caption="TY LFL Unit CSPTRY" measure="1" displayFolder="02_TYLFL\TRY" measureGroup="Sales" count="0" hidden="1"/>
    <cacheHierarchy uniqueName="[Measures].[LY LFL Unit CSP TRY]" caption="LY LFL Unit CSP TRY" measure="1" displayFolder="04_LYLFL\TRY" measureGroup="Sales" count="0" hidden="1"/>
    <cacheHierarchy uniqueName="[Measures].[TY Unit CSP USD]" caption="TY Unit CSP USD" measure="1" displayFolder="01_TY\USD" measureGroup="Sales" count="0" hidden="1"/>
    <cacheHierarchy uniqueName="[Measures].[LY Unit CSP USD]" caption="LY Unit CSP USD" measure="1" displayFolder="03_LY\USD" measureGroup="Sales" count="0" hidden="1"/>
    <cacheHierarchy uniqueName="[Measures].[TY LFL Unit CSP USD]" caption="TY LFL Unit CSP USD" measure="1" displayFolder="02_TYLFL\USD" measureGroup="Sales" count="0" hidden="1"/>
    <cacheHierarchy uniqueName="[Measures].[SumofSalesUnitDm3]" caption="SumofSalesUnitDm3" measure="1" displayFolder="" measureGroup="Sales" count="0" hidden="1"/>
    <cacheHierarchy uniqueName="[Measures].[TY Store Cover Unit]" caption="TY Store Cover Unit" measure="1" displayFolder="01_TY\_UNIT" measureGroup="KPI" count="0" hidden="1"/>
    <cacheHierarchy uniqueName="[Measures].[TY Store Cover LC]" caption="TY Store Cover LC" measure="1" displayFolder="01_TY\LC" measureGroup="KPI" count="0" hidden="1"/>
    <cacheHierarchy uniqueName="[Measures].[TY Store Cover TRY]" caption="TY Store Cover TRY" measure="1" displayFolder="01_TY\TRY" measureGroup="KPI" count="0" hidden="1"/>
    <cacheHierarchy uniqueName="[Measures].[TY Store Cover USD]" caption="TY Store Cover USD" measure="1" displayFolder="01_TY\USD" measureGroup="KPI" count="0" hidden="1"/>
    <cacheHierarchy uniqueName="[Measures].[LY Store Cover LC]" caption="LY Store Cover LC" measure="1" displayFolder="03_LY\LC" measureGroup="KPI" count="0" hidden="1"/>
    <cacheHierarchy uniqueName="[Measures].[LY Store Cover TRY]" caption="LY Store Cover TRY" measure="1" displayFolder="03_LY\TRY" measureGroup="KPI" count="0" hidden="1"/>
    <cacheHierarchy uniqueName="[Measures].[LY Store Cover USD]" caption="LY Store Cover USD" measure="1" displayFolder="03_LY\USD" measureGroup="KPI" count="0" hidden="1"/>
    <cacheHierarchy uniqueName="[Measures].[TY LFL Store Cover LC]" caption="TY LFL Store Cover LC" measure="1" displayFolder="02_TYLFL\LC" measureGroup="KPI" count="0" hidden="1"/>
    <cacheHierarchy uniqueName="[Measures].[TY LFL Store Cover TRY]" caption="TY LFL Store Cover TRY" measure="1" displayFolder="02_TYLFL\TRY" measureGroup="KPI" count="0" hidden="1"/>
    <cacheHierarchy uniqueName="[Measures].[TY LFL Store Cover USD]" caption="TY LFL Store Cover USD" measure="1" displayFolder="02_TYLFL\USD" measureGroup="KPI" count="0" hidden="1"/>
    <cacheHierarchy uniqueName="[Measures].[LY LFL Store Cover LC]" caption="LY LFL Store Cover LC" measure="1" displayFolder="04_LYLFL\LC" measureGroup="KPI" count="0" hidden="1"/>
    <cacheHierarchy uniqueName="[Measures].[LY LFL Store Cover TRY]" caption="LY LFL Store Cover TRY" measure="1" displayFolder="04_LYLFL\TRY" measureGroup="KPI" count="0" hidden="1"/>
    <cacheHierarchy uniqueName="[Measures].[LY LFL Store Cover USD]" caption="LY LFL Store Cover USD" measure="1" displayFolder="04_LYLFL\USD" measureGroup="KPI" count="0" hidden="1"/>
    <cacheHierarchy uniqueName="[Measures].[LY Store Cover Unit]" caption="LY Store Cover Unit" measure="1" displayFolder="03_LY\_UNIT" measureGroup="KPI" count="0" hidden="1"/>
    <cacheHierarchy uniqueName="[Measures].[TY LFL Store Cover Unit]" caption="TY LFL Store Cover Unit" measure="1" displayFolder="02_TYLFL\_UNIT" measureGroup="KPI" count="0" hidden="1"/>
    <cacheHierarchy uniqueName="[Measures].[LY LFL Store Cover Unit]" caption="LY LFL Store Cover Unit" measure="1" displayFolder="04_LYLFL\_UNIT" measureGroup="KPI" count="0" hidden="1"/>
    <cacheHierarchy uniqueName="[Measures].[Store Cover Unit TYvsLY%]" caption="Store Cover Unit TYvsLY%" measure="1" displayFolder="01_TY\_UNIT" measureGroup="KPI" count="0" hidden="1"/>
    <cacheHierarchy uniqueName="[Measures].[LFL Store Cover Unit TYvsLY%]" caption="LFL Store Cover Unit TYvsLY%" measure="1" displayFolder="02_TYLFL\_UNIT" measureGroup="KPI" count="0" hidden="1"/>
    <cacheHierarchy uniqueName="[Measures].[TY Country Back Cover Unit TR]" caption="TY Country Back Cover Unit TR" measure="1" displayFolder="" measureGroup="KPI" count="0" hidden="1"/>
    <cacheHierarchy uniqueName="[Measures].[TY Country Back Cover Unit YD]" caption="TY Country Back Cover Unit YD" measure="1" displayFolder="" measureGroup="KPI" count="0" hidden="1"/>
    <cacheHierarchy uniqueName="[Measures].[TY SKU Count by Store Stock]" caption="TY SKU Count by Store Stock" measure="1" displayFolder="01_TY\_UNIT" measureGroup="KPI" count="0" hidden="1"/>
    <cacheHierarchy uniqueName="[Measures].[LY SKU Count by Store Stock]" caption="LY SKU Count by Store Stock" measure="1" displayFolder="03_LY\_UNIT" measureGroup="KPI" count="0" hidden="1"/>
    <cacheHierarchy uniqueName="[Measures].[TY LFL SKU Count by Store Stock]" caption="TY LFL SKU Count by Store Stock" measure="1" displayFolder="02_TYLFL\_UNIT" measureGroup="KPI" count="0" hidden="1"/>
    <cacheHierarchy uniqueName="[Measures].[LY LFL SKU Count by Store Stock]" caption="LY LFL SKU Count by Store Stock" measure="1" displayFolder="04_LYLFL\_UNIT" measureGroup="KPI" count="0" hidden="1"/>
    <cacheHierarchy uniqueName="[Measures].[CUR Store Count by Total Stock]" caption="CUR Store Count by Total Stock" measure="1" displayFolder="01_TY\_UNIT" measureGroup="KPI" count="0" hidden="1"/>
    <cacheHierarchy uniqueName="[Measures].[Last 21Days TY Sales Unit]" caption="Last 21Days TY Sales Unit" measure="1" displayFolder="LASTN" measureGroup="KPI" count="0" hidden="1"/>
    <cacheHierarchy uniqueName="[Measures].[PO Unit Total]" caption="PO Unit Total" measure="1" displayFolder="" measureGroup="PurchaseOrder" count="0" hidden="1"/>
    <cacheHierarchy uniqueName="[Measures].[PO Unit Running Total 30 Days]" caption="PO Unit Running Total 30 Days" measure="1" displayFolder="" measureGroup="PurchaseOrder" count="0" hidden="1"/>
    <cacheHierarchy uniqueName="[Measures].[PO Unit Last 30 Days Total]" caption="PO Unit Last 30 Days Total" measure="1" displayFolder="" measureGroup="PurchaseOrder" count="0" hidden="1"/>
    <cacheHierarchy uniqueName="[Measures].[Goods Receipt PO Unit Base]" caption="Goods Receipt PO Unit Base" measure="1" displayFolder="_UNIT" measureGroup="PurchaseOrder" count="0" hidden="1"/>
    <cacheHierarchy uniqueName="[Measures].[Goods Receipt PO Value LC Base]" caption="Goods Receipt PO Value LC Base" measure="1" displayFolder="_VALUE" measureGroup="PurchaseOrder" count="0" hidden="1"/>
    <cacheHierarchy uniqueName="[Measures].[Goods Receipt PO Value Navlun LC Base]" caption="Goods Receipt PO Value Navlun LC Base" measure="1" displayFolder="" measureGroup="PurchaseOrder" count="0" hidden="1"/>
    <cacheHierarchy uniqueName="[Measures].[Goods Receipt PO Value LC Old]" caption="Goods Receipt PO Value LC Old" measure="1" displayFolder="_VALUE" measureGroup="PurchaseOrder" count="0" hidden="1"/>
    <cacheHierarchy uniqueName="[Measures].[Goods Receipt PO Unit Base (WholeSale)]" caption="Goods Receipt PO Unit Base (WholeSale)" measure="1" displayFolder="" measureGroup="PurchaseOrder" count="0" hidden="1"/>
    <cacheHierarchy uniqueName="[Measures].[Goods Receipt PO Value Navlun LC Base (WholeSale)]" caption="Goods Receipt PO Value Navlun LC Base (WholeSale)" measure="1" displayFolder="" measureGroup="PurchaseOrder" count="0" hidden="1"/>
    <cacheHierarchy uniqueName="[Measures].[TyLFLSumofCapacityPlanUnit]" caption="TyLFLSumofCapacityPlanUnit" measure="1" displayFolder="" measureGroup="Capacity" count="0" hidden="1"/>
    <cacheHierarchy uniqueName="[Measures].[TySumofCapacityPlanUnit]" caption="TySumofCapacityPlanUnit" measure="1" displayFolder="" measureGroup="Capacity" count="0" hidden="1"/>
    <cacheHierarchy uniqueName="[Measures].[CUR Backstore Capacity Area]" caption="CUR Backstore Capacity Area" measure="1" displayFolder="00_CURRENT\_UNIT" measureGroup="Capacity" count="0" hidden="1"/>
    <cacheHierarchy uniqueName="[Measures].[TySumofCapacityPlanCostLC]" caption="TySumofCapacityPlanCostLC" measure="1" displayFolder="" measureGroup="Capacity" count="0" hidden="1"/>
    <cacheHierarchy uniqueName="[Measures].[TyLFLSumofCapacityPlanCostLC]" caption="TyLFLSumofCapacityPlanCostLC" measure="1" displayFolder="" measureGroup="Capacity" count="0" hidden="1"/>
    <cacheHierarchy uniqueName="[Measures].[CUR NET Cumulative Stock DM3]" caption="CUR NET Cumulative Stock DM3" measure="1" displayFolder="" measureGroup="Capacity" count="0" hidden="1"/>
  </cacheHierarchies>
  <kpis count="0"/>
  <dimensions count="13">
    <dimension name="Calendar" uniqueName="[Calendar]" caption="Calendar"/>
    <dimension name="DCWarehouse" uniqueName="[DCWarehouse]" caption="DCWarehouse"/>
    <dimension name="Delivery" uniqueName="[Delivery]" caption="Delivery"/>
    <dimension name="ISPUnitPrice" uniqueName="[ISPUnitPrice]" caption="ISPUnitPrice"/>
    <dimension name="Material" uniqueName="[Material]" caption="Material"/>
    <dimension measure="1" name="Measures" uniqueName="[Measures]" caption="Measures"/>
    <dimension name="SalesBudget" uniqueName="[SalesBudget]" caption="SalesBudget"/>
    <dimension name="SalesChannel" uniqueName="[SalesChannel]" caption="SalesChannel"/>
    <dimension name="SalesSeason" uniqueName="[SalesSeason]" caption="SalesSeason"/>
    <dimension name="StockList" uniqueName="[StockList]" caption="StockList"/>
    <dimension name="Store" uniqueName="[Store]" caption="Store"/>
    <dimension name="StoreLFLStatu" uniqueName="[StoreLFLStatu]" caption="StoreLFLStatu"/>
    <dimension name="SubDistChannel" uniqueName="[SubDistChannel]" caption="SubDistChannel"/>
  </dimensions>
  <measureGroups count="35">
    <measureGroup name="Calendar" caption="Calendar"/>
    <measureGroup name="Capacity" caption="Capacity"/>
    <measureGroup name="CapacityPlanTY" caption="CapacityPlanTY"/>
    <measureGroup name="CurrentStockSales" caption="CurrentStockSales"/>
    <measureGroup name="CurrentStockStore" caption="CurrentStockStore"/>
    <measureGroup name="DCWarehouse" caption="DCWarehouse"/>
    <measureGroup name="Delivery" caption="Delivery"/>
    <measureGroup name="ISPUnitPrice" caption="ISPUnitPrice"/>
    <measureGroup name="KPI" caption="KPI"/>
    <measureGroup name="LFLDate" caption="LFLDate"/>
    <measureGroup name="Material" caption="Material"/>
    <measureGroup name="OpenImportsDCStock" caption="OpenImportsDCStock"/>
    <measureGroup name="OpenImportsStoreStock" caption="OpenImportsStoreStock"/>
    <measureGroup name="PurchaseOrder" caption="PurchaseOrder"/>
    <measureGroup name="PurchaseOrderGR" caption="PurchaseOrderGR"/>
    <measureGroup name="Sales" caption="Sales"/>
    <measureGroup name="SalesBudget" caption="SalesBudget"/>
    <measureGroup name="SalesBudgetLY" caption="SalesBudgetLY"/>
    <measureGroup name="SalesChannel" caption="SalesChannel"/>
    <measureGroup name="SalesLY" caption="SalesLY"/>
    <measureGroup name="SalesSeason" caption="SalesSeason"/>
    <measureGroup name="SalesTY" caption="SalesTY"/>
    <measureGroup name="StockDC" caption="StockDC"/>
    <measureGroup name="StockDCLY" caption="StockDCLY"/>
    <measureGroup name="StockList" caption="StockList"/>
    <measureGroup name="StockStore" caption="StockStore"/>
    <measureGroup name="StockStoreLY" caption="StockStoreLY"/>
    <measureGroup name="Store" caption="Store"/>
    <measureGroup name="StoreCapacity" caption="StoreCapacity"/>
    <measureGroup name="StoreLFLStatu" caption="StoreLFLStatu"/>
    <measureGroup name="StoreTarget" caption="StoreTarget"/>
    <measureGroup name="StoreTargetLY" caption="StoreTargetLY"/>
    <measureGroup name="SubDistChannel" caption="SubDistChannel"/>
    <measureGroup name="Visitor" caption="Visitor"/>
    <measureGroup name="VisitorHourly" caption="VisitorHourly"/>
  </measureGroups>
  <maps count="130">
    <map measureGroup="0" dimension="0"/>
    <map measureGroup="1" dimension="0"/>
    <map measureGroup="1" dimension="4"/>
    <map measureGroup="1" dimension="7"/>
    <map measureGroup="1" dimension="8"/>
    <map measureGroup="1" dimension="10"/>
    <map measureGroup="1" dimension="11"/>
    <map measureGroup="1" dimension="12"/>
    <map measureGroup="2" dimension="0"/>
    <map measureGroup="2" dimension="4"/>
    <map measureGroup="2" dimension="7"/>
    <map measureGroup="2" dimension="12"/>
    <map measureGroup="3" dimension="4"/>
    <map measureGroup="3" dimension="10"/>
    <map measureGroup="4" dimension="3"/>
    <map measureGroup="4" dimension="4"/>
    <map measureGroup="4" dimension="7"/>
    <map measureGroup="4" dimension="10"/>
    <map measureGroup="4" dimension="12"/>
    <map measureGroup="5" dimension="1"/>
    <map measureGroup="6" dimension="0"/>
    <map measureGroup="6" dimension="2"/>
    <map measureGroup="6" dimension="4"/>
    <map measureGroup="7" dimension="3"/>
    <map measureGroup="9" dimension="0"/>
    <map measureGroup="9" dimension="7"/>
    <map measureGroup="9" dimension="12"/>
    <map measureGroup="10" dimension="4"/>
    <map measureGroup="11" dimension="1"/>
    <map measureGroup="11" dimension="4"/>
    <map measureGroup="11" dimension="9"/>
    <map measureGroup="12" dimension="4"/>
    <map measureGroup="12" dimension="7"/>
    <map measureGroup="12" dimension="9"/>
    <map measureGroup="12" dimension="10"/>
    <map measureGroup="12" dimension="12"/>
    <map measureGroup="13" dimension="0"/>
    <map measureGroup="13" dimension="1"/>
    <map measureGroup="13" dimension="4"/>
    <map measureGroup="13" dimension="7"/>
    <map measureGroup="13" dimension="8"/>
    <map measureGroup="13" dimension="11"/>
    <map measureGroup="13" dimension="12"/>
    <map measureGroup="14" dimension="0"/>
    <map measureGroup="14" dimension="1"/>
    <map measureGroup="14" dimension="4"/>
    <map measureGroup="14" dimension="7"/>
    <map measureGroup="14" dimension="8"/>
    <map measureGroup="14" dimension="11"/>
    <map measureGroup="14" dimension="12"/>
    <map measureGroup="16" dimension="0"/>
    <map measureGroup="16" dimension="4"/>
    <map measureGroup="16" dimension="6"/>
    <map measureGroup="16" dimension="7"/>
    <map measureGroup="16" dimension="12"/>
    <map measureGroup="17" dimension="0"/>
    <map measureGroup="17" dimension="4"/>
    <map measureGroup="17" dimension="7"/>
    <map measureGroup="17" dimension="12"/>
    <map measureGroup="18" dimension="7"/>
    <map measureGroup="18" dimension="12"/>
    <map measureGroup="19" dimension="0"/>
    <map measureGroup="19" dimension="3"/>
    <map measureGroup="19" dimension="4"/>
    <map measureGroup="19" dimension="7"/>
    <map measureGroup="19" dimension="8"/>
    <map measureGroup="19" dimension="10"/>
    <map measureGroup="19" dimension="11"/>
    <map measureGroup="19" dimension="12"/>
    <map measureGroup="20" dimension="8"/>
    <map measureGroup="21" dimension="0"/>
    <map measureGroup="21" dimension="3"/>
    <map measureGroup="21" dimension="4"/>
    <map measureGroup="21" dimension="7"/>
    <map measureGroup="21" dimension="8"/>
    <map measureGroup="21" dimension="10"/>
    <map measureGroup="21" dimension="11"/>
    <map measureGroup="21" dimension="12"/>
    <map measureGroup="22" dimension="0"/>
    <map measureGroup="22" dimension="1"/>
    <map measureGroup="22" dimension="3"/>
    <map measureGroup="22" dimension="4"/>
    <map measureGroup="22" dimension="8"/>
    <map measureGroup="23" dimension="0"/>
    <map measureGroup="23" dimension="1"/>
    <map measureGroup="23" dimension="3"/>
    <map measureGroup="23" dimension="4"/>
    <map measureGroup="23" dimension="8"/>
    <map measureGroup="24" dimension="9"/>
    <map measureGroup="25" dimension="0"/>
    <map measureGroup="25" dimension="3"/>
    <map measureGroup="25" dimension="4"/>
    <map measureGroup="25" dimension="7"/>
    <map measureGroup="25" dimension="8"/>
    <map measureGroup="25" dimension="10"/>
    <map measureGroup="25" dimension="11"/>
    <map measureGroup="25" dimension="12"/>
    <map measureGroup="26" dimension="0"/>
    <map measureGroup="26" dimension="3"/>
    <map measureGroup="26" dimension="4"/>
    <map measureGroup="26" dimension="7"/>
    <map measureGroup="26" dimension="8"/>
    <map measureGroup="26" dimension="10"/>
    <map measureGroup="26" dimension="11"/>
    <map measureGroup="26" dimension="12"/>
    <map measureGroup="27" dimension="10"/>
    <map measureGroup="28" dimension="4"/>
    <map measureGroup="28" dimension="7"/>
    <map measureGroup="28" dimension="8"/>
    <map measureGroup="28" dimension="10"/>
    <map measureGroup="28" dimension="11"/>
    <map measureGroup="28" dimension="12"/>
    <map measureGroup="29" dimension="11"/>
    <map measureGroup="30" dimension="0"/>
    <map measureGroup="30" dimension="7"/>
    <map measureGroup="30" dimension="10"/>
    <map measureGroup="30" dimension="12"/>
    <map measureGroup="31" dimension="0"/>
    <map measureGroup="31" dimension="7"/>
    <map measureGroup="31" dimension="10"/>
    <map measureGroup="31" dimension="12"/>
    <map measureGroup="32" dimension="7"/>
    <map measureGroup="32" dimension="12"/>
    <map measureGroup="33" dimension="0"/>
    <map measureGroup="33" dimension="10"/>
    <map measureGroup="33" dimension="11"/>
    <map measureGroup="34" dimension="0"/>
    <map measureGroup="34" dimension="7"/>
    <map measureGroup="34" dimension="10"/>
    <map measureGroup="34" dimension="1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. Hakan Uğur" refreshedDate="46069.663228472222" backgroundQuery="1" createdVersion="8" refreshedVersion="8" minRefreshableVersion="3" recordCount="0" supportSubquery="1" supportAdvancedDrill="1" xr:uid="{22C5299B-2AE3-4F08-972E-B2E5029AF1A9}">
  <cacheSource type="external" connectionId="1"/>
  <cacheFields count="48">
    <cacheField name="[SalesChannel].[SalesOrgType].[SalesOrgType]" caption="SalesOrgType" numFmtId="0" hierarchy="148" level="1">
      <sharedItems containsSemiMixedTypes="0" containsString="0"/>
    </cacheField>
    <cacheField name="[SalesChannel].[DistrubitionChannelDesc].[DistrubitionChannelDesc]" caption="DistrubitionChannelDesc" numFmtId="0" hierarchy="140" level="1">
      <sharedItems count="1">
        <s v="[SalesChannel].[DistrubitionChannelDesc].&amp;[Perakende Satış]" c="Perakende Satış"/>
      </sharedItems>
    </cacheField>
    <cacheField name="[Measures].[TY Sales Unit]" caption="TY Sales Unit" numFmtId="0" hierarchy="853" level="32767"/>
    <cacheField name="[Measures].[TY Sales Value LC]" caption="TY Sales Value LC" numFmtId="0" hierarchy="855" level="32767"/>
    <cacheField name="[Measures].[TY Avg Store Stock Unit]" caption="TY Avg Store Stock Unit" numFmtId="0" hierarchy="760" level="32767"/>
    <cacheField name="[Calendar].[H_Merch].[MerchYear]" caption="MerchYear" numFmtId="0" hierarchy="6" level="1">
      <sharedItems containsSemiMixedTypes="0" containsString="0"/>
    </cacheField>
    <cacheField name="[Calendar].[H_Merch].[MerchYearMonthName]" caption="MerchYearMonthName" numFmtId="0" hierarchy="6" level="2">
      <sharedItems containsSemiMixedTypes="0" containsString="0"/>
    </cacheField>
    <cacheField name="[Calendar].[H_Merch].[MerchYearWeek]" caption="MerchYearWeek" numFmtId="0" hierarchy="6" level="3">
      <sharedItems containsSemiMixedTypes="0" containsString="0"/>
    </cacheField>
    <cacheField name="[Calendar].[H_Merch].[Date]" caption="Date" numFmtId="0" hierarchy="6" level="4">
      <sharedItems containsSemiMixedTypes="0" containsString="0"/>
    </cacheField>
    <cacheField name="[Store].[LocationCountry].[LocationCountry]" caption="LocationCountry" numFmtId="0" hierarchy="165" level="1">
      <sharedItems containsSemiMixedTypes="0" containsString="0"/>
    </cacheField>
    <cacheField name="[Material].[H_MainGroup].[MainGroupDesc]" caption="MainGroupDesc" numFmtId="0" hierarchy="69" level="1">
      <sharedItems count="21">
        <s v="[Material].[H_MainGroup].[MainGroupDesc].&amp;[Aksesuar]" c="Aksesuar"/>
        <s v="[Material].[H_MainGroup].[MainGroupDesc].&amp;[Banyo]" c="Banyo"/>
        <s v="[Material].[H_MainGroup].[MainGroupDesc].&amp;[Battaniye]" c="Battaniye"/>
        <s v="[Material].[H_MainGroup].[MainGroupDesc].&amp;[Çarşaf]" c="Çarşaf"/>
        <s v="[Material].[H_MainGroup].[MainGroupDesc].&amp;[Dünya Markaları]" c="Dünya Markaları"/>
        <s v="[Material].[H_MainGroup].[MainGroupDesc].&amp;[Halı - Kilim]" c="Halı - Kilim"/>
        <s v="[Material].[H_MainGroup].[MainGroupDesc].&amp;[Havlu]" c="Havlu"/>
        <s v="[Material].[H_MainGroup].[MainGroupDesc].&amp;[KEA]" c="KEA"/>
        <s v="[Material].[H_MainGroup].[MainGroupDesc].&amp;[Kozmetik]" c="Kozmetik"/>
        <s v="[Material].[H_MainGroup].[MainGroupDesc].&amp;[Mutfak]" c="Mutfak"/>
        <s v="[Material].[H_MainGroup].[MainGroupDesc].&amp;[Nevresim]" c="Nevresim"/>
        <s v="[Material].[H_MainGroup].[MainGroupDesc].&amp;[Pike]" c="Pike"/>
        <s v="[Material].[H_MainGroup].[MainGroupDesc].&amp;[Pişirme]" c="Pişirme"/>
        <s v="[Material].[H_MainGroup].[MainGroupDesc].&amp;[Salon]" c="Salon"/>
        <s v="[Material].[H_MainGroup].[MainGroupDesc].&amp;[Sofra İçecek]" c="Sofra İçecek"/>
        <s v="[Material].[H_MainGroup].[MainGroupDesc].&amp;[Sofra Sunum]" c="Sofra Sunum"/>
        <s v="[Material].[H_MainGroup].[MainGroupDesc].&amp;[Sofra Takımları]" c="Sofra Takımları"/>
        <s v="[Material].[H_MainGroup].[MainGroupDesc].&amp;[Yastık]" c="Yastık"/>
        <s v="[Material].[H_MainGroup].[MainGroupDesc].&amp;[Yatak Örtüsü]" c="Yatak Örtüsü"/>
        <s v="[Material].[H_MainGroup].[MainGroupDesc].&amp;[YEDEK PARÇA]" c="YEDEK PARÇA"/>
        <s v="[Material].[H_MainGroup].[MainGroupDesc].&amp;[Yorgan]" c="Yorgan"/>
      </sharedItems>
    </cacheField>
    <cacheField name="[Material].[H_MainGroup].[SubGroupDesc]" caption="SubGroupDesc" numFmtId="0" hierarchy="69" level="2">
      <sharedItems count="610">
        <s v="[Material].[H_MainGroup].[MainGroupDesc].&amp;[Aksesuar].&amp;[Abajur]" c="Abajur"/>
        <s v="[Material].[H_MainGroup].[MainGroupDesc].&amp;[Aksesuar].&amp;[Alışveriş Çantası]" c="Alışveriş Çantası"/>
        <s v="[Material].[H_MainGroup].[MainGroupDesc].&amp;[Aksesuar].&amp;[Armut Hamak]" c="Armut Hamak"/>
        <s v="[Material].[H_MainGroup].[MainGroupDesc].&amp;[Aksesuar].&amp;[Askı]" c="Askı"/>
        <s v="[Material].[H_MainGroup].[MainGroupDesc].&amp;[Aksesuar].&amp;[Askılı Aksesuar]" c="Askılı Aksesuar"/>
        <s v="[Material].[H_MainGroup].[MainGroupDesc].&amp;[Aksesuar].&amp;[Ayakkabı Rampası]" c="Ayakkabı Rampası"/>
        <s v="[Material].[H_MainGroup].[MainGroupDesc].&amp;[Aksesuar].&amp;[Ayakkabı Saklama Kts]" c="Ayakkabı Saklama Kts"/>
        <s v="[Material].[H_MainGroup].[MainGroupDesc].&amp;[Aksesuar].&amp;[Ayna]" c="Ayna"/>
        <s v="[Material].[H_MainGroup].[MainGroupDesc].&amp;[Aksesuar].&amp;[Banyo Seti]" c="Banyo Seti"/>
        <s v="[Material].[H_MainGroup].[MainGroupDesc].&amp;[Aksesuar].&amp;[Banyo Sıvı Sabunluk]" c="Banyo Sıvı Sabunluk"/>
        <s v="[Material].[H_MainGroup].[MainGroupDesc].&amp;[Aksesuar].&amp;[Bardak Tutacağı]" c="Bardak Tutacağı"/>
        <s v="[Material].[H_MainGroup].[MainGroupDesc].&amp;[Aksesuar].&amp;[Bebe Hurç]" c="Bebe Hurç"/>
        <s v="[Material].[H_MainGroup].[MainGroupDesc].&amp;[Aksesuar].&amp;[Bebe Mama Önlüğü]" c="Bebe Mama Önlüğü"/>
        <s v="[Material].[H_MainGroup].[MainGroupDesc].&amp;[Aksesuar].&amp;[Bebek Sepeti]" c="Bebek Sepeti"/>
        <s v="[Material].[H_MainGroup].[MainGroupDesc].&amp;[Aksesuar].&amp;[Bereket Fili]" c="Bereket Fili"/>
        <s v="[Material].[H_MainGroup].[MainGroupDesc].&amp;[Aksesuar].&amp;[Bereket Kuşu]" c="Bereket Kuşu"/>
        <s v="[Material].[H_MainGroup].[MainGroupDesc].&amp;[Aksesuar].&amp;[Biblo]" c="Biblo"/>
        <s v="[Material].[H_MainGroup].[MainGroupDesc].&amp;[Aksesuar].&amp;[Bileklik]" c="Bileklik"/>
        <s v="[Material].[H_MainGroup].[MainGroupDesc].&amp;[Aksesuar].&amp;[Boyunluk]" c="Boyunluk"/>
        <s v="[Material].[H_MainGroup].[MainGroupDesc].&amp;[Aksesuar].&amp;[Büyüteç]" c="Büyüteç"/>
        <s v="[Material].[H_MainGroup].[MainGroupDesc].&amp;[Aksesuar].&amp;[Cam Sileceği]" c="Cam Sileceği"/>
        <s v="[Material].[H_MainGroup].[MainGroupDesc].&amp;[Aksesuar].&amp;[Çamaşır Sepeti]" c="Çamaşır Sepeti"/>
        <s v="[Material].[H_MainGroup].[MainGroupDesc].&amp;[Aksesuar].&amp;[Canlı Çiçek]" c="Canlı Çiçek"/>
        <s v="[Material].[H_MainGroup].[MainGroupDesc].&amp;[Aksesuar].&amp;[Çerçeve]" c="Çerçeve"/>
        <s v="[Material].[H_MainGroup].[MainGroupDesc].&amp;[Aksesuar].&amp;[Çocuk Duvar Kağıdı]" c="Çocuk Duvar Kağıdı"/>
        <s v="[Material].[H_MainGroup].[MainGroupDesc].&amp;[Aksesuar].&amp;[Çocuk Duvar Saati]" c="Çocuk Duvar Saati"/>
        <s v="[Material].[H_MainGroup].[MainGroupDesc].&amp;[Aksesuar].&amp;[Çocuk Maske]" c="Çocuk Maske"/>
        <s v="[Material].[H_MainGroup].[MainGroupDesc].&amp;[Aksesuar].&amp;[Cüzdan]" c="Cüzdan"/>
        <s v="[Material].[H_MainGroup].[MainGroupDesc].&amp;[Aksesuar].&amp;[Dekoratif]" c="Dekoratif"/>
        <s v="[Material].[H_MainGroup].[MainGroupDesc].&amp;[Aksesuar].&amp;[Dekoratif Aydınlatma]" c="Dekoratif Aydınlatma"/>
        <s v="[Material].[H_MainGroup].[MainGroupDesc].&amp;[Aksesuar].&amp;[Dekoratif Kutu]" c="Dekoratif Kutu"/>
        <s v="[Material].[H_MainGroup].[MainGroupDesc].&amp;[Aksesuar].&amp;[Dekoratif Obje]" c="Dekoratif Obje"/>
        <s v="[Material].[H_MainGroup].[MainGroupDesc].&amp;[Aksesuar].&amp;[Dekoratif Peçetelik]" c="Dekoratif Peçetelik"/>
        <s v="[Material].[H_MainGroup].[MainGroupDesc].&amp;[Aksesuar].&amp;[Dekoratif Raf]" c="Dekoratif Raf"/>
        <s v="[Material].[H_MainGroup].[MainGroupDesc].&amp;[Aksesuar].&amp;[Dekoratif Tepsi]" c="Dekoratif Tepsi"/>
        <s v="[Material].[H_MainGroup].[MainGroupDesc].&amp;[Aksesuar].&amp;[Diş Fırçalık]" c="Diş Fırçalık"/>
        <s v="[Material].[H_MainGroup].[MainGroupDesc].&amp;[Aksesuar].&amp;[Duş Kaydırmaz]" c="Duş Kaydırmaz"/>
        <s v="[Material].[H_MainGroup].[MainGroupDesc].&amp;[Aksesuar].&amp;[Duvar Aksesuarı]" c="Duvar Aksesuarı"/>
        <s v="[Material].[H_MainGroup].[MainGroupDesc].&amp;[Aksesuar].&amp;[Duvar Saati]" c="Duvar Saati"/>
        <s v="[Material].[H_MainGroup].[MainGroupDesc].&amp;[Aksesuar].&amp;[Duvar Süsü]" c="Duvar Süsü"/>
        <s v="[Material].[H_MainGroup].[MainGroupDesc].&amp;[Aksesuar].&amp;[El Aynası]" c="El Aynası"/>
        <s v="[Material].[H_MainGroup].[MainGroupDesc].&amp;[Aksesuar].&amp;[Elbise Askısı]" c="Elbise Askısı"/>
        <s v="[Material].[H_MainGroup].[MainGroupDesc].&amp;[Aksesuar].&amp;[Elbise Kılıfı]" c="Elbise Kılıfı"/>
        <s v="[Material].[H_MainGroup].[MainGroupDesc].&amp;[Aksesuar].&amp;[Etamin]" c="Etamin"/>
        <s v="[Material].[H_MainGroup].[MainGroupDesc].&amp;[Aksesuar].&amp;[Fener]" c="Fener"/>
        <s v="[Material].[H_MainGroup].[MainGroupDesc].&amp;[Aksesuar].&amp;[Fırçalı Faraş]" c="Fırçalı Faraş"/>
        <s v="[Material].[H_MainGroup].[MainGroupDesc].&amp;[Aksesuar].&amp;[Hamak]" c="Hamak"/>
        <s v="[Material].[H_MainGroup].[MainGroupDesc].&amp;[Aksesuar].&amp;[Havluluk]" c="Havluluk"/>
        <s v="[Material].[H_MainGroup].[MainGroupDesc].&amp;[Aksesuar].&amp;[Hesap Makinesi]" c="Hesap Makinesi"/>
        <s v="[Material].[H_MainGroup].[MainGroupDesc].&amp;[Aksesuar].&amp;[Hobi Kumaşı]" c="Hobi Kumaşı"/>
        <s v="[Material].[H_MainGroup].[MainGroupDesc].&amp;[Aksesuar].&amp;[Hurç]" c="Hurç"/>
        <s v="[Material].[H_MainGroup].[MainGroupDesc].&amp;[Aksesuar].&amp;[Kalemlik]" c="Kalemlik"/>
        <s v="[Material].[H_MainGroup].[MainGroupDesc].&amp;[Aksesuar].&amp;[Kandil]" c="Kandil"/>
        <s v="[Material].[H_MainGroup].[MainGroupDesc].&amp;[Aksesuar].&amp;[Kandil Fitili]" c="Kandil Fitili"/>
        <s v="[Material].[H_MainGroup].[MainGroupDesc].&amp;[Aksesuar].&amp;[Kandil Yağı]" c="Kandil Yağı"/>
        <s v="[Material].[H_MainGroup].[MainGroupDesc].&amp;[Aksesuar].&amp;[Kapı Numarası]" c="Kapı Numarası"/>
        <s v="[Material].[H_MainGroup].[MainGroupDesc].&amp;[Aksesuar].&amp;[Kapı Önü Ağırlığı]" c="Kapı Önü Ağırlığı"/>
        <s v="[Material].[H_MainGroup].[MainGroupDesc].&amp;[Aksesuar].&amp;[Kapı Süsü]" c="Kapı Süsü"/>
        <s v="[Material].[H_MainGroup].[MainGroupDesc].&amp;[Aksesuar].&amp;[Kar Küresi]" c="Kar Küresi"/>
        <s v="[Material].[H_MainGroup].[MainGroupDesc].&amp;[Aksesuar].&amp;[Katlanır Tabure]" c="Katlanır Tabure"/>
        <s v="[Material].[H_MainGroup].[MainGroupDesc].&amp;[Aksesuar].&amp;[Keyif Tepsisi]" c="Keyif Tepsisi"/>
        <s v="[Material].[H_MainGroup].[MainGroupDesc].&amp;[Aksesuar].&amp;[Kitap Ayracı]" c="Kitap Ayracı"/>
        <s v="[Material].[H_MainGroup].[MainGroupDesc].&amp;[Aksesuar].&amp;[Kitap Tutucu]" c="Kitap Tutucu"/>
        <s v="[Material].[H_MainGroup].[MainGroupDesc].&amp;[Aksesuar].&amp;[Küllük]" c="Küllük"/>
        <s v="[Material].[H_MainGroup].[MainGroupDesc].&amp;[Aksesuar].&amp;[Kum Saati]" c="Kum Saati"/>
        <s v="[Material].[H_MainGroup].[MainGroupDesc].&amp;[Aksesuar].&amp;[Kumbara]" c="Kumbara"/>
        <s v="[Material].[H_MainGroup].[MainGroupDesc].&amp;[Aksesuar].&amp;[Kurdele]" c="Kurdele"/>
        <s v="[Material].[H_MainGroup].[MainGroupDesc].&amp;[Aksesuar].&amp;[Lambader]" c="Lambader"/>
        <s v="[Material].[H_MainGroup].[MainGroupDesc].&amp;[Aksesuar].&amp;[Magnet]" c="Magnet"/>
        <s v="[Material].[H_MainGroup].[MainGroupDesc].&amp;[Aksesuar].&amp;[Masa Saati]" c="Masa Saati"/>
        <s v="[Material].[H_MainGroup].[MainGroupDesc].&amp;[Aksesuar].&amp;[Maske]" c="Maske"/>
        <s v="[Material].[H_MainGroup].[MainGroupDesc].&amp;[Aksesuar].&amp;[Maske Kutusu]" c="Maske Kutusu"/>
        <s v="[Material].[H_MainGroup].[MainGroupDesc].&amp;[Aksesuar].&amp;[Mop]" c="Mop"/>
        <s v="[Material].[H_MainGroup].[MainGroupDesc].&amp;[Aksesuar].&amp;[Mum]" c="Mum"/>
        <s v="[Material].[H_MainGroup].[MainGroupDesc].&amp;[Aksesuar].&amp;[Mum Bakım Seti]" c="Mum Bakım Seti"/>
        <s v="[Material].[H_MainGroup].[MainGroupDesc].&amp;[Aksesuar].&amp;[Mum Söndürme Aleti]" c="Mum Söndürme Aleti"/>
        <s v="[Material].[H_MainGroup].[MainGroupDesc].&amp;[Aksesuar].&amp;[Müzik Kutusu]" c="Müzik Kutusu"/>
        <s v="[Material].[H_MainGroup].[MainGroupDesc].&amp;[Aksesuar].&amp;[Not Defteri]" c="Not Defteri"/>
        <s v="[Material].[H_MainGroup].[MainGroupDesc].&amp;[Aksesuar].&amp;[Not Panosu]" c="Not Panosu"/>
        <s v="[Material].[H_MainGroup].[MainGroupDesc].&amp;[Aksesuar].&amp;[Organizer]" c="Organizer"/>
        <s v="[Material].[H_MainGroup].[MainGroupDesc].&amp;[Aksesuar].&amp;[Oyuncak Sepeti]" c="Oyuncak Sepeti"/>
        <s v="[Material].[H_MainGroup].[MainGroupDesc].&amp;[Aksesuar].&amp;[Pet Yatağı]" c="Pet Yatağı"/>
        <s v="[Material].[H_MainGroup].[MainGroupDesc].&amp;[Aksesuar].&amp;[Sabunluk]" c="Sabunluk"/>
        <s v="[Material].[H_MainGroup].[MainGroupDesc].&amp;[Aksesuar].&amp;[Saç Bandı]" c="Saç Bandı"/>
        <s v="[Material].[H_MainGroup].[MainGroupDesc].&amp;[Aksesuar].&amp;[Saç Tokası]" c="Saç Tokası"/>
        <s v="[Material].[H_MainGroup].[MainGroupDesc].&amp;[Aksesuar].&amp;[Saklama Kutusu]" c="Saklama Kutusu"/>
        <s v="[Material].[H_MainGroup].[MainGroupDesc].&amp;[Aksesuar].&amp;[Saksı]" c="Saksı"/>
        <s v="[Material].[H_MainGroup].[MainGroupDesc].&amp;[Aksesuar].&amp;[Salıncak]" c="Salıncak"/>
        <s v="[Material].[H_MainGroup].[MainGroupDesc].&amp;[Aksesuar].&amp;[Şamdan]" c="Şamdan"/>
        <s v="[Material].[H_MainGroup].[MainGroupDesc].&amp;[Aksesuar].&amp;[Sandalye]" c="Sandalye"/>
        <s v="[Material].[H_MainGroup].[MainGroupDesc].&amp;[Aksesuar].&amp;[Sehpa.]" c="Sehpa."/>
        <s v="[Material].[H_MainGroup].[MainGroupDesc].&amp;[Aksesuar].&amp;[Şemsiye]" c="Şemsiye"/>
        <s v="[Material].[H_MainGroup].[MainGroupDesc].&amp;[Aksesuar].&amp;[Şemsiyelik]" c="Şemsiyelik"/>
        <s v="[Material].[H_MainGroup].[MainGroupDesc].&amp;[Aksesuar].&amp;[Sepet]" c="Sepet"/>
        <s v="[Material].[H_MainGroup].[MainGroupDesc].&amp;[Aksesuar].&amp;[Şezlong]" c="Şezlong"/>
        <s v="[Material].[H_MainGroup].[MainGroupDesc].&amp;[Aksesuar].&amp;[Showroom Hibe]" c="Showroom Hibe"/>
        <s v="[Material].[H_MainGroup].[MainGroupDesc].&amp;[Aksesuar].&amp;[Sıcak Su Torbası]" c="Sıcak Su Torbası"/>
        <s v="[Material].[H_MainGroup].[MainGroupDesc].&amp;[Aksesuar].&amp;[Süpürgelik]" c="Süpürgelik"/>
        <s v="[Material].[H_MainGroup].[MainGroupDesc].&amp;[Aksesuar].&amp;[Tablo]" c="Tablo"/>
        <s v="[Material].[H_MainGroup].[MainGroupDesc].&amp;[Aksesuar].&amp;[Taç]" c="Taç"/>
        <s v="[Material].[H_MainGroup].[MainGroupDesc].&amp;[Aksesuar].&amp;[Takılık]" c="Takılık"/>
        <s v="[Material].[H_MainGroup].[MainGroupDesc].&amp;[Aksesuar].&amp;[Tasma Kayışı]" c="Tasma Kayışı"/>
        <s v="[Material].[H_MainGroup].[MainGroupDesc].&amp;[Aksesuar].&amp;[Tavla]" c="Tavla"/>
        <s v="[Material].[H_MainGroup].[MainGroupDesc].&amp;[Aksesuar].&amp;[Tek Dal Yapay Çiçek]" c="Tek Dal Yapay Çiçek"/>
        <s v="[Material].[H_MainGroup].[MainGroupDesc].&amp;[Aksesuar].&amp;[Telefon Kılıfı]" c="Telefon Kılıfı"/>
        <s v="[Material].[H_MainGroup].[MainGroupDesc].&amp;[Aksesuar].&amp;[Temizlik Fırçası]" c="Temizlik Fırçası"/>
        <s v="[Material].[H_MainGroup].[MainGroupDesc].&amp;[Aksesuar].&amp;[Tütsülük]" c="Tütsülük"/>
        <s v="[Material].[H_MainGroup].[MainGroupDesc].&amp;[Aksesuar].&amp;[Tuvalet Fırçalığı]" c="Tuvalet Fırçalığı"/>
        <s v="[Material].[H_MainGroup].[MainGroupDesc].&amp;[Aksesuar].&amp;[Tuvalet Kağıtlığı]" c="Tuvalet Kağıtlığı"/>
        <s v="[Material].[H_MainGroup].[MainGroupDesc].&amp;[Aksesuar].&amp;[Uyku Gözlüğü]" c="Uyku Gözlüğü"/>
        <s v="[Material].[H_MainGroup].[MainGroupDesc].&amp;[Aksesuar].&amp;[Vakumlu Poşet]" c="Vakumlu Poşet"/>
        <s v="[Material].[H_MainGroup].[MainGroupDesc].&amp;[Aksesuar].&amp;[Vazo]" c="Vazo"/>
        <s v="[Material].[H_MainGroup].[MainGroupDesc].&amp;[Aksesuar].&amp;[Vazolu Yapay Çiçek]" c="Vazolu Yapay Çiçek"/>
        <s v="[Material].[H_MainGroup].[MainGroupDesc].&amp;[Aksesuar].&amp;[Yapay Ağaç]" c="Yapay Ağaç"/>
        <s v="[Material].[H_MainGroup].[MainGroupDesc].&amp;[Aksesuar].&amp;[Yapay Çiçek]" c="Yapay Çiçek"/>
        <s v="[Material].[H_MainGroup].[MainGroupDesc].&amp;[Aksesuar].&amp;[Yılbaşı Aksesuar]" c="Yılbaşı Aksesuar"/>
        <s v="[Material].[H_MainGroup].[MainGroupDesc].&amp;[Aksesuar].&amp;[Yoga Mat]" c="Yoga Mat"/>
        <s v="[Material].[H_MainGroup].[MainGroupDesc].&amp;[Banyo].&amp;[Banyo Paspası]" c="Banyo Paspası"/>
        <s v="[Material].[H_MainGroup].[MainGroupDesc].&amp;[Banyo].&amp;[Banyo Paspası Seti]" c="Banyo Paspası Seti"/>
        <s v="[Material].[H_MainGroup].[MainGroupDesc].&amp;[Banyo].&amp;[Klozet Seti]" c="Klozet Seti"/>
        <s v="[Material].[H_MainGroup].[MainGroupDesc].&amp;[Battaniye].&amp;[Battaniye]" c="Battaniye"/>
        <s v="[Material].[H_MainGroup].[MainGroupDesc].&amp;[Battaniye].&amp;[Bebe Battaniye]" c="Bebe Battaniye"/>
        <s v="[Material].[H_MainGroup].[MainGroupDesc].&amp;[Battaniye].&amp;[Çocuk Battaniye]" c="Çocuk Battaniye"/>
        <s v="[Material].[H_MainGroup].[MainGroupDesc].&amp;[Battaniye].&amp;[TV Battaniye]" c="TV Battaniye"/>
        <s v="[Material].[H_MainGroup].[MainGroupDesc].&amp;[Çarşaf].&amp;[Bebe Çarşaf Takımı]" c="Bebe Çarşaf Takımı"/>
        <s v="[Material].[H_MainGroup].[MainGroupDesc].&amp;[Çarşaf].&amp;[Bebe Las. Çarşaf Tkm]" c="Bebe Las. Çarşaf Tkm"/>
        <s v="[Material].[H_MainGroup].[MainGroupDesc].&amp;[Çarşaf].&amp;[Bebe Lastikli Çarşaf]" c="Bebe Lastikli Çarşaf"/>
        <s v="[Material].[H_MainGroup].[MainGroupDesc].&amp;[Çarşaf].&amp;[Çarşaf]" c="Çarşaf"/>
        <s v="[Material].[H_MainGroup].[MainGroupDesc].&amp;[Çarşaf].&amp;[Çocuk Las.Çarşaf Tkm]" c="Çocuk Las.Çarşaf Tkm"/>
        <s v="[Material].[H_MainGroup].[MainGroupDesc].&amp;[Çarşaf].&amp;[Lastikli Çarşaf]" c="Lastikli Çarşaf"/>
        <s v="[Material].[H_MainGroup].[MainGroupDesc].&amp;[Çarşaf].&amp;[Lastikli Çarşaf Tkm]" c="Lastikli Çarşaf Tkm"/>
        <s v="[Material].[H_MainGroup].[MainGroupDesc].&amp;[Çarşaf].&amp;[Yastık Kılıfı]" c="Yastık Kılıfı"/>
        <s v="[Material].[H_MainGroup].[MainGroupDesc].&amp;[Dünya Markaları].&amp;[DM Bardak]" c="DM Bardak"/>
        <s v="[Material].[H_MainGroup].[MainGroupDesc].&amp;[Dünya Markaları].&amp;[DM Bıçak]" c="DM Bıçak"/>
        <s v="[Material].[H_MainGroup].[MainGroupDesc].&amp;[Dünya Markaları].&amp;[DM Bıçak Seti]" c="DM Bıçak Seti"/>
        <s v="[Material].[H_MainGroup].[MainGroupDesc].&amp;[Dünya Markaları].&amp;[DM Buhar Kazanlı Ütü]" c="DM Buhar Kazanlı Ütü"/>
        <s v="[Material].[H_MainGroup].[MainGroupDesc].&amp;[Dünya Markaları].&amp;[DM Buharlı Düzleştir]" c="DM Buharlı Düzleştir"/>
        <s v="[Material].[H_MainGroup].[MainGroupDesc].&amp;[Dünya Markaları].&amp;[DM Buharlı Ütü]" c="DM Buharlı Ütü"/>
        <s v="[Material].[H_MainGroup].[MainGroupDesc].&amp;[Dünya Markaları].&amp;[DM Değirmen]" c="DM Değirmen"/>
        <s v="[Material].[H_MainGroup].[MainGroupDesc].&amp;[Dünya Markaları].&amp;[DM Doğrayıcı]" c="DM Doğrayıcı"/>
        <s v="[Material].[H_MainGroup].[MainGroupDesc].&amp;[Dünya Markaları].&amp;[DM Doğrayıcılar]" c="DM Doğrayıcılar"/>
        <s v="[Material].[H_MainGroup].[MainGroupDesc].&amp;[Dünya Markaları].&amp;[DM Ekmek Kızartma M.]" c="DM Ekmek Kızartma M."/>
        <s v="[Material].[H_MainGroup].[MainGroupDesc].&amp;[Dünya Markaları].&amp;[DM Espresso Makinesi]" c="DM Espresso Makinesi"/>
        <s v="[Material].[H_MainGroup].[MainGroupDesc].&amp;[Dünya Markaları].&amp;[DM Filtre Kahve M.]" c="DM Filtre Kahve M."/>
        <s v="[Material].[H_MainGroup].[MainGroupDesc].&amp;[Dünya Markaları].&amp;[DM Izgara Ve Tost M.]" c="DM Izgara Ve Tost M."/>
        <s v="[Material].[H_MainGroup].[MainGroupDesc].&amp;[Dünya Markaları].&amp;[DM Sahan]" c="DM Sahan"/>
        <s v="[Material].[H_MainGroup].[MainGroupDesc].&amp;[Dünya Markaları].&amp;[DM Saklama Kabı]" c="DM Saklama Kabı"/>
        <s v="[Material].[H_MainGroup].[MainGroupDesc].&amp;[Dünya Markaları].&amp;[DM Saklama Termosu]" c="DM Saklama Termosu"/>
        <s v="[Material].[H_MainGroup].[MainGroupDesc].&amp;[Dünya Markaları].&amp;[DM Şarjlı Dikey Süpü]" c="DM Şarjlı Dikey Süpü"/>
        <s v="[Material].[H_MainGroup].[MainGroupDesc].&amp;[Dünya Markaları].&amp;[DM Soyacak]" c="DM Soyacak"/>
        <s v="[Material].[H_MainGroup].[MainGroupDesc].&amp;[Dünya Markaları].&amp;[DM Stand Mikseri]" c="DM Stand Mikseri"/>
        <s v="[Material].[H_MainGroup].[MainGroupDesc].&amp;[Dünya Markaları].&amp;[DM Su Isıtıcı]" c="DM Su Isıtıcı"/>
        <s v="[Material].[H_MainGroup].[MainGroupDesc].&amp;[Dünya Markaları].&amp;[DM Sürahi Blender]" c="DM Sürahi Blender"/>
        <s v="[Material].[H_MainGroup].[MainGroupDesc].&amp;[Dünya Markaları].&amp;[DM Tava]" c="DM Tava"/>
        <s v="[Material].[H_MainGroup].[MainGroupDesc].&amp;[Dünya Markaları].&amp;[DM Tava Seti]" c="DM Tava Seti"/>
        <s v="[Material].[H_MainGroup].[MainGroupDesc].&amp;[Dünya Markaları].&amp;[DM Tencere]" c="DM Tencere"/>
        <s v="[Material].[H_MainGroup].[MainGroupDesc].&amp;[Dünya Markaları].&amp;[DM Tencere Seti]" c="DM Tencere Seti"/>
        <s v="[Material].[H_MainGroup].[MainGroupDesc].&amp;[Dünya Markaları].&amp;[DM Torbasız Süpürge]" c="DM Torbasız Süpürge"/>
        <s v="[Material].[H_MainGroup].[MainGroupDesc].&amp;[Dünya Markaları].&amp;[DMNarenciye Sıkacağı]" c="DMNarenciye Sıkacağı"/>
        <s v="[Material].[H_MainGroup].[MainGroupDesc].&amp;[Halı - Kilim].&amp;[Bebek Halısı]" c="Bebek Halısı"/>
        <s v="[Material].[H_MainGroup].[MainGroupDesc].&amp;[Halı - Kilim].&amp;[Bukle Kilim]" c="Bukle Kilim"/>
        <s v="[Material].[H_MainGroup].[MainGroupDesc].&amp;[Halı - Kilim].&amp;[Çocuk Halısı]" c="Çocuk Halısı"/>
        <s v="[Material].[H_MainGroup].[MainGroupDesc].&amp;[Halı - Kilim].&amp;[Dekoratif Halı]" c="Dekoratif Halı"/>
        <s v="[Material].[H_MainGroup].[MainGroupDesc].&amp;[Halı - Kilim].&amp;[Dekoratif Jüt Kilim]" c="Dekoratif Jüt Kilim"/>
        <s v="[Material].[H_MainGroup].[MainGroupDesc].&amp;[Halı - Kilim].&amp;[Dış Mekan Kilim]" c="Dış Mekan Kilim"/>
        <s v="[Material].[H_MainGroup].[MainGroupDesc].&amp;[Halı - Kilim].&amp;[Dokuma Halı]" c="Dokuma Halı"/>
        <s v="[Material].[H_MainGroup].[MainGroupDesc].&amp;[Halı - Kilim].&amp;[Dokuma Kilim]" c="Dokuma Kilim"/>
        <s v="[Material].[H_MainGroup].[MainGroupDesc].&amp;[Halı - Kilim].&amp;[Halı]" c="Halı"/>
        <s v="[Material].[H_MainGroup].[MainGroupDesc].&amp;[Halı - Kilim].&amp;[Kapı Önü Paspası]" c="Kapı Önü Paspası"/>
        <s v="[Material].[H_MainGroup].[MainGroupDesc].&amp;[Halı - Kilim].&amp;[Kilim]" c="Kilim"/>
        <s v="[Material].[H_MainGroup].[MainGroupDesc].&amp;[Halı - Kilim].&amp;[Makine Halısı]" c="Makine Halısı"/>
        <s v="[Material].[H_MainGroup].[MainGroupDesc].&amp;[Halı - Kilim].&amp;[Mutfak Paspası]" c="Mutfak Paspası"/>
        <s v="[Material].[H_MainGroup].[MainGroupDesc].&amp;[Halı - Kilim].&amp;[Peluş Halı]" c="Peluş Halı"/>
        <s v="[Material].[H_MainGroup].[MainGroupDesc].&amp;[Halı - Kilim].&amp;[Post]" c="Post"/>
        <s v="[Material].[H_MainGroup].[MainGroupDesc].&amp;[Havlu].&amp;[Ayak Havlusu]" c="Ayak Havlusu"/>
        <s v="[Material].[H_MainGroup].[MainGroupDesc].&amp;[Havlu].&amp;[Banyo Havlusu]" c="Banyo Havlusu"/>
        <s v="[Material].[H_MainGroup].[MainGroupDesc].&amp;[Havlu].&amp;[Banyo Havlusu Takımı]" c="Banyo Havlusu Takımı"/>
        <s v="[Material].[H_MainGroup].[MainGroupDesc].&amp;[Havlu].&amp;[Banyo Terliği]" c="Banyo Terliği"/>
        <s v="[Material].[H_MainGroup].[MainGroupDesc].&amp;[Havlu].&amp;[Bebe Ağız Silme Bezi]" c="Bebe Ağız Silme Bezi"/>
        <s v="[Material].[H_MainGroup].[MainGroupDesc].&amp;[Havlu].&amp;[Bebe Banyo Havlu Set]" c="Bebe Banyo Havlu Set"/>
        <s v="[Material].[H_MainGroup].[MainGroupDesc].&amp;[Havlu].&amp;[Bebe Banyo Havlusu]" c="Bebe Banyo Havlusu"/>
        <s v="[Material].[H_MainGroup].[MainGroupDesc].&amp;[Havlu].&amp;[Bebe Bornoz]" c="Bebe Bornoz"/>
        <s v="[Material].[H_MainGroup].[MainGroupDesc].&amp;[Havlu].&amp;[Bebe El Havlusu]" c="Bebe El Havlusu"/>
        <s v="[Material].[H_MainGroup].[MainGroupDesc].&amp;[Havlu].&amp;[Bebe Havlu]" c="Bebe Havlu"/>
        <s v="[Material].[H_MainGroup].[MainGroupDesc].&amp;[Havlu].&amp;[Bebek Ter Havlusu]" c="Bebek Ter Havlusu"/>
        <s v="[Material].[H_MainGroup].[MainGroupDesc].&amp;[Havlu].&amp;[Bornoz]" c="Bornoz"/>
        <s v="[Material].[H_MainGroup].[MainGroupDesc].&amp;[Havlu].&amp;[Bornoz Seti]" c="Bornoz Seti"/>
        <s v="[Material].[H_MainGroup].[MainGroupDesc].&amp;[Havlu].&amp;[Çocuk Bornoz]" c="Çocuk Bornoz"/>
        <s v="[Material].[H_MainGroup].[MainGroupDesc].&amp;[Havlu].&amp;[Çocuk Plaj Havlusu]" c="Çocuk Plaj Havlusu"/>
        <s v="[Material].[H_MainGroup].[MainGroupDesc].&amp;[Havlu].&amp;[El Havlusu]" c="El Havlusu"/>
        <s v="[Material].[H_MainGroup].[MainGroupDesc].&amp;[Havlu].&amp;[El Havlusu Seti]" c="El Havlusu Seti"/>
        <s v="[Material].[H_MainGroup].[MainGroupDesc].&amp;[Havlu].&amp;[Havlu Seti]" c="Havlu Seti"/>
        <s v="[Material].[H_MainGroup].[MainGroupDesc].&amp;[Havlu].&amp;[Hediyelik Havlu]" c="Hediyelik Havlu"/>
        <s v="[Material].[H_MainGroup].[MainGroupDesc].&amp;[Havlu].&amp;[Kutulu Havlu]" c="Kutulu Havlu"/>
        <s v="[Material].[H_MainGroup].[MainGroupDesc].&amp;[Havlu].&amp;[Peştamal]" c="Peştamal"/>
        <s v="[Material].[H_MainGroup].[MainGroupDesc].&amp;[Havlu].&amp;[Plaj Havlusu]" c="Plaj Havlusu"/>
        <s v="[Material].[H_MainGroup].[MainGroupDesc].&amp;[Havlu].&amp;[Saç Bonesi]" c="Saç Bonesi"/>
        <s v="[Material].[H_MainGroup].[MainGroupDesc].&amp;[Havlu].&amp;[Yüz Havlusu]" c="Yüz Havlusu"/>
        <s v="[Material].[H_MainGroup].[MainGroupDesc].&amp;[Havlu].&amp;[Yüz Havlusu Seti]" c="Yüz Havlusu Seti"/>
        <s v="[Material].[H_MainGroup].[MainGroupDesc].&amp;[KEA].&amp;[Airfryer]" c="Airfryer"/>
        <s v="[Material].[H_MainGroup].[MainGroupDesc].&amp;[KEA].&amp;[Çay Makinesi]" c="Çay Makinesi"/>
        <s v="[Material].[H_MainGroup].[MainGroupDesc].&amp;[KEA].&amp;[Doğrayıcı]" c="Doğrayıcı"/>
        <s v="[Material].[H_MainGroup].[MainGroupDesc].&amp;[KEA].&amp;[Ekmek Kızartma M.]" c="Ekmek Kızartma M."/>
        <s v="[Material].[H_MainGroup].[MainGroupDesc].&amp;[KEA].&amp;[El Blenderı]" c="El Blenderı"/>
        <s v="[Material].[H_MainGroup].[MainGroupDesc].&amp;[KEA].&amp;[El Mikseri]" c="El Mikseri"/>
        <s v="[Material].[H_MainGroup].[MainGroupDesc].&amp;[KEA].&amp;[Espresso Makinesi]" c="Espresso Makinesi"/>
        <s v="[Material].[H_MainGroup].[MainGroupDesc].&amp;[KEA].&amp;[Filtre Kahve M.]" c="Filtre Kahve M."/>
        <s v="[Material].[H_MainGroup].[MainGroupDesc].&amp;[KEA].&amp;[Izgara Ve Tost M.]" c="Izgara Ve Tost M."/>
        <s v="[Material].[H_MainGroup].[MainGroupDesc].&amp;[KEA].&amp;[Kablolu Dikey Süpürg]" c="Kablolu Dikey Süpürg"/>
        <s v="[Material].[H_MainGroup].[MainGroupDesc].&amp;[KEA].&amp;[Kişisel Blender]" c="Kişisel Blender"/>
        <s v="[Material].[H_MainGroup].[MainGroupDesc].&amp;[KEA].&amp;[Mini Blender Seti]" c="Mini Blender Seti"/>
        <s v="[Material].[H_MainGroup].[MainGroupDesc].&amp;[KEA].&amp;[Multi Blender Seti]" c="Multi Blender Seti"/>
        <s v="[Material].[H_MainGroup].[MainGroupDesc].&amp;[KEA].&amp;[Saç Kurutma Makinesi]" c="Saç Kurutma Makinesi"/>
        <s v="[Material].[H_MainGroup].[MainGroupDesc].&amp;[KEA].&amp;[Şarjlı Dikey Süpürge]" c="Şarjlı Dikey Süpürge"/>
        <s v="[Material].[H_MainGroup].[MainGroupDesc].&amp;[KEA].&amp;[Stand Mikseri]" c="Stand Mikseri"/>
        <s v="[Material].[H_MainGroup].[MainGroupDesc].&amp;[KEA].&amp;[Su Arıtma Filtresi]" c="Su Arıtma Filtresi"/>
        <s v="[Material].[H_MainGroup].[MainGroupDesc].&amp;[KEA].&amp;[Su Arıtma Sürahisi]" c="Su Arıtma Sürahisi"/>
        <s v="[Material].[H_MainGroup].[MainGroupDesc].&amp;[KEA].&amp;[Su Isıtıcı]" c="Su Isıtıcı"/>
        <s v="[Material].[H_MainGroup].[MainGroupDesc].&amp;[KEA].&amp;[Sürahi Blender]" c="Sürahi Blender"/>
        <s v="[Material].[H_MainGroup].[MainGroupDesc].&amp;[KEA].&amp;[Tost Makinesi]" c="Tost Makinesi"/>
        <s v="[Material].[H_MainGroup].[MainGroupDesc].&amp;[KEA].&amp;[Türk Kahve M.]" c="Türk Kahve M."/>
        <s v="[Material].[H_MainGroup].[MainGroupDesc].&amp;[KEA].&amp;[Ütüleme Sistemleri]" c="Ütüleme Sistemleri"/>
        <s v="[Material].[H_MainGroup].[MainGroupDesc].&amp;[KEA].&amp;[Waffle Makinesi]" c="Waffle Makinesi"/>
        <s v="[Material].[H_MainGroup].[MainGroupDesc].&amp;[Kozmetik].&amp;[Aromaterapi Set]" c="Aromaterapi Set"/>
        <s v="[Material].[H_MainGroup].[MainGroupDesc].&amp;[Kozmetik].&amp;[Askılı Koku]" c="Askılı Koku"/>
        <s v="[Material].[H_MainGroup].[MainGroupDesc].&amp;[Kozmetik].&amp;[Body Mist]" c="Body Mist"/>
        <s v="[Material].[H_MainGroup].[MainGroupDesc].&amp;[Kozmetik].&amp;[Çamaşır Kokusu]" c="Çamaşır Kokusu"/>
        <s v="[Material].[H_MainGroup].[MainGroupDesc].&amp;[Kozmetik].&amp;[Çok Amaçlı Kutu]" c="Çok Amaçlı Kutu"/>
        <s v="[Material].[H_MainGroup].[MainGroupDesc].&amp;[Kozmetik].&amp;[Çubuklu Oda Kokusu]" c="Çubuklu Oda Kokusu"/>
        <s v="[Material].[H_MainGroup].[MainGroupDesc].&amp;[Kozmetik].&amp;[Dezenfektan]" c="Dezenfektan"/>
        <s v="[Material].[H_MainGroup].[MainGroupDesc].&amp;[Kozmetik].&amp;[Dolap İçi Koku]" c="Dolap İçi Koku"/>
        <s v="[Material].[H_MainGroup].[MainGroupDesc].&amp;[Kozmetik].&amp;[Duş Jeli]" c="Duş Jeli"/>
        <s v="[Material].[H_MainGroup].[MainGroupDesc].&amp;[Kozmetik].&amp;[El Kremi]" c="El Kremi"/>
        <s v="[Material].[H_MainGroup].[MainGroupDesc].&amp;[Kozmetik].&amp;[Esansiyel Koku Yağı]" c="Esansiyel Koku Yağı"/>
        <s v="[Material].[H_MainGroup].[MainGroupDesc].&amp;[Kozmetik].&amp;[Güneş Kremi]" c="Güneş Kremi"/>
        <s v="[Material].[H_MainGroup].[MainGroupDesc].&amp;[Kozmetik].&amp;[Katı Sabun]" c="Katı Sabun"/>
        <s v="[Material].[H_MainGroup].[MainGroupDesc].&amp;[Kozmetik].&amp;[Katı Sabun Set]" c="Katı Sabun Set"/>
        <s v="[Material].[H_MainGroup].[MainGroupDesc].&amp;[Kozmetik].&amp;[Koku Barı]" c="Koku Barı"/>
        <s v="[Material].[H_MainGroup].[MainGroupDesc].&amp;[Kozmetik].&amp;[Kokulu Kese]" c="Kokulu Kese"/>
        <s v="[Material].[H_MainGroup].[MainGroupDesc].&amp;[Kozmetik].&amp;[Kokulu Mum]" c="Kokulu Mum"/>
        <s v="[Material].[H_MainGroup].[MainGroupDesc].&amp;[Kozmetik].&amp;[Kokulu Set]" c="Kokulu Set"/>
        <s v="[Material].[H_MainGroup].[MainGroupDesc].&amp;[Kozmetik].&amp;[Kokulu Taş]" c="Kokulu Taş"/>
        <s v="[Material].[H_MainGroup].[MainGroupDesc].&amp;[Kozmetik].&amp;[Kolonya]" c="Kolonya"/>
        <s v="[Material].[H_MainGroup].[MainGroupDesc].&amp;[Kozmetik].&amp;[Kolonyalı Mendil]" c="Kolonyalı Mendil"/>
        <s v="[Material].[H_MainGroup].[MainGroupDesc].&amp;[Kozmetik].&amp;[Makyaj Çantası]" c="Makyaj Çantası"/>
        <s v="[Material].[H_MainGroup].[MainGroupDesc].&amp;[Kozmetik].&amp;[Nemlendirici Jel]" c="Nemlendirici Jel"/>
        <s v="[Material].[H_MainGroup].[MainGroupDesc].&amp;[Kozmetik].&amp;[Oda Spreyi]" c="Oda Spreyi"/>
        <s v="[Material].[H_MainGroup].[MainGroupDesc].&amp;[Kozmetik].&amp;[Oto Kokusu]" c="Oto Kokusu"/>
        <s v="[Material].[H_MainGroup].[MainGroupDesc].&amp;[Kozmetik].&amp;[Parfüm]" c="Parfüm"/>
        <s v="[Material].[H_MainGroup].[MainGroupDesc].&amp;[Kozmetik].&amp;[Pudra Ponponu]" c="Pudra Ponponu"/>
        <s v="[Material].[H_MainGroup].[MainGroupDesc].&amp;[Kozmetik].&amp;[Sabun]" c="Sabun"/>
        <s v="[Material].[H_MainGroup].[MainGroupDesc].&amp;[Kozmetik].&amp;[Sıvı Sabun]" c="Sıvı Sabun"/>
        <s v="[Material].[H_MainGroup].[MainGroupDesc].&amp;[Kozmetik].&amp;[Sprey Kolonya]" c="Sprey Kolonya"/>
        <s v="[Material].[H_MainGroup].[MainGroupDesc].&amp;[Kozmetik].&amp;[Su Torbası]" c="Su Torbası"/>
        <s v="[Material].[H_MainGroup].[MainGroupDesc].&amp;[Kozmetik].&amp;[TEALIGHT MUM]" c="TEALIGHT MUM"/>
        <s v="[Material].[H_MainGroup].[MainGroupDesc].&amp;[Kozmetik].&amp;[Tütsü]" c="Tütsü"/>
        <s v="[Material].[H_MainGroup].[MainGroupDesc].&amp;[Kozmetik].&amp;[Vücut Losyonu]" c="Vücut Losyonu"/>
        <s v="[Material].[H_MainGroup].[MainGroupDesc].&amp;[Kozmetik].&amp;[WHT Oda Spreyi]" c="WHT Oda Spreyi"/>
        <s v="[Material].[H_MainGroup].[MainGroupDesc].&amp;[Kozmetik].&amp;[Yüz &amp; Vücut Spreyi]" c="Yüz &amp; Vücut Spreyi"/>
        <s v="[Material].[H_MainGroup].[MainGroupDesc].&amp;[Kozmetik].&amp;[Yüz Maskesi]" c="Yüz Maskesi"/>
        <s v="[Material].[H_MainGroup].[MainGroupDesc].&amp;[Mutfak].&amp;[Açacak]" c="Açacak"/>
        <s v="[Material].[H_MainGroup].[MainGroupDesc].&amp;[Mutfak].&amp;[Baharatlık]" c="Baharatlık"/>
        <s v="[Material].[H_MainGroup].[MainGroupDesc].&amp;[Mutfak].&amp;[Bal Kavanozu]" c="Bal Kavanozu"/>
        <s v="[Material].[H_MainGroup].[MainGroupDesc].&amp;[Mutfak].&amp;[Bardak Altı]" c="Bardak Altı"/>
        <s v="[Material].[H_MainGroup].[MainGroupDesc].&amp;[Mutfak].&amp;[Bulaşık Seti]" c="Bulaşık Seti"/>
        <s v="[Material].[H_MainGroup].[MainGroupDesc].&amp;[Mutfak].&amp;[Çatal Bıçaklık]" c="Çatal Bıçaklık"/>
        <s v="[Material].[H_MainGroup].[MainGroupDesc].&amp;[Mutfak].&amp;[Çaydanlık]" c="Çaydanlık"/>
        <s v="[Material].[H_MainGroup].[MainGroupDesc].&amp;[Mutfak].&amp;[Çekmece Düzenleyici]" c="Çekmece Düzenleyici"/>
        <s v="[Material].[H_MainGroup].[MainGroupDesc].&amp;[Mutfak].&amp;[Çocuk Suluk]" c="Çocuk Suluk"/>
        <s v="[Material].[H_MainGroup].[MainGroupDesc].&amp;[Mutfak].&amp;[Coffee Maker]" c="Coffee Maker"/>
        <s v="[Material].[H_MainGroup].[MainGroupDesc].&amp;[Mutfak].&amp;[Değirmen]" c="Değirmen"/>
        <s v="[Material].[H_MainGroup].[MainGroupDesc].&amp;[Mutfak].&amp;[Demleme Ürünleri]" c="Demleme Ürünleri"/>
        <s v="[Material].[H_MainGroup].[MainGroupDesc].&amp;[Mutfak].&amp;[Doğrayıcılar]" c="Doğrayıcılar"/>
        <s v="[Material].[H_MainGroup].[MainGroupDesc].&amp;[Mutfak].&amp;[Düzenleyici Set]" c="Düzenleyici Set"/>
        <s v="[Material].[H_MainGroup].[MainGroupDesc].&amp;[Mutfak].&amp;[Ekmek Kutusu]" c="Ekmek Kutusu"/>
        <s v="[Material].[H_MainGroup].[MainGroupDesc].&amp;[Mutfak].&amp;[El Rondosu]" c="El Rondosu"/>
        <s v="[Material].[H_MainGroup].[MainGroupDesc].&amp;[Mutfak].&amp;[Fondü Seti]" c="Fondü Seti"/>
        <s v="[Material].[H_MainGroup].[MainGroupDesc].&amp;[Mutfak].&amp;[Hamur ruleti]" c="Hamur ruleti"/>
        <s v="[Material].[H_MainGroup].[MainGroupDesc].&amp;[Mutfak].&amp;[Havan]" c="Havan"/>
        <s v="[Material].[H_MainGroup].[MainGroupDesc].&amp;[Mutfak].&amp;[Hazırlık Seti]" c="Hazırlık Seti"/>
        <s v="[Material].[H_MainGroup].[MainGroupDesc].&amp;[Mutfak].&amp;[Huni]" c="Huni"/>
        <s v="[Material].[H_MainGroup].[MainGroupDesc].&amp;[Mutfak].&amp;[İbrik]" c="İbrik"/>
        <s v="[Material].[H_MainGroup].[MainGroupDesc].&amp;[Mutfak].&amp;[Isıtıcı]" c="Isıtıcı"/>
        <s v="[Material].[H_MainGroup].[MainGroupDesc].&amp;[Mutfak].&amp;[Kağıt Havluluk]" c="Kağıt Havluluk"/>
        <s v="[Material].[H_MainGroup].[MainGroupDesc].&amp;[Mutfak].&amp;[Kahve Ölçü Kaşığı]" c="Kahve Ölçü Kaşığı"/>
        <s v="[Material].[H_MainGroup].[MainGroupDesc].&amp;[Mutfak].&amp;[Kavanoz]" c="Kavanoz"/>
        <s v="[Material].[H_MainGroup].[MainGroupDesc].&amp;[Mutfak].&amp;[Kavanoz Kapağı]" c="Kavanoz Kapağı"/>
        <s v="[Material].[H_MainGroup].[MainGroupDesc].&amp;[Mutfak].&amp;[Kepçe]" c="Kepçe"/>
        <s v="[Material].[H_MainGroup].[MainGroupDesc].&amp;[Mutfak].&amp;[Kesme Tahtası]" c="Kesme Tahtası"/>
        <s v="[Material].[H_MainGroup].[MainGroupDesc].&amp;[Mutfak].&amp;[Kettle]" c="Kettle"/>
        <s v="[Material].[H_MainGroup].[MainGroupDesc].&amp;[Mutfak].&amp;[Krep Tava]" c="Krep Tava"/>
        <s v="[Material].[H_MainGroup].[MainGroupDesc].&amp;[Mutfak].&amp;[Kupalık]" c="Kupalık"/>
        <s v="[Material].[H_MainGroup].[MainGroupDesc].&amp;[Mutfak].&amp;[Kurabiye Kutusu]" c="Kurabiye Kutusu"/>
        <s v="[Material].[H_MainGroup].[MainGroupDesc].&amp;[Mutfak].&amp;[Matara]" c="Matara"/>
        <s v="[Material].[H_MainGroup].[MainGroupDesc].&amp;[Mutfak].&amp;[Merdane]" c="Merdane"/>
        <s v="[Material].[H_MainGroup].[MainGroupDesc].&amp;[Mutfak].&amp;[Moka Pot]" c="Moka Pot"/>
        <s v="[Material].[H_MainGroup].[MainGroupDesc].&amp;[Mutfak].&amp;[Mutfak Gereci]" c="Mutfak Gereci"/>
        <s v="[Material].[H_MainGroup].[MainGroupDesc].&amp;[Mutfak].&amp;[Ölçü Kabı]" c="Ölçü Kabı"/>
        <s v="[Material].[H_MainGroup].[MainGroupDesc].&amp;[Mutfak].&amp;[Ölçü Kaşığı]" c="Ölçü Kaşığı"/>
        <s v="[Material].[H_MainGroup].[MainGroupDesc].&amp;[Mutfak].&amp;[Perforated Spatula]" c="Perforated Spatula"/>
        <s v="[Material].[H_MainGroup].[MainGroupDesc].&amp;[Mutfak].&amp;[Piknik Sepeti]" c="Piknik Sepeti"/>
        <s v="[Material].[H_MainGroup].[MainGroupDesc].&amp;[Mutfak].&amp;[Piknik Seti]" c="Piknik Seti"/>
        <s v="[Material].[H_MainGroup].[MainGroupDesc].&amp;[Mutfak].&amp;[Pipet]" c="Pipet"/>
        <s v="[Material].[H_MainGroup].[MainGroupDesc].&amp;[Mutfak].&amp;[Pizza Kesici]" c="Pizza Kesici"/>
        <s v="[Material].[H_MainGroup].[MainGroupDesc].&amp;[Mutfak].&amp;[Poşet Klipsi]" c="Poşet Klipsi"/>
        <s v="[Material].[H_MainGroup].[MainGroupDesc].&amp;[Mutfak].&amp;[Poşet Torbalığı]" c="Poşet Torbalığı"/>
        <s v="[Material].[H_MainGroup].[MainGroupDesc].&amp;[Mutfak].&amp;[Saklama Kabı]" c="Saklama Kabı"/>
        <s v="[Material].[H_MainGroup].[MainGroupDesc].&amp;[Mutfak].&amp;[Saklama Kabı Seti]" c="Saklama Kabı Seti"/>
        <s v="[Material].[H_MainGroup].[MainGroupDesc].&amp;[Mutfak].&amp;[Salata Seti]" c="Salata Seti"/>
        <s v="[Material].[H_MainGroup].[MainGroupDesc].&amp;[Mutfak].&amp;[Satır]" c="Satır"/>
        <s v="[Material].[H_MainGroup].[MainGroupDesc].&amp;[Mutfak].&amp;[Servis Gereçleri]" c="Servis Gereçleri"/>
        <s v="[Material].[H_MainGroup].[MainGroupDesc].&amp;[Mutfak].&amp;[Servis Kaşığı]" c="Servis Kaşığı"/>
        <s v="[Material].[H_MainGroup].[MainGroupDesc].&amp;[Mutfak].&amp;[Shaker]" c="Shaker"/>
        <s v="[Material].[H_MainGroup].[MainGroupDesc].&amp;[Mutfak].&amp;[Şişe Tıpası]" c="Şişe Tıpası"/>
        <s v="[Material].[H_MainGroup].[MainGroupDesc].&amp;[Mutfak].&amp;[Sofra Seti]" c="Sofra Seti"/>
        <s v="[Material].[H_MainGroup].[MainGroupDesc].&amp;[Mutfak].&amp;[Spagetti Kaşığı]" c="Spagetti Kaşığı"/>
        <s v="[Material].[H_MainGroup].[MainGroupDesc].&amp;[Mutfak].&amp;[Sufle Kabı]" c="Sufle Kabı"/>
        <s v="[Material].[H_MainGroup].[MainGroupDesc].&amp;[Mutfak].&amp;[Süt Potu]" c="Süt Potu"/>
        <s v="[Material].[H_MainGroup].[MainGroupDesc].&amp;[Mutfak].&amp;[Termos]" c="Termos"/>
        <s v="[Material].[H_MainGroup].[MainGroupDesc].&amp;[Mutfak].&amp;[Yemek Hazırlama]" c="Yemek Hazırlama"/>
        <s v="[Material].[H_MainGroup].[MainGroupDesc].&amp;[Mutfak].&amp;[Yumurta Fırçası]" c="Yumurta Fırçası"/>
        <s v="[Material].[H_MainGroup].[MainGroupDesc].&amp;[Mutfak].&amp;[Yumurtalık]" c="Yumurtalık"/>
        <s v="[Material].[H_MainGroup].[MainGroupDesc].&amp;[Nevresim].&amp;[Bebe Nevresim]" c="Bebe Nevresim"/>
        <s v="[Material].[H_MainGroup].[MainGroupDesc].&amp;[Nevresim].&amp;[Bebe Nevresim Seti]" c="Bebe Nevresim Seti"/>
        <s v="[Material].[H_MainGroup].[MainGroupDesc].&amp;[Nevresim].&amp;[Bebe Nevresim Takımı]" c="Bebe Nevresim Takımı"/>
        <s v="[Material].[H_MainGroup].[MainGroupDesc].&amp;[Nevresim].&amp;[Bebe Yastık Kılıfı]" c="Bebe Yastık Kılıfı"/>
        <s v="[Material].[H_MainGroup].[MainGroupDesc].&amp;[Nevresim].&amp;[Cibinlik]" c="Cibinlik"/>
        <s v="[Material].[H_MainGroup].[MainGroupDesc].&amp;[Nevresim].&amp;[Çocuk Nevresim Seti]" c="Çocuk Nevresim Seti"/>
        <s v="[Material].[H_MainGroup].[MainGroupDesc].&amp;[Nevresim].&amp;[Çocuk Nevresim Takım]" c="Çocuk Nevresim Takım"/>
        <s v="[Material].[H_MainGroup].[MainGroupDesc].&amp;[Nevresim].&amp;[Düz Çarşaf NVR TK]" c="Düz Çarşaf NVR TK"/>
        <s v="[Material].[H_MainGroup].[MainGroupDesc].&amp;[Nevresim].&amp;[Nevr. ve Yastık Klf]" c="Nevr. ve Yastık Klf"/>
        <s v="[Material].[H_MainGroup].[MainGroupDesc].&amp;[Nevresim].&amp;[Nevresim]" c="Nevresim"/>
        <s v="[Material].[H_MainGroup].[MainGroupDesc].&amp;[Nevresim].&amp;[Nevresim Seti]" c="Nevresim Seti"/>
        <s v="[Material].[H_MainGroup].[MainGroupDesc].&amp;[Nevresim].&amp;[Nevresim Takımı]" c="Nevresim Takımı"/>
        <s v="[Material].[H_MainGroup].[MainGroupDesc].&amp;[Pike].&amp;[Bebe Pike]" c="Bebe Pike"/>
        <s v="[Material].[H_MainGroup].[MainGroupDesc].&amp;[Pike].&amp;[Çocuk Pike Takımı]" c="Çocuk Pike Takımı"/>
        <s v="[Material].[H_MainGroup].[MainGroupDesc].&amp;[Pike].&amp;[Pike]" c="Pike"/>
        <s v="[Material].[H_MainGroup].[MainGroupDesc].&amp;[Pike].&amp;[Pike Seti]" c="Pike Seti"/>
        <s v="[Material].[H_MainGroup].[MainGroupDesc].&amp;[Pike].&amp;[Pike Takımı]" c="Pike Takımı"/>
        <s v="[Material].[H_MainGroup].[MainGroupDesc].&amp;[Pişirme].&amp;[Bakraç]" c="Bakraç"/>
        <s v="[Material].[H_MainGroup].[MainGroupDesc].&amp;[Pişirme].&amp;[Fırın Kabı]" c="Fırın Kabı"/>
        <s v="[Material].[H_MainGroup].[MainGroupDesc].&amp;[Pişirme].&amp;[Fırın Tencere]" c="Fırın Tencere"/>
        <s v="[Material].[H_MainGroup].[MainGroupDesc].&amp;[Pişirme].&amp;[Grıll Tava]" c="Grıll Tava"/>
        <s v="[Material].[H_MainGroup].[MainGroupDesc].&amp;[Pişirme].&amp;[Kek Kalıbı]" c="Kek Kalıbı"/>
        <s v="[Material].[H_MainGroup].[MainGroupDesc].&amp;[Pişirme].&amp;[Kek Kalıp Set]" c="Kek Kalıp Set"/>
        <s v="[Material].[H_MainGroup].[MainGroupDesc].&amp;[Pişirme].&amp;[Mini Tava]" c="Mini Tava"/>
        <s v="[Material].[H_MainGroup].[MainGroupDesc].&amp;[Pişirme].&amp;[Mini Tencere]" c="Mini Tencere"/>
        <s v="[Material].[H_MainGroup].[MainGroupDesc].&amp;[Pişirme].&amp;[Pişirme Seti]" c="Pişirme Seti"/>
        <s v="[Material].[H_MainGroup].[MainGroupDesc].&amp;[Pişirme].&amp;[Pişir-Sakla Set]" c="Pişir-Sakla Set"/>
        <s v="[Material].[H_MainGroup].[MainGroupDesc].&amp;[Pişirme].&amp;[Sahan]" c="Sahan"/>
        <s v="[Material].[H_MainGroup].[MainGroupDesc].&amp;[Pişirme].&amp;[Sahan Seti]" c="Sahan Seti"/>
        <s v="[Material].[H_MainGroup].[MainGroupDesc].&amp;[Pişirme].&amp;[Sos Tenceresi]" c="Sos Tenceresi"/>
        <s v="[Material].[H_MainGroup].[MainGroupDesc].&amp;[Pişirme].&amp;[Tart Kalıbı]" c="Tart Kalıbı"/>
        <s v="[Material].[H_MainGroup].[MainGroupDesc].&amp;[Pişirme].&amp;[Tava]" c="Tava"/>
        <s v="[Material].[H_MainGroup].[MainGroupDesc].&amp;[Pişirme].&amp;[Tava Seti]" c="Tava Seti"/>
        <s v="[Material].[H_MainGroup].[MainGroupDesc].&amp;[Pişirme].&amp;[Tencere]" c="Tencere"/>
        <s v="[Material].[H_MainGroup].[MainGroupDesc].&amp;[Pişirme].&amp;[Tencere Seti]" c="Tencere Seti"/>
        <s v="[Material].[H_MainGroup].[MainGroupDesc].&amp;[Pişirme].&amp;[Tencere-Tava Seti]" c="Tencere-Tava Seti"/>
        <s v="[Material].[H_MainGroup].[MainGroupDesc].&amp;[Pişirme].&amp;[Wok Tava]" c="Wok Tava"/>
        <s v="[Material].[H_MainGroup].[MainGroupDesc].&amp;[Salon].&amp;[Atlet]" c="Atlet"/>
        <s v="[Material].[H_MainGroup].[MainGroupDesc].&amp;[Salon].&amp;[Ayaklı Tepsi]" c="Ayaklı Tepsi"/>
        <s v="[Material].[H_MainGroup].[MainGroupDesc].&amp;[Salon].&amp;[Babet Çorap]" c="Babet Çorap"/>
        <s v="[Material].[H_MainGroup].[MainGroupDesc].&amp;[Salon].&amp;[Bebe Alt Açma Yedek]" c="Bebe Alt Açma Yedek"/>
        <s v="[Material].[H_MainGroup].[MainGroupDesc].&amp;[Salon].&amp;[Bebe Body]" c="Bebe Body"/>
        <s v="[Material].[H_MainGroup].[MainGroupDesc].&amp;[Salon].&amp;[Bebe Çorap]" c="Bebe Çorap"/>
        <s v="[Material].[H_MainGroup].[MainGroupDesc].&amp;[Salon].&amp;[Bebe Hediyelik Set]" c="Bebe Hediyelik Set"/>
        <s v="[Material].[H_MainGroup].[MainGroupDesc].&amp;[Salon].&amp;[Bebe Kundak Set]" c="Bebe Kundak Set"/>
        <s v="[Material].[H_MainGroup].[MainGroupDesc].&amp;[Salon].&amp;[Bebe Müslin Set]" c="Bebe Müslin Set"/>
        <s v="[Material].[H_MainGroup].[MainGroupDesc].&amp;[Salon].&amp;[Bebe Önlük]" c="Bebe Önlük"/>
        <s v="[Material].[H_MainGroup].[MainGroupDesc].&amp;[Salon].&amp;[Bebe Örtü]" c="Bebe Örtü"/>
        <s v="[Material].[H_MainGroup].[MainGroupDesc].&amp;[Salon].&amp;[Bebe Pijama Takımı]" c="Bebe Pijama Takımı"/>
        <s v="[Material].[H_MainGroup].[MainGroupDesc].&amp;[Salon].&amp;[Bebe Puset Örtüsü]" c="Bebe Puset Örtüsü"/>
        <s v="[Material].[H_MainGroup].[MainGroupDesc].&amp;[Salon].&amp;[Bebe Sandalyesi]" c="Bebe Sandalyesi"/>
        <s v="[Material].[H_MainGroup].[MainGroupDesc].&amp;[Salon].&amp;[Bebe Şapka]" c="Bebe Şapka"/>
        <s v="[Material].[H_MainGroup].[MainGroupDesc].&amp;[Salon].&amp;[Bebe Tulum]" c="Bebe Tulum"/>
        <s v="[Material].[H_MainGroup].[MainGroupDesc].&amp;[Salon].&amp;[Bebe Uyku Tulumu]" c="Bebe Uyku Tulumu"/>
        <s v="[Material].[H_MainGroup].[MainGroupDesc].&amp;[Salon].&amp;[Berjer]" c="Berjer"/>
        <s v="[Material].[H_MainGroup].[MainGroupDesc].&amp;[Salon].&amp;[Bluz]" c="Bluz"/>
        <s v="[Material].[H_MainGroup].[MainGroupDesc].&amp;[Salon].&amp;[Boxer]" c="Boxer"/>
        <s v="[Material].[H_MainGroup].[MainGroupDesc].&amp;[Salon].&amp;[Braçol]" c="Braçol"/>
        <s v="[Material].[H_MainGroup].[MainGroupDesc].&amp;[Salon].&amp;[Büyük Kırlent]" c="Büyük Kırlent"/>
        <s v="[Material].[H_MainGroup].[MainGroupDesc].&amp;[Salon].&amp;[Çanta.]" c="Çanta."/>
        <s v="[Material].[H_MainGroup].[MainGroupDesc].&amp;[Salon].&amp;[Çocuk Atlet]" c="Çocuk Atlet"/>
        <s v="[Material].[H_MainGroup].[MainGroupDesc].&amp;[Salon].&amp;[Çocuk Boxer]" c="Çocuk Boxer"/>
        <s v="[Material].[H_MainGroup].[MainGroupDesc].&amp;[Salon].&amp;[Çocuk Çanta]" c="Çocuk Çanta"/>
        <s v="[Material].[H_MainGroup].[MainGroupDesc].&amp;[Salon].&amp;[Çocuk Çarşaf]" c="Çocuk Çarşaf"/>
        <s v="[Material].[H_MainGroup].[MainGroupDesc].&amp;[Salon].&amp;[Çocuk Çorap]" c="Çocuk Çorap"/>
        <s v="[Material].[H_MainGroup].[MainGroupDesc].&amp;[Salon].&amp;[Çocuk Eldiven]" c="Çocuk Eldiven"/>
        <s v="[Material].[H_MainGroup].[MainGroupDesc].&amp;[Salon].&amp;[Çocuk Ev Ayakkabısı]" c="Çocuk Ev Ayakkabısı"/>
        <s v="[Material].[H_MainGroup].[MainGroupDesc].&amp;[Salon].&amp;[Çocuk Panço]" c="Çocuk Panço"/>
        <s v="[Material].[H_MainGroup].[MainGroupDesc].&amp;[Salon].&amp;[Çocuk Pijama Takımı]" c="Çocuk Pijama Takımı"/>
        <s v="[Material].[H_MainGroup].[MainGroupDesc].&amp;[Salon].&amp;[Çocuk Terliği]" c="Çocuk Terliği"/>
        <s v="[Material].[H_MainGroup].[MainGroupDesc].&amp;[Salon].&amp;[Çocuk Üst]" c="Çocuk Üst"/>
        <s v="[Material].[H_MainGroup].[MainGroupDesc].&amp;[Salon].&amp;[Çorap]" c="Çorap"/>
        <s v="[Material].[H_MainGroup].[MainGroupDesc].&amp;[Salon].&amp;[Dekoratif Koltuk]" c="Dekoratif Koltuk"/>
        <s v="[Material].[H_MainGroup].[MainGroupDesc].&amp;[Salon].&amp;[Dekoratif Minder]" c="Dekoratif Minder"/>
        <s v="[Material].[H_MainGroup].[MainGroupDesc].&amp;[Salon].&amp;[Dekoratif Puf]" c="Dekoratif Puf"/>
        <s v="[Material].[H_MainGroup].[MainGroupDesc].&amp;[Salon].&amp;[Deniz Şortu]" c="Deniz Şortu"/>
        <s v="[Material].[H_MainGroup].[MainGroupDesc].&amp;[Salon].&amp;[Diğer]" c="Diğer"/>
        <s v="[Material].[H_MainGroup].[MainGroupDesc].&amp;[Salon].&amp;[Dolgulu Kırlent]" c="Dolgulu Kırlent"/>
        <s v="[Material].[H_MainGroup].[MainGroupDesc].&amp;[Salon].&amp;[Duvar Kağıdı]" c="Duvar Kağıdı"/>
        <s v="[Material].[H_MainGroup].[MainGroupDesc].&amp;[Salon].&amp;[Düzenleyici]" c="Düzenleyici"/>
        <s v="[Material].[H_MainGroup].[MainGroupDesc].&amp;[Salon].&amp;[Eldiven]" c="Eldiven"/>
        <s v="[Material].[H_MainGroup].[MainGroupDesc].&amp;[Salon].&amp;[Ev Elbisesi]" c="Ev Elbisesi"/>
        <s v="[Material].[H_MainGroup].[MainGroupDesc].&amp;[Salon].&amp;[Ev Terliği]" c="Ev Terliği"/>
        <s v="[Material].[H_MainGroup].[MainGroupDesc].&amp;[Salon].&amp;[Evcil Hayvan Yatağı]" c="Evcil Hayvan Yatağı"/>
        <s v="[Material].[H_MainGroup].[MainGroupDesc].&amp;[Salon].&amp;[Fanila]" c="Fanila"/>
        <s v="[Material].[H_MainGroup].[MainGroupDesc].&amp;[Salon].&amp;[Fon Perde]" c="Fon Perde"/>
        <s v="[Material].[H_MainGroup].[MainGroupDesc].&amp;[Salon].&amp;[Gecelik]" c="Gecelik"/>
        <s v="[Material].[H_MainGroup].[MainGroupDesc].&amp;[Salon].&amp;[Hasır Çanta]" c="Hasır Çanta"/>
        <s v="[Material].[H_MainGroup].[MainGroupDesc].&amp;[Salon].&amp;[İç Çamaşır Takımı]" c="İç Çamaşır Takımı"/>
        <s v="[Material].[H_MainGroup].[MainGroupDesc].&amp;[Salon].&amp;[İçlik]" c="İçlik"/>
        <s v="[Material].[H_MainGroup].[MainGroupDesc].&amp;[Salon].&amp;[Kapri Takım]" c="Kapri Takım"/>
        <s v="[Material].[H_MainGroup].[MainGroupDesc].&amp;[Salon].&amp;[Kartela Kumaşı]" c="Kartela Kumaşı"/>
        <s v="[Material].[H_MainGroup].[MainGroupDesc].&amp;[Salon].&amp;[Kırlent]" c="Kırlent"/>
        <s v="[Material].[H_MainGroup].[MainGroupDesc].&amp;[Salon].&amp;[Kısa Gecelik]" c="Kısa Gecelik"/>
        <s v="[Material].[H_MainGroup].[MainGroupDesc].&amp;[Salon].&amp;[Klozet Adaptörü]" c="Klozet Adaptörü"/>
        <s v="[Material].[H_MainGroup].[MainGroupDesc].&amp;[Salon].&amp;[Koltuk Örtüsü]" c="Koltuk Örtüsü"/>
        <s v="[Material].[H_MainGroup].[MainGroupDesc].&amp;[Salon].&amp;[Koltuk Şalı]" c="Koltuk Şalı"/>
        <s v="[Material].[H_MainGroup].[MainGroupDesc].&amp;[Salon].&amp;[Külot]" c="Külot"/>
        <s v="[Material].[H_MainGroup].[MainGroupDesc].&amp;[Salon].&amp;[Küpe]" c="Küpe"/>
        <s v="[Material].[H_MainGroup].[MainGroupDesc].&amp;[Salon].&amp;[Omuz Şalı]" c="Omuz Şalı"/>
        <s v="[Material].[H_MainGroup].[MainGroupDesc].&amp;[Salon].&amp;[Panço]" c="Panço"/>
        <s v="[Material].[H_MainGroup].[MainGroupDesc].&amp;[Salon].&amp;[Panduf Ev Babeti]" c="Panduf Ev Babeti"/>
        <s v="[Material].[H_MainGroup].[MainGroupDesc].&amp;[Salon].&amp;[Panduf Ev Botu]" c="Panduf Ev Botu"/>
        <s v="[Material].[H_MainGroup].[MainGroupDesc].&amp;[Salon].&amp;[Patik Çorap]" c="Patik Çorap"/>
        <s v="[Material].[H_MainGroup].[MainGroupDesc].&amp;[Salon].&amp;[Peluş Çorap]" c="Peluş Çorap"/>
        <s v="[Material].[H_MainGroup].[MainGroupDesc].&amp;[Salon].&amp;[Pijama Takımı]" c="Pijama Takımı"/>
        <s v="[Material].[H_MainGroup].[MainGroupDesc].&amp;[Salon].&amp;[Pijama Üst]" c="Pijama Üst"/>
        <s v="[Material].[H_MainGroup].[MainGroupDesc].&amp;[Salon].&amp;[Plaj Çantası.]" c="Plaj Çantası."/>
        <s v="[Material].[H_MainGroup].[MainGroupDesc].&amp;[Salon].&amp;[Plaj Elbisesi]" c="Plaj Elbisesi"/>
        <s v="[Material].[H_MainGroup].[MainGroupDesc].&amp;[Salon].&amp;[Plaj Pantolonu]" c="Plaj Pantolonu"/>
        <s v="[Material].[H_MainGroup].[MainGroupDesc].&amp;[Salon].&amp;[Plaj Terliği]" c="Plaj Terliği"/>
        <s v="[Material].[H_MainGroup].[MainGroupDesc].&amp;[Salon].&amp;[Puf.]" c="Puf."/>
        <s v="[Material].[H_MainGroup].[MainGroupDesc].&amp;[Salon].&amp;[Puset]" c="Puset"/>
        <s v="[Material].[H_MainGroup].[MainGroupDesc].&amp;[Salon].&amp;[Sabahlık]" c="Sabahlık"/>
        <s v="[Material].[H_MainGroup].[MainGroupDesc].&amp;[Salon].&amp;[Sallanan Koltuk]" c="Sallanan Koltuk"/>
        <s v="[Material].[H_MainGroup].[MainGroupDesc].&amp;[Salon].&amp;[Sandalye Minderi]" c="Sandalye Minderi"/>
        <s v="[Material].[H_MainGroup].[MainGroupDesc].&amp;[Salon].&amp;[Seyahat Çantası]" c="Seyahat Çantası"/>
        <s v="[Material].[H_MainGroup].[MainGroupDesc].&amp;[Salon].&amp;[Sneaker Çorap]" c="Sneaker Çorap"/>
        <s v="[Material].[H_MainGroup].[MainGroupDesc].&amp;[Salon].&amp;[Sokak Terliği]" c="Sokak Terliği"/>
        <s v="[Material].[H_MainGroup].[MainGroupDesc].&amp;[Salon].&amp;[Soket Çorap]" c="Soket Çorap"/>
        <s v="[Material].[H_MainGroup].[MainGroupDesc].&amp;[Salon].&amp;[Şort]" c="Şort"/>
        <s v="[Material].[H_MainGroup].[MainGroupDesc].&amp;[Salon].&amp;[Şort Takım]" c="Şort Takım"/>
        <s v="[Material].[H_MainGroup].[MainGroupDesc].&amp;[Salon].&amp;[Spor Tshirt]" c="Spor Tshirt"/>
        <s v="[Material].[H_MainGroup].[MainGroupDesc].&amp;[Salon].&amp;[Stor Perde]" c="Stor Perde"/>
        <s v="[Material].[H_MainGroup].[MainGroupDesc].&amp;[Salon].&amp;[Sütyen]" c="Sütyen"/>
        <s v="[Material].[H_MainGroup].[MainGroupDesc].&amp;[Salon].&amp;[Tayt]" c="Tayt"/>
        <s v="[Material].[H_MainGroup].[MainGroupDesc].&amp;[Salon].&amp;[Tek Alt]" c="Tek Alt"/>
        <s v="[Material].[H_MainGroup].[MainGroupDesc].&amp;[Salon].&amp;[Tek Uzun Alt]" c="Tek Uzun Alt"/>
        <s v="[Material].[H_MainGroup].[MainGroupDesc].&amp;[Salon].&amp;[Ten Çorap]" c="Ten Çorap"/>
        <s v="[Material].[H_MainGroup].[MainGroupDesc].&amp;[Salon].&amp;[Tül Perde]" c="Tül Perde"/>
        <s v="[Material].[H_MainGroup].[MainGroupDesc].&amp;[Salon].&amp;[Uzun Gecelik]" c="Uzun Gecelik"/>
        <s v="[Material].[H_MainGroup].[MainGroupDesc].&amp;[Salon].&amp;[Yaslanma Minderi]" c="Yaslanma Minderi"/>
        <s v="[Material].[H_MainGroup].[MainGroupDesc].&amp;[Salon].&amp;[Yer Minderi]" c="Yer Minderi"/>
        <s v="[Material].[H_MainGroup].[MainGroupDesc].&amp;[Sofra İçecek].&amp;[Bardak]" c="Bardak"/>
        <s v="[Material].[H_MainGroup].[MainGroupDesc].&amp;[Sofra İçecek].&amp;[Bira Bardağı]" c="Bira Bardağı"/>
        <s v="[Material].[H_MainGroup].[MainGroupDesc].&amp;[Sofra İçecek].&amp;[Çay Bardağı]" c="Çay Bardağı"/>
        <s v="[Material].[H_MainGroup].[MainGroupDesc].&amp;[Sofra İçecek].&amp;[Çay Fincanı]" c="Çay Fincanı"/>
        <s v="[Material].[H_MainGroup].[MainGroupDesc].&amp;[Sofra İçecek].&amp;[Çay Seti]" c="Çay Seti"/>
        <s v="[Material].[H_MainGroup].[MainGroupDesc].&amp;[Sofra İçecek].&amp;[Çay Takımı]" c="Çay Takımı"/>
        <s v="[Material].[H_MainGroup].[MainGroupDesc].&amp;[Sofra İçecek].&amp;[Çay-Kahve Takımı]" c="Çay-Kahve Takımı"/>
        <s v="[Material].[H_MainGroup].[MainGroupDesc].&amp;[Sofra İçecek].&amp;[Detoks Bardağı]" c="Detoks Bardağı"/>
        <s v="[Material].[H_MainGroup].[MainGroupDesc].&amp;[Sofra İçecek].&amp;[Espresso Bardağı]" c="Espresso Bardağı"/>
        <s v="[Material].[H_MainGroup].[MainGroupDesc].&amp;[Sofra İçecek].&amp;[Fincan]" c="Fincan"/>
        <s v="[Material].[H_MainGroup].[MainGroupDesc].&amp;[Sofra İçecek].&amp;[Kadeh]" c="Kadeh"/>
        <s v="[Material].[H_MainGroup].[MainGroupDesc].&amp;[Sofra İçecek].&amp;[Kahve Fincan Takımı]" c="Kahve Fincan Takımı"/>
        <s v="[Material].[H_MainGroup].[MainGroupDesc].&amp;[Sofra İçecek].&amp;[Kahve Fincanı]" c="Kahve Fincanı"/>
        <s v="[Material].[H_MainGroup].[MainGroupDesc].&amp;[Sofra İçecek].&amp;[Kokteyl Bardağı]" c="Kokteyl Bardağı"/>
        <s v="[Material].[H_MainGroup].[MainGroupDesc].&amp;[Sofra İçecek].&amp;[Kupa]" c="Kupa"/>
        <s v="[Material].[H_MainGroup].[MainGroupDesc].&amp;[Sofra İçecek].&amp;[Likör Bardağı]" c="Likör Bardağı"/>
        <s v="[Material].[H_MainGroup].[MainGroupDesc].&amp;[Sofra İçecek].&amp;[Meşrubat Bardağı]" c="Meşrubat Bardağı"/>
        <s v="[Material].[H_MainGroup].[MainGroupDesc].&amp;[Sofra İçecek].&amp;[Mug]" c="Mug"/>
        <s v="[Material].[H_MainGroup].[MainGroupDesc].&amp;[Sofra İçecek].&amp;[Pipetli Bardak]" c="Pipetli Bardak"/>
        <s v="[Material].[H_MainGroup].[MainGroupDesc].&amp;[Sofra İçecek].&amp;[Şarap Kadehi]" c="Şarap Kadehi"/>
        <s v="[Material].[H_MainGroup].[MainGroupDesc].&amp;[Sofra İçecek].&amp;[Su Bardağı]" c="Su Bardağı"/>
        <s v="[Material].[H_MainGroup].[MainGroupDesc].&amp;[Sofra Sunum].&amp;[Amerikan Servis]" c="Amerikan Servis"/>
        <s v="[Material].[H_MainGroup].[MainGroupDesc].&amp;[Sofra Sunum].&amp;[Aşçı Eldiven]" c="Aşçı Eldiven"/>
        <s v="[Material].[H_MainGroup].[MainGroupDesc].&amp;[Sofra Sunum].&amp;[Başucu Sürahi]" c="Başucu Sürahi"/>
        <s v="[Material].[H_MainGroup].[MainGroupDesc].&amp;[Sofra Sunum].&amp;[Bebe Mama Takımı]" c="Bebe Mama Takımı"/>
        <s v="[Material].[H_MainGroup].[MainGroupDesc].&amp;[Sofra Sunum].&amp;[Buz Kovası]" c="Buz Kovası"/>
        <s v="[Material].[H_MainGroup].[MainGroupDesc].&amp;[Sofra Sunum].&amp;[Çerezlik]" c="Çerezlik"/>
        <s v="[Material].[H_MainGroup].[MainGroupDesc].&amp;[Sofra Sunum].&amp;[Çocuk Fırın Eldiveni]" c="Çocuk Fırın Eldiveni"/>
        <s v="[Material].[H_MainGroup].[MainGroupDesc].&amp;[Sofra Sunum].&amp;[Çocuk Önlüğü]" c="Çocuk Önlüğü"/>
        <s v="[Material].[H_MainGroup].[MainGroupDesc].&amp;[Sofra Sunum].&amp;[Çorba Kasesi]" c="Çorba Kasesi"/>
        <s v="[Material].[H_MainGroup].[MainGroupDesc].&amp;[Sofra Sunum].&amp;[Çukur Tabak]" c="Çukur Tabak"/>
        <s v="[Material].[H_MainGroup].[MainGroupDesc].&amp;[Sofra Sunum].&amp;[Cup]" c="Cup"/>
        <s v="[Material].[H_MainGroup].[MainGroupDesc].&amp;[Sofra Sunum].&amp;[Damacana Kılıfı]" c="Damacana Kılıfı"/>
        <s v="[Material].[H_MainGroup].[MainGroupDesc].&amp;[Sofra Sunum].&amp;[Dekoratif Şekerlik]" c="Dekoratif Şekerlik"/>
        <s v="[Material].[H_MainGroup].[MainGroupDesc].&amp;[Sofra Sunum].&amp;[Dizüstü Tepsi]" c="Dizüstü Tepsi"/>
        <s v="[Material].[H_MainGroup].[MainGroupDesc].&amp;[Sofra Sunum].&amp;[Kağıt Peçete]" c="Kağıt Peçete"/>
        <s v="[Material].[H_MainGroup].[MainGroupDesc].&amp;[Sofra Sunum].&amp;[Kahvaltılık]" c="Kahvaltılık"/>
        <s v="[Material].[H_MainGroup].[MainGroupDesc].&amp;[Sofra Sunum].&amp;[Karaf]" c="Karaf"/>
        <s v="[Material].[H_MainGroup].[MainGroupDesc].&amp;[Sofra Sunum].&amp;[Karaf Seti]" c="Karaf Seti"/>
        <s v="[Material].[H_MainGroup].[MainGroupDesc].&amp;[Sofra Sunum].&amp;[Kase]" c="Kase"/>
        <s v="[Material].[H_MainGroup].[MainGroupDesc].&amp;[Sofra Sunum].&amp;[Katlı Servis]" c="Katlı Servis"/>
        <s v="[Material].[H_MainGroup].[MainGroupDesc].&amp;[Sofra Sunum].&amp;[Kayık Tabak]" c="Kayık Tabak"/>
        <s v="[Material].[H_MainGroup].[MainGroupDesc].&amp;[Sofra Sunum].&amp;[Kek Fanus]" c="Kek Fanus"/>
        <s v="[Material].[H_MainGroup].[MainGroupDesc].&amp;[Sofra Sunum].&amp;[Kokteyl Peçetesi]" c="Kokteyl Peçetesi"/>
        <s v="[Material].[H_MainGroup].[MainGroupDesc].&amp;[Sofra Sunum].&amp;[Kokteyl Seti]" c="Kokteyl Seti"/>
        <s v="[Material].[H_MainGroup].[MainGroupDesc].&amp;[Sofra Sunum].&amp;[Kurabiyelik]" c="Kurabiyelik"/>
        <s v="[Material].[H_MainGroup].[MainGroupDesc].&amp;[Sofra Sunum].&amp;[Kurulama Bezi]" c="Kurulama Bezi"/>
        <s v="[Material].[H_MainGroup].[MainGroupDesc].&amp;[Sofra Sunum].&amp;[Lokumluk]" c="Lokumluk"/>
        <s v="[Material].[H_MainGroup].[MainGroupDesc].&amp;[Sofra Sunum].&amp;[Masa Örtüsü]" c="Masa Örtüsü"/>
        <s v="[Material].[H_MainGroup].[MainGroupDesc].&amp;[Sofra Sunum].&amp;[Meşrubatlık]" c="Meşrubatlık"/>
        <s v="[Material].[H_MainGroup].[MainGroupDesc].&amp;[Sofra Sunum].&amp;[Misafir Peçetesi]" c="Misafir Peçetesi"/>
        <s v="[Material].[H_MainGroup].[MainGroupDesc].&amp;[Sofra Sunum].&amp;[Mutfak Bezi]" c="Mutfak Bezi"/>
        <s v="[Material].[H_MainGroup].[MainGroupDesc].&amp;[Sofra Sunum].&amp;[Mutfak Masa Örtüsü]" c="Mutfak Masa Örtüsü"/>
        <s v="[Material].[H_MainGroup].[MainGroupDesc].&amp;[Sofra Sunum].&amp;[Mutfak Minderi]" c="Mutfak Minderi"/>
        <s v="[Material].[H_MainGroup].[MainGroupDesc].&amp;[Sofra Sunum].&amp;[Mutfak Önlüğü]" c="Mutfak Önlüğü"/>
        <s v="[Material].[H_MainGroup].[MainGroupDesc].&amp;[Sofra Sunum].&amp;[Mutfak Runnerı]" c="Mutfak Runnerı"/>
        <s v="[Material].[H_MainGroup].[MainGroupDesc].&amp;[Sofra Sunum].&amp;[Mutfak Seti]" c="Mutfak Seti"/>
        <s v="[Material].[H_MainGroup].[MainGroupDesc].&amp;[Sofra Sunum].&amp;[Pasta Tabağı]" c="Pasta Tabağı"/>
        <s v="[Material].[H_MainGroup].[MainGroupDesc].&amp;[Sofra Sunum].&amp;[Peçete Halkası]" c="Peçete Halkası"/>
        <s v="[Material].[H_MainGroup].[MainGroupDesc].&amp;[Sofra Sunum].&amp;[Peçete Yüzüğü]" c="Peçete Yüzüğü"/>
        <s v="[Material].[H_MainGroup].[MainGroupDesc].&amp;[Sofra Sunum].&amp;[Peynir Tabağı]" c="Peynir Tabağı"/>
        <s v="[Material].[H_MainGroup].[MainGroupDesc].&amp;[Sofra Sunum].&amp;[Peynir Tahtası]" c="Peynir Tahtası"/>
        <s v="[Material].[H_MainGroup].[MainGroupDesc].&amp;[Sofra Sunum].&amp;[Piknik Çantası]" c="Piknik Çantası"/>
        <s v="[Material].[H_MainGroup].[MainGroupDesc].&amp;[Sofra Sunum].&amp;[Piknik Örtüsü.]" c="Piknik Örtüsü."/>
        <s v="[Material].[H_MainGroup].[MainGroupDesc].&amp;[Sofra Sunum].&amp;[Pizza Tabağı]" c="Pizza Tabağı"/>
        <s v="[Material].[H_MainGroup].[MainGroupDesc].&amp;[Sofra Sunum].&amp;[Reçellik]" c="Reçellik"/>
        <s v="[Material].[H_MainGroup].[MainGroupDesc].&amp;[Sofra Sunum].&amp;[Runner]" c="Runner"/>
        <s v="[Material].[H_MainGroup].[MainGroupDesc].&amp;[Sofra Sunum].&amp;[Salata Kasesi]" c="Salata Kasesi"/>
        <s v="[Material].[H_MainGroup].[MainGroupDesc].&amp;[Sofra Sunum].&amp;[Sehpa Örtüsü]" c="Sehpa Örtüsü"/>
        <s v="[Material].[H_MainGroup].[MainGroupDesc].&amp;[Sofra Sunum].&amp;[Şekerlik]" c="Şekerlik"/>
        <s v="[Material].[H_MainGroup].[MainGroupDesc].&amp;[Sofra Sunum].&amp;[Servis Standı]" c="Servis Standı"/>
        <s v="[Material].[H_MainGroup].[MainGroupDesc].&amp;[Sofra Sunum].&amp;[Servis Tabağı]" c="Servis Tabağı"/>
        <s v="[Material].[H_MainGroup].[MainGroupDesc].&amp;[Sofra Sunum].&amp;[Servis Tamamlayıcı]" c="Servis Tamamlayıcı"/>
        <s v="[Material].[H_MainGroup].[MainGroupDesc].&amp;[Sofra Sunum].&amp;[Şişe]" c="Şişe"/>
        <s v="[Material].[H_MainGroup].[MainGroupDesc].&amp;[Sofra Sunum].&amp;[Sosluk]" c="Sosluk"/>
        <s v="[Material].[H_MainGroup].[MainGroupDesc].&amp;[Sofra Sunum].&amp;[Su Takımı]" c="Su Takımı"/>
        <s v="[Material].[H_MainGroup].[MainGroupDesc].&amp;[Sofra Sunum].&amp;[Sunum Kasesi]" c="Sunum Kasesi"/>
        <s v="[Material].[H_MainGroup].[MainGroupDesc].&amp;[Sofra Sunum].&amp;[Sunum Seti]" c="Sunum Seti"/>
        <s v="[Material].[H_MainGroup].[MainGroupDesc].&amp;[Sofra Sunum].&amp;[Sunum Tabağı]" c="Sunum Tabağı"/>
        <s v="[Material].[H_MainGroup].[MainGroupDesc].&amp;[Sofra Sunum].&amp;[Sunum Tahtası]" c="Sunum Tahtası"/>
        <s v="[Material].[H_MainGroup].[MainGroupDesc].&amp;[Sofra Sunum].&amp;[Sunumluk]" c="Sunumluk"/>
        <s v="[Material].[H_MainGroup].[MainGroupDesc].&amp;[Sofra Sunum].&amp;[Supla]" c="Supla"/>
        <s v="[Material].[H_MainGroup].[MainGroupDesc].&amp;[Sofra Sunum].&amp;[Supla Altı]" c="Supla Altı"/>
        <s v="[Material].[H_MainGroup].[MainGroupDesc].&amp;[Sofra Sunum].&amp;[Sürahi]" c="Sürahi"/>
        <s v="[Material].[H_MainGroup].[MainGroupDesc].&amp;[Sofra Sunum].&amp;[Tabak]" c="Tabak"/>
        <s v="[Material].[H_MainGroup].[MainGroupDesc].&amp;[Sofra Sunum].&amp;[Tatlı Tabağı]" c="Tatlı Tabağı"/>
        <s v="[Material].[H_MainGroup].[MainGroupDesc].&amp;[Sofra Sunum].&amp;[Tepsi]" c="Tepsi"/>
        <s v="[Material].[H_MainGroup].[MainGroupDesc].&amp;[Sofra Sunum].&amp;[Tereyağlık]" c="Tereyağlık"/>
        <s v="[Material].[H_MainGroup].[MainGroupDesc].&amp;[Sofra Sunum].&amp;[Tutaç]" c="Tutaç"/>
        <s v="[Material].[H_MainGroup].[MainGroupDesc].&amp;[Sofra Sunum].&amp;[Tuzluk]" c="Tuzluk"/>
        <s v="[Material].[H_MainGroup].[MainGroupDesc].&amp;[Sofra Sunum].&amp;[Tuzluk - Biberlik]" c="Tuzluk - Biberlik"/>
        <s v="[Material].[H_MainGroup].[MainGroupDesc].&amp;[Sofra Sunum].&amp;[Yağdanlık]" c="Yağdanlık"/>
        <s v="[Material].[H_MainGroup].[MainGroupDesc].&amp;[Sofra Sunum].&amp;[Yağ-Sirke-Tuz-Bbr]" c="Yağ-Sirke-Tuz-Bbr"/>
        <s v="[Material].[H_MainGroup].[MainGroupDesc].&amp;[Sofra Takımları].&amp;[Çatal Kaşık Bıçak Tk]" c="Çatal Kaşık Bıçak Tk"/>
        <s v="[Material].[H_MainGroup].[MainGroupDesc].&amp;[Sofra Takımları].&amp;[Çay Kaşığı]" c="Çay Kaşığı"/>
        <s v="[Material].[H_MainGroup].[MainGroupDesc].&amp;[Sofra Takımları].&amp;[Çay Tabağı]" c="Çay Tabağı"/>
        <s v="[Material].[H_MainGroup].[MainGroupDesc].&amp;[Sofra Takımları].&amp;[Kahvaltı Takımı]" c="Kahvaltı Takımı"/>
        <s v="[Material].[H_MainGroup].[MainGroupDesc].&amp;[Sofra Takımları].&amp;[Kokteyl Çatalı]" c="Kokteyl Çatalı"/>
        <s v="[Material].[H_MainGroup].[MainGroupDesc].&amp;[Sofra Takımları].&amp;[Kokteyl Karıştırıcı]" c="Kokteyl Karıştırıcı"/>
        <s v="[Material].[H_MainGroup].[MainGroupDesc].&amp;[Sofra Takımları].&amp;[Pasta Seti]" c="Pasta Seti"/>
        <s v="[Material].[H_MainGroup].[MainGroupDesc].&amp;[Sofra Takımları].&amp;[Tatlı Bıçağı]" c="Tatlı Bıçağı"/>
        <s v="[Material].[H_MainGroup].[MainGroupDesc].&amp;[Sofra Takımları].&amp;[Tatlı Çatalı]" c="Tatlı Çatalı"/>
        <s v="[Material].[H_MainGroup].[MainGroupDesc].&amp;[Sofra Takımları].&amp;[Tatlı Kaşığı]" c="Tatlı Kaşığı"/>
        <s v="[Material].[H_MainGroup].[MainGroupDesc].&amp;[Sofra Takımları].&amp;[Yemek Bıçağı]" c="Yemek Bıçağı"/>
        <s v="[Material].[H_MainGroup].[MainGroupDesc].&amp;[Sofra Takımları].&amp;[Yemek Çatalı]" c="Yemek Çatalı"/>
        <s v="[Material].[H_MainGroup].[MainGroupDesc].&amp;[Sofra Takımları].&amp;[Yemek Kaşığı]" c="Yemek Kaşığı"/>
        <s v="[Material].[H_MainGroup].[MainGroupDesc].&amp;[Sofra Takımları].&amp;[Yemek Takımı]" c="Yemek Takımı"/>
        <s v="[Material].[H_MainGroup].[MainGroupDesc].&amp;[Yastık].&amp;[Alez Yastık Kılıfı]" c="Alez Yastık Kılıfı"/>
        <s v="[Material].[H_MainGroup].[MainGroupDesc].&amp;[Yastık].&amp;[Bebe Yastık]" c="Bebe Yastık"/>
        <s v="[Material].[H_MainGroup].[MainGroupDesc].&amp;[Yastık].&amp;[Bel Yastığı]" c="Bel Yastığı"/>
        <s v="[Material].[H_MainGroup].[MainGroupDesc].&amp;[Yastık].&amp;[Çocuk Yastık]" c="Çocuk Yastık"/>
        <s v="[Material].[H_MainGroup].[MainGroupDesc].&amp;[Yastık].&amp;[Çocuk Yastık Kılıfı]" c="Çocuk Yastık Kılıfı"/>
        <s v="[Material].[H_MainGroup].[MainGroupDesc].&amp;[Yastık].&amp;[Dekoratif Yastık]" c="Dekoratif Yastık"/>
        <s v="[Material].[H_MainGroup].[MainGroupDesc].&amp;[Yastık].&amp;[Destekli Yastık]" c="Destekli Yastık"/>
        <s v="[Material].[H_MainGroup].[MainGroupDesc].&amp;[Yastık].&amp;[Kırlent Yastık]" c="Kırlent Yastık"/>
        <s v="[Material].[H_MainGroup].[MainGroupDesc].&amp;[Yastık].&amp;[Yastık]" c="Yastık"/>
        <s v="[Material].[H_MainGroup].[MainGroupDesc].&amp;[Yastık].&amp;[Yastık Alezi]" c="Yastık Alezi"/>
        <s v="[Material].[H_MainGroup].[MainGroupDesc].&amp;[Yatak Örtüsü].&amp;[Bebe Yatak K. Koruma]" c="Bebe Yatak K. Koruma"/>
        <s v="[Material].[H_MainGroup].[MainGroupDesc].&amp;[Yatak Örtüsü].&amp;[Bebe Yatak Koruma]" c="Bebe Yatak Koruma"/>
        <s v="[Material].[H_MainGroup].[MainGroupDesc].&amp;[Yatak Örtüsü].&amp;[Çocuk Yatak Örtü Tkm]" c="Çocuk Yatak Örtü Tkm"/>
        <s v="[Material].[H_MainGroup].[MainGroupDesc].&amp;[Yatak Örtüsü].&amp;[Çok Amaçlı Örtü]" c="Çok Amaçlı Örtü"/>
        <s v="[Material].[H_MainGroup].[MainGroupDesc].&amp;[Yatak Örtüsü].&amp;[Yatak Örtüsü]" c="Yatak Örtüsü"/>
        <s v="[Material].[H_MainGroup].[MainGroupDesc].&amp;[Yatak Örtüsü].&amp;[Yatak Örtüsü Takımı]" c="Yatak Örtüsü Takımı"/>
        <s v="[Material].[H_MainGroup].[MainGroupDesc].&amp;[YEDEK PARÇA].&amp;[Airfryer YP]" c="Airfryer YP"/>
        <s v="[Material].[H_MainGroup].[MainGroupDesc].&amp;[YEDEK PARÇA].&amp;[Çay Makinesi YP]" c="Çay Makinesi YP"/>
        <s v="[Material].[H_MainGroup].[MainGroupDesc].&amp;[YEDEK PARÇA].&amp;[Doğrayıcı YP]" c="Doğrayıcı YP"/>
        <s v="[Material].[H_MainGroup].[MainGroupDesc].&amp;[YEDEK PARÇA].&amp;[El Blen.Multi Set YP]" c="El Blen.Multi Set YP"/>
        <s v="[Material].[H_MainGroup].[MainGroupDesc].&amp;[YEDEK PARÇA].&amp;[El Mikseri YP]" c="El Mikseri YP"/>
        <s v="[Material].[H_MainGroup].[MainGroupDesc].&amp;[YEDEK PARÇA].&amp;[Elektrikli Süpürge Y]" c="Elektrikli Süpürge Y"/>
        <s v="[Material].[H_MainGroup].[MainGroupDesc].&amp;[YEDEK PARÇA].&amp;[Filtre Kahve M.YP]" c="Filtre Kahve M.YP"/>
        <s v="[Material].[H_MainGroup].[MainGroupDesc].&amp;[YEDEK PARÇA].&amp;[Izgara ve Tost M. YP]" c="Izgara ve Tost M. YP"/>
        <s v="[Material].[H_MainGroup].[MainGroupDesc].&amp;[YEDEK PARÇA].&amp;[KEA YP]" c="KEA YP"/>
        <s v="[Material].[H_MainGroup].[MainGroupDesc].&amp;[YEDEK PARÇA].&amp;[Kişisel Blender YP]" c="Kişisel Blender YP"/>
        <s v="[Material].[H_MainGroup].[MainGroupDesc].&amp;[YEDEK PARÇA].&amp;[Kozmetik YP]" c="Kozmetik YP"/>
        <s v="[Material].[H_MainGroup].[MainGroupDesc].&amp;[YEDEK PARÇA].&amp;[Mutfak YP]" c="Mutfak YP"/>
        <s v="[Material].[H_MainGroup].[MainGroupDesc].&amp;[YEDEK PARÇA].&amp;[Pişirme YP]" c="Pişirme YP"/>
        <s v="[Material].[H_MainGroup].[MainGroupDesc].&amp;[YEDEK PARÇA].&amp;[Saç Kurutma YP]" c="Saç Kurutma YP"/>
        <s v="[Material].[H_MainGroup].[MainGroupDesc].&amp;[YEDEK PARÇA].&amp;[Sarf YP]" c="Sarf YP"/>
        <s v="[Material].[H_MainGroup].[MainGroupDesc].&amp;[YEDEK PARÇA].&amp;[Şarjlı Süpürge YP.]" c="Şarjlı Süpürge YP."/>
        <s v="[Material].[H_MainGroup].[MainGroupDesc].&amp;[YEDEK PARÇA].&amp;[Sofra YP]" c="Sofra YP"/>
        <s v="[Material].[H_MainGroup].[MainGroupDesc].&amp;[YEDEK PARÇA].&amp;[SSH YP]" c="SSH YP"/>
        <s v="[Material].[H_MainGroup].[MainGroupDesc].&amp;[YEDEK PARÇA].&amp;[Stand Mikser YP]" c="Stand Mikser YP"/>
        <s v="[Material].[H_MainGroup].[MainGroupDesc].&amp;[YEDEK PARÇA].&amp;[Su Isıtıcısı YP.]" c="Su Isıtıcısı YP."/>
        <s v="[Material].[H_MainGroup].[MainGroupDesc].&amp;[YEDEK PARÇA].&amp;[Sürahi Blender YP]" c="Sürahi Blender YP"/>
        <s v="[Material].[H_MainGroup].[MainGroupDesc].&amp;[YEDEK PARÇA].&amp;[Türk Kahve M. YP]" c="Türk Kahve M. YP"/>
        <s v="[Material].[H_MainGroup].[MainGroupDesc].&amp;[YEDEK PARÇA].&amp;[Waffle Makinesi YP]" c="Waffle Makinesi YP"/>
        <s v="[Material].[H_MainGroup].[MainGroupDesc].&amp;[Yorgan].&amp;[Alez]" c="Alez"/>
        <s v="[Material].[H_MainGroup].[MainGroupDesc].&amp;[Yorgan].&amp;[Bebe Alez]" c="Bebe Alez"/>
        <s v="[Material].[H_MainGroup].[MainGroupDesc].&amp;[Yorgan].&amp;[Bebe Yorgan]" c="Bebe Yorgan"/>
        <s v="[Material].[H_MainGroup].[MainGroupDesc].&amp;[Yorgan].&amp;[Bebe Yorgan Set]" c="Bebe Yorgan Set"/>
        <s v="[Material].[H_MainGroup].[MainGroupDesc].&amp;[Yorgan].&amp;[Uyku Seti]" c="Uyku Seti"/>
        <s v="[Material].[H_MainGroup].[MainGroupDesc].&amp;[Yorgan].&amp;[Yastık ve Yorgan Tk]" c="Yastık ve Yorgan Tk"/>
        <s v="[Material].[H_MainGroup].[MainGroupDesc].&amp;[Yorgan].&amp;[Yatak Eteği]" c="Yatak Eteği"/>
        <s v="[Material].[H_MainGroup].[MainGroupDesc].&amp;[Yorgan].&amp;[Yatak Pedi.]" c="Yatak Pedi."/>
        <s v="[Material].[H_MainGroup].[MainGroupDesc].&amp;[Yorgan].&amp;[Yorgan]" c="Yorgan"/>
      </sharedItems>
    </cacheField>
    <cacheField name="[Measures].[TY Invoice Count]" caption="TY Invoice Count" numFmtId="0" hierarchy="870" level="32767"/>
    <cacheField name="[Calendar].[MerchYearMonth].[MerchYearMonth]" caption="MerchYearMonth" numFmtId="0" hierarchy="16" level="1">
      <sharedItems containsSemiMixedTypes="0" containsString="0"/>
    </cacheField>
    <cacheField name="[Measures].[LY LFL Invoice Count]" caption="LY LFL Invoice Count" numFmtId="0" hierarchy="957" level="32767"/>
    <cacheField name="[Measures].[LY LFL Sales Unit]" caption="LY LFL Sales Unit" numFmtId="0" hierarchy="938" level="32767"/>
    <cacheField name="[Measures].[LY LFL Sales Value LC]" caption="LY LFL Sales Value LC" numFmtId="0" hierarchy="940" level="32767"/>
    <cacheField name="[Measures].[LY LFL Avg Store Stock Unit]" caption="LY LFL Avg Store Stock Unit" numFmtId="0" hierarchy="785" level="32767"/>
    <cacheField name="[Measures].[TY Unit Sales Price LC]" caption="TY Unit Sales Price LC" numFmtId="0" hierarchy="967" level="32767"/>
    <cacheField name="[Measures].[LY LFL Unit Sales Price LC]" caption="LY LFL Unit Sales Price LC" numFmtId="0" hierarchy="976" level="32767"/>
    <cacheField name="[Measures].[TY Avg DC Stock Unit]" caption="TY Avg DC Stock Unit" numFmtId="0" hierarchy="693" level="32767"/>
    <cacheField name="[Measures].[LY Avg DC Stock Unit]" caption="LY Avg DC Stock Unit" numFmtId="0" hierarchy="705" level="32767"/>
    <cacheField name="[Measures].[TY Store Cover Unit]" caption="TY Store Cover Unit" numFmtId="0" hierarchy="1528" level="32767"/>
    <cacheField name="[Measures].[LY Store Cover Unit]" caption="LY Store Cover Unit" numFmtId="0" hierarchy="1541" level="32767"/>
    <cacheField name="[Measures].[TY Gross Marjin LC%]" caption="TY Gross Marjin LC%" numFmtId="0" hierarchy="1119" level="32767"/>
    <cacheField name="[Measures].[LY Gross Marjin LC%]" caption="LY Gross Marjin LC%" numFmtId="0" hierarchy="1121" level="32767"/>
    <cacheField name="[Measures].[TY Gross Profit LC]" caption="TY Gross Profit LC" numFmtId="0" hierarchy="1003" level="32767"/>
    <cacheField name="[Measures].[LY Gross Profit LC]" caption="LY Gross Profit LC" numFmtId="0" hierarchy="1005" level="32767"/>
    <cacheField name="[Measures].[LFL Store Stock Unit TYvsLY%]" caption="LFL Store Stock Unit TYvsLY%" numFmtId="0" hierarchy="1192" level="32767"/>
    <cacheField name="[Measures].[LFL Sales Unit TYvsLY%]" caption="LFL Sales Unit TYvsLY%" numFmtId="0" hierarchy="1184" level="32767"/>
    <cacheField name="[Measures].[LFL Sales Value TYvsLY LC%]" caption="LFL Sales Value TYvsLY LC%" numFmtId="0" hierarchy="1185" level="32767"/>
    <cacheField name="[Measures].[LFL Sales Profit TYvsLY LC%]" caption="LFL Sales Profit TYvsLY LC%" numFmtId="0" hierarchy="1225" level="32767"/>
    <cacheField name="[Material].[MaterialDesc].[MaterialDesc]" caption="MaterialDesc" numFmtId="0" hierarchy="81" level="1">
      <sharedItems containsSemiMixedTypes="0" containsString="0"/>
    </cacheField>
    <cacheField name="[SalesChannel].[H_SalesChannel].[SalesOrgType]" caption="SalesOrgType" numFmtId="0" hierarchy="142" level="1">
      <sharedItems containsSemiMixedTypes="0" containsString="0"/>
    </cacheField>
    <cacheField name="[SalesChannel].[H_SalesChannel].[CountryName]" caption="CountryName" numFmtId="0" hierarchy="142" level="2">
      <sharedItems containsSemiMixedTypes="0" containsString="0"/>
    </cacheField>
    <cacheField name="[SalesChannel].[H_SalesChannel].[DistrubitionChannelDesc]" caption="DistrubitionChannelDesc" numFmtId="0" hierarchy="142" level="3">
      <sharedItems containsSemiMixedTypes="0" containsString="0"/>
    </cacheField>
    <cacheField name="[Calendar].[MerchYear].[MerchYear]" caption="MerchYear" numFmtId="0" hierarchy="15" level="1">
      <sharedItems containsSemiMixedTypes="0" containsString="0"/>
    </cacheField>
    <cacheField name="[Material].[MerchProduct].[MerchProduct]" caption="MerchProduct" numFmtId="0" hierarchy="100" level="1">
      <sharedItems containsSemiMixedTypes="0" containsString="0"/>
    </cacheField>
    <cacheField name="[Measures].[Store Stock Cost TyTWvsTyLW TRY%]" caption="Store Stock Cost TyTWvsTyLW TRY%" numFmtId="0" hierarchy="1301" level="32767"/>
    <cacheField name="[Measures].[Store Stock Unit TyTWvsTyLW%]" caption="Store Stock Unit TyTWvsTyLW%" numFmtId="0" hierarchy="1299" level="32767"/>
    <cacheField name="[Measures].[Sales Unit TyTWvsTyLW%]" caption="Sales Unit TyTWvsTyLW%" numFmtId="0" hierarchy="1291" level="32767"/>
    <cacheField name="[Measures].[Sales Value TyTWvsTyLW TRY%]" caption="Sales Value TyTWvsTyLW TRY%" numFmtId="0" hierarchy="1294" level="32767"/>
    <cacheField name="[Measures].[Unit Sales Price TyTWvsTyLW TRY%]" caption="Unit Sales Price TyTWvsTyLW TRY%" numFmtId="0" hierarchy="1308" level="32767"/>
    <cacheField name="[Calendar].[LastNWeeks].[LastNWeeks]" caption="LastNWeeks" numFmtId="0" hierarchy="11" level="1">
      <sharedItems containsSemiMixedTypes="0" containsString="0"/>
    </cacheField>
    <cacheField name="[Calendar].[LastNDays].[LastNDays]" caption="LastNDays" numFmtId="0" hierarchy="9" level="1">
      <sharedItems containsSemiMixedTypes="0" containsString="0"/>
    </cacheField>
    <cacheField name="[Measures].[Achieved TY Sales Budget Unit]" caption="Achieved TY Sales Budget Unit" numFmtId="0" hierarchy="1059" level="32767"/>
    <cacheField name="[Measures].[Achieved TY Sales Budget Value TRY]" caption="Achieved TY Sales Budget Value TRY" numFmtId="0" hierarchy="1072" level="32767"/>
    <cacheField name="[Measures].[Achieved TY Sales Budget Profit Value TRY]" caption="Achieved TY Sales Budget Profit Value TRY" numFmtId="0" hierarchy="1074" level="32767"/>
  </cacheFields>
  <cacheHierarchies count="156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ID]" caption="DateID" attribute="1" time="1" defaultMemberUniqueName="[Calendar].[DateID].[All]" allUniqueName="[Calendar].[DateID].[All]" dimensionUniqueName="[Calendar]" displayFolder="" count="0" unbalanced="0"/>
    <cacheHierarchy uniqueName="[Calendar].[DayName]" caption="DayName" attribute="1" time="1" defaultMemberUniqueName="[Calendar].[DayName].[All]" allUniqueName="[Calendar].[DayName].[All]" dimensionUniqueName="[Calendar]" displayFolder="" count="0" unbalanced="0"/>
    <cacheHierarchy uniqueName="[Calendar].[DayOfMonth]" caption="DayOfMonth" attribute="1" time="1" defaultMemberUniqueName="[Calendar].[DayOfMonth].[All]" allUniqueName="[Calendar].[DayOfMonth].[All]" dimensionUniqueName="[Calendar]" displayFolder="Gregorian" count="0" unbalanced="0"/>
    <cacheHierarchy uniqueName="[Calendar].[DayOfWeek]" caption="DayOfWeek" attribute="1" time="1" defaultMemberUniqueName="[Calendar].[DayOfWeek].[All]" allUniqueName="[Calendar].[DayOfWeek].[All]" dimensionUniqueName="[Calendar]" displayFolder="Gregorian" count="0" unbalanced="0"/>
    <cacheHierarchy uniqueName="[Calendar].[H_Gregorian]" caption="H_Gregorian" time="1" defaultMemberUniqueName="[Calendar].[H_Gregorian].[All]" allUniqueName="[Calendar].[H_Gregorian].[All]" dimensionUniqueName="[Calendar]" displayFolder="" count="4" unbalanced="0"/>
    <cacheHierarchy uniqueName="[Calendar].[H_Merch]" caption="H_Merch" time="1" defaultMemberUniqueName="[Calendar].[H_Merch].[All]" allUniqueName="[Calendar].[H_Merch].[All]" dimensionUniqueName="[Calendar]" displayFolder="" count="5" unbalanced="0">
      <fieldsUsage count="5">
        <fieldUsage x="-1"/>
        <fieldUsage x="5"/>
        <fieldUsage x="6"/>
        <fieldUsage x="7"/>
        <fieldUsage x="8"/>
      </fieldsUsage>
    </cacheHierarchy>
    <cacheHierarchy uniqueName="[Calendar].[IsWeekend]" caption="IsWeekend" attribute="1" time="1" defaultMemberUniqueName="[Calendar].[IsWeekend].[All]" allUniqueName="[Calendar].[IsWeekend].[All]" dimensionUniqueName="[Calendar]" displayFolder="" count="0" unbalanced="0"/>
    <cacheHierarchy uniqueName="[Calendar].[Last7DaysPartSequence]" caption="Last7DaysPartSequence" attribute="1" time="1" defaultMemberUniqueName="[Calendar].[Last7DaysPartSequence].[All]" allUniqueName="[Calendar].[Last7DaysPartSequence].[All]" dimensionUniqueName="[Calendar]" displayFolder="" count="0" unbalanced="0"/>
    <cacheHierarchy uniqueName="[Calendar].[LastNDays]" caption="LastNDays" attribute="1" time="1" defaultMemberUniqueName="[Calendar].[LastNDays].[All]" allUniqueName="[Calendar].[LastNDays].[All]" dimensionUniqueName="[Calendar]" displayFolder="" count="2" unbalanced="0">
      <fieldsUsage count="2">
        <fieldUsage x="-1"/>
        <fieldUsage x="44"/>
      </fieldsUsage>
    </cacheHierarchy>
    <cacheHierarchy uniqueName="[Calendar].[LastNMonths]" caption="LastNMonths" attribute="1" time="1" defaultMemberUniqueName="[Calendar].[LastNMonths].[All]" allUniqueName="[Calendar].[LastNMonths].[All]" dimensionUniqueName="[Calendar]" displayFolder="" count="0" unbalanced="0"/>
    <cacheHierarchy uniqueName="[Calendar].[LastNWeeks]" caption="LastNWeeks" attribute="1" time="1" defaultMemberUniqueName="[Calendar].[LastNWeeks].[All]" allUniqueName="[Calendar].[LastNWeeks].[All]" dimensionUniqueName="[Calendar]" displayFolder="" count="2" unbalanced="0">
      <fieldsUsage count="2">
        <fieldUsage x="-1"/>
        <fieldUsage x="43"/>
      </fieldsUsage>
    </cacheHierarchy>
    <cacheHierarchy uniqueName="[Calendar].[MerchMonth]" caption="MerchMonth" attribute="1" time="1" defaultMemberUniqueName="[Calendar].[MerchMonth].[All]" allUniqueName="[Calendar].[MerchMonth].[All]" dimensionUniqueName="[Calendar]" displayFolder="Merch" count="2" unbalanced="0"/>
    <cacheHierarchy uniqueName="[Calendar].[MerchMonthName]" caption="MerchMonthName" attribute="1" time="1" defaultMemberUniqueName="[Calendar].[MerchMonthName].[All]" allUniqueName="[Calendar].[MerchMonthName].[All]" dimensionUniqueName="[Calendar]" displayFolder="Merch" count="0" unbalanced="0"/>
    <cacheHierarchy uniqueName="[Calendar].[MerchWeek]" caption="MerchWeek" attribute="1" time="1" defaultMemberUniqueName="[Calendar].[MerchWeek].[All]" allUniqueName="[Calendar].[MerchWeek].[All]" dimensionUniqueName="[Calendar]" displayFolder="Merch" count="2" unbalanced="0"/>
    <cacheHierarchy uniqueName="[Calendar].[MerchYear]" caption="MerchYear" attribute="1" time="1" defaultMemberUniqueName="[Calendar].[MerchYear].[All]" allUniqueName="[Calendar].[MerchYear].[All]" dimensionUniqueName="[Calendar]" displayFolder="Merch" count="2" unbalanced="0">
      <fieldsUsage count="2">
        <fieldUsage x="-1"/>
        <fieldUsage x="36"/>
      </fieldsUsage>
    </cacheHierarchy>
    <cacheHierarchy uniqueName="[Calendar].[MerchYearMonth]" caption="MerchYearMonth" attribute="1" time="1" defaultMemberUniqueName="[Calendar].[MerchYearMonth].[All]" allUniqueName="[Calendar].[MerchYearMonth].[All]" dimensionUniqueName="[Calendar]" displayFolder="Merch" count="2" unbalanced="0">
      <fieldsUsage count="2">
        <fieldUsage x="-1"/>
        <fieldUsage x="13"/>
      </fieldsUsage>
    </cacheHierarchy>
    <cacheHierarchy uniqueName="[Calendar].[MerchYearMonthName]" caption="MerchYearMonthName" attribute="1" time="1" defaultMemberUniqueName="[Calendar].[MerchYearMonthName].[All]" allUniqueName="[Calendar].[MerchYearMonthName].[All]" dimensionUniqueName="[Calendar]" displayFolder="Merch" count="0" unbalanced="0"/>
    <cacheHierarchy uniqueName="[Calendar].[MerchYearWeek]" caption="MerchYearWeek" attribute="1" time="1" defaultMemberUniqueName="[Calendar].[MerchYearWeek].[All]" allUniqueName="[Calendar].[MerchYearWeek].[All]" dimensionUniqueName="[Calendar]" displayFolder="Merch" count="0" unbalanced="0"/>
    <cacheHierarchy uniqueName="[Calendar].[Month]" caption="Month" attribute="1" time="1" defaultMemberUniqueName="[Calendar].[Month].[All]" allUniqueName="[Calendar].[Month].[All]" dimensionUniqueName="[Calendar]" displayFolder="Gregorian" count="0" unbalanced="0"/>
    <cacheHierarchy uniqueName="[Calendar].[MonthName]" caption="MonthName" attribute="1" time="1" defaultMemberUniqueName="[Calendar].[MonthName].[All]" allUniqueName="[Calendar].[MonthName].[All]" dimensionUniqueName="[Calendar]" displayFolder="Gregorian" count="0" unbalanced="0"/>
    <cacheHierarchy uniqueName="[Calendar].[MonthPeriod]" caption="MonthPeriod" attribute="1" time="1" defaultMemberUniqueName="[Calendar].[MonthPeriod].[All]" allUniqueName="[Calendar].[MonthPeriod].[All]" dimensionUniqueName="[Calendar]" displayFolder="" count="0" unbalanced="0"/>
    <cacheHierarchy uniqueName="[Calendar].[PastDate]" caption="PastDate" attribute="1" time="1" defaultMemberUniqueName="[Calendar].[PastDate].[All]" allUniqueName="[Calendar].[PastDate].[All]" dimensionUniqueName="[Calendar]" displayFolder="" count="0" unbalanced="0"/>
    <cacheHierarchy uniqueName="[Calendar].[Week]" caption="Week" attribute="1" time="1" defaultMemberUniqueName="[Calendar].[Week].[All]" allUniqueName="[Calendar].[Week].[All]" dimensionUniqueName="[Calendar]" displayFolder="Gregorian" count="0" unbalanced="0"/>
    <cacheHierarchy uniqueName="[Calendar].[WeekPartSequence]" caption="WeekPartSequence" attribute="1" time="1" defaultMemberUniqueName="[Calendar].[WeekPartSequence].[All]" allUniqueName="[Calendar].[WeekPartSequence].[All]" dimensionUniqueName="[Calendar]" displayFolder="" count="0" unbalanced="0"/>
    <cacheHierarchy uniqueName="[Calendar].[WeekPeriod]" caption="WeekPeriod" attribute="1" time="1" defaultMemberUniqueName="[Calendar].[WeekPeriod].[All]" allUniqueName="[Calendar].[WeekPeriod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Gregorian" count="0" unbalanced="0"/>
    <cacheHierarchy uniqueName="[Calendar].[YearMonth]" caption="YearMonth" attribute="1" time="1" defaultMemberUniqueName="[Calendar].[YearMonth].[All]" allUniqueName="[Calendar].[YearMonth].[All]" dimensionUniqueName="[Calendar]" displayFolder="Gregorian" count="0" unbalanced="0"/>
    <cacheHierarchy uniqueName="[Calendar].[YearMonthName]" caption="YearMonthName" attribute="1" time="1" defaultMemberUniqueName="[Calendar].[YearMonthName].[All]" allUniqueName="[Calendar].[YearMonthName].[All]" dimensionUniqueName="[Calendar]" displayFolder="Gregorian" count="0" unbalanced="0"/>
    <cacheHierarchy uniqueName="[Calendar].[YearPeriod]" caption="YearPeriod" attribute="1" time="1" defaultMemberUniqueName="[Calendar].[YearPeriod].[All]" allUniqueName="[Calendar].[YearPeriod].[All]" dimensionUniqueName="[Calendar]" displayFolder="" count="0" unbalanced="0"/>
    <cacheHierarchy uniqueName="[Calendar].[YearWeek]" caption="YearWeek" attribute="1" time="1" defaultMemberUniqueName="[Calendar].[YearWeek].[All]" allUniqueName="[Calendar].[YearWeek].[All]" dimensionUniqueName="[Calendar]" displayFolder="Gregorian" count="0" unbalanced="0"/>
    <cacheHierarchy uniqueName="[DCWarehouse].[DCCompanyCode]" caption="DCCompanyCode" attribute="1" defaultMemberUniqueName="[DCWarehouse].[DCCompanyCode].[All]" allUniqueName="[DCWarehouse].[DCCompanyCode].[All]" dimensionUniqueName="[DCWarehouse]" displayFolder="" count="0" unbalanced="0"/>
    <cacheHierarchy uniqueName="[DCWarehouse].[DCCompanyName]" caption="DCCompanyName" attribute="1" defaultMemberUniqueName="[DCWarehouse].[DCCompanyName].[All]" allUniqueName="[DCWarehouse].[DCCompanyName].[All]" dimensionUniqueName="[DCWarehouse]" displayFolder="" count="0" unbalanced="0"/>
    <cacheHierarchy uniqueName="[DCWarehouse].[DCCompanyRegion]" caption="DCCompanyRegion" attribute="1" defaultMemberUniqueName="[DCWarehouse].[DCCompanyRegion].[All]" allUniqueName="[DCWarehouse].[DCCompanyRegion].[All]" dimensionUniqueName="[DCWarehouse]" displayFolder="" count="0" unbalanced="0"/>
    <cacheHierarchy uniqueName="[DCWarehouse].[DCDistrubitionChannelCode]" caption="DCDistrubitionChannelCode" attribute="1" defaultMemberUniqueName="[DCWarehouse].[DCDistrubitionChannelCode].[All]" allUniqueName="[DCWarehouse].[DCDistrubitionChannelCode].[All]" dimensionUniqueName="[DCWarehouse]" displayFolder="" count="0" unbalanced="0"/>
    <cacheHierarchy uniqueName="[DCWarehouse].[DCSalesOrgCode]" caption="DCSalesOrgCode" attribute="1" defaultMemberUniqueName="[DCWarehouse].[DCSalesOrgCode].[All]" allUniqueName="[DCWarehouse].[DCSalesOrgCode].[All]" dimensionUniqueName="[DCWarehouse]" displayFolder="" count="0" unbalanced="0"/>
    <cacheHierarchy uniqueName="[DCWarehouse].[DCSalesOrgType]" caption="DCSalesOrgType" attribute="1" defaultMemberUniqueName="[DCWarehouse].[DCSalesOrgType].[All]" allUniqueName="[DCWarehouse].[DCSalesOrgType].[All]" dimensionUniqueName="[DCWarehouse]" displayFolder="" count="0" unbalanced="0"/>
    <cacheHierarchy uniqueName="[DCWarehouse].[DCSubWarehouseCode]" caption="DCSubWarehouseCode" attribute="1" defaultMemberUniqueName="[DCWarehouse].[DCSubWarehouseCode].[All]" allUniqueName="[DCWarehouse].[DCSubWarehouseCode].[All]" dimensionUniqueName="[DCWarehouse]" displayFolder="" count="0" unbalanced="0"/>
    <cacheHierarchy uniqueName="[DCWarehouse].[DCSubWarehouseKey]" caption="DCSubWarehouseKey" attribute="1" defaultMemberUniqueName="[DCWarehouse].[DCSubWarehouseKey].[All]" allUniqueName="[DCWarehouse].[DCSubWarehouseKey].[All]" dimensionUniqueName="[DCWarehouse]" displayFolder="Key" count="0" unbalanced="0"/>
    <cacheHierarchy uniqueName="[DCWarehouse].[DCWarehouseCode]" caption="DCWarehouseCode" attribute="1" defaultMemberUniqueName="[DCWarehouse].[DCWarehouseCode].[All]" allUniqueName="[DCWarehouse].[DCWarehouseCode].[All]" dimensionUniqueName="[DCWarehouse]" displayFolder="" count="0" unbalanced="0"/>
    <cacheHierarchy uniqueName="[DCWarehouse].[DCWarehouseDataType]" caption="DCWarehouseDataType" attribute="1" defaultMemberUniqueName="[DCWarehouse].[DCWarehouseDataType].[All]" allUniqueName="[DCWarehouse].[DCWarehouseDataType].[All]" dimensionUniqueName="[DCWarehouse]" displayFolder="" count="0" unbalanced="0"/>
    <cacheHierarchy uniqueName="[DCWarehouse].[DCWarehouseDesc]" caption="DCWarehouseDesc" attribute="1" defaultMemberUniqueName="[DCWarehouse].[DCWarehouseDesc].[All]" allUniqueName="[DCWarehouse].[DCWarehouseDesc].[All]" dimensionUniqueName="[DCWarehouse]" displayFolder="" count="0" unbalanced="0"/>
    <cacheHierarchy uniqueName="[DCWarehouse].[DCWarehouseKey]" caption="DCWarehouseKey" attribute="1" defaultMemberUniqueName="[DCWarehouse].[DCWarehouseKey].[All]" allUniqueName="[DCWarehouse].[DCWarehouseKey].[All]" dimensionUniqueName="[DCWarehouse]" displayFolder="Key" count="0" unbalanced="0"/>
    <cacheHierarchy uniqueName="[Delivery].[CustomerClass]" caption="CustomerClass" attribute="1" defaultMemberUniqueName="[Delivery].[CustomerClass].[All]" allUniqueName="[Delivery].[CustomerClass].[All]" dimensionUniqueName="[Delivery]" displayFolder="" count="0" unbalanced="0"/>
    <cacheHierarchy uniqueName="[Delivery].[MainCustomerClass]" caption="MainCustomerClass" attribute="1" defaultMemberUniqueName="[Delivery].[MainCustomerClass].[All]" allUniqueName="[Delivery].[MainCustomerClass].[All]" dimensionUniqueName="[Delivery]" displayFolder="" count="0" unbalanced="0"/>
    <cacheHierarchy uniqueName="[ISPUnitPrice].[ISPLCPriceGroup100]" caption="ISPLCPriceGroup100" attribute="1" defaultMemberUniqueName="[ISPUnitPrice].[ISPLCPriceGroup100].[All]" allUniqueName="[ISPUnitPrice].[ISPLCPriceGroup100].[All]" dimensionUniqueName="[ISPUnitPrice]" displayFolder="" count="0" unbalanced="0"/>
    <cacheHierarchy uniqueName="[ISPUnitPrice].[ISPLCPriceVAT]" caption="ISPLCPriceVAT" attribute="1" defaultMemberUniqueName="[ISPUnitPrice].[ISPLCPriceVAT].[All]" allUniqueName="[ISPUnitPrice].[ISPLCPriceVAT].[All]" dimensionUniqueName="[ISPUnitPrice]" displayFolder="" count="0" unbalanced="0"/>
    <cacheHierarchy uniqueName="[Material].[Barcode]" caption="Barcode" attribute="1" defaultMemberUniqueName="[Material].[Barcode].[All]" allUniqueName="[Material].[Barcode].[All]" dimensionUniqueName="[Material]" displayFolder="" count="0" unbalanced="0"/>
    <cacheHierarchy uniqueName="[Material].[BrandCode]" caption="BrandCode" attribute="1" defaultMemberUniqueName="[Material].[BrandCode].[All]" allUniqueName="[Material].[BrandCode].[All]" dimensionUniqueName="[Material]" displayFolder="" count="0" unbalanced="0"/>
    <cacheHierarchy uniqueName="[Material].[BrandDesc]" caption="BrandDesc" attribute="1" defaultMemberUniqueName="[Material].[BrandDesc].[All]" allUniqueName="[Material].[BrandDesc].[All]" dimensionUniqueName="[Material]" displayFolder="" count="0" unbalanced="0"/>
    <cacheHierarchy uniqueName="[Material].[BudgetGroupCode]" caption="BudgetGroupCode" attribute="1" defaultMemberUniqueName="[Material].[BudgetGroupCode].[All]" allUniqueName="[Material].[BudgetGroupCode].[All]" dimensionUniqueName="[Material]" displayFolder="" count="0" unbalanced="0"/>
    <cacheHierarchy uniqueName="[Material].[BudgetGroupDesc]" caption="BudgetGroupDesc" attribute="1" defaultMemberUniqueName="[Material].[BudgetGroupDesc].[All]" allUniqueName="[Material].[BudgetGroupDesc].[All]" dimensionUniqueName="[Material]" displayFolder="" count="0" unbalanced="0"/>
    <cacheHierarchy uniqueName="[Material].[Category]" caption="Category" attribute="1" defaultMemberUniqueName="[Material].[Category].[All]" allUniqueName="[Material].[Category].[All]" dimensionUniqueName="[Material]" displayFolder="" count="0" unbalanced="0"/>
    <cacheHierarchy uniqueName="[Material].[CategoryLeader]" caption="CategoryLeader" attribute="1" defaultMemberUniqueName="[Material].[CategoryLeader].[All]" allUniqueName="[Material].[CategoryLeader].[All]" dimensionUniqueName="[Material]" displayFolder="" count="0" unbalanced="0"/>
    <cacheHierarchy uniqueName="[Material].[CatlCode]" caption="CatlCode" attribute="1" defaultMemberUniqueName="[Material].[CatlCode].[All]" allUniqueName="[Material].[CatlCode].[All]" dimensionUniqueName="[Material]" displayFolder="" count="0" unbalanced="0"/>
    <cacheHierarchy uniqueName="[Material].[CatlDesc]" caption="CatlDesc" attribute="1" defaultMemberUniqueName="[Material].[CatlDesc].[All]" allUniqueName="[Material].[CatlDesc].[All]" dimensionUniqueName="[Material]" displayFolder="" count="0" unbalanced="0"/>
    <cacheHierarchy uniqueName="[Material].[ColorCode]" caption="ColorCode" attribute="1" defaultMemberUniqueName="[Material].[ColorCode].[All]" allUniqueName="[Material].[ColorCode].[All]" dimensionUniqueName="[Material]" displayFolder="" count="0" unbalanced="0"/>
    <cacheHierarchy uniqueName="[Material].[ColorDesc]" caption="ColorDesc" attribute="1" defaultMemberUniqueName="[Material].[ColorDesc].[All]" allUniqueName="[Material].[ColorDesc].[All]" dimensionUniqueName="[Material]" displayFolder="" count="0" unbalanced="0"/>
    <cacheHierarchy uniqueName="[Material].[CombineCode]" caption="CombineCode" attribute="1" defaultMemberUniqueName="[Material].[CombineCode].[All]" allUniqueName="[Material].[CombineCode].[All]" dimensionUniqueName="[Material]" displayFolder="" count="0" unbalanced="0"/>
    <cacheHierarchy uniqueName="[Material].[CombineDesc]" caption="CombineDesc" attribute="1" defaultMemberUniqueName="[Material].[CombineDesc].[All]" allUniqueName="[Material].[CombineDesc].[All]" dimensionUniqueName="[Material]" displayFolder="" count="0" unbalanced="0"/>
    <cacheHierarchy uniqueName="[Material].[CurProductStateID]" caption="CurProductStateID" attribute="1" defaultMemberUniqueName="[Material].[CurProductStateID].[All]" allUniqueName="[Material].[CurProductStateID].[All]" dimensionUniqueName="[Material]" displayFolder="" count="0" unbalanced="0"/>
    <cacheHierarchy uniqueName="[Material].[CurProductStateName]" caption="CurProductStateName" attribute="1" defaultMemberUniqueName="[Material].[CurProductStateName].[All]" allUniqueName="[Material].[CurProductStateName].[All]" dimensionUniqueName="[Material]" displayFolder="" count="0" unbalanced="0"/>
    <cacheHierarchy uniqueName="[Material].[CurSalesSeasonID]" caption="CurSalesSeasonID" attribute="1" defaultMemberUniqueName="[Material].[CurSalesSeasonID].[All]" allUniqueName="[Material].[CurSalesSeasonID].[All]" dimensionUniqueName="[Material]" displayFolder="" count="0" unbalanced="0"/>
    <cacheHierarchy uniqueName="[Material].[CurSalesSeasonName]" caption="CurSalesSeasonName" attribute="1" defaultMemberUniqueName="[Material].[CurSalesSeasonName].[All]" allUniqueName="[Material].[CurSalesSeasonName].[All]" dimensionUniqueName="[Material]" displayFolder="" count="0" unbalanced="0"/>
    <cacheHierarchy uniqueName="[Material].[DesingCode]" caption="DesingCode" attribute="1" defaultMemberUniqueName="[Material].[DesingCode].[All]" allUniqueName="[Material].[DesingCode].[All]" dimensionUniqueName="[Material]" displayFolder="" count="0" unbalanced="0"/>
    <cacheHierarchy uniqueName="[Material].[DesingDesc]" caption="DesingDesc" attribute="1" defaultMemberUniqueName="[Material].[DesingDesc].[All]" allUniqueName="[Material].[DesingDesc].[All]" dimensionUniqueName="[Material]" displayFolder="" count="0" unbalanced="0"/>
    <cacheHierarchy uniqueName="[Material].[EtlDate]" caption="EtlDate" attribute="1" defaultMemberUniqueName="[Material].[EtlDate].[All]" allUniqueName="[Material].[EtlDate].[All]" dimensionUniqueName="[Material]" displayFolder="" count="0" unbalanced="0"/>
    <cacheHierarchy uniqueName="[Material].[FabricCode]" caption="FabricCode" attribute="1" defaultMemberUniqueName="[Material].[FabricCode].[All]" allUniqueName="[Material].[FabricCode].[All]" dimensionUniqueName="[Material]" displayFolder="" count="0" unbalanced="0"/>
    <cacheHierarchy uniqueName="[Material].[FacricDesc]" caption="FacricDesc" attribute="1" defaultMemberUniqueName="[Material].[FacricDesc].[All]" allUniqueName="[Material].[FacricDesc].[All]" dimensionUniqueName="[Material]" displayFolder="" count="0" unbalanced="0"/>
    <cacheHierarchy uniqueName="[Material].[H_MainGroup]" caption="H_MainGroup" defaultMemberUniqueName="[Material].[H_MainGroup].[All]" allUniqueName="[Material].[H_MainGroup].[All]" dimensionUniqueName="[Material]" displayFolder="" count="3" unbalanced="0">
      <fieldsUsage count="3">
        <fieldUsage x="-1"/>
        <fieldUsage x="10"/>
        <fieldUsage x="11"/>
      </fieldsUsage>
    </cacheHierarchy>
    <cacheHierarchy uniqueName="[Material].[HygieneCode]" caption="HygieneCode" attribute="1" defaultMemberUniqueName="[Material].[HygieneCode].[All]" allUniqueName="[Material].[HygieneCode].[All]" dimensionUniqueName="[Material]" displayFolder="" count="0" unbalanced="0"/>
    <cacheHierarchy uniqueName="[Material].[HygieneDesc]" caption="HygieneDesc" attribute="1" defaultMemberUniqueName="[Material].[HygieneDesc].[All]" allUniqueName="[Material].[HygieneDesc].[All]" dimensionUniqueName="[Material]" displayFolder="" count="0" unbalanced="0"/>
    <cacheHierarchy uniqueName="[Material].[ImageURL]" caption="ImageURL" attribute="1" defaultMemberUniqueName="[Material].[ImageURL].[All]" allUniqueName="[Material].[ImageURL].[All]" dimensionUniqueName="[Material]" displayFolder="" count="0" unbalanced="0"/>
    <cacheHierarchy uniqueName="[Material].[LivingArea]" caption="LivingArea" attribute="1" defaultMemberUniqueName="[Material].[LivingArea].[All]" allUniqueName="[Material].[LivingArea].[All]" dimensionUniqueName="[Material]" displayFolder="" count="0" unbalanced="0"/>
    <cacheHierarchy uniqueName="[Material].[MainGroupCode]" caption="MainGroupCode" attribute="1" defaultMemberUniqueName="[Material].[MainGroupCode].[All]" allUniqueName="[Material].[MainGroupCode].[All]" dimensionUniqueName="[Material]" displayFolder="" count="0" unbalanced="0"/>
    <cacheHierarchy uniqueName="[Material].[MainGroupDesc]" caption="MainGroupDesc" attribute="1" defaultMemberUniqueName="[Material].[MainGroupDesc].[All]" allUniqueName="[Material].[MainGroupDesc].[All]" dimensionUniqueName="[Material]" displayFolder="" count="2" unbalanced="0"/>
    <cacheHierarchy uniqueName="[Material].[MatDim]" caption="MatDim" attribute="1" defaultMemberUniqueName="[Material].[MatDim].[All]" allUniqueName="[Material].[MatDim].[All]" dimensionUniqueName="[Material]" displayFolder="" count="0" unbalanced="0"/>
    <cacheHierarchy uniqueName="[Material].[MatDimUnit]" caption="MatDimUnit" attribute="1" defaultMemberUniqueName="[Material].[MatDimUnit].[All]" allUniqueName="[Material].[MatDimUnit].[All]" dimensionUniqueName="[Material]" displayFolder="" count="0" unbalanced="0"/>
    <cacheHierarchy uniqueName="[Material].[MaterialCode]" caption="MaterialCode" attribute="1" defaultMemberUniqueName="[Material].[MaterialCode].[All]" allUniqueName="[Material].[MaterialCode].[All]" dimensionUniqueName="[Material]" displayFolder="" count="0" unbalanced="0"/>
    <cacheHierarchy uniqueName="[Material].[MaterialCodeDesc]" caption="MaterialCodeDesc" attribute="1" defaultMemberUniqueName="[Material].[MaterialCodeDesc].[All]" allUniqueName="[Material].[MaterialCodeDesc].[All]" dimensionUniqueName="[Material]" displayFolder="" count="0" unbalanced="0"/>
    <cacheHierarchy uniqueName="[Material].[MaterialCodeWoZero]" caption="MaterialCodeWoZero" attribute="1" defaultMemberUniqueName="[Material].[MaterialCodeWoZero].[All]" allUniqueName="[Material].[MaterialCodeWoZero].[All]" dimensionUniqueName="[Material]" displayFolder="" count="0" unbalanced="0"/>
    <cacheHierarchy uniqueName="[Material].[MaterialDesc]" caption="MaterialDesc" attribute="1" defaultMemberUniqueName="[Material].[MaterialDesc].[All]" allUniqueName="[Material].[MaterialDesc].[All]" dimensionUniqueName="[Material]" displayFolder="" count="2" unbalanced="0">
      <fieldsUsage count="2">
        <fieldUsage x="-1"/>
        <fieldUsage x="32"/>
      </fieldsUsage>
    </cacheHierarchy>
    <cacheHierarchy uniqueName="[Material].[MaterialDm3]" caption="MaterialDm3" attribute="1" defaultMemberUniqueName="[Material].[MaterialDm3].[All]" allUniqueName="[Material].[MaterialDm3].[All]" dimensionUniqueName="[Material]" displayFolder="" count="0" unbalanced="0"/>
    <cacheHierarchy uniqueName="[Material].[MaterialFeatureCode]" caption="MaterialFeatureCode" attribute="1" defaultMemberUniqueName="[Material].[MaterialFeatureCode].[All]" allUniqueName="[Material].[MaterialFeatureCode].[All]" dimensionUniqueName="[Material]" displayFolder="" count="0" unbalanced="0"/>
    <cacheHierarchy uniqueName="[Material].[MaterialFeatureDesc]" caption="MaterialFeatureDesc" attribute="1" defaultMemberUniqueName="[Material].[MaterialFeatureDesc].[All]" allUniqueName="[Material].[MaterialFeatureDesc].[All]" dimensionUniqueName="[Material]" displayFolder="" count="0" unbalanced="0"/>
    <cacheHierarchy uniqueName="[Material].[MaterialKey]" caption="MaterialKey" attribute="1" defaultMemberUniqueName="[Material].[MaterialKey].[All]" allUniqueName="[Material].[MaterialKey].[All]" dimensionUniqueName="[Material]" displayFolder="" count="0" unbalanced="0"/>
    <cacheHierarchy uniqueName="[Material].[MaterialOtherFeatureCode]" caption="MaterialOtherFeatureCode" attribute="1" defaultMemberUniqueName="[Material].[MaterialOtherFeatureCode].[All]" allUniqueName="[Material].[MaterialOtherFeatureCode].[All]" dimensionUniqueName="[Material]" displayFolder="" count="0" unbalanced="0"/>
    <cacheHierarchy uniqueName="[Material].[MaterialOtherFeatureDesc]" caption="MaterialOtherFeatureDesc" attribute="1" defaultMemberUniqueName="[Material].[MaterialOtherFeatureDesc].[All]" allUniqueName="[Material].[MaterialOtherFeatureDesc].[All]" dimensionUniqueName="[Material]" displayFolder="" count="0" unbalanced="0"/>
    <cacheHierarchy uniqueName="[Material].[MaterialSpecialFeatureCode]" caption="MaterialSpecialFeatureCode" attribute="1" defaultMemberUniqueName="[Material].[MaterialSpecialFeatureCode].[All]" allUniqueName="[Material].[MaterialSpecialFeatureCode].[All]" dimensionUniqueName="[Material]" displayFolder="" count="0" unbalanced="0"/>
    <cacheHierarchy uniqueName="[Material].[MaterialSpecialFeatureDesc]" caption="MaterialSpecialFeatureDesc" attribute="1" defaultMemberUniqueName="[Material].[MaterialSpecialFeatureDesc].[All]" allUniqueName="[Material].[MaterialSpecialFeatureDesc].[All]" dimensionUniqueName="[Material]" displayFolder="" count="0" unbalanced="0"/>
    <cacheHierarchy uniqueName="[Material].[MaterialTypeCode]" caption="MaterialTypeCode" attribute="1" defaultMemberUniqueName="[Material].[MaterialTypeCode].[All]" allUniqueName="[Material].[MaterialTypeCode].[All]" dimensionUniqueName="[Material]" displayFolder="" count="0" unbalanced="0"/>
    <cacheHierarchy uniqueName="[Material].[MaterialTypeDesc]" caption="MaterialTypeDesc" attribute="1" defaultMemberUniqueName="[Material].[MaterialTypeDesc].[All]" allUniqueName="[Material].[MaterialTypeDesc].[All]" dimensionUniqueName="[Material]" displayFolder="" count="0" unbalanced="0"/>
    <cacheHierarchy uniqueName="[Material].[MatHeight]" caption="MatHeight" attribute="1" defaultMemberUniqueName="[Material].[MatHeight].[All]" allUniqueName="[Material].[MatHeight].[All]" dimensionUniqueName="[Material]" displayFolder="" count="0" unbalanced="0"/>
    <cacheHierarchy uniqueName="[Material].[MatLenght]" caption="MatLenght" attribute="1" defaultMemberUniqueName="[Material].[MatLenght].[All]" allUniqueName="[Material].[MatLenght].[All]" dimensionUniqueName="[Material]" displayFolder="" count="0" unbalanced="0"/>
    <cacheHierarchy uniqueName="[Material].[MatVolume]" caption="MatVolume" attribute="1" defaultMemberUniqueName="[Material].[MatVolume].[All]" allUniqueName="[Material].[MatVolume].[All]" dimensionUniqueName="[Material]" displayFolder="" count="0" unbalanced="0"/>
    <cacheHierarchy uniqueName="[Material].[MatVolumeUnit]" caption="MatVolumeUnit" attribute="1" defaultMemberUniqueName="[Material].[MatVolumeUnit].[All]" allUniqueName="[Material].[MatVolumeUnit].[All]" dimensionUniqueName="[Material]" displayFolder="" count="0" unbalanced="0"/>
    <cacheHierarchy uniqueName="[Material].[MatWeight]" caption="MatWeight" attribute="1" defaultMemberUniqueName="[Material].[MatWeight].[All]" allUniqueName="[Material].[MatWeight].[All]" dimensionUniqueName="[Material]" displayFolder="" count="0" unbalanced="0"/>
    <cacheHierarchy uniqueName="[Material].[MatWeightUnit]" caption="MatWeightUnit" attribute="1" defaultMemberUniqueName="[Material].[MatWeightUnit].[All]" allUniqueName="[Material].[MatWeightUnit].[All]" dimensionUniqueName="[Material]" displayFolder="" count="0" unbalanced="0"/>
    <cacheHierarchy uniqueName="[Material].[MatWidth]" caption="MatWidth" attribute="1" defaultMemberUniqueName="[Material].[MatWidth].[All]" allUniqueName="[Material].[MatWidth].[All]" dimensionUniqueName="[Material]" displayFolder="" count="0" unbalanced="0"/>
    <cacheHierarchy uniqueName="[Material].[MaxStockQty]" caption="MaxStockQty" attribute="1" defaultMemberUniqueName="[Material].[MaxStockQty].[All]" allUniqueName="[Material].[MaxStockQty].[All]" dimensionUniqueName="[Material]" displayFolder="" count="0" unbalanced="0"/>
    <cacheHierarchy uniqueName="[Material].[MerchProduct]" caption="MerchProduct" attribute="1" defaultMemberUniqueName="[Material].[MerchProduct].[All]" allUniqueName="[Material].[MerchProduct].[All]" dimensionUniqueName="[Material]" displayFolder="" count="2" unbalanced="0">
      <fieldsUsage count="2">
        <fieldUsage x="-1"/>
        <fieldUsage x="37"/>
      </fieldsUsage>
    </cacheHierarchy>
    <cacheHierarchy uniqueName="[Material].[MinStockQty]" caption="MinStockQty" attribute="1" defaultMemberUniqueName="[Material].[MinStockQty].[All]" allUniqueName="[Material].[MinStockQty].[All]" dimensionUniqueName="[Material]" displayFolder="" count="0" unbalanced="0"/>
    <cacheHierarchy uniqueName="[Material].[PackagingType]" caption="PackagingType" attribute="1" defaultMemberUniqueName="[Material].[PackagingType].[All]" allUniqueName="[Material].[PackagingType].[All]" dimensionUniqueName="[Material]" displayFolder="" count="0" unbalanced="0"/>
    <cacheHierarchy uniqueName="[Material].[PlaningQualityCode]" caption="PlaningQualityCode" attribute="1" defaultMemberUniqueName="[Material].[PlaningQualityCode].[All]" allUniqueName="[Material].[PlaningQualityCode].[All]" dimensionUniqueName="[Material]" displayFolder="" count="0" unbalanced="0"/>
    <cacheHierarchy uniqueName="[Material].[PlaningQualityDesc]" caption="PlaningQualityDesc" attribute="1" defaultMemberUniqueName="[Material].[PlaningQualityDesc].[All]" allUniqueName="[Material].[PlaningQualityDesc].[All]" dimensionUniqueName="[Material]" displayFolder="" count="0" unbalanced="0"/>
    <cacheHierarchy uniqueName="[Material].[PlanStatus]" caption="PlanStatus" attribute="1" defaultMemberUniqueName="[Material].[PlanStatus].[All]" allUniqueName="[Material].[PlanStatus].[All]" dimensionUniqueName="[Material]" displayFolder="" count="0" unbalanced="0"/>
    <cacheHierarchy uniqueName="[Material].[PriceX]" caption="PriceX" attribute="1" defaultMemberUniqueName="[Material].[PriceX].[All]" allUniqueName="[Material].[PriceX].[All]" dimensionUniqueName="[Material]" displayFolder="" count="0" unbalanced="0"/>
    <cacheHierarchy uniqueName="[Material].[ProductFamily]" caption="ProductFamily" attribute="1" defaultMemberUniqueName="[Material].[ProductFamily].[All]" allUniqueName="[Material].[ProductFamily].[All]" dimensionUniqueName="[Material]" displayFolder="" count="0" unbalanced="0"/>
    <cacheHierarchy uniqueName="[Material].[ProductSegment]" caption="ProductSegment" attribute="1" defaultMemberUniqueName="[Material].[ProductSegment].[All]" allUniqueName="[Material].[ProductSegment].[All]" dimensionUniqueName="[Material]" displayFolder="" count="0" unbalanced="0"/>
    <cacheHierarchy uniqueName="[Material].[ProductStoreSegment]" caption="ProductStoreSegment" attribute="1" defaultMemberUniqueName="[Material].[ProductStoreSegment].[All]" allUniqueName="[Material].[ProductStoreSegment].[All]" dimensionUniqueName="[Material]" displayFolder="" count="0" unbalanced="0"/>
    <cacheHierarchy uniqueName="[Material].[QtyInBox]" caption="QtyInBox" attribute="1" defaultMemberUniqueName="[Material].[QtyInBox].[All]" allUniqueName="[Material].[QtyInBox].[All]" dimensionUniqueName="[Material]" displayFolder="" count="0" unbalanced="0"/>
    <cacheHierarchy uniqueName="[Material].[QtyInPackage]" caption="QtyInPackage" attribute="1" defaultMemberUniqueName="[Material].[QtyInPackage].[All]" allUniqueName="[Material].[QtyInPackage].[All]" dimensionUniqueName="[Material]" displayFolder="" count="0" unbalanced="0"/>
    <cacheHierarchy uniqueName="[Material].[QtyInPallet]" caption="QtyInPallet" attribute="1" defaultMemberUniqueName="[Material].[QtyInPallet].[All]" allUniqueName="[Material].[QtyInPallet].[All]" dimensionUniqueName="[Material]" displayFolder="" count="0" unbalanced="0"/>
    <cacheHierarchy uniqueName="[Material].[RemainingDaysforPlan]" caption="RemainingDaysforPlan" attribute="1" defaultMemberUniqueName="[Material].[RemainingDaysforPlan].[All]" allUniqueName="[Material].[RemainingDaysforPlan].[All]" dimensionUniqueName="[Material]" displayFolder="" count="0" unbalanced="0"/>
    <cacheHierarchy uniqueName="[Material].[Season]" caption="Season" attribute="1" defaultMemberUniqueName="[Material].[Season].[All]" allUniqueName="[Material].[Season].[All]" dimensionUniqueName="[Material]" displayFolder="" count="0" unbalanced="0"/>
    <cacheHierarchy uniqueName="[Material].[SeasonYear]" caption="SeasonYear" attribute="1" defaultMemberUniqueName="[Material].[SeasonYear].[All]" allUniqueName="[Material].[SeasonYear].[All]" dimensionUniqueName="[Material]" displayFolder="" count="0" unbalanced="0"/>
    <cacheHierarchy uniqueName="[Material].[Size_Code]" caption="Size_Code" attribute="1" defaultMemberUniqueName="[Material].[Size_Code].[All]" allUniqueName="[Material].[Size_Code].[All]" dimensionUniqueName="[Material]" displayFolder="" count="0" unbalanced="0"/>
    <cacheHierarchy uniqueName="[Material].[Size_Desc]" caption="Size_Desc" attribute="1" defaultMemberUniqueName="[Material].[Size_Desc].[All]" allUniqueName="[Material].[Size_Desc].[All]" dimensionUniqueName="[Material]" displayFolder="" count="0" unbalanced="0"/>
    <cacheHierarchy uniqueName="[Material].[Status]" caption="Status" attribute="1" defaultMemberUniqueName="[Material].[Status].[All]" allUniqueName="[Material].[Status].[All]" dimensionUniqueName="[Material]" displayFolder="" count="0" unbalanced="0"/>
    <cacheHierarchy uniqueName="[Material].[SubGroupCode]" caption="SubGroupCode" attribute="1" defaultMemberUniqueName="[Material].[SubGroupCode].[All]" allUniqueName="[Material].[SubGroupCode].[All]" dimensionUniqueName="[Material]" displayFolder="" count="0" unbalanced="0"/>
    <cacheHierarchy uniqueName="[Material].[SubGroupDesc]" caption="SubGroupDesc" attribute="1" defaultMemberUniqueName="[Material].[SubGroupDesc].[All]" allUniqueName="[Material].[SubGroupDesc].[All]" dimensionUniqueName="[Material]" displayFolder="" count="2" unbalanced="0"/>
    <cacheHierarchy uniqueName="[Material].[TagGroupDesc]" caption="TagGroupDesc" attribute="1" defaultMemberUniqueName="[Material].[TagGroupDesc].[All]" allUniqueName="[Material].[TagGroupDesc].[All]" dimensionUniqueName="[Material]" displayFolder="" count="0" unbalanced="0"/>
    <cacheHierarchy uniqueName="[Material].[TextileProduct]" caption="TextileProduct" attribute="1" defaultMemberUniqueName="[Material].[TextileProduct].[All]" allUniqueName="[Material].[TextileProduct].[All]" dimensionUniqueName="[Material]" displayFolder="" count="0" unbalanced="0"/>
    <cacheHierarchy uniqueName="[Material].[Theme]" caption="Theme" attribute="1" defaultMemberUniqueName="[Material].[Theme].[All]" allUniqueName="[Material].[Theme].[All]" dimensionUniqueName="[Material]" displayFolder="" count="0" unbalanced="0"/>
    <cacheHierarchy uniqueName="[Material].[TribeLeader]" caption="TribeLeader" attribute="1" defaultMemberUniqueName="[Material].[TribeLeader].[All]" allUniqueName="[Material].[TribeLeader].[All]" dimensionUniqueName="[Material]" displayFolder="" count="0" unbalanced="0"/>
    <cacheHierarchy uniqueName="[Material].[VatRate]" caption="VatRate" attribute="1" defaultMemberUniqueName="[Material].[VatRate].[All]" allUniqueName="[Material].[VatRate].[All]" dimensionUniqueName="[Material]" displayFolder="" count="0" unbalanced="0"/>
    <cacheHierarchy uniqueName="[Material].[VendorCode]" caption="VendorCode" attribute="1" defaultMemberUniqueName="[Material].[VendorCode].[All]" allUniqueName="[Material].[VendorCode].[All]" dimensionUniqueName="[Material]" displayFolder="" count="0" unbalanced="0"/>
    <cacheHierarchy uniqueName="[Material].[VendorCountry]" caption="VendorCountry" attribute="1" defaultMemberUniqueName="[Material].[VendorCountry].[All]" allUniqueName="[Material].[VendorCountry].[All]" dimensionUniqueName="[Material]" displayFolder="" count="0" unbalanced="0"/>
    <cacheHierarchy uniqueName="[Material].[VendorKey]" caption="VendorKey" attribute="1" defaultMemberUniqueName="[Material].[VendorKey].[All]" allUniqueName="[Material].[VendorKey].[All]" dimensionUniqueName="[Material]" displayFolder="" count="0" unbalanced="0"/>
    <cacheHierarchy uniqueName="[Material].[VendorName]" caption="VendorName" attribute="1" defaultMemberUniqueName="[Material].[VendorName].[All]" allUniqueName="[Material].[VendorName].[All]" dimensionUniqueName="[Material]" displayFolder="" count="0" unbalanced="0"/>
    <cacheHierarchy uniqueName="[Material].[YearSeason]" caption="YearSeason" attribute="1" defaultMemberUniqueName="[Material].[YearSeason].[All]" allUniqueName="[Material].[YearSeason].[All]" dimensionUniqueName="[Material]" displayFolder="" count="0" unbalanced="0"/>
    <cacheHierarchy uniqueName="[SalesBudget].[BudgetTypeName]" caption="BudgetTypeName" attribute="1" defaultMemberUniqueName="[SalesBudget].[BudgetTypeName].[All]" allUniqueName="[SalesBudget].[BudgetTypeName].[All]" dimensionUniqueName="[SalesBudget]" displayFolder="" count="0" unbalanced="0"/>
    <cacheHierarchy uniqueName="[SalesChannel].[CompanyCode]" caption="CompanyCode" attribute="1" defaultMemberUniqueName="[SalesChannel].[CompanyCode].[All]" allUniqueName="[SalesChannel].[CompanyCode].[All]" dimensionUniqueName="[SalesChannel]" displayFolder="SalesChannelCode" count="0" unbalanced="0"/>
    <cacheHierarchy uniqueName="[SalesChannel].[CompanyCurrency]" caption="CompanyCurrency" attribute="1" defaultMemberUniqueName="[SalesChannel].[CompanyCurrency].[All]" allUniqueName="[SalesChannel].[CompanyCurrency].[All]" dimensionUniqueName="[SalesChannel]" displayFolder="SalesChannelCode" count="0" unbalanced="0"/>
    <cacheHierarchy uniqueName="[SalesChannel].[CompanyKey]" caption="CompanyKey" attribute="1" defaultMemberUniqueName="[SalesChannel].[CompanyKey].[All]" allUniqueName="[SalesChannel].[CompanyKey].[All]" dimensionUniqueName="[SalesChannel]" displayFolder="SalesChannelCode" count="0" unbalanced="0"/>
    <cacheHierarchy uniqueName="[SalesChannel].[CompanyName]" caption="CompanyName" attribute="1" defaultMemberUniqueName="[SalesChannel].[CompanyName].[All]" allUniqueName="[SalesChannel].[CompanyName].[All]" dimensionUniqueName="[SalesChannel]" displayFolder="SalesChannelName" count="0" unbalanced="0"/>
    <cacheHierarchy uniqueName="[SalesChannel].[CompanyRegion]" caption="CompanyRegion" attribute="1" defaultMemberUniqueName="[SalesChannel].[CompanyRegion].[All]" allUniqueName="[SalesChannel].[CompanyRegion].[All]" dimensionUniqueName="[SalesChannel]" displayFolder="" count="0" unbalanced="0"/>
    <cacheHierarchy uniqueName="[SalesChannel].[CountryCode]" caption="CountryCode" attribute="1" defaultMemberUniqueName="[SalesChannel].[CountryCode].[All]" allUniqueName="[SalesChannel].[CountryCode].[All]" dimensionUniqueName="[SalesChannel]" displayFolder="SalesChannelCode" count="0" unbalanced="0"/>
    <cacheHierarchy uniqueName="[SalesChannel].[CountryName]" caption="CountryName" attribute="1" defaultMemberUniqueName="[SalesChannel].[CountryName].[All]" allUniqueName="[SalesChannel].[CountryName].[All]" dimensionUniqueName="[SalesChannel]" displayFolder="SalesChannelName" count="0" unbalanced="0"/>
    <cacheHierarchy uniqueName="[SalesChannel].[DistrubitionChannelCode]" caption="DistrubitionChannelCode" attribute="1" defaultMemberUniqueName="[SalesChannel].[DistrubitionChannelCode].[All]" allUniqueName="[SalesChannel].[DistrubitionChannelCode].[All]" dimensionUniqueName="[SalesChannel]" displayFolder="SalesChannelCode" count="0" unbalanced="0"/>
    <cacheHierarchy uniqueName="[SalesChannel].[DistrubitionChannelDesc]" caption="DistrubitionChannelDesc" attribute="1" defaultMemberUniqueName="[SalesChannel].[DistrubitionChannelDesc].[All]" allUniqueName="[SalesChannel].[DistrubitionChannelDesc].[All]" dimensionUniqueName="[SalesChannel]" displayFolder="SalesChannelName" count="2" unbalanced="0">
      <fieldsUsage count="2">
        <fieldUsage x="-1"/>
        <fieldUsage x="1"/>
      </fieldsUsage>
    </cacheHierarchy>
    <cacheHierarchy uniqueName="[SalesChannel].[DistrubitionChannelKey]" caption="DistrubitionChannelKey" attribute="1" defaultMemberUniqueName="[SalesChannel].[DistrubitionChannelKey].[All]" allUniqueName="[SalesChannel].[DistrubitionChannelKey].[All]" dimensionUniqueName="[SalesChannel]" displayFolder="SalesChannelCode" count="0" unbalanced="0"/>
    <cacheHierarchy uniqueName="[SalesChannel].[H_SalesChannel]" caption="H_SalesChannel" defaultMemberUniqueName="[SalesChannel].[H_SalesChannel].[All]" allUniqueName="[SalesChannel].[H_SalesChannel].[All]" dimensionUniqueName="[SalesChannel]" displayFolder="" count="4" unbalanced="0">
      <fieldsUsage count="4">
        <fieldUsage x="-1"/>
        <fieldUsage x="33"/>
        <fieldUsage x="34"/>
        <fieldUsage x="35"/>
      </fieldsUsage>
    </cacheHierarchy>
    <cacheHierarchy uniqueName="[SalesChannel].[SalesChannelCode]" caption="SalesChannelCode" attribute="1" defaultMemberUniqueName="[SalesChannel].[SalesChannelCode].[All]" allUniqueName="[SalesChannel].[SalesChannelCode].[All]" dimensionUniqueName="[SalesChannel]" displayFolder="SalesChannelCode" count="0" unbalanced="0"/>
    <cacheHierarchy uniqueName="[SalesChannel].[SalesChannelKey]" caption="SalesChannelKey" attribute="1" defaultMemberUniqueName="[SalesChannel].[SalesChannelKey].[All]" allUniqueName="[SalesChannel].[SalesChannelKey].[All]" dimensionUniqueName="[SalesChannel]" displayFolder="SalesChannelCode" count="0" unbalanced="0"/>
    <cacheHierarchy uniqueName="[SalesChannel].[SalesOrgCode]" caption="SalesOrgCode" attribute="1" defaultMemberUniqueName="[SalesChannel].[SalesOrgCode].[All]" allUniqueName="[SalesChannel].[SalesOrgCode].[All]" dimensionUniqueName="[SalesChannel]" displayFolder="SalesChannelCode" count="0" unbalanced="0"/>
    <cacheHierarchy uniqueName="[SalesChannel].[SalesOrgDesc]" caption="SalesOrgDesc" attribute="1" defaultMemberUniqueName="[SalesChannel].[SalesOrgDesc].[All]" allUniqueName="[SalesChannel].[SalesOrgDesc].[All]" dimensionUniqueName="[SalesChannel]" displayFolder="SalesChannelName" count="0" unbalanced="0"/>
    <cacheHierarchy uniqueName="[SalesChannel].[SalesOrgKey]" caption="SalesOrgKey" attribute="1" defaultMemberUniqueName="[SalesChannel].[SalesOrgKey].[All]" allUniqueName="[SalesChannel].[SalesOrgKey].[All]" dimensionUniqueName="[SalesChannel]" displayFolder="SalesChannelCode" count="0" unbalanced="0"/>
    <cacheHierarchy uniqueName="[SalesChannel].[SalesOrgType]" caption="SalesOrgType" attribute="1" defaultMemberUniqueName="[SalesChannel].[SalesOrgType].[All]" allUniqueName="[SalesChannel].[SalesOrgType].[All]" dimensionUniqueName="[SalesChannel]" displayFolder="" count="2" unbalanced="0">
      <fieldsUsage count="2">
        <fieldUsage x="-1"/>
        <fieldUsage x="0"/>
      </fieldsUsage>
    </cacheHierarchy>
    <cacheHierarchy uniqueName="[SalesSeason].[EtlDate]" caption="EtlDate" attribute="1" defaultMemberUniqueName="[SalesSeason].[EtlDate].[All]" allUniqueName="[SalesSeason].[EtlDate].[All]" dimensionUniqueName="[SalesSeason]" displayFolder="" count="0" unbalanced="0"/>
    <cacheHierarchy uniqueName="[SalesSeason].[SalesSeasonCode]" caption="SalesSeasonCode" attribute="1" defaultMemberUniqueName="[SalesSeason].[SalesSeasonCode].[All]" allUniqueName="[SalesSeason].[SalesSeasonCode].[All]" dimensionUniqueName="[SalesSeason]" displayFolder="" count="0" unbalanced="0"/>
    <cacheHierarchy uniqueName="[SalesSeason].[SalesSeasonID]" caption="SalesSeasonID" attribute="1" defaultMemberUniqueName="[SalesSeason].[SalesSeasonID].[All]" allUniqueName="[SalesSeason].[SalesSeasonID].[All]" dimensionUniqueName="[SalesSeason]" displayFolder="" count="0" unbalanced="0"/>
    <cacheHierarchy uniqueName="[SalesSeason].[SalesSeasonName]" caption="SalesSeasonName" attribute="1" defaultMemberUniqueName="[SalesSeason].[SalesSeasonName].[All]" allUniqueName="[SalesSeason].[SalesSeasonName].[All]" dimensionUniqueName="[SalesSeason]" displayFolder="" count="0" unbalanced="0"/>
    <cacheHierarchy uniqueName="[StockList].[StockList]" caption="StockList" attribute="1" defaultMemberUniqueName="[StockList].[StockList].[All]" allUniqueName="[StockList].[StockList].[All]" dimensionUniqueName="[StockList]" displayFolder="" count="0" unbalanced="0"/>
    <cacheHierarchy uniqueName="[StockList].[StockListChannelName]" caption="StockListChannelName" attribute="1" defaultMemberUniqueName="[StockList].[StockListChannelName].[All]" allUniqueName="[StockList].[StockListChannelName].[All]" dimensionUniqueName="[StockList]" displayFolder="" count="0" unbalanced="0"/>
    <cacheHierarchy uniqueName="[StockList].[StockListCode]" caption="StockListCode" attribute="1" defaultMemberUniqueName="[StockList].[StockListCode].[All]" allUniqueName="[StockList].[StockListCode].[All]" dimensionUniqueName="[StockList]" displayFolder="" count="0" unbalanced="0"/>
    <cacheHierarchy uniqueName="[StockList].[StockListKey]" caption="StockListKey" attribute="1" defaultMemberUniqueName="[StockList].[StockListKey].[All]" allUniqueName="[StockList].[StockListKey].[All]" dimensionUniqueName="[StockList]" displayFolder="" count="0" unbalanced="0"/>
    <cacheHierarchy uniqueName="[Store].[AllocationSpecialist]" caption="AllocationSpecialist" attribute="1" defaultMemberUniqueName="[Store].[AllocationSpecialist].[All]" allUniqueName="[Store].[AllocationSpecialist].[All]" dimensionUniqueName="[Store]" displayFolder="" count="0" unbalanced="0"/>
    <cacheHierarchy uniqueName="[Store].[BackStoreM2]" caption="BackStoreM2" attribute="1" defaultMemberUniqueName="[Store].[BackStoreM2].[All]" allUniqueName="[Store].[BackStoreM2].[All]" dimensionUniqueName="[Store]" displayFolder="" count="0" unbalanced="0"/>
    <cacheHierarchy uniqueName="[Store].[CapacityClusterCode]" caption="CapacityClusterCode" attribute="1" defaultMemberUniqueName="[Store].[CapacityClusterCode].[All]" allUniqueName="[Store].[CapacityClusterCode].[All]" dimensionUniqueName="[Store]" displayFolder="" count="0" unbalanced="0"/>
    <cacheHierarchy uniqueName="[Store].[CapacityClusterDesc]" caption="CapacityClusterDesc" attribute="1" defaultMemberUniqueName="[Store].[CapacityClusterDesc].[All]" allUniqueName="[Store].[CapacityClusterDesc].[All]" dimensionUniqueName="[Store]" displayFolder="" count="0" unbalanced="0"/>
    <cacheHierarchy uniqueName="[Store].[CityCode]" caption="CityCode" attribute="1" defaultMemberUniqueName="[Store].[CityCode].[All]" allUniqueName="[Store].[CityCode].[All]" dimensionUniqueName="[Store]" displayFolder="" count="0" unbalanced="0"/>
    <cacheHierarchy uniqueName="[Store].[GrossAreaMeters]" caption="GrossAreaMeters" attribute="1" defaultMemberUniqueName="[Store].[GrossAreaMeters].[All]" allUniqueName="[Store].[GrossAreaMeters].[All]" dimensionUniqueName="[Store]" displayFolder="" count="0" unbalanced="0"/>
    <cacheHierarchy uniqueName="[Store].[Latitude]" caption="Latitude" attribute="1" defaultMemberUniqueName="[Store].[Latitude].[All]" allUniqueName="[Store].[Latitude].[All]" dimensionUniqueName="[Store]" displayFolder="" count="0" unbalanced="0"/>
    <cacheHierarchy uniqueName="[Store].[LocationCityDesc]" caption="LocationCityDesc" attribute="1" defaultMemberUniqueName="[Store].[LocationCityDesc].[All]" allUniqueName="[Store].[LocationCityDesc].[All]" dimensionUniqueName="[Store]" displayFolder="" count="0" unbalanced="0"/>
    <cacheHierarchy uniqueName="[Store].[LocationCountry]" caption="LocationCountry" attribute="1" defaultMemberUniqueName="[Store].[LocationCountry].[All]" allUniqueName="[Store].[LocationCountry].[All]" dimensionUniqueName="[Store]" displayFolder="" count="2" unbalanced="0">
      <fieldsUsage count="2">
        <fieldUsage x="-1"/>
        <fieldUsage x="9"/>
      </fieldsUsage>
    </cacheHierarchy>
    <cacheHierarchy uniqueName="[Store].[LocationCurrencyCode]" caption="LocationCurrencyCode" attribute="1" defaultMemberUniqueName="[Store].[LocationCurrencyCode].[All]" allUniqueName="[Store].[LocationCurrencyCode].[All]" dimensionUniqueName="[Store]" displayFolder="" count="0" unbalanced="0"/>
    <cacheHierarchy uniqueName="[Store].[LocationKey]" caption="LocationKey" attribute="1" defaultMemberUniqueName="[Store].[LocationKey].[All]" allUniqueName="[Store].[LocationKey].[All]" dimensionUniqueName="[Store]" displayFolder="" count="0" unbalanced="0"/>
    <cacheHierarchy uniqueName="[Store].[LocationSeason]" caption="LocationSeason" attribute="1" defaultMemberUniqueName="[Store].[LocationSeason].[All]" allUniqueName="[Store].[LocationSeason].[All]" dimensionUniqueName="[Store]" displayFolder="" count="0" unbalanced="0"/>
    <cacheHierarchy uniqueName="[Store].[LocationType]" caption="LocationType" attribute="1" defaultMemberUniqueName="[Store].[LocationType].[All]" allUniqueName="[Store].[LocationType].[All]" dimensionUniqueName="[Store]" displayFolder="" count="0" unbalanced="0"/>
    <cacheHierarchy uniqueName="[Store].[Longitude]" caption="Longitude" attribute="1" defaultMemberUniqueName="[Store].[Longitude].[All]" allUniqueName="[Store].[Longitude].[All]" dimensionUniqueName="[Store]" displayFolder="" count="0" unbalanced="0"/>
    <cacheHierarchy uniqueName="[Store].[OperationRegionCode]" caption="OperationRegionCode" attribute="1" defaultMemberUniqueName="[Store].[OperationRegionCode].[All]" allUniqueName="[Store].[OperationRegionCode].[All]" dimensionUniqueName="[Store]" displayFolder="" count="0" unbalanced="0"/>
    <cacheHierarchy uniqueName="[Store].[OperationRegionDesc]" caption="OperationRegionDesc" attribute="1" defaultMemberUniqueName="[Store].[OperationRegionDesc].[All]" allUniqueName="[Store].[OperationRegionDesc].[All]" dimensionUniqueName="[Store]" displayFolder="" count="0" unbalanced="0"/>
    <cacheHierarchy uniqueName="[Store].[RegionManager1]" caption="RegionManager1" attribute="1" defaultMemberUniqueName="[Store].[RegionManager1].[All]" allUniqueName="[Store].[RegionManager1].[All]" dimensionUniqueName="[Store]" displayFolder="" count="0" unbalanced="0"/>
    <cacheHierarchy uniqueName="[Store].[RegionManager2]" caption="RegionManager2" attribute="1" defaultMemberUniqueName="[Store].[RegionManager2].[All]" allUniqueName="[Store].[RegionManager2].[All]" dimensionUniqueName="[Store]" displayFolder="" count="0" unbalanced="0"/>
    <cacheHierarchy uniqueName="[Store].[RegionOpManager]" caption="RegionOpManager" attribute="1" defaultMemberUniqueName="[Store].[RegionOpManager].[All]" allUniqueName="[Store].[RegionOpManager].[All]" dimensionUniqueName="[Store]" displayFolder="" count="0" unbalanced="0"/>
    <cacheHierarchy uniqueName="[Store].[SalesOrgRegion]" caption="SalesOrgRegion" attribute="1" defaultMemberUniqueName="[Store].[SalesOrgRegion].[All]" allUniqueName="[Store].[SalesOrgRegion].[All]" dimensionUniqueName="[Store]" displayFolder="" count="0" unbalanced="0"/>
    <cacheHierarchy uniqueName="[Store].[SquareMeters]" caption="SquareMeters" attribute="1" defaultMemberUniqueName="[Store].[SquareMeters].[All]" allUniqueName="[Store].[SquareMeters].[All]" dimensionUniqueName="[Store]" displayFolder="" count="0" unbalanced="0"/>
    <cacheHierarchy uniqueName="[Store].[StockBufferFactor]" caption="StockBufferFactor" attribute="1" defaultMemberUniqueName="[Store].[StockBufferFactor].[All]" allUniqueName="[Store].[StockBufferFactor].[All]" dimensionUniqueName="[Store]" displayFolder="" count="0" unbalanced="0"/>
    <cacheHierarchy uniqueName="[Store].[StoreClass]" caption="StoreClass" attribute="1" defaultMemberUniqueName="[Store].[StoreClass].[All]" allUniqueName="[Store].[StoreClass].[All]" dimensionUniqueName="[Store]" displayFolder="" count="0" unbalanced="0"/>
    <cacheHierarchy uniqueName="[Store].[StoreCloseDate]" caption="StoreCloseDate" attribute="1" defaultMemberUniqueName="[Store].[StoreCloseDate].[All]" allUniqueName="[Store].[StoreCloseDate].[All]" dimensionUniqueName="[Store]" displayFolder="" count="0" unbalanced="0"/>
    <cacheHierarchy uniqueName="[Store].[StoreCode]" caption="StoreCode" attribute="1" defaultMemberUniqueName="[Store].[StoreCode].[All]" allUniqueName="[Store].[StoreCode].[All]" dimensionUniqueName="[Store]" displayFolder="" count="0" unbalanced="0"/>
    <cacheHierarchy uniqueName="[Store].[StoreCompanyRegion]" caption="StoreCompanyRegion" attribute="1" defaultMemberUniqueName="[Store].[StoreCompanyRegion].[All]" allUniqueName="[Store].[StoreCompanyRegion].[All]" dimensionUniqueName="[Store]" displayFolder="" count="0" unbalanced="0"/>
    <cacheHierarchy uniqueName="[Store].[StoreCustomerCluster]" caption="StoreCustomerCluster" attribute="1" defaultMemberUniqueName="[Store].[StoreCustomerCluster].[All]" allUniqueName="[Store].[StoreCustomerCluster].[All]" dimensionUniqueName="[Store]" displayFolder="" count="0" unbalanced="0"/>
    <cacheHierarchy uniqueName="[Store].[StoreDistChannelCode]" caption="StoreDistChannelCode" attribute="1" defaultMemberUniqueName="[Store].[StoreDistChannelCode].[All]" allUniqueName="[Store].[StoreDistChannelCode].[All]" dimensionUniqueName="[Store]" displayFolder="" count="0" unbalanced="0"/>
    <cacheHierarchy uniqueName="[Store].[StoreDistChannelDesc]" caption="StoreDistChannelDesc" attribute="1" defaultMemberUniqueName="[Store].[StoreDistChannelDesc].[All]" allUniqueName="[Store].[StoreDistChannelDesc].[All]" dimensionUniqueName="[Store]" displayFolder="" count="0" unbalanced="0"/>
    <cacheHierarchy uniqueName="[Store].[StoreIN_Outlet]" caption="StoreIN_Outlet" attribute="1" defaultMemberUniqueName="[Store].[StoreIN_Outlet].[All]" allUniqueName="[Store].[StoreIN_Outlet].[All]" dimensionUniqueName="[Store]" displayFolder="" count="0" unbalanced="0"/>
    <cacheHierarchy uniqueName="[Store].[StoreName]" caption="StoreName" attribute="1" defaultMemberUniqueName="[Store].[StoreName].[All]" allUniqueName="[Store].[StoreName].[All]" dimensionUniqueName="[Store]" displayFolder="" count="0" unbalanced="0"/>
    <cacheHierarchy uniqueName="[Store].[StoreOpenDate]" caption="StoreOpenDate" attribute="1" defaultMemberUniqueName="[Store].[StoreOpenDate].[All]" allUniqueName="[Store].[StoreOpenDate].[All]" dimensionUniqueName="[Store]" displayFolder="" count="0" unbalanced="0"/>
    <cacheHierarchy uniqueName="[Store].[StorePriceChannel]" caption="StorePriceChannel" attribute="1" defaultMemberUniqueName="[Store].[StorePriceChannel].[All]" allUniqueName="[Store].[StorePriceChannel].[All]" dimensionUniqueName="[Store]" displayFolder="" count="0" unbalanced="0"/>
    <cacheHierarchy uniqueName="[Store].[StorePriceScore]" caption="StorePriceScore" attribute="1" defaultMemberUniqueName="[Store].[StorePriceScore].[All]" allUniqueName="[Store].[StorePriceScore].[All]" dimensionUniqueName="[Store]" displayFolder="" count="0" unbalanced="0"/>
    <cacheHierarchy uniqueName="[Store].[StoreRegionCode]" caption="StoreRegionCode" attribute="1" defaultMemberUniqueName="[Store].[StoreRegionCode].[All]" allUniqueName="[Store].[StoreRegionCode].[All]" dimensionUniqueName="[Store]" displayFolder="" count="0" unbalanced="0"/>
    <cacheHierarchy uniqueName="[Store].[StoreRegionDesc]" caption="StoreRegionDesc" attribute="1" defaultMemberUniqueName="[Store].[StoreRegionDesc].[All]" allUniqueName="[Store].[StoreRegionDesc].[All]" dimensionUniqueName="[Store]" displayFolder="" count="0" unbalanced="0"/>
    <cacheHierarchy uniqueName="[Store].[StoreSeasonDesc]" caption="StoreSeasonDesc" attribute="1" defaultMemberUniqueName="[Store].[StoreSeasonDesc].[All]" allUniqueName="[Store].[StoreSeasonDesc].[All]" dimensionUniqueName="[Store]" displayFolder="" count="0" unbalanced="0"/>
    <cacheHierarchy uniqueName="[Store].[StoreSize]" caption="StoreSize" attribute="1" defaultMemberUniqueName="[Store].[StoreSize].[All]" allUniqueName="[Store].[StoreSize].[All]" dimensionUniqueName="[Store]" displayFolder="" count="0" unbalanced="0"/>
    <cacheHierarchy uniqueName="[Store].[StoreStatus]" caption="StoreStatus" attribute="1" defaultMemberUniqueName="[Store].[StoreStatus].[All]" allUniqueName="[Store].[StoreStatus].[All]" dimensionUniqueName="[Store]" displayFolder="" count="0" unbalanced="0"/>
    <cacheHierarchy uniqueName="[Store].[StoreTopType]" caption="StoreTopType" attribute="1" defaultMemberUniqueName="[Store].[StoreTopType].[All]" allUniqueName="[Store].[StoreTopType].[All]" dimensionUniqueName="[Store]" displayFolder="" count="0" unbalanced="0"/>
    <cacheHierarchy uniqueName="[Store].[StoreType]" caption="StoreType" attribute="1" defaultMemberUniqueName="[Store].[StoreType].[All]" allUniqueName="[Store].[StoreType].[All]" dimensionUniqueName="[Store]" displayFolder="" count="0" unbalanced="0"/>
    <cacheHierarchy uniqueName="[Store].[Tourist]" caption="Tourist" attribute="1" defaultMemberUniqueName="[Store].[Tourist].[All]" allUniqueName="[Store].[Tourist].[All]" dimensionUniqueName="[Store]" displayFolder="" count="0" unbalanced="0"/>
    <cacheHierarchy uniqueName="[StoreLFLStatu].[StoreLFLStatuDesc]" caption="StoreLFLStatuDesc" attribute="1" defaultMemberUniqueName="[StoreLFLStatu].[StoreLFLStatuDesc].[All]" allUniqueName="[StoreLFLStatu].[StoreLFLStatuDesc].[All]" dimensionUniqueName="[StoreLFLStatu]" displayFolder="" count="0" unbalanced="0"/>
    <cacheHierarchy uniqueName="[StoreLFLStatu].[StoreLFLStatuGroupDesc]" caption="StoreLFLStatuGroupDesc" attribute="1" defaultMemberUniqueName="[StoreLFLStatu].[StoreLFLStatuGroupDesc].[All]" allUniqueName="[StoreLFLStatu].[StoreLFLStatuGroupDesc].[All]" dimensionUniqueName="[StoreLFLStatu]" displayFolder="" count="0" unbalanced="0"/>
    <cacheHierarchy uniqueName="[StoreLFLStatu].[StoreLFLStatuKey]" caption="StoreLFLStatuKey" attribute="1" defaultMemberUniqueName="[StoreLFLStatu].[StoreLFLStatuKey].[All]" allUniqueName="[StoreLFLStatu].[StoreLFLStatuKey].[All]" dimensionUniqueName="[StoreLFLStatu]" displayFolder="" count="0" unbalanced="0"/>
    <cacheHierarchy uniqueName="[SubDistChannel].[SubDistChannelCode]" caption="SubDistChannelCode" attribute="1" defaultMemberUniqueName="[SubDistChannel].[SubDistChannelCode].[All]" allUniqueName="[SubDistChannel].[SubDistChannelCode].[All]" dimensionUniqueName="[SubDistChannel]" displayFolder="" count="0" unbalanced="0"/>
    <cacheHierarchy uniqueName="[SubDistChannel].[SubDistChannelDesc]" caption="SubDistChannelDesc" attribute="1" defaultMemberUniqueName="[SubDistChannel].[SubDistChannelDesc].[All]" allUniqueName="[SubDistChannel].[SubDistChannelDesc].[All]" dimensionUniqueName="[SubDistChannel]" displayFolder="" count="0" unbalanced="0"/>
    <cacheHierarchy uniqueName="[SubDistChannel].[SubDistChannelKey]" caption="SubDistChannelKey" attribute="1" defaultMemberUniqueName="[SubDistChannel].[SubDistChannelKey].[All]" allUniqueName="[SubDistChannel].[SubDistChannelKey].[All]" dimensionUniqueName="[SubDistChannel]" displayFolder="" count="0" unbalanced="0"/>
    <cacheHierarchy uniqueName="[Calendar].[EtlDate]" caption="EtlDate" attribute="1" time="1" defaultMemberUniqueName="[Calendar].[EtlDate].[All]" allUniqueName="[Calendar].[EtlDate].[All]" dimensionUniqueName="[Calendar]" displayFolder="" count="0" unbalanced="0" hidden="1"/>
    <cacheHierarchy uniqueName="[Capacity].[Date]" caption="Date" attribute="1" defaultMemberUniqueName="[Capacity].[Date].[All]" allUniqueName="[Capacity].[Date].[All]" dimensionUniqueName="[Capacity]" displayFolder="" count="0" unbalanced="0" hidden="1"/>
    <cacheHierarchy uniqueName="[Capacity].[InitialSalesPriceID]" caption="InitialSalesPriceID" attribute="1" defaultMemberUniqueName="[Capacity].[InitialSalesPriceID].[All]" allUniqueName="[Capacity].[InitialSalesPriceID].[All]" dimensionUniqueName="[Capacity]" displayFolder="" count="0" unbalanced="0" hidden="1"/>
    <cacheHierarchy uniqueName="[Capacity].[LFLFactor]" caption="LFLFactor" attribute="1" defaultMemberUniqueName="[Capacity].[LFLFactor].[All]" allUniqueName="[Capacity].[LFLFactor].[All]" dimensionUniqueName="[Capacity]" displayFolder="" count="0" unbalanced="0" hidden="1"/>
    <cacheHierarchy uniqueName="[Capacity].[LocationKey]" caption="LocationKey" attribute="1" defaultMemberUniqueName="[Capacity].[LocationKey].[All]" allUniqueName="[Capacity].[LocationKey].[All]" dimensionUniqueName="[Capacity]" displayFolder="" count="0" unbalanced="0" hidden="1"/>
    <cacheHierarchy uniqueName="[Capacity].[MaterialKey]" caption="MaterialKey" attribute="1" defaultMemberUniqueName="[Capacity].[MaterialKey].[All]" allUniqueName="[Capacity].[MaterialKey].[All]" dimensionUniqueName="[Capacity]" displayFolder="" count="0" unbalanced="0" hidden="1"/>
    <cacheHierarchy uniqueName="[Capacity].[OutletID]" caption="OutletID" attribute="1" defaultMemberUniqueName="[Capacity].[OutletID].[All]" allUniqueName="[Capacity].[OutletID].[All]" dimensionUniqueName="[Capacity]" displayFolder="" count="0" unbalanced="0" hidden="1"/>
    <cacheHierarchy uniqueName="[Capacity].[SalesChannelKey]" caption="SalesChannelKey" attribute="1" defaultMemberUniqueName="[Capacity].[SalesChannelKey].[All]" allUniqueName="[Capacity].[SalesChannelKey].[All]" dimensionUniqueName="[Capacity]" displayFolder="" count="0" unbalanced="0" hidden="1"/>
    <cacheHierarchy uniqueName="[Capacity].[SalesSeasonID]" caption="SalesSeasonID" attribute="1" defaultMemberUniqueName="[Capacity].[SalesSeasonID].[All]" allUniqueName="[Capacity].[SalesSeasonID].[All]" dimensionUniqueName="[Capacity]" displayFolder="" count="0" unbalanced="0" hidden="1"/>
    <cacheHierarchy uniqueName="[Capacity].[SubDistChannelKey]" caption="SubDistChannelKey" attribute="1" defaultMemberUniqueName="[Capacity].[SubDistChannelKey].[All]" allUniqueName="[Capacity].[SubDistChannelKey].[All]" dimensionUniqueName="[Capacity]" displayFolder="" count="0" unbalanced="0" hidden="1"/>
    <cacheHierarchy uniqueName="[Capacity].[TYCapacityPlanUnit]" caption="TYCapacityPlanUnit" attribute="1" defaultMemberUniqueName="[Capacity].[TYCapacityPlanUnit].[All]" allUniqueName="[Capacity].[TYCapacityPlanUnit].[All]" dimensionUniqueName="[Capacity]" displayFolder="" count="0" unbalanced="0" hidden="1"/>
    <cacheHierarchy uniqueName="[CapacityPlanTY].[Date]" caption="Date" attribute="1" defaultMemberUniqueName="[CapacityPlanTY].[Date].[All]" allUniqueName="[CapacityPlanTY].[Date].[All]" dimensionUniqueName="[CapacityPlanTY]" displayFolder="" count="0" unbalanced="0" hidden="1"/>
    <cacheHierarchy uniqueName="[CapacityPlanTY].[DistrubitionChannelCode]" caption="DistrubitionChannelCode" attribute="1" defaultMemberUniqueName="[CapacityPlanTY].[DistrubitionChannelCode].[All]" allUniqueName="[CapacityPlanTY].[DistrubitionChannelCode].[All]" dimensionUniqueName="[CapacityPlanTY]" displayFolder="" count="0" unbalanced="0" hidden="1"/>
    <cacheHierarchy uniqueName="[CapacityPlanTY].[DWSourceKey]" caption="DWSourceKey" attribute="1" defaultMemberUniqueName="[CapacityPlanTY].[DWSourceKey].[All]" allUniqueName="[CapacityPlanTY].[DWSourceKey].[All]" dimensionUniqueName="[CapacityPlanTY]" displayFolder="" count="0" unbalanced="0" hidden="1"/>
    <cacheHierarchy uniqueName="[CapacityPlanTY].[ETLDate]" caption="ETLDate" attribute="1" defaultMemberUniqueName="[CapacityPlanTY].[ETLDate].[All]" allUniqueName="[CapacityPlanTY].[ETLDate].[All]" dimensionUniqueName="[CapacityPlanTY]" displayFolder="" count="0" unbalanced="0" hidden="1"/>
    <cacheHierarchy uniqueName="[CapacityPlanTY].[EURExcRate]" caption="EURExcRate" attribute="1" defaultMemberUniqueName="[CapacityPlanTY].[EURExcRate].[All]" allUniqueName="[CapacityPlanTY].[EURExcRate].[All]" dimensionUniqueName="[CapacityPlanTY]" displayFolder="" count="0" unbalanced="0" hidden="1"/>
    <cacheHierarchy uniqueName="[CapacityPlanTY].[LFLPlanAvgStoreStockCostLC]" caption="LFLPlanAvgStoreStockCostLC" attribute="1" defaultMemberUniqueName="[CapacityPlanTY].[LFLPlanAvgStoreStockCostLC].[All]" allUniqueName="[CapacityPlanTY].[LFLPlanAvgStoreStockCostLC].[All]" dimensionUniqueName="[CapacityPlanTY]" displayFolder="" count="0" unbalanced="0" hidden="1"/>
    <cacheHierarchy uniqueName="[CapacityPlanTY].[LFLPlanAvgStoreStockUnit]" caption="LFLPlanAvgStoreStockUnit" attribute="1" defaultMemberUniqueName="[CapacityPlanTY].[LFLPlanAvgStoreStockUnit].[All]" allUniqueName="[CapacityPlanTY].[LFLPlanAvgStoreStockUnit].[All]" dimensionUniqueName="[CapacityPlanTY]" displayFolder="" count="0" unbalanced="0" hidden="1"/>
    <cacheHierarchy uniqueName="[CapacityPlanTY].[LocationCurrencyCode]" caption="LocationCurrencyCode" attribute="1" defaultMemberUniqueName="[CapacityPlanTY].[LocationCurrencyCode].[All]" allUniqueName="[CapacityPlanTY].[LocationCurrencyCode].[All]" dimensionUniqueName="[CapacityPlanTY]" displayFolder="" count="0" unbalanced="0" hidden="1"/>
    <cacheHierarchy uniqueName="[CapacityPlanTY].[LocationKey]" caption="LocationKey" attribute="1" defaultMemberUniqueName="[CapacityPlanTY].[LocationKey].[All]" allUniqueName="[CapacityPlanTY].[LocationKey].[All]" dimensionUniqueName="[CapacityPlanTY]" displayFolder="" count="0" unbalanced="0" hidden="1"/>
    <cacheHierarchy uniqueName="[CapacityPlanTY].[MainGroupCode]" caption="MainGroupCode" attribute="1" defaultMemberUniqueName="[CapacityPlanTY].[MainGroupCode].[All]" allUniqueName="[CapacityPlanTY].[MainGroupCode].[All]" dimensionUniqueName="[CapacityPlanTY]" displayFolder="" count="0" unbalanced="0" hidden="1"/>
    <cacheHierarchy uniqueName="[CapacityPlanTY].[MaterialKey]" caption="MaterialKey" attribute="1" defaultMemberUniqueName="[CapacityPlanTY].[MaterialKey].[All]" allUniqueName="[CapacityPlanTY].[MaterialKey].[All]" dimensionUniqueName="[CapacityPlanTY]" displayFolder="" count="0" unbalanced="0" hidden="1"/>
    <cacheHierarchy uniqueName="[CapacityPlanTY].[PlanAvgStoreStockCostLC]" caption="PlanAvgStoreStockCostLC" attribute="1" defaultMemberUniqueName="[CapacityPlanTY].[PlanAvgStoreStockCostLC].[All]" allUniqueName="[CapacityPlanTY].[PlanAvgStoreStockCostLC].[All]" dimensionUniqueName="[CapacityPlanTY]" displayFolder="" count="0" unbalanced="0" hidden="1"/>
    <cacheHierarchy uniqueName="[CapacityPlanTY].[PlanAvgStoreStockUnit]" caption="PlanAvgStoreStockUnit" attribute="1" defaultMemberUniqueName="[CapacityPlanTY].[PlanAvgStoreStockUnit].[All]" allUniqueName="[CapacityPlanTY].[PlanAvgStoreStockUnit].[All]" dimensionUniqueName="[CapacityPlanTY]" displayFolder="" count="0" unbalanced="0" hidden="1"/>
    <cacheHierarchy uniqueName="[CapacityPlanTY].[SalesChannelKey]" caption="SalesChannelKey" attribute="1" defaultMemberUniqueName="[CapacityPlanTY].[SalesChannelKey].[All]" allUniqueName="[CapacityPlanTY].[SalesChannelKey].[All]" dimensionUniqueName="[CapacityPlanTY]" displayFolder="" count="0" unbalanced="0" hidden="1"/>
    <cacheHierarchy uniqueName="[CapacityPlanTY].[SalesOrgCode]" caption="SalesOrgCode" attribute="1" defaultMemberUniqueName="[CapacityPlanTY].[SalesOrgCode].[All]" allUniqueName="[CapacityPlanTY].[SalesOrgCode].[All]" dimensionUniqueName="[CapacityPlanTY]" displayFolder="" count="0" unbalanced="0" hidden="1"/>
    <cacheHierarchy uniqueName="[CapacityPlanTY].[SubDistChannelKey]" caption="SubDistChannelKey" attribute="1" defaultMemberUniqueName="[CapacityPlanTY].[SubDistChannelKey].[All]" allUniqueName="[CapacityPlanTY].[SubDistChannelKey].[All]" dimensionUniqueName="[CapacityPlanTY]" displayFolder="" count="0" unbalanced="0" hidden="1"/>
    <cacheHierarchy uniqueName="[CapacityPlanTY].[SubGroupCode]" caption="SubGroupCode" attribute="1" defaultMemberUniqueName="[CapacityPlanTY].[SubGroupCode].[All]" allUniqueName="[CapacityPlanTY].[SubGroupCode].[All]" dimensionUniqueName="[CapacityPlanTY]" displayFolder="" count="0" unbalanced="0" hidden="1"/>
    <cacheHierarchy uniqueName="[CapacityPlanTY].[TRYExcRate]" caption="TRYExcRate" attribute="1" defaultMemberUniqueName="[CapacityPlanTY].[TRYExcRate].[All]" allUniqueName="[CapacityPlanTY].[TRYExcRate].[All]" dimensionUniqueName="[CapacityPlanTY]" displayFolder="" count="0" unbalanced="0" hidden="1"/>
    <cacheHierarchy uniqueName="[CapacityPlanTY].[USDExcRate]" caption="USDExcRate" attribute="1" defaultMemberUniqueName="[CapacityPlanTY].[USDExcRate].[All]" allUniqueName="[CapacityPlanTY].[USDExcRate].[All]" dimensionUniqueName="[CapacityPlanTY]" displayFolder="" count="0" unbalanced="0" hidden="1"/>
    <cacheHierarchy uniqueName="[CapacityPlanTY].[YearMonth]" caption="YearMonth" attribute="1" defaultMemberUniqueName="[CapacityPlanTY].[YearMonth].[All]" allUniqueName="[CapacityPlanTY].[YearMonth].[All]" dimensionUniqueName="[CapacityPlanTY]" displayFolder="" count="0" unbalanced="0" hidden="1"/>
    <cacheHierarchy uniqueName="[CurrentStockSales].[BanProfit]" caption="BanProfit" attribute="1" defaultMemberUniqueName="[CurrentStockSales].[BanProfit].[All]" allUniqueName="[CurrentStockSales].[BanProfit].[All]" dimensionUniqueName="[CurrentStockSales]" displayFolder="" count="0" unbalanced="0" hidden="1"/>
    <cacheHierarchy uniqueName="[CurrentStockSales].[CumStockDM3]" caption="CumStockDM3" attribute="1" defaultMemberUniqueName="[CurrentStockSales].[CumStockDM3].[All]" allUniqueName="[CurrentStockSales].[CumStockDM3].[All]" dimensionUniqueName="[CurrentStockSales]" displayFolder="" count="0" unbalanced="0" hidden="1"/>
    <cacheHierarchy uniqueName="[CurrentStockSales].[CumStokUnit]" caption="CumStokUnit" attribute="1" defaultMemberUniqueName="[CurrentStockSales].[CumStokUnit].[All]" allUniqueName="[CurrentStockSales].[CumStokUnit].[All]" dimensionUniqueName="[CurrentStockSales]" displayFolder="" count="0" unbalanced="0" hidden="1"/>
    <cacheHierarchy uniqueName="[CurrentStockSales].[CUROpenTransferStoreStockUnit]" caption="CUROpenTransferStoreStockUnit" attribute="1" defaultMemberUniqueName="[CurrentStockSales].[CUROpenTransferStoreStockUnit].[All]" allUniqueName="[CurrentStockSales].[CUROpenTransferStoreStockUnit].[All]" dimensionUniqueName="[CurrentStockSales]" displayFolder="" count="0" unbalanced="0" hidden="1"/>
    <cacheHierarchy uniqueName="[CurrentStockSales].[CURUnapprovedOrderStoreStockUnit]" caption="CURUnapprovedOrderStoreStockUnit" attribute="1" defaultMemberUniqueName="[CurrentStockSales].[CURUnapprovedOrderStoreStockUnit].[All]" allUniqueName="[CurrentStockSales].[CURUnapprovedOrderStoreStockUnit].[All]" dimensionUniqueName="[CurrentStockSales]" displayFolder="" count="0" unbalanced="0" hidden="1"/>
    <cacheHierarchy uniqueName="[CurrentStockSales].[GrossProfit007]" caption="GrossProfit007" attribute="1" defaultMemberUniqueName="[CurrentStockSales].[GrossProfit007].[All]" allUniqueName="[CurrentStockSales].[GrossProfit007].[All]" dimensionUniqueName="[CurrentStockSales]" displayFolder="" count="0" unbalanced="0" hidden="1"/>
    <cacheHierarchy uniqueName="[CurrentStockSales].[GrossProfit021]" caption="GrossProfit021" attribute="1" defaultMemberUniqueName="[CurrentStockSales].[GrossProfit021].[All]" allUniqueName="[CurrentStockSales].[GrossProfit021].[All]" dimensionUniqueName="[CurrentStockSales]" displayFolder="" count="0" unbalanced="0" hidden="1"/>
    <cacheHierarchy uniqueName="[CurrentStockSales].[LivingArea]" caption="LivingArea" attribute="1" defaultMemberUniqueName="[CurrentStockSales].[LivingArea].[All]" allUniqueName="[CurrentStockSales].[LivingArea].[All]" dimensionUniqueName="[CurrentStockSales]" displayFolder="" count="0" unbalanced="0" hidden="1"/>
    <cacheHierarchy uniqueName="[CurrentStockSales].[MainGroupCode]" caption="MainGroupCode" attribute="1" defaultMemberUniqueName="[CurrentStockSales].[MainGroupCode].[All]" allUniqueName="[CurrentStockSales].[MainGroupCode].[All]" dimensionUniqueName="[CurrentStockSales]" displayFolder="" count="0" unbalanced="0" hidden="1"/>
    <cacheHierarchy uniqueName="[CurrentStockSales].[Marj_w1]" caption="Marj_w1" attribute="1" defaultMemberUniqueName="[CurrentStockSales].[Marj_w1].[All]" allUniqueName="[CurrentStockSales].[Marj_w1].[All]" dimensionUniqueName="[CurrentStockSales]" displayFolder="" count="0" unbalanced="0" hidden="1"/>
    <cacheHierarchy uniqueName="[CurrentStockSales].[Marj_w3]" caption="Marj_w3" attribute="1" defaultMemberUniqueName="[CurrentStockSales].[Marj_w3].[All]" allUniqueName="[CurrentStockSales].[Marj_w3].[All]" dimensionUniqueName="[CurrentStockSales]" displayFolder="" count="0" unbalanced="0" hidden="1"/>
    <cacheHierarchy uniqueName="[CurrentStockSales].[MaterialCode]" caption="MaterialCode" attribute="1" defaultMemberUniqueName="[CurrentStockSales].[MaterialCode].[All]" allUniqueName="[CurrentStockSales].[MaterialCode].[All]" dimensionUniqueName="[CurrentStockSales]" displayFolder="" count="0" unbalanced="0" hidden="1"/>
    <cacheHierarchy uniqueName="[CurrentStockSales].[MaterialDm3]" caption="MaterialDm3" attribute="1" defaultMemberUniqueName="[CurrentStockSales].[MaterialDm3].[All]" allUniqueName="[CurrentStockSales].[MaterialDm3].[All]" dimensionUniqueName="[CurrentStockSales]" displayFolder="" count="0" unbalanced="0" hidden="1"/>
    <cacheHierarchy uniqueName="[CurrentStockSales].[MaterialKey]" caption="MaterialKey" attribute="1" defaultMemberUniqueName="[CurrentStockSales].[MaterialKey].[All]" allUniqueName="[CurrentStockSales].[MaterialKey].[All]" dimensionUniqueName="[CurrentStockSales]" displayFolder="" count="0" unbalanced="0" hidden="1"/>
    <cacheHierarchy uniqueName="[CurrentStockSales].[NetCumStockDM3]" caption="NetCumStockDM3" attribute="1" defaultMemberUniqueName="[CurrentStockSales].[NetCumStockDM3].[All]" allUniqueName="[CurrentStockSales].[NetCumStockDM3].[All]" dimensionUniqueName="[CurrentStockSales]" displayFolder="" count="0" unbalanced="0" hidden="1"/>
    <cacheHierarchy uniqueName="[CurrentStockSales].[NetCumStokUnit]" caption="NetCumStokUnit" attribute="1" defaultMemberUniqueName="[CurrentStockSales].[NetCumStokUnit].[All]" allUniqueName="[CurrentStockSales].[NetCumStokUnit].[All]" dimensionUniqueName="[CurrentStockSales]" displayFolder="" count="0" unbalanced="0" hidden="1"/>
    <cacheHierarchy uniqueName="[CurrentStockSales].[QtyInBox]" caption="QtyInBox" attribute="1" defaultMemberUniqueName="[CurrentStockSales].[QtyInBox].[All]" allUniqueName="[CurrentStockSales].[QtyInBox].[All]" dimensionUniqueName="[CurrentStockSales]" displayFolder="" count="0" unbalanced="0" hidden="1"/>
    <cacheHierarchy uniqueName="[CurrentStockSales].[SalesUnit007]" caption="SalesUnit007" attribute="1" defaultMemberUniqueName="[CurrentStockSales].[SalesUnit007].[All]" allUniqueName="[CurrentStockSales].[SalesUnit007].[All]" dimensionUniqueName="[CurrentStockSales]" displayFolder="" count="0" unbalanced="0" hidden="1"/>
    <cacheHierarchy uniqueName="[CurrentStockSales].[SalesUnit021]" caption="SalesUnit021" attribute="1" defaultMemberUniqueName="[CurrentStockSales].[SalesUnit021].[All]" allUniqueName="[CurrentStockSales].[SalesUnit021].[All]" dimensionUniqueName="[CurrentStockSales]" displayFolder="" count="0" unbalanced="0" hidden="1"/>
    <cacheHierarchy uniqueName="[CurrentStockSales].[SalesValue007]" caption="SalesValue007" attribute="1" defaultMemberUniqueName="[CurrentStockSales].[SalesValue007].[All]" allUniqueName="[CurrentStockSales].[SalesValue007].[All]" dimensionUniqueName="[CurrentStockSales]" displayFolder="" count="0" unbalanced="0" hidden="1"/>
    <cacheHierarchy uniqueName="[CurrentStockSales].[SalesValue021]" caption="SalesValue021" attribute="1" defaultMemberUniqueName="[CurrentStockSales].[SalesValue021].[All]" allUniqueName="[CurrentStockSales].[SalesValue021].[All]" dimensionUniqueName="[CurrentStockSales]" displayFolder="" count="0" unbalanced="0" hidden="1"/>
    <cacheHierarchy uniqueName="[CurrentStockSales].[StockBufferFactor]" caption="StockBufferFactor" attribute="1" defaultMemberUniqueName="[CurrentStockSales].[StockBufferFactor].[All]" allUniqueName="[CurrentStockSales].[StockBufferFactor].[All]" dimensionUniqueName="[CurrentStockSales]" displayFolder="" count="0" unbalanced="0" hidden="1"/>
    <cacheHierarchy uniqueName="[CurrentStockSales].[StoreCode]" caption="StoreCode" attribute="1" defaultMemberUniqueName="[CurrentStockSales].[StoreCode].[All]" allUniqueName="[CurrentStockSales].[StoreCode].[All]" dimensionUniqueName="[CurrentStockSales]" displayFolder="" count="0" unbalanced="0" hidden="1"/>
    <cacheHierarchy uniqueName="[CurrentStockSales].[StoreStockUnit]" caption="StoreStockUnit" attribute="1" defaultMemberUniqueName="[CurrentStockSales].[StoreStockUnit].[All]" allUniqueName="[CurrentStockSales].[StoreStockUnit].[All]" dimensionUniqueName="[CurrentStockSales]" displayFolder="" count="0" unbalanced="0" hidden="1"/>
    <cacheHierarchy uniqueName="[CurrentStockSales].[StoreTransitStockUnit]" caption="StoreTransitStockUnit" attribute="1" defaultMemberUniqueName="[CurrentStockSales].[StoreTransitStockUnit].[All]" allUniqueName="[CurrentStockSales].[StoreTransitStockUnit].[All]" dimensionUniqueName="[CurrentStockSales]" displayFolder="" count="0" unbalanced="0" hidden="1"/>
    <cacheHierarchy uniqueName="[CurrentStockSales].[TRMarj_w1]" caption="TRMarj_w1" attribute="1" defaultMemberUniqueName="[CurrentStockSales].[TRMarj_w1].[All]" allUniqueName="[CurrentStockSales].[TRMarj_w1].[All]" dimensionUniqueName="[CurrentStockSales]" displayFolder="" count="0" unbalanced="0" hidden="1"/>
    <cacheHierarchy uniqueName="[CurrentStockSales].[TRMarj_w3]" caption="TRMarj_w3" attribute="1" defaultMemberUniqueName="[CurrentStockSales].[TRMarj_w3].[All]" allUniqueName="[CurrentStockSales].[TRMarj_w3].[All]" dimensionUniqueName="[CurrentStockSales]" displayFolder="" count="0" unbalanced="0" hidden="1"/>
    <cacheHierarchy uniqueName="[CurrentStockSales].[WeeklyAvgSales]" caption="WeeklyAvgSales" attribute="1" defaultMemberUniqueName="[CurrentStockSales].[WeeklyAvgSales].[All]" allUniqueName="[CurrentStockSales].[WeeklyAvgSales].[All]" dimensionUniqueName="[CurrentStockSales]" displayFolder="" count="0" unbalanced="0" hidden="1"/>
    <cacheHierarchy uniqueName="[CurrentStockStore].[CompanyUnitCost]" caption="CompanyUnitCost" attribute="1" defaultMemberUniqueName="[CurrentStockStore].[CompanyUnitCost].[All]" allUniqueName="[CurrentStockStore].[CompanyUnitCost].[All]" dimensionUniqueName="[CurrentStockStore]" displayFolder="" count="0" unbalanced="0" hidden="1"/>
    <cacheHierarchy uniqueName="[CurrentStockStore].[EURExcRate]" caption="EURExcRate" attribute="1" defaultMemberUniqueName="[CurrentStockStore].[EURExcRate].[All]" allUniqueName="[CurrentStockStore].[EURExcRate].[All]" dimensionUniqueName="[CurrentStockStore]" displayFolder="" count="0" unbalanced="0" hidden="1"/>
    <cacheHierarchy uniqueName="[CurrentStockStore].[InitialSalesPriceID]" caption="InitialSalesPriceID" attribute="1" defaultMemberUniqueName="[CurrentStockStore].[InitialSalesPriceID].[All]" allUniqueName="[CurrentStockStore].[InitialSalesPriceID].[All]" dimensionUniqueName="[CurrentStockStore]" displayFolder="" count="0" unbalanced="0" hidden="1"/>
    <cacheHierarchy uniqueName="[CurrentStockStore].[ISPLCPriceVAT]" caption="ISPLCPriceVAT" attribute="1" defaultMemberUniqueName="[CurrentStockStore].[ISPLCPriceVAT].[All]" allUniqueName="[CurrentStockStore].[ISPLCPriceVAT].[All]" dimensionUniqueName="[CurrentStockStore]" displayFolder="" count="0" unbalanced="0" hidden="1"/>
    <cacheHierarchy uniqueName="[CurrentStockStore].[LCExcRate]" caption="LCExcRate" attribute="1" defaultMemberUniqueName="[CurrentStockStore].[LCExcRate].[All]" allUniqueName="[CurrentStockStore].[LCExcRate].[All]" dimensionUniqueName="[CurrentStockStore]" displayFolder="" count="0" unbalanced="0" hidden="1"/>
    <cacheHierarchy uniqueName="[CurrentStockStore].[LFLFactor]" caption="LFLFactor" attribute="1" defaultMemberUniqueName="[CurrentStockStore].[LFLFactor].[All]" allUniqueName="[CurrentStockStore].[LFLFactor].[All]" dimensionUniqueName="[CurrentStockStore]" displayFolder="" count="0" unbalanced="0" hidden="1"/>
    <cacheHierarchy uniqueName="[CurrentStockStore].[LocationKey]" caption="LocationKey" attribute="1" defaultMemberUniqueName="[CurrentStockStore].[LocationKey].[All]" allUniqueName="[CurrentStockStore].[LocationKey].[All]" dimensionUniqueName="[CurrentStockStore]" displayFolder="" count="0" unbalanced="0" hidden="1"/>
    <cacheHierarchy uniqueName="[CurrentStockStore].[MaterialKey]" caption="MaterialKey" attribute="1" defaultMemberUniqueName="[CurrentStockStore].[MaterialKey].[All]" allUniqueName="[CurrentStockStore].[MaterialKey].[All]" dimensionUniqueName="[CurrentStockStore]" displayFolder="" count="0" unbalanced="0" hidden="1"/>
    <cacheHierarchy uniqueName="[CurrentStockStore].[OtherStockUnit]" caption="OtherStockUnit" attribute="1" defaultMemberUniqueName="[CurrentStockStore].[OtherStockUnit].[All]" allUniqueName="[CurrentStockStore].[OtherStockUnit].[All]" dimensionUniqueName="[CurrentStockStore]" displayFolder="" count="0" unbalanced="0" hidden="1"/>
    <cacheHierarchy uniqueName="[CurrentStockStore].[OutletID]" caption="OutletID" attribute="1" defaultMemberUniqueName="[CurrentStockStore].[OutletID].[All]" allUniqueName="[CurrentStockStore].[OutletID].[All]" dimensionUniqueName="[CurrentStockStore]" displayFolder="" count="0" unbalanced="0" hidden="1"/>
    <cacheHierarchy uniqueName="[CurrentStockStore].[SalesChannelKey]" caption="SalesChannelKey" attribute="1" defaultMemberUniqueName="[CurrentStockStore].[SalesChannelKey].[All]" allUniqueName="[CurrentStockStore].[SalesChannelKey].[All]" dimensionUniqueName="[CurrentStockStore]" displayFolder="" count="0" unbalanced="0" hidden="1"/>
    <cacheHierarchy uniqueName="[CurrentStockStore].[SalesSeasonID]" caption="SalesSeasonID" attribute="1" defaultMemberUniqueName="[CurrentStockStore].[SalesSeasonID].[All]" allUniqueName="[CurrentStockStore].[SalesSeasonID].[All]" dimensionUniqueName="[CurrentStockStore]" displayFolder="" count="0" unbalanced="0" hidden="1"/>
    <cacheHierarchy uniqueName="[CurrentStockStore].[StockDate]" caption="StockDate" attribute="1" defaultMemberUniqueName="[CurrentStockStore].[StockDate].[All]" allUniqueName="[CurrentStockStore].[StockDate].[All]" dimensionUniqueName="[CurrentStockStore]" displayFolder="" count="0" unbalanced="0" hidden="1"/>
    <cacheHierarchy uniqueName="[CurrentStockStore].[StockUnit]" caption="StockUnit" attribute="1" defaultMemberUniqueName="[CurrentStockStore].[StockUnit].[All]" allUniqueName="[CurrentStockStore].[StockUnit].[All]" dimensionUniqueName="[CurrentStockStore]" displayFolder="" count="0" unbalanced="0" hidden="1"/>
    <cacheHierarchy uniqueName="[CurrentStockStore].[TransitStockUnit]" caption="TransitStockUnit" attribute="1" defaultMemberUniqueName="[CurrentStockStore].[TransitStockUnit].[All]" allUniqueName="[CurrentStockStore].[TransitStockUnit].[All]" dimensionUniqueName="[CurrentStockStore]" displayFolder="" count="0" unbalanced="0" hidden="1"/>
    <cacheHierarchy uniqueName="[CurrentStockStore].[TRYExcRate]" caption="TRYExcRate" attribute="1" defaultMemberUniqueName="[CurrentStockStore].[TRYExcRate].[All]" allUniqueName="[CurrentStockStore].[TRYExcRate].[All]" dimensionUniqueName="[CurrentStockStore]" displayFolder="" count="0" unbalanced="0" hidden="1"/>
    <cacheHierarchy uniqueName="[CurrentStockStore].[UnitCost]" caption="UnitCost" attribute="1" defaultMemberUniqueName="[CurrentStockStore].[UnitCost].[All]" allUniqueName="[CurrentStockStore].[UnitCost].[All]" dimensionUniqueName="[CurrentStockStore]" displayFolder="" count="0" unbalanced="0" hidden="1"/>
    <cacheHierarchy uniqueName="[CurrentStockStore].[USDExcRate]" caption="USDExcRate" attribute="1" defaultMemberUniqueName="[CurrentStockStore].[USDExcRate].[All]" allUniqueName="[CurrentStockStore].[USDExcRate].[All]" dimensionUniqueName="[CurrentStockStore]" displayFolder="" count="0" unbalanced="0" hidden="1"/>
    <cacheHierarchy uniqueName="[Delivery].[DeliveryBudget]" caption="DeliveryBudget" attribute="1" defaultMemberUniqueName="[Delivery].[DeliveryBudget].[All]" allUniqueName="[Delivery].[DeliveryBudget].[All]" dimensionUniqueName="[Delivery]" displayFolder="" count="0" unbalanced="0" hidden="1"/>
    <cacheHierarchy uniqueName="[Delivery].[DeliveryQty]" caption="DeliveryQty" attribute="1" defaultMemberUniqueName="[Delivery].[DeliveryQty].[All]" allUniqueName="[Delivery].[DeliveryQty].[All]" dimensionUniqueName="[Delivery]" displayFolder="" count="0" unbalanced="0" hidden="1"/>
    <cacheHierarchy uniqueName="[Delivery].[FirstDayofMonth]" caption="FirstDayofMonth" attribute="1" defaultMemberUniqueName="[Delivery].[FirstDayofMonth].[All]" allUniqueName="[Delivery].[FirstDayofMonth].[All]" dimensionUniqueName="[Delivery]" displayFolder="" count="0" unbalanced="0" hidden="1"/>
    <cacheHierarchy uniqueName="[Delivery].[MaterialKey]" caption="MaterialKey" attribute="1" defaultMemberUniqueName="[Delivery].[MaterialKey].[All]" allUniqueName="[Delivery].[MaterialKey].[All]" dimensionUniqueName="[Delivery]" displayFolder="" count="0" unbalanced="0" hidden="1"/>
    <cacheHierarchy uniqueName="[Delivery].[Month]" caption="Month" attribute="1" defaultMemberUniqueName="[Delivery].[Month].[All]" allUniqueName="[Delivery].[Month].[All]" dimensionUniqueName="[Delivery]" displayFolder="" count="0" unbalanced="0" hidden="1"/>
    <cacheHierarchy uniqueName="[Delivery].[Year]" caption="Year" attribute="1" defaultMemberUniqueName="[Delivery].[Year].[All]" allUniqueName="[Delivery].[Year].[All]" dimensionUniqueName="[Delivery]" displayFolder="" count="0" unbalanced="0" hidden="1"/>
    <cacheHierarchy uniqueName="[ISPUnitPrice].[ISPUnitPriceKey]" caption="ISPUnitPriceKey" attribute="1" defaultMemberUniqueName="[ISPUnitPrice].[ISPUnitPriceKey].[All]" allUniqueName="[ISPUnitPrice].[ISPUnitPriceKey].[All]" dimensionUniqueName="[ISPUnitPrice]" displayFolder="" count="0" unbalanced="0" hidden="1"/>
    <cacheHierarchy uniqueName="[KPI].[Ly]" caption="Ly" attribute="1" defaultMemberUniqueName="[KPI].[Ly].[All]" allUniqueName="[KPI].[Ly].[All]" dimensionUniqueName="[KPI]" displayFolder="" count="0" unbalanced="0" hidden="1"/>
    <cacheHierarchy uniqueName="[KPI].[Ly_LC]" caption="Ly_LC" attribute="1" defaultMemberUniqueName="[KPI].[Ly_LC].[All]" allUniqueName="[KPI].[Ly_LC].[All]" dimensionUniqueName="[KPI]" displayFolder="" count="0" unbalanced="0" hidden="1"/>
    <cacheHierarchy uniqueName="[KPI].[Ly_TRY]" caption="Ly_TRY" attribute="1" defaultMemberUniqueName="[KPI].[Ly_TRY].[All]" allUniqueName="[KPI].[Ly_TRY].[All]" dimensionUniqueName="[KPI]" displayFolder="" count="0" unbalanced="0" hidden="1"/>
    <cacheHierarchy uniqueName="[KPI].[Ly_USD]" caption="Ly_USD" attribute="1" defaultMemberUniqueName="[KPI].[Ly_USD].[All]" allUniqueName="[KPI].[Ly_USD].[All]" dimensionUniqueName="[KPI]" displayFolder="" count="0" unbalanced="0" hidden="1"/>
    <cacheHierarchy uniqueName="[KPI].[LyLFL]" caption="LyLFL" attribute="1" defaultMemberUniqueName="[KPI].[LyLFL].[All]" allUniqueName="[KPI].[LyLFL].[All]" dimensionUniqueName="[KPI]" displayFolder="" count="0" unbalanced="0" hidden="1"/>
    <cacheHierarchy uniqueName="[KPI].[LyLFL_LC]" caption="LyLFL_LC" attribute="1" defaultMemberUniqueName="[KPI].[LyLFL_LC].[All]" allUniqueName="[KPI].[LyLFL_LC].[All]" dimensionUniqueName="[KPI]" displayFolder="" count="0" unbalanced="0" hidden="1"/>
    <cacheHierarchy uniqueName="[KPI].[LyLFL_TRY]" caption="LyLFL_TRY" attribute="1" defaultMemberUniqueName="[KPI].[LyLFL_TRY].[All]" allUniqueName="[KPI].[LyLFL_TRY].[All]" dimensionUniqueName="[KPI]" displayFolder="" count="0" unbalanced="0" hidden="1"/>
    <cacheHierarchy uniqueName="[KPI].[LyLFL_USD]" caption="LyLFL_USD" attribute="1" defaultMemberUniqueName="[KPI].[LyLFL_USD].[All]" allUniqueName="[KPI].[LyLFL_USD].[All]" dimensionUniqueName="[KPI]" displayFolder="" count="0" unbalanced="0" hidden="1"/>
    <cacheHierarchy uniqueName="[KPI].[MeasureBlokLY02]" caption="MeasureBlokLY02" attribute="1" defaultMemberUniqueName="[KPI].[MeasureBlokLY02].[All]" allUniqueName="[KPI].[MeasureBlokLY02].[All]" dimensionUniqueName="[KPI]" displayFolder="" count="0" unbalanced="0" hidden="1"/>
    <cacheHierarchy uniqueName="[KPI].[MeasureBlokLYLFL04]" caption="MeasureBlokLYLFL04" attribute="1" defaultMemberUniqueName="[KPI].[MeasureBlokLYLFL04].[All]" allUniqueName="[KPI].[MeasureBlokLYLFL04].[All]" dimensionUniqueName="[KPI]" displayFolder="" count="0" unbalanced="0" hidden="1"/>
    <cacheHierarchy uniqueName="[KPI].[MeasureBlokTY01]" caption="MeasureBlokTY01" attribute="1" defaultMemberUniqueName="[KPI].[MeasureBlokTY01].[All]" allUniqueName="[KPI].[MeasureBlokTY01].[All]" dimensionUniqueName="[KPI]" displayFolder="" count="0" unbalanced="0" hidden="1"/>
    <cacheHierarchy uniqueName="[KPI].[MeasureBlokTYLFL03]" caption="MeasureBlokTYLFL03" attribute="1" defaultMemberUniqueName="[KPI].[MeasureBlokTYLFL03].[All]" allUniqueName="[KPI].[MeasureBlokTYLFL03].[All]" dimensionUniqueName="[KPI]" displayFolder="" count="0" unbalanced="0" hidden="1"/>
    <cacheHierarchy uniqueName="[KPI].[ProcessTime]" caption="ProcessTime" attribute="1" defaultMemberUniqueName="[KPI].[ProcessTime].[All]" allUniqueName="[KPI].[ProcessTime].[All]" dimensionUniqueName="[KPI]" displayFolder="" count="0" unbalanced="0" hidden="1"/>
    <cacheHierarchy uniqueName="[KPI].[Ty]" caption="Ty" attribute="1" defaultMemberUniqueName="[KPI].[Ty].[All]" allUniqueName="[KPI].[Ty].[All]" dimensionUniqueName="[KPI]" displayFolder="" count="0" unbalanced="0" hidden="1"/>
    <cacheHierarchy uniqueName="[KPI].[Ty_LC]" caption="Ty_LC" attribute="1" defaultMemberUniqueName="[KPI].[Ty_LC].[All]" allUniqueName="[KPI].[Ty_LC].[All]" dimensionUniqueName="[KPI]" displayFolder="" count="0" unbalanced="0" hidden="1"/>
    <cacheHierarchy uniqueName="[KPI].[Ty_TRY]" caption="Ty_TRY" attribute="1" defaultMemberUniqueName="[KPI].[Ty_TRY].[All]" allUniqueName="[KPI].[Ty_TRY].[All]" dimensionUniqueName="[KPI]" displayFolder="" count="0" unbalanced="0" hidden="1"/>
    <cacheHierarchy uniqueName="[KPI].[Ty_USD]" caption="Ty_USD" attribute="1" defaultMemberUniqueName="[KPI].[Ty_USD].[All]" allUniqueName="[KPI].[Ty_USD].[All]" dimensionUniqueName="[KPI]" displayFolder="" count="0" unbalanced="0" hidden="1"/>
    <cacheHierarchy uniqueName="[KPI].[TyLfl]" caption="TyLfl" attribute="1" defaultMemberUniqueName="[KPI].[TyLfl].[All]" allUniqueName="[KPI].[TyLfl].[All]" dimensionUniqueName="[KPI]" displayFolder="" count="0" unbalanced="0" hidden="1"/>
    <cacheHierarchy uniqueName="[KPI].[TyLfl_LC]" caption="TyLfl_LC" attribute="1" defaultMemberUniqueName="[KPI].[TyLfl_LC].[All]" allUniqueName="[KPI].[TyLfl_LC].[All]" dimensionUniqueName="[KPI]" displayFolder="" count="0" unbalanced="0" hidden="1"/>
    <cacheHierarchy uniqueName="[KPI].[TyLfl_TRY]" caption="TyLfl_TRY" attribute="1" defaultMemberUniqueName="[KPI].[TyLfl_TRY].[All]" allUniqueName="[KPI].[TyLfl_TRY].[All]" dimensionUniqueName="[KPI]" displayFolder="" count="0" unbalanced="0" hidden="1"/>
    <cacheHierarchy uniqueName="[KPI].[TyLfl_USD]" caption="TyLfl_USD" attribute="1" defaultMemberUniqueName="[KPI].[TyLfl_USD].[All]" allUniqueName="[KPI].[TyLfl_USD].[All]" dimensionUniqueName="[KPI]" displayFolder="" count="0" unbalanced="0" hidden="1"/>
    <cacheHierarchy uniqueName="[LFLDate].[LFLDate]" caption="LFLDate" attribute="1" defaultMemberUniqueName="[LFLDate].[LFLDate].[All]" allUniqueName="[LFLDate].[LFLDate].[All]" dimensionUniqueName="[LFLDate]" displayFolder="" count="0" unbalanced="0" hidden="1"/>
    <cacheHierarchy uniqueName="[LFLDate].[SalesChannelKey]" caption="SalesChannelKey" attribute="1" defaultMemberUniqueName="[LFLDate].[SalesChannelKey].[All]" allUniqueName="[LFLDate].[SalesChannelKey].[All]" dimensionUniqueName="[LFLDate]" displayFolder="" count="0" unbalanced="0" hidden="1"/>
    <cacheHierarchy uniqueName="[LFLDate].[SCKeyLFLDate]" caption="SCKeyLFLDate" attribute="1" defaultMemberUniqueName="[LFLDate].[SCKeyLFLDate].[All]" allUniqueName="[LFLDate].[SCKeyLFLDate].[All]" dimensionUniqueName="[LFLDate]" displayFolder="" count="0" unbalanced="0" hidden="1"/>
    <cacheHierarchy uniqueName="[LFLDate].[TYDate]" caption="TYDate" attribute="1" defaultMemberUniqueName="[LFLDate].[TYDate].[All]" allUniqueName="[LFLDate].[TYDate].[All]" dimensionUniqueName="[LFLDate]" displayFolder="" count="0" unbalanced="0" hidden="1"/>
    <cacheHierarchy uniqueName="[OpenImportsDCStock].[AvailableStockUnit]" caption="AvailableStockUnit" attribute="1" defaultMemberUniqueName="[OpenImportsDCStock].[AvailableStockUnit].[All]" allUniqueName="[OpenImportsDCStock].[AvailableStockUnit].[All]" dimensionUniqueName="[OpenImportsDCStock]" displayFolder="" count="0" unbalanced="0" hidden="1"/>
    <cacheHierarchy uniqueName="[OpenImportsDCStock].[BufferStockUnit]" caption="BufferStockUnit" attribute="1" defaultMemberUniqueName="[OpenImportsDCStock].[BufferStockUnit].[All]" allUniqueName="[OpenImportsDCStock].[BufferStockUnit].[All]" dimensionUniqueName="[OpenImportsDCStock]" displayFolder="" count="0" unbalanced="0" hidden="1"/>
    <cacheHierarchy uniqueName="[OpenImportsDCStock].[CUROpenImportsDCStockUnit]" caption="CUROpenImportsDCStockUnit" attribute="1" defaultMemberUniqueName="[OpenImportsDCStock].[CUROpenImportsDCStockUnit].[All]" allUniqueName="[OpenImportsDCStock].[CUROpenImportsDCStockUnit].[All]" dimensionUniqueName="[OpenImportsDCStock]" displayFolder="" count="0" unbalanced="0" hidden="1"/>
    <cacheHierarchy uniqueName="[OpenImportsDCStock].[CUROpenTransferDCStockUnit]" caption="CUROpenTransferDCStockUnit" attribute="1" defaultMemberUniqueName="[OpenImportsDCStock].[CUROpenTransferDCStockUnit].[All]" allUniqueName="[OpenImportsDCStock].[CUROpenTransferDCStockUnit].[All]" dimensionUniqueName="[OpenImportsDCStock]" displayFolder="" count="0" unbalanced="0" hidden="1"/>
    <cacheHierarchy uniqueName="[OpenImportsDCStock].[CURUnapprovedOrderDCStockUnit]" caption="CURUnapprovedOrderDCStockUnit" attribute="1" defaultMemberUniqueName="[OpenImportsDCStock].[CURUnapprovedOrderDCStockUnit].[All]" allUniqueName="[OpenImportsDCStock].[CURUnapprovedOrderDCStockUnit].[All]" dimensionUniqueName="[OpenImportsDCStock]" displayFolder="" count="0" unbalanced="0" hidden="1"/>
    <cacheHierarchy uniqueName="[OpenImportsDCStock].[LocationKey]" caption="LocationKey" attribute="1" defaultMemberUniqueName="[OpenImportsDCStock].[LocationKey].[All]" allUniqueName="[OpenImportsDCStock].[LocationKey].[All]" dimensionUniqueName="[OpenImportsDCStock]" displayFolder="" count="0" unbalanced="0" hidden="1"/>
    <cacheHierarchy uniqueName="[OpenImportsDCStock].[LocationType]" caption="LocationType" attribute="1" defaultMemberUniqueName="[OpenImportsDCStock].[LocationType].[All]" allUniqueName="[OpenImportsDCStock].[LocationType].[All]" dimensionUniqueName="[OpenImportsDCStock]" displayFolder="" count="0" unbalanced="0" hidden="1"/>
    <cacheHierarchy uniqueName="[OpenImportsDCStock].[MaterialKey]" caption="MaterialKey" attribute="1" defaultMemberUniqueName="[OpenImportsDCStock].[MaterialKey].[All]" allUniqueName="[OpenImportsDCStock].[MaterialKey].[All]" dimensionUniqueName="[OpenImportsDCStock]" displayFolder="" count="0" unbalanced="0" hidden="1"/>
    <cacheHierarchy uniqueName="[OpenImportsDCStock].[OpenDeliveryStockUnit]" caption="OpenDeliveryStockUnit" attribute="1" defaultMemberUniqueName="[OpenImportsDCStock].[OpenDeliveryStockUnit].[All]" allUniqueName="[OpenImportsDCStock].[OpenDeliveryStockUnit].[All]" dimensionUniqueName="[OpenImportsDCStock]" displayFolder="" count="0" unbalanced="0" hidden="1"/>
    <cacheHierarchy uniqueName="[OpenImportsDCStock].[OpenOrderStockUnit]" caption="OpenOrderStockUnit" attribute="1" defaultMemberUniqueName="[OpenImportsDCStock].[OpenOrderStockUnit].[All]" allUniqueName="[OpenImportsDCStock].[OpenOrderStockUnit].[All]" dimensionUniqueName="[OpenImportsDCStock]" displayFolder="" count="0" unbalanced="0" hidden="1"/>
    <cacheHierarchy uniqueName="[OpenImportsDCStock].[OpenStoStockUnit]" caption="OpenStoStockUnit" attribute="1" defaultMemberUniqueName="[OpenImportsDCStock].[OpenStoStockUnit].[All]" allUniqueName="[OpenImportsDCStock].[OpenStoStockUnit].[All]" dimensionUniqueName="[OpenImportsDCStock]" displayFolder="" count="0" unbalanced="0" hidden="1"/>
    <cacheHierarchy uniqueName="[OpenImportsDCStock].[RealStockUnit]" caption="RealStockUnit" attribute="1" defaultMemberUniqueName="[OpenImportsDCStock].[RealStockUnit].[All]" allUniqueName="[OpenImportsDCStock].[RealStockUnit].[All]" dimensionUniqueName="[OpenImportsDCStock]" displayFolder="" count="0" unbalanced="0" hidden="1"/>
    <cacheHierarchy uniqueName="[OpenImportsDCStock].[SafetyStockUnit]" caption="SafetyStockUnit" attribute="1" defaultMemberUniqueName="[OpenImportsDCStock].[SafetyStockUnit].[All]" allUniqueName="[OpenImportsDCStock].[SafetyStockUnit].[All]" dimensionUniqueName="[OpenImportsDCStock]" displayFolder="" count="0" unbalanced="0" hidden="1"/>
    <cacheHierarchy uniqueName="[OpenImportsDCStock].[SalesChannelKey]" caption="SalesChannelKey" attribute="1" defaultMemberUniqueName="[OpenImportsDCStock].[SalesChannelKey].[All]" allUniqueName="[OpenImportsDCStock].[SalesChannelKey].[All]" dimensionUniqueName="[OpenImportsDCStock]" displayFolder="" count="0" unbalanced="0" hidden="1"/>
    <cacheHierarchy uniqueName="[OpenImportsDCStock].[StockListKey]" caption="StockListKey" attribute="1" defaultMemberUniqueName="[OpenImportsDCStock].[StockListKey].[All]" allUniqueName="[OpenImportsDCStock].[StockListKey].[All]" dimensionUniqueName="[OpenImportsDCStock]" displayFolder="" count="0" unbalanced="0" hidden="1"/>
    <cacheHierarchy uniqueName="[OpenImportsDCStock].[SubLocationKey]" caption="SubLocationKey" attribute="1" defaultMemberUniqueName="[OpenImportsDCStock].[SubLocationKey].[All]" allUniqueName="[OpenImportsDCStock].[SubLocationKey].[All]" dimensionUniqueName="[OpenImportsDCStock]" displayFolder="" count="0" unbalanced="0" hidden="1"/>
    <cacheHierarchy uniqueName="[OpenImportsStoreStock].[AvailableStockUnit]" caption="AvailableStockUnit" attribute="1" defaultMemberUniqueName="[OpenImportsStoreStock].[AvailableStockUnit].[All]" allUniqueName="[OpenImportsStoreStock].[AvailableStockUnit].[All]" dimensionUniqueName="[OpenImportsStoreStock]" displayFolder="" count="0" unbalanced="0" hidden="1"/>
    <cacheHierarchy uniqueName="[OpenImportsStoreStock].[BufferStockUnit]" caption="BufferStockUnit" attribute="1" defaultMemberUniqueName="[OpenImportsStoreStock].[BufferStockUnit].[All]" allUniqueName="[OpenImportsStoreStock].[BufferStockUnit].[All]" dimensionUniqueName="[OpenImportsStoreStock]" displayFolder="" count="0" unbalanced="0" hidden="1"/>
    <cacheHierarchy uniqueName="[OpenImportsStoreStock].[CUROpenImportsStoreStockUnit]" caption="CUROpenImportsStoreStockUnit" attribute="1" defaultMemberUniqueName="[OpenImportsStoreStock].[CUROpenImportsStoreStockUnit].[All]" allUniqueName="[OpenImportsStoreStock].[CUROpenImportsStoreStockUnit].[All]" dimensionUniqueName="[OpenImportsStoreStock]" displayFolder="" count="0" unbalanced="0" hidden="1"/>
    <cacheHierarchy uniqueName="[OpenImportsStoreStock].[CUROpenTransferStoreStockUnit]" caption="CUROpenTransferStoreStockUnit" attribute="1" defaultMemberUniqueName="[OpenImportsStoreStock].[CUROpenTransferStoreStockUnit].[All]" allUniqueName="[OpenImportsStoreStock].[CUROpenTransferStoreStockUnit].[All]" dimensionUniqueName="[OpenImportsStoreStock]" displayFolder="" count="0" unbalanced="0" hidden="1"/>
    <cacheHierarchy uniqueName="[OpenImportsStoreStock].[CURUnapprovedOrderStoreStockUnit]" caption="CURUnapprovedOrderStoreStockUnit" attribute="1" defaultMemberUniqueName="[OpenImportsStoreStock].[CURUnapprovedOrderStoreStockUnit].[All]" allUniqueName="[OpenImportsStoreStock].[CURUnapprovedOrderStoreStockUnit].[All]" dimensionUniqueName="[OpenImportsStoreStock]" displayFolder="" count="0" unbalanced="0" hidden="1"/>
    <cacheHierarchy uniqueName="[OpenImportsStoreStock].[FROM_PLANT]" caption="FROM_PLANT" attribute="1" defaultMemberUniqueName="[OpenImportsStoreStock].[FROM_PLANT].[All]" allUniqueName="[OpenImportsStoreStock].[FROM_PLANT].[All]" dimensionUniqueName="[OpenImportsStoreStock]" displayFolder="" count="0" unbalanced="0" hidden="1"/>
    <cacheHierarchy uniqueName="[OpenImportsStoreStock].[LocationKey]" caption="LocationKey" attribute="1" defaultMemberUniqueName="[OpenImportsStoreStock].[LocationKey].[All]" allUniqueName="[OpenImportsStoreStock].[LocationKey].[All]" dimensionUniqueName="[OpenImportsStoreStock]" displayFolder="" count="0" unbalanced="0" hidden="1"/>
    <cacheHierarchy uniqueName="[OpenImportsStoreStock].[LocationType]" caption="LocationType" attribute="1" defaultMemberUniqueName="[OpenImportsStoreStock].[LocationType].[All]" allUniqueName="[OpenImportsStoreStock].[LocationType].[All]" dimensionUniqueName="[OpenImportsStoreStock]" displayFolder="" count="0" unbalanced="0" hidden="1"/>
    <cacheHierarchy uniqueName="[OpenImportsStoreStock].[MaterialKey]" caption="MaterialKey" attribute="1" defaultMemberUniqueName="[OpenImportsStoreStock].[MaterialKey].[All]" allUniqueName="[OpenImportsStoreStock].[MaterialKey].[All]" dimensionUniqueName="[OpenImportsStoreStock]" displayFolder="" count="0" unbalanced="0" hidden="1"/>
    <cacheHierarchy uniqueName="[OpenImportsStoreStock].[OpenDeliveryStockUnit]" caption="OpenDeliveryStockUnit" attribute="1" defaultMemberUniqueName="[OpenImportsStoreStock].[OpenDeliveryStockUnit].[All]" allUniqueName="[OpenImportsStoreStock].[OpenDeliveryStockUnit].[All]" dimensionUniqueName="[OpenImportsStoreStock]" displayFolder="" count="0" unbalanced="0" hidden="1"/>
    <cacheHierarchy uniqueName="[OpenImportsStoreStock].[OpenOrderStockUnit]" caption="OpenOrderStockUnit" attribute="1" defaultMemberUniqueName="[OpenImportsStoreStock].[OpenOrderStockUnit].[All]" allUniqueName="[OpenImportsStoreStock].[OpenOrderStockUnit].[All]" dimensionUniqueName="[OpenImportsStoreStock]" displayFolder="" count="0" unbalanced="0" hidden="1"/>
    <cacheHierarchy uniqueName="[OpenImportsStoreStock].[OpenStoStockUnit]" caption="OpenStoStockUnit" attribute="1" defaultMemberUniqueName="[OpenImportsStoreStock].[OpenStoStockUnit].[All]" allUniqueName="[OpenImportsStoreStock].[OpenStoStockUnit].[All]" dimensionUniqueName="[OpenImportsStoreStock]" displayFolder="" count="0" unbalanced="0" hidden="1"/>
    <cacheHierarchy uniqueName="[OpenImportsStoreStock].[RealStockUnit]" caption="RealStockUnit" attribute="1" defaultMemberUniqueName="[OpenImportsStoreStock].[RealStockUnit].[All]" allUniqueName="[OpenImportsStoreStock].[RealStockUnit].[All]" dimensionUniqueName="[OpenImportsStoreStock]" displayFolder="" count="0" unbalanced="0" hidden="1"/>
    <cacheHierarchy uniqueName="[OpenImportsStoreStock].[SafetyStockUnit]" caption="SafetyStockUnit" attribute="1" defaultMemberUniqueName="[OpenImportsStoreStock].[SafetyStockUnit].[All]" allUniqueName="[OpenImportsStoreStock].[SafetyStockUnit].[All]" dimensionUniqueName="[OpenImportsStoreStock]" displayFolder="" count="0" unbalanced="0" hidden="1"/>
    <cacheHierarchy uniqueName="[OpenImportsStoreStock].[SalesChannelKey]" caption="SalesChannelKey" attribute="1" defaultMemberUniqueName="[OpenImportsStoreStock].[SalesChannelKey].[All]" allUniqueName="[OpenImportsStoreStock].[SalesChannelKey].[All]" dimensionUniqueName="[OpenImportsStoreStock]" displayFolder="" count="0" unbalanced="0" hidden="1"/>
    <cacheHierarchy uniqueName="[OpenImportsStoreStock].[StockListKey]" caption="StockListKey" attribute="1" defaultMemberUniqueName="[OpenImportsStoreStock].[StockListKey].[All]" allUniqueName="[OpenImportsStoreStock].[StockListKey].[All]" dimensionUniqueName="[OpenImportsStoreStock]" displayFolder="" count="0" unbalanced="0" hidden="1"/>
    <cacheHierarchy uniqueName="[PurchaseOrder].[DCSubWarehouseKey]" caption="DCSubWarehouseKey" attribute="1" defaultMemberUniqueName="[PurchaseOrder].[DCSubWarehouseKey].[All]" allUniqueName="[PurchaseOrder].[DCSubWarehouseKey].[All]" dimensionUniqueName="[PurchaseOrder]" displayFolder="" count="0" unbalanced="0" hidden="1"/>
    <cacheHierarchy uniqueName="[PurchaseOrder].[DeadLine]" caption="DeadLine" attribute="1" defaultMemberUniqueName="[PurchaseOrder].[DeadLine].[All]" allUniqueName="[PurchaseOrder].[DeadLine].[All]" dimensionUniqueName="[PurchaseOrder]" displayFolder="" count="0" unbalanced="0" hidden="1"/>
    <cacheHierarchy uniqueName="[PurchaseOrder].[DWSourceKey]" caption="DWSourceKey" attribute="1" defaultMemberUniqueName="[PurchaseOrder].[DWSourceKey].[All]" allUniqueName="[PurchaseOrder].[DWSourceKey].[All]" dimensionUniqueName="[PurchaseOrder]" displayFolder="" count="0" unbalanced="0" hidden="1"/>
    <cacheHierarchy uniqueName="[PurchaseOrder].[EstimatedExcRateLC]" caption="EstimatedExcRateLC" attribute="1" defaultMemberUniqueName="[PurchaseOrder].[EstimatedExcRateLC].[All]" allUniqueName="[PurchaseOrder].[EstimatedExcRateLC].[All]" dimensionUniqueName="[PurchaseOrder]" displayFolder="" count="0" unbalanced="0" hidden="1"/>
    <cacheHierarchy uniqueName="[PurchaseOrder].[EtlDate]" caption="EtlDate" attribute="1" defaultMemberUniqueName="[PurchaseOrder].[EtlDate].[All]" allUniqueName="[PurchaseOrder].[EtlDate].[All]" dimensionUniqueName="[PurchaseOrder]" displayFolder="" count="0" unbalanced="0" hidden="1"/>
    <cacheHierarchy uniqueName="[PurchaseOrder].[Factor]" caption="Factor" attribute="1" defaultMemberUniqueName="[PurchaseOrder].[Factor].[All]" allUniqueName="[PurchaseOrder].[Factor].[All]" dimensionUniqueName="[PurchaseOrder]" displayFolder="" count="0" unbalanced="0" hidden="1"/>
    <cacheHierarchy uniqueName="[PurchaseOrder].[GoodsReceiptDate]" caption="GoodsReceiptDate" attribute="1" defaultMemberUniqueName="[PurchaseOrder].[GoodsReceiptDate].[All]" allUniqueName="[PurchaseOrder].[GoodsReceiptDate].[All]" dimensionUniqueName="[PurchaseOrder]" displayFolder="" count="0" unbalanced="0" hidden="1"/>
    <cacheHierarchy uniqueName="[PurchaseOrder].[GoodsReceiptUnit]" caption="GoodsReceiptUnit" attribute="1" defaultMemberUniqueName="[PurchaseOrder].[GoodsReceiptUnit].[All]" allUniqueName="[PurchaseOrder].[GoodsReceiptUnit].[All]" dimensionUniqueName="[PurchaseOrder]" displayFolder="" count="0" unbalanced="0" hidden="1"/>
    <cacheHierarchy uniqueName="[PurchaseOrder].[GoodsReceiptValueLC]" caption="GoodsReceiptValueLC" attribute="1" defaultMemberUniqueName="[PurchaseOrder].[GoodsReceiptValueLC].[All]" allUniqueName="[PurchaseOrder].[GoodsReceiptValueLC].[All]" dimensionUniqueName="[PurchaseOrder]" displayFolder="" count="0" unbalanced="0" hidden="1"/>
    <cacheHierarchy uniqueName="[PurchaseOrder].[LocalCurrencyCode]" caption="LocalCurrencyCode" attribute="1" defaultMemberUniqueName="[PurchaseOrder].[LocalCurrencyCode].[All]" allUniqueName="[PurchaseOrder].[LocalCurrencyCode].[All]" dimensionUniqueName="[PurchaseOrder]" displayFolder="" count="0" unbalanced="0" hidden="1"/>
    <cacheHierarchy uniqueName="[PurchaseOrder].[MaterialKey]" caption="MaterialKey" attribute="1" defaultMemberUniqueName="[PurchaseOrder].[MaterialKey].[All]" allUniqueName="[PurchaseOrder].[MaterialKey].[All]" dimensionUniqueName="[PurchaseOrder]" displayFolder="" count="0" unbalanced="0" hidden="1"/>
    <cacheHierarchy uniqueName="[PurchaseOrder].[OrderCurrencyCode]" caption="OrderCurrencyCode" attribute="1" defaultMemberUniqueName="[PurchaseOrder].[OrderCurrencyCode].[All]" allUniqueName="[PurchaseOrder].[OrderCurrencyCode].[All]" dimensionUniqueName="[PurchaseOrder]" displayFolder="" count="0" unbalanced="0" hidden="1"/>
    <cacheHierarchy uniqueName="[PurchaseOrder].[OtherMerchantGoodsReceiptUnit]" caption="OtherMerchantGoodsReceiptUnit" attribute="1" defaultMemberUniqueName="[PurchaseOrder].[OtherMerchantGoodsReceiptUnit].[All]" allUniqueName="[PurchaseOrder].[OtherMerchantGoodsReceiptUnit].[All]" dimensionUniqueName="[PurchaseOrder]" displayFolder="" count="0" unbalanced="0" hidden="1"/>
    <cacheHierarchy uniqueName="[PurchaseOrder].[OtherMerchantGoodsReceiptValueLC]" caption="OtherMerchantGoodsReceiptValueLC" attribute="1" defaultMemberUniqueName="[PurchaseOrder].[OtherMerchantGoodsReceiptValueLC].[All]" allUniqueName="[PurchaseOrder].[OtherMerchantGoodsReceiptValueLC].[All]" dimensionUniqueName="[PurchaseOrder]" displayFolder="" count="0" unbalanced="0" hidden="1"/>
    <cacheHierarchy uniqueName="[PurchaseOrder].[OtherMerchantPendingPONetValue]" caption="OtherMerchantPendingPONetValue" attribute="1" defaultMemberUniqueName="[PurchaseOrder].[OtherMerchantPendingPONetValue].[All]" allUniqueName="[PurchaseOrder].[OtherMerchantPendingPONetValue].[All]" dimensionUniqueName="[PurchaseOrder]" displayFolder="" count="0" unbalanced="0" hidden="1"/>
    <cacheHierarchy uniqueName="[PurchaseOrder].[OtherMerchantPendingPurchaseOrderUnit]" caption="OtherMerchantPendingPurchaseOrderUnit" attribute="1" defaultMemberUniqueName="[PurchaseOrder].[OtherMerchantPendingPurchaseOrderUnit].[All]" allUniqueName="[PurchaseOrder].[OtherMerchantPendingPurchaseOrderUnit].[All]" dimensionUniqueName="[PurchaseOrder]" displayFolder="" count="0" unbalanced="0" hidden="1"/>
    <cacheHierarchy uniqueName="[PurchaseOrder].[OtherMerchantPurchaseOrderUnit]" caption="OtherMerchantPurchaseOrderUnit" attribute="1" defaultMemberUniqueName="[PurchaseOrder].[OtherMerchantPurchaseOrderUnit].[All]" allUniqueName="[PurchaseOrder].[OtherMerchantPurchaseOrderUnit].[All]" dimensionUniqueName="[PurchaseOrder]" displayFolder="" count="0" unbalanced="0" hidden="1"/>
    <cacheHierarchy uniqueName="[PurchaseOrder].[PendingPONetValue]" caption="PendingPONetValue" attribute="1" defaultMemberUniqueName="[PurchaseOrder].[PendingPONetValue].[All]" allUniqueName="[PurchaseOrder].[PendingPONetValue].[All]" dimensionUniqueName="[PurchaseOrder]" displayFolder="" count="0" unbalanced="0" hidden="1"/>
    <cacheHierarchy uniqueName="[PurchaseOrder].[PendingPurchaseOrderUnit]" caption="PendingPurchaseOrderUnit" attribute="1" defaultMemberUniqueName="[PurchaseOrder].[PendingPurchaseOrderUnit].[All]" allUniqueName="[PurchaseOrder].[PendingPurchaseOrderUnit].[All]" dimensionUniqueName="[PurchaseOrder]" displayFolder="" count="0" unbalanced="0" hidden="1"/>
    <cacheHierarchy uniqueName="[PurchaseOrder].[PONetValue]" caption="PONetValue" attribute="1" defaultMemberUniqueName="[PurchaseOrder].[PONetValue].[All]" allUniqueName="[PurchaseOrder].[PONetValue].[All]" dimensionUniqueName="[PurchaseOrder]" displayFolder="" count="0" unbalanced="0" hidden="1"/>
    <cacheHierarchy uniqueName="[PurchaseOrder].[ProductStateID]" caption="ProductStateID" attribute="1" defaultMemberUniqueName="[PurchaseOrder].[ProductStateID].[All]" allUniqueName="[PurchaseOrder].[ProductStateID].[All]" dimensionUniqueName="[PurchaseOrder]" displayFolder="" count="0" unbalanced="0" hidden="1"/>
    <cacheHierarchy uniqueName="[PurchaseOrder].[PurchaseOrderCode]" caption="PurchaseOrderCode" attribute="1" defaultMemberUniqueName="[PurchaseOrder].[PurchaseOrderCode].[All]" allUniqueName="[PurchaseOrder].[PurchaseOrderCode].[All]" dimensionUniqueName="[PurchaseOrder]" displayFolder="" count="0" unbalanced="0" hidden="1"/>
    <cacheHierarchy uniqueName="[PurchaseOrder].[PurchaseOrderUnit]" caption="PurchaseOrderUnit" attribute="1" defaultMemberUniqueName="[PurchaseOrder].[PurchaseOrderUnit].[All]" allUniqueName="[PurchaseOrder].[PurchaseOrderUnit].[All]" dimensionUniqueName="[PurchaseOrder]" displayFolder="" count="0" unbalanced="0" hidden="1"/>
    <cacheHierarchy uniqueName="[PurchaseOrder].[SalesChannelKey]" caption="SalesChannelKey" attribute="1" defaultMemberUniqueName="[PurchaseOrder].[SalesChannelKey].[All]" allUniqueName="[PurchaseOrder].[SalesChannelKey].[All]" dimensionUniqueName="[PurchaseOrder]" displayFolder="" count="0" unbalanced="0" hidden="1"/>
    <cacheHierarchy uniqueName="[PurchaseOrder].[SalesSeasonID]" caption="SalesSeasonID" attribute="1" defaultMemberUniqueName="[PurchaseOrder].[SalesSeasonID].[All]" allUniqueName="[PurchaseOrder].[SalesSeasonID].[All]" dimensionUniqueName="[PurchaseOrder]" displayFolder="" count="0" unbalanced="0" hidden="1"/>
    <cacheHierarchy uniqueName="[PurchaseOrder].[ToptanSasCarpanı]" caption="ToptanSasCarpanı" attribute="1" defaultMemberUniqueName="[PurchaseOrder].[ToptanSasCarpanı].[All]" allUniqueName="[PurchaseOrder].[ToptanSasCarpanı].[All]" dimensionUniqueName="[PurchaseOrder]" displayFolder="" count="0" unbalanced="0" hidden="1"/>
    <cacheHierarchy uniqueName="[PurchaseOrder].[UnitPrice]" caption="UnitPrice" attribute="1" defaultMemberUniqueName="[PurchaseOrder].[UnitPrice].[All]" allUniqueName="[PurchaseOrder].[UnitPrice].[All]" dimensionUniqueName="[PurchaseOrder]" displayFolder="" count="0" unbalanced="0" hidden="1"/>
    <cacheHierarchy uniqueName="[PurchaseOrderGR].[DCSubWarehouseKey]" caption="DCSubWarehouseKey" attribute="1" defaultMemberUniqueName="[PurchaseOrderGR].[DCSubWarehouseKey].[All]" allUniqueName="[PurchaseOrderGR].[DCSubWarehouseKey].[All]" dimensionUniqueName="[PurchaseOrderGR]" displayFolder="" count="0" unbalanced="0" hidden="1"/>
    <cacheHierarchy uniqueName="[PurchaseOrderGR].[DeadLine]" caption="DeadLine" attribute="1" defaultMemberUniqueName="[PurchaseOrderGR].[DeadLine].[All]" allUniqueName="[PurchaseOrderGR].[DeadLine].[All]" dimensionUniqueName="[PurchaseOrderGR]" displayFolder="" count="0" unbalanced="0" hidden="1"/>
    <cacheHierarchy uniqueName="[PurchaseOrderGR].[DWSourceKey]" caption="DWSourceKey" attribute="1" defaultMemberUniqueName="[PurchaseOrderGR].[DWSourceKey].[All]" allUniqueName="[PurchaseOrderGR].[DWSourceKey].[All]" dimensionUniqueName="[PurchaseOrderGR]" displayFolder="" count="0" unbalanced="0" hidden="1"/>
    <cacheHierarchy uniqueName="[PurchaseOrderGR].[EstimatedExcRateLC]" caption="EstimatedExcRateLC" attribute="1" defaultMemberUniqueName="[PurchaseOrderGR].[EstimatedExcRateLC].[All]" allUniqueName="[PurchaseOrderGR].[EstimatedExcRateLC].[All]" dimensionUniqueName="[PurchaseOrderGR]" displayFolder="" count="0" unbalanced="0" hidden="1"/>
    <cacheHierarchy uniqueName="[PurchaseOrderGR].[EtlDate]" caption="EtlDate" attribute="1" defaultMemberUniqueName="[PurchaseOrderGR].[EtlDate].[All]" allUniqueName="[PurchaseOrderGR].[EtlDate].[All]" dimensionUniqueName="[PurchaseOrderGR]" displayFolder="" count="0" unbalanced="0" hidden="1"/>
    <cacheHierarchy uniqueName="[PurchaseOrderGR].[Factor]" caption="Factor" attribute="1" defaultMemberUniqueName="[PurchaseOrderGR].[Factor].[All]" allUniqueName="[PurchaseOrderGR].[Factor].[All]" dimensionUniqueName="[PurchaseOrderGR]" displayFolder="" count="0" unbalanced="0" hidden="1"/>
    <cacheHierarchy uniqueName="[PurchaseOrderGR].[GoodReceiptValueNavlunLC]" caption="GoodReceiptValueNavlunLC" attribute="1" defaultMemberUniqueName="[PurchaseOrderGR].[GoodReceiptValueNavlunLC].[All]" allUniqueName="[PurchaseOrderGR].[GoodReceiptValueNavlunLC].[All]" dimensionUniqueName="[PurchaseOrderGR]" displayFolder="" count="0" unbalanced="0" hidden="1"/>
    <cacheHierarchy uniqueName="[PurchaseOrderGR].[GoodsReceiptDate]" caption="GoodsReceiptDate" attribute="1" defaultMemberUniqueName="[PurchaseOrderGR].[GoodsReceiptDate].[All]" allUniqueName="[PurchaseOrderGR].[GoodsReceiptDate].[All]" dimensionUniqueName="[PurchaseOrderGR]" displayFolder="" count="0" unbalanced="0" hidden="1"/>
    <cacheHierarchy uniqueName="[PurchaseOrderGR].[GoodsReceiptUnit]" caption="GoodsReceiptUnit" attribute="1" defaultMemberUniqueName="[PurchaseOrderGR].[GoodsReceiptUnit].[All]" allUniqueName="[PurchaseOrderGR].[GoodsReceiptUnit].[All]" dimensionUniqueName="[PurchaseOrderGR]" displayFolder="" count="0" unbalanced="0" hidden="1"/>
    <cacheHierarchy uniqueName="[PurchaseOrderGR].[GoodsReceiptValueLC]" caption="GoodsReceiptValueLC" attribute="1" defaultMemberUniqueName="[PurchaseOrderGR].[GoodsReceiptValueLC].[All]" allUniqueName="[PurchaseOrderGR].[GoodsReceiptValueLC].[All]" dimensionUniqueName="[PurchaseOrderGR]" displayFolder="" count="0" unbalanced="0" hidden="1"/>
    <cacheHierarchy uniqueName="[PurchaseOrderGR].[LocalCurrencyCode]" caption="LocalCurrencyCode" attribute="1" defaultMemberUniqueName="[PurchaseOrderGR].[LocalCurrencyCode].[All]" allUniqueName="[PurchaseOrderGR].[LocalCurrencyCode].[All]" dimensionUniqueName="[PurchaseOrderGR]" displayFolder="" count="0" unbalanced="0" hidden="1"/>
    <cacheHierarchy uniqueName="[PurchaseOrderGR].[MaterialKey]" caption="MaterialKey" attribute="1" defaultMemberUniqueName="[PurchaseOrderGR].[MaterialKey].[All]" allUniqueName="[PurchaseOrderGR].[MaterialKey].[All]" dimensionUniqueName="[PurchaseOrderGR]" displayFolder="" count="0" unbalanced="0" hidden="1"/>
    <cacheHierarchy uniqueName="[PurchaseOrderGR].[OrderCurrencyCode]" caption="OrderCurrencyCode" attribute="1" defaultMemberUniqueName="[PurchaseOrderGR].[OrderCurrencyCode].[All]" allUniqueName="[PurchaseOrderGR].[OrderCurrencyCode].[All]" dimensionUniqueName="[PurchaseOrderGR]" displayFolder="" count="0" unbalanced="0" hidden="1"/>
    <cacheHierarchy uniqueName="[PurchaseOrderGR].[OtherMerchantGoodsReceiptUnit]" caption="OtherMerchantGoodsReceiptUnit" attribute="1" defaultMemberUniqueName="[PurchaseOrderGR].[OtherMerchantGoodsReceiptUnit].[All]" allUniqueName="[PurchaseOrderGR].[OtherMerchantGoodsReceiptUnit].[All]" dimensionUniqueName="[PurchaseOrderGR]" displayFolder="" count="0" unbalanced="0" hidden="1"/>
    <cacheHierarchy uniqueName="[PurchaseOrderGR].[OtherMerchantGoodsReceiptValueLC]" caption="OtherMerchantGoodsReceiptValueLC" attribute="1" defaultMemberUniqueName="[PurchaseOrderGR].[OtherMerchantGoodsReceiptValueLC].[All]" allUniqueName="[PurchaseOrderGR].[OtherMerchantGoodsReceiptValueLC].[All]" dimensionUniqueName="[PurchaseOrderGR]" displayFolder="" count="0" unbalanced="0" hidden="1"/>
    <cacheHierarchy uniqueName="[PurchaseOrderGR].[ProductStateID]" caption="ProductStateID" attribute="1" defaultMemberUniqueName="[PurchaseOrderGR].[ProductStateID].[All]" allUniqueName="[PurchaseOrderGR].[ProductStateID].[All]" dimensionUniqueName="[PurchaseOrderGR]" displayFolder="" count="0" unbalanced="0" hidden="1"/>
    <cacheHierarchy uniqueName="[PurchaseOrderGR].[PurchaseOrderCode]" caption="PurchaseOrderCode" attribute="1" defaultMemberUniqueName="[PurchaseOrderGR].[PurchaseOrderCode].[All]" allUniqueName="[PurchaseOrderGR].[PurchaseOrderCode].[All]" dimensionUniqueName="[PurchaseOrderGR]" displayFolder="" count="0" unbalanced="0" hidden="1"/>
    <cacheHierarchy uniqueName="[PurchaseOrderGR].[SalesChannelKey]" caption="SalesChannelKey" attribute="1" defaultMemberUniqueName="[PurchaseOrderGR].[SalesChannelKey].[All]" allUniqueName="[PurchaseOrderGR].[SalesChannelKey].[All]" dimensionUniqueName="[PurchaseOrderGR]" displayFolder="" count="0" unbalanced="0" hidden="1"/>
    <cacheHierarchy uniqueName="[PurchaseOrderGR].[SalesSeasonID]" caption="SalesSeasonID" attribute="1" defaultMemberUniqueName="[PurchaseOrderGR].[SalesSeasonID].[All]" allUniqueName="[PurchaseOrderGR].[SalesSeasonID].[All]" dimensionUniqueName="[PurchaseOrderGR]" displayFolder="" count="0" unbalanced="0" hidden="1"/>
    <cacheHierarchy uniqueName="[PurchaseOrderGR].[ToptanSasCarpanı]" caption="ToptanSasCarpanı" attribute="1" defaultMemberUniqueName="[PurchaseOrderGR].[ToptanSasCarpanı].[All]" allUniqueName="[PurchaseOrderGR].[ToptanSasCarpanı].[All]" dimensionUniqueName="[PurchaseOrderGR]" displayFolder="" count="0" unbalanced="0" hidden="1"/>
    <cacheHierarchy uniqueName="[Sales].[Ly]" caption="Ly" attribute="1" defaultMemberUniqueName="[Sales].[Ly].[All]" allUniqueName="[Sales].[Ly].[All]" dimensionUniqueName="[Sales]" displayFolder="" count="0" unbalanced="0" hidden="1"/>
    <cacheHierarchy uniqueName="[Sales].[LyLFL]" caption="LyLFL" attribute="1" defaultMemberUniqueName="[Sales].[LyLFL].[All]" allUniqueName="[Sales].[LyLFL].[All]" dimensionUniqueName="[Sales]" displayFolder="" count="0" unbalanced="0" hidden="1"/>
    <cacheHierarchy uniqueName="[Sales].[MeasureBlokLY02]" caption="MeasureBlokLY02" attribute="1" defaultMemberUniqueName="[Sales].[MeasureBlokLY02].[All]" allUniqueName="[Sales].[MeasureBlokLY02].[All]" dimensionUniqueName="[Sales]" displayFolder="" count="0" unbalanced="0" hidden="1"/>
    <cacheHierarchy uniqueName="[Sales].[MeasureBlokLYLFL04]" caption="MeasureBlokLYLFL04" attribute="1" defaultMemberUniqueName="[Sales].[MeasureBlokLYLFL04].[All]" allUniqueName="[Sales].[MeasureBlokLYLFL04].[All]" dimensionUniqueName="[Sales]" displayFolder="" count="0" unbalanced="0" hidden="1"/>
    <cacheHierarchy uniqueName="[Sales].[MeasureBlokTY01]" caption="MeasureBlokTY01" attribute="1" defaultMemberUniqueName="[Sales].[MeasureBlokTY01].[All]" allUniqueName="[Sales].[MeasureBlokTY01].[All]" dimensionUniqueName="[Sales]" displayFolder="" count="0" unbalanced="0" hidden="1"/>
    <cacheHierarchy uniqueName="[Sales].[MeasureBlokTYLFL03]" caption="MeasureBlokTYLFL03" attribute="1" defaultMemberUniqueName="[Sales].[MeasureBlokTYLFL03].[All]" allUniqueName="[Sales].[MeasureBlokTYLFL03].[All]" dimensionUniqueName="[Sales]" displayFolder="" count="0" unbalanced="0" hidden="1"/>
    <cacheHierarchy uniqueName="[Sales].[MeasureGroupName]" caption="MeasureGroupName" attribute="1" defaultMemberUniqueName="[Sales].[MeasureGroupName].[All]" allUniqueName="[Sales].[MeasureGroupName].[All]" dimensionUniqueName="[Sales]" displayFolder="" count="0" unbalanced="0" hidden="1"/>
    <cacheHierarchy uniqueName="[Sales].[ProcessTime]" caption="ProcessTime" attribute="1" defaultMemberUniqueName="[Sales].[ProcessTime].[All]" allUniqueName="[Sales].[ProcessTime].[All]" dimensionUniqueName="[Sales]" displayFolder="" count="0" unbalanced="0" hidden="1"/>
    <cacheHierarchy uniqueName="[Sales].[Ty]" caption="Ty" attribute="1" defaultMemberUniqueName="[Sales].[Ty].[All]" allUniqueName="[Sales].[Ty].[All]" dimensionUniqueName="[Sales]" displayFolder="" count="0" unbalanced="0" hidden="1"/>
    <cacheHierarchy uniqueName="[Sales].[TyLfl]" caption="TyLfl" attribute="1" defaultMemberUniqueName="[Sales].[TyLfl].[All]" allUniqueName="[Sales].[TyLfl].[All]" dimensionUniqueName="[Sales]" displayFolder="" count="0" unbalanced="0" hidden="1"/>
    <cacheHierarchy uniqueName="[SalesBudget].[BudgetCost]" caption="BudgetCost" attribute="1" defaultMemberUniqueName="[SalesBudget].[BudgetCost].[All]" allUniqueName="[SalesBudget].[BudgetCost].[All]" dimensionUniqueName="[SalesBudget]" displayFolder="" count="0" unbalanced="0" hidden="1"/>
    <cacheHierarchy uniqueName="[SalesBudget].[BudgetInitialSalesPrice]" caption="BudgetInitialSalesPrice" attribute="1" defaultMemberUniqueName="[SalesBudget].[BudgetInitialSalesPrice].[All]" allUniqueName="[SalesBudget].[BudgetInitialSalesPrice].[All]" dimensionUniqueName="[SalesBudget]" displayFolder="" count="0" unbalanced="0" hidden="1"/>
    <cacheHierarchy uniqueName="[SalesBudget].[BudgetProfitValue]" caption="BudgetProfitValue" attribute="1" defaultMemberUniqueName="[SalesBudget].[BudgetProfitValue].[All]" allUniqueName="[SalesBudget].[BudgetProfitValue].[All]" dimensionUniqueName="[SalesBudget]" displayFolder="" count="0" unbalanced="0" hidden="1"/>
    <cacheHierarchy uniqueName="[SalesBudget].[BudgetUnit]" caption="BudgetUnit" attribute="1" defaultMemberUniqueName="[SalesBudget].[BudgetUnit].[All]" allUniqueName="[SalesBudget].[BudgetUnit].[All]" dimensionUniqueName="[SalesBudget]" displayFolder="" count="0" unbalanced="0" hidden="1"/>
    <cacheHierarchy uniqueName="[SalesBudget].[BudgetValue]" caption="BudgetValue" attribute="1" defaultMemberUniqueName="[SalesBudget].[BudgetValue].[All]" allUniqueName="[SalesBudget].[BudgetValue].[All]" dimensionUniqueName="[SalesBudget]" displayFolder="" count="0" unbalanced="0" hidden="1"/>
    <cacheHierarchy uniqueName="[SalesBudget].[EURExcRate]" caption="EURExcRate" attribute="1" defaultMemberUniqueName="[SalesBudget].[EURExcRate].[All]" allUniqueName="[SalesBudget].[EURExcRate].[All]" dimensionUniqueName="[SalesBudget]" displayFolder="" count="0" unbalanced="0" hidden="1"/>
    <cacheHierarchy uniqueName="[SalesBudget].[LocationCurrencyCode]" caption="LocationCurrencyCode" attribute="1" defaultMemberUniqueName="[SalesBudget].[LocationCurrencyCode].[All]" allUniqueName="[SalesBudget].[LocationCurrencyCode].[All]" dimensionUniqueName="[SalesBudget]" displayFolder="" count="0" unbalanced="0" hidden="1"/>
    <cacheHierarchy uniqueName="[SalesBudget].[LocationKey]" caption="LocationKey" attribute="1" defaultMemberUniqueName="[SalesBudget].[LocationKey].[All]" allUniqueName="[SalesBudget].[LocationKey].[All]" dimensionUniqueName="[SalesBudget]" displayFolder="" count="0" unbalanced="0" hidden="1"/>
    <cacheHierarchy uniqueName="[SalesBudget].[MaterialKey]" caption="MaterialKey" attribute="1" defaultMemberUniqueName="[SalesBudget].[MaterialKey].[All]" allUniqueName="[SalesBudget].[MaterialKey].[All]" dimensionUniqueName="[SalesBudget]" displayFolder="" count="0" unbalanced="0" hidden="1"/>
    <cacheHierarchy uniqueName="[SalesBudget].[SalesChannelKey]" caption="SalesChannelKey" attribute="1" defaultMemberUniqueName="[SalesBudget].[SalesChannelKey].[All]" allUniqueName="[SalesBudget].[SalesChannelKey].[All]" dimensionUniqueName="[SalesBudget]" displayFolder="" count="0" unbalanced="0" hidden="1"/>
    <cacheHierarchy uniqueName="[SalesBudget].[SubDistChannelCode]" caption="SubDistChannelCode" attribute="1" defaultMemberUniqueName="[SalesBudget].[SubDistChannelCode].[All]" allUniqueName="[SalesBudget].[SubDistChannelCode].[All]" dimensionUniqueName="[SalesBudget]" displayFolder="" count="0" unbalanced="0" hidden="1"/>
    <cacheHierarchy uniqueName="[SalesBudget].[SubDistChannelKey]" caption="SubDistChannelKey" attribute="1" defaultMemberUniqueName="[SalesBudget].[SubDistChannelKey].[All]" allUniqueName="[SalesBudget].[SubDistChannelKey].[All]" dimensionUniqueName="[SalesBudget]" displayFolder="" count="0" unbalanced="0" hidden="1"/>
    <cacheHierarchy uniqueName="[SalesBudget].[TRYExcRate]" caption="TRYExcRate" attribute="1" defaultMemberUniqueName="[SalesBudget].[TRYExcRate].[All]" allUniqueName="[SalesBudget].[TRYExcRate].[All]" dimensionUniqueName="[SalesBudget]" displayFolder="" count="0" unbalanced="0" hidden="1"/>
    <cacheHierarchy uniqueName="[SalesBudget].[TYDate]" caption="TYDate" attribute="1" defaultMemberUniqueName="[SalesBudget].[TYDate].[All]" allUniqueName="[SalesBudget].[TYDate].[All]" dimensionUniqueName="[SalesBudget]" displayFolder="" count="0" unbalanced="0" hidden="1"/>
    <cacheHierarchy uniqueName="[SalesBudget].[USDExcRate]" caption="USDExcRate" attribute="1" defaultMemberUniqueName="[SalesBudget].[USDExcRate].[All]" allUniqueName="[SalesBudget].[USDExcRate].[All]" dimensionUniqueName="[SalesBudget]" displayFolder="" count="0" unbalanced="0" hidden="1"/>
    <cacheHierarchy uniqueName="[SalesBudgetLY].[BudgetTypeName]" caption="BudgetTypeName" attribute="1" defaultMemberUniqueName="[SalesBudgetLY].[BudgetTypeName].[All]" allUniqueName="[SalesBudgetLY].[BudgetTypeName].[All]" dimensionUniqueName="[SalesBudgetLY]" displayFolder="" count="0" unbalanced="0" hidden="1"/>
    <cacheHierarchy uniqueName="[SalesBudgetLY].[EURExcRate]" caption="EURExcRate" attribute="1" defaultMemberUniqueName="[SalesBudgetLY].[EURExcRate].[All]" allUniqueName="[SalesBudgetLY].[EURExcRate].[All]" dimensionUniqueName="[SalesBudgetLY]" displayFolder="" count="0" unbalanced="0" hidden="1"/>
    <cacheHierarchy uniqueName="[SalesBudgetLY].[LocationCurrencyCode]" caption="LocationCurrencyCode" attribute="1" defaultMemberUniqueName="[SalesBudgetLY].[LocationCurrencyCode].[All]" allUniqueName="[SalesBudgetLY].[LocationCurrencyCode].[All]" dimensionUniqueName="[SalesBudgetLY]" displayFolder="" count="0" unbalanced="0" hidden="1"/>
    <cacheHierarchy uniqueName="[SalesBudgetLY].[LocationKey]" caption="LocationKey" attribute="1" defaultMemberUniqueName="[SalesBudgetLY].[LocationKey].[All]" allUniqueName="[SalesBudgetLY].[LocationKey].[All]" dimensionUniqueName="[SalesBudgetLY]" displayFolder="" count="0" unbalanced="0" hidden="1"/>
    <cacheHierarchy uniqueName="[SalesBudgetLY].[LYBudgetCost]" caption="LYBudgetCost" attribute="1" defaultMemberUniqueName="[SalesBudgetLY].[LYBudgetCost].[All]" allUniqueName="[SalesBudgetLY].[LYBudgetCost].[All]" dimensionUniqueName="[SalesBudgetLY]" displayFolder="" count="0" unbalanced="0" hidden="1"/>
    <cacheHierarchy uniqueName="[SalesBudgetLY].[LYBudgetInitialSalesPrice]" caption="LYBudgetInitialSalesPrice" attribute="1" defaultMemberUniqueName="[SalesBudgetLY].[LYBudgetInitialSalesPrice].[All]" allUniqueName="[SalesBudgetLY].[LYBudgetInitialSalesPrice].[All]" dimensionUniqueName="[SalesBudgetLY]" displayFolder="" count="0" unbalanced="0" hidden="1"/>
    <cacheHierarchy uniqueName="[SalesBudgetLY].[LYBudgetProfitValue]" caption="LYBudgetProfitValue" attribute="1" defaultMemberUniqueName="[SalesBudgetLY].[LYBudgetProfitValue].[All]" allUniqueName="[SalesBudgetLY].[LYBudgetProfitValue].[All]" dimensionUniqueName="[SalesBudgetLY]" displayFolder="" count="0" unbalanced="0" hidden="1"/>
    <cacheHierarchy uniqueName="[SalesBudgetLY].[LYBudgetUnit]" caption="LYBudgetUnit" attribute="1" defaultMemberUniqueName="[SalesBudgetLY].[LYBudgetUnit].[All]" allUniqueName="[SalesBudgetLY].[LYBudgetUnit].[All]" dimensionUniqueName="[SalesBudgetLY]" displayFolder="" count="0" unbalanced="0" hidden="1"/>
    <cacheHierarchy uniqueName="[SalesBudgetLY].[LYBudgetValue]" caption="LYBudgetValue" attribute="1" defaultMemberUniqueName="[SalesBudgetLY].[LYBudgetValue].[All]" allUniqueName="[SalesBudgetLY].[LYBudgetValue].[All]" dimensionUniqueName="[SalesBudgetLY]" displayFolder="" count="0" unbalanced="0" hidden="1"/>
    <cacheHierarchy uniqueName="[SalesBudgetLY].[MaterialKey]" caption="MaterialKey" attribute="1" defaultMemberUniqueName="[SalesBudgetLY].[MaterialKey].[All]" allUniqueName="[SalesBudgetLY].[MaterialKey].[All]" dimensionUniqueName="[SalesBudgetLY]" displayFolder="" count="0" unbalanced="0" hidden="1"/>
    <cacheHierarchy uniqueName="[SalesBudgetLY].[SalesChannelKey]" caption="SalesChannelKey" attribute="1" defaultMemberUniqueName="[SalesBudgetLY].[SalesChannelKey].[All]" allUniqueName="[SalesBudgetLY].[SalesChannelKey].[All]" dimensionUniqueName="[SalesBudgetLY]" displayFolder="" count="0" unbalanced="0" hidden="1"/>
    <cacheHierarchy uniqueName="[SalesBudgetLY].[SubDistChannelCode]" caption="SubDistChannelCode" attribute="1" defaultMemberUniqueName="[SalesBudgetLY].[SubDistChannelCode].[All]" allUniqueName="[SalesBudgetLY].[SubDistChannelCode].[All]" dimensionUniqueName="[SalesBudgetLY]" displayFolder="" count="0" unbalanced="0" hidden="1"/>
    <cacheHierarchy uniqueName="[SalesBudgetLY].[SubDistChannelKey]" caption="SubDistChannelKey" attribute="1" defaultMemberUniqueName="[SalesBudgetLY].[SubDistChannelKey].[All]" allUniqueName="[SalesBudgetLY].[SubDistChannelKey].[All]" dimensionUniqueName="[SalesBudgetLY]" displayFolder="" count="0" unbalanced="0" hidden="1"/>
    <cacheHierarchy uniqueName="[SalesBudgetLY].[TRYExcRate]" caption="TRYExcRate" attribute="1" defaultMemberUniqueName="[SalesBudgetLY].[TRYExcRate].[All]" allUniqueName="[SalesBudgetLY].[TRYExcRate].[All]" dimensionUniqueName="[SalesBudgetLY]" displayFolder="" count="0" unbalanced="0" hidden="1"/>
    <cacheHierarchy uniqueName="[SalesBudgetLY].[TYDate]" caption="TYDate" attribute="1" defaultMemberUniqueName="[SalesBudgetLY].[TYDate].[All]" allUniqueName="[SalesBudgetLY].[TYDate].[All]" dimensionUniqueName="[SalesBudgetLY]" displayFolder="" count="0" unbalanced="0" hidden="1"/>
    <cacheHierarchy uniqueName="[SalesBudgetLY].[USDExcRate]" caption="USDExcRate" attribute="1" defaultMemberUniqueName="[SalesBudgetLY].[USDExcRate].[All]" allUniqueName="[SalesBudgetLY].[USDExcRate].[All]" dimensionUniqueName="[SalesBudgetLY]" displayFolder="" count="0" unbalanced="0" hidden="1"/>
    <cacheHierarchy uniqueName="[SalesChannel].[CountryRank]" caption="CountryRank" attribute="1" defaultMemberUniqueName="[SalesChannel].[CountryRank].[All]" allUniqueName="[SalesChannel].[CountryRank].[All]" dimensionUniqueName="[SalesChannel]" displayFolder="" count="0" unbalanced="0" hidden="1"/>
    <cacheHierarchy uniqueName="[SalesChannel].[SalesOrgTypeRank]" caption="SalesOrgTypeRank" attribute="1" defaultMemberUniqueName="[SalesChannel].[SalesOrgTypeRank].[All]" allUniqueName="[SalesChannel].[SalesOrgTypeRank].[All]" dimensionUniqueName="[SalesChannel]" displayFolder="" count="0" unbalanced="0" hidden="1"/>
    <cacheHierarchy uniqueName="[SalesLY].[CurrentSalesPriceID]" caption="CurrentSalesPriceID" attribute="1" defaultMemberUniqueName="[SalesLY].[CurrentSalesPriceID].[All]" allUniqueName="[SalesLY].[CurrentSalesPriceID].[All]" dimensionUniqueName="[SalesLY]" displayFolder="" count="0" unbalanced="0" hidden="1"/>
    <cacheHierarchy uniqueName="[SalesLY].[InitialSalesPriceID]" caption="InitialSalesPriceID" attribute="1" defaultMemberUniqueName="[SalesLY].[InitialSalesPriceID].[All]" allUniqueName="[SalesLY].[InitialSalesPriceID].[All]" dimensionUniqueName="[SalesLY]" displayFolder="" count="0" unbalanced="0" hidden="1"/>
    <cacheHierarchy uniqueName="[SalesLY].[LFLFactor]" caption="LFLFactor" attribute="1" defaultMemberUniqueName="[SalesLY].[LFLFactor].[All]" allUniqueName="[SalesLY].[LFLFactor].[All]" dimensionUniqueName="[SalesLY]" displayFolder="" count="0" unbalanced="0" hidden="1"/>
    <cacheHierarchy uniqueName="[SalesLY].[LocationKey]" caption="LocationKey" attribute="1" defaultMemberUniqueName="[SalesLY].[LocationKey].[All]" allUniqueName="[SalesLY].[LocationKey].[All]" dimensionUniqueName="[SalesLY]" displayFolder="" count="0" unbalanced="0" hidden="1"/>
    <cacheHierarchy uniqueName="[SalesLY].[LYSalesCostLC]" caption="LYSalesCostLC" attribute="1" defaultMemberUniqueName="[SalesLY].[LYSalesCostLC].[All]" allUniqueName="[SalesLY].[LYSalesCostLC].[All]" dimensionUniqueName="[SalesLY]" displayFolder="" count="0" unbalanced="0" hidden="1"/>
    <cacheHierarchy uniqueName="[SalesLY].[LYSalesCostTRY]" caption="LYSalesCostTRY" attribute="1" defaultMemberUniqueName="[SalesLY].[LYSalesCostTRY].[All]" allUniqueName="[SalesLY].[LYSalesCostTRY].[All]" dimensionUniqueName="[SalesLY]" displayFolder="" count="0" unbalanced="0" hidden="1"/>
    <cacheHierarchy uniqueName="[SalesLY].[LYSalesCostUSD]" caption="LYSalesCostUSD" attribute="1" defaultMemberUniqueName="[SalesLY].[LYSalesCostUSD].[All]" allUniqueName="[SalesLY].[LYSalesCostUSD].[All]" dimensionUniqueName="[SalesLY]" displayFolder="" count="0" unbalanced="0" hidden="1"/>
    <cacheHierarchy uniqueName="[SalesLY].[LYSalesCostVATLC]" caption="LYSalesCostVATLC" attribute="1" defaultMemberUniqueName="[SalesLY].[LYSalesCostVATLC].[All]" allUniqueName="[SalesLY].[LYSalesCostVATLC].[All]" dimensionUniqueName="[SalesLY]" displayFolder="" count="0" unbalanced="0" hidden="1"/>
    <cacheHierarchy uniqueName="[SalesLY].[LYSalesCostVATTRY]" caption="LYSalesCostVATTRY" attribute="1" defaultMemberUniqueName="[SalesLY].[LYSalesCostVATTRY].[All]" allUniqueName="[SalesLY].[LYSalesCostVATTRY].[All]" dimensionUniqueName="[SalesLY]" displayFolder="" count="0" unbalanced="0" hidden="1"/>
    <cacheHierarchy uniqueName="[SalesLY].[LYSalesCostVATUSD]" caption="LYSalesCostVATUSD" attribute="1" defaultMemberUniqueName="[SalesLY].[LYSalesCostVATUSD].[All]" allUniqueName="[SalesLY].[LYSalesCostVATUSD].[All]" dimensionUniqueName="[SalesLY]" displayFolder="" count="0" unbalanced="0" hidden="1"/>
    <cacheHierarchy uniqueName="[SalesLY].[LYSalesDiscountValueLC]" caption="LYSalesDiscountValueLC" attribute="1" defaultMemberUniqueName="[SalesLY].[LYSalesDiscountValueLC].[All]" allUniqueName="[SalesLY].[LYSalesDiscountValueLC].[All]" dimensionUniqueName="[SalesLY]" displayFolder="" count="0" unbalanced="0" hidden="1"/>
    <cacheHierarchy uniqueName="[SalesLY].[LYSalesDiscountValueTRY]" caption="LYSalesDiscountValueTRY" attribute="1" defaultMemberUniqueName="[SalesLY].[LYSalesDiscountValueTRY].[All]" allUniqueName="[SalesLY].[LYSalesDiscountValueTRY].[All]" dimensionUniqueName="[SalesLY]" displayFolder="" count="0" unbalanced="0" hidden="1"/>
    <cacheHierarchy uniqueName="[SalesLY].[LYSalesDiscountValueUSD]" caption="LYSalesDiscountValueUSD" attribute="1" defaultMemberUniqueName="[SalesLY].[LYSalesDiscountValueUSD].[All]" allUniqueName="[SalesLY].[LYSalesDiscountValueUSD].[All]" dimensionUniqueName="[SalesLY]" displayFolder="" count="0" unbalanced="0" hidden="1"/>
    <cacheHierarchy uniqueName="[SalesLY].[LYSalesDiscountValueVATLC]" caption="LYSalesDiscountValueVATLC" attribute="1" defaultMemberUniqueName="[SalesLY].[LYSalesDiscountValueVATLC].[All]" allUniqueName="[SalesLY].[LYSalesDiscountValueVATLC].[All]" dimensionUniqueName="[SalesLY]" displayFolder="" count="0" unbalanced="0" hidden="1"/>
    <cacheHierarchy uniqueName="[SalesLY].[LYSalesDiscountValueVATTRY]" caption="LYSalesDiscountValueVATTRY" attribute="1" defaultMemberUniqueName="[SalesLY].[LYSalesDiscountValueVATTRY].[All]" allUniqueName="[SalesLY].[LYSalesDiscountValueVATTRY].[All]" dimensionUniqueName="[SalesLY]" displayFolder="" count="0" unbalanced="0" hidden="1"/>
    <cacheHierarchy uniqueName="[SalesLY].[LYSalesDiscountValueVATUSD]" caption="LYSalesDiscountValueVATUSD" attribute="1" defaultMemberUniqueName="[SalesLY].[LYSalesDiscountValueVATUSD].[All]" allUniqueName="[SalesLY].[LYSalesDiscountValueVATUSD].[All]" dimensionUniqueName="[SalesLY]" displayFolder="" count="0" unbalanced="0" hidden="1"/>
    <cacheHierarchy uniqueName="[SalesLY].[LYSalesGrossProfitLC]" caption="LYSalesGrossProfitLC" attribute="1" defaultMemberUniqueName="[SalesLY].[LYSalesGrossProfitLC].[All]" allUniqueName="[SalesLY].[LYSalesGrossProfitLC].[All]" dimensionUniqueName="[SalesLY]" displayFolder="" count="0" unbalanced="0" hidden="1"/>
    <cacheHierarchy uniqueName="[SalesLY].[LYSalesGrossProfitTRY]" caption="LYSalesGrossProfitTRY" attribute="1" defaultMemberUniqueName="[SalesLY].[LYSalesGrossProfitTRY].[All]" allUniqueName="[SalesLY].[LYSalesGrossProfitTRY].[All]" dimensionUniqueName="[SalesLY]" displayFolder="" count="0" unbalanced="0" hidden="1"/>
    <cacheHierarchy uniqueName="[SalesLY].[LYSalesGrossProfitUSD]" caption="LYSalesGrossProfitUSD" attribute="1" defaultMemberUniqueName="[SalesLY].[LYSalesGrossProfitUSD].[All]" allUniqueName="[SalesLY].[LYSalesGrossProfitUSD].[All]" dimensionUniqueName="[SalesLY]" displayFolder="" count="0" unbalanced="0" hidden="1"/>
    <cacheHierarchy uniqueName="[SalesLY].[LYSalesGrossProfitVATLC]" caption="LYSalesGrossProfitVATLC" attribute="1" defaultMemberUniqueName="[SalesLY].[LYSalesGrossProfitVATLC].[All]" allUniqueName="[SalesLY].[LYSalesGrossProfitVATLC].[All]" dimensionUniqueName="[SalesLY]" displayFolder="" count="0" unbalanced="0" hidden="1"/>
    <cacheHierarchy uniqueName="[SalesLY].[LYSalesGrossProfitVATTRY]" caption="LYSalesGrossProfitVATTRY" attribute="1" defaultMemberUniqueName="[SalesLY].[LYSalesGrossProfitVATTRY].[All]" allUniqueName="[SalesLY].[LYSalesGrossProfitVATTRY].[All]" dimensionUniqueName="[SalesLY]" displayFolder="" count="0" unbalanced="0" hidden="1"/>
    <cacheHierarchy uniqueName="[SalesLY].[LYSalesGrossProfitVATUSD]" caption="LYSalesGrossProfitVATUSD" attribute="1" defaultMemberUniqueName="[SalesLY].[LYSalesGrossProfitVATUSD].[All]" allUniqueName="[SalesLY].[LYSalesGrossProfitVATUSD].[All]" dimensionUniqueName="[SalesLY]" displayFolder="" count="0" unbalanced="0" hidden="1"/>
    <cacheHierarchy uniqueName="[SalesLY].[LYSalesUnit]" caption="LYSalesUnit" attribute="1" defaultMemberUniqueName="[SalesLY].[LYSalesUnit].[All]" allUniqueName="[SalesLY].[LYSalesUnit].[All]" dimensionUniqueName="[SalesLY]" displayFolder="" count="0" unbalanced="0" hidden="1"/>
    <cacheHierarchy uniqueName="[SalesLY].[LYSalesValueCSPLC]" caption="LYSalesValueCSPLC" attribute="1" defaultMemberUniqueName="[SalesLY].[LYSalesValueCSPLC].[All]" allUniqueName="[SalesLY].[LYSalesValueCSPLC].[All]" dimensionUniqueName="[SalesLY]" displayFolder="" count="0" unbalanced="0" hidden="1"/>
    <cacheHierarchy uniqueName="[SalesLY].[LYSalesValueCSPTRY]" caption="LYSalesValueCSPTRY" attribute="1" defaultMemberUniqueName="[SalesLY].[LYSalesValueCSPTRY].[All]" allUniqueName="[SalesLY].[LYSalesValueCSPTRY].[All]" dimensionUniqueName="[SalesLY]" displayFolder="" count="0" unbalanced="0" hidden="1"/>
    <cacheHierarchy uniqueName="[SalesLY].[LYSalesValueCSPUSD]" caption="LYSalesValueCSPUSD" attribute="1" defaultMemberUniqueName="[SalesLY].[LYSalesValueCSPUSD].[All]" allUniqueName="[SalesLY].[LYSalesValueCSPUSD].[All]" dimensionUniqueName="[SalesLY]" displayFolder="" count="0" unbalanced="0" hidden="1"/>
    <cacheHierarchy uniqueName="[SalesLY].[LYSalesValueISPLC]" caption="LYSalesValueISPLC" attribute="1" defaultMemberUniqueName="[SalesLY].[LYSalesValueISPLC].[All]" allUniqueName="[SalesLY].[LYSalesValueISPLC].[All]" dimensionUniqueName="[SalesLY]" displayFolder="" count="0" unbalanced="0" hidden="1"/>
    <cacheHierarchy uniqueName="[SalesLY].[LYSalesValueISPTRY]" caption="LYSalesValueISPTRY" attribute="1" defaultMemberUniqueName="[SalesLY].[LYSalesValueISPTRY].[All]" allUniqueName="[SalesLY].[LYSalesValueISPTRY].[All]" dimensionUniqueName="[SalesLY]" displayFolder="" count="0" unbalanced="0" hidden="1"/>
    <cacheHierarchy uniqueName="[SalesLY].[LYSalesValueISPUSD]" caption="LYSalesValueISPUSD" attribute="1" defaultMemberUniqueName="[SalesLY].[LYSalesValueISPUSD].[All]" allUniqueName="[SalesLY].[LYSalesValueISPUSD].[All]" dimensionUniqueName="[SalesLY]" displayFolder="" count="0" unbalanced="0" hidden="1"/>
    <cacheHierarchy uniqueName="[SalesLY].[LYSalesValueLC]" caption="LYSalesValueLC" attribute="1" defaultMemberUniqueName="[SalesLY].[LYSalesValueLC].[All]" allUniqueName="[SalesLY].[LYSalesValueLC].[All]" dimensionUniqueName="[SalesLY]" displayFolder="" count="0" unbalanced="0" hidden="1"/>
    <cacheHierarchy uniqueName="[SalesLY].[LYSalesValueTRY]" caption="LYSalesValueTRY" attribute="1" defaultMemberUniqueName="[SalesLY].[LYSalesValueTRY].[All]" allUniqueName="[SalesLY].[LYSalesValueTRY].[All]" dimensionUniqueName="[SalesLY]" displayFolder="" count="0" unbalanced="0" hidden="1"/>
    <cacheHierarchy uniqueName="[SalesLY].[LYSalesValueUSD]" caption="LYSalesValueUSD" attribute="1" defaultMemberUniqueName="[SalesLY].[LYSalesValueUSD].[All]" allUniqueName="[SalesLY].[LYSalesValueUSD].[All]" dimensionUniqueName="[SalesLY]" displayFolder="" count="0" unbalanced="0" hidden="1"/>
    <cacheHierarchy uniqueName="[SalesLY].[LYSalesValueVATCSPLC]" caption="LYSalesValueVATCSPLC" attribute="1" defaultMemberUniqueName="[SalesLY].[LYSalesValueVATCSPLC].[All]" allUniqueName="[SalesLY].[LYSalesValueVATCSPLC].[All]" dimensionUniqueName="[SalesLY]" displayFolder="" count="0" unbalanced="0" hidden="1"/>
    <cacheHierarchy uniqueName="[SalesLY].[LYSalesValueVATCSPTRY]" caption="LYSalesValueVATCSPTRY" attribute="1" defaultMemberUniqueName="[SalesLY].[LYSalesValueVATCSPTRY].[All]" allUniqueName="[SalesLY].[LYSalesValueVATCSPTRY].[All]" dimensionUniqueName="[SalesLY]" displayFolder="" count="0" unbalanced="0" hidden="1"/>
    <cacheHierarchy uniqueName="[SalesLY].[LYSalesValueVATCSPUSD]" caption="LYSalesValueVATCSPUSD" attribute="1" defaultMemberUniqueName="[SalesLY].[LYSalesValueVATCSPUSD].[All]" allUniqueName="[SalesLY].[LYSalesValueVATCSPUSD].[All]" dimensionUniqueName="[SalesLY]" displayFolder="" count="0" unbalanced="0" hidden="1"/>
    <cacheHierarchy uniqueName="[SalesLY].[LYSalesValueVATISPLC]" caption="LYSalesValueVATISPLC" attribute="1" defaultMemberUniqueName="[SalesLY].[LYSalesValueVATISPLC].[All]" allUniqueName="[SalesLY].[LYSalesValueVATISPLC].[All]" dimensionUniqueName="[SalesLY]" displayFolder="" count="0" unbalanced="0" hidden="1"/>
    <cacheHierarchy uniqueName="[SalesLY].[LYSalesValueVATISPTRY]" caption="LYSalesValueVATISPTRY" attribute="1" defaultMemberUniqueName="[SalesLY].[LYSalesValueVATISPTRY].[All]" allUniqueName="[SalesLY].[LYSalesValueVATISPTRY].[All]" dimensionUniqueName="[SalesLY]" displayFolder="" count="0" unbalanced="0" hidden="1"/>
    <cacheHierarchy uniqueName="[SalesLY].[LYSalesValueVATISPUSD]" caption="LYSalesValueVATISPUSD" attribute="1" defaultMemberUniqueName="[SalesLY].[LYSalesValueVATISPUSD].[All]" allUniqueName="[SalesLY].[LYSalesValueVATISPUSD].[All]" dimensionUniqueName="[SalesLY]" displayFolder="" count="0" unbalanced="0" hidden="1"/>
    <cacheHierarchy uniqueName="[SalesLY].[LYSalesValueVATLC]" caption="LYSalesValueVATLC" attribute="1" defaultMemberUniqueName="[SalesLY].[LYSalesValueVATLC].[All]" allUniqueName="[SalesLY].[LYSalesValueVATLC].[All]" dimensionUniqueName="[SalesLY]" displayFolder="" count="0" unbalanced="0" hidden="1"/>
    <cacheHierarchy uniqueName="[SalesLY].[LYSalesValueVATTRY]" caption="LYSalesValueVATTRY" attribute="1" defaultMemberUniqueName="[SalesLY].[LYSalesValueVATTRY].[All]" allUniqueName="[SalesLY].[LYSalesValueVATTRY].[All]" dimensionUniqueName="[SalesLY]" displayFolder="" count="0" unbalanced="0" hidden="1"/>
    <cacheHierarchy uniqueName="[SalesLY].[LYSalesValueVATUSD]" caption="LYSalesValueVATUSD" attribute="1" defaultMemberUniqueName="[SalesLY].[LYSalesValueVATUSD].[All]" allUniqueName="[SalesLY].[LYSalesValueVATUSD].[All]" dimensionUniqueName="[SalesLY]" displayFolder="" count="0" unbalanced="0" hidden="1"/>
    <cacheHierarchy uniqueName="[SalesLY].[MaterialKey]" caption="MaterialKey" attribute="1" defaultMemberUniqueName="[SalesLY].[MaterialKey].[All]" allUniqueName="[SalesLY].[MaterialKey].[All]" dimensionUniqueName="[SalesLY]" displayFolder="" count="0" unbalanced="0" hidden="1"/>
    <cacheHierarchy uniqueName="[SalesLY].[OutletID]" caption="OutletID" attribute="1" defaultMemberUniqueName="[SalesLY].[OutletID].[All]" allUniqueName="[SalesLY].[OutletID].[All]" dimensionUniqueName="[SalesLY]" displayFolder="" count="0" unbalanced="0" hidden="1"/>
    <cacheHierarchy uniqueName="[SalesLY].[SalesChannelKey]" caption="SalesChannelKey" attribute="1" defaultMemberUniqueName="[SalesLY].[SalesChannelKey].[All]" allUniqueName="[SalesLY].[SalesChannelKey].[All]" dimensionUniqueName="[SalesLY]" displayFolder="" count="0" unbalanced="0" hidden="1"/>
    <cacheHierarchy uniqueName="[SalesLY].[SalesHour]" caption="SalesHour" attribute="1" defaultMemberUniqueName="[SalesLY].[SalesHour].[All]" allUniqueName="[SalesLY].[SalesHour].[All]" dimensionUniqueName="[SalesLY]" displayFolder="" count="0" unbalanced="0" hidden="1"/>
    <cacheHierarchy uniqueName="[SalesLY].[SalesInvoiceItem]" caption="SalesInvoiceItem" attribute="1" defaultMemberUniqueName="[SalesLY].[SalesInvoiceItem].[All]" allUniqueName="[SalesLY].[SalesInvoiceItem].[All]" dimensionUniqueName="[SalesLY]" displayFolder="" count="0" unbalanced="0" hidden="1"/>
    <cacheHierarchy uniqueName="[SalesLY].[SalesInvoiceNumber]" caption="SalesInvoiceNumber" attribute="1" defaultMemberUniqueName="[SalesLY].[SalesInvoiceNumber].[All]" allUniqueName="[SalesLY].[SalesInvoiceNumber].[All]" dimensionUniqueName="[SalesLY]" displayFolder="" count="0" unbalanced="0" hidden="1"/>
    <cacheHierarchy uniqueName="[SalesLY].[SalesSeasonID]" caption="SalesSeasonID" attribute="1" defaultMemberUniqueName="[SalesLY].[SalesSeasonID].[All]" allUniqueName="[SalesLY].[SalesSeasonID].[All]" dimensionUniqueName="[SalesLY]" displayFolder="" count="0" unbalanced="0" hidden="1"/>
    <cacheHierarchy uniqueName="[SalesLY].[SalesType]" caption="SalesType" attribute="1" defaultMemberUniqueName="[SalesLY].[SalesType].[All]" allUniqueName="[SalesLY].[SalesType].[All]" dimensionUniqueName="[SalesLY]" displayFolder="" count="0" unbalanced="0" hidden="1"/>
    <cacheHierarchy uniqueName="[SalesLY].[SalesUOM]" caption="SalesUOM" attribute="1" defaultMemberUniqueName="[SalesLY].[SalesUOM].[All]" allUniqueName="[SalesLY].[SalesUOM].[All]" dimensionUniqueName="[SalesLY]" displayFolder="" count="0" unbalanced="0" hidden="1"/>
    <cacheHierarchy uniqueName="[SalesLY].[SubDistChannelKey]" caption="SubDistChannelKey" attribute="1" defaultMemberUniqueName="[SalesLY].[SubDistChannelKey].[All]" allUniqueName="[SalesLY].[SubDistChannelKey].[All]" dimensionUniqueName="[SalesLY]" displayFolder="" count="0" unbalanced="0" hidden="1"/>
    <cacheHierarchy uniqueName="[SalesLY].[TYDate]" caption="TYDate" attribute="1" defaultMemberUniqueName="[SalesLY].[TYDate].[All]" allUniqueName="[SalesLY].[TYDate].[All]" dimensionUniqueName="[SalesLY]" displayFolder="" count="0" unbalanced="0" hidden="1"/>
    <cacheHierarchy uniqueName="[SalesTY].[CurrentSalesPriceID]" caption="CurrentSalesPriceID" attribute="1" defaultMemberUniqueName="[SalesTY].[CurrentSalesPriceID].[All]" allUniqueName="[SalesTY].[CurrentSalesPriceID].[All]" dimensionUniqueName="[SalesTY]" displayFolder="" count="0" unbalanced="0" hidden="1"/>
    <cacheHierarchy uniqueName="[SalesTY].[CustomerCode]" caption="CustomerCode" attribute="1" defaultMemberUniqueName="[SalesTY].[CustomerCode].[All]" allUniqueName="[SalesTY].[CustomerCode].[All]" dimensionUniqueName="[SalesTY]" displayFolder="" count="0" unbalanced="0" hidden="1"/>
    <cacheHierarchy uniqueName="[SalesTY].[InitialSalesPriceID]" caption="InitialSalesPriceID" attribute="1" defaultMemberUniqueName="[SalesTY].[InitialSalesPriceID].[All]" allUniqueName="[SalesTY].[InitialSalesPriceID].[All]" dimensionUniqueName="[SalesTY]" displayFolder="" count="0" unbalanced="0" hidden="1"/>
    <cacheHierarchy uniqueName="[SalesTY].[LFLFactor]" caption="LFLFactor" attribute="1" defaultMemberUniqueName="[SalesTY].[LFLFactor].[All]" allUniqueName="[SalesTY].[LFLFactor].[All]" dimensionUniqueName="[SalesTY]" displayFolder="" count="0" unbalanced="0" hidden="1"/>
    <cacheHierarchy uniqueName="[SalesTY].[LocationKey]" caption="LocationKey" attribute="1" defaultMemberUniqueName="[SalesTY].[LocationKey].[All]" allUniqueName="[SalesTY].[LocationKey].[All]" dimensionUniqueName="[SalesTY]" displayFolder="" count="0" unbalanced="0" hidden="1"/>
    <cacheHierarchy uniqueName="[SalesTY].[MaterialKey]" caption="MaterialKey" attribute="1" defaultMemberUniqueName="[SalesTY].[MaterialKey].[All]" allUniqueName="[SalesTY].[MaterialKey].[All]" dimensionUniqueName="[SalesTY]" displayFolder="" count="0" unbalanced="0" hidden="1"/>
    <cacheHierarchy uniqueName="[SalesTY].[OutletID]" caption="OutletID" attribute="1" defaultMemberUniqueName="[SalesTY].[OutletID].[All]" allUniqueName="[SalesTY].[OutletID].[All]" dimensionUniqueName="[SalesTY]" displayFolder="" count="0" unbalanced="0" hidden="1"/>
    <cacheHierarchy uniqueName="[SalesTY].[SalesChannelKey]" caption="SalesChannelKey" attribute="1" defaultMemberUniqueName="[SalesTY].[SalesChannelKey].[All]" allUniqueName="[SalesTY].[SalesChannelKey].[All]" dimensionUniqueName="[SalesTY]" displayFolder="" count="0" unbalanced="0" hidden="1"/>
    <cacheHierarchy uniqueName="[SalesTY].[SalesDate]" caption="SalesDate" attribute="1" defaultMemberUniqueName="[SalesTY].[SalesDate].[All]" allUniqueName="[SalesTY].[SalesDate].[All]" dimensionUniqueName="[SalesTY]" displayFolder="" count="0" unbalanced="0" hidden="1"/>
    <cacheHierarchy uniqueName="[SalesTY].[SalesHour]" caption="SalesHour" attribute="1" defaultMemberUniqueName="[SalesTY].[SalesHour].[All]" allUniqueName="[SalesTY].[SalesHour].[All]" dimensionUniqueName="[SalesTY]" displayFolder="" count="0" unbalanced="0" hidden="1"/>
    <cacheHierarchy uniqueName="[SalesTY].[SalesInvoiceItem]" caption="SalesInvoiceItem" attribute="1" defaultMemberUniqueName="[SalesTY].[SalesInvoiceItem].[All]" allUniqueName="[SalesTY].[SalesInvoiceItem].[All]" dimensionUniqueName="[SalesTY]" displayFolder="" count="0" unbalanced="0" hidden="1"/>
    <cacheHierarchy uniqueName="[SalesTY].[SalesInvoiceNumber]" caption="SalesInvoiceNumber" attribute="1" defaultMemberUniqueName="[SalesTY].[SalesInvoiceNumber].[All]" allUniqueName="[SalesTY].[SalesInvoiceNumber].[All]" dimensionUniqueName="[SalesTY]" displayFolder="" count="0" unbalanced="0" hidden="1"/>
    <cacheHierarchy uniqueName="[SalesTY].[SalesSeasonID]" caption="SalesSeasonID" attribute="1" defaultMemberUniqueName="[SalesTY].[SalesSeasonID].[All]" allUniqueName="[SalesTY].[SalesSeasonID].[All]" dimensionUniqueName="[SalesTY]" displayFolder="" count="0" unbalanced="0" hidden="1"/>
    <cacheHierarchy uniqueName="[SalesTY].[SalesType]" caption="SalesType" attribute="1" defaultMemberUniqueName="[SalesTY].[SalesType].[All]" allUniqueName="[SalesTY].[SalesType].[All]" dimensionUniqueName="[SalesTY]" displayFolder="" count="0" unbalanced="0" hidden="1"/>
    <cacheHierarchy uniqueName="[SalesTY].[SalesUOM]" caption="SalesUOM" attribute="1" defaultMemberUniqueName="[SalesTY].[SalesUOM].[All]" allUniqueName="[SalesTY].[SalesUOM].[All]" dimensionUniqueName="[SalesTY]" displayFolder="" count="0" unbalanced="0" hidden="1"/>
    <cacheHierarchy uniqueName="[SalesTY].[SubDistChannelKey]" caption="SubDistChannelKey" attribute="1" defaultMemberUniqueName="[SalesTY].[SubDistChannelKey].[All]" allUniqueName="[SalesTY].[SubDistChannelKey].[All]" dimensionUniqueName="[SalesTY]" displayFolder="" count="0" unbalanced="0" hidden="1"/>
    <cacheHierarchy uniqueName="[SalesTY].[TYSalesCostLC]" caption="TYSalesCostLC" attribute="1" defaultMemberUniqueName="[SalesTY].[TYSalesCostLC].[All]" allUniqueName="[SalesTY].[TYSalesCostLC].[All]" dimensionUniqueName="[SalesTY]" displayFolder="" count="0" unbalanced="0" hidden="1"/>
    <cacheHierarchy uniqueName="[SalesTY].[TYSalesCostLC_Orj]" caption="TYSalesCostLC_Orj" attribute="1" defaultMemberUniqueName="[SalesTY].[TYSalesCostLC_Orj].[All]" allUniqueName="[SalesTY].[TYSalesCostLC_Orj].[All]" dimensionUniqueName="[SalesTY]" displayFolder="" count="0" unbalanced="0" hidden="1"/>
    <cacheHierarchy uniqueName="[SalesTY].[TYSalesCostTRY]" caption="TYSalesCostTRY" attribute="1" defaultMemberUniqueName="[SalesTY].[TYSalesCostTRY].[All]" allUniqueName="[SalesTY].[TYSalesCostTRY].[All]" dimensionUniqueName="[SalesTY]" displayFolder="" count="0" unbalanced="0" hidden="1"/>
    <cacheHierarchy uniqueName="[SalesTY].[TYSalesCostUSD]" caption="TYSalesCostUSD" attribute="1" defaultMemberUniqueName="[SalesTY].[TYSalesCostUSD].[All]" allUniqueName="[SalesTY].[TYSalesCostUSD].[All]" dimensionUniqueName="[SalesTY]" displayFolder="" count="0" unbalanced="0" hidden="1"/>
    <cacheHierarchy uniqueName="[SalesTY].[TYSalesCostVATLC]" caption="TYSalesCostVATLC" attribute="1" defaultMemberUniqueName="[SalesTY].[TYSalesCostVATLC].[All]" allUniqueName="[SalesTY].[TYSalesCostVATLC].[All]" dimensionUniqueName="[SalesTY]" displayFolder="" count="0" unbalanced="0" hidden="1"/>
    <cacheHierarchy uniqueName="[SalesTY].[TYSalesCostVATTRY]" caption="TYSalesCostVATTRY" attribute="1" defaultMemberUniqueName="[SalesTY].[TYSalesCostVATTRY].[All]" allUniqueName="[SalesTY].[TYSalesCostVATTRY].[All]" dimensionUniqueName="[SalesTY]" displayFolder="" count="0" unbalanced="0" hidden="1"/>
    <cacheHierarchy uniqueName="[SalesTY].[TYSalesCostVATUSD]" caption="TYSalesCostVATUSD" attribute="1" defaultMemberUniqueName="[SalesTY].[TYSalesCostVATUSD].[All]" allUniqueName="[SalesTY].[TYSalesCostVATUSD].[All]" dimensionUniqueName="[SalesTY]" displayFolder="" count="0" unbalanced="0" hidden="1"/>
    <cacheHierarchy uniqueName="[SalesTY].[TYSalesDiscountValueLC]" caption="TYSalesDiscountValueLC" attribute="1" defaultMemberUniqueName="[SalesTY].[TYSalesDiscountValueLC].[All]" allUniqueName="[SalesTY].[TYSalesDiscountValueLC].[All]" dimensionUniqueName="[SalesTY]" displayFolder="" count="0" unbalanced="0" hidden="1"/>
    <cacheHierarchy uniqueName="[SalesTY].[TYSalesDiscountValueTRY]" caption="TYSalesDiscountValueTRY" attribute="1" defaultMemberUniqueName="[SalesTY].[TYSalesDiscountValueTRY].[All]" allUniqueName="[SalesTY].[TYSalesDiscountValueTRY].[All]" dimensionUniqueName="[SalesTY]" displayFolder="" count="0" unbalanced="0" hidden="1"/>
    <cacheHierarchy uniqueName="[SalesTY].[TYSalesDiscountValueUSD]" caption="TYSalesDiscountValueUSD" attribute="1" defaultMemberUniqueName="[SalesTY].[TYSalesDiscountValueUSD].[All]" allUniqueName="[SalesTY].[TYSalesDiscountValueUSD].[All]" dimensionUniqueName="[SalesTY]" displayFolder="" count="0" unbalanced="0" hidden="1"/>
    <cacheHierarchy uniqueName="[SalesTY].[TYSalesDiscountValueVATLC]" caption="TYSalesDiscountValueVATLC" attribute="1" defaultMemberUniqueName="[SalesTY].[TYSalesDiscountValueVATLC].[All]" allUniqueName="[SalesTY].[TYSalesDiscountValueVATLC].[All]" dimensionUniqueName="[SalesTY]" displayFolder="" count="0" unbalanced="0" hidden="1"/>
    <cacheHierarchy uniqueName="[SalesTY].[TYSalesDiscountValueVATTRY]" caption="TYSalesDiscountValueVATTRY" attribute="1" defaultMemberUniqueName="[SalesTY].[TYSalesDiscountValueVATTRY].[All]" allUniqueName="[SalesTY].[TYSalesDiscountValueVATTRY].[All]" dimensionUniqueName="[SalesTY]" displayFolder="" count="0" unbalanced="0" hidden="1"/>
    <cacheHierarchy uniqueName="[SalesTY].[TYSalesDiscountValueVATUSD]" caption="TYSalesDiscountValueVATUSD" attribute="1" defaultMemberUniqueName="[SalesTY].[TYSalesDiscountValueVATUSD].[All]" allUniqueName="[SalesTY].[TYSalesDiscountValueVATUSD].[All]" dimensionUniqueName="[SalesTY]" displayFolder="" count="0" unbalanced="0" hidden="1"/>
    <cacheHierarchy uniqueName="[SalesTY].[TYSalesGrossProfitLC]" caption="TYSalesGrossProfitLC" attribute="1" defaultMemberUniqueName="[SalesTY].[TYSalesGrossProfitLC].[All]" allUniqueName="[SalesTY].[TYSalesGrossProfitLC].[All]" dimensionUniqueName="[SalesTY]" displayFolder="" count="0" unbalanced="0" hidden="1"/>
    <cacheHierarchy uniqueName="[SalesTY].[TYSalesGrossProfitTRY]" caption="TYSalesGrossProfitTRY" attribute="1" defaultMemberUniqueName="[SalesTY].[TYSalesGrossProfitTRY].[All]" allUniqueName="[SalesTY].[TYSalesGrossProfitTRY].[All]" dimensionUniqueName="[SalesTY]" displayFolder="" count="0" unbalanced="0" hidden="1"/>
    <cacheHierarchy uniqueName="[SalesTY].[TYSalesGrossProfitUSD]" caption="TYSalesGrossProfitUSD" attribute="1" defaultMemberUniqueName="[SalesTY].[TYSalesGrossProfitUSD].[All]" allUniqueName="[SalesTY].[TYSalesGrossProfitUSD].[All]" dimensionUniqueName="[SalesTY]" displayFolder="" count="0" unbalanced="0" hidden="1"/>
    <cacheHierarchy uniqueName="[SalesTY].[TYSalesGrossProfitVATLC]" caption="TYSalesGrossProfitVATLC" attribute="1" defaultMemberUniqueName="[SalesTY].[TYSalesGrossProfitVATLC].[All]" allUniqueName="[SalesTY].[TYSalesGrossProfitVATLC].[All]" dimensionUniqueName="[SalesTY]" displayFolder="" count="0" unbalanced="0" hidden="1"/>
    <cacheHierarchy uniqueName="[SalesTY].[TYSalesGrossProfitVATTRY]" caption="TYSalesGrossProfitVATTRY" attribute="1" defaultMemberUniqueName="[SalesTY].[TYSalesGrossProfitVATTRY].[All]" allUniqueName="[SalesTY].[TYSalesGrossProfitVATTRY].[All]" dimensionUniqueName="[SalesTY]" displayFolder="" count="0" unbalanced="0" hidden="1"/>
    <cacheHierarchy uniqueName="[SalesTY].[TYSalesGrossProfitVATUSD]" caption="TYSalesGrossProfitVATUSD" attribute="1" defaultMemberUniqueName="[SalesTY].[TYSalesGrossProfitVATUSD].[All]" allUniqueName="[SalesTY].[TYSalesGrossProfitVATUSD].[All]" dimensionUniqueName="[SalesTY]" displayFolder="" count="0" unbalanced="0" hidden="1"/>
    <cacheHierarchy uniqueName="[SalesTY].[TYSalesUnit]" caption="TYSalesUnit" attribute="1" defaultMemberUniqueName="[SalesTY].[TYSalesUnit].[All]" allUniqueName="[SalesTY].[TYSalesUnit].[All]" dimensionUniqueName="[SalesTY]" displayFolder="" count="0" unbalanced="0" hidden="1"/>
    <cacheHierarchy uniqueName="[SalesTY].[TYSalesValueCSPLC]" caption="TYSalesValueCSPLC" attribute="1" defaultMemberUniqueName="[SalesTY].[TYSalesValueCSPLC].[All]" allUniqueName="[SalesTY].[TYSalesValueCSPLC].[All]" dimensionUniqueName="[SalesTY]" displayFolder="" count="0" unbalanced="0" hidden="1"/>
    <cacheHierarchy uniqueName="[SalesTY].[TYSalesValueCSPTRY]" caption="TYSalesValueCSPTRY" attribute="1" defaultMemberUniqueName="[SalesTY].[TYSalesValueCSPTRY].[All]" allUniqueName="[SalesTY].[TYSalesValueCSPTRY].[All]" dimensionUniqueName="[SalesTY]" displayFolder="" count="0" unbalanced="0" hidden="1"/>
    <cacheHierarchy uniqueName="[SalesTY].[TYSalesValueCSPUSD]" caption="TYSalesValueCSPUSD" attribute="1" defaultMemberUniqueName="[SalesTY].[TYSalesValueCSPUSD].[All]" allUniqueName="[SalesTY].[TYSalesValueCSPUSD].[All]" dimensionUniqueName="[SalesTY]" displayFolder="" count="0" unbalanced="0" hidden="1"/>
    <cacheHierarchy uniqueName="[SalesTY].[TYSalesValueISPLC]" caption="TYSalesValueISPLC" attribute="1" defaultMemberUniqueName="[SalesTY].[TYSalesValueISPLC].[All]" allUniqueName="[SalesTY].[TYSalesValueISPLC].[All]" dimensionUniqueName="[SalesTY]" displayFolder="" count="0" unbalanced="0" hidden="1"/>
    <cacheHierarchy uniqueName="[SalesTY].[TYSalesValueISPTRY]" caption="TYSalesValueISPTRY" attribute="1" defaultMemberUniqueName="[SalesTY].[TYSalesValueISPTRY].[All]" allUniqueName="[SalesTY].[TYSalesValueISPTRY].[All]" dimensionUniqueName="[SalesTY]" displayFolder="" count="0" unbalanced="0" hidden="1"/>
    <cacheHierarchy uniqueName="[SalesTY].[TYSalesValueISPUSD]" caption="TYSalesValueISPUSD" attribute="1" defaultMemberUniqueName="[SalesTY].[TYSalesValueISPUSD].[All]" allUniqueName="[SalesTY].[TYSalesValueISPUSD].[All]" dimensionUniqueName="[SalesTY]" displayFolder="" count="0" unbalanced="0" hidden="1"/>
    <cacheHierarchy uniqueName="[SalesTY].[TYSalesValueLC]" caption="TYSalesValueLC" attribute="1" defaultMemberUniqueName="[SalesTY].[TYSalesValueLC].[All]" allUniqueName="[SalesTY].[TYSalesValueLC].[All]" dimensionUniqueName="[SalesTY]" displayFolder="" count="0" unbalanced="0" hidden="1"/>
    <cacheHierarchy uniqueName="[SalesTY].[TYSalesValueTRY]" caption="TYSalesValueTRY" attribute="1" defaultMemberUniqueName="[SalesTY].[TYSalesValueTRY].[All]" allUniqueName="[SalesTY].[TYSalesValueTRY].[All]" dimensionUniqueName="[SalesTY]" displayFolder="" count="0" unbalanced="0" hidden="1"/>
    <cacheHierarchy uniqueName="[SalesTY].[TYSalesValueUSD]" caption="TYSalesValueUSD" attribute="1" defaultMemberUniqueName="[SalesTY].[TYSalesValueUSD].[All]" allUniqueName="[SalesTY].[TYSalesValueUSD].[All]" dimensionUniqueName="[SalesTY]" displayFolder="" count="0" unbalanced="0" hidden="1"/>
    <cacheHierarchy uniqueName="[SalesTY].[TYSalesValueVATCSPLC]" caption="TYSalesValueVATCSPLC" attribute="1" defaultMemberUniqueName="[SalesTY].[TYSalesValueVATCSPLC].[All]" allUniqueName="[SalesTY].[TYSalesValueVATCSPLC].[All]" dimensionUniqueName="[SalesTY]" displayFolder="" count="0" unbalanced="0" hidden="1"/>
    <cacheHierarchy uniqueName="[SalesTY].[TYSalesValueVATCSPTRY]" caption="TYSalesValueVATCSPTRY" attribute="1" defaultMemberUniqueName="[SalesTY].[TYSalesValueVATCSPTRY].[All]" allUniqueName="[SalesTY].[TYSalesValueVATCSPTRY].[All]" dimensionUniqueName="[SalesTY]" displayFolder="" count="0" unbalanced="0" hidden="1"/>
    <cacheHierarchy uniqueName="[SalesTY].[TYSalesValueVATCSPUSD]" caption="TYSalesValueVATCSPUSD" attribute="1" defaultMemberUniqueName="[SalesTY].[TYSalesValueVATCSPUSD].[All]" allUniqueName="[SalesTY].[TYSalesValueVATCSPUSD].[All]" dimensionUniqueName="[SalesTY]" displayFolder="" count="0" unbalanced="0" hidden="1"/>
    <cacheHierarchy uniqueName="[SalesTY].[TYSalesValueVATISPLC]" caption="TYSalesValueVATISPLC" attribute="1" defaultMemberUniqueName="[SalesTY].[TYSalesValueVATISPLC].[All]" allUniqueName="[SalesTY].[TYSalesValueVATISPLC].[All]" dimensionUniqueName="[SalesTY]" displayFolder="" count="0" unbalanced="0" hidden="1"/>
    <cacheHierarchy uniqueName="[SalesTY].[TYSalesValueVATISPTRY]" caption="TYSalesValueVATISPTRY" attribute="1" defaultMemberUniqueName="[SalesTY].[TYSalesValueVATISPTRY].[All]" allUniqueName="[SalesTY].[TYSalesValueVATISPTRY].[All]" dimensionUniqueName="[SalesTY]" displayFolder="" count="0" unbalanced="0" hidden="1"/>
    <cacheHierarchy uniqueName="[SalesTY].[TYSalesValueVATISPUSD]" caption="TYSalesValueVATISPUSD" attribute="1" defaultMemberUniqueName="[SalesTY].[TYSalesValueVATISPUSD].[All]" allUniqueName="[SalesTY].[TYSalesValueVATISPUSD].[All]" dimensionUniqueName="[SalesTY]" displayFolder="" count="0" unbalanced="0" hidden="1"/>
    <cacheHierarchy uniqueName="[SalesTY].[TYSalesValueVATLC]" caption="TYSalesValueVATLC" attribute="1" defaultMemberUniqueName="[SalesTY].[TYSalesValueVATLC].[All]" allUniqueName="[SalesTY].[TYSalesValueVATLC].[All]" dimensionUniqueName="[SalesTY]" displayFolder="" count="0" unbalanced="0" hidden="1"/>
    <cacheHierarchy uniqueName="[SalesTY].[TYSalesValueVATTRY]" caption="TYSalesValueVATTRY" attribute="1" defaultMemberUniqueName="[SalesTY].[TYSalesValueVATTRY].[All]" allUniqueName="[SalesTY].[TYSalesValueVATTRY].[All]" dimensionUniqueName="[SalesTY]" displayFolder="" count="0" unbalanced="0" hidden="1"/>
    <cacheHierarchy uniqueName="[SalesTY].[TYSalesValueVATUSD]" caption="TYSalesValueVATUSD" attribute="1" defaultMemberUniqueName="[SalesTY].[TYSalesValueVATUSD].[All]" allUniqueName="[SalesTY].[TYSalesValueVATUSD].[All]" dimensionUniqueName="[SalesTY]" displayFolder="" count="0" unbalanced="0" hidden="1"/>
    <cacheHierarchy uniqueName="[StockDC].[CompanyUnitCost]" caption="CompanyUnitCost" attribute="1" defaultMemberUniqueName="[StockDC].[CompanyUnitCost].[All]" allUniqueName="[StockDC].[CompanyUnitCost].[All]" dimensionUniqueName="[StockDC]" displayFolder="" count="0" unbalanced="0" hidden="1"/>
    <cacheHierarchy uniqueName="[StockDC].[EURExcRate]" caption="EURExcRate" attribute="1" defaultMemberUniqueName="[StockDC].[EURExcRate].[All]" allUniqueName="[StockDC].[EURExcRate].[All]" dimensionUniqueName="[StockDC]" displayFolder="" count="0" unbalanced="0" hidden="1"/>
    <cacheHierarchy uniqueName="[StockDC].[InitialSalesPriceID]" caption="InitialSalesPriceID" attribute="1" defaultMemberUniqueName="[StockDC].[InitialSalesPriceID].[All]" allUniqueName="[StockDC].[InitialSalesPriceID].[All]" dimensionUniqueName="[StockDC]" displayFolder="" count="0" unbalanced="0" hidden="1"/>
    <cacheHierarchy uniqueName="[StockDC].[LCExcRate]" caption="LCExcRate" attribute="1" defaultMemberUniqueName="[StockDC].[LCExcRate].[All]" allUniqueName="[StockDC].[LCExcRate].[All]" dimensionUniqueName="[StockDC]" displayFolder="" count="0" unbalanced="0" hidden="1"/>
    <cacheHierarchy uniqueName="[StockDC].[LFLFactor]" caption="LFLFactor" attribute="1" defaultMemberUniqueName="[StockDC].[LFLFactor].[All]" allUniqueName="[StockDC].[LFLFactor].[All]" dimensionUniqueName="[StockDC]" displayFolder="" count="0" unbalanced="0" hidden="1"/>
    <cacheHierarchy uniqueName="[StockDC].[MaterialKey]" caption="MaterialKey" attribute="1" defaultMemberUniqueName="[StockDC].[MaterialKey].[All]" allUniqueName="[StockDC].[MaterialKey].[All]" dimensionUniqueName="[StockDC]" displayFolder="" count="0" unbalanced="0" hidden="1"/>
    <cacheHierarchy uniqueName="[StockDC].[OutletID]" caption="OutletID" attribute="1" defaultMemberUniqueName="[StockDC].[OutletID].[All]" allUniqueName="[StockDC].[OutletID].[All]" dimensionUniqueName="[StockDC]" displayFolder="" count="0" unbalanced="0" hidden="1"/>
    <cacheHierarchy uniqueName="[StockDC].[SalesChannelKey]" caption="SalesChannelKey" attribute="1" defaultMemberUniqueName="[StockDC].[SalesChannelKey].[All]" allUniqueName="[StockDC].[SalesChannelKey].[All]" dimensionUniqueName="[StockDC]" displayFolder="" count="0" unbalanced="0" hidden="1"/>
    <cacheHierarchy uniqueName="[StockDC].[SalesSeasonID]" caption="SalesSeasonID" attribute="1" defaultMemberUniqueName="[StockDC].[SalesSeasonID].[All]" allUniqueName="[StockDC].[SalesSeasonID].[All]" dimensionUniqueName="[StockDC]" displayFolder="" count="0" unbalanced="0" hidden="1"/>
    <cacheHierarchy uniqueName="[StockDC].[StockDate]" caption="StockDate" attribute="1" defaultMemberUniqueName="[StockDC].[StockDate].[All]" allUniqueName="[StockDC].[StockDate].[All]" dimensionUniqueName="[StockDC]" displayFolder="" count="0" unbalanced="0" hidden="1"/>
    <cacheHierarchy uniqueName="[StockDC].[StockUnit]" caption="StockUnit" attribute="1" defaultMemberUniqueName="[StockDC].[StockUnit].[All]" allUniqueName="[StockDC].[StockUnit].[All]" dimensionUniqueName="[StockDC]" displayFolder="" count="0" unbalanced="0" hidden="1"/>
    <cacheHierarchy uniqueName="[StockDC].[SubLocationKey]" caption="SubLocationKey" attribute="1" defaultMemberUniqueName="[StockDC].[SubLocationKey].[All]" allUniqueName="[StockDC].[SubLocationKey].[All]" dimensionUniqueName="[StockDC]" displayFolder="" count="0" unbalanced="0" hidden="1"/>
    <cacheHierarchy uniqueName="[StockDC].[TransitStockUnit]" caption="TransitStockUnit" attribute="1" defaultMemberUniqueName="[StockDC].[TransitStockUnit].[All]" allUniqueName="[StockDC].[TransitStockUnit].[All]" dimensionUniqueName="[StockDC]" displayFolder="" count="0" unbalanced="0" hidden="1"/>
    <cacheHierarchy uniqueName="[StockDC].[TRYExcRate]" caption="TRYExcRate" attribute="1" defaultMemberUniqueName="[StockDC].[TRYExcRate].[All]" allUniqueName="[StockDC].[TRYExcRate].[All]" dimensionUniqueName="[StockDC]" displayFolder="" count="0" unbalanced="0" hidden="1"/>
    <cacheHierarchy uniqueName="[StockDC].[UnitCost]" caption="UnitCost" attribute="1" defaultMemberUniqueName="[StockDC].[UnitCost].[All]" allUniqueName="[StockDC].[UnitCost].[All]" dimensionUniqueName="[StockDC]" displayFolder="" count="0" unbalanced="0" hidden="1"/>
    <cacheHierarchy uniqueName="[StockDC].[USDExcRate]" caption="USDExcRate" attribute="1" defaultMemberUniqueName="[StockDC].[USDExcRate].[All]" allUniqueName="[StockDC].[USDExcRate].[All]" dimensionUniqueName="[StockDC]" displayFolder="" count="0" unbalanced="0" hidden="1"/>
    <cacheHierarchy uniqueName="[StockDCLY].[CompanyUnitCost]" caption="CompanyUnitCost" attribute="1" defaultMemberUniqueName="[StockDCLY].[CompanyUnitCost].[All]" allUniqueName="[StockDCLY].[CompanyUnitCost].[All]" dimensionUniqueName="[StockDCLY]" displayFolder="" count="0" unbalanced="0" hidden="1"/>
    <cacheHierarchy uniqueName="[StockDCLY].[InitialSalesPriceID]" caption="InitialSalesPriceID" attribute="1" defaultMemberUniqueName="[StockDCLY].[InitialSalesPriceID].[All]" allUniqueName="[StockDCLY].[InitialSalesPriceID].[All]" dimensionUniqueName="[StockDCLY]" displayFolder="" count="0" unbalanced="0" hidden="1"/>
    <cacheHierarchy uniqueName="[StockDCLY].[MaterialKey]" caption="MaterialKey" attribute="1" defaultMemberUniqueName="[StockDCLY].[MaterialKey].[All]" allUniqueName="[StockDCLY].[MaterialKey].[All]" dimensionUniqueName="[StockDCLY]" displayFolder="" count="0" unbalanced="0" hidden="1"/>
    <cacheHierarchy uniqueName="[StockDCLY].[OutletID]" caption="OutletID" attribute="1" defaultMemberUniqueName="[StockDCLY].[OutletID].[All]" allUniqueName="[StockDCLY].[OutletID].[All]" dimensionUniqueName="[StockDCLY]" displayFolder="" count="0" unbalanced="0" hidden="1"/>
    <cacheHierarchy uniqueName="[StockDCLY].[SalesChannelKey]" caption="SalesChannelKey" attribute="1" defaultMemberUniqueName="[StockDCLY].[SalesChannelKey].[All]" allUniqueName="[StockDCLY].[SalesChannelKey].[All]" dimensionUniqueName="[StockDCLY]" displayFolder="" count="0" unbalanced="0" hidden="1"/>
    <cacheHierarchy uniqueName="[StockDCLY].[SalesSeasonID]" caption="SalesSeasonID" attribute="1" defaultMemberUniqueName="[StockDCLY].[SalesSeasonID].[All]" allUniqueName="[StockDCLY].[SalesSeasonID].[All]" dimensionUniqueName="[StockDCLY]" displayFolder="" count="0" unbalanced="0" hidden="1"/>
    <cacheHierarchy uniqueName="[StockDCLY].[StockUnit]" caption="StockUnit" attribute="1" defaultMemberUniqueName="[StockDCLY].[StockUnit].[All]" allUniqueName="[StockDCLY].[StockUnit].[All]" dimensionUniqueName="[StockDCLY]" displayFolder="" count="0" unbalanced="0" hidden="1"/>
    <cacheHierarchy uniqueName="[StockDCLY].[SubLocationKey]" caption="SubLocationKey" attribute="1" defaultMemberUniqueName="[StockDCLY].[SubLocationKey].[All]" allUniqueName="[StockDCLY].[SubLocationKey].[All]" dimensionUniqueName="[StockDCLY]" displayFolder="" count="0" unbalanced="0" hidden="1"/>
    <cacheHierarchy uniqueName="[StockDCLY].[TRYExcRate]" caption="TRYExcRate" attribute="1" defaultMemberUniqueName="[StockDCLY].[TRYExcRate].[All]" allUniqueName="[StockDCLY].[TRYExcRate].[All]" dimensionUniqueName="[StockDCLY]" displayFolder="" count="0" unbalanced="0" hidden="1"/>
    <cacheHierarchy uniqueName="[StockDCLY].[TYDate]" caption="TYDate" attribute="1" defaultMemberUniqueName="[StockDCLY].[TYDate].[All]" allUniqueName="[StockDCLY].[TYDate].[All]" dimensionUniqueName="[StockDCLY]" displayFolder="" count="0" unbalanced="0" hidden="1"/>
    <cacheHierarchy uniqueName="[StockDCLY].[UnitCost]" caption="UnitCost" attribute="1" defaultMemberUniqueName="[StockDCLY].[UnitCost].[All]" allUniqueName="[StockDCLY].[UnitCost].[All]" dimensionUniqueName="[StockDCLY]" displayFolder="" count="0" unbalanced="0" hidden="1"/>
    <cacheHierarchy uniqueName="[StockDCLY].[USDExcRate]" caption="USDExcRate" attribute="1" defaultMemberUniqueName="[StockDCLY].[USDExcRate].[All]" allUniqueName="[StockDCLY].[USDExcRate].[All]" dimensionUniqueName="[StockDCLY]" displayFolder="" count="0" unbalanced="0" hidden="1"/>
    <cacheHierarchy uniqueName="[StockStore].[CompanyUnitCost]" caption="CompanyUnitCost" attribute="1" defaultMemberUniqueName="[StockStore].[CompanyUnitCost].[All]" allUniqueName="[StockStore].[CompanyUnitCost].[All]" dimensionUniqueName="[StockStore]" displayFolder="" count="0" unbalanced="0" hidden="1"/>
    <cacheHierarchy uniqueName="[StockStore].[EURExcRate]" caption="EURExcRate" attribute="1" defaultMemberUniqueName="[StockStore].[EURExcRate].[All]" allUniqueName="[StockStore].[EURExcRate].[All]" dimensionUniqueName="[StockStore]" displayFolder="" count="0" unbalanced="0" hidden="1"/>
    <cacheHierarchy uniqueName="[StockStore].[InitialSalesPriceID]" caption="InitialSalesPriceID" attribute="1" defaultMemberUniqueName="[StockStore].[InitialSalesPriceID].[All]" allUniqueName="[StockStore].[InitialSalesPriceID].[All]" dimensionUniqueName="[StockStore]" displayFolder="" count="0" unbalanced="0" hidden="1"/>
    <cacheHierarchy uniqueName="[StockStore].[LCExcRate]" caption="LCExcRate" attribute="1" defaultMemberUniqueName="[StockStore].[LCExcRate].[All]" allUniqueName="[StockStore].[LCExcRate].[All]" dimensionUniqueName="[StockStore]" displayFolder="" count="0" unbalanced="0" hidden="1"/>
    <cacheHierarchy uniqueName="[StockStore].[LFLFactor]" caption="LFLFactor" attribute="1" defaultMemberUniqueName="[StockStore].[LFLFactor].[All]" allUniqueName="[StockStore].[LFLFactor].[All]" dimensionUniqueName="[StockStore]" displayFolder="" count="0" unbalanced="0" hidden="1"/>
    <cacheHierarchy uniqueName="[StockStore].[LocationKey]" caption="LocationKey" attribute="1" defaultMemberUniqueName="[StockStore].[LocationKey].[All]" allUniqueName="[StockStore].[LocationKey].[All]" dimensionUniqueName="[StockStore]" displayFolder="" count="0" unbalanced="0" hidden="1"/>
    <cacheHierarchy uniqueName="[StockStore].[MaterialKey]" caption="MaterialKey" attribute="1" defaultMemberUniqueName="[StockStore].[MaterialKey].[All]" allUniqueName="[StockStore].[MaterialKey].[All]" dimensionUniqueName="[StockStore]" displayFolder="" count="0" unbalanced="0" hidden="1"/>
    <cacheHierarchy uniqueName="[StockStore].[OtherStockUnit]" caption="OtherStockUnit" attribute="1" defaultMemberUniqueName="[StockStore].[OtherStockUnit].[All]" allUniqueName="[StockStore].[OtherStockUnit].[All]" dimensionUniqueName="[StockStore]" displayFolder="" count="0" unbalanced="0" hidden="1"/>
    <cacheHierarchy uniqueName="[StockStore].[OutletID]" caption="OutletID" attribute="1" defaultMemberUniqueName="[StockStore].[OutletID].[All]" allUniqueName="[StockStore].[OutletID].[All]" dimensionUniqueName="[StockStore]" displayFolder="" count="0" unbalanced="0" hidden="1"/>
    <cacheHierarchy uniqueName="[StockStore].[SalesChannelKey]" caption="SalesChannelKey" attribute="1" defaultMemberUniqueName="[StockStore].[SalesChannelKey].[All]" allUniqueName="[StockStore].[SalesChannelKey].[All]" dimensionUniqueName="[StockStore]" displayFolder="" count="0" unbalanced="0" hidden="1"/>
    <cacheHierarchy uniqueName="[StockStore].[SalesSeasonID]" caption="SalesSeasonID" attribute="1" defaultMemberUniqueName="[StockStore].[SalesSeasonID].[All]" allUniqueName="[StockStore].[SalesSeasonID].[All]" dimensionUniqueName="[StockStore]" displayFolder="" count="0" unbalanced="0" hidden="1"/>
    <cacheHierarchy uniqueName="[StockStore].[StockDate]" caption="StockDate" attribute="1" defaultMemberUniqueName="[StockStore].[StockDate].[All]" allUniqueName="[StockStore].[StockDate].[All]" dimensionUniqueName="[StockStore]" displayFolder="" count="0" unbalanced="0" hidden="1"/>
    <cacheHierarchy uniqueName="[StockStore].[StockUnit]" caption="StockUnit" attribute="1" defaultMemberUniqueName="[StockStore].[StockUnit].[All]" allUniqueName="[StockStore].[StockUnit].[All]" dimensionUniqueName="[StockStore]" displayFolder="" count="0" unbalanced="0" hidden="1"/>
    <cacheHierarchy uniqueName="[StockStore].[TransitStockUnit]" caption="TransitStockUnit" attribute="1" defaultMemberUniqueName="[StockStore].[TransitStockUnit].[All]" allUniqueName="[StockStore].[TransitStockUnit].[All]" dimensionUniqueName="[StockStore]" displayFolder="" count="0" unbalanced="0" hidden="1"/>
    <cacheHierarchy uniqueName="[StockStore].[TRYExcRate]" caption="TRYExcRate" attribute="1" defaultMemberUniqueName="[StockStore].[TRYExcRate].[All]" allUniqueName="[StockStore].[TRYExcRate].[All]" dimensionUniqueName="[StockStore]" displayFolder="" count="0" unbalanced="0" hidden="1"/>
    <cacheHierarchy uniqueName="[StockStore].[UnitCost]" caption="UnitCost" attribute="1" defaultMemberUniqueName="[StockStore].[UnitCost].[All]" allUniqueName="[StockStore].[UnitCost].[All]" dimensionUniqueName="[StockStore]" displayFolder="" count="0" unbalanced="0" hidden="1"/>
    <cacheHierarchy uniqueName="[StockStore].[USDExcRate]" caption="USDExcRate" attribute="1" defaultMemberUniqueName="[StockStore].[USDExcRate].[All]" allUniqueName="[StockStore].[USDExcRate].[All]" dimensionUniqueName="[StockStore]" displayFolder="" count="0" unbalanced="0" hidden="1"/>
    <cacheHierarchy uniqueName="[StockStoreLY].[CompanyUnitCost]" caption="CompanyUnitCost" attribute="1" defaultMemberUniqueName="[StockStoreLY].[CompanyUnitCost].[All]" allUniqueName="[StockStoreLY].[CompanyUnitCost].[All]" dimensionUniqueName="[StockStoreLY]" displayFolder="" count="0" unbalanced="0" hidden="1"/>
    <cacheHierarchy uniqueName="[StockStoreLY].[InitialSalesPriceID]" caption="InitialSalesPriceID" attribute="1" defaultMemberUniqueName="[StockStoreLY].[InitialSalesPriceID].[All]" allUniqueName="[StockStoreLY].[InitialSalesPriceID].[All]" dimensionUniqueName="[StockStoreLY]" displayFolder="" count="0" unbalanced="0" hidden="1"/>
    <cacheHierarchy uniqueName="[StockStoreLY].[LFLFactor]" caption="LFLFactor" attribute="1" defaultMemberUniqueName="[StockStoreLY].[LFLFactor].[All]" allUniqueName="[StockStoreLY].[LFLFactor].[All]" dimensionUniqueName="[StockStoreLY]" displayFolder="" count="0" unbalanced="0" hidden="1"/>
    <cacheHierarchy uniqueName="[StockStoreLY].[LocationKey]" caption="LocationKey" attribute="1" defaultMemberUniqueName="[StockStoreLY].[LocationKey].[All]" allUniqueName="[StockStoreLY].[LocationKey].[All]" dimensionUniqueName="[StockStoreLY]" displayFolder="" count="0" unbalanced="0" hidden="1"/>
    <cacheHierarchy uniqueName="[StockStoreLY].[MaterialKey]" caption="MaterialKey" attribute="1" defaultMemberUniqueName="[StockStoreLY].[MaterialKey].[All]" allUniqueName="[StockStoreLY].[MaterialKey].[All]" dimensionUniqueName="[StockStoreLY]" displayFolder="" count="0" unbalanced="0" hidden="1"/>
    <cacheHierarchy uniqueName="[StockStoreLY].[OtherStockUnit]" caption="OtherStockUnit" attribute="1" defaultMemberUniqueName="[StockStoreLY].[OtherStockUnit].[All]" allUniqueName="[StockStoreLY].[OtherStockUnit].[All]" dimensionUniqueName="[StockStoreLY]" displayFolder="" count="0" unbalanced="0" hidden="1"/>
    <cacheHierarchy uniqueName="[StockStoreLY].[OutletID]" caption="OutletID" attribute="1" defaultMemberUniqueName="[StockStoreLY].[OutletID].[All]" allUniqueName="[StockStoreLY].[OutletID].[All]" dimensionUniqueName="[StockStoreLY]" displayFolder="" count="0" unbalanced="0" hidden="1"/>
    <cacheHierarchy uniqueName="[StockStoreLY].[SalesChannelKey]" caption="SalesChannelKey" attribute="1" defaultMemberUniqueName="[StockStoreLY].[SalesChannelKey].[All]" allUniqueName="[StockStoreLY].[SalesChannelKey].[All]" dimensionUniqueName="[StockStoreLY]" displayFolder="" count="0" unbalanced="0" hidden="1"/>
    <cacheHierarchy uniqueName="[StockStoreLY].[SalesSeasonID]" caption="SalesSeasonID" attribute="1" defaultMemberUniqueName="[StockStoreLY].[SalesSeasonID].[All]" allUniqueName="[StockStoreLY].[SalesSeasonID].[All]" dimensionUniqueName="[StockStoreLY]" displayFolder="" count="0" unbalanced="0" hidden="1"/>
    <cacheHierarchy uniqueName="[StockStoreLY].[StockUnit]" caption="StockUnit" attribute="1" defaultMemberUniqueName="[StockStoreLY].[StockUnit].[All]" allUniqueName="[StockStoreLY].[StockUnit].[All]" dimensionUniqueName="[StockStoreLY]" displayFolder="" count="0" unbalanced="0" hidden="1"/>
    <cacheHierarchy uniqueName="[StockStoreLY].[TransitStockUnit]" caption="TransitStockUnit" attribute="1" defaultMemberUniqueName="[StockStoreLY].[TransitStockUnit].[All]" allUniqueName="[StockStoreLY].[TransitStockUnit].[All]" dimensionUniqueName="[StockStoreLY]" displayFolder="" count="0" unbalanced="0" hidden="1"/>
    <cacheHierarchy uniqueName="[StockStoreLY].[TRYExcRate]" caption="TRYExcRate" attribute="1" defaultMemberUniqueName="[StockStoreLY].[TRYExcRate].[All]" allUniqueName="[StockStoreLY].[TRYExcRate].[All]" dimensionUniqueName="[StockStoreLY]" displayFolder="" count="0" unbalanced="0" hidden="1"/>
    <cacheHierarchy uniqueName="[StockStoreLY].[TYDate]" caption="TYDate" attribute="1" defaultMemberUniqueName="[StockStoreLY].[TYDate].[All]" allUniqueName="[StockStoreLY].[TYDate].[All]" dimensionUniqueName="[StockStoreLY]" displayFolder="" count="0" unbalanced="0" hidden="1"/>
    <cacheHierarchy uniqueName="[StockStoreLY].[UnitCost]" caption="UnitCost" attribute="1" defaultMemberUniqueName="[StockStoreLY].[UnitCost].[All]" allUniqueName="[StockStoreLY].[UnitCost].[All]" dimensionUniqueName="[StockStoreLY]" displayFolder="" count="0" unbalanced="0" hidden="1"/>
    <cacheHierarchy uniqueName="[StockStoreLY].[USDExcRate]" caption="USDExcRate" attribute="1" defaultMemberUniqueName="[StockStoreLY].[USDExcRate].[All]" allUniqueName="[StockStoreLY].[USDExcRate].[All]" dimensionUniqueName="[StockStoreLY]" displayFolder="" count="0" unbalanced="0" hidden="1"/>
    <cacheHierarchy uniqueName="[Store].[CapacityUnit]" caption="CapacityUnit" attribute="1" defaultMemberUniqueName="[Store].[CapacityUnit].[All]" allUniqueName="[Store].[CapacityUnit].[All]" dimensionUniqueName="[Store]" displayFolder="" count="0" unbalanced="0" hidden="1"/>
    <cacheHierarchy uniqueName="[Store].[StoreSalesChannelKey]" caption="StoreSalesChannelKey" attribute="1" defaultMemberUniqueName="[Store].[StoreSalesChannelKey].[All]" allUniqueName="[Store].[StoreSalesChannelKey].[All]" dimensionUniqueName="[Store]" displayFolder="" count="0" unbalanced="0" hidden="1"/>
    <cacheHierarchy uniqueName="[StoreCapacity].[BackStoreCapacityArea]" caption="BackStoreCapacityArea" attribute="1" defaultMemberUniqueName="[StoreCapacity].[BackStoreCapacityArea].[All]" allUniqueName="[StoreCapacity].[BackStoreCapacityArea].[All]" dimensionUniqueName="[StoreCapacity]" displayFolder="" count="0" unbalanced="0" hidden="1"/>
    <cacheHierarchy uniqueName="[StoreCapacity].[BackStoreCapacitydm3]" caption="BackStoreCapacitydm3" attribute="1" defaultMemberUniqueName="[StoreCapacity].[BackStoreCapacitydm3].[All]" allUniqueName="[StoreCapacity].[BackStoreCapacitydm3].[All]" dimensionUniqueName="[StoreCapacity]" displayFolder="" count="0" unbalanced="0" hidden="1"/>
    <cacheHierarchy uniqueName="[StoreCapacity].[BackStoreCapacityQuantity]" caption="BackStoreCapacityQuantity" attribute="1" defaultMemberUniqueName="[StoreCapacity].[BackStoreCapacityQuantity].[All]" allUniqueName="[StoreCapacity].[BackStoreCapacityQuantity].[All]" dimensionUniqueName="[StoreCapacity]" displayFolder="" count="0" unbalanced="0" hidden="1"/>
    <cacheHierarchy uniqueName="[StoreCapacity].[DWSourceKey]" caption="DWSourceKey" attribute="1" defaultMemberUniqueName="[StoreCapacity].[DWSourceKey].[All]" allUniqueName="[StoreCapacity].[DWSourceKey].[All]" dimensionUniqueName="[StoreCapacity]" displayFolder="" count="0" unbalanced="0" hidden="1"/>
    <cacheHierarchy uniqueName="[StoreCapacity].[ETLDate]" caption="ETLDate" attribute="1" defaultMemberUniqueName="[StoreCapacity].[ETLDate].[All]" allUniqueName="[StoreCapacity].[ETLDate].[All]" dimensionUniqueName="[StoreCapacity]" displayFolder="" count="0" unbalanced="0" hidden="1"/>
    <cacheHierarchy uniqueName="[StoreCapacity].[InitialSalesPriceID]" caption="InitialSalesPriceID" attribute="1" defaultMemberUniqueName="[StoreCapacity].[InitialSalesPriceID].[All]" allUniqueName="[StoreCapacity].[InitialSalesPriceID].[All]" dimensionUniqueName="[StoreCapacity]" displayFolder="" count="0" unbalanced="0" hidden="1"/>
    <cacheHierarchy uniqueName="[StoreCapacity].[LFLFactor]" caption="LFLFactor" attribute="1" defaultMemberUniqueName="[StoreCapacity].[LFLFactor].[All]" allUniqueName="[StoreCapacity].[LFLFactor].[All]" dimensionUniqueName="[StoreCapacity]" displayFolder="" count="0" unbalanced="0" hidden="1"/>
    <cacheHierarchy uniqueName="[StoreCapacity].[LocationKey]" caption="LocationKey" attribute="1" defaultMemberUniqueName="[StoreCapacity].[LocationKey].[All]" allUniqueName="[StoreCapacity].[LocationKey].[All]" dimensionUniqueName="[StoreCapacity]" displayFolder="" count="0" unbalanced="0" hidden="1"/>
    <cacheHierarchy uniqueName="[StoreCapacity].[MainGroupKey]" caption="MainGroupKey" attribute="1" defaultMemberUniqueName="[StoreCapacity].[MainGroupKey].[All]" allUniqueName="[StoreCapacity].[MainGroupKey].[All]" dimensionUniqueName="[StoreCapacity]" displayFolder="" count="0" unbalanced="0" hidden="1"/>
    <cacheHierarchy uniqueName="[StoreCapacity].[OutletID]" caption="OutletID" attribute="1" defaultMemberUniqueName="[StoreCapacity].[OutletID].[All]" allUniqueName="[StoreCapacity].[OutletID].[All]" dimensionUniqueName="[StoreCapacity]" displayFolder="" count="0" unbalanced="0" hidden="1"/>
    <cacheHierarchy uniqueName="[StoreCapacity].[SalesChannelKey]" caption="SalesChannelKey" attribute="1" defaultMemberUniqueName="[StoreCapacity].[SalesChannelKey].[All]" allUniqueName="[StoreCapacity].[SalesChannelKey].[All]" dimensionUniqueName="[StoreCapacity]" displayFolder="" count="0" unbalanced="0" hidden="1"/>
    <cacheHierarchy uniqueName="[StoreCapacity].[SalesSeasonID]" caption="SalesSeasonID" attribute="1" defaultMemberUniqueName="[StoreCapacity].[SalesSeasonID].[All]" allUniqueName="[StoreCapacity].[SalesSeasonID].[All]" dimensionUniqueName="[StoreCapacity]" displayFolder="" count="0" unbalanced="0" hidden="1"/>
    <cacheHierarchy uniqueName="[StoreCapacity].[StoreCapacitydm3]" caption="StoreCapacitydm3" attribute="1" defaultMemberUniqueName="[StoreCapacity].[StoreCapacitydm3].[All]" allUniqueName="[StoreCapacity].[StoreCapacitydm3].[All]" dimensionUniqueName="[StoreCapacity]" displayFolder="" count="0" unbalanced="0" hidden="1"/>
    <cacheHierarchy uniqueName="[StoreCapacity].[StoreCapacityQuantity]" caption="StoreCapacityQuantity" attribute="1" defaultMemberUniqueName="[StoreCapacity].[StoreCapacityQuantity].[All]" allUniqueName="[StoreCapacity].[StoreCapacityQuantity].[All]" dimensionUniqueName="[StoreCapacity]" displayFolder="" count="0" unbalanced="0" hidden="1"/>
    <cacheHierarchy uniqueName="[StoreCapacity].[StoreCode]" caption="StoreCode" attribute="1" defaultMemberUniqueName="[StoreCapacity].[StoreCode].[All]" allUniqueName="[StoreCapacity].[StoreCode].[All]" dimensionUniqueName="[StoreCapacity]" displayFolder="" count="0" unbalanced="0" hidden="1"/>
    <cacheHierarchy uniqueName="[StoreCapacity].[SubDistChannelKey]" caption="SubDistChannelKey" attribute="1" defaultMemberUniqueName="[StoreCapacity].[SubDistChannelKey].[All]" allUniqueName="[StoreCapacity].[SubDistChannelKey].[All]" dimensionUniqueName="[StoreCapacity]" displayFolder="" count="0" unbalanced="0" hidden="1"/>
    <cacheHierarchy uniqueName="[StoreLFLStatu].[EtlDate]" caption="EtlDate" attribute="1" defaultMemberUniqueName="[StoreLFLStatu].[EtlDate].[All]" allUniqueName="[StoreLFLStatu].[EtlDate].[All]" dimensionUniqueName="[StoreLFLStatu]" displayFolder="" count="0" unbalanced="0" hidden="1"/>
    <cacheHierarchy uniqueName="[StoreTarget].[Cancelled]" caption="Cancelled" attribute="1" defaultMemberUniqueName="[StoreTarget].[Cancelled].[All]" allUniqueName="[StoreTarget].[Cancelled].[All]" dimensionUniqueName="[StoreTarget]" displayFolder="" count="0" unbalanced="0" hidden="1"/>
    <cacheHierarchy uniqueName="[StoreTarget].[ChangeByUser]" caption="ChangeByUser" attribute="1" defaultMemberUniqueName="[StoreTarget].[ChangeByUser].[All]" allUniqueName="[StoreTarget].[ChangeByUser].[All]" dimensionUniqueName="[StoreTarget]" displayFolder="" count="0" unbalanced="0" hidden="1"/>
    <cacheHierarchy uniqueName="[StoreTarget].[ChangeDate]" caption="ChangeDate" attribute="1" defaultMemberUniqueName="[StoreTarget].[ChangeDate].[All]" allUniqueName="[StoreTarget].[ChangeDate].[All]" dimensionUniqueName="[StoreTarget]" displayFolder="" count="0" unbalanced="0" hidden="1"/>
    <cacheHierarchy uniqueName="[StoreTarget].[ChangeTime]" caption="ChangeTime" attribute="1" defaultMemberUniqueName="[StoreTarget].[ChangeTime].[All]" allUniqueName="[StoreTarget].[ChangeTime].[All]" dimensionUniqueName="[StoreTarget]" displayFolder="" count="0" unbalanced="0" hidden="1"/>
    <cacheHierarchy uniqueName="[StoreTarget].[CreatedByUser]" caption="CreatedByUser" attribute="1" defaultMemberUniqueName="[StoreTarget].[CreatedByUser].[All]" allUniqueName="[StoreTarget].[CreatedByUser].[All]" dimensionUniqueName="[StoreTarget]" displayFolder="" count="0" unbalanced="0" hidden="1"/>
    <cacheHierarchy uniqueName="[StoreTarget].[CreationDate]" caption="CreationDate" attribute="1" defaultMemberUniqueName="[StoreTarget].[CreationDate].[All]" allUniqueName="[StoreTarget].[CreationDate].[All]" dimensionUniqueName="[StoreTarget]" displayFolder="" count="0" unbalanced="0" hidden="1"/>
    <cacheHierarchy uniqueName="[StoreTarget].[CreationTime]" caption="CreationTime" attribute="1" defaultMemberUniqueName="[StoreTarget].[CreationTime].[All]" allUniqueName="[StoreTarget].[CreationTime].[All]" dimensionUniqueName="[StoreTarget]" displayFolder="" count="0" unbalanced="0" hidden="1"/>
    <cacheHierarchy uniqueName="[StoreTarget].[Currency]" caption="Currency" attribute="1" defaultMemberUniqueName="[StoreTarget].[Currency].[All]" allUniqueName="[StoreTarget].[Currency].[All]" dimensionUniqueName="[StoreTarget]" displayFolder="" count="0" unbalanced="0" hidden="1"/>
    <cacheHierarchy uniqueName="[StoreTarget].[DwSourceKey]" caption="DwSourceKey" attribute="1" defaultMemberUniqueName="[StoreTarget].[DwSourceKey].[All]" allUniqueName="[StoreTarget].[DwSourceKey].[All]" dimensionUniqueName="[StoreTarget]" displayFolder="" count="0" unbalanced="0" hidden="1"/>
    <cacheHierarchy uniqueName="[StoreTarget].[EtlDate]" caption="EtlDate" attribute="1" defaultMemberUniqueName="[StoreTarget].[EtlDate].[All]" allUniqueName="[StoreTarget].[EtlDate].[All]" dimensionUniqueName="[StoreTarget]" displayFolder="" count="0" unbalanced="0" hidden="1"/>
    <cacheHierarchy uniqueName="[StoreTarget].[LfLFactor]" caption="LfLFactor" attribute="1" defaultMemberUniqueName="[StoreTarget].[LfLFactor].[All]" allUniqueName="[StoreTarget].[LfLFactor].[All]" dimensionUniqueName="[StoreTarget]" displayFolder="" count="0" unbalanced="0" hidden="1"/>
    <cacheHierarchy uniqueName="[StoreTarget].[LocationCode]" caption="LocationCode" attribute="1" defaultMemberUniqueName="[StoreTarget].[LocationCode].[All]" allUniqueName="[StoreTarget].[LocationCode].[All]" dimensionUniqueName="[StoreTarget]" displayFolder="" count="0" unbalanced="0" hidden="1"/>
    <cacheHierarchy uniqueName="[StoreTarget].[LocationKey]" caption="LocationKey" attribute="1" defaultMemberUniqueName="[StoreTarget].[LocationKey].[All]" allUniqueName="[StoreTarget].[LocationKey].[All]" dimensionUniqueName="[StoreTarget]" displayFolder="" count="0" unbalanced="0" hidden="1"/>
    <cacheHierarchy uniqueName="[StoreTarget].[QuantityUnit]" caption="QuantityUnit" attribute="1" defaultMemberUniqueName="[StoreTarget].[QuantityUnit].[All]" allUniqueName="[StoreTarget].[QuantityUnit].[All]" dimensionUniqueName="[StoreTarget]" displayFolder="" count="0" unbalanced="0" hidden="1"/>
    <cacheHierarchy uniqueName="[StoreTarget].[SalesChannelKey]" caption="SalesChannelKey" attribute="1" defaultMemberUniqueName="[StoreTarget].[SalesChannelKey].[All]" allUniqueName="[StoreTarget].[SalesChannelKey].[All]" dimensionUniqueName="[StoreTarget]" displayFolder="" count="0" unbalanced="0" hidden="1"/>
    <cacheHierarchy uniqueName="[StoreTarget].[TargetConversionRate]" caption="TargetConversionRate" attribute="1" defaultMemberUniqueName="[StoreTarget].[TargetConversionRate].[All]" allUniqueName="[StoreTarget].[TargetConversionRate].[All]" dimensionUniqueName="[StoreTarget]" displayFolder="" count="0" unbalanced="0" hidden="1"/>
    <cacheHierarchy uniqueName="[StoreTarget].[TargetDate]" caption="TargetDate" attribute="1" defaultMemberUniqueName="[StoreTarget].[TargetDate].[All]" allUniqueName="[StoreTarget].[TargetDate].[All]" dimensionUniqueName="[StoreTarget]" displayFolder="" count="0" unbalanced="0" hidden="1"/>
    <cacheHierarchy uniqueName="[StoreTarget].[TargetSalesValueLC]" caption="TargetSalesValueLC" attribute="1" defaultMemberUniqueName="[StoreTarget].[TargetSalesValueLC].[All]" allUniqueName="[StoreTarget].[TargetSalesValueLC].[All]" dimensionUniqueName="[StoreTarget]" displayFolder="" count="0" unbalanced="0" hidden="1"/>
    <cacheHierarchy uniqueName="[StoreTarget].[TargetSalesValueTRY]" caption="TargetSalesValueTRY" attribute="1" defaultMemberUniqueName="[StoreTarget].[TargetSalesValueTRY].[All]" allUniqueName="[StoreTarget].[TargetSalesValueTRY].[All]" dimensionUniqueName="[StoreTarget]" displayFolder="" count="0" unbalanced="0" hidden="1"/>
    <cacheHierarchy uniqueName="[StoreTarget].[TargetSalesValueUSD]" caption="TargetSalesValueUSD" attribute="1" defaultMemberUniqueName="[StoreTarget].[TargetSalesValueUSD].[All]" allUniqueName="[StoreTarget].[TargetSalesValueUSD].[All]" dimensionUniqueName="[StoreTarget]" displayFolder="" count="0" unbalanced="0" hidden="1"/>
    <cacheHierarchy uniqueName="[StoreTarget].[TargetType]" caption="TargetType" attribute="1" defaultMemberUniqueName="[StoreTarget].[TargetType].[All]" allUniqueName="[StoreTarget].[TargetType].[All]" dimensionUniqueName="[StoreTarget]" displayFolder="" count="0" unbalanced="0" hidden="1"/>
    <cacheHierarchy uniqueName="[StoreTargetLY].[Cancelled]" caption="Cancelled" attribute="1" defaultMemberUniqueName="[StoreTargetLY].[Cancelled].[All]" allUniqueName="[StoreTargetLY].[Cancelled].[All]" dimensionUniqueName="[StoreTargetLY]" displayFolder="" count="0" unbalanced="0" hidden="1"/>
    <cacheHierarchy uniqueName="[StoreTargetLY].[ChangeByUser]" caption="ChangeByUser" attribute="1" defaultMemberUniqueName="[StoreTargetLY].[ChangeByUser].[All]" allUniqueName="[StoreTargetLY].[ChangeByUser].[All]" dimensionUniqueName="[StoreTargetLY]" displayFolder="" count="0" unbalanced="0" hidden="1"/>
    <cacheHierarchy uniqueName="[StoreTargetLY].[ChangeDate]" caption="ChangeDate" attribute="1" defaultMemberUniqueName="[StoreTargetLY].[ChangeDate].[All]" allUniqueName="[StoreTargetLY].[ChangeDate].[All]" dimensionUniqueName="[StoreTargetLY]" displayFolder="" count="0" unbalanced="0" hidden="1"/>
    <cacheHierarchy uniqueName="[StoreTargetLY].[ChangeTime]" caption="ChangeTime" attribute="1" defaultMemberUniqueName="[StoreTargetLY].[ChangeTime].[All]" allUniqueName="[StoreTargetLY].[ChangeTime].[All]" dimensionUniqueName="[StoreTargetLY]" displayFolder="" count="0" unbalanced="0" hidden="1"/>
    <cacheHierarchy uniqueName="[StoreTargetLY].[CreatedByUser]" caption="CreatedByUser" attribute="1" defaultMemberUniqueName="[StoreTargetLY].[CreatedByUser].[All]" allUniqueName="[StoreTargetLY].[CreatedByUser].[All]" dimensionUniqueName="[StoreTargetLY]" displayFolder="" count="0" unbalanced="0" hidden="1"/>
    <cacheHierarchy uniqueName="[StoreTargetLY].[CreationDate]" caption="CreationDate" attribute="1" defaultMemberUniqueName="[StoreTargetLY].[CreationDate].[All]" allUniqueName="[StoreTargetLY].[CreationDate].[All]" dimensionUniqueName="[StoreTargetLY]" displayFolder="" count="0" unbalanced="0" hidden="1"/>
    <cacheHierarchy uniqueName="[StoreTargetLY].[CreationTime]" caption="CreationTime" attribute="1" defaultMemberUniqueName="[StoreTargetLY].[CreationTime].[All]" allUniqueName="[StoreTargetLY].[CreationTime].[All]" dimensionUniqueName="[StoreTargetLY]" displayFolder="" count="0" unbalanced="0" hidden="1"/>
    <cacheHierarchy uniqueName="[StoreTargetLY].[Currency]" caption="Currency" attribute="1" defaultMemberUniqueName="[StoreTargetLY].[Currency].[All]" allUniqueName="[StoreTargetLY].[Currency].[All]" dimensionUniqueName="[StoreTargetLY]" displayFolder="" count="0" unbalanced="0" hidden="1"/>
    <cacheHierarchy uniqueName="[StoreTargetLY].[DwSourceKey]" caption="DwSourceKey" attribute="1" defaultMemberUniqueName="[StoreTargetLY].[DwSourceKey].[All]" allUniqueName="[StoreTargetLY].[DwSourceKey].[All]" dimensionUniqueName="[StoreTargetLY]" displayFolder="" count="0" unbalanced="0" hidden="1"/>
    <cacheHierarchy uniqueName="[StoreTargetLY].[EtlDate]" caption="EtlDate" attribute="1" defaultMemberUniqueName="[StoreTargetLY].[EtlDate].[All]" allUniqueName="[StoreTargetLY].[EtlDate].[All]" dimensionUniqueName="[StoreTargetLY]" displayFolder="" count="0" unbalanced="0" hidden="1"/>
    <cacheHierarchy uniqueName="[StoreTargetLY].[LfLFactor]" caption="LfLFactor" attribute="1" defaultMemberUniqueName="[StoreTargetLY].[LfLFactor].[All]" allUniqueName="[StoreTargetLY].[LfLFactor].[All]" dimensionUniqueName="[StoreTargetLY]" displayFolder="" count="0" unbalanced="0" hidden="1"/>
    <cacheHierarchy uniqueName="[StoreTargetLY].[LocationCode]" caption="LocationCode" attribute="1" defaultMemberUniqueName="[StoreTargetLY].[LocationCode].[All]" allUniqueName="[StoreTargetLY].[LocationCode].[All]" dimensionUniqueName="[StoreTargetLY]" displayFolder="" count="0" unbalanced="0" hidden="1"/>
    <cacheHierarchy uniqueName="[StoreTargetLY].[LocationKey]" caption="LocationKey" attribute="1" defaultMemberUniqueName="[StoreTargetLY].[LocationKey].[All]" allUniqueName="[StoreTargetLY].[LocationKey].[All]" dimensionUniqueName="[StoreTargetLY]" displayFolder="" count="0" unbalanced="0" hidden="1"/>
    <cacheHierarchy uniqueName="[StoreTargetLY].[QuantityUnit]" caption="QuantityUnit" attribute="1" defaultMemberUniqueName="[StoreTargetLY].[QuantityUnit].[All]" allUniqueName="[StoreTargetLY].[QuantityUnit].[All]" dimensionUniqueName="[StoreTargetLY]" displayFolder="" count="0" unbalanced="0" hidden="1"/>
    <cacheHierarchy uniqueName="[StoreTargetLY].[SalesChannelKey]" caption="SalesChannelKey" attribute="1" defaultMemberUniqueName="[StoreTargetLY].[SalesChannelKey].[All]" allUniqueName="[StoreTargetLY].[SalesChannelKey].[All]" dimensionUniqueName="[StoreTargetLY]" displayFolder="" count="0" unbalanced="0" hidden="1"/>
    <cacheHierarchy uniqueName="[StoreTargetLY].[TargetConversionRate]" caption="TargetConversionRate" attribute="1" defaultMemberUniqueName="[StoreTargetLY].[TargetConversionRate].[All]" allUniqueName="[StoreTargetLY].[TargetConversionRate].[All]" dimensionUniqueName="[StoreTargetLY]" displayFolder="" count="0" unbalanced="0" hidden="1"/>
    <cacheHierarchy uniqueName="[StoreTargetLY].[TargetSalesValueLC]" caption="TargetSalesValueLC" attribute="1" defaultMemberUniqueName="[StoreTargetLY].[TargetSalesValueLC].[All]" allUniqueName="[StoreTargetLY].[TargetSalesValueLC].[All]" dimensionUniqueName="[StoreTargetLY]" displayFolder="" count="0" unbalanced="0" hidden="1"/>
    <cacheHierarchy uniqueName="[StoreTargetLY].[TargetSalesValueTRY]" caption="TargetSalesValueTRY" attribute="1" defaultMemberUniqueName="[StoreTargetLY].[TargetSalesValueTRY].[All]" allUniqueName="[StoreTargetLY].[TargetSalesValueTRY].[All]" dimensionUniqueName="[StoreTargetLY]" displayFolder="" count="0" unbalanced="0" hidden="1"/>
    <cacheHierarchy uniqueName="[StoreTargetLY].[TargetSalesValueUSD]" caption="TargetSalesValueUSD" attribute="1" defaultMemberUniqueName="[StoreTargetLY].[TargetSalesValueUSD].[All]" allUniqueName="[StoreTargetLY].[TargetSalesValueUSD].[All]" dimensionUniqueName="[StoreTargetLY]" displayFolder="" count="0" unbalanced="0" hidden="1"/>
    <cacheHierarchy uniqueName="[StoreTargetLY].[TargetType]" caption="TargetType" attribute="1" defaultMemberUniqueName="[StoreTargetLY].[TargetType].[All]" allUniqueName="[StoreTargetLY].[TargetType].[All]" dimensionUniqueName="[StoreTargetLY]" displayFolder="" count="0" unbalanced="0" hidden="1"/>
    <cacheHierarchy uniqueName="[StoreTargetLY].[TYDate]" caption="TYDate" attribute="1" defaultMemberUniqueName="[StoreTargetLY].[TYDate].[All]" allUniqueName="[StoreTargetLY].[TYDate].[All]" dimensionUniqueName="[StoreTargetLY]" displayFolder="" count="0" unbalanced="0" hidden="1"/>
    <cacheHierarchy uniqueName="[SubDistChannel].[DistrubitionChannelCode]" caption="DistrubitionChannelCode" attribute="1" defaultMemberUniqueName="[SubDistChannel].[DistrubitionChannelCode].[All]" allUniqueName="[SubDistChannel].[DistrubitionChannelCode].[All]" dimensionUniqueName="[SubDistChannel]" displayFolder="" count="0" unbalanced="0" hidden="1"/>
    <cacheHierarchy uniqueName="[SubDistChannel].[DistrubitionChannelDesc]" caption="DistrubitionChannelDesc" attribute="1" defaultMemberUniqueName="[SubDistChannel].[DistrubitionChannelDesc].[All]" allUniqueName="[SubDistChannel].[DistrubitionChannelDesc].[All]" dimensionUniqueName="[SubDistChannel]" displayFolder="" count="0" unbalanced="0" hidden="1"/>
    <cacheHierarchy uniqueName="[SubDistChannel].[DistrubitionChannelKey]" caption="DistrubitionChannelKey" attribute="1" defaultMemberUniqueName="[SubDistChannel].[DistrubitionChannelKey].[All]" allUniqueName="[SubDistChannel].[DistrubitionChannelKey].[All]" dimensionUniqueName="[SubDistChannel]" displayFolder="" count="0" unbalanced="0" hidden="1"/>
    <cacheHierarchy uniqueName="[SubDistChannel].[DWSourceKey]" caption="DWSourceKey" attribute="1" defaultMemberUniqueName="[SubDistChannel].[DWSourceKey].[All]" allUniqueName="[SubDistChannel].[DWSourceKey].[All]" dimensionUniqueName="[SubDistChannel]" displayFolder="" count="0" unbalanced="0" hidden="1"/>
    <cacheHierarchy uniqueName="[SubDistChannel].[EtlDate]" caption="EtlDate" attribute="1" defaultMemberUniqueName="[SubDistChannel].[EtlDate].[All]" allUniqueName="[SubDistChannel].[EtlDate].[All]" dimensionUniqueName="[SubDistChannel]" displayFolder="" count="0" unbalanced="0" hidden="1"/>
    <cacheHierarchy uniqueName="[Visitor].[AdjustedCCR]" caption="AdjustedCCR" attribute="1" defaultMemberUniqueName="[Visitor].[AdjustedCCR].[All]" allUniqueName="[Visitor].[AdjustedCCR].[All]" dimensionUniqueName="[Visitor]" displayFolder="" count="0" unbalanced="0" hidden="1"/>
    <cacheHierarchy uniqueName="[Visitor].[AdjustedVisitorCount]" caption="AdjustedVisitorCount" attribute="1" defaultMemberUniqueName="[Visitor].[AdjustedVisitorCount].[All]" allUniqueName="[Visitor].[AdjustedVisitorCount].[All]" dimensionUniqueName="[Visitor]" displayFolder="" count="0" unbalanced="0" hidden="1"/>
    <cacheHierarchy uniqueName="[Visitor].[CCR_Source]" caption="CCR_Source" attribute="1" defaultMemberUniqueName="[Visitor].[CCR_Source].[All]" allUniqueName="[Visitor].[CCR_Source].[All]" dimensionUniqueName="[Visitor]" displayFolder="" count="0" unbalanced="0" hidden="1"/>
    <cacheHierarchy uniqueName="[Visitor].[CompanyKey]" caption="CompanyKey" attribute="1" defaultMemberUniqueName="[Visitor].[CompanyKey].[All]" allUniqueName="[Visitor].[CompanyKey].[All]" dimensionUniqueName="[Visitor]" displayFolder="" count="0" unbalanced="0" hidden="1"/>
    <cacheHierarchy uniqueName="[Visitor].[CustomerConversionRate]" caption="CustomerConversionRate" attribute="1" defaultMemberUniqueName="[Visitor].[CustomerConversionRate].[All]" allUniqueName="[Visitor].[CustomerConversionRate].[All]" dimensionUniqueName="[Visitor]" displayFolder="" count="0" unbalanced="0" hidden="1"/>
    <cacheHierarchy uniqueName="[Visitor].[DailyInvoiceCount]" caption="DailyInvoiceCount" attribute="1" defaultMemberUniqueName="[Visitor].[DailyInvoiceCount].[All]" allUniqueName="[Visitor].[DailyInvoiceCount].[All]" dimensionUniqueName="[Visitor]" displayFolder="" count="0" unbalanced="0" hidden="1"/>
    <cacheHierarchy uniqueName="[Visitor].[DailyInvoiceReturn]" caption="DailyInvoiceReturn" attribute="1" defaultMemberUniqueName="[Visitor].[DailyInvoiceReturn].[All]" allUniqueName="[Visitor].[DailyInvoiceReturn].[All]" dimensionUniqueName="[Visitor]" displayFolder="" count="0" unbalanced="0" hidden="1"/>
    <cacheHierarchy uniqueName="[Visitor].[DailyInvoiceSale]" caption="DailyInvoiceSale" attribute="1" defaultMemberUniqueName="[Visitor].[DailyInvoiceSale].[All]" allUniqueName="[Visitor].[DailyInvoiceSale].[All]" dimensionUniqueName="[Visitor]" displayFolder="" count="0" unbalanced="0" hidden="1"/>
    <cacheHierarchy uniqueName="[Visitor].[DailyVisitorCount]" caption="DailyVisitorCount" attribute="1" defaultMemberUniqueName="[Visitor].[DailyVisitorCount].[All]" allUniqueName="[Visitor].[DailyVisitorCount].[All]" dimensionUniqueName="[Visitor]" displayFolder="" count="0" unbalanced="0" hidden="1"/>
    <cacheHierarchy uniqueName="[Visitor].[DayoftheWeek]" caption="DayoftheWeek" attribute="1" defaultMemberUniqueName="[Visitor].[DayoftheWeek].[All]" allUniqueName="[Visitor].[DayoftheWeek].[All]" dimensionUniqueName="[Visitor]" displayFolder="" count="0" unbalanced="0" hidden="1"/>
    <cacheHierarchy uniqueName="[Visitor].[DIC_Country]" caption="DIC_Country" attribute="1" defaultMemberUniqueName="[Visitor].[DIC_Country].[All]" allUniqueName="[Visitor].[DIC_Country].[All]" dimensionUniqueName="[Visitor]" displayFolder="" count="0" unbalanced="0" hidden="1"/>
    <cacheHierarchy uniqueName="[Visitor].[DVC_Country]" caption="DVC_Country" attribute="1" defaultMemberUniqueName="[Visitor].[DVC_Country].[All]" allUniqueName="[Visitor].[DVC_Country].[All]" dimensionUniqueName="[Visitor]" displayFolder="" count="0" unbalanced="0" hidden="1"/>
    <cacheHierarchy uniqueName="[Visitor].[ETLDate]" caption="ETLDate" attribute="1" defaultMemberUniqueName="[Visitor].[ETLDate].[All]" allUniqueName="[Visitor].[ETLDate].[All]" dimensionUniqueName="[Visitor]" displayFolder="" count="0" unbalanced="0" hidden="1"/>
    <cacheHierarchy uniqueName="[Visitor].[isAdjustmentRequired]" caption="isAdjustmentRequired" attribute="1" defaultMemberUniqueName="[Visitor].[isAdjustmentRequired].[All]" allUniqueName="[Visitor].[isAdjustmentRequired].[All]" dimensionUniqueName="[Visitor]" displayFolder="" count="0" unbalanced="0" hidden="1"/>
    <cacheHierarchy uniqueName="[Visitor].[LocationKey]" caption="LocationKey" attribute="1" defaultMemberUniqueName="[Visitor].[LocationKey].[All]" allUniqueName="[Visitor].[LocationKey].[All]" dimensionUniqueName="[Visitor]" displayFolder="" count="0" unbalanced="0" hidden="1"/>
    <cacheHierarchy uniqueName="[Visitor].[StoreLfLStatuKey]" caption="StoreLfLStatuKey" attribute="1" defaultMemberUniqueName="[Visitor].[StoreLfLStatuKey].[All]" allUniqueName="[Visitor].[StoreLfLStatuKey].[All]" dimensionUniqueName="[Visitor]" displayFolder="" count="0" unbalanced="0" hidden="1"/>
    <cacheHierarchy uniqueName="[Visitor].[VisitDate]" caption="VisitDate" attribute="1" defaultMemberUniqueName="[Visitor].[VisitDate].[All]" allUniqueName="[Visitor].[VisitDate].[All]" dimensionUniqueName="[Visitor]" displayFolder="" count="0" unbalanced="0" hidden="1"/>
    <cacheHierarchy uniqueName="[VisitorHourly].[LocationKey]" caption="LocationKey" attribute="1" defaultMemberUniqueName="[VisitorHourly].[LocationKey].[All]" allUniqueName="[VisitorHourly].[LocationKey].[All]" dimensionUniqueName="[VisitorHourly]" displayFolder="" count="0" unbalanced="0" hidden="1"/>
    <cacheHierarchy uniqueName="[VisitorHourly].[LYCustomerEntryCount]" caption="LYCustomerEntryCount" attribute="1" defaultMemberUniqueName="[VisitorHourly].[LYCustomerEntryCount].[All]" allUniqueName="[VisitorHourly].[LYCustomerEntryCount].[All]" dimensionUniqueName="[VisitorHourly]" displayFolder="" count="0" unbalanced="0" hidden="1"/>
    <cacheHierarchy uniqueName="[VisitorHourly].[LYLFLFactor]" caption="LYLFLFactor" attribute="1" defaultMemberUniqueName="[VisitorHourly].[LYLFLFactor].[All]" allUniqueName="[VisitorHourly].[LYLFLFactor].[All]" dimensionUniqueName="[VisitorHourly]" displayFolder="" count="0" unbalanced="0" hidden="1"/>
    <cacheHierarchy uniqueName="[VisitorHourly].[SalesChannelKey]" caption="SalesChannelKey" attribute="1" defaultMemberUniqueName="[VisitorHourly].[SalesChannelKey].[All]" allUniqueName="[VisitorHourly].[SalesChannelKey].[All]" dimensionUniqueName="[VisitorHourly]" displayFolder="" count="0" unbalanced="0" hidden="1"/>
    <cacheHierarchy uniqueName="[VisitorHourly].[TYCustomerEntryCount]" caption="TYCustomerEntryCount" attribute="1" defaultMemberUniqueName="[VisitorHourly].[TYCustomerEntryCount].[All]" allUniqueName="[VisitorHourly].[TYCustomerEntryCount].[All]" dimensionUniqueName="[VisitorHourly]" displayFolder="" count="0" unbalanced="0" hidden="1"/>
    <cacheHierarchy uniqueName="[VisitorHourly].[TYLFLFactor]" caption="TYLFLFactor" attribute="1" defaultMemberUniqueName="[VisitorHourly].[TYLFLFactor].[All]" allUniqueName="[VisitorHourly].[TYLFLFactor].[All]" dimensionUniqueName="[VisitorHourly]" displayFolder="" count="0" unbalanced="0" hidden="1"/>
    <cacheHierarchy uniqueName="[VisitorHourly].[VisitDate]" caption="VisitDate" attribute="1" defaultMemberUniqueName="[VisitorHourly].[VisitDate].[All]" allUniqueName="[VisitorHourly].[VisitDate].[All]" dimensionUniqueName="[VisitorHourly]" displayFolder="" count="0" unbalanced="0" hidden="1"/>
    <cacheHierarchy uniqueName="[VisitorHourly].[VisitTimeHH]" caption="VisitTimeHH" attribute="1" defaultMemberUniqueName="[VisitorHourly].[VisitTimeHH].[All]" allUniqueName="[VisitorHourly].[VisitTimeHH].[All]" dimensionUniqueName="[VisitorHourly]" displayFolder="" count="0" unbalanced="0" hidden="1"/>
    <cacheHierarchy uniqueName="[Measures].[TY Avg DC Stock Unit]" caption="TY Avg DC Stock Unit" measure="1" displayFolder="01_TY\_UNIT" measureGroup="StockDC" count="0" oneField="1">
      <fieldsUsage count="1">
        <fieldUsage x="20"/>
      </fieldsUsage>
    </cacheHierarchy>
    <cacheHierarchy uniqueName="[Measures].[TY Avg DC Cus Stock Unit]" caption="TY Avg DC Cus Stock Unit" measure="1" displayFolder="01_TY\_UNIT" measureGroup="StockDC" count="0"/>
    <cacheHierarchy uniqueName="[Measures].[TY Avg DC Transit Stock Unit]" caption="TY Avg DC Transit Stock Unit" measure="1" displayFolder="01_TY\_UNIT" measureGroup="StockDC" count="0"/>
    <cacheHierarchy uniqueName="[Measures].[TY Avg DC Stock Cost LC]" caption="TY Avg DC Stock Cost LC" measure="1" displayFolder="01_TY\LC" measureGroup="StockDC" count="0"/>
    <cacheHierarchy uniqueName="[Measures].[TY Avg DC Transit Stock Cost LC]" caption="TY Avg DC Transit Stock Cost LC" measure="1" displayFolder="01_TY\LC" measureGroup="StockDC" count="0"/>
    <cacheHierarchy uniqueName="[Measures].[TY Avg DC Cus Stock Cost LC]" caption="TY Avg DC Cus Stock Cost LC" measure="1" displayFolder="01_TY\LC" measureGroup="StockDC" count="0"/>
    <cacheHierarchy uniqueName="[Measures].[TY Avg DC Stock Cost TRY]" caption="TY Avg DC Stock Cost TRY" measure="1" displayFolder="01_TY\TRY" measureGroup="StockDC" count="0"/>
    <cacheHierarchy uniqueName="[Measures].[TY Avg DC Transit Stock Cost TRY]" caption="TY Avg DC Transit Stock Cost TRY" measure="1" displayFolder="01_TY\TRY" measureGroup="StockDC" count="0"/>
    <cacheHierarchy uniqueName="[Measures].[TY Avg DC Cus Stock Cost TRY]" caption="TY Avg DC Cus Stock Cost TRY" measure="1" displayFolder="01_TY\TRY" measureGroup="StockDC" count="0"/>
    <cacheHierarchy uniqueName="[Measures].[TY Avg DC Stock Cost USD]" caption="TY Avg DC Stock Cost USD" measure="1" displayFolder="01_TY\USD" measureGroup="StockDC" count="0"/>
    <cacheHierarchy uniqueName="[Measures].[TY Avg DC Transit Stock Cost USD]" caption="TY Avg DC Transit Stock Cost USD" measure="1" displayFolder="01_TY\USD" measureGroup="StockDC" count="0"/>
    <cacheHierarchy uniqueName="[Measures].[TY Avg DC Cus Stock Cost USD]" caption="TY Avg DC Cus Stock Cost USD" measure="1" displayFolder="01_TY\USD" measureGroup="StockDC" count="0"/>
    <cacheHierarchy uniqueName="[Measures].[LY Avg DC Stock Unit]" caption="LY Avg DC Stock Unit" measure="1" displayFolder="02_LY\_UNIT" measureGroup="StockDC" count="0" oneField="1">
      <fieldsUsage count="1">
        <fieldUsage x="21"/>
      </fieldsUsage>
    </cacheHierarchy>
    <cacheHierarchy uniqueName="[Measures].[LY Avg DC Transit Stock Unit]" caption="LY Avg DC Transit Stock Unit" measure="1" displayFolder="02_LY\_UNIT" measureGroup="StockDC" count="0"/>
    <cacheHierarchy uniqueName="[Measures].[LY Avg DC Cus Stock Unit]" caption="LY Avg DC Cus Stock Unit" measure="1" displayFolder="02_LY\_UNIT" measureGroup="StockDC" count="0"/>
    <cacheHierarchy uniqueName="[Measures].[LY Avg DC Stock Cost LC]" caption="LY Avg DC Stock Cost LC" measure="1" displayFolder="02_LY\LC" measureGroup="StockDC" count="0"/>
    <cacheHierarchy uniqueName="[Measures].[LY Avg DC Transit Stock Cost LC]" caption="LY Avg DC Transit Stock Cost LC" measure="1" displayFolder="02_LY\LC" measureGroup="StockDC" count="0"/>
    <cacheHierarchy uniqueName="[Measures].[LY Avg DC Cus Stock Cost LC]" caption="LY Avg DC Cus Stock Cost LC" measure="1" displayFolder="02_LY\LC" measureGroup="StockDC" count="0"/>
    <cacheHierarchy uniqueName="[Measures].[LY Avg DC Stock Cost TRY]" caption="LY Avg DC Stock Cost TRY" measure="1" displayFolder="02_LY\TRY" measureGroup="StockDC" count="0"/>
    <cacheHierarchy uniqueName="[Measures].[LY Avg DC Transit Stock Cost TRY]" caption="LY Avg DC Transit Stock Cost TRY" measure="1" displayFolder="02_LY\TRY" measureGroup="StockDC" count="0"/>
    <cacheHierarchy uniqueName="[Measures].[LY Avg DC Cus Stock Cost TRY]" caption="LY Avg DC Cus Stock Cost TRY" measure="1" displayFolder="02_LY\TRY" measureGroup="StockDC" count="0"/>
    <cacheHierarchy uniqueName="[Measures].[LY Avg DC Stock Cost USD]" caption="LY Avg DC Stock Cost USD" measure="1" displayFolder="02_LY\USD" measureGroup="StockDC" count="0"/>
    <cacheHierarchy uniqueName="[Measures].[LY Avg DC Transit Stock Cost USD]" caption="LY Avg DC Transit Stock Cost USD" measure="1" displayFolder="02_LY\USD" measureGroup="StockDC" count="0"/>
    <cacheHierarchy uniqueName="[Measures].[LY Avg DC Cus Stock Cost USD]" caption="LY Avg DC Cus Stock Cost USD" measure="1" displayFolder="02_LY\USD" measureGroup="StockDC" count="0"/>
    <cacheHierarchy uniqueName="[Measures].[CUR Open Imports DC Stock Unit]" caption="CUR Open Imports DC Stock Unit" measure="1" displayFolder="00_CURRENT" measureGroup="StockDC" count="0"/>
    <cacheHierarchy uniqueName="[Measures].[CUR Open Transfer DC Stock Unit]" caption="CUR Open Transfer DC Stock Unit" measure="1" displayFolder="00_CURRENT" measureGroup="StockDC" count="0"/>
    <cacheHierarchy uniqueName="[Measures].[EOP TY Avg DC Stock Unit]" caption="EOP TY Avg DC Stock Unit" measure="1" displayFolder="01_TY\_UNIT" measureGroup="StockDC" count="0"/>
    <cacheHierarchy uniqueName="[Measures].[EOP TY Avg DC Transit Stock Unit]" caption="EOP TY Avg DC Transit Stock Unit" measure="1" displayFolder="01_TY\_UNIT" measureGroup="StockDC" count="0"/>
    <cacheHierarchy uniqueName="[Measures].[EOP TY Avg DC Cus Stock Unit]" caption="EOP TY Avg DC Cus Stock Unit" measure="1" displayFolder="01_TY\_UNIT" measureGroup="StockDC" count="0"/>
    <cacheHierarchy uniqueName="[Measures].[EOP TY Avg DC Stock Cost LC]" caption="EOP TY Avg DC Stock Cost LC" measure="1" displayFolder="01_TY\LC" measureGroup="StockDC" count="0"/>
    <cacheHierarchy uniqueName="[Measures].[EOP TY Avg DC Transit Stock Cost LC]" caption="EOP TY Avg DC Transit Stock Cost LC" measure="1" displayFolder="01_TY\LC" measureGroup="StockDC" count="0"/>
    <cacheHierarchy uniqueName="[Measures].[EOP TY Avg DC CUS Stock Cost LC]" caption="EOP TY Avg DC CUS Stock Cost LC" measure="1" displayFolder="01_TY\LC" measureGroup="StockDC" count="0"/>
    <cacheHierarchy uniqueName="[Measures].[EOP TY Avg DC Stock Cost TRY]" caption="EOP TY Avg DC Stock Cost TRY" measure="1" displayFolder="01_TY\TRY" measureGroup="StockDC" count="0"/>
    <cacheHierarchy uniqueName="[Measures].[EOP TY Avg DC Cus Stock Cost TRY]" caption="EOP TY Avg DC Cus Stock Cost TRY" measure="1" displayFolder="01_TY\TRY" measureGroup="StockDC" count="0"/>
    <cacheHierarchy uniqueName="[Measures].[EOP TY Avg DC Transit Stock Cost TRY]" caption="EOP TY Avg DC Transit Stock Cost TRY" measure="1" displayFolder="01_TY\TRY" measureGroup="StockDC" count="0"/>
    <cacheHierarchy uniqueName="[Measures].[TY Avg DC Other Stock Unit]" caption="TY Avg DC Other Stock Unit" measure="1" displayFolder="01_TY\_UNIT" measureGroup="StockDC" count="0"/>
    <cacheHierarchy uniqueName="[Measures].[EOP TY Avg DC Other Stock Unit]" caption="EOP TY Avg DC Other Stock Unit" measure="1" displayFolder="01_TY\_UNIT" measureGroup="StockDC" count="0"/>
    <cacheHierarchy uniqueName="[Measures].[TY Avg DC Other Stock Cost LC]" caption="TY Avg DC Other Stock Cost LC" measure="1" displayFolder="01_TY\LC" measureGroup="StockDC" count="0"/>
    <cacheHierarchy uniqueName="[Measures].[EOP TY Avg DC Other Stock Cost LC]" caption="EOP TY Avg DC Other Stock Cost LC" measure="1" displayFolder="01_TY\LC" measureGroup="StockDC" count="0"/>
    <cacheHierarchy uniqueName="[Measures].[TY Avg DC Other Stock Cost TRY]" caption="TY Avg DC Other Stock Cost TRY" measure="1" displayFolder="01_TY\TRY" measureGroup="StockDC" count="0"/>
    <cacheHierarchy uniqueName="[Measures].[EOP TY Avg DC Other Stock Cost TRY]" caption="EOP TY Avg DC Other Stock Cost TRY" measure="1" displayFolder="01_TY\TRY" measureGroup="StockDC" count="0"/>
    <cacheHierarchy uniqueName="[Measures].[TY Avg DC Other Stock Cost USD]" caption="TY Avg DC Other Stock Cost USD" measure="1" displayFolder="01_TY\USD" measureGroup="StockDC" count="0"/>
    <cacheHierarchy uniqueName="[Measures].[EOP TY Avg DC Stock Cost USD]" caption="EOP TY Avg DC Stock Cost USD" measure="1" displayFolder="01_TY\USD" measureGroup="StockDC" count="0"/>
    <cacheHierarchy uniqueName="[Measures].[EOP TY Avg DC Transit Stock Cost USD]" caption="EOP TY Avg DC Transit Stock Cost USD" measure="1" displayFolder="01_TY\USD" measureGroup="StockDC" count="0"/>
    <cacheHierarchy uniqueName="[Measures].[EOP TY Avg DC Cus Stock Cost USD]" caption="EOP TY Avg DC Cus Stock Cost USD" measure="1" displayFolder="01_TY\USD" measureGroup="StockDC" count="0"/>
    <cacheHierarchy uniqueName="[Measures].[EOP TY Avg DC Other Stock Cost USD]" caption="EOP TY Avg DC Other Stock Cost USD" measure="1" displayFolder="01_TY\USD" measureGroup="StockDC" count="0"/>
    <cacheHierarchy uniqueName="[Measures].[LY Avg DC Other Stock Unit]" caption="LY Avg DC Other Stock Unit" measure="1" displayFolder="02_LY\_UNIT" measureGroup="StockDC" count="0"/>
    <cacheHierarchy uniqueName="[Measures].[LY Avg DC Other Stock Cost LC]" caption="LY Avg DC Other Stock Cost LC" measure="1" displayFolder="02_LY\LC" measureGroup="StockDC" count="0"/>
    <cacheHierarchy uniqueName="[Measures].[LY Avg DC Other Stock Cost TRY]" caption="LY Avg DC Other Stock Cost TRY" measure="1" displayFolder="02_LY\TRY" measureGroup="StockDC" count="0"/>
    <cacheHierarchy uniqueName="[Measures].[LY Avg DC Other Stock Cost USD]" caption="LY Avg DC Other Stock Cost USD" measure="1" displayFolder="02_LY\USD" measureGroup="StockDC" count="0"/>
    <cacheHierarchy uniqueName="[Measures].[EOP Goods Receipt PO DC Stock Unit]" caption="EOP Goods Receipt PO DC Stock Unit" measure="1" displayFolder="01_TY\_UNIT" measureGroup="StockDC" count="0"/>
    <cacheHierarchy uniqueName="[Measures].[EOP Goods Receipt PO DC Transit Stock Unit]" caption="EOP Goods Receipt PO DC Transit Stock Unit" measure="1" displayFolder="01_TY\_UNIT" measureGroup="StockDC" count="0"/>
    <cacheHierarchy uniqueName="[Measures].[EOP Goods Receipt PO DC Cus Stock Unit]" caption="EOP Goods Receipt PO DC Cus Stock Unit" measure="1" displayFolder="01_TY\_UNIT" measureGroup="StockDC" count="0"/>
    <cacheHierarchy uniqueName="[Measures].[EOP Goods Receipt PO DC Other Stock Unit]" caption="EOP Goods Receipt PO DC Other Stock Unit" measure="1" displayFolder="01_TY\_UNIT" measureGroup="StockDC" count="0"/>
    <cacheHierarchy uniqueName="[Measures].[CUR Available DC Stock Unit]" caption="CUR Available DC Stock Unit" measure="1" displayFolder="00_CURRENT" measureGroup="StockDC" count="0"/>
    <cacheHierarchy uniqueName="[Measures].[CUR Real DC Stock Unit]" caption="CUR Real DC Stock Unit" measure="1" displayFolder="00_CURRENT" measureGroup="StockDC" count="0"/>
    <cacheHierarchy uniqueName="[Measures].[CUR Open Delivery DC Stock Unit]" caption="CUR Open Delivery DC Stock Unit" measure="1" displayFolder="00_CURRENT" measureGroup="StockDC" count="0"/>
    <cacheHierarchy uniqueName="[Measures].[CUR Open Order DC Stock Unit]" caption="CUR Open Order DC Stock Unit" measure="1" displayFolder="00_CURRENT" measureGroup="StockDC" count="0"/>
    <cacheHierarchy uniqueName="[Measures].[CUR Open Sto DC Stock Unit]" caption="CUR Open Sto DC Stock Unit" measure="1" displayFolder="00_CURRENT" measureGroup="StockDC" count="0"/>
    <cacheHierarchy uniqueName="[Measures].[CUR Safety DC Stock Unit]" caption="CUR Safety DC Stock Unit" measure="1" displayFolder="00_CURRENT" measureGroup="StockDC" count="0"/>
    <cacheHierarchy uniqueName="[Measures].[CUR Buffer DC Stock Unit]" caption="CUR Buffer DC Stock Unit" measure="1" displayFolder="00_CURRENT" measureGroup="StockDC" count="0"/>
    <cacheHierarchy uniqueName="[Measures].[CUR Unapproved Order DC Stock Unit]" caption="CUR Unapproved Order DC Stock Unit" measure="1" displayFolder="00_CURRENT" measureGroup="StockDC" count="0"/>
    <cacheHierarchy uniqueName="[Measures].[EOP LY DC Transit Stock Unit]" caption="EOP LY DC Transit Stock Unit" measure="1" displayFolder="02_LY\_UNIT" measureGroup="StockDC" count="0"/>
    <cacheHierarchy uniqueName="[Measures].[EOP LY DC Cus Stock Unit]" caption="EOP LY DC Cus Stock Unit" measure="1" displayFolder="02_LY\_UNIT" measureGroup="StockDC" count="0"/>
    <cacheHierarchy uniqueName="[Measures].[EOP LY DC Other Stock Unit]" caption="EOP LY DC Other Stock Unit" measure="1" displayFolder="02_LY\_UNIT" measureGroup="StockDC" count="0"/>
    <cacheHierarchy uniqueName="[Measures].[EOP LY DC Stock Unit]" caption="EOP LY DC Stock Unit" measure="1" displayFolder="02_LY\_UNIT" measureGroup="StockDC" count="0"/>
    <cacheHierarchy uniqueName="[Measures].[Kullanılabilir DC Stok Adet]" caption="Kullanılabilir DC Stok Adet" measure="1" displayFolder="00_CURRENT" measureGroup="StockDC" count="0"/>
    <cacheHierarchy uniqueName="[Measures].[TY Avg Store Stock Unit]" caption="TY Avg Store Stock Unit" measure="1" displayFolder="01_TY\_UNIT" measureGroup="StockStore" count="0" oneField="1">
      <fieldsUsage count="1">
        <fieldUsage x="4"/>
      </fieldsUsage>
    </cacheHierarchy>
    <cacheHierarchy uniqueName="[Measures].[TY Avg Store Transit Stock Unit]" caption="TY Avg Store Transit Stock Unit" measure="1" displayFolder="01_TY\_UNIT" measureGroup="StockStore" count="0"/>
    <cacheHierarchy uniqueName="[Measures].[TY Avg Store Stock Cost LC]" caption="TY Avg Store Stock Cost LC" measure="1" displayFolder="01_TY\LC" measureGroup="StockStore" count="0"/>
    <cacheHierarchy uniqueName="[Measures].[TY Avg Store Transit Stock Cost LC]" caption="TY Avg Store Transit Stock Cost LC" measure="1" displayFolder="01_TY\LC" measureGroup="StockStore" count="0"/>
    <cacheHierarchy uniqueName="[Measures].[TY LFL Avg Store Stock Unit]" caption="TY LFL Avg Store Stock Unit" measure="1" displayFolder="02_TYLFL\_UNIT" measureGroup="StockStore" count="0"/>
    <cacheHierarchy uniqueName="[Measures].[TY LFL Avg Store Transit Stock Unit]" caption="TY LFL Avg Store Transit Stock Unit" measure="1" displayFolder="02_TYLFL\_UNIT" measureGroup="StockStore" count="0"/>
    <cacheHierarchy uniqueName="[Measures].[TY LFL Avg Store Stock Cost LC]" caption="TY LFL Avg Store Stock Cost LC" measure="1" displayFolder="02_TYLFL\LC" measureGroup="StockStore" count="0"/>
    <cacheHierarchy uniqueName="[Measures].[TY LFL Avg Store Transit Stock Cost LC]" caption="TY LFL Avg Store Transit Stock Cost LC" measure="1" displayFolder="02_TYLFL\LC" measureGroup="StockStore" count="0"/>
    <cacheHierarchy uniqueName="[Measures].[TY Avg Store Stock Cost TRY]" caption="TY Avg Store Stock Cost TRY" measure="1" displayFolder="01_TY\TRY" measureGroup="StockStore" count="0"/>
    <cacheHierarchy uniqueName="[Measures].[TY Avg Store Transit Stock Cost TRY]" caption="TY Avg Store Transit Stock Cost TRY" measure="1" displayFolder="01_TY\TRY" measureGroup="StockStore" count="0"/>
    <cacheHierarchy uniqueName="[Measures].[TY Avg Store Stock Cost USD]" caption="TY Avg Store Stock Cost USD" measure="1" displayFolder="01_TY\USD" measureGroup="StockStore" count="0"/>
    <cacheHierarchy uniqueName="[Measures].[TY Avg Store Transit Stock Cost USD]" caption="TY Avg Store Transit Stock Cost USD" measure="1" displayFolder="01_TY\USD" measureGroup="StockStore" count="0"/>
    <cacheHierarchy uniqueName="[Measures].[TY LFL Avg Store Stock Cost TRY]" caption="TY LFL Avg Store Stock Cost TRY" measure="1" displayFolder="02_TYLFL\TRY" measureGroup="StockStore" count="0"/>
    <cacheHierarchy uniqueName="[Measures].[TY LFL Avg Store Transit Stock Cost TRY]" caption="TY LFL Avg Store Transit Stock Cost TRY" measure="1" displayFolder="02_TYLFL\TRY" measureGroup="StockStore" count="0"/>
    <cacheHierarchy uniqueName="[Measures].[TY LFL Avg Store Stock Cost USD]" caption="TY LFL Avg Store Stock Cost USD" measure="1" displayFolder="02_TYLFL\USD" measureGroup="StockStore" count="0"/>
    <cacheHierarchy uniqueName="[Measures].[TY LFL Avg Store Transit Stock Cost USD]" caption="TY LFL Avg Store Transit Stock Cost USD" measure="1" displayFolder="02_TYLFL\USD" measureGroup="StockStore" count="0"/>
    <cacheHierarchy uniqueName="[Measures].[StockLastProcessTime]" caption="StockLastProcessTime" measure="1" displayFolder="00_INFO" measureGroup="StockStore" count="0"/>
    <cacheHierarchy uniqueName="[Measures].[LY Avg Store Stock Unit]" caption="LY Avg Store Stock Unit" measure="1" displayFolder="03_LY\_UNIT" measureGroup="StockStore" count="0"/>
    <cacheHierarchy uniqueName="[Measures].[LY Avg Store Transit Stock Unit]" caption="LY Avg Store Transit Stock Unit" measure="1" displayFolder="03_LY\_UNIT" measureGroup="StockStore" count="0"/>
    <cacheHierarchy uniqueName="[Measures].[LY Avg Store Stock Cost LC]" caption="LY Avg Store Stock Cost LC" measure="1" displayFolder="03_LY\LC" measureGroup="StockStore" count="0"/>
    <cacheHierarchy uniqueName="[Measures].[LY Avg Store Transit Stock Cost LC]" caption="LY Avg Store Transit Stock Cost LC" measure="1" displayFolder="03_LY\LC" measureGroup="StockStore" count="0"/>
    <cacheHierarchy uniqueName="[Measures].[LY Avg Store Stock Cost TRY]" caption="LY Avg Store Stock Cost TRY" measure="1" displayFolder="03_LY\TRY" measureGroup="StockStore" count="0"/>
    <cacheHierarchy uniqueName="[Measures].[LY Avg Store Transit Stock Cost TRY]" caption="LY Avg Store Transit Stock Cost TRY" measure="1" displayFolder="03_LY\TRY" measureGroup="StockStore" count="0"/>
    <cacheHierarchy uniqueName="[Measures].[LY Avg Store Stock Cost USD]" caption="LY Avg Store Stock Cost USD" measure="1" displayFolder="03_LY\USD" measureGroup="StockStore" count="0"/>
    <cacheHierarchy uniqueName="[Measures].[LY Avg Store Transit Stock Cost USD]" caption="LY Avg Store Transit Stock Cost USD" measure="1" displayFolder="03_LY\USD" measureGroup="StockStore" count="0"/>
    <cacheHierarchy uniqueName="[Measures].[LY LFL Avg Store Stock Unit]" caption="LY LFL Avg Store Stock Unit" measure="1" displayFolder="04_LYLFL\_UNIT" measureGroup="StockStore" count="0" oneField="1">
      <fieldsUsage count="1">
        <fieldUsage x="17"/>
      </fieldsUsage>
    </cacheHierarchy>
    <cacheHierarchy uniqueName="[Measures].[LY LFL Avg Store Transit Stock Unit]" caption="LY LFL Avg Store Transit Stock Unit" measure="1" displayFolder="04_LYLFL\_UNIT" measureGroup="StockStore" count="0"/>
    <cacheHierarchy uniqueName="[Measures].[LY LFL Avg Store Stock Cost LC]" caption="LY LFL Avg Store Stock Cost LC" measure="1" displayFolder="04_LYLFL\LC" measureGroup="StockStore" count="0"/>
    <cacheHierarchy uniqueName="[Measures].[LY LFL Avg Store Transit Stock Cost LC]" caption="LY LFL Avg Store Transit Stock Cost LC" measure="1" displayFolder="04_LYLFL\LC" measureGroup="StockStore" count="0"/>
    <cacheHierarchy uniqueName="[Measures].[LY LFL Avg Store Stock Cost TRY]" caption="LY LFL Avg Store Stock Cost TRY" measure="1" displayFolder="04_LYLFL\TRY" measureGroup="StockStore" count="0"/>
    <cacheHierarchy uniqueName="[Measures].[LY LFL Avg Store Transit Stock Cost TRY]" caption="LY LFL Avg Store Transit Stock Cost TRY" measure="1" displayFolder="04_LYLFL\TRY" measureGroup="StockStore" count="0"/>
    <cacheHierarchy uniqueName="[Measures].[LY LFL Avg Store Stock Cost USD]" caption="LY LFL Avg Store Stock Cost USD" measure="1" displayFolder="04_LYLFL\USD" measureGroup="StockStore" count="0"/>
    <cacheHierarchy uniqueName="[Measures].[LY LFL Avg Store Transit Stock Cost USD]" caption="LY LFL Avg Store Transit Stock Cost USD" measure="1" displayFolder="04_LYLFL\USD" measureGroup="StockStore" count="0"/>
    <cacheHierarchy uniqueName="[Measures].[CUR Open Imports Store Stock Unit]" caption="CUR Open Imports Store Stock Unit" measure="1" displayFolder="00_CURRENT" measureGroup="StockStore" count="0"/>
    <cacheHierarchy uniqueName="[Measures].[CUR Open Transfer Store Stock Unit]" caption="CUR Open Transfer Store Stock Unit" measure="1" displayFolder="00_CURRENT" measureGroup="StockStore" count="0"/>
    <cacheHierarchy uniqueName="[Measures].[EOP TY Store Stock Unit]" caption="EOP TY Store Stock Unit" measure="1" displayFolder="01_TY\_UNIT" measureGroup="StockStore" count="0"/>
    <cacheHierarchy uniqueName="[Measures].[EOP TY Avg Store Stock Cost LC]" caption="EOP TY Avg Store Stock Cost LC" measure="1" displayFolder="01_TY\LC" measureGroup="StockStore" count="0"/>
    <cacheHierarchy uniqueName="[Measures].[EOP TY Store Transit Stock Unit]" caption="EOP TY Store Transit Stock Unit" measure="1" displayFolder="01_TY\_UNIT" measureGroup="StockStore" count="0"/>
    <cacheHierarchy uniqueName="[Measures].[EOP TY Avg Store Transit Stock Cost LC]" caption="EOP TY Avg Store Transit Stock Cost LC" measure="1" displayFolder="01_TY\LC" measureGroup="StockStore" count="0"/>
    <cacheHierarchy uniqueName="[Measures].[EOP TY Avg Store Stock Cost TRY]" caption="EOP TY Avg Store Stock Cost TRY" measure="1" displayFolder="01_TY\TRY" measureGroup="StockStore" count="0"/>
    <cacheHierarchy uniqueName="[Measures].[EOP TY Avg Store Transit Stock Cost TRY]" caption="EOP TY Avg Store Transit Stock Cost TRY" measure="1" displayFolder="01_TY\TRY" measureGroup="StockStore" count="0"/>
    <cacheHierarchy uniqueName="[Measures].[EOP LY Store Stock Unit]" caption="EOP LY Store Stock Unit" measure="1" displayFolder="03_LY\_UNIT" measureGroup="StockStore" count="0"/>
    <cacheHierarchy uniqueName="[Measures].[EOP LY Store Transit Stock Unit]" caption="EOP LY Store Transit Stock Unit" measure="1" displayFolder="03_LY\_UNIT" measureGroup="StockStore" count="0"/>
    <cacheHierarchy uniqueName="[Measures].[EOP LY Avg Store Stock Cost LC]" caption="EOP LY Avg Store Stock Cost LC" measure="1" displayFolder="03_LY\LC" measureGroup="StockStore" count="0"/>
    <cacheHierarchy uniqueName="[Measures].[EOP LY Avg Store Transit Stock Cost LC]" caption="EOP LY Avg Store Transit Stock Cost LC" measure="1" displayFolder="03_LY\LC" measureGroup="StockStore" count="0"/>
    <cacheHierarchy uniqueName="[Measures].[EOP LY Avg Store Stock Cost TRY]" caption="EOP LY Avg Store Stock Cost TRY" measure="1" displayFolder="03_LY\TRY" measureGroup="StockStore" count="0"/>
    <cacheHierarchy uniqueName="[Measures].[EOP LY Avg Store Transit Stock Cost TRY]" caption="EOP LY Avg Store Transit Stock Cost TRY" measure="1" displayFolder="03_LY\TRY" measureGroup="StockStore" count="0"/>
    <cacheHierarchy uniqueName="[Measures].[TY Avg Store Other Stock Unit]" caption="TY Avg Store Other Stock Unit" measure="1" displayFolder="01_TY\_UNIT" measureGroup="StockStore" count="0"/>
    <cacheHierarchy uniqueName="[Measures].[TY LFL Avg Store Other Stock Unit]" caption="TY LFL Avg Store Other Stock Unit" measure="1" displayFolder="02_TYLFL\_UNIT" measureGroup="StockStore" count="0"/>
    <cacheHierarchy uniqueName="[Measures].[LY Avg Store Other Stock Unit]" caption="LY Avg Store Other Stock Unit" measure="1" displayFolder="03_LY\_UNIT" measureGroup="StockStore" count="0"/>
    <cacheHierarchy uniqueName="[Measures].[LY LFL Avg Store Other Stock Unit]" caption="LY LFL Avg Store Other Stock Unit" measure="1" displayFolder="04_LYLFL\_UNIT" measureGroup="StockStore" count="0"/>
    <cacheHierarchy uniqueName="[Measures].[TY Avg Company Stock Unit]" caption="TY Avg Company Stock Unit" measure="1" displayFolder="01_TY\_UNIT" measureGroup="StockStore" count="0"/>
    <cacheHierarchy uniqueName="[Measures].[TY Avg Store Other Stock Cost TRY]" caption="TY Avg Store Other Stock Cost TRY" measure="1" displayFolder="01_TY\TRY" measureGroup="StockStore" count="0"/>
    <cacheHierarchy uniqueName="[Measures].[EOP TY Avg Company Stock Cost TRY]" caption="EOP TY Avg Company Stock Cost TRY" measure="1" displayFolder="01_TY\TRY" measureGroup="StockStore" count="0"/>
    <cacheHierarchy uniqueName="[Measures].[EOP TY Avg Store Other Stock Cost TRY]" caption="EOP TY Avg Store Other Stock Cost TRY" measure="1" displayFolder="01_TY\TRY" measureGroup="StockStore" count="0"/>
    <cacheHierarchy uniqueName="[Measures].[TY Avg StoreOther Stock Cost LC]" caption="TY Avg StoreOther Stock Cost LC" measure="1" displayFolder="01_TY\LC" measureGroup="StockStore" count="0"/>
    <cacheHierarchy uniqueName="[Measures].[EOP TY Avg Store Other Stock Cost LC]" caption="EOP TY Avg Store Other Stock Cost LC" measure="1" displayFolder="01_TY\LC" measureGroup="StockStore" count="0"/>
    <cacheHierarchy uniqueName="[Measures].[TY Avg Store Other Stock Cost USD]" caption="TY Avg Store Other Stock Cost USD" measure="1" displayFolder="01_TY\USD" measureGroup="StockStore" count="0"/>
    <cacheHierarchy uniqueName="[Measures].[TY Avg Company Stock Cost TRY]" caption="TY Avg Company Stock Cost TRY" measure="1" displayFolder="01_TY\TRY" measureGroup="StockStore" count="0"/>
    <cacheHierarchy uniqueName="[Measures].[TY Avg Company Stock Cost LC]" caption="TY Avg Company Stock Cost LC" measure="1" displayFolder="01_TY\LC" measureGroup="StockStore" count="0"/>
    <cacheHierarchy uniqueName="[Measures].[TY Avg Company Stock Cost USD]" caption="TY Avg Company Stock Cost USD" measure="1" displayFolder="01_TY\USD" measureGroup="StockStore" count="0"/>
    <cacheHierarchy uniqueName="[Measures].[TY Avg Store Other Stock Cost LC]" caption="TY Avg Store Other Stock Cost LC" measure="1" displayFolder="01_TY\LC" measureGroup="StockStore" count="0"/>
    <cacheHierarchy uniqueName="[Measures].[LY Avg Company Stock Unit]" caption="LY Avg Company Stock Unit" measure="1" displayFolder="03_LY\_UNIT" measureGroup="StockStore" count="0"/>
    <cacheHierarchy uniqueName="[Measures].[LY Avg Company Stock Cost LC]" caption="LY Avg Company Stock Cost LC" measure="1" displayFolder="03_LY\LC" measureGroup="StockStore" count="0"/>
    <cacheHierarchy uniqueName="[Measures].[LY Avg Store Other Stock Cost LC]" caption="LY Avg Store Other Stock Cost LC" measure="1" displayFolder="03_LY\LC" measureGroup="StockStore" count="0"/>
    <cacheHierarchy uniqueName="[Measures].[LY Avg Company Stock Cost TRY]" caption="LY Avg Company Stock Cost TRY" measure="1" displayFolder="03_LY\TRY" measureGroup="StockStore" count="0"/>
    <cacheHierarchy uniqueName="[Measures].[LY Avg Company Stock Cost USD]" caption="LY Avg Company Stock Cost USD" measure="1" displayFolder="03_LY\USD" measureGroup="StockStore" count="0"/>
    <cacheHierarchy uniqueName="[Measures].[EOP TY Company Stock Unit]" caption="EOP TY Company Stock Unit" measure="1" displayFolder="01_TY\_UNIT" measureGroup="StockStore" count="0"/>
    <cacheHierarchy uniqueName="[Measures].[EOP TY Store Other Stock Unit]" caption="EOP TY Store Other Stock Unit" measure="1" displayFolder="01_TY\_UNIT" measureGroup="StockStore" count="0"/>
    <cacheHierarchy uniqueName="[Measures].[EOP TY Company Stock Cost TRY]" caption="EOP TY Company Stock Cost TRY" measure="1" displayFolder="01_TY\TRY" measureGroup="StockStore" count="0"/>
    <cacheHierarchy uniqueName="[Measures].[Cur Unit ISP VAT LC]" caption="Cur Unit ISP VAT LC" measure="1" displayFolder="00_CURRENT" measureGroup="StockStore" count="0"/>
    <cacheHierarchy uniqueName="[Measures].[Cur Discounted Unit ISP VAT LC]" caption="Cur Discounted Unit ISP VAT LC" measure="1" displayFolder="00_CURRENT" measureGroup="StockStore" count="0"/>
    <cacheHierarchy uniqueName="[Measures].[CUR Available Store Stock Unit]" caption="CUR Available Store Stock Unit" measure="1" displayFolder="00_CURRENT" measureGroup="StockStore" count="0"/>
    <cacheHierarchy uniqueName="[Measures].[CUR Real Store Stock Unit]" caption="CUR Real Store Stock Unit" measure="1" displayFolder="00_CURRENT" measureGroup="StockStore" count="0"/>
    <cacheHierarchy uniqueName="[Measures].[CUR Open Delivery Store Stock Unit]" caption="CUR Open Delivery Store Stock Unit" measure="1" displayFolder="00_CURRENT" measureGroup="StockStore" count="0"/>
    <cacheHierarchy uniqueName="[Measures].[CUR Open Sto Store Stock Unit]" caption="CUR Open Sto Store Stock Unit" measure="1" displayFolder="00_CURRENT" measureGroup="StockStore" count="0"/>
    <cacheHierarchy uniqueName="[Measures].[CUR Safety Store Stock Unit]" caption="CUR Safety Store Stock Unit" measure="1" displayFolder="00_CURRENT" measureGroup="StockStore" count="0"/>
    <cacheHierarchy uniqueName="[Measures].[CUR Buffer Store Stock Unit]" caption="CUR Buffer Store Stock Unit" measure="1" displayFolder="00_CURRENT" measureGroup="StockStore" count="0"/>
    <cacheHierarchy uniqueName="[Measures].[CUR Unapproved Order Store Stock Unit]" caption="CUR Unapproved Order Store Stock Unit" measure="1" displayFolder="00_CURRENT" measureGroup="StockStore" count="0"/>
    <cacheHierarchy uniqueName="[Measures].[OrderLastProcessTime]" caption="OrderLastProcessTime" measure="1" displayFolder="00_INFO" measureGroup="StockStore" count="0"/>
    <cacheHierarchy uniqueName="[Measures].[AvailableStockProcessTime]" caption="AvailableStockProcessTime" measure="1" displayFolder="00_INFO" measureGroup="StockStore" count="0"/>
    <cacheHierarchy uniqueName="[Measures].[EOP LY Company Stock Unit]" caption="EOP LY Company Stock Unit" measure="1" displayFolder="03_LY\_UNIT" measureGroup="StockStore" count="0"/>
    <cacheHierarchy uniqueName="[Measures].[EOP LY Store Other Stock Unit]" caption="EOP LY Store Other Stock Unit" measure="1" displayFolder="03_LY\_UNIT" measureGroup="StockStore" count="0"/>
    <cacheHierarchy uniqueName="[Measures].[CUR Open Order Store Stock Unit]" caption="CUR Open Order Store Stock Unit" measure="1" displayFolder="00_CURRENT" measureGroup="StockStore" count="0"/>
    <cacheHierarchy uniqueName="[Measures].[EOP TY Store Stock Dm3]" caption="EOP TY Store Stock Dm3" measure="1" displayFolder="01_TY\_VOLUME" measureGroup="StockStore" count="0"/>
    <cacheHierarchy uniqueName="[Measures].[TY Avg Store Stock Dm3]" caption="TY Avg Store Stock Dm3" measure="1" displayFolder="01_TY\_VOLUME" measureGroup="StockStore" count="0"/>
    <cacheHierarchy uniqueName="[Measures].[EOP TY Store Transit Stock Dm3]" caption="EOP TY Store Transit Stock Dm3" measure="1" displayFolder="01_TY\_VOLUME" measureGroup="StockStore" count="0"/>
    <cacheHierarchy uniqueName="[Measures].[CUR Open Transfer Store Stock Dm3]" caption="CUR Open Transfer Store Stock Dm3" measure="1" displayFolder="00_CURRENT" measureGroup="StockStore" count="0"/>
    <cacheHierarchy uniqueName="[Measures].[CUR Unapproved Order Store Stock Dm3]" caption="CUR Unapproved Order Store Stock Dm3" measure="1" displayFolder="00_CURRENT" measureGroup="StockStore" count="0"/>
    <cacheHierarchy uniqueName="[Measures].[CUR Unapproved Order Store Stock Unit Others]" caption="CUR Unapproved Order Store Stock Unit Others" measure="1" displayFolder="00_CURRENT" measureGroup="StockStore" count="0"/>
    <cacheHierarchy uniqueName="[Measures].[CUR Open Transfer Store Stock Unit Others]" caption="CUR Open Transfer Store Stock Unit Others" measure="1" displayFolder="00_CURRENT" measureGroup="StockStore" count="0"/>
    <cacheHierarchy uniqueName="[Measures].[CUR Open Transfer Store Stock Dm3 Others]" caption="CUR Open Transfer Store Stock Dm3 Others" measure="1" displayFolder="00_CURRENT" measureGroup="StockStore" count="0"/>
    <cacheHierarchy uniqueName="[Measures].[CUR Unapproved Order Store Stock Dm3 Others]" caption="CUR Unapproved Order Store Stock Dm3 Others" measure="1" displayFolder="00_CURRENT" measureGroup="StockStore" count="0"/>
    <cacheHierarchy uniqueName="[Measures].[TY Sales Unit]" caption="TY Sales Unit" measure="1" displayFolder="01_TY\_UNIT" measureGroup="Sales" count="0" oneField="1">
      <fieldsUsage count="1">
        <fieldUsage x="2"/>
      </fieldsUsage>
    </cacheHierarchy>
    <cacheHierarchy uniqueName="[Measures].[TY Sales Value VAT LC]" caption="TY Sales Value VAT LC" measure="1" displayFolder="01_TY\LC" measureGroup="Sales" count="0"/>
    <cacheHierarchy uniqueName="[Measures].[TY Sales Value LC]" caption="TY Sales Value LC" measure="1" displayFolder="01_TY\LC" measureGroup="Sales" count="0" oneField="1">
      <fieldsUsage count="1">
        <fieldUsage x="3"/>
      </fieldsUsage>
    </cacheHierarchy>
    <cacheHierarchy uniqueName="[Measures].[TY Sales Cost VAT LC]" caption="TY Sales Cost VAT LC" measure="1" displayFolder="01_TY\LC" measureGroup="Sales" count="0"/>
    <cacheHierarchy uniqueName="[Measures].[TY Sales Cost LC]" caption="TY Sales Cost LC" measure="1" displayFolder="01_TY\LC" measureGroup="Sales" count="0"/>
    <cacheHierarchy uniqueName="[Measures].[TY ISP Sales Value VAT LC]" caption="TY ISP Sales Value VAT LC" measure="1" displayFolder="01_TY\LC" measureGroup="Sales" count="0"/>
    <cacheHierarchy uniqueName="[Measures].[TY ISP Sales Value LC]" caption="TY ISP Sales Value LC" measure="1" displayFolder="01_TY\LC" measureGroup="Sales" count="0"/>
    <cacheHierarchy uniqueName="[Measures].[TY Sales Discount Value VAT LC]" caption="TY Sales Discount Value VAT LC" measure="1" displayFolder="01_TY\LC" measureGroup="Sales" count="0"/>
    <cacheHierarchy uniqueName="[Measures].[TY Sales Discount Value LC]" caption="TY Sales Discount Value LC" measure="1" displayFolder="01_TY\LC" measureGroup="Sales" count="0"/>
    <cacheHierarchy uniqueName="[Measures].[TY Sales Value VAT TRY]" caption="TY Sales Value VAT TRY" measure="1" displayFolder="01_TY\TRY" measureGroup="Sales" count="0"/>
    <cacheHierarchy uniqueName="[Measures].[TY Sales Value TRY]" caption="TY Sales Value TRY" measure="1" displayFolder="01_TY\TRY" measureGroup="Sales" count="0"/>
    <cacheHierarchy uniqueName="[Measures].[TY Sales Cost VAT TRY]" caption="TY Sales Cost VAT TRY" measure="1" displayFolder="01_TY\TRY" measureGroup="Sales" count="0"/>
    <cacheHierarchy uniqueName="[Measures].[TY Sales Cost TRY]" caption="TY Sales Cost TRY" measure="1" displayFolder="01_TY\TRY" measureGroup="Sales" count="0"/>
    <cacheHierarchy uniqueName="[Measures].[TY ISP Sales Value VAT TRY]" caption="TY ISP Sales Value VAT TRY" measure="1" displayFolder="01_TY\TRY" measureGroup="Sales" count="0"/>
    <cacheHierarchy uniqueName="[Measures].[TY ISP Sales Value TRY]" caption="TY ISP Sales Value TRY" measure="1" displayFolder="01_TY\TRY" measureGroup="Sales" count="0"/>
    <cacheHierarchy uniqueName="[Measures].[TY Sales Discount Value VAT TRY]" caption="TY Sales Discount Value VAT TRY" measure="1" displayFolder="01_TY\TRY" measureGroup="Sales" count="0"/>
    <cacheHierarchy uniqueName="[Measures].[TY Sales Discount Value TRY]" caption="TY Sales Discount Value TRY" measure="1" displayFolder="01_TY\TRY" measureGroup="Sales" count="0"/>
    <cacheHierarchy uniqueName="[Measures].[TY Invoice Count]" caption="TY Invoice Count" measure="1" displayFolder="01_TY\_UNIT" measureGroup="Sales" count="0" oneField="1">
      <fieldsUsage count="1">
        <fieldUsage x="12"/>
      </fieldsUsage>
    </cacheHierarchy>
    <cacheHierarchy uniqueName="[Measures].[TY Return Invoice Count]" caption="TY Return Invoice Count" measure="1" displayFolder="01_TY\_UNIT" measureGroup="Sales" count="0"/>
    <cacheHierarchy uniqueName="[Measures].[TY Gross Invoice Count]" caption="TY Gross Invoice Count" measure="1" displayFolder="01_TY\_UNIT" measureGroup="Sales" count="0"/>
    <cacheHierarchy uniqueName="[Measures].[SalesLastProcessTime]" caption="SalesLastProcessTime" measure="1" displayFolder="00_INFO" measureGroup="Sales" count="0"/>
    <cacheHierarchy uniqueName="[Measures].[TY LFL Gross Invoice Count]" caption="TY LFL Gross Invoice Count" measure="1" displayFolder="02_TYLFL\_UNIT" measureGroup="Sales" count="0"/>
    <cacheHierarchy uniqueName="[Measures].[TY LFL Return Invoice Count]" caption="TY LFL Return Invoice Count" measure="1" displayFolder="02_TYLFL\_UNIT" measureGroup="Sales" count="0"/>
    <cacheHierarchy uniqueName="[Measures].[TY LFL Invoice Count]" caption="TY LFL Invoice Count" measure="1" displayFolder="02_TYLFL\_UNIT" measureGroup="Sales" count="0"/>
    <cacheHierarchy uniqueName="[Measures].[LY Sales Unit]" caption="LY Sales Unit" measure="1" displayFolder="03_LY\_UNIT" measureGroup="Sales" count="0"/>
    <cacheHierarchy uniqueName="[Measures].[LY Sales Value VAT LC]" caption="LY Sales Value VAT LC" measure="1" displayFolder="03_LY\LC" measureGroup="Sales" count="0"/>
    <cacheHierarchy uniqueName="[Measures].[LY Sales Value LC]" caption="LY Sales Value LC" measure="1" displayFolder="03_LY\LC" measureGroup="Sales" count="0"/>
    <cacheHierarchy uniqueName="[Measures].[LY Sales Cost VAT LC]" caption="LY Sales Cost VAT LC" measure="1" displayFolder="03_LY\LC" measureGroup="Sales" count="0"/>
    <cacheHierarchy uniqueName="[Measures].[LY Sales Cost LC]" caption="LY Sales Cost LC" measure="1" displayFolder="03_LY\LC" measureGroup="Sales" count="0"/>
    <cacheHierarchy uniqueName="[Measures].[LY ISP Sales Value VAT LC]" caption="LY ISP Sales Value VAT LC" measure="1" displayFolder="03_LY\LC" measureGroup="Sales" count="0"/>
    <cacheHierarchy uniqueName="[Measures].[LY ISP Sales Value LC]" caption="LY ISP Sales Value LC" measure="1" displayFolder="03_LY\LC" measureGroup="Sales" count="0"/>
    <cacheHierarchy uniqueName="[Measures].[LY Sales Discount Value VAT LC]" caption="LY Sales Discount Value VAT LC" measure="1" displayFolder="03_LY\LC" measureGroup="Sales" count="0"/>
    <cacheHierarchy uniqueName="[Measures].[LY Sales Discount Value LC]" caption="LY Sales Discount Value LC" measure="1" displayFolder="03_LY\LC" measureGroup="Sales" count="0"/>
    <cacheHierarchy uniqueName="[Measures].[LY Invoice Count]" caption="LY Invoice Count" measure="1" displayFolder="03_LY\_UNIT" measureGroup="Sales" count="0"/>
    <cacheHierarchy uniqueName="[Measures].[LY Gross Invoice Count]" caption="LY Gross Invoice Count" measure="1" displayFolder="03_LY\_UNIT" measureGroup="Sales" count="0"/>
    <cacheHierarchy uniqueName="[Measures].[LY Return Invoice Count]" caption="LY Return Invoice Count" measure="1" displayFolder="03_LY\_UNIT" measureGroup="Sales" count="0"/>
    <cacheHierarchy uniqueName="[Measures].[TY LFL Sales Unit]" caption="TY LFL Sales Unit" measure="1" displayFolder="02_TYLFL\_UNIT" measureGroup="Sales" count="0"/>
    <cacheHierarchy uniqueName="[Measures].[TY LFL Sales Value VAT LC]" caption="TY LFL Sales Value VAT LC" measure="1" displayFolder="02_TYLFL\LC" measureGroup="Sales" count="0"/>
    <cacheHierarchy uniqueName="[Measures].[TY LFL Sales Value LC]" caption="TY LFL Sales Value LC" measure="1" displayFolder="02_TYLFL\LC" measureGroup="Sales" count="0"/>
    <cacheHierarchy uniqueName="[Measures].[TY LFL Sales Cost VAT LC]" caption="TY LFL Sales Cost VAT LC" measure="1" displayFolder="02_TYLFL\LC" measureGroup="Sales" count="0"/>
    <cacheHierarchy uniqueName="[Measures].[TY LFL Sales Cost LC]" caption="TY LFL Sales Cost LC" measure="1" displayFolder="02_TYLFL\LC" measureGroup="Sales" count="0"/>
    <cacheHierarchy uniqueName="[Measures].[TY LFL ISP Sales Value VAT LC]" caption="TY LFL ISP Sales Value VAT LC" measure="1" displayFolder="02_TYLFL\LC" measureGroup="Sales" count="0"/>
    <cacheHierarchy uniqueName="[Measures].[TY LFL ISP Sales Value LC]" caption="TY LFL ISP Sales Value LC" measure="1" displayFolder="02_TYLFL\LC" measureGroup="Sales" count="0"/>
    <cacheHierarchy uniqueName="[Measures].[TY LFL Sales Discount Value VAT LC]" caption="TY LFL Sales Discount Value VAT LC" measure="1" displayFolder="02_TYLFL\LC" measureGroup="Sales" count="0"/>
    <cacheHierarchy uniqueName="[Measures].[TY LFL Sales Discount Value LC]" caption="TY LFL Sales Discount Value LC" measure="1" displayFolder="02_TYLFL\LC" measureGroup="Sales" count="0"/>
    <cacheHierarchy uniqueName="[Measures].[TY Sales Value VAT USD]" caption="TY Sales Value VAT USD" measure="1" displayFolder="01_TY\USD" measureGroup="Sales" count="0"/>
    <cacheHierarchy uniqueName="[Measures].[TY Sales Value USD]" caption="TY Sales Value USD" measure="1" displayFolder="01_TY\USD" measureGroup="Sales" count="0"/>
    <cacheHierarchy uniqueName="[Measures].[TY Sales Cost VAT USD]" caption="TY Sales Cost VAT USD" measure="1" displayFolder="01_TY\USD" measureGroup="Sales" count="0"/>
    <cacheHierarchy uniqueName="[Measures].[TY Sales Cost USD]" caption="TY Sales Cost USD" measure="1" displayFolder="01_TY\USD" measureGroup="Sales" count="0"/>
    <cacheHierarchy uniqueName="[Measures].[TY ISP Sales Value VAT USD]" caption="TY ISP Sales Value VAT USD" measure="1" displayFolder="01_TY\USD" measureGroup="Sales" count="0"/>
    <cacheHierarchy uniqueName="[Measures].[TY ISP Sales Value USD]" caption="TY ISP Sales Value USD" measure="1" displayFolder="01_TY\USD" measureGroup="Sales" count="0"/>
    <cacheHierarchy uniqueName="[Measures].[TY Sales Discount Value VAT USD]" caption="TY Sales Discount Value VAT USD" measure="1" displayFolder="01_TY\USD" measureGroup="Sales" count="0"/>
    <cacheHierarchy uniqueName="[Measures].[TY Sales Discount Value USD]" caption="TY Sales Discount Value USD" measure="1" displayFolder="01_TY\USD" measureGroup="Sales" count="0"/>
    <cacheHierarchy uniqueName="[Measures].[TY LFL Sales Value VAT TRY]" caption="TY LFL Sales Value VAT TRY" measure="1" displayFolder="02_TYLFL\TRY" measureGroup="Sales" count="0"/>
    <cacheHierarchy uniqueName="[Measures].[TY LFL Sales Value TRY]" caption="TY LFL Sales Value TRY" measure="1" displayFolder="02_TYLFL\TRY" measureGroup="Sales" count="0"/>
    <cacheHierarchy uniqueName="[Measures].[TY LFL Sales Cost VAT TRY]" caption="TY LFL Sales Cost VAT TRY" measure="1" displayFolder="02_TYLFL\TRY" measureGroup="Sales" count="0"/>
    <cacheHierarchy uniqueName="[Measures].[TY LFL Sales Cost TRY]" caption="TY LFL Sales Cost TRY" measure="1" displayFolder="02_TYLFL\TRY" measureGroup="Sales" count="0"/>
    <cacheHierarchy uniqueName="[Measures].[TY LFL ISP Sales Value VAT TRY]" caption="TY LFL ISP Sales Value VAT TRY" measure="1" displayFolder="02_TYLFL\TRY" measureGroup="Sales" count="0"/>
    <cacheHierarchy uniqueName="[Measures].[TY LFL ISP Sales Value TRY]" caption="TY LFL ISP Sales Value TRY" measure="1" displayFolder="02_TYLFL\TRY" measureGroup="Sales" count="0"/>
    <cacheHierarchy uniqueName="[Measures].[TY LFL Sales Discount Value VAT TRY]" caption="TY LFL Sales Discount Value VAT TRY" measure="1" displayFolder="02_TYLFL\TRY" measureGroup="Sales" count="0"/>
    <cacheHierarchy uniqueName="[Measures].[TY LFL Sales Discount Value TRY]" caption="TY LFL Sales Discount Value TRY" measure="1" displayFolder="02_TYLFL\TRY" measureGroup="Sales" count="0"/>
    <cacheHierarchy uniqueName="[Measures].[TY LFL Sales Value VAT USD]" caption="TY LFL Sales Value VAT USD" measure="1" displayFolder="02_TYLFL\USD" measureGroup="Sales" count="0"/>
    <cacheHierarchy uniqueName="[Measures].[TY LFL Sales Value USD]" caption="TY LFL Sales Value USD" measure="1" displayFolder="02_TYLFL\USD" measureGroup="Sales" count="0"/>
    <cacheHierarchy uniqueName="[Measures].[TY LFL Sales Cost VAT USD]" caption="TY LFL Sales Cost VAT USD" measure="1" displayFolder="02_TYLFL\USD" measureGroup="Sales" count="0"/>
    <cacheHierarchy uniqueName="[Measures].[TY LFL Sales Cost USD]" caption="TY LFL Sales Cost USD" measure="1" displayFolder="02_TYLFL\USD" measureGroup="Sales" count="0"/>
    <cacheHierarchy uniqueName="[Measures].[TY LFL ISP Sales Value VAT USD]" caption="TY LFL ISP Sales Value VAT USD" measure="1" displayFolder="02_TYLFL\USD" measureGroup="Sales" count="0"/>
    <cacheHierarchy uniqueName="[Measures].[TY LFL ISP Sales Value USD]" caption="TY LFL ISP Sales Value USD" measure="1" displayFolder="02_TYLFL\USD" measureGroup="Sales" count="0"/>
    <cacheHierarchy uniqueName="[Measures].[TY LFL Sales Discount Value VAT USD]" caption="TY LFL Sales Discount Value VAT USD" measure="1" displayFolder="02_TYLFL\USD" measureGroup="Sales" count="0"/>
    <cacheHierarchy uniqueName="[Measures].[TY LFL Sales Discount Value USD]" caption="TY LFL Sales Discount Value USD" measure="1" displayFolder="02_TYLFL\USD" measureGroup="Sales" count="0"/>
    <cacheHierarchy uniqueName="[Measures].[LY Sales Value VAT TRY]" caption="LY Sales Value VAT TRY" measure="1" displayFolder="03_LY\TRY" measureGroup="Sales" count="0"/>
    <cacheHierarchy uniqueName="[Measures].[LY Sales Value TRY]" caption="LY Sales Value TRY" measure="1" displayFolder="03_LY\TRY" measureGroup="Sales" count="0"/>
    <cacheHierarchy uniqueName="[Measures].[LY Sales Cost VAT TRY]" caption="LY Sales Cost VAT TRY" measure="1" displayFolder="03_LY\TRY" measureGroup="Sales" count="0"/>
    <cacheHierarchy uniqueName="[Measures].[LY Sales Cost TRY]" caption="LY Sales Cost TRY" measure="1" displayFolder="03_LY\TRY" measureGroup="Sales" count="0"/>
    <cacheHierarchy uniqueName="[Measures].[LY ISP Sales Value VAT TRY]" caption="LY ISP Sales Value VAT TRY" measure="1" displayFolder="03_LY\TRY" measureGroup="Sales" count="0"/>
    <cacheHierarchy uniqueName="[Measures].[LY ISP Sales Value TRY]" caption="LY ISP Sales Value TRY" measure="1" displayFolder="03_LY\TRY" measureGroup="Sales" count="0"/>
    <cacheHierarchy uniqueName="[Measures].[LY Sales Discount Value VAT TRY]" caption="LY Sales Discount Value VAT TRY" measure="1" displayFolder="03_LY\TRY" measureGroup="Sales" count="0"/>
    <cacheHierarchy uniqueName="[Measures].[LY Sales Discount Value TRY]" caption="LY Sales Discount Value TRY" measure="1" displayFolder="03_LY\TRY" measureGroup="Sales" count="0"/>
    <cacheHierarchy uniqueName="[Measures].[LY Sales Value VAT USD]" caption="LY Sales Value VAT USD" measure="1" displayFolder="03_LY\USD" measureGroup="Sales" count="0"/>
    <cacheHierarchy uniqueName="[Measures].[LY Sales Value USD]" caption="LY Sales Value USD" measure="1" displayFolder="03_LY\USD" measureGroup="Sales" count="0"/>
    <cacheHierarchy uniqueName="[Measures].[LY Sales Cost VAT USD]" caption="LY Sales Cost VAT USD" measure="1" displayFolder="03_LY\USD" measureGroup="Sales" count="0"/>
    <cacheHierarchy uniqueName="[Measures].[LY Sales Cost USD]" caption="LY Sales Cost USD" measure="1" displayFolder="03_LY\USD" measureGroup="Sales" count="0"/>
    <cacheHierarchy uniqueName="[Measures].[LY ISP Sales Value VAT USD]" caption="LY ISP Sales Value VAT USD" measure="1" displayFolder="03_LY\USD" measureGroup="Sales" count="0"/>
    <cacheHierarchy uniqueName="[Measures].[LY ISP Sales Value USD]" caption="LY ISP Sales Value USD" measure="1" displayFolder="03_LY\USD" measureGroup="Sales" count="0"/>
    <cacheHierarchy uniqueName="[Measures].[LY Sales Discount Value VAT USD]" caption="LY Sales Discount Value VAT USD" measure="1" displayFolder="03_LY\USD" measureGroup="Sales" count="0"/>
    <cacheHierarchy uniqueName="[Measures].[LY Sales Discount Value USD]" caption="LY Sales Discount Value USD" measure="1" displayFolder="03_LY\USD" measureGroup="Sales" count="0"/>
    <cacheHierarchy uniqueName="[Measures].[LY LFL Sales Unit]" caption="LY LFL Sales Unit" measure="1" displayFolder="04_LYLFL\_UNIT" measureGroup="Sales" count="0" oneField="1">
      <fieldsUsage count="1">
        <fieldUsage x="15"/>
      </fieldsUsage>
    </cacheHierarchy>
    <cacheHierarchy uniqueName="[Measures].[LY LFL Sales Value VAT LC]" caption="LY LFL Sales Value VAT LC" measure="1" displayFolder="04_LYLFL\LC" measureGroup="Sales" count="0"/>
    <cacheHierarchy uniqueName="[Measures].[LY LFL Sales Value LC]" caption="LY LFL Sales Value LC" measure="1" displayFolder="04_LYLFL\LC" measureGroup="Sales" count="0" oneField="1">
      <fieldsUsage count="1">
        <fieldUsage x="16"/>
      </fieldsUsage>
    </cacheHierarchy>
    <cacheHierarchy uniqueName="[Measures].[LY LFL Sales Cost VAT LC]" caption="LY LFL Sales Cost VAT LC" measure="1" displayFolder="04_LYLFL\LC" measureGroup="Sales" count="0"/>
    <cacheHierarchy uniqueName="[Measures].[LY LFL Sales Cost LC]" caption="LY LFL Sales Cost LC" measure="1" displayFolder="04_LYLFL\LC" measureGroup="Sales" count="0"/>
    <cacheHierarchy uniqueName="[Measures].[LY LFL ISP Sales Value VAT LC]" caption="LY LFL ISP Sales Value VAT LC" measure="1" displayFolder="04_LYLFL\LC" measureGroup="Sales" count="0"/>
    <cacheHierarchy uniqueName="[Measures].[LY LFL ISP Sales Value LC]" caption="LY LFL ISP Sales Value LC" measure="1" displayFolder="04_LYLFL\LC" measureGroup="Sales" count="0"/>
    <cacheHierarchy uniqueName="[Measures].[LY LFL Sales Discount Value VAT LC]" caption="LY LFL Sales Discount Value VAT LC" measure="1" displayFolder="04_LYLFL\LC" measureGroup="Sales" count="0"/>
    <cacheHierarchy uniqueName="[Measures].[LY LFL Sales Discount Value LC]" caption="LY LFL Sales Discount Value LC" measure="1" displayFolder="04_LYLFL\LC" measureGroup="Sales" count="0"/>
    <cacheHierarchy uniqueName="[Measures].[LY LFL Sales Value VAT TRY]" caption="LY LFL Sales Value VAT TRY" measure="1" displayFolder="04_LYLFL\TRY" measureGroup="Sales" count="0"/>
    <cacheHierarchy uniqueName="[Measures].[LY LFL Sales Value TRY]" caption="LY LFL Sales Value TRY" measure="1" displayFolder="04_LYLFL\TRY" measureGroup="Sales" count="0"/>
    <cacheHierarchy uniqueName="[Measures].[LY LFL Sales Cost VAT TRY]" caption="LY LFL Sales Cost VAT TRY" measure="1" displayFolder="04_LYLFL\TRY" measureGroup="Sales" count="0"/>
    <cacheHierarchy uniqueName="[Measures].[LY LFL Sales Cost TRY]" caption="LY LFL Sales Cost TRY" measure="1" displayFolder="04_LYLFL\TRY" measureGroup="Sales" count="0"/>
    <cacheHierarchy uniqueName="[Measures].[LY LFL ISP Sales Value VAT TRY]" caption="LY LFL ISP Sales Value VAT TRY" measure="1" displayFolder="04_LYLFL\TRY" measureGroup="Sales" count="0"/>
    <cacheHierarchy uniqueName="[Measures].[LY LFL ISP Sales Value TRY]" caption="LY LFL ISP Sales Value TRY" measure="1" displayFolder="04_LYLFL\TRY" measureGroup="Sales" count="0"/>
    <cacheHierarchy uniqueName="[Measures].[LY LFL Sales Discount Value VAT TRY]" caption="LY LFL Sales Discount Value VAT TRY" measure="1" displayFolder="04_LYLFL\TRY" measureGroup="Sales" count="0"/>
    <cacheHierarchy uniqueName="[Measures].[LY LFL Sales Discount Value TRY]" caption="LY LFL Sales Discount Value TRY" measure="1" displayFolder="04_LYLFL\TRY" measureGroup="Sales" count="0"/>
    <cacheHierarchy uniqueName="[Measures].[LY LFL Gross Invoice Count]" caption="LY LFL Gross Invoice Count" measure="1" displayFolder="04_LYLFL\_UNIT" measureGroup="Sales" count="0"/>
    <cacheHierarchy uniqueName="[Measures].[LY LFL Return Invoice Count]" caption="LY LFL Return Invoice Count" measure="1" displayFolder="04_LYLFL\_UNIT" measureGroup="Sales" count="0"/>
    <cacheHierarchy uniqueName="[Measures].[LY LFL Invoice Count]" caption="LY LFL Invoice Count" measure="1" displayFolder="04_LYLFL\_UNIT" measureGroup="Sales" count="0" oneField="1">
      <fieldsUsage count="1">
        <fieldUsage x="14"/>
      </fieldsUsage>
    </cacheHierarchy>
    <cacheHierarchy uniqueName="[Measures].[LY LFL Sales Value VAT USD]" caption="LY LFL Sales Value VAT USD" measure="1" displayFolder="04_LYLFL\USD" measureGroup="Sales" count="0"/>
    <cacheHierarchy uniqueName="[Measures].[LY LFL Sales Value USD]" caption="LY LFL Sales Value USD" measure="1" displayFolder="04_LYLFL\USD" measureGroup="Sales" count="0"/>
    <cacheHierarchy uniqueName="[Measures].[LY LFL Sales Cost VAT USD]" caption="LY LFL Sales Cost VAT USD" measure="1" displayFolder="04_LYLFL\USD" measureGroup="Sales" count="0"/>
    <cacheHierarchy uniqueName="[Measures].[LY LFL Sales Cost USD]" caption="LY LFL Sales Cost USD" measure="1" displayFolder="04_LYLFL\USD" measureGroup="Sales" count="0"/>
    <cacheHierarchy uniqueName="[Measures].[LY LFL ISP Sales Value VAT USD]" caption="LY LFL ISP Sales Value VAT USD" measure="1" displayFolder="04_LYLFL\USD" measureGroup="Sales" count="0"/>
    <cacheHierarchy uniqueName="[Measures].[LY LFL ISP Sales Value USD]" caption="LY LFL ISP Sales Value USD" measure="1" displayFolder="04_LYLFL\USD" measureGroup="Sales" count="0"/>
    <cacheHierarchy uniqueName="[Measures].[LY LFL Sales Discount Value VAT USD]" caption="LY LFL Sales Discount Value VAT USD" measure="1" displayFolder="04_LYLFL\USD" measureGroup="Sales" count="0"/>
    <cacheHierarchy uniqueName="[Measures].[LY LFL Sales Discount Value USD]" caption="LY LFL Sales Discount Value USD" measure="1" displayFolder="04_LYLFL\USD" measureGroup="Sales" count="0"/>
    <cacheHierarchy uniqueName="[Measures].[MinLflDate]" caption="MinLflDate" measure="1" displayFolder="00_INFO" measureGroup="Sales" count="0"/>
    <cacheHierarchy uniqueName="[Measures].[TY Unit Sales Price LC]" caption="TY Unit Sales Price LC" measure="1" displayFolder="01_TY\LC" measureGroup="Sales" count="0" oneField="1">
      <fieldsUsage count="1">
        <fieldUsage x="18"/>
      </fieldsUsage>
    </cacheHierarchy>
    <cacheHierarchy uniqueName="[Measures].[TY Unit Cost LC]" caption="TY Unit Cost LC" measure="1" displayFolder="01_TY\LC" measureGroup="Sales" count="0"/>
    <cacheHierarchy uniqueName="[Measures].[TY Unit ISP LC]" caption="TY Unit ISP LC" measure="1" displayFolder="01_TY\LC" measureGroup="Sales" count="0"/>
    <cacheHierarchy uniqueName="[Measures].[LY Unit Sales Price LC]" caption="LY Unit Sales Price LC" measure="1" displayFolder="03_LY\LC" measureGroup="Sales" count="0"/>
    <cacheHierarchy uniqueName="[Measures].[LY Unit Cost LC]" caption="LY Unit Cost LC" measure="1" displayFolder="03_LY\LC" measureGroup="Sales" count="0"/>
    <cacheHierarchy uniqueName="[Measures].[LY Unit ISP LC]" caption="LY Unit ISP LC" measure="1" displayFolder="03_LY\LC" measureGroup="Sales" count="0"/>
    <cacheHierarchy uniqueName="[Measures].[TY LFL Unit Sales Price LC]" caption="TY LFL Unit Sales Price LC" measure="1" displayFolder="02_TYLFL\LC" measureGroup="Sales" count="0"/>
    <cacheHierarchy uniqueName="[Measures].[TY LFL Unit Cost LC]" caption="TY LFL Unit Cost LC" measure="1" displayFolder="02_TYLFL\LC" measureGroup="Sales" count="0"/>
    <cacheHierarchy uniqueName="[Measures].[TY LFL Unit ISP LC]" caption="TY LFL Unit ISP LC" measure="1" displayFolder="02_TYLFL\LC" measureGroup="Sales" count="0"/>
    <cacheHierarchy uniqueName="[Measures].[LY LFL Unit Sales Price LC]" caption="LY LFL Unit Sales Price LC" measure="1" displayFolder="04_LYLFL\LC" measureGroup="Sales" count="0" oneField="1">
      <fieldsUsage count="1">
        <fieldUsage x="19"/>
      </fieldsUsage>
    </cacheHierarchy>
    <cacheHierarchy uniqueName="[Measures].[LY LFL Unit Cost LC]" caption="LY LFL Unit Cost LC" measure="1" displayFolder="04_LYLFL\LC" measureGroup="Sales" count="0"/>
    <cacheHierarchy uniqueName="[Measures].[LY LFL Unit ISP LC]" caption="LY LFL Unit ISP LC" measure="1" displayFolder="04_LYLFL\LC" measureGroup="Sales" count="0"/>
    <cacheHierarchy uniqueName="[Measures].[TY Unit Sales Price TRY]" caption="TY Unit Sales Price TRY" measure="1" displayFolder="01_TY\TRY" measureGroup="Sales" count="0"/>
    <cacheHierarchy uniqueName="[Measures].[TY Unit Cost TRY]" caption="TY Unit Cost TRY" measure="1" displayFolder="01_TY\TRY" measureGroup="Sales" count="0"/>
    <cacheHierarchy uniqueName="[Measures].[TY Unit ISP TRY]" caption="TY Unit ISP TRY" measure="1" displayFolder="01_TY\TRY" measureGroup="Sales" count="0"/>
    <cacheHierarchy uniqueName="[Measures].[LY Unit Sales Price TRY]" caption="LY Unit Sales Price TRY" measure="1" displayFolder="03_LY\TRY" measureGroup="Sales" count="0"/>
    <cacheHierarchy uniqueName="[Measures].[LY Unit Cost TRY]" caption="LY Unit Cost TRY" measure="1" displayFolder="03_LY\TRY" measureGroup="Sales" count="0"/>
    <cacheHierarchy uniqueName="[Measures].[LY Unit ISP TRY]" caption="LY Unit ISP TRY" measure="1" displayFolder="03_LY\TRY" measureGroup="Sales" count="0"/>
    <cacheHierarchy uniqueName="[Measures].[TY LFL Unit Sales Price TRY]" caption="TY LFL Unit Sales Price TRY" measure="1" displayFolder="02_TYLFL\TRY" measureGroup="Sales" count="0"/>
    <cacheHierarchy uniqueName="[Measures].[TY LFL Unit Cost TRY]" caption="TY LFL Unit Cost TRY" measure="1" displayFolder="02_TYLFL\TRY" measureGroup="Sales" count="0"/>
    <cacheHierarchy uniqueName="[Measures].[TY LFL Unit ISP TRY]" caption="TY LFL Unit ISP TRY" measure="1" displayFolder="02_TYLFL\TRY" measureGroup="Sales" count="0"/>
    <cacheHierarchy uniqueName="[Measures].[LY LFL Unit Sales Price TRY]" caption="LY LFL Unit Sales Price TRY" measure="1" displayFolder="04_LYLFL\TRY" measureGroup="Sales" count="0"/>
    <cacheHierarchy uniqueName="[Measures].[LY LFL Unit Cost TRY]" caption="LY LFL Unit Cost TRY" measure="1" displayFolder="04_LYLFL\TRY" measureGroup="Sales" count="0"/>
    <cacheHierarchy uniqueName="[Measures].[LY LFL Unit ISP TRY]" caption="LY LFL Unit ISP TRY" measure="1" displayFolder="04_LYLFL\TRY" measureGroup="Sales" count="0"/>
    <cacheHierarchy uniqueName="[Measures].[TY Unit Sales Price USD]" caption="TY Unit Sales Price USD" measure="1" displayFolder="01_TY\USD" measureGroup="Sales" count="0"/>
    <cacheHierarchy uniqueName="[Measures].[TY Unit Cost USD]" caption="TY Unit Cost USD" measure="1" displayFolder="01_TY\USD" measureGroup="Sales" count="0"/>
    <cacheHierarchy uniqueName="[Measures].[TY Unit ISP USD]" caption="TY Unit ISP USD" measure="1" displayFolder="01_TY\USD" measureGroup="Sales" count="0"/>
    <cacheHierarchy uniqueName="[Measures].[LY Unit Sales Price USD]" caption="LY Unit Sales Price USD" measure="1" displayFolder="03_LY\USD" measureGroup="Sales" count="0"/>
    <cacheHierarchy uniqueName="[Measures].[LY Unit Cost USD]" caption="LY Unit Cost USD" measure="1" displayFolder="03_LY\USD" measureGroup="Sales" count="0"/>
    <cacheHierarchy uniqueName="[Measures].[LY Unit ISP USD]" caption="LY Unit ISP USD" measure="1" displayFolder="03_LY\USD" measureGroup="Sales" count="0"/>
    <cacheHierarchy uniqueName="[Measures].[TY LFL Unit Sales Price USD]" caption="TY LFL Unit Sales Price USD" measure="1" displayFolder="02_TYLFL\USD" measureGroup="Sales" count="0"/>
    <cacheHierarchy uniqueName="[Measures].[TY LFL Unit Cost USD]" caption="TY LFL Unit Cost USD" measure="1" displayFolder="02_TYLFL\USD" measureGroup="Sales" count="0"/>
    <cacheHierarchy uniqueName="[Measures].[TY LFL Unit ISP USD]" caption="TY LFL Unit ISP USD" measure="1" displayFolder="02_TYLFL\USD" measureGroup="Sales" count="0"/>
    <cacheHierarchy uniqueName="[Measures].[LY LFL Unit Sales Price USD]" caption="LY LFL Unit Sales Price USD" measure="1" displayFolder="04_LYLFL\USD" measureGroup="Sales" count="0"/>
    <cacheHierarchy uniqueName="[Measures].[LY LFL Unit Cost USD]" caption="LY LFL Unit Cost USD" measure="1" displayFolder="04_LYLFL\USD" measureGroup="Sales" count="0"/>
    <cacheHierarchy uniqueName="[Measures].[LY LFL Unit ISP USD]" caption="LY LFL Unit ISP USD" measure="1" displayFolder="04_LYLFL\USD" measureGroup="Sales" count="0"/>
    <cacheHierarchy uniqueName="[Measures].[TY Gross Profit LC]" caption="TY Gross Profit LC" measure="1" displayFolder="01_TY\LC" measureGroup="Sales" count="0" oneField="1">
      <fieldsUsage count="1">
        <fieldUsage x="26"/>
      </fieldsUsage>
    </cacheHierarchy>
    <cacheHierarchy uniqueName="[Measures].[TY Gross Profit VAT LC]" caption="TY Gross Profit VAT LC" measure="1" displayFolder="01_TY\LC" measureGroup="Sales" count="0"/>
    <cacheHierarchy uniqueName="[Measures].[LY Gross Profit LC]" caption="LY Gross Profit LC" measure="1" displayFolder="03_LY\LC" measureGroup="Sales" count="0" oneField="1">
      <fieldsUsage count="1">
        <fieldUsage x="27"/>
      </fieldsUsage>
    </cacheHierarchy>
    <cacheHierarchy uniqueName="[Measures].[LY Gross Profit VAT LC]" caption="LY Gross Profit VAT LC" measure="1" displayFolder="03_LY\LC" measureGroup="Sales" count="0"/>
    <cacheHierarchy uniqueName="[Measures].[TY Gross Profit TRY]" caption="TY Gross Profit TRY" measure="1" displayFolder="01_TY\TRY" measureGroup="Sales" count="0"/>
    <cacheHierarchy uniqueName="[Measures].[TY Gross Profit VAT TRY]" caption="TY Gross Profit VAT TRY" measure="1" displayFolder="01_TY\TRY" measureGroup="Sales" count="0"/>
    <cacheHierarchy uniqueName="[Measures].[TY Gross Profit USD]" caption="TY Gross Profit USD" measure="1" displayFolder="01_TY\USD" measureGroup="Sales" count="0"/>
    <cacheHierarchy uniqueName="[Measures].[TY Gross Profit VAT USD]" caption="TY Gross Profit VAT USD" measure="1" displayFolder="01_TY\USD" measureGroup="Sales" count="0"/>
    <cacheHierarchy uniqueName="[Measures].[LY Gross Profit TRY]" caption="LY Gross Profit TRY" measure="1" displayFolder="03_LY\TRY" measureGroup="Sales" count="0"/>
    <cacheHierarchy uniqueName="[Measures].[LY Gross Profit VAT TRY]" caption="LY Gross Profit VAT TRY" measure="1" displayFolder="03_LY\TRY" measureGroup="Sales" count="0"/>
    <cacheHierarchy uniqueName="[Measures].[LY Gross Profit USD]" caption="LY Gross Profit USD" measure="1" displayFolder="03_LY\USD" measureGroup="Sales" count="0"/>
    <cacheHierarchy uniqueName="[Measures].[LY Gross Profit VAT USD]" caption="LY Gross Profit VAT USD" measure="1" displayFolder="03_LY\USD" measureGroup="Sales" count="0"/>
    <cacheHierarchy uniqueName="[Measures].[TY LFL Gross Profit LC]" caption="TY LFL Gross Profit LC" measure="1" displayFolder="02_TYLFL\LC" measureGroup="Sales" count="0"/>
    <cacheHierarchy uniqueName="[Measures].[TY LFL Gross Profit VAT LC]" caption="TY LFL Gross Profit VAT LC" measure="1" displayFolder="02_TYLFL\LC" measureGroup="Sales" count="0"/>
    <cacheHierarchy uniqueName="[Measures].[TY LFL Gross Profit TRY]" caption="TY LFL Gross Profit TRY" measure="1" displayFolder="02_TYLFL\TRY" measureGroup="Sales" count="0"/>
    <cacheHierarchy uniqueName="[Measures].[TY LFL Gross Profit VAT TRY]" caption="TY LFL Gross Profit VAT TRY" measure="1" displayFolder="02_TYLFL\TRY" measureGroup="Sales" count="0"/>
    <cacheHierarchy uniqueName="[Measures].[TY LFL Gross Profit USD]" caption="TY LFL Gross Profit USD" measure="1" displayFolder="02_TYLFL\USD" measureGroup="Sales" count="0"/>
    <cacheHierarchy uniqueName="[Measures].[TY LFL Gross Profit VAT USD]" caption="TY LFL Gross Profit VAT USD" measure="1" displayFolder="02_TYLFL\USD" measureGroup="Sales" count="0"/>
    <cacheHierarchy uniqueName="[Measures].[LY LFL Gross Profit LC]" caption="LY LFL Gross Profit LC" measure="1" displayFolder="04_LYLFL\LC" measureGroup="Sales" count="0"/>
    <cacheHierarchy uniqueName="[Measures].[LY LFL Gross Profit VAT LC]" caption="LY LFL Gross Profit VAT LC" measure="1" displayFolder="04_LYLFL\LC" measureGroup="Sales" count="0"/>
    <cacheHierarchy uniqueName="[Measures].[LY LFL Gross Profit TRY]" caption="LY LFL Gross Profit TRY" measure="1" displayFolder="04_LYLFL\TRY" measureGroup="Sales" count="0"/>
    <cacheHierarchy uniqueName="[Measures].[LY LFL Gross Profit VAT TRY]" caption="LY LFL Gross Profit VAT TRY" measure="1" displayFolder="04_LYLFL\TRY" measureGroup="Sales" count="0"/>
    <cacheHierarchy uniqueName="[Measures].[LY LFL Gross Profit USD]" caption="LY LFL Gross Profit USD" measure="1" displayFolder="04_LYLFL\USD" measureGroup="Sales" count="0"/>
    <cacheHierarchy uniqueName="[Measures].[LY LFL Gross Profit VAT USD]" caption="LY LFL Gross Profit VAT USD" measure="1" displayFolder="04_LYLFL\USD" measureGroup="Sales" count="0"/>
    <cacheHierarchy uniqueName="[Measures].[TY Unit ISP VAT LC]" caption="TY Unit ISP VAT LC" measure="1" displayFolder="01_TY\LC" measureGroup="Sales" count="0"/>
    <cacheHierarchy uniqueName="[Measures].[LY Unit ISP VAT LC]" caption="LY Unit ISP VAT LC" measure="1" displayFolder="03_LY\LC" measureGroup="Sales" count="0"/>
    <cacheHierarchy uniqueName="[Measures].[TY LFL Unit ISP VAT LC]" caption="TY LFL Unit ISP VAT LC" measure="1" displayFolder="02_TYLFL\LC" measureGroup="Sales" count="0"/>
    <cacheHierarchy uniqueName="[Measures].[LY LFL Unit ISP VAT LC]" caption="LY LFL Unit ISP VAT LC" measure="1" displayFolder="02_TYLFL\LC" measureGroup="Sales" count="0"/>
    <cacheHierarchy uniqueName="[Measures].[TY Unit ISP VAT TRY]" caption="TY Unit ISP VAT TRY" measure="1" displayFolder="01_TY\TRY" measureGroup="Sales" count="0"/>
    <cacheHierarchy uniqueName="[Measures].[LY Unit ISP VAT TRY]" caption="LY Unit ISP VAT TRY" measure="1" displayFolder="03_LY\TRY" measureGroup="Sales" count="0"/>
    <cacheHierarchy uniqueName="[Measures].[TY LFL Unit ISP VAT TRY]" caption="TY LFL Unit ISP VAT TRY" measure="1" displayFolder="02_TYLFL\TRY" measureGroup="Sales" count="0"/>
    <cacheHierarchy uniqueName="[Measures].[LY LFL Unit ISP VAT TRY]" caption="LY LFL Unit ISP VAT TRY" measure="1" displayFolder="04_LYLFL\TRY" measureGroup="Sales" count="0"/>
    <cacheHierarchy uniqueName="[Measures].[TY Unit ISP VAT USD]" caption="TY Unit ISP VAT USD" measure="1" displayFolder="01_TY\USD" measureGroup="Sales" count="0"/>
    <cacheHierarchy uniqueName="[Measures].[LY Unit ISP VAT USD]" caption="LY Unit ISP VAT USD" measure="1" displayFolder="03_LY\USD" measureGroup="Sales" count="0"/>
    <cacheHierarchy uniqueName="[Measures].[TY LFL Unit ISP VAT USD]" caption="TY LFL Unit ISP VAT USD" measure="1" displayFolder="02_TYLFL\USD" measureGroup="Sales" count="0"/>
    <cacheHierarchy uniqueName="[Measures].[LY LFL Unit ISP VAT USD]" caption="LY LFL Unit ISP VAT USD" measure="1" displayFolder="04_LYLFL\USD" measureGroup="Sales" count="0"/>
    <cacheHierarchy uniqueName="[Measures].[TY Target Sales Value LC]" caption="TY Target Sales Value LC" measure="1" displayFolder="01_TY\LC" measureGroup="Sales" count="0"/>
    <cacheHierarchy uniqueName="[Measures].[TY Target Sales Value TRY]" caption="TY Target Sales Value TRY" measure="1" displayFolder="01_TY\TRY" measureGroup="Sales" count="0"/>
    <cacheHierarchy uniqueName="[Measures].[TY Target Sales Value USD]" caption="TY Target Sales Value USD" measure="1" displayFolder="01_TY\USD" measureGroup="Sales" count="0"/>
    <cacheHierarchy uniqueName="[Measures].[LY Target Sales Value LC]" caption="LY Target Sales Value LC" measure="1" displayFolder="03_LY\LC" measureGroup="Sales" count="0"/>
    <cacheHierarchy uniqueName="[Measures].[LY Target Sales Value TRY]" caption="LY Target Sales Value TRY" measure="1" displayFolder="03_LY\TRY" measureGroup="Sales" count="0"/>
    <cacheHierarchy uniqueName="[Measures].[LY Target Sales Value USD]" caption="LY Target Sales Value USD" measure="1" displayFolder="03_LY\USD" measureGroup="Sales" count="0"/>
    <cacheHierarchy uniqueName="[Measures].[TY LFL Target Sales Value LC]" caption="TY LFL Target Sales Value LC" measure="1" displayFolder="02_TYLFL\LC" measureGroup="Sales" count="0"/>
    <cacheHierarchy uniqueName="[Measures].[TY LFL Target Sales Value TRY]" caption="TY LFL Target Sales Value TRY" measure="1" displayFolder="02_TYLFL\TRY" measureGroup="Sales" count="0"/>
    <cacheHierarchy uniqueName="[Measures].[TY LFL Target Sales Value USD]" caption="TY LFL Target Sales Value USD" measure="1" displayFolder="02_TYLFL\USD" measureGroup="Sales" count="0"/>
    <cacheHierarchy uniqueName="[Measures].[LY LFL Target Sales Value LC]" caption="LY LFL Target Sales Value LC" measure="1" displayFolder="04_LYLFL\LC" measureGroup="Sales" count="0"/>
    <cacheHierarchy uniqueName="[Measures].[LY LFL Target Sales Value TRY]" caption="LY LFL Target Sales Value TRY" measure="1" displayFolder="04_LYLFL\TRY" measureGroup="Sales" count="0"/>
    <cacheHierarchy uniqueName="[Measures].[LY LFL Target Sales Value USD]" caption="LY LFL Target Sales Value USD" measure="1" displayFolder="04_LYLFL\USD" measureGroup="Sales" count="0"/>
    <cacheHierarchy uniqueName="[Measures].[TY Sales Cost LC Forecast]" caption="TY Sales Cost LC Forecast" measure="1" displayFolder="01_TY\LC" measureGroup="Sales" count="0"/>
    <cacheHierarchy uniqueName="[Measures].[TY Gross Profit LC Forecast]" caption="TY Gross Profit LC Forecast" measure="1" displayFolder="01_TY\LC" measureGroup="Sales" count="0"/>
    <cacheHierarchy uniqueName="[Measures].[TY Gross Marjin LC% Forecast]" caption="TY Gross Marjin LC% Forecast" measure="1" displayFolder="01_TY\LC" measureGroup="Sales" count="0"/>
    <cacheHierarchy uniqueName="[Measures].[TY Sales Unit Dm3]" caption="TY Sales Unit Dm3" measure="1" displayFolder="01_TY\_VOLUME" measureGroup="Sales" count="0"/>
    <cacheHierarchy uniqueName="[Measures].[TY Sales Budget Unit]" caption="TY Sales Budget Unit" measure="1" displayFolder="TY\_UNIT" measureGroup="SalesBudget" count="0"/>
    <cacheHierarchy uniqueName="[Measures].[TY Sales Budget Value LC]" caption="TY Sales Budget Value LC" measure="1" displayFolder="TY\LC" measureGroup="SalesBudget" count="0"/>
    <cacheHierarchy uniqueName="[Measures].[TY Sales Budget Cost LC]" caption="TY Sales Budget Cost LC" measure="1" displayFolder="TY\LC" measureGroup="SalesBudget" count="0"/>
    <cacheHierarchy uniqueName="[Measures].[TY Sales Budget Profit Value LC]" caption="TY Sales Budget Profit Value LC" measure="1" displayFolder="TY\LC" measureGroup="SalesBudget" count="0"/>
    <cacheHierarchy uniqueName="[Measures].[Achieved TY Sales Budget Unit]" caption="Achieved TY Sales Budget Unit" measure="1" displayFolder="TY\_UNIT" measureGroup="SalesBudget" count="0" oneField="1">
      <fieldsUsage count="1">
        <fieldUsage x="45"/>
      </fieldsUsage>
    </cacheHierarchy>
    <cacheHierarchy uniqueName="[Measures].[Achieved TY Sales Budget Value LC]" caption="Achieved TY Sales Budget Value LC" measure="1" displayFolder="TY\LC" measureGroup="SalesBudget" count="0"/>
    <cacheHierarchy uniqueName="[Measures].[Achieved TY Sales Budget Cost LC]" caption="Achieved TY Sales Budget Cost LC" measure="1" displayFolder="TY\LC" measureGroup="SalesBudget" count="0"/>
    <cacheHierarchy uniqueName="[Measures].[Achieved TY Sales Budget Profit Value LC]" caption="Achieved TY Sales Budget Profit Value LC" measure="1" displayFolder="TY\LC" measureGroup="SalesBudget" count="0"/>
    <cacheHierarchy uniqueName="[Measures].[TY Budget Unit Gap]" caption="TY Budget Unit Gap" measure="1" displayFolder="TY\_UNIT" measureGroup="SalesBudget" count="0"/>
    <cacheHierarchy uniqueName="[Measures].[TY Sales Budget Value LC Gap]" caption="TY Sales Budget Value LC Gap" measure="1" displayFolder="TY\LC" measureGroup="SalesBudget" count="0"/>
    <cacheHierarchy uniqueName="[Measures].[TY Sales Budget Cost LC Gap]" caption="TY Sales Budget Cost LC Gap" measure="1" displayFolder="TY\LC" measureGroup="SalesBudget" count="0"/>
    <cacheHierarchy uniqueName="[Measures].[TY Sales Budget Profit Value LC Gap]" caption="TY Sales Budget Profit Value LC Gap" measure="1" displayFolder="TY\LC" measureGroup="SalesBudget" count="0"/>
    <cacheHierarchy uniqueName="[Measures].[TY Sales Budget Value TRY]" caption="TY Sales Budget Value TRY" measure="1" displayFolder="TY\TRY" measureGroup="SalesBudget" count="0"/>
    <cacheHierarchy uniqueName="[Measures].[TY Sales Budget Cost TRY]" caption="TY Sales Budget Cost TRY" measure="1" displayFolder="TY\TRY" measureGroup="SalesBudget" count="0"/>
    <cacheHierarchy uniqueName="[Measures].[TY Sales Budget Profit Value TRY]" caption="TY Sales Budget Profit Value TRY" measure="1" displayFolder="TY\TRY" measureGroup="SalesBudget" count="0"/>
    <cacheHierarchy uniqueName="[Measures].[TY Sales Budget Value USD]" caption="TY Sales Budget Value USD" measure="1" displayFolder="TY\USD" measureGroup="SalesBudget" count="0"/>
    <cacheHierarchy uniqueName="[Measures].[TY Sales Budget Cost USD]" caption="TY Sales Budget Cost USD" measure="1" displayFolder="TY\USD" measureGroup="SalesBudget" count="0"/>
    <cacheHierarchy uniqueName="[Measures].[Achieved TY Sales Budget Value TRY]" caption="Achieved TY Sales Budget Value TRY" measure="1" displayFolder="TY\TRY" measureGroup="SalesBudget" count="0" oneField="1">
      <fieldsUsage count="1">
        <fieldUsage x="46"/>
      </fieldsUsage>
    </cacheHierarchy>
    <cacheHierarchy uniqueName="[Measures].[Achieved TY Sales Budget Cost TRY]" caption="Achieved TY Sales Budget Cost TRY" measure="1" displayFolder="TY\TRY" measureGroup="SalesBudget" count="0"/>
    <cacheHierarchy uniqueName="[Measures].[Achieved TY Sales Budget Profit Value TRY]" caption="Achieved TY Sales Budget Profit Value TRY" measure="1" displayFolder="TY\TRY" measureGroup="SalesBudget" count="0" oneField="1">
      <fieldsUsage count="1">
        <fieldUsage x="47"/>
      </fieldsUsage>
    </cacheHierarchy>
    <cacheHierarchy uniqueName="[Measures].[Achieved TY Sales Budget Value USD]" caption="Achieved TY Sales Budget Value USD" measure="1" displayFolder="TY\USD" measureGroup="SalesBudget" count="0"/>
    <cacheHierarchy uniqueName="[Measures].[TY Sales Budget Profit Value USD]" caption="TY Sales Budget Profit Value USD" measure="1" displayFolder="TY\USD" measureGroup="SalesBudget" count="0"/>
    <cacheHierarchy uniqueName="[Measures].[Achieved TY Sales Budget Cost USD]" caption="Achieved TY Sales Budget Cost USD" measure="1" displayFolder="TY\USD" measureGroup="SalesBudget" count="0"/>
    <cacheHierarchy uniqueName="[Measures].[TY Sales Budget Value TRY Gap]" caption="TY Sales Budget Value TRY Gap" measure="1" displayFolder="TY\TRY" measureGroup="SalesBudget" count="0"/>
    <cacheHierarchy uniqueName="[Measures].[TY Sales Budget Cost TRY Gap]" caption="TY Sales Budget Cost TRY Gap" measure="1" displayFolder="TY\TRY" measureGroup="SalesBudget" count="0"/>
    <cacheHierarchy uniqueName="[Measures].[TY Sales Budget Profit Value TRY Gap]" caption="TY Sales Budget Profit Value TRY Gap" measure="1" displayFolder="TY\TRY" measureGroup="SalesBudget" count="0"/>
    <cacheHierarchy uniqueName="[Measures].[Achieved TY Sales Budget Profit Value USD]" caption="Achieved TY Sales Budget Profit Value USD" measure="1" displayFolder="TY\USD" measureGroup="SalesBudget" count="0"/>
    <cacheHierarchy uniqueName="[Measures].[TY Sales Budget Value USD Gap]" caption="TY Sales Budget Value USD Gap" measure="1" displayFolder="TY\USD" measureGroup="SalesBudget" count="0"/>
    <cacheHierarchy uniqueName="[Measures].[TY Sales Budget Cost USD Gap]" caption="TY Sales Budget Cost USD Gap" measure="1" displayFolder="TY\USD" measureGroup="SalesBudget" count="0"/>
    <cacheHierarchy uniqueName="[Measures].[TY Sales Budget Profit Value USD Gap]" caption="TY Sales Budget Profit Value USD Gap" measure="1" displayFolder="TY\USD" measureGroup="SalesBudget" count="0"/>
    <cacheHierarchy uniqueName="[Measures].[LY Sales Budget Unit]" caption="LY Sales Budget Unit" measure="1" displayFolder="LY\_UNIT" measureGroup="SalesBudget" count="0"/>
    <cacheHierarchy uniqueName="[Measures].[Achieved LY Sales Budget Unit]" caption="Achieved LY Sales Budget Unit" measure="1" displayFolder="LY\_UNIT" measureGroup="SalesBudget" count="0"/>
    <cacheHierarchy uniqueName="[Measures].[LY Budget Unit Gap]" caption="LY Budget Unit Gap" measure="1" displayFolder="LY\_UNIT" measureGroup="SalesBudget" count="0"/>
    <cacheHierarchy uniqueName="[Measures].[LY Sales Budget Value LC]" caption="LY Sales Budget Value LC" measure="1" displayFolder="LY\LC" measureGroup="SalesBudget" count="0"/>
    <cacheHierarchy uniqueName="[Measures].[LY Sales Budget Cost LC]" caption="LY Sales Budget Cost LC" measure="1" displayFolder="LY\LC" measureGroup="SalesBudget" count="0"/>
    <cacheHierarchy uniqueName="[Measures].[LY Sales Budget Profit Value LC]" caption="LY Sales Budget Profit Value LC" measure="1" displayFolder="LY\LC" measureGroup="SalesBudget" count="0"/>
    <cacheHierarchy uniqueName="[Measures].[Achieved LY Sales Budget Value LC]" caption="Achieved LY Sales Budget Value LC" measure="1" displayFolder="LY\LC" measureGroup="SalesBudget" count="0"/>
    <cacheHierarchy uniqueName="[Measures].[Achieved LY Sales Budget Cost LC]" caption="Achieved LY Sales Budget Cost LC" measure="1" displayFolder="LY\LC" measureGroup="SalesBudget" count="0"/>
    <cacheHierarchy uniqueName="[Measures].[Achieved LY Sales Budget Profit Value LC]" caption="Achieved LY Sales Budget Profit Value LC" measure="1" displayFolder="LY\LC" measureGroup="SalesBudget" count="0"/>
    <cacheHierarchy uniqueName="[Measures].[LY Sales Budget Value LC Gap]" caption="LY Sales Budget Value LC Gap" measure="1" displayFolder="LY\LC" measureGroup="SalesBudget" count="0"/>
    <cacheHierarchy uniqueName="[Measures].[LY Sales Budget Cost LC Gap]" caption="LY Sales Budget Cost LC Gap" measure="1" displayFolder="LY\LC" measureGroup="SalesBudget" count="0"/>
    <cacheHierarchy uniqueName="[Measures].[LY Sales Budget Profit Value LC Gap]" caption="LY Sales Budget Profit Value LC Gap" measure="1" displayFolder="LY\LC" measureGroup="SalesBudget" count="0"/>
    <cacheHierarchy uniqueName="[Measures].[LY Sales Budget Value TRY]" caption="LY Sales Budget Value TRY" measure="1" displayFolder="LY\TRY" measureGroup="SalesBudget" count="0"/>
    <cacheHierarchy uniqueName="[Measures].[LY Sales Budget Cost TRY]" caption="LY Sales Budget Cost TRY" measure="1" displayFolder="LY\TRY" measureGroup="SalesBudget" count="0"/>
    <cacheHierarchy uniqueName="[Measures].[LY Sales Budget Profit Value TRY]" caption="LY Sales Budget Profit Value TRY" measure="1" displayFolder="LY\TRY" measureGroup="SalesBudget" count="0"/>
    <cacheHierarchy uniqueName="[Measures].[LY Sales Budget Value USD]" caption="LY Sales Budget Value USD" measure="1" displayFolder="LY\USD" measureGroup="SalesBudget" count="0"/>
    <cacheHierarchy uniqueName="[Measures].[LY Sales Budget Cost USD]" caption="LY Sales Budget Cost USD" measure="1" displayFolder="LY\USD" measureGroup="SalesBudget" count="0"/>
    <cacheHierarchy uniqueName="[Measures].[Achieved LY Sales Budget Value TRY]" caption="Achieved LY Sales Budget Value TRY" measure="1" displayFolder="LY\TRY" measureGroup="SalesBudget" count="0"/>
    <cacheHierarchy uniqueName="[Measures].[Achieved LY Sales Budget Cost TRY]" caption="Achieved LY Sales Budget Cost TRY" measure="1" displayFolder="LY\TRY" measureGroup="SalesBudget" count="0"/>
    <cacheHierarchy uniqueName="[Measures].[Achieved LY Sales Budget Profit Value TRY]" caption="Achieved LY Sales Budget Profit Value TRY" measure="1" displayFolder="LY\TRY" measureGroup="SalesBudget" count="0"/>
    <cacheHierarchy uniqueName="[Measures].[Achieved LY Sales Budget Value USD]" caption="Achieved LY Sales Budget Value USD" measure="1" displayFolder="LY\USD" measureGroup="SalesBudget" count="0"/>
    <cacheHierarchy uniqueName="[Measures].[LY Sales Budget Profit Value USD]" caption="LY Sales Budget Profit Value USD" measure="1" displayFolder="LY\USD" measureGroup="SalesBudget" count="0"/>
    <cacheHierarchy uniqueName="[Measures].[Achieved LY Sales Budget Cost USD]" caption="Achieved LY Sales Budget Cost USD" measure="1" displayFolder="LY\USD" measureGroup="SalesBudget" count="0"/>
    <cacheHierarchy uniqueName="[Measures].[LY Sales Budget Value TRY Gap]" caption="LY Sales Budget Value TRY Gap" measure="1" displayFolder="LY\TRY" measureGroup="SalesBudget" count="0"/>
    <cacheHierarchy uniqueName="[Measures].[LY Sales Budget Cost TRY Gap]" caption="LY Sales Budget Cost TRY Gap" measure="1" displayFolder="LY\TRY" measureGroup="SalesBudget" count="0"/>
    <cacheHierarchy uniqueName="[Measures].[LY Sales Budget Profit Value TRY Gap]" caption="LY Sales Budget Profit Value TRY Gap" measure="1" displayFolder="LY\TRY" measureGroup="SalesBudget" count="0"/>
    <cacheHierarchy uniqueName="[Measures].[Achieved LY Sales Budget Profit Value USD]" caption="Achieved LY Sales Budget Profit Value USD" measure="1" displayFolder="LY\USD" measureGroup="SalesBudget" count="0"/>
    <cacheHierarchy uniqueName="[Measures].[LY Sales Budget Value USD Gap]" caption="LY Sales Budget Value USD Gap" measure="1" displayFolder="LY\USD" measureGroup="SalesBudget" count="0"/>
    <cacheHierarchy uniqueName="[Measures].[LY Sales Budget Cost USD Gap]" caption="LY Sales Budget Cost USD Gap" measure="1" displayFolder="LY\USD" measureGroup="SalesBudget" count="0"/>
    <cacheHierarchy uniqueName="[Measures].[LY Sales Budget Profit Value USD Gap]" caption="LY Sales Budget Profit Value USD Gap" measure="1" displayFolder="LY\USD" measureGroup="SalesBudget" count="0"/>
    <cacheHierarchy uniqueName="[Measures].[TY Sales Budget Gross Marjin TRY%]" caption="TY Sales Budget Gross Marjin TRY%" measure="1" displayFolder="TY\TRY" measureGroup="SalesBudget" count="0"/>
    <cacheHierarchy uniqueName="[Measures].[TY Sales Budget Gross _x0009_Marjin LC%]" caption="TY Sales Budget Gross _x0009_Marjin LC%" measure="1" displayFolder="TY\LC" measureGroup="SalesBudget" count="0"/>
    <cacheHierarchy uniqueName="[Measures].[TY Sales Budget Gross Marjin USD%]" caption="TY Sales Budget Gross Marjin USD%" measure="1" displayFolder="TY\USD" measureGroup="SalesBudget" count="0"/>
    <cacheHierarchy uniqueName="[Measures].[TY Gross Marjin TRY%]" caption="TY Gross Marjin TRY%" measure="1" displayFolder="01_TY\TRY" measureGroup="KPI" count="0"/>
    <cacheHierarchy uniqueName="[Measures].[TY Gross Marjin LC%]" caption="TY Gross Marjin LC%" measure="1" displayFolder="01_TY\LC" measureGroup="KPI" count="0" oneField="1">
      <fieldsUsage count="1">
        <fieldUsage x="24"/>
      </fieldsUsage>
    </cacheHierarchy>
    <cacheHierarchy uniqueName="[Measures].[TY Gross Marjin USD%]" caption="TY Gross Marjin USD%" measure="1" displayFolder="01_TY\USD" measureGroup="KPI" count="0"/>
    <cacheHierarchy uniqueName="[Measures].[LY Gross Marjin LC%]" caption="LY Gross Marjin LC%" measure="1" displayFolder="03_LY\LC" measureGroup="KPI" count="0" oneField="1">
      <fieldsUsage count="1">
        <fieldUsage x="25"/>
      </fieldsUsage>
    </cacheHierarchy>
    <cacheHierarchy uniqueName="[Measures].[LY Gross Marjin TRY%]" caption="LY Gross Marjin TRY%" measure="1" displayFolder="03_LY\TRY" measureGroup="KPI" count="0"/>
    <cacheHierarchy uniqueName="[Measures].[LY Gross Marjin USD%]" caption="LY Gross Marjin USD%" measure="1" displayFolder="03_LY\USD" measureGroup="KPI" count="0"/>
    <cacheHierarchy uniqueName="[Measures].[TY LFL Gross Marjin LC%]" caption="TY LFL Gross Marjin LC%" measure="1" displayFolder="02_TYLFL\LC" measureGroup="KPI" count="0"/>
    <cacheHierarchy uniqueName="[Measures].[TY LFL Gross Marjin TRY%]" caption="TY LFL Gross Marjin TRY%" measure="1" displayFolder="02_TYLFL\TRY" measureGroup="KPI" count="0"/>
    <cacheHierarchy uniqueName="[Measures].[TY LFL Gross Marjin USD%]" caption="TY LFL Gross Marjin USD%" measure="1" displayFolder="02_TYLFL\USD" measureGroup="KPI" count="0"/>
    <cacheHierarchy uniqueName="[Measures].[LY LFL Gross Marjin LC%]" caption="LY LFL Gross Marjin LC%" measure="1" displayFolder="04_LYLFL\LC" measureGroup="KPI" count="0"/>
    <cacheHierarchy uniqueName="[Measures].[LY LFL Gross Marjin TRY%]" caption="LY LFL Gross Marjin TRY%" measure="1" displayFolder="04_LYLFL\TRY" measureGroup="KPI" count="0"/>
    <cacheHierarchy uniqueName="[Measures].[LY LFL Gross Marjin USD%]" caption="LY LFL Gross Marjin USD%" measure="1" displayFolder="04_LYLFL\USD" measureGroup="KPI" count="0"/>
    <cacheHierarchy uniqueName="[Measures].[TY Store Back Cover LC]" caption="TY Store Back Cover LC" measure="1" displayFolder="01_TY\LC" measureGroup="KPI" count="0"/>
    <cacheHierarchy uniqueName="[Measures].[TY Store Back Cover Unit]" caption="TY Store Back Cover Unit" measure="1" displayFolder="01_TY\UNIT" measureGroup="KPI" count="0"/>
    <cacheHierarchy uniqueName="[Measures].[TY Store Turnover Unit]" caption="TY Store Turnover Unit" measure="1" displayFolder="01_TY\_UNIT" measureGroup="KPI" count="0"/>
    <cacheHierarchy uniqueName="[Measures].[TY Store Turnover  LC]" caption="TY Store Turnover  LC" measure="1" displayFolder="01_TY\LC" measureGroup="KPI" count="0"/>
    <cacheHierarchy uniqueName="[Measures].[TY Store Turnover TRY]" caption="TY Store Turnover TRY" measure="1" displayFolder="01_TY\TRY" measureGroup="KPI" count="0"/>
    <cacheHierarchy uniqueName="[Measures].[TY Store Turnover USD]" caption="TY Store Turnover USD" measure="1" displayFolder="01_TY\USD" measureGroup="KPI" count="0"/>
    <cacheHierarchy uniqueName="[Measures].[TY Actual MarkDown LC%]" caption="TY Actual MarkDown LC%" measure="1" displayFolder="01_TY\LC" measureGroup="KPI" count="0"/>
    <cacheHierarchy uniqueName="[Measures].[TY Actual MarkDown TRY%]" caption="TY Actual MarkDown TRY%" measure="1" displayFolder="01_TY\TRY" measureGroup="KPI" count="0"/>
    <cacheHierarchy uniqueName="[Measures].[TY Actual MarkDown USD%]" caption="TY Actual MarkDown USD%" measure="1" displayFolder="01_TY\USD" measureGroup="KPI" count="0"/>
    <cacheHierarchy uniqueName="[Measures].[TY Store Back Cover TRY]" caption="TY Store Back Cover TRY" measure="1" displayFolder="01_TY\TRY" measureGroup="KPI" count="0"/>
    <cacheHierarchy uniqueName="[Measures].[TY Store Back Cover USD]" caption="TY Store Back Cover USD" measure="1" displayFolder="01_TY\USD" measureGroup="KPI" count="0"/>
    <cacheHierarchy uniqueName="[Measures].[TY LFL Store Back Cover Unit]" caption="TY LFL Store Back Cover Unit" measure="1" displayFolder="02_TYLFL\_UNIT" measureGroup="KPI" count="0"/>
    <cacheHierarchy uniqueName="[Measures].[LY Store Turnover Unit]" caption="LY Store Turnover Unit" measure="1" displayFolder="03_LY\_UNIT" measureGroup="KPI" count="0"/>
    <cacheHierarchy uniqueName="[Measures].[LY Store Turnover  LC]" caption="LY Store Turnover  LC" measure="1" displayFolder="03_LY\LC" measureGroup="KPI" count="0"/>
    <cacheHierarchy uniqueName="[Measures].[LY Store Turnover TRY]" caption="LY Store Turnover TRY" measure="1" displayFolder="03_LY\TRY" measureGroup="KPI" count="0"/>
    <cacheHierarchy uniqueName="[Measures].[LY Store Turnover USD]" caption="LY Store Turnover USD" measure="1" displayFolder="03_LY\USD" measureGroup="KPI" count="0"/>
    <cacheHierarchy uniqueName="[Measures].[TY LFL Store Turnover Unit]" caption="TY LFL Store Turnover Unit" measure="1" displayFolder="02_TYLFL\_UNIT" measureGroup="KPI" count="0"/>
    <cacheHierarchy uniqueName="[Measures].[TY LFL Store Turnover  LC]" caption="TY LFL Store Turnover  LC" measure="1" displayFolder="02_TYLFL\LC" measureGroup="KPI" count="0"/>
    <cacheHierarchy uniqueName="[Measures].[TY LFL Store Turnover TRY]" caption="TY LFL Store Turnover TRY" measure="1" displayFolder="02_TYLFL\TRY" measureGroup="KPI" count="0"/>
    <cacheHierarchy uniqueName="[Measures].[TY LFL Store Turnover USD]" caption="TY LFL Store Turnover USD" measure="1" displayFolder="02_TYLFL\USD" measureGroup="KPI" count="0"/>
    <cacheHierarchy uniqueName="[Measures].[LY LFL Store Turnover Unit]" caption="LY LFL Store Turnover Unit" measure="1" displayFolder="04_LYLFL\_UNIT" measureGroup="KPI" count="0"/>
    <cacheHierarchy uniqueName="[Measures].[LY LFL Store Turnover  LC]" caption="LY LFL Store Turnover  LC" measure="1" displayFolder="04_LYLFL\LC" measureGroup="KPI" count="0"/>
    <cacheHierarchy uniqueName="[Measures].[LY LFL Store Turnover TRY]" caption="LY LFL Store Turnover TRY" measure="1" displayFolder="04_LYLFL\TRY" measureGroup="KPI" count="0"/>
    <cacheHierarchy uniqueName="[Measures].[LY LFL Store Turnover USD]" caption="LY LFL Store Turnover USD" measure="1" displayFolder="04_LYLFL\USD" measureGroup="KPI" count="0"/>
    <cacheHierarchy uniqueName="[Measures].[TY Actual MarkUp LC]" caption="TY Actual MarkUp LC" measure="1" displayFolder="01_TY\LC" measureGroup="KPI" count="0"/>
    <cacheHierarchy uniqueName="[Measures].[TY Actual MarkUp TRY]" caption="TY Actual MarkUp TRY" measure="1" displayFolder="01_TY\TRY" measureGroup="KPI" count="0"/>
    <cacheHierarchy uniqueName="[Measures].[TY Actual MarkUp USD]" caption="TY Actual MarkUp USD" measure="1" displayFolder="01_TY\USD" measureGroup="KPI" count="0"/>
    <cacheHierarchy uniqueName="[Measures].[LY Actual MarkUp LC]" caption="LY Actual MarkUp LC" measure="1" displayFolder="03_LY\LC" measureGroup="KPI" count="0"/>
    <cacheHierarchy uniqueName="[Measures].[LY Actual MarkUp TRY]" caption="LY Actual MarkUp TRY" measure="1" displayFolder="03_LY\TRY" measureGroup="KPI" count="0"/>
    <cacheHierarchy uniqueName="[Measures].[LY Actual MarkUp USD]" caption="LY Actual MarkUp USD" measure="1" displayFolder="03_LY\USD" measureGroup="KPI" count="0"/>
    <cacheHierarchy uniqueName="[Measures].[TY LFL Actual MarkUp LC]" caption="TY LFL Actual MarkUp LC" measure="1" displayFolder="02_TYLFL\LC" measureGroup="KPI" count="0"/>
    <cacheHierarchy uniqueName="[Measures].[TY LFL Actual MarkUp TRY]" caption="TY LFL Actual MarkUp TRY" measure="1" displayFolder="02_TYLFL\TRY" measureGroup="KPI" count="0"/>
    <cacheHierarchy uniqueName="[Measures].[TY LFL Actual MarkUp USD]" caption="TY LFL Actual MarkUp USD" measure="1" displayFolder="02_TYLFL\USD" measureGroup="KPI" count="0"/>
    <cacheHierarchy uniqueName="[Measures].[LY LFL Actual MarkUp LC]" caption="LY LFL Actual MarkUp LC" measure="1" displayFolder="04_LYLFL\LC" measureGroup="KPI" count="0"/>
    <cacheHierarchy uniqueName="[Measures].[LY LFL Actual MarkUp TRY]" caption="LY LFL Actual MarkUp TRY" measure="1" displayFolder="04_LYLFL\TRY" measureGroup="KPI" count="0"/>
    <cacheHierarchy uniqueName="[Measures].[LY LFL Actual MarkUp USD]" caption="LY LFL Actual MarkUp USD" measure="1" displayFolder="04_LYLFL\USD" measureGroup="KPI" count="0"/>
    <cacheHierarchy uniqueName="[Measures].[LY Store Back Cover Unit]" caption="LY Store Back Cover Unit" measure="1" displayFolder="03_LY\_UNIT" measureGroup="KPI" count="0"/>
    <cacheHierarchy uniqueName="[Measures].[LY LFL Store Back Cover Unit]" caption="LY LFL Store Back Cover Unit" measure="1" displayFolder="04_LYLFL\_UNIT" measureGroup="KPI" count="0"/>
    <cacheHierarchy uniqueName="[Measures].[TY Conversion Rate]" caption="TY Conversion Rate" measure="1" displayFolder="01_TY\_UNIT" measureGroup="KPI" count="0"/>
    <cacheHierarchy uniqueName="[Measures].[LY Conversion Rate]" caption="LY Conversion Rate" measure="1" displayFolder="03_LY\_UNIT" measureGroup="KPI" count="0"/>
    <cacheHierarchy uniqueName="[Measures].[TY LFL Conversion Rate]" caption="TY LFL Conversion Rate" measure="1" displayFolder="02_TYLFL\_UNIT" measureGroup="KPI" count="0"/>
    <cacheHierarchy uniqueName="[Measures].[LY LFL Conversion Rate]" caption="LY LFL Conversion Rate" measure="1" displayFolder="04_LYLFL\_UNIT" measureGroup="KPI" count="0"/>
    <cacheHierarchy uniqueName="[Measures].[TY MerchYearWeekCount]" caption="TY MerchYearWeekCount" measure="1" displayFolder="00_INFO" measureGroup="KPI" count="0"/>
    <cacheHierarchy uniqueName="[Measures].[LY MerchYearWeekCount]" caption="LY MerchYearWeekCount" measure="1" displayFolder="00_INFO" measureGroup="KPI" count="0"/>
    <cacheHierarchy uniqueName="[Measures].[LY Store Back Cover LC]" caption="LY Store Back Cover LC" measure="1" displayFolder="03_LY\LC" measureGroup="KPI" count="0"/>
    <cacheHierarchy uniqueName="[Measures].[LY Store Back Cover TRY]" caption="LY Store Back Cover TRY" measure="1" displayFolder="03_LY\TRY" measureGroup="KPI" count="0"/>
    <cacheHierarchy uniqueName="[Measures].[LY Store Back Cover USD]" caption="LY Store Back Cover USD" measure="1" displayFolder="03_LY\USD" measureGroup="KPI" count="0"/>
    <cacheHierarchy uniqueName="[Measures].[TY LFL Store Back Cover LC]" caption="TY LFL Store Back Cover LC" measure="1" displayFolder="02_TYLFL\LC" measureGroup="KPI" count="0"/>
    <cacheHierarchy uniqueName="[Measures].[TYLFL MerchYearWeekCount]" caption="TYLFL MerchYearWeekCount" measure="1" displayFolder="00_INFO" measureGroup="KPI" count="0"/>
    <cacheHierarchy uniqueName="[Measures].[LYLFL MerchYearWeekCount]" caption="LYLFL MerchYearWeekCount" measure="1" displayFolder="00_INFO" measureGroup="KPI" count="0"/>
    <cacheHierarchy uniqueName="[Measures].[Sales Value TYvsLY LC%]" caption="Sales Value TYvsLY LC%" measure="1" displayFolder="01_TY\LC" measureGroup="KPI" count="0"/>
    <cacheHierarchy uniqueName="[Measures].[Sales Value TYvsLY TRY%]" caption="Sales Value TYvsLY TRY%" measure="1" displayFolder="01_TY\TRY" measureGroup="KPI" count="0"/>
    <cacheHierarchy uniqueName="[Measures].[Sales Value TYvsLY USD%]" caption="Sales Value TYvsLY USD%" measure="1" displayFolder="01_TY\USD" measureGroup="KPI" count="0"/>
    <cacheHierarchy uniqueName="[Measures].[Sales Unit TYvsLY%]" caption="Sales Unit TYvsLY%" measure="1" displayFolder="01_TY\_UNIT" measureGroup="KPI" count="0"/>
    <cacheHierarchy uniqueName="[Measures].[LFL Sales Unit TYvsLY%]" caption="LFL Sales Unit TYvsLY%" measure="1" displayFolder="02_TYLFL\_UNIT" measureGroup="KPI" count="0" oneField="1">
      <fieldsUsage count="1">
        <fieldUsage x="29"/>
      </fieldsUsage>
    </cacheHierarchy>
    <cacheHierarchy uniqueName="[Measures].[LFL Sales Value TYvsLY LC%]" caption="LFL Sales Value TYvsLY LC%" measure="1" displayFolder="02_TYLFL\LC" measureGroup="KPI" count="0" oneField="1">
      <fieldsUsage count="1">
        <fieldUsage x="30"/>
      </fieldsUsage>
    </cacheHierarchy>
    <cacheHierarchy uniqueName="[Measures].[LFL Sales Value TYvsLY TRY%]" caption="LFL Sales Value TYvsLY TRY%" measure="1" displayFolder="02_TYLFL\TRY" measureGroup="KPI" count="0"/>
    <cacheHierarchy uniqueName="[Measures].[LFL Sales Value TYvsLY USD%]" caption="LFL Sales Value TYvsLY USD%" measure="1" displayFolder="02_TYLFL\USD" measureGroup="KPI" count="0"/>
    <cacheHierarchy uniqueName="[Measures].[Store Stock Unit TYvsLY%]" caption="Store Stock Unit TYvsLY%" measure="1" displayFolder="01_TY\_UNIT" measureGroup="KPI" count="0"/>
    <cacheHierarchy uniqueName="[Measures].[Store Stock Cost TYvsLY LC%]" caption="Store Stock Cost TYvsLY LC%" measure="1" displayFolder="01_TY\LC" measureGroup="KPI" count="0"/>
    <cacheHierarchy uniqueName="[Measures].[Store Stock Cost TYvsLY TRY%]" caption="Store Stock Cost TYvsLY TRY%" measure="1" displayFolder="01_TY\TRY" measureGroup="KPI" count="0"/>
    <cacheHierarchy uniqueName="[Measures].[Store Stock Cost TYvsLY USD%]" caption="Store Stock Cost TYvsLY USD%" measure="1" displayFolder="01_TY\USD" measureGroup="KPI" count="0"/>
    <cacheHierarchy uniqueName="[Measures].[LFL Store Stock Unit TYvsLY%]" caption="LFL Store Stock Unit TYvsLY%" measure="1" displayFolder="02_TYLFL\_UNIT" measureGroup="KPI" count="0" oneField="1">
      <fieldsUsage count="1">
        <fieldUsage x="28"/>
      </fieldsUsage>
    </cacheHierarchy>
    <cacheHierarchy uniqueName="[Measures].[LFL Store Stock Cost TYvsLY LC%]" caption="LFL Store Stock Cost TYvsLY LC%" measure="1" displayFolder="02_TYLFL\LC" measureGroup="KPI" count="0"/>
    <cacheHierarchy uniqueName="[Measures].[LFL Stock Cost TYvsLY TRY%]" caption="LFL Stock Cost TYvsLY TRY%" measure="1" displayFolder="02_TYLFL\TRY" measureGroup="KPI" count="0"/>
    <cacheHierarchy uniqueName="[Measures].[LFL Store Stock Cost TYvsLY USD%]" caption="LFL Store Stock Cost TYvsLY USD%" measure="1" displayFolder="02_TYLFL\USD" measureGroup="KPI" count="0"/>
    <cacheHierarchy uniqueName="[Measures].[Unit Sales Price TYvsLY LC%]" caption="Unit Sales Price TYvsLY LC%" measure="1" displayFolder="01_TY\LC" measureGroup="KPI" count="0"/>
    <cacheHierarchy uniqueName="[Measures].[Unit Sales Price TYvsLY TRY%]" caption="Unit Sales Price TYvsLY TRY%" measure="1" displayFolder="01_TY\TRY" measureGroup="KPI" count="0"/>
    <cacheHierarchy uniqueName="[Measures].[Unit Sales Price TYvsLY USD%]" caption="Unit Sales Price TYvsLY USD%" measure="1" displayFolder="01_TY\USD" measureGroup="KPI" count="0"/>
    <cacheHierarchy uniqueName="[Measures].[LFL Unit Sales Price TYvsLY LC%]" caption="LFL Unit Sales Price TYvsLY LC%" measure="1" displayFolder="02_TYLFL\LC" measureGroup="KPI" count="0"/>
    <cacheHierarchy uniqueName="[Measures].[LFL Unit Sales Price TYvsLY TRY%]" caption="LFL Unit Sales Price TYvsLY TRY%" measure="1" displayFolder="02_TYLFL\TRY" measureGroup="KPI" count="0"/>
    <cacheHierarchy uniqueName="[Measures].[LFL Unit Sales Price TYvsLY USD%]" caption="LFL Unit Sales Price TYvsLY USD%" measure="1" displayFolder="02_TYLFL\USD" measureGroup="KPI" count="0"/>
    <cacheHierarchy uniqueName="[Measures].[Unit Cost TYvsLY LC%]" caption="Unit Cost TYvsLY LC%" measure="1" displayFolder="01_TY\LC" measureGroup="KPI" count="0"/>
    <cacheHierarchy uniqueName="[Measures].[Unit Cost TYvsLY TRY%]" caption="Unit Cost TYvsLY TRY%" measure="1" displayFolder="01_TY\TRY" measureGroup="KPI" count="0"/>
    <cacheHierarchy uniqueName="[Measures].[Unit Cost TYvsLY USD%]" caption="Unit Cost TYvsLY USD%" measure="1" displayFolder="01_TY\USD" measureGroup="KPI" count="0"/>
    <cacheHierarchy uniqueName="[Measures].[LFL Unit Cost TYvsLY LC%]" caption="LFL Unit Cost TYvsLY LC%" measure="1" displayFolder="02_TYLFL\LC" measureGroup="KPI" count="0"/>
    <cacheHierarchy uniqueName="[Measures].[LFL Unit Cost TYvsLY TRY%]" caption="LFL Unit Cost TYvsLY TRY%" measure="1" displayFolder="02_TYLFL\TRY" measureGroup="KPI" count="0"/>
    <cacheHierarchy uniqueName="[Measures].[LFL Unit Cost TYvsLY USD%]" caption="LFL Unit Cost TYvsLY USD%" measure="1" displayFolder="02_TYLFL\USD" measureGroup="KPI" count="0"/>
    <cacheHierarchy uniqueName="[Measures].[Unit ISP TYvsLY LC%]" caption="Unit ISP TYvsLY LC%" measure="1" displayFolder="01_TY\LC" measureGroup="KPI" count="0"/>
    <cacheHierarchy uniqueName="[Measures].[Unit ISP TYvsLY TRY%]" caption="Unit ISP TYvsLY TRY%" measure="1" displayFolder="01_TY\TRY" measureGroup="KPI" count="0"/>
    <cacheHierarchy uniqueName="[Measures].[Unit ISP TYvsLY USD%]" caption="Unit ISP TYvsLY USD%" measure="1" displayFolder="01_TY\USD" measureGroup="KPI" count="0"/>
    <cacheHierarchy uniqueName="[Measures].[LFL Unit ISP TYvsLY LC%]" caption="LFL Unit ISP TYvsLY LC%" measure="1" displayFolder="02_TYLFL\LC" measureGroup="KPI" count="0"/>
    <cacheHierarchy uniqueName="[Measures].[LFL Unit ISP TYvsLY TRY%]" caption="LFL Unit ISP TYvsLY TRY%" measure="1" displayFolder="02_TYLFL\TRY" measureGroup="KPI" count="0"/>
    <cacheHierarchy uniqueName="[Measures].[LFL Unit ISP TYvsLY USD%]" caption="LFL Unit ISP TYvsLY USD%" measure="1" displayFolder="02_TYLFL\USD" measureGroup="KPI" count="0"/>
    <cacheHierarchy uniqueName="[Measures].[Store Back Cover Unit TYvsLY%]" caption="Store Back Cover Unit TYvsLY%" measure="1" displayFolder="01_TY\_UNIT" measureGroup="KPI" count="0"/>
    <cacheHierarchy uniqueName="[Measures].[LFL Store Back Cover Unit TYvsLY%]" caption="LFL Store Back Cover Unit TYvsLY%" measure="1" displayFolder="02_TYLFL\_UNIT" measureGroup="KPI" count="0"/>
    <cacheHierarchy uniqueName="[Measures].[Gross Marjin TYvsLY LC%]" caption="Gross Marjin TYvsLY LC%" measure="1" displayFolder="01_TY\LC" measureGroup="KPI" count="0"/>
    <cacheHierarchy uniqueName="[Measures].[Gross Marjin TYvsLY TRY%]" caption="Gross Marjin TYvsLY TRY%" measure="1" displayFolder="01_TY\TRY" measureGroup="KPI" count="0"/>
    <cacheHierarchy uniqueName="[Measures].[Gross Marjin TYvsLY USD%]" caption="Gross Marjin TYvsLY USD%" measure="1" displayFolder="01_TY\USD" measureGroup="KPI" count="0"/>
    <cacheHierarchy uniqueName="[Measures].[LFL Gross Marjin TYvsLY LC%]" caption="LFL Gross Marjin TYvsLY LC%" measure="1" displayFolder="02_TYLFL\LC" measureGroup="KPI" count="0"/>
    <cacheHierarchy uniqueName="[Measures].[LFL Gross Marjin TYvsLY TRY%]" caption="LFL Gross Marjin TYvsLY TRY%" measure="1" displayFolder="02_TYLFL\TRY" measureGroup="KPI" count="0"/>
    <cacheHierarchy uniqueName="[Measures].[LFL Gross Marjin TYvsLY USD%]" caption="LFL Gross Marjin TYvsLY USD%" measure="1" displayFolder="02_TYLFL\USD" measureGroup="KPI" count="0"/>
    <cacheHierarchy uniqueName="[Measures].[Sales Profit TYvsLY LC%]" caption="Sales Profit TYvsLY LC%" measure="1" displayFolder="01_TY\LC" measureGroup="KPI" count="0"/>
    <cacheHierarchy uniqueName="[Measures].[Sales Profit TYvsLY TRY%]" caption="Sales Profit TYvsLY TRY%" measure="1" displayFolder="01_TY\TRY" measureGroup="KPI" count="0"/>
    <cacheHierarchy uniqueName="[Measures].[Sales Profit TYvsLY USD%]" caption="Sales Profit TYvsLY USD%" measure="1" displayFolder="01_TY\USD" measureGroup="KPI" count="0"/>
    <cacheHierarchy uniqueName="[Measures].[LFL Sales Profit TYvsLY LC%]" caption="LFL Sales Profit TYvsLY LC%" measure="1" displayFolder="02_TYLFL\LC" measureGroup="KPI" count="0" oneField="1">
      <fieldsUsage count="1">
        <fieldUsage x="31"/>
      </fieldsUsage>
    </cacheHierarchy>
    <cacheHierarchy uniqueName="[Measures].[LFL Sales Profit TYvsLY TRY%]" caption="LFL Sales Profit TYvsLY TRY%" measure="1" displayFolder="02_TYLFL\TRY" measureGroup="KPI" count="0"/>
    <cacheHierarchy uniqueName="[Measures].[LFL Sales Profit TYvsLY USD%]" caption="LFL Sales Profit TYvsLY USD%" measure="1" displayFolder="02_TYLFL\USD" measureGroup="KPI" count="0"/>
    <cacheHierarchy uniqueName="[Measures].[TY LFL Store Back Cover TRY]" caption="TY LFL Store Back Cover TRY" measure="1" displayFolder="02_TYLFL\TRY" measureGroup="KPI" count="0"/>
    <cacheHierarchy uniqueName="[Measures].[TY LFL Store Back Cover USD]" caption="TY LFL Store Back Cover USD" measure="1" displayFolder="02_TYLFL\USD" measureGroup="KPI" count="0"/>
    <cacheHierarchy uniqueName="[Measures].[LY LFL Store Back Cover LC]" caption="LY LFL Store Back Cover LC" measure="1" displayFolder="04_LYLFL\LC" measureGroup="KPI" count="0"/>
    <cacheHierarchy uniqueName="[Measures].[LY LFL Store Back Cover TRY]" caption="LY LFL Store Back Cover TRY" measure="1" displayFolder="04_LYLFL\TRY" measureGroup="KPI" count="0"/>
    <cacheHierarchy uniqueName="[Measures].[LY LFL Store Back Cover USD]" caption="LY LFL Store Back Cover USD" measure="1" displayFolder="04_LYLFL\USD" measureGroup="KPI" count="0"/>
    <cacheHierarchy uniqueName="[Measures].[Store Back Cover TYvsLY LC%]" caption="Store Back Cover TYvsLY LC%" measure="1" displayFolder="01_TY\LC" measureGroup="KPI" count="0"/>
    <cacheHierarchy uniqueName="[Measures].[Store Back Cover TYvsLY TRY%]" caption="Store Back Cover TYvsLY TRY%" measure="1" displayFolder="01_TY\TRY" measureGroup="KPI" count="0"/>
    <cacheHierarchy uniqueName="[Measures].[Store Back Cover TYvsLY USD%]" caption="Store Back Cover TYvsLY USD%" measure="1" displayFolder="01_TY\USD" measureGroup="KPI" count="0"/>
    <cacheHierarchy uniqueName="[Measures].[LFL Store Back Cover TYvsLY LC%]" caption="LFL Store Back Cover TYvsLY LC%" measure="1" displayFolder="02_TYLFL\LC" measureGroup="KPI" count="0"/>
    <cacheHierarchy uniqueName="[Measures].[LFL Store Back Cover TYvsLY TRY%]" caption="LFL Store Back Cover TYvsLY TRY%" measure="1" displayFolder="02_TYLFL\TRY" measureGroup="KPI" count="0"/>
    <cacheHierarchy uniqueName="[Measures].[LFL Store Back Cover TYvsLY USD%]" caption="LFL Store Back Cover TYvsLY USD%" measure="1" displayFolder="02_TYLFL\USD" measureGroup="KPI" count="0"/>
    <cacheHierarchy uniqueName="[Measures].[TY GMROII LC]" caption="TY GMROII LC" measure="1" displayFolder="01_TY\LC" measureGroup="KPI" count="0"/>
    <cacheHierarchy uniqueName="[Measures].[TY GMROII TRY]" caption="TY GMROII TRY" measure="1" displayFolder="01_TY\TRY" measureGroup="KPI" count="0"/>
    <cacheHierarchy uniqueName="[Measures].[TY GMROII USD]" caption="TY GMROII USD" measure="1" displayFolder="01_TY\USD" measureGroup="KPI" count="0"/>
    <cacheHierarchy uniqueName="[Measures].[LY GMROII LC]" caption="LY GMROII LC" measure="1" displayFolder="03_LY\LC" measureGroup="KPI" count="0"/>
    <cacheHierarchy uniqueName="[Measures].[LY GMROII TRY]" caption="LY GMROII TRY" measure="1" displayFolder="03_LY\TRY" measureGroup="KPI" count="0"/>
    <cacheHierarchy uniqueName="[Measures].[LY GMROII USD]" caption="LY GMROII USD" measure="1" displayFolder="03_LY\USD" measureGroup="KPI" count="0"/>
    <cacheHierarchy uniqueName="[Measures].[TY LFL GMROII LC]" caption="TY LFL GMROII LC" measure="1" displayFolder="02_TYLFL\LC" measureGroup="KPI" count="0"/>
    <cacheHierarchy uniqueName="[Measures].[TY LFL GMROII TRY]" caption="TY LFL GMROII TRY" measure="1" displayFolder="02_TYLFL\TRY" measureGroup="KPI" count="0"/>
    <cacheHierarchy uniqueName="[Measures].[TY LFL GMROII USD]" caption="TY LFL GMROII USD" measure="1" displayFolder="02_TYLFL\USD" measureGroup="KPI" count="0"/>
    <cacheHierarchy uniqueName="[Measures].[LY LFL GMROII LC]" caption="LY LFL GMROII LC" measure="1" displayFolder="04_LYLFL\LC" measureGroup="KPI" count="0"/>
    <cacheHierarchy uniqueName="[Measures].[LY LFL GMROII TRY]" caption="LY LFL GMROII TRY" measure="1" displayFolder="04_LYLFL\TRY" measureGroup="KPI" count="0"/>
    <cacheHierarchy uniqueName="[Measures].[LY LFL GMROII USD]" caption="LY LFL GMROII USD" measure="1" displayFolder="04_LYLFL\USD" measureGroup="KPI" count="0"/>
    <cacheHierarchy uniqueName="[Measures].[LY Actual MarkDown LC%]" caption="LY Actual MarkDown LC%" measure="1" displayFolder="03_LY\LC" measureGroup="KPI" count="0"/>
    <cacheHierarchy uniqueName="[Measures].[LY Actual MarkDown TRY%]" caption="LY Actual MarkDown TRY%" measure="1" displayFolder="03_LY\TRY" measureGroup="KPI" count="0"/>
    <cacheHierarchy uniqueName="[Measures].[LY Actual MarkDown USD%]" caption="LY Actual MarkDown USD%" measure="1" displayFolder="03_LY\USD" measureGroup="KPI" count="0"/>
    <cacheHierarchy uniqueName="[Measures].[TY LFL Actual MarkDown LC%]" caption="TY LFL Actual MarkDown LC%" measure="1" displayFolder="02_TYLFL\LC" measureGroup="KPI" count="0"/>
    <cacheHierarchy uniqueName="[Measures].[TY LFL Actual MarkDown TRY%]" caption="TY LFL Actual MarkDown TRY%" measure="1" displayFolder="02_TYLFL\TRY" measureGroup="KPI" count="0"/>
    <cacheHierarchy uniqueName="[Measures].[TY LFL Actual MarkDown USD%]" caption="TY LFL Actual MarkDown USD%" measure="1" displayFolder="02_TYLFL\USD" measureGroup="KPI" count="0"/>
    <cacheHierarchy uniqueName="[Measures].[LY LFL Actual MarkDown LC%]" caption="LY LFL Actual MarkDown LC%" measure="1" displayFolder="04_LYLFL\LC" measureGroup="KPI" count="0"/>
    <cacheHierarchy uniqueName="[Measures].[LY LFL Actual MarkDown TRY%]" caption="LY LFL Actual MarkDown TRY%" measure="1" displayFolder="04_LYLFL\TRY" measureGroup="KPI" count="0"/>
    <cacheHierarchy uniqueName="[Measures].[LY LFL Actual MarkDown USD%]" caption="LY LFL Actual MarkDown USD%" measure="1" displayFolder="04_LYLFL\USD" measureGroup="KPI" count="0"/>
    <cacheHierarchy uniqueName="[Measures].[Last 7Days TY Sales Unit]" caption="Last 7Days TY Sales Unit" measure="1" displayFolder="LASTN" measureGroup="KPI" count="0"/>
    <cacheHierarchy uniqueName="[Measures].[Last 7Days TY Sales Value LC]" caption="Last 7Days TY Sales Value LC" measure="1" displayFolder="LASTN" measureGroup="KPI" count="0"/>
    <cacheHierarchy uniqueName="[Measures].[Last 14Days TY Sales Unit]" caption="Last 14Days TY Sales Unit" measure="1" displayFolder="LASTN" measureGroup="KPI" count="0"/>
    <cacheHierarchy uniqueName="[Measures].[Last 14Days TY Sales Value LC]" caption="Last 14Days TY Sales Value LC" measure="1" displayFolder="LASTN" measureGroup="KPI" count="0"/>
    <cacheHierarchy uniqueName="[Measures].[Last 28Days TY Sales Unit]" caption="Last 28Days TY Sales Unit" measure="1" displayFolder="LASTN" measureGroup="KPI" count="0"/>
    <cacheHierarchy uniqueName="[Measures].[Last 28Days TY Sales Value LC]" caption="Last 28Days TY Sales Value LC" measure="1" displayFolder="LASTN" measureGroup="KPI" count="0"/>
    <cacheHierarchy uniqueName="[Measures].[Last 90Days TY Sales Unit]" caption="Last 90Days TY Sales Unit" measure="1" displayFolder="LASTN" measureGroup="KPI" count="0"/>
    <cacheHierarchy uniqueName="[Measures].[Last 90Days TY Sales Value LC]" caption="Last 90Days TY Sales Value LC" measure="1" displayFolder="LASTN" measureGroup="KPI" count="0"/>
    <cacheHierarchy uniqueName="[Measures].[Last 180Days TY Sales Unit]" caption="Last 180Days TY Sales Unit" measure="1" displayFolder="LASTN" measureGroup="KPI" count="0"/>
    <cacheHierarchy uniqueName="[Measures].[Last 180Days TY Sales Value LC]" caption="Last 180Days TY Sales Value LC" measure="1" displayFolder="LASTN" measureGroup="KPI" count="0"/>
    <cacheHierarchy uniqueName="[Measures].[TY UPT]" caption="TY UPT" measure="1" displayFolder="01_TY\_UNIT" measureGroup="KPI" count="0"/>
    <cacheHierarchy uniqueName="[Measures].[TY AOV LC]" caption="TY AOV LC" measure="1" displayFolder="01_TY\LC" measureGroup="KPI" count="0"/>
    <cacheHierarchy uniqueName="[Measures].[TY AOV TRY]" caption="TY AOV TRY" measure="1" displayFolder="01_TY\TRY" measureGroup="KPI" count="0"/>
    <cacheHierarchy uniqueName="[Measures].[TY AOV USD]" caption="TY AOV USD" measure="1" displayFolder="01_TY\USD" measureGroup="KPI" count="0"/>
    <cacheHierarchy uniqueName="[Measures].[LY UPT]" caption="LY UPT" measure="1" displayFolder="03_LY\_UNIT" measureGroup="KPI" count="0"/>
    <cacheHierarchy uniqueName="[Measures].[LY AOV LC]" caption="LY AOV LC" measure="1" displayFolder="03_LY\LC" measureGroup="KPI" count="0"/>
    <cacheHierarchy uniqueName="[Measures].[LY AOV TRY]" caption="LY AOV TRY" measure="1" displayFolder="03_LY\TRY" measureGroup="KPI" count="0"/>
    <cacheHierarchy uniqueName="[Measures].[LY AOV USD]" caption="LY AOV USD" measure="1" displayFolder="03_LY\USD" measureGroup="KPI" count="0"/>
    <cacheHierarchy uniqueName="[Measures].[TY LFL UPT]" caption="TY LFL UPT" measure="1" displayFolder="02_TYLFL\_UNIT" measureGroup="KPI" count="0"/>
    <cacheHierarchy uniqueName="[Measures].[TY LFL AOV LC]" caption="TY LFL AOV LC" measure="1" displayFolder="02_TYLFL\LC" measureGroup="KPI" count="0"/>
    <cacheHierarchy uniqueName="[Measures].[TY LFL AOV TRY]" caption="TY LFL AOV TRY" measure="1" displayFolder="02_TYLFL\TRY" measureGroup="KPI" count="0"/>
    <cacheHierarchy uniqueName="[Measures].[TY LFL AOV USD]" caption="TY LFL AOV USD" measure="1" displayFolder="02_TYLFL\USD" measureGroup="KPI" count="0"/>
    <cacheHierarchy uniqueName="[Measures].[LY LFL UPT]" caption="LY LFL UPT" measure="1" displayFolder="04_LYLFL\_UNIT" measureGroup="KPI" count="0"/>
    <cacheHierarchy uniqueName="[Measures].[LY LFL AOV LC]" caption="LY LFL AOV LC" measure="1" displayFolder="04_LYLFL\LC" measureGroup="KPI" count="0"/>
    <cacheHierarchy uniqueName="[Measures].[LY LFL AOV TRY]" caption="LY LFL AOV TRY" measure="1" displayFolder="04_LYLFL\TRY" measureGroup="KPI" count="0"/>
    <cacheHierarchy uniqueName="[Measures].[LY LFL AOV USD]" caption="LY LFL AOV USD" measure="1" displayFolder="04_LYLFL\USD" measureGroup="KPI" count="0"/>
    <cacheHierarchy uniqueName="[Measures].[TY DayCount]" caption="TY DayCount" measure="1" displayFolder="00_INFO" measureGroup="KPI" count="0"/>
    <cacheHierarchy uniqueName="[Measures].[TY Store Count]" caption="TY Store Count" measure="1" displayFolder="01_TY\_UNIT" measureGroup="KPI" count="0"/>
    <cacheHierarchy uniqueName="[Measures].[LY Store Count]" caption="LY Store Count" measure="1" displayFolder="03_LY\_UNIT" measureGroup="KPI" count="0"/>
    <cacheHierarchy uniqueName="[Measures].[TY LFL Store Count]" caption="TY LFL Store Count" measure="1" displayFolder="02_TYLFL\_UNIT" measureGroup="KPI" count="0"/>
    <cacheHierarchy uniqueName="[Measures].[LY LFL Store Count]" caption="LY LFL Store Count" measure="1" displayFolder="04_LYLFL\_UNIT" measureGroup="KPI" count="0"/>
    <cacheHierarchy uniqueName="[Measures].[Sales Unit TyTWvsTyLW%]" caption="Sales Unit TyTWvsTyLW%" measure="1" displayFolder="TyTWvsTyLW" measureGroup="KPI" count="0" oneField="1">
      <fieldsUsage count="1">
        <fieldUsage x="40"/>
      </fieldsUsage>
    </cacheHierarchy>
    <cacheHierarchy uniqueName="[Measures].[LFL Sales Unit TyTWvsTyLW%]" caption="LFL Sales Unit TyTWvsTyLW%" measure="1" displayFolder="TyTWvsTyLW" measureGroup="KPI" count="0"/>
    <cacheHierarchy uniqueName="[Measures].[Sales Value TyTWvsTyLW LC%]" caption="Sales Value TyTWvsTyLW LC%" measure="1" displayFolder="TyTWvsTyLW" measureGroup="KPI" count="0"/>
    <cacheHierarchy uniqueName="[Measures].[Sales Value TyTWvsTyLW TRY%]" caption="Sales Value TyTWvsTyLW TRY%" measure="1" displayFolder="TyTWvsTyLW" measureGroup="KPI" count="0" oneField="1">
      <fieldsUsage count="1">
        <fieldUsage x="41"/>
      </fieldsUsage>
    </cacheHierarchy>
    <cacheHierarchy uniqueName="[Measures].[Sales Value TyTWvsTyLW USD%]" caption="Sales Value TyTWvsTyLW USD%" measure="1" displayFolder="TyTWvsTyLW" measureGroup="KPI" count="0"/>
    <cacheHierarchy uniqueName="[Measures].[LFL Sales Value TyTWvsTyLW LC%]" caption="LFL Sales Value TyTWvsTyLW LC%" measure="1" displayFolder="TyTWvsTyLW" measureGroup="KPI" count="0"/>
    <cacheHierarchy uniqueName="[Measures].[LFL Sales Value TyTWvsTyLW TRY%]" caption="LFL Sales Value TyTWvsTyLW TRY%" measure="1" displayFolder="TyTWvsTyLW" measureGroup="KPI" count="0"/>
    <cacheHierarchy uniqueName="[Measures].[LFL Sales Value TyTWvsTyLW USD%]" caption="LFL Sales Value TyTWvsTyLW USD%" measure="1" displayFolder="TyTWvsTyLW" measureGroup="KPI" count="0"/>
    <cacheHierarchy uniqueName="[Measures].[Store Stock Unit TyTWvsTyLW%]" caption="Store Stock Unit TyTWvsTyLW%" measure="1" displayFolder="TyTWvsTyLW" measureGroup="KPI" count="0" oneField="1">
      <fieldsUsage count="1">
        <fieldUsage x="39"/>
      </fieldsUsage>
    </cacheHierarchy>
    <cacheHierarchy uniqueName="[Measures].[Store Stock Cost TyTWvsTyLW LC%]" caption="Store Stock Cost TyTWvsTyLW LC%" measure="1" displayFolder="TyTWvsTyLW" measureGroup="KPI" count="0"/>
    <cacheHierarchy uniqueName="[Measures].[Store Stock Cost TyTWvsTyLW TRY%]" caption="Store Stock Cost TyTWvsTyLW TRY%" measure="1" displayFolder="TyTWvsTyLW" measureGroup="KPI" count="0" oneField="1">
      <fieldsUsage count="1">
        <fieldUsage x="38"/>
      </fieldsUsage>
    </cacheHierarchy>
    <cacheHierarchy uniqueName="[Measures].[Store Stock Cost TyTWvsTyLW USD%]" caption="Store Stock Cost TyTWvsTyLW USD%" measure="1" displayFolder="TyTWvsTyLW" measureGroup="KPI" count="0"/>
    <cacheHierarchy uniqueName="[Measures].[LFL Store Stock Unit TyTWvsTyLW%]" caption="LFL Store Stock Unit TyTWvsTyLW%" measure="1" displayFolder="TyTWvsTyLW" measureGroup="KPI" count="0"/>
    <cacheHierarchy uniqueName="[Measures].[LFL Store Stock Cost TyTWvsTyLW LC%]" caption="LFL Store Stock Cost TyTWvsTyLW LC%" measure="1" displayFolder="TyTWvsTyLW" measureGroup="KPI" count="0"/>
    <cacheHierarchy uniqueName="[Measures].[LFL Store Stock Cost TyTWvsTyLW TRY%]" caption="LFL Store Stock Cost TyTWvsTyLW TRY%" measure="1" displayFolder="TyTWvsTyLW" measureGroup="KPI" count="0"/>
    <cacheHierarchy uniqueName="[Measures].[LFL Store Stock Cost TyTWvsTyLW USD%]" caption="LFL Store Stock Cost TyTWvsTyLW USD%" measure="1" displayFolder="TyTWvsTyLW" measureGroup="KPI" count="0"/>
    <cacheHierarchy uniqueName="[Measures].[Unit Sales Price TyTWvsTyLW LC%]" caption="Unit Sales Price TyTWvsTyLW LC%" measure="1" displayFolder="TyTWvsTyLW" measureGroup="KPI" count="0"/>
    <cacheHierarchy uniqueName="[Measures].[Unit Sales Price TyTWvsTyLW TRY%]" caption="Unit Sales Price TyTWvsTyLW TRY%" measure="1" displayFolder="TyTWvsTyLW" measureGroup="KPI" count="0" oneField="1">
      <fieldsUsage count="1">
        <fieldUsage x="42"/>
      </fieldsUsage>
    </cacheHierarchy>
    <cacheHierarchy uniqueName="[Measures].[Unit Sales Price TyTWvsTyLW USD%]" caption="Unit Sales Price TyTWvsTyLW USD%" measure="1" displayFolder="TyTWvsTyLW" measureGroup="KPI" count="0"/>
    <cacheHierarchy uniqueName="[Measures].[LFL Unit Sales Price TyTWvsTyLW LC%]" caption="LFL Unit Sales Price TyTWvsTyLW LC%" measure="1" displayFolder="TyTWvsTyLW" measureGroup="KPI" count="0"/>
    <cacheHierarchy uniqueName="[Measures].[LFL Unit Sales Price TyTWvsTyLW TRY%]" caption="LFL Unit Sales Price TyTWvsTyLW TRY%" measure="1" displayFolder="TyTWvsTyLW" measureGroup="KPI" count="0"/>
    <cacheHierarchy uniqueName="[Measures].[LFL Unit Sales Price TyTWvsTyLW USD%]" caption="LFL Unit Sales Price TyTWvsTyLW USD%" measure="1" displayFolder="TyTWvsTyLW" measureGroup="KPI" count="0"/>
    <cacheHierarchy uniqueName="[Measures].[TY DC Inc Back Cover Unit]" caption="TY DC Inc Back Cover Unit" measure="1" displayFolder="01_TY\_UNIT" measureGroup="KPI" count="0"/>
    <cacheHierarchy uniqueName="[Measures].[TY DC Inc Back Cover LC]" caption="TY DC Inc Back Cover LC" measure="1" displayFolder="01_TY\LC" measureGroup="KPI" count="0"/>
    <cacheHierarchy uniqueName="[Measures].[TY DC Inc Back Cover TRY]" caption="TY DC Inc Back Cover TRY" measure="1" displayFolder="01_TY\TRY" measureGroup="KPI" count="0"/>
    <cacheHierarchy uniqueName="[Measures].[TY DC Inc Back Cover USD]" caption="TY DC Inc Back Cover USD" measure="1" displayFolder="01_TY\USD" measureGroup="KPI" count="0"/>
    <cacheHierarchy uniqueName="[Measures].[LY DC Inc Back Cover Unit]" caption="LY DC Inc Back Cover Unit" measure="1" displayFolder="03_LY\_UNIT" measureGroup="KPI" count="0"/>
    <cacheHierarchy uniqueName="[Measures].[LY DC Inc Back Cover LC]" caption="LY DC Inc Back Cover LC" measure="1" displayFolder="03_LY\LC" measureGroup="KPI" count="0"/>
    <cacheHierarchy uniqueName="[Measures].[LY DC Inc Back Cover TRY]" caption="LY DC Inc Back Cover TRY" measure="1" displayFolder="03_LY\TRY" measureGroup="KPI" count="0"/>
    <cacheHierarchy uniqueName="[Measures].[LY DC Inc Back Cover USD]" caption="LY DC Inc Back Cover USD" measure="1" displayFolder="03_LY\USD" measureGroup="KPI" count="0"/>
    <cacheHierarchy uniqueName="[Measures].[DC Inc Back Cover Unit TYvsLY%]" caption="DC Inc Back Cover Unit TYvsLY%" measure="1" displayFolder="01_TY\_UNIT" measureGroup="KPI" count="0"/>
    <cacheHierarchy uniqueName="[Measures].[DC Inc Back Cover TYvsLY LC%]" caption="DC Inc Back Cover TYvsLY LC%" measure="1" displayFolder="01_TY\LC" measureGroup="KPI" count="0"/>
    <cacheHierarchy uniqueName="[Measures].[DC Inc Back Cover TYvsLY TRY%]" caption="DC Inc Back Cover TYvsLY TRY%" measure="1" displayFolder="01_TY\TRY" measureGroup="KPI" count="0"/>
    <cacheHierarchy uniqueName="[Measures].[DC Inc Back Cover TYvsLY USD%]" caption="DC Inc Back Cover TYvsLY USD%" measure="1" displayFolder="01_TY\USD" measureGroup="KPI" count="0"/>
    <cacheHierarchy uniqueName="[Measures].[ShowAll]" caption="ShowAll" measure="1" displayFolder="00_INFO" measureGroup="KPI" count="0"/>
    <cacheHierarchy uniqueName="[Measures].[Store Area m2]" caption="Store Area m2" measure="1" displayFolder="00_INFO" measureGroup="KPI" count="0"/>
    <cacheHierarchy uniqueName="[Measures].[TY Store Total Back Cover Unit]" caption="TY Store Total Back Cover Unit" measure="1" displayFolder="01_TY\UNIT" measureGroup="KPI" count="0"/>
    <cacheHierarchy uniqueName="[Measures].[TY Store Total Back Cover LC]" caption="TY Store Total Back Cover LC" measure="1" displayFolder="01_TY\LC" measureGroup="KPI" count="0"/>
    <cacheHierarchy uniqueName="[Measures].[TY Store Count by Sales]" caption="TY Store Count by Sales" measure="1" displayFolder="01_TY\_UNIT" measureGroup="KPI" count="0"/>
    <cacheHierarchy uniqueName="[Measures].[LY Store Count by Sales]" caption="LY Store Count by Sales" measure="1" displayFolder="03_LY\_UNIT" measureGroup="KPI" count="0"/>
    <cacheHierarchy uniqueName="[Measures].[TY LFL Store Count by Sales]" caption="TY LFL Store Count by Sales" measure="1" displayFolder="02_TYLFL\_UNIT" measureGroup="KPI" count="0"/>
    <cacheHierarchy uniqueName="[Measures].[LY LFL Store Count by Sales]" caption="LY LFL Store Count by Sales" measure="1" displayFolder="04_LYLFL\_UNIT" measureGroup="KPI" count="0"/>
    <cacheHierarchy uniqueName="[Measures].[TY Store Count by Stock]" caption="TY Store Count by Stock" measure="1" displayFolder="01_TY\_UNIT" measureGroup="KPI" count="0"/>
    <cacheHierarchy uniqueName="[Measures].[LY Store Count by Stock]" caption="LY Store Count by Stock" measure="1" displayFolder="03_LY\_UNIT" measureGroup="KPI" count="0"/>
    <cacheHierarchy uniqueName="[Measures].[TY LFL Store Count by Stock]" caption="TY LFL Store Count by Stock" measure="1" displayFolder="02_TYLFL\_UNIT" measureGroup="KPI" count="0"/>
    <cacheHierarchy uniqueName="[Measures].[LY LFL Store Count by Stock]" caption="LY LFL Store Count by Stock" measure="1" displayFolder="04_LYLFL\_UNIT" measureGroup="KPI" count="0"/>
    <cacheHierarchy uniqueName="[Measures].[TY Store Total Back Cover TRY]" caption="TY Store Total Back Cover TRY" measure="1" displayFolder="01_TY\TRY" measureGroup="KPI" count="0"/>
    <cacheHierarchy uniqueName="[Measures].[TY Store Total Back Cover USD]" caption="TY Store Total Back Cover USD" measure="1" displayFolder="01_TY\USD" measureGroup="KPI" count="0"/>
    <cacheHierarchy uniqueName="[Measures].[TY Country Back Cover Unit]" caption="TY Country Back Cover Unit" measure="1" displayFolder="01_TY\UNIT" measureGroup="KPI" count="0"/>
    <cacheHierarchy uniqueName="[Measures].[PO Unit]" caption="PO Unit" measure="1" displayFolder="_UNIT" measureGroup="PurchaseOrder" count="0"/>
    <cacheHierarchy uniqueName="[Measures].[Goods Receipt PO Unit]" caption="Goods Receipt PO Unit" measure="1" displayFolder="_UNIT" measureGroup="PurchaseOrder" count="0"/>
    <cacheHierarchy uniqueName="[Measures].[Pending PO Unit]" caption="Pending PO Unit" measure="1" displayFolder="_UNIT" measureGroup="PurchaseOrder" count="0"/>
    <cacheHierarchy uniqueName="[Measures].[Other Merchant PO Unit]" caption="Other Merchant PO Unit" measure="1" displayFolder="_UNIT" measureGroup="PurchaseOrder" count="0"/>
    <cacheHierarchy uniqueName="[Measures].[Other Merchant Goods Receipt PO Unit]" caption="Other Merchant Goods Receipt PO Unit" measure="1" displayFolder="_UNIT" measureGroup="PurchaseOrder" count="0"/>
    <cacheHierarchy uniqueName="[Measures].[Other Merchant Pending PO Unit]" caption="Other Merchant Pending PO Unit" measure="1" displayFolder="_UNIT" measureGroup="PurchaseOrder" count="0"/>
    <cacheHierarchy uniqueName="[Measures].[Pending PO Unit Runing Total]" caption="Pending PO Unit Runing Total" measure="1" displayFolder="_UNIT" measureGroup="PurchaseOrder" count="0"/>
    <cacheHierarchy uniqueName="[Measures].[Other Merchant Pending PO Unit Runing Total]" caption="Other Merchant Pending PO Unit Runing Total" measure="1" displayFolder="_UNIT" measureGroup="PurchaseOrder" count="0"/>
    <cacheHierarchy uniqueName="[Measures].[PO Unit Year Total]" caption="PO Unit Year Total" measure="1" displayFolder="_UNIT" measureGroup="PurchaseOrder" count="0"/>
    <cacheHierarchy uniqueName="[Measures].[Goods Receipt PO Unit Year Total]" caption="Goods Receipt PO Unit Year Total" measure="1" displayFolder="_UNIT" measureGroup="PurchaseOrder" count="0"/>
    <cacheHierarchy uniqueName="[Measures].[Other Merchant PO Unit Year Total]" caption="Other Merchant PO Unit Year Total" measure="1" displayFolder="_UNIT" measureGroup="PurchaseOrder" count="0"/>
    <cacheHierarchy uniqueName="[Measures].[Other Merchant Goods Receipt PO Unit Year Total]" caption="Other Merchant Goods Receipt PO Unit Year Total" measure="1" displayFolder="_UNIT" measureGroup="PurchaseOrder" count="0"/>
    <cacheHierarchy uniqueName="[Measures].[ALL PO Unit]" caption="ALL PO Unit" measure="1" displayFolder="_UNIT" measureGroup="PurchaseOrder" count="0"/>
    <cacheHierarchy uniqueName="[Measures].[ALL PO Unit Year Total]" caption="ALL PO Unit Year Total" measure="1" displayFolder="_UNIT" measureGroup="PurchaseOrder" count="0"/>
    <cacheHierarchy uniqueName="[Measures].[ALL Pending PO Unit]" caption="ALL Pending PO Unit" measure="1" displayFolder="_UNIT" measureGroup="PurchaseOrder" count="0"/>
    <cacheHierarchy uniqueName="[Measures].[ALL Pending PO Unit Runing Total]" caption="ALL Pending PO Unit Runing Total" measure="1" displayFolder="_UNIT" measureGroup="PurchaseOrder" count="0"/>
    <cacheHierarchy uniqueName="[Measures].[ALL Goods Receipt PO Unit]" caption="ALL Goods Receipt PO Unit" measure="1" displayFolder="_UNIT" measureGroup="PurchaseOrder" count="0"/>
    <cacheHierarchy uniqueName="[Measures].[ALL Goods Receipt PO Unit Year Total]" caption="ALL Goods Receipt PO Unit Year Total" measure="1" displayFolder="_UNIT" measureGroup="PurchaseOrder" count="0"/>
    <cacheHierarchy uniqueName="[Measures].[PO Value LC]" caption="PO Value LC" measure="1" displayFolder="_VALUE" measureGroup="PurchaseOrder" count="0"/>
    <cacheHierarchy uniqueName="[Measures].[PO Value LC Year Total]" caption="PO Value LC Year Total" measure="1" displayFolder="_VALUE" measureGroup="PurchaseOrder" count="0"/>
    <cacheHierarchy uniqueName="[Measures].[Goods Receipt PO Value LC]" caption="Goods Receipt PO Value LC" measure="1" displayFolder="_VALUE" measureGroup="PurchaseOrder" count="0"/>
    <cacheHierarchy uniqueName="[Measures].[Goods Receipt PO Value LC Year Total]" caption="Goods Receipt PO Value LC Year Total" measure="1" displayFolder="_VALUE" measureGroup="PurchaseOrder" count="0"/>
    <cacheHierarchy uniqueName="[Measures].[Pending PO Value LC]" caption="Pending PO Value LC" measure="1" displayFolder="_VALUE" measureGroup="PurchaseOrder" count="0"/>
    <cacheHierarchy uniqueName="[Measures].[Pending PO Value LC Runing Total]" caption="Pending PO Value LC Runing Total" measure="1" displayFolder="_VALUE" measureGroup="PurchaseOrder" count="0"/>
    <cacheHierarchy uniqueName="[Measures].[Other Merchant Goods Receipt PO Value LC]" caption="Other Merchant Goods Receipt PO Value LC" measure="1" displayFolder="_VALUE" measureGroup="PurchaseOrder" count="0"/>
    <cacheHierarchy uniqueName="[Measures].[Other Merchant Goods Receipt PO Value LC Year Total]" caption="Other Merchant Goods Receipt PO Value LC Year Total" measure="1" displayFolder="_VALUE" measureGroup="PurchaseOrder" count="0"/>
    <cacheHierarchy uniqueName="[Measures].[Other Merchant Pending PO Value LC]" caption="Other Merchant Pending PO Value LC" measure="1" displayFolder="_VALUE" measureGroup="PurchaseOrder" count="0"/>
    <cacheHierarchy uniqueName="[Measures].[Other Merchant Pending PO Value LC Runing Total]" caption="Other Merchant Pending PO Value LC Runing Total" measure="1" displayFolder="_VALUE" measureGroup="PurchaseOrder" count="0"/>
    <cacheHierarchy uniqueName="[Measures].[Other Merchant PO Value LC]" caption="Other Merchant PO Value LC" measure="1" displayFolder="_VALUE" measureGroup="PurchaseOrder" count="0"/>
    <cacheHierarchy uniqueName="[Measures].[Other Merchant PO Value LC Year Total]" caption="Other Merchant PO Value LC Year Total" measure="1" displayFolder="_VALUE" measureGroup="PurchaseOrder" count="0"/>
    <cacheHierarchy uniqueName="[Measures].[ALL PO Value LC]" caption="ALL PO Value LC" measure="1" displayFolder="_VALUE" measureGroup="PurchaseOrder" count="0"/>
    <cacheHierarchy uniqueName="[Measures].[ALL PO Value LC Year Total]" caption="ALL PO Value LC Year Total" measure="1" displayFolder="_VALUE" measureGroup="PurchaseOrder" count="0"/>
    <cacheHierarchy uniqueName="[Measures].[ALL Goods Receipt PO Value LC]" caption="ALL Goods Receipt PO Value LC" measure="1" displayFolder="_VALUE" measureGroup="PurchaseOrder" count="0"/>
    <cacheHierarchy uniqueName="[Measures].[ALL Goods Receipt PO Value LC Year Total]" caption="ALL Goods Receipt PO Value LC Year Total" measure="1" displayFolder="_VALUE" measureGroup="PurchaseOrder" count="0"/>
    <cacheHierarchy uniqueName="[Measures].[ALL Pending PO Value LC]" caption="ALL Pending PO Value LC" measure="1" displayFolder="_VALUE" measureGroup="PurchaseOrder" count="0"/>
    <cacheHierarchy uniqueName="[Measures].[ALL Pending PO Value LC Runing Total]" caption="ALL Pending PO Value LC Runing Total" measure="1" displayFolder="_VALUE" measureGroup="PurchaseOrder" count="0"/>
    <cacheHierarchy uniqueName="[Measures].[Pending PO Unit (WholeSale)]" caption="Pending PO Unit (WholeSale)" measure="1" displayFolder="_UNIT" measureGroup="PurchaseOrder" count="0"/>
    <cacheHierarchy uniqueName="[Measures].[Pending PO Value LC (WholeSale)]" caption="Pending PO Value LC (WholeSale)" measure="1" displayFolder="_VALUE" measureGroup="PurchaseOrder" count="0"/>
    <cacheHierarchy uniqueName="[Measures].[Goods Receipt PO Unit (WholeSale)]" caption="Goods Receipt PO Unit (WholeSale)" measure="1" displayFolder="_UNIT" measureGroup="PurchaseOrder" count="0"/>
    <cacheHierarchy uniqueName="[Measures].[Goods Receipt PO Value LC (WholeSale)]" caption="Goods Receipt PO Value LC (WholeSale)" measure="1" displayFolder="_VALUE" measureGroup="PurchaseOrder" count="0"/>
    <cacheHierarchy uniqueName="[Measures].[TY Customer Entry Count]" caption="TY Customer Entry Count" measure="1" displayFolder="01_TY" measureGroup="VisitorHourly" count="0"/>
    <cacheHierarchy uniqueName="[Measures].[LY Customer Entry Count]" caption="LY Customer Entry Count" measure="1" displayFolder="03_LY" measureGroup="VisitorHourly" count="0"/>
    <cacheHierarchy uniqueName="[Measures].[TY LFL Customer Entry Count]" caption="TY LFL Customer Entry Count" measure="1" displayFolder="02_TYLFL" measureGroup="VisitorHourly" count="0"/>
    <cacheHierarchy uniqueName="[Measures].[LY LFL Customer Entry Count]" caption="LY LFL Customer Entry Count" measure="1" displayFolder="04_LYLFL" measureGroup="VisitorHourly" count="0"/>
    <cacheHierarchy uniqueName="[Measures].[Daily Invoice Sale]" caption="Daily Invoice Sale" measure="1" displayFolder="01_SALE" measureGroup="Visitor" count="0"/>
    <cacheHierarchy uniqueName="[Measures].[Daily Invoice Return]" caption="Daily Invoice Return" measure="1" displayFolder="01_SALE" measureGroup="Visitor" count="0"/>
    <cacheHierarchy uniqueName="[Measures].[Net Daily Invoice (Sale-Return)]" caption="Net Daily Invoice (Sale-Return)" measure="1" displayFolder="01_SALE" measureGroup="Visitor" count="0"/>
    <cacheHierarchy uniqueName="[Measures].[Daily Visitor Count]" caption="Daily Visitor Count" measure="1" displayFolder="02_VISITOR" measureGroup="Visitor" count="0"/>
    <cacheHierarchy uniqueName="[Measures].[Net Daily Invoice of Company]" caption="Net Daily Invoice of Company" measure="1" displayFolder="01_SALE" measureGroup="Visitor" count="0"/>
    <cacheHierarchy uniqueName="[Measures].[Daily Visitor Count of Company]" caption="Daily Visitor Count of Company" measure="1" displayFolder="02_VISITOR" measureGroup="Visitor" count="0"/>
    <cacheHierarchy uniqueName="[Measures].[Customer Conversion Rate]" caption="Customer Conversion Rate" measure="1" displayFolder="03_CCR" measureGroup="Visitor" count="0"/>
    <cacheHierarchy uniqueName="[Measures].[Adjusted Customer Conversion Rate]" caption="Adjusted Customer Conversion Rate" measure="1" displayFolder="03_CCR" measureGroup="Visitor" count="0"/>
    <cacheHierarchy uniqueName="[Measures].[Adjusted Visitor Count]" caption="Adjusted Visitor Count" measure="1" displayFolder="02_VISITOR" measureGroup="Visitor" count="0"/>
    <cacheHierarchy uniqueName="[Measures].[TY Avg Capacity Plan Unit]" caption="TY Avg Capacity Plan Unit" measure="1" displayFolder="01_TY\_UNIT" measureGroup="Capacity" count="0"/>
    <cacheHierarchy uniqueName="[Measures].[TY LFL Avg Capacity Plan Unit]" caption="TY LFL Avg Capacity Plan Unit" measure="1" displayFolder="01_TY\_UNIT" measureGroup="Capacity" count="0"/>
    <cacheHierarchy uniqueName="[Measures].[CUR Store Capacity Quantity]" caption="CUR Store Capacity Quantity" measure="1" displayFolder="00_CURRENT\_UNIT" measureGroup="Capacity" count="0"/>
    <cacheHierarchy uniqueName="[Measures].[CUR Backstore Capacity Quantity]" caption="CUR Backstore Capacity Quantity" measure="1" displayFolder="00_CURRENT\_UNIT" measureGroup="Capacity" count="0"/>
    <cacheHierarchy uniqueName="[Measures].[CUR Total Store Capacity Quantity]" caption="CUR Total Store Capacity Quantity" measure="1" displayFolder="00_CURRENT\_UNIT" measureGroup="Capacity" count="0"/>
    <cacheHierarchy uniqueName="[Measures].[CUR Store Capacity dm3]" caption="CUR Store Capacity dm3" measure="1" displayFolder="00_CURRENT\_DM3" measureGroup="Capacity" count="0"/>
    <cacheHierarchy uniqueName="[Measures].[CUR Backstore Capacity dm3]" caption="CUR Backstore Capacity dm3" measure="1" displayFolder="00_CURRENT\_DM3" measureGroup="Capacity" count="0"/>
    <cacheHierarchy uniqueName="[Measures].[CUR Total Store Capacity dm3]" caption="CUR Total Store Capacity dm3" measure="1" displayFolder="00_CURRENT\_DM3" measureGroup="Capacity" count="0"/>
    <cacheHierarchy uniqueName="[Measures].[TY Avg Capacity Plan Cost LC]" caption="TY Avg Capacity Plan Cost LC" measure="1" displayFolder="01_TY\_LC" measureGroup="Capacity" count="0"/>
    <cacheHierarchy uniqueName="[Measures].[TY LFL Avg Capacity Plan Cost LC]" caption="TY LFL Avg Capacity Plan Cost LC" measure="1" displayFolder="01_TY\_LC" measureGroup="Capacity" count="0"/>
    <cacheHierarchy uniqueName="[Measures].[Fiziki Dm3 Doluluk %]" caption="Fiziki Dm3 Doluluk %" measure="1" displayFolder="00_CURRENT\_DM3" measureGroup="Capacity" count="0"/>
    <cacheHierarchy uniqueName="[Measures].[Nihai Dm3 Doluluk %]" caption="Nihai Dm3 Doluluk %" measure="1" displayFolder="00_CURRENT\_DM3" measureGroup="Capacity" count="0"/>
    <cacheHierarchy uniqueName="[Measures].[Fiziki Adet Doluluk %]" caption="Fiziki Adet Doluluk %" measure="1" displayFolder="00_CURRENT\_UNIT" measureGroup="Capacity" count="0"/>
    <cacheHierarchy uniqueName="[Measures].[Nihai Adet Doluluk %]" caption="Nihai Adet Doluluk %" measure="1" displayFolder="00_CURRENT\_UNIT" measureGroup="Capacity" count="0"/>
    <cacheHierarchy uniqueName="[Measures].[BrKar/Dm3]" caption="BrKar/Dm3" measure="1" displayFolder="00_CURRENT\_DM3" measureGroup="Capacity" count="0"/>
    <cacheHierarchy uniqueName="[Measures].[NET Nihai Dm3 Doluluk %]" caption="NET Nihai Dm3 Doluluk %" measure="1" displayFolder="00_CURRENT\_DM3" measureGroup="Capacity" count="0"/>
    <cacheHierarchy uniqueName="[Measures].[Delivery Quantity Outbound from DC to Store]" caption="Delivery Quantity Outbound from DC to Store" measure="1" displayFolder="" measureGroup="Delivery" count="0"/>
    <cacheHierarchy uniqueName="[Measures].[Delivery Quantity Target from DC to Store]" caption="Delivery Quantity Target from DC to Store" measure="1" displayFolder="" measureGroup="Delivery" count="0"/>
    <cacheHierarchy uniqueName="[Measures].[__Default measure]" caption="__Default measure" measure="1" displayFolder="" count="0" hidden="1"/>
    <cacheHierarchy uniqueName="[Measures].[DCStockUnit]" caption="DCStockUnit" measure="1" displayFolder="01_TY\_UNIT" measureGroup="StockDC" count="0" hidden="1"/>
    <cacheHierarchy uniqueName="[Measures].[DCCUSStockUnit]" caption="DCCUSStockUnit" measure="1" displayFolder="01_TY\_UNIT" measureGroup="StockDC" count="0" hidden="1"/>
    <cacheHierarchy uniqueName="[Measures].[DCTRNStockUnit]" caption="DCTRNStockUnit" measure="1" displayFolder="01_TY\_UNIT" measureGroup="StockDC" count="0" hidden="1"/>
    <cacheHierarchy uniqueName="[Measures].[DCStockCostLC]" caption="DCStockCostLC" measure="1" displayFolder="01_TY\LC" measureGroup="StockDC" count="0" hidden="1"/>
    <cacheHierarchy uniqueName="[Measures].[DCTRNStockCostLC]" caption="DCTRNStockCostLC" measure="1" displayFolder="01_TY\LC" measureGroup="StockDC" count="0" hidden="1"/>
    <cacheHierarchy uniqueName="[Measures].[DCCUSStockCostLC]" caption="DCCUSStockCostLC" measure="1" displayFolder="01_TY\LC" measureGroup="StockDC" count="0" hidden="1"/>
    <cacheHierarchy uniqueName="[Measures].[DCStockCostTRY]" caption="DCStockCostTRY" measure="1" displayFolder="01_TY\TRY" measureGroup="StockDC" count="0" hidden="1"/>
    <cacheHierarchy uniqueName="[Measures].[DCTRNStockCostTRY]" caption="DCTRNStockCostTRY" measure="1" displayFolder="01_TY\TRY" measureGroup="StockDC" count="0" hidden="1"/>
    <cacheHierarchy uniqueName="[Measures].[DCCUSStockCostTRY]" caption="DCCUSStockCostTRY" measure="1" displayFolder="01_TY\TRY" measureGroup="StockDC" count="0" hidden="1"/>
    <cacheHierarchy uniqueName="[Measures].[DCStockCostUSD]" caption="DCStockCostUSD" measure="1" displayFolder="01_TY\USD" measureGroup="StockDC" count="0" hidden="1"/>
    <cacheHierarchy uniqueName="[Measures].[DCTRNStockCostUSD]" caption="DCTRNStockCostUSD" measure="1" displayFolder="01_TY\USD" measureGroup="StockDC" count="0" hidden="1"/>
    <cacheHierarchy uniqueName="[Measures].[DCCUSStockCostUSD]" caption="DCCUSStockCostUSD" measure="1" displayFolder="01_TY\USD" measureGroup="StockDC" count="0" hidden="1"/>
    <cacheHierarchy uniqueName="[Measures].[LYDCStockUnit]" caption="LYDCStockUnit" measure="1" displayFolder="02_LY\_UNIT" measureGroup="StockDC" count="0" hidden="1"/>
    <cacheHierarchy uniqueName="[Measures].[LYDCTRNStockUnit]" caption="LYDCTRNStockUnit" measure="1" displayFolder="02_LY\_UNIT" measureGroup="StockDC" count="0" hidden="1"/>
    <cacheHierarchy uniqueName="[Measures].[LYDCCUSStockUnit]" caption="LYDCCUSStockUnit" measure="1" displayFolder="02_LY\_UNIT" measureGroup="StockDC" count="0" hidden="1"/>
    <cacheHierarchy uniqueName="[Measures].[LYDCStockCostLC]" caption="LYDCStockCostLC" measure="1" displayFolder="02_LY\LC" measureGroup="StockDC" count="0" hidden="1"/>
    <cacheHierarchy uniqueName="[Measures].[LYDCTRNStockCostLC]" caption="LYDCTRNStockCostLC" measure="1" displayFolder="02_LY\LC" measureGroup="StockDC" count="0" hidden="1"/>
    <cacheHierarchy uniqueName="[Measures].[LYDCCUSStockCostLC]" caption="LYDCCUSStockCostLC" measure="1" displayFolder="02_LY\LC" measureGroup="StockDC" count="0" hidden="1"/>
    <cacheHierarchy uniqueName="[Measures].[LYDCStockCostTRY]" caption="LYDCStockCostTRY" measure="1" displayFolder="02_LY\TRY" measureGroup="StockDC" count="0" hidden="1"/>
    <cacheHierarchy uniqueName="[Measures].[LYDCTRNStockCostTRY]" caption="LYDCTRNStockCostTRY" measure="1" displayFolder="02_LY\TRY" measureGroup="StockDC" count="0" hidden="1"/>
    <cacheHierarchy uniqueName="[Measures].[LYDCCUSStockCostTRY]" caption="LYDCCUSStockCostTRY" measure="1" displayFolder="02_LY\TRY" measureGroup="StockDC" count="0" hidden="1"/>
    <cacheHierarchy uniqueName="[Measures].[LYDCStockCostUSD]" caption="LYDCStockCostUSD" measure="1" displayFolder="02_LY\USD" measureGroup="StockDC" count="0" hidden="1"/>
    <cacheHierarchy uniqueName="[Measures].[LYDCTRNStockCostUSD]" caption="LYDCTRNStockCostUSD" measure="1" displayFolder="02_LY\USD" measureGroup="StockDC" count="0" hidden="1"/>
    <cacheHierarchy uniqueName="[Measures].[LYDCCUSStockCostUSD]" caption="LYDCCUSStockCostUSD" measure="1" displayFolder="02_LY\USD" measureGroup="StockDC" count="0" hidden="1"/>
    <cacheHierarchy uniqueName="[Measures].[DCOTHStockUnit]" caption="DCOTHStockUnit" measure="1" displayFolder="01_TY\_UNIT" measureGroup="StockDC" count="0" hidden="1"/>
    <cacheHierarchy uniqueName="[Measures].[DCOthStockCostLC]" caption="DCOthStockCostLC" measure="1" displayFolder="01_TY\LC" measureGroup="StockDC" count="0" hidden="1"/>
    <cacheHierarchy uniqueName="[Measures].[DCOTHStockCostTRY]" caption="DCOTHStockCostTRY" measure="1" displayFolder="01_TY\TRY" measureGroup="StockDC" count="0" hidden="1"/>
    <cacheHierarchy uniqueName="[Measures].[DCOTHStockCostUSD]" caption="DCOTHStockCostUSD" measure="1" displayFolder="01_TY\USD" measureGroup="StockDC" count="0" hidden="1"/>
    <cacheHierarchy uniqueName="[Measures].[LYDCOTHStockUnit]" caption="LYDCOTHStockUnit" measure="1" displayFolder="02_LY\_UNIT" measureGroup="StockDC" count="0" hidden="1"/>
    <cacheHierarchy uniqueName="[Measures].[LYDCOTHStockCostLC]" caption="LYDCOTHStockCostLC" measure="1" displayFolder="02_LY\LC" measureGroup="StockDC" count="0" hidden="1"/>
    <cacheHierarchy uniqueName="[Measures].[LYDCOTHStockCostTRY]" caption="LYDCOTHStockCostTRY" measure="1" displayFolder="02_LY\TRY" measureGroup="StockDC" count="0" hidden="1"/>
    <cacheHierarchy uniqueName="[Measures].[LYDCOTHStockCostUSD]" caption="LYDCOTHStockCostUSD" measure="1" displayFolder="02_LY\USD" measureGroup="StockDC" count="0" hidden="1"/>
    <cacheHierarchy uniqueName="[Measures].[SumofStockUnit]" caption="SumofStockUnit" measure="1" displayFolder="01_TY\_UNIT" measureGroup="StockStore" count="0" hidden="1"/>
    <cacheHierarchy uniqueName="[Measures].[SumofTransitStockUnit]" caption="SumofTransitStockUnit" measure="1" displayFolder="01_TY\_UNIT" measureGroup="StockStore" count="0" hidden="1"/>
    <cacheHierarchy uniqueName="[Measures].[StoreStockCostLC]" caption="StoreStockCostLC" measure="1" displayFolder="01_TY\LC" measureGroup="StockStore" count="0" hidden="1"/>
    <cacheHierarchy uniqueName="[Measures].[StoreTransitStockCostLC]" caption="StoreTransitStockCostLC" measure="1" displayFolder="01_TY\LC" measureGroup="StockStore" count="0" hidden="1"/>
    <cacheHierarchy uniqueName="[Measures].[TyLFLSumofStockUnit]" caption="TyLFLSumofStockUnit" measure="1" displayFolder="02_TYLFL\_UNIT" measureGroup="StockStore" count="0" hidden="1"/>
    <cacheHierarchy uniqueName="[Measures].[TyLFLSumofTransitStockUnit]" caption="TyLFLSumofTransitStockUnit" measure="1" displayFolder="02_TYLFL\_UNIT" measureGroup="StockStore" count="0" hidden="1"/>
    <cacheHierarchy uniqueName="[Measures].[TYlfl StoreStockCostLC]" caption="TYlfl StoreStockCostLC" measure="1" displayFolder="02_TYLFL\LC" measureGroup="StockStore" count="0" hidden="1"/>
    <cacheHierarchy uniqueName="[Measures].[TYlfl StoreTransitStockCostLC]" caption="TYlfl StoreTransitStockCostLC" measure="1" displayFolder="02_TYLFL\LC" measureGroup="StockStore" count="0" hidden="1"/>
    <cacheHierarchy uniqueName="[Measures].[StoreStockCostTRY]" caption="StoreStockCostTRY" measure="1" displayFolder="01_TY\TRY" measureGroup="StockStore" count="0" hidden="1"/>
    <cacheHierarchy uniqueName="[Measures].[StoreTransitStockCostTRY]" caption="StoreTransitStockCostTRY" measure="1" displayFolder="01_TY\TRY" measureGroup="StockStore" count="0" hidden="1"/>
    <cacheHierarchy uniqueName="[Measures].[StoreStockCostUSD]" caption="StoreStockCostUSD" measure="1" displayFolder="01_TY\USD" measureGroup="StockStore" count="0" hidden="1"/>
    <cacheHierarchy uniqueName="[Measures].[StoreTransitStockCostUSD]" caption="StoreTransitStockCostUSD" measure="1" displayFolder="01_TY\USD" measureGroup="StockStore" count="0" hidden="1"/>
    <cacheHierarchy uniqueName="[Measures].[TYLFL StoreStockCostTRY]" caption="TYLFL StoreStockCostTRY" measure="1" displayFolder="02_TYLFL\TRY" measureGroup="StockStore" count="0" hidden="1"/>
    <cacheHierarchy uniqueName="[Measures].[TYLFL StoreTransitStockCostTRY]" caption="TYLFL StoreTransitStockCostTRY" measure="1" displayFolder="02_TYLFL\TRY" measureGroup="StockStore" count="0" hidden="1"/>
    <cacheHierarchy uniqueName="[Measures].[TYLFL StoreStockCostUSD]" caption="TYLFL StoreStockCostUSD" measure="1" displayFolder="02_TYLFL\USD" measureGroup="StockStore" count="0" hidden="1"/>
    <cacheHierarchy uniqueName="[Measures].[TYLFL StoreTransitStockCostUSD]" caption="TYLFL StoreTransitStockCostUSD" measure="1" displayFolder="02_TYLFL\USD" measureGroup="StockStore" count="0" hidden="1"/>
    <cacheHierarchy uniqueName="[Measures].[LYSumofStockUnit]" caption="LYSumofStockUnit" measure="1" displayFolder="03_LY\_UNIT" measureGroup="StockStore" count="0" hidden="1"/>
    <cacheHierarchy uniqueName="[Measures].[LYSumofTransitStockUnit]" caption="LYSumofTransitStockUnit" measure="1" displayFolder="03_LY\_UNIT" measureGroup="StockStore" count="0" hidden="1"/>
    <cacheHierarchy uniqueName="[Measures].[LYStoreStockCostLC]" caption="LYStoreStockCostLC" measure="1" displayFolder="03_LY\LC" measureGroup="StockStore" count="0" hidden="1"/>
    <cacheHierarchy uniqueName="[Measures].[LYStoreTransitStockCostLC]" caption="LYStoreTransitStockCostLC" measure="1" displayFolder="03_LY\LC" measureGroup="StockStore" count="0" hidden="1"/>
    <cacheHierarchy uniqueName="[Measures].[LYStoreStockCostTRY]" caption="LYStoreStockCostTRY" measure="1" displayFolder="03_LY\TRY" measureGroup="StockStore" count="0" hidden="1"/>
    <cacheHierarchy uniqueName="[Measures].[LYStoreTransitStockCostTRY]" caption="LYStoreTransitStockCostTRY" measure="1" displayFolder="03_LY\TRY" measureGroup="StockStore" count="0" hidden="1"/>
    <cacheHierarchy uniqueName="[Measures].[LYStoreStockCostUSD]" caption="LYStoreStockCostUSD" measure="1" displayFolder="03_LY\USD" measureGroup="StockStore" count="0" hidden="1"/>
    <cacheHierarchy uniqueName="[Measures].[LYStoreTransitStockCostUSD]" caption="LYStoreTransitStockCostUSD" measure="1" displayFolder="03_LY\USD" measureGroup="StockStore" count="0" hidden="1"/>
    <cacheHierarchy uniqueName="[Measures].[LyLFLSumofStockUnit]" caption="LyLFLSumofStockUnit" measure="1" displayFolder="04_LYLFL\_UNIT" measureGroup="StockStore" count="0" hidden="1"/>
    <cacheHierarchy uniqueName="[Measures].[LyLFLSumofTransitStockUnit]" caption="LyLFLSumofTransitStockUnit" measure="1" displayFolder="04_LYLFL\_UNIT" measureGroup="StockStore" count="0" hidden="1"/>
    <cacheHierarchy uniqueName="[Measures].[LYlfl StoreStockCostLC]" caption="LYlfl StoreStockCostLC" measure="1" displayFolder="04_LYLFL\LC" measureGroup="StockStore" count="0" hidden="1"/>
    <cacheHierarchy uniqueName="[Measures].[LYlfl StoreTransitStockCostLC]" caption="LYlfl StoreTransitStockCostLC" measure="1" displayFolder="04_LYLFL\LC" measureGroup="StockStore" count="0" hidden="1"/>
    <cacheHierarchy uniqueName="[Measures].[LYLFL StoreStockCostTRY]" caption="LYLFL StoreStockCostTRY" measure="1" displayFolder="04_LYLFL\TRY" measureGroup="StockStore" count="0" hidden="1"/>
    <cacheHierarchy uniqueName="[Measures].[LYLFL StoreTransitStockCostTRY]" caption="LYLFL StoreTransitStockCostTRY" measure="1" displayFolder="04_LYLFL\TRY" measureGroup="StockStore" count="0" hidden="1"/>
    <cacheHierarchy uniqueName="[Measures].[LYLFL StoreStockCostUSD]" caption="LYLFL StoreStockCostUSD" measure="1" displayFolder="04_LYLFL\USD" measureGroup="StockStore" count="0" hidden="1"/>
    <cacheHierarchy uniqueName="[Measures].[LYLFL StoreTransitStockCostUSD]" caption="LYLFL StoreTransitStockCostUSD" measure="1" displayFolder="04_LYLFL\USD" measureGroup="StockStore" count="0" hidden="1"/>
    <cacheHierarchy uniqueName="[Measures].[RoEcomStok]" caption="RoEcomStok" measure="1" displayFolder="" measureGroup="StockStore" count="0" hidden="1"/>
    <cacheHierarchy uniqueName="[Measures].[laststokdate]" caption="laststokdate" measure="1" displayFolder="" measureGroup="StockStore" count="0" hidden="1"/>
    <cacheHierarchy uniqueName="[Measures].[SumofOtherStockUnit]" caption="SumofOtherStockUnit" measure="1" displayFolder="" measureGroup="StockStore" count="0" hidden="1"/>
    <cacheHierarchy uniqueName="[Measures].[TyLFLSumofOtherStockUnit]" caption="TyLFLSumofOtherStockUnit" measure="1" displayFolder="" measureGroup="StockStore" count="0" hidden="1"/>
    <cacheHierarchy uniqueName="[Measures].[LYSumofOtherStockUnit]" caption="LYSumofOtherStockUnit" measure="1" displayFolder="" measureGroup="StockStore" count="0" hidden="1"/>
    <cacheHierarchy uniqueName="[Measures].[LyLFLSumofOtherStockUnit]" caption="LyLFLSumofOtherStockUnit" measure="1" displayFolder="" measureGroup="StockStore" count="0" hidden="1"/>
    <cacheHierarchy uniqueName="[Measures].[StoreOtherStockCostTRY]" caption="StoreOtherStockCostTRY" measure="1" displayFolder="" measureGroup="StockStore" count="0" hidden="1"/>
    <cacheHierarchy uniqueName="[Measures].[StoreOtherStockCostLC]" caption="StoreOtherStockCostLC" measure="1" displayFolder="" measureGroup="StockStore" count="0" hidden="1"/>
    <cacheHierarchy uniqueName="[Measures].[StoreOtherStockCostUSD]" caption="StoreOtherStockCostUSD" measure="1" displayFolder="" measureGroup="StockStore" count="0" hidden="1"/>
    <cacheHierarchy uniqueName="[Measures].[Salable Stock Unit]" caption="Salable Stock Unit" measure="1" displayFolder="" measureGroup="StockStore" count="0" hidden="1"/>
    <cacheHierarchy uniqueName="[Measures].[LYStoreOtherStockCostLC]" caption="LYStoreOtherStockCostLC" measure="1" displayFolder="" measureGroup="StockStore" count="0" hidden="1"/>
    <cacheHierarchy uniqueName="[Measures].[LYStoreOtherStockCostTRY]" caption="LYStoreOtherStockCostTRY" measure="1" displayFolder="" measureGroup="StockStore" count="0" hidden="1"/>
    <cacheHierarchy uniqueName="[Measures].[LYStoreOtherStockCostUSD]" caption="LYStoreOtherStockCostUSD" measure="1" displayFolder="" measureGroup="StockStore" count="0" hidden="1"/>
    <cacheHierarchy uniqueName="[Measures].[Copy of CUR Open Transfer Store Stock Unit]" caption="Copy of CUR Open Transfer Store Stock Unit" measure="1" displayFolder="" measureGroup="StockStore" count="0" hidden="1"/>
    <cacheHierarchy uniqueName="[Measures].[SumofStockUnitDm3]" caption="SumofStockUnitDm3" measure="1" displayFolder="" measureGroup="StockStore" count="0" hidden="1"/>
    <cacheHierarchy uniqueName="[Measures].[SumofTransitStockUnitDm3]" caption="SumofTransitStockUnitDm3" measure="1" displayFolder="" measureGroup="StockStore" count="0" hidden="1"/>
    <cacheHierarchy uniqueName="[Measures].[TY CSP Sales Value VAT LC]" caption="TY CSP Sales Value VAT LC" measure="1" displayFolder="01_TY\LC" measureGroup="Sales" count="0" hidden="1"/>
    <cacheHierarchy uniqueName="[Measures].[TY CSP Sales Value LC]" caption="TY CSP Sales Value LC" measure="1" displayFolder="01_TY\LC" measureGroup="Sales" count="0" hidden="1"/>
    <cacheHierarchy uniqueName="[Measures].[TY CSP Sales Value VAT TRY]" caption="TY CSP Sales Value VAT TRY" measure="1" displayFolder="01_TY\TRY" measureGroup="Sales" count="0" hidden="1"/>
    <cacheHierarchy uniqueName="[Measures].[TY CSP Sales Value TRY]" caption="TY CSP Sales Value TRY" measure="1" displayFolder="01_TY\TRY" measureGroup="Sales" count="0" hidden="1"/>
    <cacheHierarchy uniqueName="[Measures].[LY CSP Sales Value VAT LC]" caption="LY CSP Sales Value VAT LC" measure="1" displayFolder="03_LY\LC" measureGroup="Sales" count="0" hidden="1"/>
    <cacheHierarchy uniqueName="[Measures].[LY CSP Sales Value LC]" caption="LY CSP Sales Value LC" measure="1" displayFolder="03_LY\LC" measureGroup="Sales" count="0" hidden="1"/>
    <cacheHierarchy uniqueName="[Measures].[TY LFL CSP Sales Value VAT LC]" caption="TY LFL CSP Sales Value VAT LC" measure="1" displayFolder="02_TYLFL\LC" measureGroup="Sales" count="0" hidden="1"/>
    <cacheHierarchy uniqueName="[Measures].[TY LFL CSP Sales Value LC]" caption="TY LFL CSP Sales Value LC" measure="1" displayFolder="02_TYLFL\LC" measureGroup="Sales" count="0" hidden="1"/>
    <cacheHierarchy uniqueName="[Measures].[TY CSP Sales Value VAT USD]" caption="TY CSP Sales Value VAT USD" measure="1" displayFolder="01_TY\USD" measureGroup="Sales" count="0" hidden="1"/>
    <cacheHierarchy uniqueName="[Measures].[TY CSP Sales Value USD]" caption="TY CSP Sales Value USD" measure="1" displayFolder="01_TY\USD" measureGroup="Sales" count="0" hidden="1"/>
    <cacheHierarchy uniqueName="[Measures].[TY LFL CSP Sales Value VAT TRY]" caption="TY LFL CSP Sales Value VAT TRY" measure="1" displayFolder="02_TYLFL\TRY" measureGroup="Sales" count="0" hidden="1"/>
    <cacheHierarchy uniqueName="[Measures].[TY LFL CSP Sales Value TRY]" caption="TY LFL CSP Sales Value TRY" measure="1" displayFolder="02_TYLFL\TRY" measureGroup="Sales" count="0" hidden="1"/>
    <cacheHierarchy uniqueName="[Measures].[TY LFL CSP Sales Value VAT USD]" caption="TY LFL CSP Sales Value VAT USD" measure="1" displayFolder="02_TYLFL\USD" measureGroup="Sales" count="0" hidden="1"/>
    <cacheHierarchy uniqueName="[Measures].[TY LFL CSP Sales Value USD]" caption="TY LFL CSP Sales Value USD" measure="1" displayFolder="02_TYLFL\USD" measureGroup="Sales" count="0" hidden="1"/>
    <cacheHierarchy uniqueName="[Measures].[LY CSP Sales Value VAT TRY]" caption="LY CSP Sales Value VAT TRY" measure="1" displayFolder="03_LY\TRY" measureGroup="Sales" count="0" hidden="1"/>
    <cacheHierarchy uniqueName="[Measures].[LY CSP Sales Value TRY]" caption="LY CSP Sales Value TRY" measure="1" displayFolder="03_LY\TRY" measureGroup="Sales" count="0" hidden="1"/>
    <cacheHierarchy uniqueName="[Measures].[LY CSP Sales Value VAT USD]" caption="LY CSP Sales Value VAT USD" measure="1" displayFolder="03_LY\USD" measureGroup="Sales" count="0" hidden="1"/>
    <cacheHierarchy uniqueName="[Measures].[LY CSP Sales Value USD]" caption="LY CSP Sales Value USD" measure="1" displayFolder="03_LY\USD" measureGroup="Sales" count="0" hidden="1"/>
    <cacheHierarchy uniqueName="[Measures].[LY LFL CSP Sales Value VAT LC]" caption="LY LFL CSP Sales Value VAT LC" measure="1" displayFolder="04_LYLFL\LC" measureGroup="Sales" count="0" hidden="1"/>
    <cacheHierarchy uniqueName="[Measures].[LY LFL CSP Sales Value LC]" caption="LY LFL CSP Sales Value LC" measure="1" displayFolder="04_LYLFL\LC" measureGroup="Sales" count="0" hidden="1"/>
    <cacheHierarchy uniqueName="[Measures].[LY LFL CSP Sales Value VAT TRY]" caption="LY LFL CSP Sales Value VAT TRY" measure="1" displayFolder="04_LYLFL\TRY" measureGroup="Sales" count="0" hidden="1"/>
    <cacheHierarchy uniqueName="[Measures].[LY LFL CSP Sales Value TRY]" caption="LY LFL CSP Sales Value TRY" measure="1" displayFolder="04_LYLFL\TRY" measureGroup="Sales" count="0" hidden="1"/>
    <cacheHierarchy uniqueName="[Measures].[LY LFL CSP Sales Value VAT USD]" caption="LY LFL CSP Sales Value VAT USD" measure="1" displayFolder="04_LYLFL\USD" measureGroup="Sales" count="0" hidden="1"/>
    <cacheHierarchy uniqueName="[Measures].[LY LFL CSP Sales Value USD]" caption="LY LFL CSP Sales Value USD" measure="1" displayFolder="04_LYLFL\USD" measureGroup="Sales" count="0" hidden="1"/>
    <cacheHierarchy uniqueName="[Measures].[TY Unit CSP LC]" caption="TY Unit CSP LC" measure="1" displayFolder="01_TY\LC" measureGroup="Sales" count="0" hidden="1"/>
    <cacheHierarchy uniqueName="[Measures].[LY Unit CSP LC]" caption="LY Unit CSP LC" measure="1" displayFolder="03_LY\LC" measureGroup="Sales" count="0" hidden="1"/>
    <cacheHierarchy uniqueName="[Measures].[TY LFL Unit CSP LC]" caption="TY LFL Unit CSP LC" measure="1" displayFolder="02_TYLFL\LC" measureGroup="Sales" count="0" hidden="1"/>
    <cacheHierarchy uniqueName="[Measures].[LY LFL Unit CSP LC]" caption="LY LFL Unit CSP LC" measure="1" displayFolder="04_LYLFL\LC" measureGroup="Sales" count="0" hidden="1"/>
    <cacheHierarchy uniqueName="[Measures].[TY Unit CSP TRY]" caption="TY Unit CSP TRY" measure="1" displayFolder="01_TY\TRY" measureGroup="Sales" count="0" hidden="1"/>
    <cacheHierarchy uniqueName="[Measures].[LY Unit CSP TRY]" caption="LY Unit CSP TRY" measure="1" displayFolder="03_LY\TRY" measureGroup="Sales" count="0" hidden="1"/>
    <cacheHierarchy uniqueName="[Measures].[TY LFL Unit CSPTRY]" caption="TY LFL Unit CSPTRY" measure="1" displayFolder="02_TYLFL\TRY" measureGroup="Sales" count="0" hidden="1"/>
    <cacheHierarchy uniqueName="[Measures].[LY LFL Unit CSP TRY]" caption="LY LFL Unit CSP TRY" measure="1" displayFolder="04_LYLFL\TRY" measureGroup="Sales" count="0" hidden="1"/>
    <cacheHierarchy uniqueName="[Measures].[TY Unit CSP USD]" caption="TY Unit CSP USD" measure="1" displayFolder="01_TY\USD" measureGroup="Sales" count="0" hidden="1"/>
    <cacheHierarchy uniqueName="[Measures].[LY Unit CSP USD]" caption="LY Unit CSP USD" measure="1" displayFolder="03_LY\USD" measureGroup="Sales" count="0" hidden="1"/>
    <cacheHierarchy uniqueName="[Measures].[TY LFL Unit CSP USD]" caption="TY LFL Unit CSP USD" measure="1" displayFolder="02_TYLFL\USD" measureGroup="Sales" count="0" hidden="1"/>
    <cacheHierarchy uniqueName="[Measures].[SumofSalesUnitDm3]" caption="SumofSalesUnitDm3" measure="1" displayFolder="" measureGroup="Sales" count="0" hidden="1"/>
    <cacheHierarchy uniqueName="[Measures].[TY Store Cover Unit]" caption="TY Store Cover Unit" measure="1" displayFolder="01_TY\_UNIT" measureGroup="KPI" count="0" oneField="1" hidden="1">
      <fieldsUsage count="1">
        <fieldUsage x="22"/>
      </fieldsUsage>
    </cacheHierarchy>
    <cacheHierarchy uniqueName="[Measures].[TY Store Cover LC]" caption="TY Store Cover LC" measure="1" displayFolder="01_TY\LC" measureGroup="KPI" count="0" hidden="1"/>
    <cacheHierarchy uniqueName="[Measures].[TY Store Cover TRY]" caption="TY Store Cover TRY" measure="1" displayFolder="01_TY\TRY" measureGroup="KPI" count="0" hidden="1"/>
    <cacheHierarchy uniqueName="[Measures].[TY Store Cover USD]" caption="TY Store Cover USD" measure="1" displayFolder="01_TY\USD" measureGroup="KPI" count="0" hidden="1"/>
    <cacheHierarchy uniqueName="[Measures].[LY Store Cover LC]" caption="LY Store Cover LC" measure="1" displayFolder="03_LY\LC" measureGroup="KPI" count="0" hidden="1"/>
    <cacheHierarchy uniqueName="[Measures].[LY Store Cover TRY]" caption="LY Store Cover TRY" measure="1" displayFolder="03_LY\TRY" measureGroup="KPI" count="0" hidden="1"/>
    <cacheHierarchy uniqueName="[Measures].[LY Store Cover USD]" caption="LY Store Cover USD" measure="1" displayFolder="03_LY\USD" measureGroup="KPI" count="0" hidden="1"/>
    <cacheHierarchy uniqueName="[Measures].[TY LFL Store Cover LC]" caption="TY LFL Store Cover LC" measure="1" displayFolder="02_TYLFL\LC" measureGroup="KPI" count="0" hidden="1"/>
    <cacheHierarchy uniqueName="[Measures].[TY LFL Store Cover TRY]" caption="TY LFL Store Cover TRY" measure="1" displayFolder="02_TYLFL\TRY" measureGroup="KPI" count="0" hidden="1"/>
    <cacheHierarchy uniqueName="[Measures].[TY LFL Store Cover USD]" caption="TY LFL Store Cover USD" measure="1" displayFolder="02_TYLFL\USD" measureGroup="KPI" count="0" hidden="1"/>
    <cacheHierarchy uniqueName="[Measures].[LY LFL Store Cover LC]" caption="LY LFL Store Cover LC" measure="1" displayFolder="04_LYLFL\LC" measureGroup="KPI" count="0" hidden="1"/>
    <cacheHierarchy uniqueName="[Measures].[LY LFL Store Cover TRY]" caption="LY LFL Store Cover TRY" measure="1" displayFolder="04_LYLFL\TRY" measureGroup="KPI" count="0" hidden="1"/>
    <cacheHierarchy uniqueName="[Measures].[LY LFL Store Cover USD]" caption="LY LFL Store Cover USD" measure="1" displayFolder="04_LYLFL\USD" measureGroup="KPI" count="0" hidden="1"/>
    <cacheHierarchy uniqueName="[Measures].[LY Store Cover Unit]" caption="LY Store Cover Unit" measure="1" displayFolder="03_LY\_UNIT" measureGroup="KPI" count="0" oneField="1" hidden="1">
      <fieldsUsage count="1">
        <fieldUsage x="23"/>
      </fieldsUsage>
    </cacheHierarchy>
    <cacheHierarchy uniqueName="[Measures].[TY LFL Store Cover Unit]" caption="TY LFL Store Cover Unit" measure="1" displayFolder="02_TYLFL\_UNIT" measureGroup="KPI" count="0" hidden="1"/>
    <cacheHierarchy uniqueName="[Measures].[LY LFL Store Cover Unit]" caption="LY LFL Store Cover Unit" measure="1" displayFolder="04_LYLFL\_UNIT" measureGroup="KPI" count="0" hidden="1"/>
    <cacheHierarchy uniqueName="[Measures].[Store Cover Unit TYvsLY%]" caption="Store Cover Unit TYvsLY%" measure="1" displayFolder="01_TY\_UNIT" measureGroup="KPI" count="0" hidden="1"/>
    <cacheHierarchy uniqueName="[Measures].[LFL Store Cover Unit TYvsLY%]" caption="LFL Store Cover Unit TYvsLY%" measure="1" displayFolder="02_TYLFL\_UNIT" measureGroup="KPI" count="0" hidden="1"/>
    <cacheHierarchy uniqueName="[Measures].[TY Country Back Cover Unit TR]" caption="TY Country Back Cover Unit TR" measure="1" displayFolder="" measureGroup="KPI" count="0" hidden="1"/>
    <cacheHierarchy uniqueName="[Measures].[TY Country Back Cover Unit YD]" caption="TY Country Back Cover Unit YD" measure="1" displayFolder="" measureGroup="KPI" count="0" hidden="1"/>
    <cacheHierarchy uniqueName="[Measures].[TY SKU Count by Store Stock]" caption="TY SKU Count by Store Stock" measure="1" displayFolder="01_TY\_UNIT" measureGroup="KPI" count="0" hidden="1"/>
    <cacheHierarchy uniqueName="[Measures].[LY SKU Count by Store Stock]" caption="LY SKU Count by Store Stock" measure="1" displayFolder="03_LY\_UNIT" measureGroup="KPI" count="0" hidden="1"/>
    <cacheHierarchy uniqueName="[Measures].[TY LFL SKU Count by Store Stock]" caption="TY LFL SKU Count by Store Stock" measure="1" displayFolder="02_TYLFL\_UNIT" measureGroup="KPI" count="0" hidden="1"/>
    <cacheHierarchy uniqueName="[Measures].[LY LFL SKU Count by Store Stock]" caption="LY LFL SKU Count by Store Stock" measure="1" displayFolder="04_LYLFL\_UNIT" measureGroup="KPI" count="0" hidden="1"/>
    <cacheHierarchy uniqueName="[Measures].[CUR Store Count by Total Stock]" caption="CUR Store Count by Total Stock" measure="1" displayFolder="01_TY\_UNIT" measureGroup="KPI" count="0" hidden="1"/>
    <cacheHierarchy uniqueName="[Measures].[Last 21Days TY Sales Unit]" caption="Last 21Days TY Sales Unit" measure="1" displayFolder="LASTN" measureGroup="KPI" count="0" hidden="1"/>
    <cacheHierarchy uniqueName="[Measures].[PO Unit Total]" caption="PO Unit Total" measure="1" displayFolder="" measureGroup="PurchaseOrder" count="0" hidden="1"/>
    <cacheHierarchy uniqueName="[Measures].[PO Unit Running Total 30 Days]" caption="PO Unit Running Total 30 Days" measure="1" displayFolder="" measureGroup="PurchaseOrder" count="0" hidden="1"/>
    <cacheHierarchy uniqueName="[Measures].[PO Unit Last 30 Days Total]" caption="PO Unit Last 30 Days Total" measure="1" displayFolder="" measureGroup="PurchaseOrder" count="0" hidden="1"/>
    <cacheHierarchy uniqueName="[Measures].[Goods Receipt PO Unit Base]" caption="Goods Receipt PO Unit Base" measure="1" displayFolder="_UNIT" measureGroup="PurchaseOrder" count="0" hidden="1"/>
    <cacheHierarchy uniqueName="[Measures].[Goods Receipt PO Value LC Base]" caption="Goods Receipt PO Value LC Base" measure="1" displayFolder="_VALUE" measureGroup="PurchaseOrder" count="0" hidden="1"/>
    <cacheHierarchy uniqueName="[Measures].[Goods Receipt PO Value Navlun LC Base]" caption="Goods Receipt PO Value Navlun LC Base" measure="1" displayFolder="" measureGroup="PurchaseOrder" count="0" hidden="1"/>
    <cacheHierarchy uniqueName="[Measures].[Goods Receipt PO Value LC Old]" caption="Goods Receipt PO Value LC Old" measure="1" displayFolder="_VALUE" measureGroup="PurchaseOrder" count="0" hidden="1"/>
    <cacheHierarchy uniqueName="[Measures].[Goods Receipt PO Unit Base (WholeSale)]" caption="Goods Receipt PO Unit Base (WholeSale)" measure="1" displayFolder="" measureGroup="PurchaseOrder" count="0" hidden="1"/>
    <cacheHierarchy uniqueName="[Measures].[Goods Receipt PO Value Navlun LC Base (WholeSale)]" caption="Goods Receipt PO Value Navlun LC Base (WholeSale)" measure="1" displayFolder="" measureGroup="PurchaseOrder" count="0" hidden="1"/>
    <cacheHierarchy uniqueName="[Measures].[TyLFLSumofCapacityPlanUnit]" caption="TyLFLSumofCapacityPlanUnit" measure="1" displayFolder="" measureGroup="Capacity" count="0" hidden="1"/>
    <cacheHierarchy uniqueName="[Measures].[TySumofCapacityPlanUnit]" caption="TySumofCapacityPlanUnit" measure="1" displayFolder="" measureGroup="Capacity" count="0" hidden="1"/>
    <cacheHierarchy uniqueName="[Measures].[CUR Backstore Capacity Area]" caption="CUR Backstore Capacity Area" measure="1" displayFolder="00_CURRENT\_UNIT" measureGroup="Capacity" count="0" hidden="1"/>
    <cacheHierarchy uniqueName="[Measures].[TySumofCapacityPlanCostLC]" caption="TySumofCapacityPlanCostLC" measure="1" displayFolder="" measureGroup="Capacity" count="0" hidden="1"/>
    <cacheHierarchy uniqueName="[Measures].[TyLFLSumofCapacityPlanCostLC]" caption="TyLFLSumofCapacityPlanCostLC" measure="1" displayFolder="" measureGroup="Capacity" count="0" hidden="1"/>
    <cacheHierarchy uniqueName="[Measures].[CUR NET Cumulative Stock DM3]" caption="CUR NET Cumulative Stock DM3" measure="1" displayFolder="" measureGroup="Capacity" count="0" hidden="1"/>
  </cacheHierarchies>
  <kpis count="0"/>
  <dimensions count="13">
    <dimension name="Calendar" uniqueName="[Calendar]" caption="Calendar"/>
    <dimension name="DCWarehouse" uniqueName="[DCWarehouse]" caption="DCWarehouse"/>
    <dimension name="Delivery" uniqueName="[Delivery]" caption="Delivery"/>
    <dimension name="ISPUnitPrice" uniqueName="[ISPUnitPrice]" caption="ISPUnitPrice"/>
    <dimension name="Material" uniqueName="[Material]" caption="Material"/>
    <dimension measure="1" name="Measures" uniqueName="[Measures]" caption="Measures"/>
    <dimension name="SalesBudget" uniqueName="[SalesBudget]" caption="SalesBudget"/>
    <dimension name="SalesChannel" uniqueName="[SalesChannel]" caption="SalesChannel"/>
    <dimension name="SalesSeason" uniqueName="[SalesSeason]" caption="SalesSeason"/>
    <dimension name="StockList" uniqueName="[StockList]" caption="StockList"/>
    <dimension name="Store" uniqueName="[Store]" caption="Store"/>
    <dimension name="StoreLFLStatu" uniqueName="[StoreLFLStatu]" caption="StoreLFLStatu"/>
    <dimension name="SubDistChannel" uniqueName="[SubDistChannel]" caption="SubDistChannel"/>
  </dimensions>
  <measureGroups count="35">
    <measureGroup name="Calendar" caption="Calendar"/>
    <measureGroup name="Capacity" caption="Capacity"/>
    <measureGroup name="CapacityPlanTY" caption="CapacityPlanTY"/>
    <measureGroup name="CurrentStockSales" caption="CurrentStockSales"/>
    <measureGroup name="CurrentStockStore" caption="CurrentStockStore"/>
    <measureGroup name="DCWarehouse" caption="DCWarehouse"/>
    <measureGroup name="Delivery" caption="Delivery"/>
    <measureGroup name="ISPUnitPrice" caption="ISPUnitPrice"/>
    <measureGroup name="KPI" caption="KPI"/>
    <measureGroup name="LFLDate" caption="LFLDate"/>
    <measureGroup name="Material" caption="Material"/>
    <measureGroup name="OpenImportsDCStock" caption="OpenImportsDCStock"/>
    <measureGroup name="OpenImportsStoreStock" caption="OpenImportsStoreStock"/>
    <measureGroup name="PurchaseOrder" caption="PurchaseOrder"/>
    <measureGroup name="PurchaseOrderGR" caption="PurchaseOrderGR"/>
    <measureGroup name="Sales" caption="Sales"/>
    <measureGroup name="SalesBudget" caption="SalesBudget"/>
    <measureGroup name="SalesBudgetLY" caption="SalesBudgetLY"/>
    <measureGroup name="SalesChannel" caption="SalesChannel"/>
    <measureGroup name="SalesLY" caption="SalesLY"/>
    <measureGroup name="SalesSeason" caption="SalesSeason"/>
    <measureGroup name="SalesTY" caption="SalesTY"/>
    <measureGroup name="StockDC" caption="StockDC"/>
    <measureGroup name="StockDCLY" caption="StockDCLY"/>
    <measureGroup name="StockList" caption="StockList"/>
    <measureGroup name="StockStore" caption="StockStore"/>
    <measureGroup name="StockStoreLY" caption="StockStoreLY"/>
    <measureGroup name="Store" caption="Store"/>
    <measureGroup name="StoreCapacity" caption="StoreCapacity"/>
    <measureGroup name="StoreLFLStatu" caption="StoreLFLStatu"/>
    <measureGroup name="StoreTarget" caption="StoreTarget"/>
    <measureGroup name="StoreTargetLY" caption="StoreTargetLY"/>
    <measureGroup name="SubDistChannel" caption="SubDistChannel"/>
    <measureGroup name="Visitor" caption="Visitor"/>
    <measureGroup name="VisitorHourly" caption="VisitorHourly"/>
  </measureGroups>
  <maps count="130">
    <map measureGroup="0" dimension="0"/>
    <map measureGroup="1" dimension="0"/>
    <map measureGroup="1" dimension="4"/>
    <map measureGroup="1" dimension="7"/>
    <map measureGroup="1" dimension="8"/>
    <map measureGroup="1" dimension="10"/>
    <map measureGroup="1" dimension="11"/>
    <map measureGroup="1" dimension="12"/>
    <map measureGroup="2" dimension="0"/>
    <map measureGroup="2" dimension="4"/>
    <map measureGroup="2" dimension="7"/>
    <map measureGroup="2" dimension="12"/>
    <map measureGroup="3" dimension="4"/>
    <map measureGroup="3" dimension="10"/>
    <map measureGroup="4" dimension="3"/>
    <map measureGroup="4" dimension="4"/>
    <map measureGroup="4" dimension="7"/>
    <map measureGroup="4" dimension="10"/>
    <map measureGroup="4" dimension="12"/>
    <map measureGroup="5" dimension="1"/>
    <map measureGroup="6" dimension="0"/>
    <map measureGroup="6" dimension="2"/>
    <map measureGroup="6" dimension="4"/>
    <map measureGroup="7" dimension="3"/>
    <map measureGroup="9" dimension="0"/>
    <map measureGroup="9" dimension="7"/>
    <map measureGroup="9" dimension="12"/>
    <map measureGroup="10" dimension="4"/>
    <map measureGroup="11" dimension="1"/>
    <map measureGroup="11" dimension="4"/>
    <map measureGroup="11" dimension="9"/>
    <map measureGroup="12" dimension="4"/>
    <map measureGroup="12" dimension="7"/>
    <map measureGroup="12" dimension="9"/>
    <map measureGroup="12" dimension="10"/>
    <map measureGroup="12" dimension="12"/>
    <map measureGroup="13" dimension="0"/>
    <map measureGroup="13" dimension="1"/>
    <map measureGroup="13" dimension="4"/>
    <map measureGroup="13" dimension="7"/>
    <map measureGroup="13" dimension="8"/>
    <map measureGroup="13" dimension="11"/>
    <map measureGroup="13" dimension="12"/>
    <map measureGroup="14" dimension="0"/>
    <map measureGroup="14" dimension="1"/>
    <map measureGroup="14" dimension="4"/>
    <map measureGroup="14" dimension="7"/>
    <map measureGroup="14" dimension="8"/>
    <map measureGroup="14" dimension="11"/>
    <map measureGroup="14" dimension="12"/>
    <map measureGroup="16" dimension="0"/>
    <map measureGroup="16" dimension="4"/>
    <map measureGroup="16" dimension="6"/>
    <map measureGroup="16" dimension="7"/>
    <map measureGroup="16" dimension="12"/>
    <map measureGroup="17" dimension="0"/>
    <map measureGroup="17" dimension="4"/>
    <map measureGroup="17" dimension="7"/>
    <map measureGroup="17" dimension="12"/>
    <map measureGroup="18" dimension="7"/>
    <map measureGroup="18" dimension="12"/>
    <map measureGroup="19" dimension="0"/>
    <map measureGroup="19" dimension="3"/>
    <map measureGroup="19" dimension="4"/>
    <map measureGroup="19" dimension="7"/>
    <map measureGroup="19" dimension="8"/>
    <map measureGroup="19" dimension="10"/>
    <map measureGroup="19" dimension="11"/>
    <map measureGroup="19" dimension="12"/>
    <map measureGroup="20" dimension="8"/>
    <map measureGroup="21" dimension="0"/>
    <map measureGroup="21" dimension="3"/>
    <map measureGroup="21" dimension="4"/>
    <map measureGroup="21" dimension="7"/>
    <map measureGroup="21" dimension="8"/>
    <map measureGroup="21" dimension="10"/>
    <map measureGroup="21" dimension="11"/>
    <map measureGroup="21" dimension="12"/>
    <map measureGroup="22" dimension="0"/>
    <map measureGroup="22" dimension="1"/>
    <map measureGroup="22" dimension="3"/>
    <map measureGroup="22" dimension="4"/>
    <map measureGroup="22" dimension="8"/>
    <map measureGroup="23" dimension="0"/>
    <map measureGroup="23" dimension="1"/>
    <map measureGroup="23" dimension="3"/>
    <map measureGroup="23" dimension="4"/>
    <map measureGroup="23" dimension="8"/>
    <map measureGroup="24" dimension="9"/>
    <map measureGroup="25" dimension="0"/>
    <map measureGroup="25" dimension="3"/>
    <map measureGroup="25" dimension="4"/>
    <map measureGroup="25" dimension="7"/>
    <map measureGroup="25" dimension="8"/>
    <map measureGroup="25" dimension="10"/>
    <map measureGroup="25" dimension="11"/>
    <map measureGroup="25" dimension="12"/>
    <map measureGroup="26" dimension="0"/>
    <map measureGroup="26" dimension="3"/>
    <map measureGroup="26" dimension="4"/>
    <map measureGroup="26" dimension="7"/>
    <map measureGroup="26" dimension="8"/>
    <map measureGroup="26" dimension="10"/>
    <map measureGroup="26" dimension="11"/>
    <map measureGroup="26" dimension="12"/>
    <map measureGroup="27" dimension="10"/>
    <map measureGroup="28" dimension="4"/>
    <map measureGroup="28" dimension="7"/>
    <map measureGroup="28" dimension="8"/>
    <map measureGroup="28" dimension="10"/>
    <map measureGroup="28" dimension="11"/>
    <map measureGroup="28" dimension="12"/>
    <map measureGroup="29" dimension="11"/>
    <map measureGroup="30" dimension="0"/>
    <map measureGroup="30" dimension="7"/>
    <map measureGroup="30" dimension="10"/>
    <map measureGroup="30" dimension="12"/>
    <map measureGroup="31" dimension="0"/>
    <map measureGroup="31" dimension="7"/>
    <map measureGroup="31" dimension="10"/>
    <map measureGroup="31" dimension="12"/>
    <map measureGroup="32" dimension="7"/>
    <map measureGroup="32" dimension="12"/>
    <map measureGroup="33" dimension="0"/>
    <map measureGroup="33" dimension="10"/>
    <map measureGroup="33" dimension="11"/>
    <map measureGroup="34" dimension="0"/>
    <map measureGroup="34" dimension="7"/>
    <map measureGroup="34" dimension="10"/>
    <map measureGroup="34" dimension="1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ehmet Fatih Başol" refreshedDate="45761.521310416669" backgroundQuery="1" createdVersion="3" refreshedVersion="8" minRefreshableVersion="3" recordCount="0" supportSubquery="1" supportAdvancedDrill="1" xr:uid="{96D3C0FA-9D3C-4AFB-946C-4489DF622D14}">
  <cacheSource type="external" connectionId="3">
    <extLst>
      <ext xmlns:x14="http://schemas.microsoft.com/office/spreadsheetml/2009/9/main" uri="{F057638F-6D5F-4e77-A914-E7F072B9BCA8}">
        <x14:sourceConnection name="DataHome CURE Model2"/>
      </ext>
    </extLst>
  </cacheSource>
  <cacheFields count="0"/>
  <cacheHierarchies count="1490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ID]" caption="DateID" attribute="1" time="1" defaultMemberUniqueName="[Calendar].[DateID].[All]" allUniqueName="[Calendar].[DateID].[All]" dimensionUniqueName="[Calendar]" displayFolder="" count="0" unbalanced="0"/>
    <cacheHierarchy uniqueName="[Calendar].[DayName]" caption="DayName" attribute="1" time="1" defaultMemberUniqueName="[Calendar].[DayName].[All]" allUniqueName="[Calendar].[DayName].[All]" dimensionUniqueName="[Calendar]" displayFolder="" count="0" unbalanced="0"/>
    <cacheHierarchy uniqueName="[Calendar].[DayOfMonth]" caption="DayOfMonth" attribute="1" time="1" defaultMemberUniqueName="[Calendar].[DayOfMonth].[All]" allUniqueName="[Calendar].[DayOfMonth].[All]" dimensionUniqueName="[Calendar]" displayFolder="Gregorian" count="0" unbalanced="0"/>
    <cacheHierarchy uniqueName="[Calendar].[DayOfWeek]" caption="DayOfWeek" attribute="1" time="1" defaultMemberUniqueName="[Calendar].[DayOfWeek].[All]" allUniqueName="[Calendar].[DayOfWeek].[All]" dimensionUniqueName="[Calendar]" displayFolder="Gregorian" count="0" unbalanced="0"/>
    <cacheHierarchy uniqueName="[Calendar].[H_Gregorian]" caption="H_Gregorian" time="1" defaultMemberUniqueName="[Calendar].[H_Gregorian].[All]" allUniqueName="[Calendar].[H_Gregorian].[All]" dimensionUniqueName="[Calendar]" displayFolder="" count="0" unbalanced="0"/>
    <cacheHierarchy uniqueName="[Calendar].[H_Merch]" caption="H_Merch" time="1" defaultMemberUniqueName="[Calendar].[H_Merch].[All]" allUniqueName="[Calendar].[H_Merch].[All]" dimensionUniqueName="[Calendar]" displayFolder="" count="0" unbalanced="0"/>
    <cacheHierarchy uniqueName="[Calendar].[IsWeekend]" caption="IsWeekend" attribute="1" time="1" defaultMemberUniqueName="[Calendar].[IsWeekend].[All]" allUniqueName="[Calendar].[IsWeekend].[All]" dimensionUniqueName="[Calendar]" displayFolder="" count="0" unbalanced="0"/>
    <cacheHierarchy uniqueName="[Calendar].[Last7DaysPartSequence]" caption="Last7DaysPartSequence" attribute="1" time="1" defaultMemberUniqueName="[Calendar].[Last7DaysPartSequence].[All]" allUniqueName="[Calendar].[Last7DaysPartSequence].[All]" dimensionUniqueName="[Calendar]" displayFolder="" count="0" unbalanced="0"/>
    <cacheHierarchy uniqueName="[Calendar].[LastNDays]" caption="LastNDays" attribute="1" time="1" defaultMemberUniqueName="[Calendar].[LastNDays].[All]" allUniqueName="[Calendar].[LastNDays].[All]" dimensionUniqueName="[Calendar]" displayFolder="" count="0" unbalanced="0"/>
    <cacheHierarchy uniqueName="[Calendar].[MerchMonth]" caption="MerchMonth" attribute="1" time="1" defaultMemberUniqueName="[Calendar].[MerchMonth].[All]" allUniqueName="[Calendar].[MerchMonth].[All]" dimensionUniqueName="[Calendar]" displayFolder="Merch" count="2" unbalanced="0"/>
    <cacheHierarchy uniqueName="[Calendar].[MerchMonthName]" caption="MerchMonthName" attribute="1" time="1" defaultMemberUniqueName="[Calendar].[MerchMonthName].[All]" allUniqueName="[Calendar].[MerchMonthName].[All]" dimensionUniqueName="[Calendar]" displayFolder="Merch" count="0" unbalanced="0"/>
    <cacheHierarchy uniqueName="[Calendar].[MerchWeek]" caption="MerchWeek" attribute="1" time="1" defaultMemberUniqueName="[Calendar].[MerchWeek].[All]" allUniqueName="[Calendar].[MerchWeek].[All]" dimensionUniqueName="[Calendar]" displayFolder="Merch" count="2" unbalanced="0"/>
    <cacheHierarchy uniqueName="[Calendar].[MerchYear]" caption="MerchYear" attribute="1" time="1" defaultMemberUniqueName="[Calendar].[MerchYear].[All]" allUniqueName="[Calendar].[MerchYear].[All]" dimensionUniqueName="[Calendar]" displayFolder="Merch" count="2" unbalanced="0"/>
    <cacheHierarchy uniqueName="[Calendar].[MerchYearMonth]" caption="MerchYearMonth" attribute="1" time="1" defaultMemberUniqueName="[Calendar].[MerchYearMonth].[All]" allUniqueName="[Calendar].[MerchYearMonth].[All]" dimensionUniqueName="[Calendar]" displayFolder="Merch" count="0" unbalanced="0"/>
    <cacheHierarchy uniqueName="[Calendar].[MerchYearMonthName]" caption="MerchYearMonthName" attribute="1" time="1" defaultMemberUniqueName="[Calendar].[MerchYearMonthName].[All]" allUniqueName="[Calendar].[MerchYearMonthName].[All]" dimensionUniqueName="[Calendar]" displayFolder="Merch" count="0" unbalanced="0"/>
    <cacheHierarchy uniqueName="[Calendar].[MerchYearWeek]" caption="MerchYearWeek" attribute="1" time="1" defaultMemberUniqueName="[Calendar].[MerchYearWeek].[All]" allUniqueName="[Calendar].[MerchYearWeek].[All]" dimensionUniqueName="[Calendar]" displayFolder="Merch" count="0" unbalanced="0"/>
    <cacheHierarchy uniqueName="[Calendar].[Month]" caption="Month" attribute="1" time="1" defaultMemberUniqueName="[Calendar].[Month].[All]" allUniqueName="[Calendar].[Month].[All]" dimensionUniqueName="[Calendar]" displayFolder="Gregorian" count="0" unbalanced="0"/>
    <cacheHierarchy uniqueName="[Calendar].[MonthName]" caption="MonthName" attribute="1" time="1" defaultMemberUniqueName="[Calendar].[MonthName].[All]" allUniqueName="[Calendar].[MonthName].[All]" dimensionUniqueName="[Calendar]" displayFolder="Gregorian" count="0" unbalanced="0"/>
    <cacheHierarchy uniqueName="[Calendar].[MonthPeriod]" caption="MonthPeriod" attribute="1" time="1" defaultMemberUniqueName="[Calendar].[MonthPeriod].[All]" allUniqueName="[Calendar].[MonthPeriod].[All]" dimensionUniqueName="[Calendar]" displayFolder="" count="0" unbalanced="0"/>
    <cacheHierarchy uniqueName="[Calendar].[PastDate]" caption="PastDate" attribute="1" time="1" defaultMemberUniqueName="[Calendar].[PastDate].[All]" allUniqueName="[Calendar].[PastDate].[All]" dimensionUniqueName="[Calendar]" displayFolder="" count="0" unbalanced="0"/>
    <cacheHierarchy uniqueName="[Calendar].[Week]" caption="Week" attribute="1" time="1" defaultMemberUniqueName="[Calendar].[Week].[All]" allUniqueName="[Calendar].[Week].[All]" dimensionUniqueName="[Calendar]" displayFolder="Gregorian" count="0" unbalanced="0"/>
    <cacheHierarchy uniqueName="[Calendar].[WeekPartSequence]" caption="WeekPartSequence" attribute="1" time="1" defaultMemberUniqueName="[Calendar].[WeekPartSequence].[All]" allUniqueName="[Calendar].[WeekPartSequence].[All]" dimensionUniqueName="[Calendar]" displayFolder="" count="0" unbalanced="0"/>
    <cacheHierarchy uniqueName="[Calendar].[WeekPeriod]" caption="WeekPeriod" attribute="1" time="1" defaultMemberUniqueName="[Calendar].[WeekPeriod].[All]" allUniqueName="[Calendar].[WeekPeriod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Gregorian" count="0" unbalanced="0"/>
    <cacheHierarchy uniqueName="[Calendar].[YearMonth]" caption="YearMonth" attribute="1" time="1" defaultMemberUniqueName="[Calendar].[YearMonth].[All]" allUniqueName="[Calendar].[YearMonth].[All]" dimensionUniqueName="[Calendar]" displayFolder="Gregorian" count="0" unbalanced="0"/>
    <cacheHierarchy uniqueName="[Calendar].[YearMonthName]" caption="YearMonthName" attribute="1" time="1" defaultMemberUniqueName="[Calendar].[YearMonthName].[All]" allUniqueName="[Calendar].[YearMonthName].[All]" dimensionUniqueName="[Calendar]" displayFolder="Gregorian" count="0" unbalanced="0"/>
    <cacheHierarchy uniqueName="[Calendar].[YearPeriod]" caption="YearPeriod" attribute="1" time="1" defaultMemberUniqueName="[Calendar].[YearPeriod].[All]" allUniqueName="[Calendar].[YearPeriod].[All]" dimensionUniqueName="[Calendar]" displayFolder="" count="0" unbalanced="0"/>
    <cacheHierarchy uniqueName="[Calendar].[YearWeek]" caption="YearWeek" attribute="1" time="1" defaultMemberUniqueName="[Calendar].[YearWeek].[All]" allUniqueName="[Calendar].[YearWeek].[All]" dimensionUniqueName="[Calendar]" displayFolder="Gregorian" count="0" unbalanced="0"/>
    <cacheHierarchy uniqueName="[DCWarehouse].[DCCompanyCode]" caption="DCCompanyCode" attribute="1" defaultMemberUniqueName="[DCWarehouse].[DCCompanyCode].[All]" allUniqueName="[DCWarehouse].[DCCompanyCode].[All]" dimensionUniqueName="[DCWarehouse]" displayFolder="" count="0" unbalanced="0"/>
    <cacheHierarchy uniqueName="[DCWarehouse].[DCCompanyName]" caption="DCCompanyName" attribute="1" defaultMemberUniqueName="[DCWarehouse].[DCCompanyName].[All]" allUniqueName="[DCWarehouse].[DCCompanyName].[All]" dimensionUniqueName="[DCWarehouse]" displayFolder="" count="0" unbalanced="0"/>
    <cacheHierarchy uniqueName="[DCWarehouse].[DCCompanyRegion]" caption="DCCompanyRegion" attribute="1" defaultMemberUniqueName="[DCWarehouse].[DCCompanyRegion].[All]" allUniqueName="[DCWarehouse].[DCCompanyRegion].[All]" dimensionUniqueName="[DCWarehouse]" displayFolder="" count="0" unbalanced="0"/>
    <cacheHierarchy uniqueName="[DCWarehouse].[DCDistrubitionChannelCode]" caption="DCDistrubitionChannelCode" attribute="1" defaultMemberUniqueName="[DCWarehouse].[DCDistrubitionChannelCode].[All]" allUniqueName="[DCWarehouse].[DCDistrubitionChannelCode].[All]" dimensionUniqueName="[DCWarehouse]" displayFolder="" count="0" unbalanced="0"/>
    <cacheHierarchy uniqueName="[DCWarehouse].[DCSalesOrgCode]" caption="DCSalesOrgCode" attribute="1" defaultMemberUniqueName="[DCWarehouse].[DCSalesOrgCode].[All]" allUniqueName="[DCWarehouse].[DCSalesOrgCode].[All]" dimensionUniqueName="[DCWarehouse]" displayFolder="" count="0" unbalanced="0"/>
    <cacheHierarchy uniqueName="[DCWarehouse].[DCSalesOrgType]" caption="DCSalesOrgType" attribute="1" defaultMemberUniqueName="[DCWarehouse].[DCSalesOrgType].[All]" allUniqueName="[DCWarehouse].[DCSalesOrgType].[All]" dimensionUniqueName="[DCWarehouse]" displayFolder="" count="0" unbalanced="0"/>
    <cacheHierarchy uniqueName="[DCWarehouse].[DCSubWarehouseCode]" caption="DCSubWarehouseCode" attribute="1" defaultMemberUniqueName="[DCWarehouse].[DCSubWarehouseCode].[All]" allUniqueName="[DCWarehouse].[DCSubWarehouseCode].[All]" dimensionUniqueName="[DCWarehouse]" displayFolder="" count="0" unbalanced="0"/>
    <cacheHierarchy uniqueName="[DCWarehouse].[DCSubWarehouseKey]" caption="DCSubWarehouseKey" attribute="1" defaultMemberUniqueName="[DCWarehouse].[DCSubWarehouseKey].[All]" allUniqueName="[DCWarehouse].[DCSubWarehouseKey].[All]" dimensionUniqueName="[DCWarehouse]" displayFolder="Key" count="0" unbalanced="0"/>
    <cacheHierarchy uniqueName="[DCWarehouse].[DCWarehouseCode]" caption="DCWarehouseCode" attribute="1" defaultMemberUniqueName="[DCWarehouse].[DCWarehouseCode].[All]" allUniqueName="[DCWarehouse].[DCWarehouseCode].[All]" dimensionUniqueName="[DCWarehouse]" displayFolder="" count="0" unbalanced="0"/>
    <cacheHierarchy uniqueName="[DCWarehouse].[DCWarehouseDataType]" caption="DCWarehouseDataType" attribute="1" defaultMemberUniqueName="[DCWarehouse].[DCWarehouseDataType].[All]" allUniqueName="[DCWarehouse].[DCWarehouseDataType].[All]" dimensionUniqueName="[DCWarehouse]" displayFolder="" count="0" unbalanced="0"/>
    <cacheHierarchy uniqueName="[DCWarehouse].[DCWarehouseDesc]" caption="DCWarehouseDesc" attribute="1" defaultMemberUniqueName="[DCWarehouse].[DCWarehouseDesc].[All]" allUniqueName="[DCWarehouse].[DCWarehouseDesc].[All]" dimensionUniqueName="[DCWarehouse]" displayFolder="" count="0" unbalanced="0"/>
    <cacheHierarchy uniqueName="[DCWarehouse].[DCWarehouseKey]" caption="DCWarehouseKey" attribute="1" defaultMemberUniqueName="[DCWarehouse].[DCWarehouseKey].[All]" allUniqueName="[DCWarehouse].[DCWarehouseKey].[All]" dimensionUniqueName="[DCWarehouse]" displayFolder="Key" count="0" unbalanced="0"/>
    <cacheHierarchy uniqueName="[ISPUnitPrice].[ISPLCPriceGroup100]" caption="ISPLCPriceGroup100" attribute="1" defaultMemberUniqueName="[ISPUnitPrice].[ISPLCPriceGroup100].[All]" allUniqueName="[ISPUnitPrice].[ISPLCPriceGroup100].[All]" dimensionUniqueName="[ISPUnitPrice]" displayFolder="" count="0" unbalanced="0"/>
    <cacheHierarchy uniqueName="[ISPUnitPrice].[ISPLCPriceVAT]" caption="ISPLCPriceVAT" attribute="1" defaultMemberUniqueName="[ISPUnitPrice].[ISPLCPriceVAT].[All]" allUniqueName="[ISPUnitPrice].[ISPLCPriceVAT].[All]" dimensionUniqueName="[ISPUnitPrice]" displayFolder="" count="0" unbalanced="0"/>
    <cacheHierarchy uniqueName="[Material].[Barcode]" caption="Barcode" attribute="1" defaultMemberUniqueName="[Material].[Barcode].[All]" allUniqueName="[Material].[Barcode].[All]" dimensionUniqueName="[Material]" displayFolder="" count="0" unbalanced="0"/>
    <cacheHierarchy uniqueName="[Material].[BrandCode]" caption="BrandCode" attribute="1" defaultMemberUniqueName="[Material].[BrandCode].[All]" allUniqueName="[Material].[BrandCode].[All]" dimensionUniqueName="[Material]" displayFolder="" count="0" unbalanced="0"/>
    <cacheHierarchy uniqueName="[Material].[BrandDesc]" caption="BrandDesc" attribute="1" defaultMemberUniqueName="[Material].[BrandDesc].[All]" allUniqueName="[Material].[BrandDesc].[All]" dimensionUniqueName="[Material]" displayFolder="" count="0" unbalanced="0"/>
    <cacheHierarchy uniqueName="[Material].[BudgetGroupCode]" caption="BudgetGroupCode" attribute="1" defaultMemberUniqueName="[Material].[BudgetGroupCode].[All]" allUniqueName="[Material].[BudgetGroupCode].[All]" dimensionUniqueName="[Material]" displayFolder="" count="0" unbalanced="0"/>
    <cacheHierarchy uniqueName="[Material].[BudgetGroupDesc]" caption="BudgetGroupDesc" attribute="1" defaultMemberUniqueName="[Material].[BudgetGroupDesc].[All]" allUniqueName="[Material].[BudgetGroupDesc].[All]" dimensionUniqueName="[Material]" displayFolder="" count="0" unbalanced="0"/>
    <cacheHierarchy uniqueName="[Material].[Category]" caption="Category" attribute="1" defaultMemberUniqueName="[Material].[Category].[All]" allUniqueName="[Material].[Category].[All]" dimensionUniqueName="[Material]" displayFolder="" count="0" unbalanced="0"/>
    <cacheHierarchy uniqueName="[Material].[CategoryLeader]" caption="CategoryLeader" attribute="1" defaultMemberUniqueName="[Material].[CategoryLeader].[All]" allUniqueName="[Material].[CategoryLeader].[All]" dimensionUniqueName="[Material]" displayFolder="" count="0" unbalanced="0"/>
    <cacheHierarchy uniqueName="[Material].[CatlCode]" caption="CatlCode" attribute="1" defaultMemberUniqueName="[Material].[CatlCode].[All]" allUniqueName="[Material].[CatlCode].[All]" dimensionUniqueName="[Material]" displayFolder="" count="0" unbalanced="0"/>
    <cacheHierarchy uniqueName="[Material].[CatlDesc]" caption="CatlDesc" attribute="1" defaultMemberUniqueName="[Material].[CatlDesc].[All]" allUniqueName="[Material].[CatlDesc].[All]" dimensionUniqueName="[Material]" displayFolder="" count="0" unbalanced="0"/>
    <cacheHierarchy uniqueName="[Material].[ColorCode]" caption="ColorCode" attribute="1" defaultMemberUniqueName="[Material].[ColorCode].[All]" allUniqueName="[Material].[ColorCode].[All]" dimensionUniqueName="[Material]" displayFolder="" count="0" unbalanced="0"/>
    <cacheHierarchy uniqueName="[Material].[ColorDesc]" caption="ColorDesc" attribute="1" defaultMemberUniqueName="[Material].[ColorDesc].[All]" allUniqueName="[Material].[ColorDesc].[All]" dimensionUniqueName="[Material]" displayFolder="" count="0" unbalanced="0"/>
    <cacheHierarchy uniqueName="[Material].[CombineCode]" caption="CombineCode" attribute="1" defaultMemberUniqueName="[Material].[CombineCode].[All]" allUniqueName="[Material].[CombineCode].[All]" dimensionUniqueName="[Material]" displayFolder="" count="0" unbalanced="0"/>
    <cacheHierarchy uniqueName="[Material].[CombineDesc]" caption="CombineDesc" attribute="1" defaultMemberUniqueName="[Material].[CombineDesc].[All]" allUniqueName="[Material].[CombineDesc].[All]" dimensionUniqueName="[Material]" displayFolder="" count="0" unbalanced="0"/>
    <cacheHierarchy uniqueName="[Material].[CurProductStateID]" caption="CurProductStateID" attribute="1" defaultMemberUniqueName="[Material].[CurProductStateID].[All]" allUniqueName="[Material].[CurProductStateID].[All]" dimensionUniqueName="[Material]" displayFolder="" count="0" unbalanced="0"/>
    <cacheHierarchy uniqueName="[Material].[CurProductStateName]" caption="CurProductStateName" attribute="1" defaultMemberUniqueName="[Material].[CurProductStateName].[All]" allUniqueName="[Material].[CurProductStateName].[All]" dimensionUniqueName="[Material]" displayFolder="" count="0" unbalanced="0"/>
    <cacheHierarchy uniqueName="[Material].[CurSalesSeasonID]" caption="CurSalesSeasonID" attribute="1" defaultMemberUniqueName="[Material].[CurSalesSeasonID].[All]" allUniqueName="[Material].[CurSalesSeasonID].[All]" dimensionUniqueName="[Material]" displayFolder="" count="0" unbalanced="0"/>
    <cacheHierarchy uniqueName="[Material].[CurSalesSeasonName]" caption="CurSalesSeasonName" attribute="1" defaultMemberUniqueName="[Material].[CurSalesSeasonName].[All]" allUniqueName="[Material].[CurSalesSeasonName].[All]" dimensionUniqueName="[Material]" displayFolder="" count="0" unbalanced="0"/>
    <cacheHierarchy uniqueName="[Material].[DesingCode]" caption="DesingCode" attribute="1" defaultMemberUniqueName="[Material].[DesingCode].[All]" allUniqueName="[Material].[DesingCode].[All]" dimensionUniqueName="[Material]" displayFolder="" count="0" unbalanced="0"/>
    <cacheHierarchy uniqueName="[Material].[DesingDesc]" caption="DesingDesc" attribute="1" defaultMemberUniqueName="[Material].[DesingDesc].[All]" allUniqueName="[Material].[DesingDesc].[All]" dimensionUniqueName="[Material]" displayFolder="" count="0" unbalanced="0"/>
    <cacheHierarchy uniqueName="[Material].[EtlDate]" caption="EtlDate" attribute="1" defaultMemberUniqueName="[Material].[EtlDate].[All]" allUniqueName="[Material].[EtlDate].[All]" dimensionUniqueName="[Material]" displayFolder="" count="0" unbalanced="0"/>
    <cacheHierarchy uniqueName="[Material].[FabricCode]" caption="FabricCode" attribute="1" defaultMemberUniqueName="[Material].[FabricCode].[All]" allUniqueName="[Material].[FabricCode].[All]" dimensionUniqueName="[Material]" displayFolder="" count="0" unbalanced="0"/>
    <cacheHierarchy uniqueName="[Material].[FacricDesc]" caption="FacricDesc" attribute="1" defaultMemberUniqueName="[Material].[FacricDesc].[All]" allUniqueName="[Material].[FacricDesc].[All]" dimensionUniqueName="[Material]" displayFolder="" count="0" unbalanced="0"/>
    <cacheHierarchy uniqueName="[Material].[H_MainGroup]" caption="H_MainGroup" defaultMemberUniqueName="[Material].[H_MainGroup].[All]" allUniqueName="[Material].[H_MainGroup].[All]" dimensionUniqueName="[Material]" displayFolder="" count="0" unbalanced="0"/>
    <cacheHierarchy uniqueName="[Material].[HygieneCode]" caption="HygieneCode" attribute="1" defaultMemberUniqueName="[Material].[HygieneCode].[All]" allUniqueName="[Material].[HygieneCode].[All]" dimensionUniqueName="[Material]" displayFolder="" count="0" unbalanced="0"/>
    <cacheHierarchy uniqueName="[Material].[HygieneDesc]" caption="HygieneDesc" attribute="1" defaultMemberUniqueName="[Material].[HygieneDesc].[All]" allUniqueName="[Material].[HygieneDesc].[All]" dimensionUniqueName="[Material]" displayFolder="" count="0" unbalanced="0"/>
    <cacheHierarchy uniqueName="[Material].[ImageURL]" caption="ImageURL" attribute="1" defaultMemberUniqueName="[Material].[ImageURL].[All]" allUniqueName="[Material].[ImageURL].[All]" dimensionUniqueName="[Material]" displayFolder="" count="0" unbalanced="0"/>
    <cacheHierarchy uniqueName="[Material].[LivingArea]" caption="LivingArea" attribute="1" defaultMemberUniqueName="[Material].[LivingArea].[All]" allUniqueName="[Material].[LivingArea].[All]" dimensionUniqueName="[Material]" displayFolder="" count="0" unbalanced="0"/>
    <cacheHierarchy uniqueName="[Material].[MainGroupCode]" caption="MainGroupCode" attribute="1" defaultMemberUniqueName="[Material].[MainGroupCode].[All]" allUniqueName="[Material].[MainGroupCode].[All]" dimensionUniqueName="[Material]" displayFolder="" count="0" unbalanced="0"/>
    <cacheHierarchy uniqueName="[Material].[MainGroupDesc]" caption="MainGroupDesc" attribute="1" defaultMemberUniqueName="[Material].[MainGroupDesc].[All]" allUniqueName="[Material].[MainGroupDesc].[All]" dimensionUniqueName="[Material]" displayFolder="" count="2" unbalanced="0"/>
    <cacheHierarchy uniqueName="[Material].[MatDim]" caption="MatDim" attribute="1" defaultMemberUniqueName="[Material].[MatDim].[All]" allUniqueName="[Material].[MatDim].[All]" dimensionUniqueName="[Material]" displayFolder="" count="0" unbalanced="0"/>
    <cacheHierarchy uniqueName="[Material].[MatDimUnit]" caption="MatDimUnit" attribute="1" defaultMemberUniqueName="[Material].[MatDimUnit].[All]" allUniqueName="[Material].[MatDimUnit].[All]" dimensionUniqueName="[Material]" displayFolder="" count="0" unbalanced="0"/>
    <cacheHierarchy uniqueName="[Material].[MaterialCode]" caption="MaterialCode" attribute="1" defaultMemberUniqueName="[Material].[MaterialCode].[All]" allUniqueName="[Material].[MaterialCode].[All]" dimensionUniqueName="[Material]" displayFolder="" count="0" unbalanced="0"/>
    <cacheHierarchy uniqueName="[Material].[MaterialCodeWoZero]" caption="MaterialCodeWoZero" attribute="1" defaultMemberUniqueName="[Material].[MaterialCodeWoZero].[All]" allUniqueName="[Material].[MaterialCodeWoZero].[All]" dimensionUniqueName="[Material]" displayFolder="" count="0" unbalanced="0"/>
    <cacheHierarchy uniqueName="[Material].[MaterialDesc]" caption="MaterialDesc" attribute="1" defaultMemberUniqueName="[Material].[MaterialDesc].[All]" allUniqueName="[Material].[MaterialDesc].[All]" dimensionUniqueName="[Material]" displayFolder="" count="0" unbalanced="0"/>
    <cacheHierarchy uniqueName="[Material].[MaterialDm3]" caption="MaterialDm3" attribute="1" defaultMemberUniqueName="[Material].[MaterialDm3].[All]" allUniqueName="[Material].[MaterialDm3].[All]" dimensionUniqueName="[Material]" displayFolder="" count="0" unbalanced="0"/>
    <cacheHierarchy uniqueName="[Material].[MaterialFeatureCode]" caption="MaterialFeatureCode" attribute="1" defaultMemberUniqueName="[Material].[MaterialFeatureCode].[All]" allUniqueName="[Material].[MaterialFeatureCode].[All]" dimensionUniqueName="[Material]" displayFolder="" count="0" unbalanced="0"/>
    <cacheHierarchy uniqueName="[Material].[MaterialFeatureDesc]" caption="MaterialFeatureDesc" attribute="1" defaultMemberUniqueName="[Material].[MaterialFeatureDesc].[All]" allUniqueName="[Material].[MaterialFeatureDesc].[All]" dimensionUniqueName="[Material]" displayFolder="" count="0" unbalanced="0"/>
    <cacheHierarchy uniqueName="[Material].[MaterialKey]" caption="MaterialKey" attribute="1" defaultMemberUniqueName="[Material].[MaterialKey].[All]" allUniqueName="[Material].[MaterialKey].[All]" dimensionUniqueName="[Material]" displayFolder="" count="0" unbalanced="0"/>
    <cacheHierarchy uniqueName="[Material].[MaterialOtherFeatureCode]" caption="MaterialOtherFeatureCode" attribute="1" defaultMemberUniqueName="[Material].[MaterialOtherFeatureCode].[All]" allUniqueName="[Material].[MaterialOtherFeatureCode].[All]" dimensionUniqueName="[Material]" displayFolder="" count="0" unbalanced="0"/>
    <cacheHierarchy uniqueName="[Material].[MaterialOtherFeatureDesc]" caption="MaterialOtherFeatureDesc" attribute="1" defaultMemberUniqueName="[Material].[MaterialOtherFeatureDesc].[All]" allUniqueName="[Material].[MaterialOtherFeatureDesc].[All]" dimensionUniqueName="[Material]" displayFolder="" count="0" unbalanced="0"/>
    <cacheHierarchy uniqueName="[Material].[MaterialSpecialFeatureCode]" caption="MaterialSpecialFeatureCode" attribute="1" defaultMemberUniqueName="[Material].[MaterialSpecialFeatureCode].[All]" allUniqueName="[Material].[MaterialSpecialFeatureCode].[All]" dimensionUniqueName="[Material]" displayFolder="" count="0" unbalanced="0"/>
    <cacheHierarchy uniqueName="[Material].[MaterialSpecialFeatureDesc]" caption="MaterialSpecialFeatureDesc" attribute="1" defaultMemberUniqueName="[Material].[MaterialSpecialFeatureDesc].[All]" allUniqueName="[Material].[MaterialSpecialFeatureDesc].[All]" dimensionUniqueName="[Material]" displayFolder="" count="0" unbalanced="0"/>
    <cacheHierarchy uniqueName="[Material].[MaterialTypeCode]" caption="MaterialTypeCode" attribute="1" defaultMemberUniqueName="[Material].[MaterialTypeCode].[All]" allUniqueName="[Material].[MaterialTypeCode].[All]" dimensionUniqueName="[Material]" displayFolder="" count="0" unbalanced="0"/>
    <cacheHierarchy uniqueName="[Material].[MaterialTypeDesc]" caption="MaterialTypeDesc" attribute="1" defaultMemberUniqueName="[Material].[MaterialTypeDesc].[All]" allUniqueName="[Material].[MaterialTypeDesc].[All]" dimensionUniqueName="[Material]" displayFolder="" count="0" unbalanced="0"/>
    <cacheHierarchy uniqueName="[Material].[MatHeight]" caption="MatHeight" attribute="1" defaultMemberUniqueName="[Material].[MatHeight].[All]" allUniqueName="[Material].[MatHeight].[All]" dimensionUniqueName="[Material]" displayFolder="" count="0" unbalanced="0"/>
    <cacheHierarchy uniqueName="[Material].[MatLenght]" caption="MatLenght" attribute="1" defaultMemberUniqueName="[Material].[MatLenght].[All]" allUniqueName="[Material].[MatLenght].[All]" dimensionUniqueName="[Material]" displayFolder="" count="0" unbalanced="0"/>
    <cacheHierarchy uniqueName="[Material].[MatVolume]" caption="MatVolume" attribute="1" defaultMemberUniqueName="[Material].[MatVolume].[All]" allUniqueName="[Material].[MatVolume].[All]" dimensionUniqueName="[Material]" displayFolder="" count="0" unbalanced="0"/>
    <cacheHierarchy uniqueName="[Material].[MatVolumeUnit]" caption="MatVolumeUnit" attribute="1" defaultMemberUniqueName="[Material].[MatVolumeUnit].[All]" allUniqueName="[Material].[MatVolumeUnit].[All]" dimensionUniqueName="[Material]" displayFolder="" count="0" unbalanced="0"/>
    <cacheHierarchy uniqueName="[Material].[MatWeight]" caption="MatWeight" attribute="1" defaultMemberUniqueName="[Material].[MatWeight].[All]" allUniqueName="[Material].[MatWeight].[All]" dimensionUniqueName="[Material]" displayFolder="" count="0" unbalanced="0"/>
    <cacheHierarchy uniqueName="[Material].[MatWeightUnit]" caption="MatWeightUnit" attribute="1" defaultMemberUniqueName="[Material].[MatWeightUnit].[All]" allUniqueName="[Material].[MatWeightUnit].[All]" dimensionUniqueName="[Material]" displayFolder="" count="0" unbalanced="0"/>
    <cacheHierarchy uniqueName="[Material].[MatWidth]" caption="MatWidth" attribute="1" defaultMemberUniqueName="[Material].[MatWidth].[All]" allUniqueName="[Material].[MatWidth].[All]" dimensionUniqueName="[Material]" displayFolder="" count="0" unbalanced="0"/>
    <cacheHierarchy uniqueName="[Material].[MerchProduct]" caption="MerchProduct" attribute="1" defaultMemberUniqueName="[Material].[MerchProduct].[All]" allUniqueName="[Material].[MerchProduct].[All]" dimensionUniqueName="[Material]" displayFolder="" count="0" unbalanced="0"/>
    <cacheHierarchy uniqueName="[Material].[PlaningQualityCode]" caption="PlaningQualityCode" attribute="1" defaultMemberUniqueName="[Material].[PlaningQualityCode].[All]" allUniqueName="[Material].[PlaningQualityCode].[All]" dimensionUniqueName="[Material]" displayFolder="" count="0" unbalanced="0"/>
    <cacheHierarchy uniqueName="[Material].[PlaningQualityDesc]" caption="PlaningQualityDesc" attribute="1" defaultMemberUniqueName="[Material].[PlaningQualityDesc].[All]" allUniqueName="[Material].[PlaningQualityDesc].[All]" dimensionUniqueName="[Material]" displayFolder="" count="0" unbalanced="0"/>
    <cacheHierarchy uniqueName="[Material].[QtyInBox]" caption="QtyInBox" attribute="1" defaultMemberUniqueName="[Material].[QtyInBox].[All]" allUniqueName="[Material].[QtyInBox].[All]" dimensionUniqueName="[Material]" displayFolder="" count="0" unbalanced="0"/>
    <cacheHierarchy uniqueName="[Material].[QtyInPackage]" caption="QtyInPackage" attribute="1" defaultMemberUniqueName="[Material].[QtyInPackage].[All]" allUniqueName="[Material].[QtyInPackage].[All]" dimensionUniqueName="[Material]" displayFolder="" count="0" unbalanced="0"/>
    <cacheHierarchy uniqueName="[Material].[QtyInPallet]" caption="QtyInPallet" attribute="1" defaultMemberUniqueName="[Material].[QtyInPallet].[All]" allUniqueName="[Material].[QtyInPallet].[All]" dimensionUniqueName="[Material]" displayFolder="" count="0" unbalanced="0"/>
    <cacheHierarchy uniqueName="[Material].[Season]" caption="Season" attribute="1" defaultMemberUniqueName="[Material].[Season].[All]" allUniqueName="[Material].[Season].[All]" dimensionUniqueName="[Material]" displayFolder="" count="0" unbalanced="0"/>
    <cacheHierarchy uniqueName="[Material].[SeasonYear]" caption="SeasonYear" attribute="1" defaultMemberUniqueName="[Material].[SeasonYear].[All]" allUniqueName="[Material].[SeasonYear].[All]" dimensionUniqueName="[Material]" displayFolder="" count="0" unbalanced="0"/>
    <cacheHierarchy uniqueName="[Material].[Size_Code]" caption="Size_Code" attribute="1" defaultMemberUniqueName="[Material].[Size_Code].[All]" allUniqueName="[Material].[Size_Code].[All]" dimensionUniqueName="[Material]" displayFolder="" count="0" unbalanced="0"/>
    <cacheHierarchy uniqueName="[Material].[Size_Desc]" caption="Size_Desc" attribute="1" defaultMemberUniqueName="[Material].[Size_Desc].[All]" allUniqueName="[Material].[Size_Desc].[All]" dimensionUniqueName="[Material]" displayFolder="" count="0" unbalanced="0"/>
    <cacheHierarchy uniqueName="[Material].[Status]" caption="Status" attribute="1" defaultMemberUniqueName="[Material].[Status].[All]" allUniqueName="[Material].[Status].[All]" dimensionUniqueName="[Material]" displayFolder="" count="0" unbalanced="0"/>
    <cacheHierarchy uniqueName="[Material].[SubGroupCode]" caption="SubGroupCode" attribute="1" defaultMemberUniqueName="[Material].[SubGroupCode].[All]" allUniqueName="[Material].[SubGroupCode].[All]" dimensionUniqueName="[Material]" displayFolder="" count="0" unbalanced="0"/>
    <cacheHierarchy uniqueName="[Material].[SubGroupDesc]" caption="SubGroupDesc" attribute="1" defaultMemberUniqueName="[Material].[SubGroupDesc].[All]" allUniqueName="[Material].[SubGroupDesc].[All]" dimensionUniqueName="[Material]" displayFolder="" count="0" unbalanced="0"/>
    <cacheHierarchy uniqueName="[Material].[TextileProduct]" caption="TextileProduct" attribute="1" defaultMemberUniqueName="[Material].[TextileProduct].[All]" allUniqueName="[Material].[TextileProduct].[All]" dimensionUniqueName="[Material]" displayFolder="" count="0" unbalanced="0"/>
    <cacheHierarchy uniqueName="[Material].[Theme]" caption="Theme" attribute="1" defaultMemberUniqueName="[Material].[Theme].[All]" allUniqueName="[Material].[Theme].[All]" dimensionUniqueName="[Material]" displayFolder="" count="0" unbalanced="0"/>
    <cacheHierarchy uniqueName="[Material].[TribeLeader]" caption="TribeLeader" attribute="1" defaultMemberUniqueName="[Material].[TribeLeader].[All]" allUniqueName="[Material].[TribeLeader].[All]" dimensionUniqueName="[Material]" displayFolder="" count="0" unbalanced="0"/>
    <cacheHierarchy uniqueName="[Material].[VendorCode]" caption="VendorCode" attribute="1" defaultMemberUniqueName="[Material].[VendorCode].[All]" allUniqueName="[Material].[VendorCode].[All]" dimensionUniqueName="[Material]" displayFolder="" count="0" unbalanced="0"/>
    <cacheHierarchy uniqueName="[Material].[VendorCountry]" caption="VendorCountry" attribute="1" defaultMemberUniqueName="[Material].[VendorCountry].[All]" allUniqueName="[Material].[VendorCountry].[All]" dimensionUniqueName="[Material]" displayFolder="" count="0" unbalanced="0"/>
    <cacheHierarchy uniqueName="[Material].[VendorKey]" caption="VendorKey" attribute="1" defaultMemberUniqueName="[Material].[VendorKey].[All]" allUniqueName="[Material].[VendorKey].[All]" dimensionUniqueName="[Material]" displayFolder="" count="0" unbalanced="0"/>
    <cacheHierarchy uniqueName="[Material].[VendorName]" caption="VendorName" attribute="1" defaultMemberUniqueName="[Material].[VendorName].[All]" allUniqueName="[Material].[VendorName].[All]" dimensionUniqueName="[Material]" displayFolder="" count="0" unbalanced="0"/>
    <cacheHierarchy uniqueName="[Material].[YearSeason]" caption="YearSeason" attribute="1" defaultMemberUniqueName="[Material].[YearSeason].[All]" allUniqueName="[Material].[YearSeason].[All]" dimensionUniqueName="[Material]" displayFolder="" count="0" unbalanced="0"/>
    <cacheHierarchy uniqueName="[PurchaseOrder].[ProductStateID]" caption="ProductStateID" attribute="1" defaultMemberUniqueName="[PurchaseOrder].[ProductStateID].[All]" allUniqueName="[PurchaseOrder].[ProductStateID].[All]" dimensionUniqueName="[PurchaseOrder]" displayFolder="" count="0" unbalanced="0"/>
    <cacheHierarchy uniqueName="[PurchaseOrder].[PurchaseOrderCode]" caption="PurchaseOrderCode" attribute="1" defaultMemberUniqueName="[PurchaseOrder].[PurchaseOrderCode].[All]" allUniqueName="[PurchaseOrder].[PurchaseOrderCode].[All]" dimensionUniqueName="[PurchaseOrder]" displayFolder="" count="0" unbalanced="0"/>
    <cacheHierarchy uniqueName="[PurchaseOrder].[SalesSeasonID]" caption="SalesSeasonID" attribute="1" defaultMemberUniqueName="[PurchaseOrder].[SalesSeasonID].[All]" allUniqueName="[PurchaseOrder].[SalesSeasonID].[All]" dimensionUniqueName="[PurchaseOrder]" displayFolder="" count="0" unbalanced="0"/>
    <cacheHierarchy uniqueName="[PurchaseOrderGR].[DCSubWarehouseKey]" caption="DCSubWarehouseKey" attribute="1" defaultMemberUniqueName="[PurchaseOrderGR].[DCSubWarehouseKey].[All]" allUniqueName="[PurchaseOrderGR].[DCSubWarehouseKey].[All]" dimensionUniqueName="[PurchaseOrderGR]" displayFolder="" count="0" unbalanced="0"/>
    <cacheHierarchy uniqueName="[PurchaseOrderGR].[DeadLine]" caption="DeadLine" attribute="1" defaultMemberUniqueName="[PurchaseOrderGR].[DeadLine].[All]" allUniqueName="[PurchaseOrderGR].[DeadLine].[All]" dimensionUniqueName="[PurchaseOrderGR]" displayFolder="" count="0" unbalanced="0"/>
    <cacheHierarchy uniqueName="[PurchaseOrderGR].[DWSourceKey]" caption="DWSourceKey" attribute="1" defaultMemberUniqueName="[PurchaseOrderGR].[DWSourceKey].[All]" allUniqueName="[PurchaseOrderGR].[DWSourceKey].[All]" dimensionUniqueName="[PurchaseOrderGR]" displayFolder="" count="0" unbalanced="0"/>
    <cacheHierarchy uniqueName="[PurchaseOrderGR].[EstimatedExcRateLC]" caption="EstimatedExcRateLC" attribute="1" defaultMemberUniqueName="[PurchaseOrderGR].[EstimatedExcRateLC].[All]" allUniqueName="[PurchaseOrderGR].[EstimatedExcRateLC].[All]" dimensionUniqueName="[PurchaseOrderGR]" displayFolder="" count="0" unbalanced="0"/>
    <cacheHierarchy uniqueName="[PurchaseOrderGR].[EtlDate]" caption="EtlDate" attribute="1" defaultMemberUniqueName="[PurchaseOrderGR].[EtlDate].[All]" allUniqueName="[PurchaseOrderGR].[EtlDate].[All]" dimensionUniqueName="[PurchaseOrderGR]" displayFolder="" count="0" unbalanced="0"/>
    <cacheHierarchy uniqueName="[PurchaseOrderGR].[Factor]" caption="Factor" attribute="1" defaultMemberUniqueName="[PurchaseOrderGR].[Factor].[All]" allUniqueName="[PurchaseOrderGR].[Factor].[All]" dimensionUniqueName="[PurchaseOrderGR]" displayFolder="" count="0" unbalanced="0"/>
    <cacheHierarchy uniqueName="[PurchaseOrderGR].[GoodReceiptValueNavlunLC]" caption="GoodReceiptValueNavlunLC" attribute="1" defaultMemberUniqueName="[PurchaseOrderGR].[GoodReceiptValueNavlunLC].[All]" allUniqueName="[PurchaseOrderGR].[GoodReceiptValueNavlunLC].[All]" dimensionUniqueName="[PurchaseOrderGR]" displayFolder="" count="0" unbalanced="0"/>
    <cacheHierarchy uniqueName="[PurchaseOrderGR].[GoodsReceiptDate]" caption="GoodsReceiptDate" attribute="1" defaultMemberUniqueName="[PurchaseOrderGR].[GoodsReceiptDate].[All]" allUniqueName="[PurchaseOrderGR].[GoodsReceiptDate].[All]" dimensionUniqueName="[PurchaseOrderGR]" displayFolder="" count="0" unbalanced="0"/>
    <cacheHierarchy uniqueName="[PurchaseOrderGR].[GoodsReceiptUnit]" caption="GoodsReceiptUnit" attribute="1" defaultMemberUniqueName="[PurchaseOrderGR].[GoodsReceiptUnit].[All]" allUniqueName="[PurchaseOrderGR].[GoodsReceiptUnit].[All]" dimensionUniqueName="[PurchaseOrderGR]" displayFolder="" count="0" unbalanced="0"/>
    <cacheHierarchy uniqueName="[PurchaseOrderGR].[GoodsReceiptValueLC]" caption="GoodsReceiptValueLC" attribute="1" defaultMemberUniqueName="[PurchaseOrderGR].[GoodsReceiptValueLC].[All]" allUniqueName="[PurchaseOrderGR].[GoodsReceiptValueLC].[All]" dimensionUniqueName="[PurchaseOrderGR]" displayFolder="" count="0" unbalanced="0"/>
    <cacheHierarchy uniqueName="[PurchaseOrderGR].[LocalCurrencyCode]" caption="LocalCurrencyCode" attribute="1" defaultMemberUniqueName="[PurchaseOrderGR].[LocalCurrencyCode].[All]" allUniqueName="[PurchaseOrderGR].[LocalCurrencyCode].[All]" dimensionUniqueName="[PurchaseOrderGR]" displayFolder="" count="0" unbalanced="0"/>
    <cacheHierarchy uniqueName="[PurchaseOrderGR].[MaterialKey]" caption="MaterialKey" attribute="1" defaultMemberUniqueName="[PurchaseOrderGR].[MaterialKey].[All]" allUniqueName="[PurchaseOrderGR].[MaterialKey].[All]" dimensionUniqueName="[PurchaseOrderGR]" displayFolder="" count="0" unbalanced="0"/>
    <cacheHierarchy uniqueName="[PurchaseOrderGR].[OrderCurrencyCode]" caption="OrderCurrencyCode" attribute="1" defaultMemberUniqueName="[PurchaseOrderGR].[OrderCurrencyCode].[All]" allUniqueName="[PurchaseOrderGR].[OrderCurrencyCode].[All]" dimensionUniqueName="[PurchaseOrderGR]" displayFolder="" count="0" unbalanced="0"/>
    <cacheHierarchy uniqueName="[PurchaseOrderGR].[OtherMerchantGoodsReceiptUnit]" caption="OtherMerchantGoodsReceiptUnit" attribute="1" defaultMemberUniqueName="[PurchaseOrderGR].[OtherMerchantGoodsReceiptUnit].[All]" allUniqueName="[PurchaseOrderGR].[OtherMerchantGoodsReceiptUnit].[All]" dimensionUniqueName="[PurchaseOrderGR]" displayFolder="" count="0" unbalanced="0"/>
    <cacheHierarchy uniqueName="[PurchaseOrderGR].[OtherMerchantGoodsReceiptValueLC]" caption="OtherMerchantGoodsReceiptValueLC" attribute="1" defaultMemberUniqueName="[PurchaseOrderGR].[OtherMerchantGoodsReceiptValueLC].[All]" allUniqueName="[PurchaseOrderGR].[OtherMerchantGoodsReceiptValueLC].[All]" dimensionUniqueName="[PurchaseOrderGR]" displayFolder="" count="0" unbalanced="0"/>
    <cacheHierarchy uniqueName="[PurchaseOrderGR].[ProductStateID]" caption="ProductStateID" attribute="1" defaultMemberUniqueName="[PurchaseOrderGR].[ProductStateID].[All]" allUniqueName="[PurchaseOrderGR].[ProductStateID].[All]" dimensionUniqueName="[PurchaseOrderGR]" displayFolder="" count="0" unbalanced="0"/>
    <cacheHierarchy uniqueName="[PurchaseOrderGR].[PurchaseOrderCode]" caption="PurchaseOrderCode" attribute="1" defaultMemberUniqueName="[PurchaseOrderGR].[PurchaseOrderCode].[All]" allUniqueName="[PurchaseOrderGR].[PurchaseOrderCode].[All]" dimensionUniqueName="[PurchaseOrderGR]" displayFolder="" count="0" unbalanced="0"/>
    <cacheHierarchy uniqueName="[PurchaseOrderGR].[SalesChannelKey]" caption="SalesChannelKey" attribute="1" defaultMemberUniqueName="[PurchaseOrderGR].[SalesChannelKey].[All]" allUniqueName="[PurchaseOrderGR].[SalesChannelKey].[All]" dimensionUniqueName="[PurchaseOrderGR]" displayFolder="" count="0" unbalanced="0"/>
    <cacheHierarchy uniqueName="[PurchaseOrderGR].[SalesSeasonID]" caption="SalesSeasonID" attribute="1" defaultMemberUniqueName="[PurchaseOrderGR].[SalesSeasonID].[All]" allUniqueName="[PurchaseOrderGR].[SalesSeasonID].[All]" dimensionUniqueName="[PurchaseOrderGR]" displayFolder="" count="0" unbalanced="0"/>
    <cacheHierarchy uniqueName="[SalesBudget].[BudgetTypeName]" caption="BudgetTypeName" attribute="1" defaultMemberUniqueName="[SalesBudget].[BudgetTypeName].[All]" allUniqueName="[SalesBudget].[BudgetTypeName].[All]" dimensionUniqueName="[SalesBudget]" displayFolder="" count="0" unbalanced="0"/>
    <cacheHierarchy uniqueName="[SalesChannel].[CompanyCode]" caption="CompanyCode" attribute="1" defaultMemberUniqueName="[SalesChannel].[CompanyCode].[All]" allUniqueName="[SalesChannel].[CompanyCode].[All]" dimensionUniqueName="[SalesChannel]" displayFolder="SalesChannelCode" count="0" unbalanced="0"/>
    <cacheHierarchy uniqueName="[SalesChannel].[CompanyCurrency]" caption="CompanyCurrency" attribute="1" defaultMemberUniqueName="[SalesChannel].[CompanyCurrency].[All]" allUniqueName="[SalesChannel].[CompanyCurrency].[All]" dimensionUniqueName="[SalesChannel]" displayFolder="SalesChannelCode" count="0" unbalanced="0"/>
    <cacheHierarchy uniqueName="[SalesChannel].[CompanyKey]" caption="CompanyKey" attribute="1" defaultMemberUniqueName="[SalesChannel].[CompanyKey].[All]" allUniqueName="[SalesChannel].[CompanyKey].[All]" dimensionUniqueName="[SalesChannel]" displayFolder="SalesChannelCode" count="0" unbalanced="0"/>
    <cacheHierarchy uniqueName="[SalesChannel].[CompanyName]" caption="CompanyName" attribute="1" defaultMemberUniqueName="[SalesChannel].[CompanyName].[All]" allUniqueName="[SalesChannel].[CompanyName].[All]" dimensionUniqueName="[SalesChannel]" displayFolder="SalesChannelName" count="0" unbalanced="0"/>
    <cacheHierarchy uniqueName="[SalesChannel].[CompanyRegion]" caption="CompanyRegion" attribute="1" defaultMemberUniqueName="[SalesChannel].[CompanyRegion].[All]" allUniqueName="[SalesChannel].[CompanyRegion].[All]" dimensionUniqueName="[SalesChannel]" displayFolder="" count="0" unbalanced="0"/>
    <cacheHierarchy uniqueName="[SalesChannel].[CountryCode]" caption="CountryCode" attribute="1" defaultMemberUniqueName="[SalesChannel].[CountryCode].[All]" allUniqueName="[SalesChannel].[CountryCode].[All]" dimensionUniqueName="[SalesChannel]" displayFolder="SalesChannelCode" count="0" unbalanced="0"/>
    <cacheHierarchy uniqueName="[SalesChannel].[CountryName]" caption="CountryName" attribute="1" defaultMemberUniqueName="[SalesChannel].[CountryName].[All]" allUniqueName="[SalesChannel].[CountryName].[All]" dimensionUniqueName="[SalesChannel]" displayFolder="SalesChannelName" count="0" unbalanced="0"/>
    <cacheHierarchy uniqueName="[SalesChannel].[DistrubitionChannelCode]" caption="DistrubitionChannelCode" attribute="1" defaultMemberUniqueName="[SalesChannel].[DistrubitionChannelCode].[All]" allUniqueName="[SalesChannel].[DistrubitionChannelCode].[All]" dimensionUniqueName="[SalesChannel]" displayFolder="SalesChannelCode" count="0" unbalanced="0"/>
    <cacheHierarchy uniqueName="[SalesChannel].[DistrubitionChannelDesc]" caption="DistrubitionChannelDesc" attribute="1" defaultMemberUniqueName="[SalesChannel].[DistrubitionChannelDesc].[All]" allUniqueName="[SalesChannel].[DistrubitionChannelDesc].[All]" dimensionUniqueName="[SalesChannel]" displayFolder="SalesChannelName" count="2" unbalanced="0"/>
    <cacheHierarchy uniqueName="[SalesChannel].[DistrubitionChannelKey]" caption="DistrubitionChannelKey" attribute="1" defaultMemberUniqueName="[SalesChannel].[DistrubitionChannelKey].[All]" allUniqueName="[SalesChannel].[DistrubitionChannelKey].[All]" dimensionUniqueName="[SalesChannel]" displayFolder="SalesChannelCode" count="0" unbalanced="0"/>
    <cacheHierarchy uniqueName="[SalesChannel].[H_SalesChannel]" caption="H_SalesChannel" defaultMemberUniqueName="[SalesChannel].[H_SalesChannel].[All]" allUniqueName="[SalesChannel].[H_SalesChannel].[All]" dimensionUniqueName="[SalesChannel]" displayFolder="" count="4" unbalanced="0"/>
    <cacheHierarchy uniqueName="[SalesChannel].[SalesChannelCode]" caption="SalesChannelCode" attribute="1" defaultMemberUniqueName="[SalesChannel].[SalesChannelCode].[All]" allUniqueName="[SalesChannel].[SalesChannelCode].[All]" dimensionUniqueName="[SalesChannel]" displayFolder="SalesChannelCode" count="0" unbalanced="0"/>
    <cacheHierarchy uniqueName="[SalesChannel].[SalesChannelKey]" caption="SalesChannelKey" attribute="1" defaultMemberUniqueName="[SalesChannel].[SalesChannelKey].[All]" allUniqueName="[SalesChannel].[SalesChannelKey].[All]" dimensionUniqueName="[SalesChannel]" displayFolder="SalesChannelCode" count="0" unbalanced="0"/>
    <cacheHierarchy uniqueName="[SalesChannel].[SalesOrgCode]" caption="SalesOrgCode" attribute="1" defaultMemberUniqueName="[SalesChannel].[SalesOrgCode].[All]" allUniqueName="[SalesChannel].[SalesOrgCode].[All]" dimensionUniqueName="[SalesChannel]" displayFolder="SalesChannelCode" count="0" unbalanced="0"/>
    <cacheHierarchy uniqueName="[SalesChannel].[SalesOrgDesc]" caption="SalesOrgDesc" attribute="1" defaultMemberUniqueName="[SalesChannel].[SalesOrgDesc].[All]" allUniqueName="[SalesChannel].[SalesOrgDesc].[All]" dimensionUniqueName="[SalesChannel]" displayFolder="SalesChannelName" count="0" unbalanced="0"/>
    <cacheHierarchy uniqueName="[SalesChannel].[SalesOrgKey]" caption="SalesOrgKey" attribute="1" defaultMemberUniqueName="[SalesChannel].[SalesOrgKey].[All]" allUniqueName="[SalesChannel].[SalesOrgKey].[All]" dimensionUniqueName="[SalesChannel]" displayFolder="SalesChannelCode" count="0" unbalanced="0"/>
    <cacheHierarchy uniqueName="[SalesChannel].[SalesOrgType]" caption="SalesOrgType" attribute="1" defaultMemberUniqueName="[SalesChannel].[SalesOrgType].[All]" allUniqueName="[SalesChannel].[SalesOrgType].[All]" dimensionUniqueName="[SalesChannel]" displayFolder="" count="0" unbalanced="0"/>
    <cacheHierarchy uniqueName="[SalesSeason].[EtlDate]" caption="EtlDate" attribute="1" defaultMemberUniqueName="[SalesSeason].[EtlDate].[All]" allUniqueName="[SalesSeason].[EtlDate].[All]" dimensionUniqueName="[SalesSeason]" displayFolder="" count="0" unbalanced="0"/>
    <cacheHierarchy uniqueName="[SalesSeason].[SalesSeasonCode]" caption="SalesSeasonCode" attribute="1" defaultMemberUniqueName="[SalesSeason].[SalesSeasonCode].[All]" allUniqueName="[SalesSeason].[SalesSeasonCode].[All]" dimensionUniqueName="[SalesSeason]" displayFolder="" count="0" unbalanced="0"/>
    <cacheHierarchy uniqueName="[SalesSeason].[SalesSeasonID]" caption="SalesSeasonID" attribute="1" defaultMemberUniqueName="[SalesSeason].[SalesSeasonID].[All]" allUniqueName="[SalesSeason].[SalesSeasonID].[All]" dimensionUniqueName="[SalesSeason]" displayFolder="" count="0" unbalanced="0"/>
    <cacheHierarchy uniqueName="[SalesSeason].[SalesSeasonName]" caption="SalesSeasonName" attribute="1" defaultMemberUniqueName="[SalesSeason].[SalesSeasonName].[All]" allUniqueName="[SalesSeason].[SalesSeasonName].[All]" dimensionUniqueName="[SalesSeason]" displayFolder="" count="0" unbalanced="0"/>
    <cacheHierarchy uniqueName="[StockList].[StockList]" caption="StockList" attribute="1" defaultMemberUniqueName="[StockList].[StockList].[All]" allUniqueName="[StockList].[StockList].[All]" dimensionUniqueName="[StockList]" displayFolder="" count="0" unbalanced="0"/>
    <cacheHierarchy uniqueName="[StockList].[StockListChannelName]" caption="StockListChannelName" attribute="1" defaultMemberUniqueName="[StockList].[StockListChannelName].[All]" allUniqueName="[StockList].[StockListChannelName].[All]" dimensionUniqueName="[StockList]" displayFolder="" count="0" unbalanced="0"/>
    <cacheHierarchy uniqueName="[StockList].[StockListCode]" caption="StockListCode" attribute="1" defaultMemberUniqueName="[StockList].[StockListCode].[All]" allUniqueName="[StockList].[StockListCode].[All]" dimensionUniqueName="[StockList]" displayFolder="" count="0" unbalanced="0"/>
    <cacheHierarchy uniqueName="[StockList].[StockListKey]" caption="StockListKey" attribute="1" defaultMemberUniqueName="[StockList].[StockListKey].[All]" allUniqueName="[StockList].[StockListKey].[All]" dimensionUniqueName="[StockList]" displayFolder="" count="0" unbalanced="0"/>
    <cacheHierarchy uniqueName="[Store].[AllocationSpecialist]" caption="AllocationSpecialist" attribute="1" defaultMemberUniqueName="[Store].[AllocationSpecialist].[All]" allUniqueName="[Store].[AllocationSpecialist].[All]" dimensionUniqueName="[Store]" displayFolder="" count="0" unbalanced="0"/>
    <cacheHierarchy uniqueName="[Store].[BackStoreM2]" caption="BackStoreM2" attribute="1" defaultMemberUniqueName="[Store].[BackStoreM2].[All]" allUniqueName="[Store].[BackStoreM2].[All]" dimensionUniqueName="[Store]" displayFolder="" count="0" unbalanced="0"/>
    <cacheHierarchy uniqueName="[Store].[CapacityClusterCode]" caption="CapacityClusterCode" attribute="1" defaultMemberUniqueName="[Store].[CapacityClusterCode].[All]" allUniqueName="[Store].[CapacityClusterCode].[All]" dimensionUniqueName="[Store]" displayFolder="" count="0" unbalanced="0"/>
    <cacheHierarchy uniqueName="[Store].[CapacityClusterDesc]" caption="CapacityClusterDesc" attribute="1" defaultMemberUniqueName="[Store].[CapacityClusterDesc].[All]" allUniqueName="[Store].[CapacityClusterDesc].[All]" dimensionUniqueName="[Store]" displayFolder="" count="0" unbalanced="0"/>
    <cacheHierarchy uniqueName="[Store].[CapacityUnit]" caption="CapacityUnit" attribute="1" defaultMemberUniqueName="[Store].[CapacityUnit].[All]" allUniqueName="[Store].[CapacityUnit].[All]" dimensionUniqueName="[Store]" displayFolder="" count="0" unbalanced="0"/>
    <cacheHierarchy uniqueName="[Store].[CityCode]" caption="CityCode" attribute="1" defaultMemberUniqueName="[Store].[CityCode].[All]" allUniqueName="[Store].[CityCode].[All]" dimensionUniqueName="[Store]" displayFolder="" count="0" unbalanced="0"/>
    <cacheHierarchy uniqueName="[Store].[GrossAreaMeters]" caption="GrossAreaMeters" attribute="1" defaultMemberUniqueName="[Store].[GrossAreaMeters].[All]" allUniqueName="[Store].[GrossAreaMeters].[All]" dimensionUniqueName="[Store]" displayFolder="" count="0" unbalanced="0"/>
    <cacheHierarchy uniqueName="[Store].[Latitude]" caption="Latitude" attribute="1" defaultMemberUniqueName="[Store].[Latitude].[All]" allUniqueName="[Store].[Latitude].[All]" dimensionUniqueName="[Store]" displayFolder="" count="0" unbalanced="0"/>
    <cacheHierarchy uniqueName="[Store].[LocationCityDesc]" caption="LocationCityDesc" attribute="1" defaultMemberUniqueName="[Store].[LocationCityDesc].[All]" allUniqueName="[Store].[LocationCityDesc].[All]" dimensionUniqueName="[Store]" displayFolder="" count="0" unbalanced="0"/>
    <cacheHierarchy uniqueName="[Store].[LocationCountry]" caption="LocationCountry" attribute="1" defaultMemberUniqueName="[Store].[LocationCountry].[All]" allUniqueName="[Store].[LocationCountry].[All]" dimensionUniqueName="[Store]" displayFolder="" count="0" unbalanced="0"/>
    <cacheHierarchy uniqueName="[Store].[LocationCurrencyCode]" caption="LocationCurrencyCode" attribute="1" defaultMemberUniqueName="[Store].[LocationCurrencyCode].[All]" allUniqueName="[Store].[LocationCurrencyCode].[All]" dimensionUniqueName="[Store]" displayFolder="" count="0" unbalanced="0"/>
    <cacheHierarchy uniqueName="[Store].[LocationKey]" caption="LocationKey" attribute="1" defaultMemberUniqueName="[Store].[LocationKey].[All]" allUniqueName="[Store].[LocationKey].[All]" dimensionUniqueName="[Store]" displayFolder="" count="0" unbalanced="0"/>
    <cacheHierarchy uniqueName="[Store].[LocationType]" caption="LocationType" attribute="1" defaultMemberUniqueName="[Store].[LocationType].[All]" allUniqueName="[Store].[LocationType].[All]" dimensionUniqueName="[Store]" displayFolder="" count="0" unbalanced="0"/>
    <cacheHierarchy uniqueName="[Store].[Longitude]" caption="Longitude" attribute="1" defaultMemberUniqueName="[Store].[Longitude].[All]" allUniqueName="[Store].[Longitude].[All]" dimensionUniqueName="[Store]" displayFolder="" count="0" unbalanced="0"/>
    <cacheHierarchy uniqueName="[Store].[OperationRegionCode]" caption="OperationRegionCode" attribute="1" defaultMemberUniqueName="[Store].[OperationRegionCode].[All]" allUniqueName="[Store].[OperationRegionCode].[All]" dimensionUniqueName="[Store]" displayFolder="" count="0" unbalanced="0"/>
    <cacheHierarchy uniqueName="[Store].[OperationRegionDesc]" caption="OperationRegionDesc" attribute="1" defaultMemberUniqueName="[Store].[OperationRegionDesc].[All]" allUniqueName="[Store].[OperationRegionDesc].[All]" dimensionUniqueName="[Store]" displayFolder="" count="0" unbalanced="0"/>
    <cacheHierarchy uniqueName="[Store].[RegionManager1]" caption="RegionManager1" attribute="1" defaultMemberUniqueName="[Store].[RegionManager1].[All]" allUniqueName="[Store].[RegionManager1].[All]" dimensionUniqueName="[Store]" displayFolder="" count="0" unbalanced="0"/>
    <cacheHierarchy uniqueName="[Store].[RegionManager2]" caption="RegionManager2" attribute="1" defaultMemberUniqueName="[Store].[RegionManager2].[All]" allUniqueName="[Store].[RegionManager2].[All]" dimensionUniqueName="[Store]" displayFolder="" count="0" unbalanced="0"/>
    <cacheHierarchy uniqueName="[Store].[RegionOpManager]" caption="RegionOpManager" attribute="1" defaultMemberUniqueName="[Store].[RegionOpManager].[All]" allUniqueName="[Store].[RegionOpManager].[All]" dimensionUniqueName="[Store]" displayFolder="" count="0" unbalanced="0"/>
    <cacheHierarchy uniqueName="[Store].[SalesOrgRegion]" caption="SalesOrgRegion" attribute="1" defaultMemberUniqueName="[Store].[SalesOrgRegion].[All]" allUniqueName="[Store].[SalesOrgRegion].[All]" dimensionUniqueName="[Store]" displayFolder="" count="0" unbalanced="0"/>
    <cacheHierarchy uniqueName="[Store].[SquareMeters]" caption="SquareMeters" attribute="1" defaultMemberUniqueName="[Store].[SquareMeters].[All]" allUniqueName="[Store].[SquareMeters].[All]" dimensionUniqueName="[Store]" displayFolder="" count="0" unbalanced="0"/>
    <cacheHierarchy uniqueName="[Store].[StoreClass]" caption="StoreClass" attribute="1" defaultMemberUniqueName="[Store].[StoreClass].[All]" allUniqueName="[Store].[StoreClass].[All]" dimensionUniqueName="[Store]" displayFolder="" count="0" unbalanced="0"/>
    <cacheHierarchy uniqueName="[Store].[StoreCloseDate]" caption="StoreCloseDate" attribute="1" defaultMemberUniqueName="[Store].[StoreCloseDate].[All]" allUniqueName="[Store].[StoreCloseDate].[All]" dimensionUniqueName="[Store]" displayFolder="" count="0" unbalanced="0"/>
    <cacheHierarchy uniqueName="[Store].[StoreCode]" caption="StoreCode" attribute="1" defaultMemberUniqueName="[Store].[StoreCode].[All]" allUniqueName="[Store].[StoreCode].[All]" dimensionUniqueName="[Store]" displayFolder="" count="0" unbalanced="0"/>
    <cacheHierarchy uniqueName="[Store].[StoreCompanyRegion]" caption="StoreCompanyRegion" attribute="1" defaultMemberUniqueName="[Store].[StoreCompanyRegion].[All]" allUniqueName="[Store].[StoreCompanyRegion].[All]" dimensionUniqueName="[Store]" displayFolder="" count="0" unbalanced="0"/>
    <cacheHierarchy uniqueName="[Store].[StoreCustomerCluster]" caption="StoreCustomerCluster" attribute="1" defaultMemberUniqueName="[Store].[StoreCustomerCluster].[All]" allUniqueName="[Store].[StoreCustomerCluster].[All]" dimensionUniqueName="[Store]" displayFolder="" count="0" unbalanced="0"/>
    <cacheHierarchy uniqueName="[Store].[StoreDistChannelCode]" caption="StoreDistChannelCode" attribute="1" defaultMemberUniqueName="[Store].[StoreDistChannelCode].[All]" allUniqueName="[Store].[StoreDistChannelCode].[All]" dimensionUniqueName="[Store]" displayFolder="" count="0" unbalanced="0"/>
    <cacheHierarchy uniqueName="[Store].[StoreDistChannelDesc]" caption="StoreDistChannelDesc" attribute="1" defaultMemberUniqueName="[Store].[StoreDistChannelDesc].[All]" allUniqueName="[Store].[StoreDistChannelDesc].[All]" dimensionUniqueName="[Store]" displayFolder="" count="0" unbalanced="0"/>
    <cacheHierarchy uniqueName="[Store].[StoreIN_Outlet]" caption="StoreIN_Outlet" attribute="1" defaultMemberUniqueName="[Store].[StoreIN_Outlet].[All]" allUniqueName="[Store].[StoreIN_Outlet].[All]" dimensionUniqueName="[Store]" displayFolder="" count="0" unbalanced="0"/>
    <cacheHierarchy uniqueName="[Store].[StoreName]" caption="StoreName" attribute="1" defaultMemberUniqueName="[Store].[StoreName].[All]" allUniqueName="[Store].[StoreName].[All]" dimensionUniqueName="[Store]" displayFolder="" count="0" unbalanced="0"/>
    <cacheHierarchy uniqueName="[Store].[StoreOpenDate]" caption="StoreOpenDate" attribute="1" defaultMemberUniqueName="[Store].[StoreOpenDate].[All]" allUniqueName="[Store].[StoreOpenDate].[All]" dimensionUniqueName="[Store]" displayFolder="" count="0" unbalanced="0"/>
    <cacheHierarchy uniqueName="[Store].[StorePriceChannel]" caption="StorePriceChannel" attribute="1" defaultMemberUniqueName="[Store].[StorePriceChannel].[All]" allUniqueName="[Store].[StorePriceChannel].[All]" dimensionUniqueName="[Store]" displayFolder="" count="0" unbalanced="0"/>
    <cacheHierarchy uniqueName="[Store].[StoreRegionCode]" caption="StoreRegionCode" attribute="1" defaultMemberUniqueName="[Store].[StoreRegionCode].[All]" allUniqueName="[Store].[StoreRegionCode].[All]" dimensionUniqueName="[Store]" displayFolder="" count="0" unbalanced="0"/>
    <cacheHierarchy uniqueName="[Store].[StoreRegionDesc]" caption="StoreRegionDesc" attribute="1" defaultMemberUniqueName="[Store].[StoreRegionDesc].[All]" allUniqueName="[Store].[StoreRegionDesc].[All]" dimensionUniqueName="[Store]" displayFolder="" count="0" unbalanced="0"/>
    <cacheHierarchy uniqueName="[Store].[StoreSeasonDesc]" caption="StoreSeasonDesc" attribute="1" defaultMemberUniqueName="[Store].[StoreSeasonDesc].[All]" allUniqueName="[Store].[StoreSeasonDesc].[All]" dimensionUniqueName="[Store]" displayFolder="" count="0" unbalanced="0"/>
    <cacheHierarchy uniqueName="[Store].[StoreSize]" caption="StoreSize" attribute="1" defaultMemberUniqueName="[Store].[StoreSize].[All]" allUniqueName="[Store].[StoreSize].[All]" dimensionUniqueName="[Store]" displayFolder="" count="0" unbalanced="0"/>
    <cacheHierarchy uniqueName="[Store].[StoreStatus]" caption="StoreStatus" attribute="1" defaultMemberUniqueName="[Store].[StoreStatus].[All]" allUniqueName="[Store].[StoreStatus].[All]" dimensionUniqueName="[Store]" displayFolder="" count="0" unbalanced="0"/>
    <cacheHierarchy uniqueName="[Store].[StoreTopType]" caption="StoreTopType" attribute="1" defaultMemberUniqueName="[Store].[StoreTopType].[All]" allUniqueName="[Store].[StoreTopType].[All]" dimensionUniqueName="[Store]" displayFolder="" count="0" unbalanced="0"/>
    <cacheHierarchy uniqueName="[Store].[StoreType]" caption="StoreType" attribute="1" defaultMemberUniqueName="[Store].[StoreType].[All]" allUniqueName="[Store].[StoreType].[All]" dimensionUniqueName="[Store]" displayFolder="" count="0" unbalanced="0"/>
    <cacheHierarchy uniqueName="[Store].[Tourist]" caption="Tourist" attribute="1" defaultMemberUniqueName="[Store].[Tourist].[All]" allUniqueName="[Store].[Tourist].[All]" dimensionUniqueName="[Store]" displayFolder="" count="0" unbalanced="0"/>
    <cacheHierarchy uniqueName="[StoreLFLStatu].[StoreLFLStatuDesc]" caption="StoreLFLStatuDesc" attribute="1" defaultMemberUniqueName="[StoreLFLStatu].[StoreLFLStatuDesc].[All]" allUniqueName="[StoreLFLStatu].[StoreLFLStatuDesc].[All]" dimensionUniqueName="[StoreLFLStatu]" displayFolder="" count="0" unbalanced="0"/>
    <cacheHierarchy uniqueName="[StoreLFLStatu].[StoreLFLStatuGroupDesc]" caption="StoreLFLStatuGroupDesc" attribute="1" defaultMemberUniqueName="[StoreLFLStatu].[StoreLFLStatuGroupDesc].[All]" allUniqueName="[StoreLFLStatu].[StoreLFLStatuGroupDesc].[All]" dimensionUniqueName="[StoreLFLStatu]" displayFolder="" count="0" unbalanced="0"/>
    <cacheHierarchy uniqueName="[StoreLFLStatu].[StoreLFLStatuKey]" caption="StoreLFLStatuKey" attribute="1" defaultMemberUniqueName="[StoreLFLStatu].[StoreLFLStatuKey].[All]" allUniqueName="[StoreLFLStatu].[StoreLFLStatuKey].[All]" dimensionUniqueName="[StoreLFLStatu]" displayFolder="" count="0" unbalanced="0"/>
    <cacheHierarchy uniqueName="[SubDistChannel].[SubDistChannelCode]" caption="SubDistChannelCode" attribute="1" defaultMemberUniqueName="[SubDistChannel].[SubDistChannelCode].[All]" allUniqueName="[SubDistChannel].[SubDistChannelCode].[All]" dimensionUniqueName="[SubDistChannel]" displayFolder="" count="0" unbalanced="0"/>
    <cacheHierarchy uniqueName="[SubDistChannel].[SubDistChannelDesc]" caption="SubDistChannelDesc" attribute="1" defaultMemberUniqueName="[SubDistChannel].[SubDistChannelDesc].[All]" allUniqueName="[SubDistChannel].[SubDistChannelDesc].[All]" dimensionUniqueName="[SubDistChannel]" displayFolder="" count="0" unbalanced="0"/>
    <cacheHierarchy uniqueName="[SubDistChannel].[SubDistChannelKey]" caption="SubDistChannelKey" attribute="1" defaultMemberUniqueName="[SubDistChannel].[SubDistChannelKey].[All]" allUniqueName="[SubDistChannel].[SubDistChannelKey].[All]" dimensionUniqueName="[SubDistChannel]" displayFolder="" count="0" unbalanced="0"/>
    <cacheHierarchy uniqueName="[Calendar].[EtlDate]" caption="EtlDate" attribute="1" time="1" defaultMemberUniqueName="[Calendar].[EtlDate].[All]" allUniqueName="[Calendar].[EtlDate].[All]" dimensionUniqueName="[Calendar]" displayFolder="" count="0" unbalanced="0" hidden="1"/>
    <cacheHierarchy uniqueName="[Capacity].[Date]" caption="Date" attribute="1" defaultMemberUniqueName="[Capacity].[Date].[All]" allUniqueName="[Capacity].[Date].[All]" dimensionUniqueName="[Capacity]" displayFolder="" count="0" unbalanced="0" hidden="1"/>
    <cacheHierarchy uniqueName="[Capacity].[InitialSalesPriceID]" caption="InitialSalesPriceID" attribute="1" defaultMemberUniqueName="[Capacity].[InitialSalesPriceID].[All]" allUniqueName="[Capacity].[InitialSalesPriceID].[All]" dimensionUniqueName="[Capacity]" displayFolder="" count="0" unbalanced="0" hidden="1"/>
    <cacheHierarchy uniqueName="[Capacity].[LFLFactor]" caption="LFLFactor" attribute="1" defaultMemberUniqueName="[Capacity].[LFLFactor].[All]" allUniqueName="[Capacity].[LFLFactor].[All]" dimensionUniqueName="[Capacity]" displayFolder="" count="0" unbalanced="0" hidden="1"/>
    <cacheHierarchy uniqueName="[Capacity].[LocationKey]" caption="LocationKey" attribute="1" defaultMemberUniqueName="[Capacity].[LocationKey].[All]" allUniqueName="[Capacity].[LocationKey].[All]" dimensionUniqueName="[Capacity]" displayFolder="" count="0" unbalanced="0" hidden="1"/>
    <cacheHierarchy uniqueName="[Capacity].[MaterialKey]" caption="MaterialKey" attribute="1" defaultMemberUniqueName="[Capacity].[MaterialKey].[All]" allUniqueName="[Capacity].[MaterialKey].[All]" dimensionUniqueName="[Capacity]" displayFolder="" count="0" unbalanced="0" hidden="1"/>
    <cacheHierarchy uniqueName="[Capacity].[OutletID]" caption="OutletID" attribute="1" defaultMemberUniqueName="[Capacity].[OutletID].[All]" allUniqueName="[Capacity].[OutletID].[All]" dimensionUniqueName="[Capacity]" displayFolder="" count="0" unbalanced="0" hidden="1"/>
    <cacheHierarchy uniqueName="[Capacity].[SalesChannelKey]" caption="SalesChannelKey" attribute="1" defaultMemberUniqueName="[Capacity].[SalesChannelKey].[All]" allUniqueName="[Capacity].[SalesChannelKey].[All]" dimensionUniqueName="[Capacity]" displayFolder="" count="0" unbalanced="0" hidden="1"/>
    <cacheHierarchy uniqueName="[Capacity].[SalesSeasonID]" caption="SalesSeasonID" attribute="1" defaultMemberUniqueName="[Capacity].[SalesSeasonID].[All]" allUniqueName="[Capacity].[SalesSeasonID].[All]" dimensionUniqueName="[Capacity]" displayFolder="" count="0" unbalanced="0" hidden="1"/>
    <cacheHierarchy uniqueName="[Capacity].[SubDistChannelKey]" caption="SubDistChannelKey" attribute="1" defaultMemberUniqueName="[Capacity].[SubDistChannelKey].[All]" allUniqueName="[Capacity].[SubDistChannelKey].[All]" dimensionUniqueName="[Capacity]" displayFolder="" count="0" unbalanced="0" hidden="1"/>
    <cacheHierarchy uniqueName="[Capacity].[TYCapacityPlanUnit]" caption="TYCapacityPlanUnit" attribute="1" defaultMemberUniqueName="[Capacity].[TYCapacityPlanUnit].[All]" allUniqueName="[Capacity].[TYCapacityPlanUnit].[All]" dimensionUniqueName="[Capacity]" displayFolder="" count="0" unbalanced="0" hidden="1"/>
    <cacheHierarchy uniqueName="[CapacityPlanTY].[Date]" caption="Date" attribute="1" defaultMemberUniqueName="[CapacityPlanTY].[Date].[All]" allUniqueName="[CapacityPlanTY].[Date].[All]" dimensionUniqueName="[CapacityPlanTY]" displayFolder="" count="0" unbalanced="0" hidden="1"/>
    <cacheHierarchy uniqueName="[CapacityPlanTY].[DistrubitionChannelCode]" caption="DistrubitionChannelCode" attribute="1" defaultMemberUniqueName="[CapacityPlanTY].[DistrubitionChannelCode].[All]" allUniqueName="[CapacityPlanTY].[DistrubitionChannelCode].[All]" dimensionUniqueName="[CapacityPlanTY]" displayFolder="" count="0" unbalanced="0" hidden="1"/>
    <cacheHierarchy uniqueName="[CapacityPlanTY].[DWSourceKey]" caption="DWSourceKey" attribute="1" defaultMemberUniqueName="[CapacityPlanTY].[DWSourceKey].[All]" allUniqueName="[CapacityPlanTY].[DWSourceKey].[All]" dimensionUniqueName="[CapacityPlanTY]" displayFolder="" count="0" unbalanced="0" hidden="1"/>
    <cacheHierarchy uniqueName="[CapacityPlanTY].[ETLDate]" caption="ETLDate" attribute="1" defaultMemberUniqueName="[CapacityPlanTY].[ETLDate].[All]" allUniqueName="[CapacityPlanTY].[ETLDate].[All]" dimensionUniqueName="[CapacityPlanTY]" displayFolder="" count="0" unbalanced="0" hidden="1"/>
    <cacheHierarchy uniqueName="[CapacityPlanTY].[EURExcRate]" caption="EURExcRate" attribute="1" defaultMemberUniqueName="[CapacityPlanTY].[EURExcRate].[All]" allUniqueName="[CapacityPlanTY].[EURExcRate].[All]" dimensionUniqueName="[CapacityPlanTY]" displayFolder="" count="0" unbalanced="0" hidden="1"/>
    <cacheHierarchy uniqueName="[CapacityPlanTY].[LFLPlanAvgStoreStockCostLC]" caption="LFLPlanAvgStoreStockCostLC" attribute="1" defaultMemberUniqueName="[CapacityPlanTY].[LFLPlanAvgStoreStockCostLC].[All]" allUniqueName="[CapacityPlanTY].[LFLPlanAvgStoreStockCostLC].[All]" dimensionUniqueName="[CapacityPlanTY]" displayFolder="" count="0" unbalanced="0" hidden="1"/>
    <cacheHierarchy uniqueName="[CapacityPlanTY].[LFLPlanAvgStoreStockUnit]" caption="LFLPlanAvgStoreStockUnit" attribute="1" defaultMemberUniqueName="[CapacityPlanTY].[LFLPlanAvgStoreStockUnit].[All]" allUniqueName="[CapacityPlanTY].[LFLPlanAvgStoreStockUnit].[All]" dimensionUniqueName="[CapacityPlanTY]" displayFolder="" count="0" unbalanced="0" hidden="1"/>
    <cacheHierarchy uniqueName="[CapacityPlanTY].[LocationCurrencyCode]" caption="LocationCurrencyCode" attribute="1" defaultMemberUniqueName="[CapacityPlanTY].[LocationCurrencyCode].[All]" allUniqueName="[CapacityPlanTY].[LocationCurrencyCode].[All]" dimensionUniqueName="[CapacityPlanTY]" displayFolder="" count="0" unbalanced="0" hidden="1"/>
    <cacheHierarchy uniqueName="[CapacityPlanTY].[LocationKey]" caption="LocationKey" attribute="1" defaultMemberUniqueName="[CapacityPlanTY].[LocationKey].[All]" allUniqueName="[CapacityPlanTY].[LocationKey].[All]" dimensionUniqueName="[CapacityPlanTY]" displayFolder="" count="0" unbalanced="0" hidden="1"/>
    <cacheHierarchy uniqueName="[CapacityPlanTY].[MainGroupCode]" caption="MainGroupCode" attribute="1" defaultMemberUniqueName="[CapacityPlanTY].[MainGroupCode].[All]" allUniqueName="[CapacityPlanTY].[MainGroupCode].[All]" dimensionUniqueName="[CapacityPlanTY]" displayFolder="" count="0" unbalanced="0" hidden="1"/>
    <cacheHierarchy uniqueName="[CapacityPlanTY].[MaterialKey]" caption="MaterialKey" attribute="1" defaultMemberUniqueName="[CapacityPlanTY].[MaterialKey].[All]" allUniqueName="[CapacityPlanTY].[MaterialKey].[All]" dimensionUniqueName="[CapacityPlanTY]" displayFolder="" count="0" unbalanced="0" hidden="1"/>
    <cacheHierarchy uniqueName="[CapacityPlanTY].[PlanAvgStoreStockCostLC]" caption="PlanAvgStoreStockCostLC" attribute="1" defaultMemberUniqueName="[CapacityPlanTY].[PlanAvgStoreStockCostLC].[All]" allUniqueName="[CapacityPlanTY].[PlanAvgStoreStockCostLC].[All]" dimensionUniqueName="[CapacityPlanTY]" displayFolder="" count="0" unbalanced="0" hidden="1"/>
    <cacheHierarchy uniqueName="[CapacityPlanTY].[PlanAvgStoreStockUnit]" caption="PlanAvgStoreStockUnit" attribute="1" defaultMemberUniqueName="[CapacityPlanTY].[PlanAvgStoreStockUnit].[All]" allUniqueName="[CapacityPlanTY].[PlanAvgStoreStockUnit].[All]" dimensionUniqueName="[CapacityPlanTY]" displayFolder="" count="0" unbalanced="0" hidden="1"/>
    <cacheHierarchy uniqueName="[CapacityPlanTY].[SalesChannelKey]" caption="SalesChannelKey" attribute="1" defaultMemberUniqueName="[CapacityPlanTY].[SalesChannelKey].[All]" allUniqueName="[CapacityPlanTY].[SalesChannelKey].[All]" dimensionUniqueName="[CapacityPlanTY]" displayFolder="" count="0" unbalanced="0" hidden="1"/>
    <cacheHierarchy uniqueName="[CapacityPlanTY].[SalesOrgCode]" caption="SalesOrgCode" attribute="1" defaultMemberUniqueName="[CapacityPlanTY].[SalesOrgCode].[All]" allUniqueName="[CapacityPlanTY].[SalesOrgCode].[All]" dimensionUniqueName="[CapacityPlanTY]" displayFolder="" count="0" unbalanced="0" hidden="1"/>
    <cacheHierarchy uniqueName="[CapacityPlanTY].[SubDistChannelKey]" caption="SubDistChannelKey" attribute="1" defaultMemberUniqueName="[CapacityPlanTY].[SubDistChannelKey].[All]" allUniqueName="[CapacityPlanTY].[SubDistChannelKey].[All]" dimensionUniqueName="[CapacityPlanTY]" displayFolder="" count="0" unbalanced="0" hidden="1"/>
    <cacheHierarchy uniqueName="[CapacityPlanTY].[SubGroupCode]" caption="SubGroupCode" attribute="1" defaultMemberUniqueName="[CapacityPlanTY].[SubGroupCode].[All]" allUniqueName="[CapacityPlanTY].[SubGroupCode].[All]" dimensionUniqueName="[CapacityPlanTY]" displayFolder="" count="0" unbalanced="0" hidden="1"/>
    <cacheHierarchy uniqueName="[CapacityPlanTY].[TRYExcRate]" caption="TRYExcRate" attribute="1" defaultMemberUniqueName="[CapacityPlanTY].[TRYExcRate].[All]" allUniqueName="[CapacityPlanTY].[TRYExcRate].[All]" dimensionUniqueName="[CapacityPlanTY]" displayFolder="" count="0" unbalanced="0" hidden="1"/>
    <cacheHierarchy uniqueName="[CapacityPlanTY].[USDExcRate]" caption="USDExcRate" attribute="1" defaultMemberUniqueName="[CapacityPlanTY].[USDExcRate].[All]" allUniqueName="[CapacityPlanTY].[USDExcRate].[All]" dimensionUniqueName="[CapacityPlanTY]" displayFolder="" count="0" unbalanced="0" hidden="1"/>
    <cacheHierarchy uniqueName="[CapacityPlanTY].[YearMonth]" caption="YearMonth" attribute="1" defaultMemberUniqueName="[CapacityPlanTY].[YearMonth].[All]" allUniqueName="[CapacityPlanTY].[YearMonth].[All]" dimensionUniqueName="[CapacityPlanTY]" displayFolder="" count="0" unbalanced="0" hidden="1"/>
    <cacheHierarchy uniqueName="[CurrentStockStore].[CompanyUnitCost]" caption="CompanyUnitCost" attribute="1" defaultMemberUniqueName="[CurrentStockStore].[CompanyUnitCost].[All]" allUniqueName="[CurrentStockStore].[CompanyUnitCost].[All]" dimensionUniqueName="[CurrentStockStore]" displayFolder="" count="0" unbalanced="0" hidden="1"/>
    <cacheHierarchy uniqueName="[CurrentStockStore].[EURExcRate]" caption="EURExcRate" attribute="1" defaultMemberUniqueName="[CurrentStockStore].[EURExcRate].[All]" allUniqueName="[CurrentStockStore].[EURExcRate].[All]" dimensionUniqueName="[CurrentStockStore]" displayFolder="" count="0" unbalanced="0" hidden="1"/>
    <cacheHierarchy uniqueName="[CurrentStockStore].[InitialSalesPriceID]" caption="InitialSalesPriceID" attribute="1" defaultMemberUniqueName="[CurrentStockStore].[InitialSalesPriceID].[All]" allUniqueName="[CurrentStockStore].[InitialSalesPriceID].[All]" dimensionUniqueName="[CurrentStockStore]" displayFolder="" count="0" unbalanced="0" hidden="1"/>
    <cacheHierarchy uniqueName="[CurrentStockStore].[ISPLCPriceVAT]" caption="ISPLCPriceVAT" attribute="1" defaultMemberUniqueName="[CurrentStockStore].[ISPLCPriceVAT].[All]" allUniqueName="[CurrentStockStore].[ISPLCPriceVAT].[All]" dimensionUniqueName="[CurrentStockStore]" displayFolder="" count="0" unbalanced="0" hidden="1"/>
    <cacheHierarchy uniqueName="[CurrentStockStore].[LCExcRate]" caption="LCExcRate" attribute="1" defaultMemberUniqueName="[CurrentStockStore].[LCExcRate].[All]" allUniqueName="[CurrentStockStore].[LCExcRate].[All]" dimensionUniqueName="[CurrentStockStore]" displayFolder="" count="0" unbalanced="0" hidden="1"/>
    <cacheHierarchy uniqueName="[CurrentStockStore].[LFLFactor]" caption="LFLFactor" attribute="1" defaultMemberUniqueName="[CurrentStockStore].[LFLFactor].[All]" allUniqueName="[CurrentStockStore].[LFLFactor].[All]" dimensionUniqueName="[CurrentStockStore]" displayFolder="" count="0" unbalanced="0" hidden="1"/>
    <cacheHierarchy uniqueName="[CurrentStockStore].[LocationKey]" caption="LocationKey" attribute="1" defaultMemberUniqueName="[CurrentStockStore].[LocationKey].[All]" allUniqueName="[CurrentStockStore].[LocationKey].[All]" dimensionUniqueName="[CurrentStockStore]" displayFolder="" count="0" unbalanced="0" hidden="1"/>
    <cacheHierarchy uniqueName="[CurrentStockStore].[MaterialKey]" caption="MaterialKey" attribute="1" defaultMemberUniqueName="[CurrentStockStore].[MaterialKey].[All]" allUniqueName="[CurrentStockStore].[MaterialKey].[All]" dimensionUniqueName="[CurrentStockStore]" displayFolder="" count="0" unbalanced="0" hidden="1"/>
    <cacheHierarchy uniqueName="[CurrentStockStore].[OtherStockUnit]" caption="OtherStockUnit" attribute="1" defaultMemberUniqueName="[CurrentStockStore].[OtherStockUnit].[All]" allUniqueName="[CurrentStockStore].[OtherStockUnit].[All]" dimensionUniqueName="[CurrentStockStore]" displayFolder="" count="0" unbalanced="0" hidden="1"/>
    <cacheHierarchy uniqueName="[CurrentStockStore].[OutletID]" caption="OutletID" attribute="1" defaultMemberUniqueName="[CurrentStockStore].[OutletID].[All]" allUniqueName="[CurrentStockStore].[OutletID].[All]" dimensionUniqueName="[CurrentStockStore]" displayFolder="" count="0" unbalanced="0" hidden="1"/>
    <cacheHierarchy uniqueName="[CurrentStockStore].[SalesChannelKey]" caption="SalesChannelKey" attribute="1" defaultMemberUniqueName="[CurrentStockStore].[SalesChannelKey].[All]" allUniqueName="[CurrentStockStore].[SalesChannelKey].[All]" dimensionUniqueName="[CurrentStockStore]" displayFolder="" count="0" unbalanced="0" hidden="1"/>
    <cacheHierarchy uniqueName="[CurrentStockStore].[SalesSeasonID]" caption="SalesSeasonID" attribute="1" defaultMemberUniqueName="[CurrentStockStore].[SalesSeasonID].[All]" allUniqueName="[CurrentStockStore].[SalesSeasonID].[All]" dimensionUniqueName="[CurrentStockStore]" displayFolder="" count="0" unbalanced="0" hidden="1"/>
    <cacheHierarchy uniqueName="[CurrentStockStore].[StockDate]" caption="StockDate" attribute="1" defaultMemberUniqueName="[CurrentStockStore].[StockDate].[All]" allUniqueName="[CurrentStockStore].[StockDate].[All]" dimensionUniqueName="[CurrentStockStore]" displayFolder="" count="0" unbalanced="0" hidden="1"/>
    <cacheHierarchy uniqueName="[CurrentStockStore].[StockUnit]" caption="StockUnit" attribute="1" defaultMemberUniqueName="[CurrentStockStore].[StockUnit].[All]" allUniqueName="[CurrentStockStore].[StockUnit].[All]" dimensionUniqueName="[CurrentStockStore]" displayFolder="" count="0" unbalanced="0" hidden="1"/>
    <cacheHierarchy uniqueName="[CurrentStockStore].[TransitStockUnit]" caption="TransitStockUnit" attribute="1" defaultMemberUniqueName="[CurrentStockStore].[TransitStockUnit].[All]" allUniqueName="[CurrentStockStore].[TransitStockUnit].[All]" dimensionUniqueName="[CurrentStockStore]" displayFolder="" count="0" unbalanced="0" hidden="1"/>
    <cacheHierarchy uniqueName="[CurrentStockStore].[TRYExcRate]" caption="TRYExcRate" attribute="1" defaultMemberUniqueName="[CurrentStockStore].[TRYExcRate].[All]" allUniqueName="[CurrentStockStore].[TRYExcRate].[All]" dimensionUniqueName="[CurrentStockStore]" displayFolder="" count="0" unbalanced="0" hidden="1"/>
    <cacheHierarchy uniqueName="[CurrentStockStore].[UnitCost]" caption="UnitCost" attribute="1" defaultMemberUniqueName="[CurrentStockStore].[UnitCost].[All]" allUniqueName="[CurrentStockStore].[UnitCost].[All]" dimensionUniqueName="[CurrentStockStore]" displayFolder="" count="0" unbalanced="0" hidden="1"/>
    <cacheHierarchy uniqueName="[CurrentStockStore].[USDExcRate]" caption="USDExcRate" attribute="1" defaultMemberUniqueName="[CurrentStockStore].[USDExcRate].[All]" allUniqueName="[CurrentStockStore].[USDExcRate].[All]" dimensionUniqueName="[CurrentStockStore]" displayFolder="" count="0" unbalanced="0" hidden="1"/>
    <cacheHierarchy uniqueName="[ISPUnitPrice].[ISPUnitPriceKey]" caption="ISPUnitPriceKey" attribute="1" defaultMemberUniqueName="[ISPUnitPrice].[ISPUnitPriceKey].[All]" allUniqueName="[ISPUnitPrice].[ISPUnitPriceKey].[All]" dimensionUniqueName="[ISPUnitPrice]" displayFolder="" count="0" unbalanced="0" hidden="1"/>
    <cacheHierarchy uniqueName="[KPI].[Ly]" caption="Ly" attribute="1" defaultMemberUniqueName="[KPI].[Ly].[All]" allUniqueName="[KPI].[Ly].[All]" dimensionUniqueName="[KPI]" displayFolder="" count="0" unbalanced="0" hidden="1"/>
    <cacheHierarchy uniqueName="[KPI].[Ly_LC]" caption="Ly_LC" attribute="1" defaultMemberUniqueName="[KPI].[Ly_LC].[All]" allUniqueName="[KPI].[Ly_LC].[All]" dimensionUniqueName="[KPI]" displayFolder="" count="0" unbalanced="0" hidden="1"/>
    <cacheHierarchy uniqueName="[KPI].[Ly_TRY]" caption="Ly_TRY" attribute="1" defaultMemberUniqueName="[KPI].[Ly_TRY].[All]" allUniqueName="[KPI].[Ly_TRY].[All]" dimensionUniqueName="[KPI]" displayFolder="" count="0" unbalanced="0" hidden="1"/>
    <cacheHierarchy uniqueName="[KPI].[Ly_USD]" caption="Ly_USD" attribute="1" defaultMemberUniqueName="[KPI].[Ly_USD].[All]" allUniqueName="[KPI].[Ly_USD].[All]" dimensionUniqueName="[KPI]" displayFolder="" count="0" unbalanced="0" hidden="1"/>
    <cacheHierarchy uniqueName="[KPI].[LyLFL]" caption="LyLFL" attribute="1" defaultMemberUniqueName="[KPI].[LyLFL].[All]" allUniqueName="[KPI].[LyLFL].[All]" dimensionUniqueName="[KPI]" displayFolder="" count="0" unbalanced="0" hidden="1"/>
    <cacheHierarchy uniqueName="[KPI].[LyLFL_LC]" caption="LyLFL_LC" attribute="1" defaultMemberUniqueName="[KPI].[LyLFL_LC].[All]" allUniqueName="[KPI].[LyLFL_LC].[All]" dimensionUniqueName="[KPI]" displayFolder="" count="0" unbalanced="0" hidden="1"/>
    <cacheHierarchy uniqueName="[KPI].[LyLFL_TRY]" caption="LyLFL_TRY" attribute="1" defaultMemberUniqueName="[KPI].[LyLFL_TRY].[All]" allUniqueName="[KPI].[LyLFL_TRY].[All]" dimensionUniqueName="[KPI]" displayFolder="" count="0" unbalanced="0" hidden="1"/>
    <cacheHierarchy uniqueName="[KPI].[LyLFL_USD]" caption="LyLFL_USD" attribute="1" defaultMemberUniqueName="[KPI].[LyLFL_USD].[All]" allUniqueName="[KPI].[LyLFL_USD].[All]" dimensionUniqueName="[KPI]" displayFolder="" count="0" unbalanced="0" hidden="1"/>
    <cacheHierarchy uniqueName="[KPI].[MeasureBlokLY02]" caption="MeasureBlokLY02" attribute="1" defaultMemberUniqueName="[KPI].[MeasureBlokLY02].[All]" allUniqueName="[KPI].[MeasureBlokLY02].[All]" dimensionUniqueName="[KPI]" displayFolder="" count="0" unbalanced="0" hidden="1"/>
    <cacheHierarchy uniqueName="[KPI].[MeasureBlokLYLFL04]" caption="MeasureBlokLYLFL04" attribute="1" defaultMemberUniqueName="[KPI].[MeasureBlokLYLFL04].[All]" allUniqueName="[KPI].[MeasureBlokLYLFL04].[All]" dimensionUniqueName="[KPI]" displayFolder="" count="0" unbalanced="0" hidden="1"/>
    <cacheHierarchy uniqueName="[KPI].[MeasureBlokTY01]" caption="MeasureBlokTY01" attribute="1" defaultMemberUniqueName="[KPI].[MeasureBlokTY01].[All]" allUniqueName="[KPI].[MeasureBlokTY01].[All]" dimensionUniqueName="[KPI]" displayFolder="" count="0" unbalanced="0" hidden="1"/>
    <cacheHierarchy uniqueName="[KPI].[MeasureBlokTYLFL03]" caption="MeasureBlokTYLFL03" attribute="1" defaultMemberUniqueName="[KPI].[MeasureBlokTYLFL03].[All]" allUniqueName="[KPI].[MeasureBlokTYLFL03].[All]" dimensionUniqueName="[KPI]" displayFolder="" count="0" unbalanced="0" hidden="1"/>
    <cacheHierarchy uniqueName="[KPI].[ProcessTime]" caption="ProcessTime" attribute="1" defaultMemberUniqueName="[KPI].[ProcessTime].[All]" allUniqueName="[KPI].[ProcessTime].[All]" dimensionUniqueName="[KPI]" displayFolder="" count="0" unbalanced="0" hidden="1"/>
    <cacheHierarchy uniqueName="[KPI].[Ty]" caption="Ty" attribute="1" defaultMemberUniqueName="[KPI].[Ty].[All]" allUniqueName="[KPI].[Ty].[All]" dimensionUniqueName="[KPI]" displayFolder="" count="0" unbalanced="0" hidden="1"/>
    <cacheHierarchy uniqueName="[KPI].[Ty_LC]" caption="Ty_LC" attribute="1" defaultMemberUniqueName="[KPI].[Ty_LC].[All]" allUniqueName="[KPI].[Ty_LC].[All]" dimensionUniqueName="[KPI]" displayFolder="" count="0" unbalanced="0" hidden="1"/>
    <cacheHierarchy uniqueName="[KPI].[Ty_TRY]" caption="Ty_TRY" attribute="1" defaultMemberUniqueName="[KPI].[Ty_TRY].[All]" allUniqueName="[KPI].[Ty_TRY].[All]" dimensionUniqueName="[KPI]" displayFolder="" count="0" unbalanced="0" hidden="1"/>
    <cacheHierarchy uniqueName="[KPI].[Ty_USD]" caption="Ty_USD" attribute="1" defaultMemberUniqueName="[KPI].[Ty_USD].[All]" allUniqueName="[KPI].[Ty_USD].[All]" dimensionUniqueName="[KPI]" displayFolder="" count="0" unbalanced="0" hidden="1"/>
    <cacheHierarchy uniqueName="[KPI].[TyLfl]" caption="TyLfl" attribute="1" defaultMemberUniqueName="[KPI].[TyLfl].[All]" allUniqueName="[KPI].[TyLfl].[All]" dimensionUniqueName="[KPI]" displayFolder="" count="0" unbalanced="0" hidden="1"/>
    <cacheHierarchy uniqueName="[KPI].[TyLfl_LC]" caption="TyLfl_LC" attribute="1" defaultMemberUniqueName="[KPI].[TyLfl_LC].[All]" allUniqueName="[KPI].[TyLfl_LC].[All]" dimensionUniqueName="[KPI]" displayFolder="" count="0" unbalanced="0" hidden="1"/>
    <cacheHierarchy uniqueName="[KPI].[TyLfl_TRY]" caption="TyLfl_TRY" attribute="1" defaultMemberUniqueName="[KPI].[TyLfl_TRY].[All]" allUniqueName="[KPI].[TyLfl_TRY].[All]" dimensionUniqueName="[KPI]" displayFolder="" count="0" unbalanced="0" hidden="1"/>
    <cacheHierarchy uniqueName="[KPI].[TyLfl_USD]" caption="TyLfl_USD" attribute="1" defaultMemberUniqueName="[KPI].[TyLfl_USD].[All]" allUniqueName="[KPI].[TyLfl_USD].[All]" dimensionUniqueName="[KPI]" displayFolder="" count="0" unbalanced="0" hidden="1"/>
    <cacheHierarchy uniqueName="[LFLDate].[LFLDate]" caption="LFLDate" attribute="1" defaultMemberUniqueName="[LFLDate].[LFLDate].[All]" allUniqueName="[LFLDate].[LFLDate].[All]" dimensionUniqueName="[LFLDate]" displayFolder="" count="0" unbalanced="0" hidden="1"/>
    <cacheHierarchy uniqueName="[LFLDate].[SalesChannelKey]" caption="SalesChannelKey" attribute="1" defaultMemberUniqueName="[LFLDate].[SalesChannelKey].[All]" allUniqueName="[LFLDate].[SalesChannelKey].[All]" dimensionUniqueName="[LFLDate]" displayFolder="" count="0" unbalanced="0" hidden="1"/>
    <cacheHierarchy uniqueName="[LFLDate].[SCKeyLFLDate]" caption="SCKeyLFLDate" attribute="1" defaultMemberUniqueName="[LFLDate].[SCKeyLFLDate].[All]" allUniqueName="[LFLDate].[SCKeyLFLDate].[All]" dimensionUniqueName="[LFLDate]" displayFolder="" count="0" unbalanced="0" hidden="1"/>
    <cacheHierarchy uniqueName="[LFLDate].[TYDate]" caption="TYDate" attribute="1" defaultMemberUniqueName="[LFLDate].[TYDate].[All]" allUniqueName="[LFLDate].[TYDate].[All]" dimensionUniqueName="[LFLDate]" displayFolder="" count="0" unbalanced="0" hidden="1"/>
    <cacheHierarchy uniqueName="[OpenImportsDCStock].[AvailableStockUnit]" caption="AvailableStockUnit" attribute="1" defaultMemberUniqueName="[OpenImportsDCStock].[AvailableStockUnit].[All]" allUniqueName="[OpenImportsDCStock].[AvailableStockUnit].[All]" dimensionUniqueName="[OpenImportsDCStock]" displayFolder="" count="0" unbalanced="0" hidden="1"/>
    <cacheHierarchy uniqueName="[OpenImportsDCStock].[BufferStockUnit]" caption="BufferStockUnit" attribute="1" defaultMemberUniqueName="[OpenImportsDCStock].[BufferStockUnit].[All]" allUniqueName="[OpenImportsDCStock].[BufferStockUnit].[All]" dimensionUniqueName="[OpenImportsDCStock]" displayFolder="" count="0" unbalanced="0" hidden="1"/>
    <cacheHierarchy uniqueName="[OpenImportsDCStock].[CUROpenImportsDCStockUnit]" caption="CUROpenImportsDCStockUnit" attribute="1" defaultMemberUniqueName="[OpenImportsDCStock].[CUROpenImportsDCStockUnit].[All]" allUniqueName="[OpenImportsDCStock].[CUROpenImportsDCStockUnit].[All]" dimensionUniqueName="[OpenImportsDCStock]" displayFolder="" count="0" unbalanced="0" hidden="1"/>
    <cacheHierarchy uniqueName="[OpenImportsDCStock].[CUROpenTransferDCStockUnit]" caption="CUROpenTransferDCStockUnit" attribute="1" defaultMemberUniqueName="[OpenImportsDCStock].[CUROpenTransferDCStockUnit].[All]" allUniqueName="[OpenImportsDCStock].[CUROpenTransferDCStockUnit].[All]" dimensionUniqueName="[OpenImportsDCStock]" displayFolder="" count="0" unbalanced="0" hidden="1"/>
    <cacheHierarchy uniqueName="[OpenImportsDCStock].[CURUnapprovedOrderDCStockUnit]" caption="CURUnapprovedOrderDCStockUnit" attribute="1" defaultMemberUniqueName="[OpenImportsDCStock].[CURUnapprovedOrderDCStockUnit].[All]" allUniqueName="[OpenImportsDCStock].[CURUnapprovedOrderDCStockUnit].[All]" dimensionUniqueName="[OpenImportsDCStock]" displayFolder="" count="0" unbalanced="0" hidden="1"/>
    <cacheHierarchy uniqueName="[OpenImportsDCStock].[LocationKey]" caption="LocationKey" attribute="1" defaultMemberUniqueName="[OpenImportsDCStock].[LocationKey].[All]" allUniqueName="[OpenImportsDCStock].[LocationKey].[All]" dimensionUniqueName="[OpenImportsDCStock]" displayFolder="" count="0" unbalanced="0" hidden="1"/>
    <cacheHierarchy uniqueName="[OpenImportsDCStock].[LocationType]" caption="LocationType" attribute="1" defaultMemberUniqueName="[OpenImportsDCStock].[LocationType].[All]" allUniqueName="[OpenImportsDCStock].[LocationType].[All]" dimensionUniqueName="[OpenImportsDCStock]" displayFolder="" count="0" unbalanced="0" hidden="1"/>
    <cacheHierarchy uniqueName="[OpenImportsDCStock].[MaterialKey]" caption="MaterialKey" attribute="1" defaultMemberUniqueName="[OpenImportsDCStock].[MaterialKey].[All]" allUniqueName="[OpenImportsDCStock].[MaterialKey].[All]" dimensionUniqueName="[OpenImportsDCStock]" displayFolder="" count="0" unbalanced="0" hidden="1"/>
    <cacheHierarchy uniqueName="[OpenImportsDCStock].[OpenDeliveryStockUnit]" caption="OpenDeliveryStockUnit" attribute="1" defaultMemberUniqueName="[OpenImportsDCStock].[OpenDeliveryStockUnit].[All]" allUniqueName="[OpenImportsDCStock].[OpenDeliveryStockUnit].[All]" dimensionUniqueName="[OpenImportsDCStock]" displayFolder="" count="0" unbalanced="0" hidden="1"/>
    <cacheHierarchy uniqueName="[OpenImportsDCStock].[OpenOrderStockUnit]" caption="OpenOrderStockUnit" attribute="1" defaultMemberUniqueName="[OpenImportsDCStock].[OpenOrderStockUnit].[All]" allUniqueName="[OpenImportsDCStock].[OpenOrderStockUnit].[All]" dimensionUniqueName="[OpenImportsDCStock]" displayFolder="" count="0" unbalanced="0" hidden="1"/>
    <cacheHierarchy uniqueName="[OpenImportsDCStock].[OpenStoStockUnit]" caption="OpenStoStockUnit" attribute="1" defaultMemberUniqueName="[OpenImportsDCStock].[OpenStoStockUnit].[All]" allUniqueName="[OpenImportsDCStock].[OpenStoStockUnit].[All]" dimensionUniqueName="[OpenImportsDCStock]" displayFolder="" count="0" unbalanced="0" hidden="1"/>
    <cacheHierarchy uniqueName="[OpenImportsDCStock].[RealStockUnit]" caption="RealStockUnit" attribute="1" defaultMemberUniqueName="[OpenImportsDCStock].[RealStockUnit].[All]" allUniqueName="[OpenImportsDCStock].[RealStockUnit].[All]" dimensionUniqueName="[OpenImportsDCStock]" displayFolder="" count="0" unbalanced="0" hidden="1"/>
    <cacheHierarchy uniqueName="[OpenImportsDCStock].[SafetyStockUnit]" caption="SafetyStockUnit" attribute="1" defaultMemberUniqueName="[OpenImportsDCStock].[SafetyStockUnit].[All]" allUniqueName="[OpenImportsDCStock].[SafetyStockUnit].[All]" dimensionUniqueName="[OpenImportsDCStock]" displayFolder="" count="0" unbalanced="0" hidden="1"/>
    <cacheHierarchy uniqueName="[OpenImportsDCStock].[SalesChannelKey]" caption="SalesChannelKey" attribute="1" defaultMemberUniqueName="[OpenImportsDCStock].[SalesChannelKey].[All]" allUniqueName="[OpenImportsDCStock].[SalesChannelKey].[All]" dimensionUniqueName="[OpenImportsDCStock]" displayFolder="" count="0" unbalanced="0" hidden="1"/>
    <cacheHierarchy uniqueName="[OpenImportsDCStock].[StockListKey]" caption="StockListKey" attribute="1" defaultMemberUniqueName="[OpenImportsDCStock].[StockListKey].[All]" allUniqueName="[OpenImportsDCStock].[StockListKey].[All]" dimensionUniqueName="[OpenImportsDCStock]" displayFolder="" count="0" unbalanced="0" hidden="1"/>
    <cacheHierarchy uniqueName="[OpenImportsDCStock].[SubLocationKey]" caption="SubLocationKey" attribute="1" defaultMemberUniqueName="[OpenImportsDCStock].[SubLocationKey].[All]" allUniqueName="[OpenImportsDCStock].[SubLocationKey].[All]" dimensionUniqueName="[OpenImportsDCStock]" displayFolder="" count="0" unbalanced="0" hidden="1"/>
    <cacheHierarchy uniqueName="[OpenImportsStoreStock].[AvailableStockUnit]" caption="AvailableStockUnit" attribute="1" defaultMemberUniqueName="[OpenImportsStoreStock].[AvailableStockUnit].[All]" allUniqueName="[OpenImportsStoreStock].[AvailableStockUnit].[All]" dimensionUniqueName="[OpenImportsStoreStock]" displayFolder="" count="0" unbalanced="0" hidden="1"/>
    <cacheHierarchy uniqueName="[OpenImportsStoreStock].[BufferStockUnit]" caption="BufferStockUnit" attribute="1" defaultMemberUniqueName="[OpenImportsStoreStock].[BufferStockUnit].[All]" allUniqueName="[OpenImportsStoreStock].[BufferStockUnit].[All]" dimensionUniqueName="[OpenImportsStoreStock]" displayFolder="" count="0" unbalanced="0" hidden="1"/>
    <cacheHierarchy uniqueName="[OpenImportsStoreStock].[CUROpenImportsStoreStockUnit]" caption="CUROpenImportsStoreStockUnit" attribute="1" defaultMemberUniqueName="[OpenImportsStoreStock].[CUROpenImportsStoreStockUnit].[All]" allUniqueName="[OpenImportsStoreStock].[CUROpenImportsStoreStockUnit].[All]" dimensionUniqueName="[OpenImportsStoreStock]" displayFolder="" count="0" unbalanced="0" hidden="1"/>
    <cacheHierarchy uniqueName="[OpenImportsStoreStock].[CUROpenTransferStoreStockUnit]" caption="CUROpenTransferStoreStockUnit" attribute="1" defaultMemberUniqueName="[OpenImportsStoreStock].[CUROpenTransferStoreStockUnit].[All]" allUniqueName="[OpenImportsStoreStock].[CUROpenTransferStoreStockUnit].[All]" dimensionUniqueName="[OpenImportsStoreStock]" displayFolder="" count="0" unbalanced="0" hidden="1"/>
    <cacheHierarchy uniqueName="[OpenImportsStoreStock].[CURUnapprovedOrderStoreStockUnit]" caption="CURUnapprovedOrderStoreStockUnit" attribute="1" defaultMemberUniqueName="[OpenImportsStoreStock].[CURUnapprovedOrderStoreStockUnit].[All]" allUniqueName="[OpenImportsStoreStock].[CURUnapprovedOrderStoreStockUnit].[All]" dimensionUniqueName="[OpenImportsStoreStock]" displayFolder="" count="0" unbalanced="0" hidden="1"/>
    <cacheHierarchy uniqueName="[OpenImportsStoreStock].[LocationKey]" caption="LocationKey" attribute="1" defaultMemberUniqueName="[OpenImportsStoreStock].[LocationKey].[All]" allUniqueName="[OpenImportsStoreStock].[LocationKey].[All]" dimensionUniqueName="[OpenImportsStoreStock]" displayFolder="" count="0" unbalanced="0" hidden="1"/>
    <cacheHierarchy uniqueName="[OpenImportsStoreStock].[LocationType]" caption="LocationType" attribute="1" defaultMemberUniqueName="[OpenImportsStoreStock].[LocationType].[All]" allUniqueName="[OpenImportsStoreStock].[LocationType].[All]" dimensionUniqueName="[OpenImportsStoreStock]" displayFolder="" count="0" unbalanced="0" hidden="1"/>
    <cacheHierarchy uniqueName="[OpenImportsStoreStock].[MaterialKey]" caption="MaterialKey" attribute="1" defaultMemberUniqueName="[OpenImportsStoreStock].[MaterialKey].[All]" allUniqueName="[OpenImportsStoreStock].[MaterialKey].[All]" dimensionUniqueName="[OpenImportsStoreStock]" displayFolder="" count="0" unbalanced="0" hidden="1"/>
    <cacheHierarchy uniqueName="[OpenImportsStoreStock].[OpenDeliveryStockUnit]" caption="OpenDeliveryStockUnit" attribute="1" defaultMemberUniqueName="[OpenImportsStoreStock].[OpenDeliveryStockUnit].[All]" allUniqueName="[OpenImportsStoreStock].[OpenDeliveryStockUnit].[All]" dimensionUniqueName="[OpenImportsStoreStock]" displayFolder="" count="0" unbalanced="0" hidden="1"/>
    <cacheHierarchy uniqueName="[OpenImportsStoreStock].[OpenOrderStockUnit]" caption="OpenOrderStockUnit" attribute="1" defaultMemberUniqueName="[OpenImportsStoreStock].[OpenOrderStockUnit].[All]" allUniqueName="[OpenImportsStoreStock].[OpenOrderStockUnit].[All]" dimensionUniqueName="[OpenImportsStoreStock]" displayFolder="" count="0" unbalanced="0" hidden="1"/>
    <cacheHierarchy uniqueName="[OpenImportsStoreStock].[OpenStoStockUnit]" caption="OpenStoStockUnit" attribute="1" defaultMemberUniqueName="[OpenImportsStoreStock].[OpenStoStockUnit].[All]" allUniqueName="[OpenImportsStoreStock].[OpenStoStockUnit].[All]" dimensionUniqueName="[OpenImportsStoreStock]" displayFolder="" count="0" unbalanced="0" hidden="1"/>
    <cacheHierarchy uniqueName="[OpenImportsStoreStock].[RealStockUnit]" caption="RealStockUnit" attribute="1" defaultMemberUniqueName="[OpenImportsStoreStock].[RealStockUnit].[All]" allUniqueName="[OpenImportsStoreStock].[RealStockUnit].[All]" dimensionUniqueName="[OpenImportsStoreStock]" displayFolder="" count="0" unbalanced="0" hidden="1"/>
    <cacheHierarchy uniqueName="[OpenImportsStoreStock].[SafetyStockUnit]" caption="SafetyStockUnit" attribute="1" defaultMemberUniqueName="[OpenImportsStoreStock].[SafetyStockUnit].[All]" allUniqueName="[OpenImportsStoreStock].[SafetyStockUnit].[All]" dimensionUniqueName="[OpenImportsStoreStock]" displayFolder="" count="0" unbalanced="0" hidden="1"/>
    <cacheHierarchy uniqueName="[OpenImportsStoreStock].[SalesChannelKey]" caption="SalesChannelKey" attribute="1" defaultMemberUniqueName="[OpenImportsStoreStock].[SalesChannelKey].[All]" allUniqueName="[OpenImportsStoreStock].[SalesChannelKey].[All]" dimensionUniqueName="[OpenImportsStoreStock]" displayFolder="" count="0" unbalanced="0" hidden="1"/>
    <cacheHierarchy uniqueName="[OpenImportsStoreStock].[StockListKey]" caption="StockListKey" attribute="1" defaultMemberUniqueName="[OpenImportsStoreStock].[StockListKey].[All]" allUniqueName="[OpenImportsStoreStock].[StockListKey].[All]" dimensionUniqueName="[OpenImportsStoreStock]" displayFolder="" count="0" unbalanced="0" hidden="1"/>
    <cacheHierarchy uniqueName="[PurchaseOrder].[DCSubWarehouseKey]" caption="DCSubWarehouseKey" attribute="1" defaultMemberUniqueName="[PurchaseOrder].[DCSubWarehouseKey].[All]" allUniqueName="[PurchaseOrder].[DCSubWarehouseKey].[All]" dimensionUniqueName="[PurchaseOrder]" displayFolder="" count="0" unbalanced="0" hidden="1"/>
    <cacheHierarchy uniqueName="[PurchaseOrder].[DeadLine]" caption="DeadLine" attribute="1" defaultMemberUniqueName="[PurchaseOrder].[DeadLine].[All]" allUniqueName="[PurchaseOrder].[DeadLine].[All]" dimensionUniqueName="[PurchaseOrder]" displayFolder="" count="0" unbalanced="0" hidden="1"/>
    <cacheHierarchy uniqueName="[PurchaseOrder].[DWSourceKey]" caption="DWSourceKey" attribute="1" defaultMemberUniqueName="[PurchaseOrder].[DWSourceKey].[All]" allUniqueName="[PurchaseOrder].[DWSourceKey].[All]" dimensionUniqueName="[PurchaseOrder]" displayFolder="" count="0" unbalanced="0" hidden="1"/>
    <cacheHierarchy uniqueName="[PurchaseOrder].[EstimatedExcRateLC]" caption="EstimatedExcRateLC" attribute="1" defaultMemberUniqueName="[PurchaseOrder].[EstimatedExcRateLC].[All]" allUniqueName="[PurchaseOrder].[EstimatedExcRateLC].[All]" dimensionUniqueName="[PurchaseOrder]" displayFolder="" count="0" unbalanced="0" hidden="1"/>
    <cacheHierarchy uniqueName="[PurchaseOrder].[EtlDate]" caption="EtlDate" attribute="1" defaultMemberUniqueName="[PurchaseOrder].[EtlDate].[All]" allUniqueName="[PurchaseOrder].[EtlDate].[All]" dimensionUniqueName="[PurchaseOrder]" displayFolder="" count="0" unbalanced="0" hidden="1"/>
    <cacheHierarchy uniqueName="[PurchaseOrder].[Factor]" caption="Factor" attribute="1" defaultMemberUniqueName="[PurchaseOrder].[Factor].[All]" allUniqueName="[PurchaseOrder].[Factor].[All]" dimensionUniqueName="[PurchaseOrder]" displayFolder="" count="0" unbalanced="0" hidden="1"/>
    <cacheHierarchy uniqueName="[PurchaseOrder].[GoodsReceiptDate]" caption="GoodsReceiptDate" attribute="1" defaultMemberUniqueName="[PurchaseOrder].[GoodsReceiptDate].[All]" allUniqueName="[PurchaseOrder].[GoodsReceiptDate].[All]" dimensionUniqueName="[PurchaseOrder]" displayFolder="" count="0" unbalanced="0" hidden="1"/>
    <cacheHierarchy uniqueName="[PurchaseOrder].[GoodsReceiptUnit]" caption="GoodsReceiptUnit" attribute="1" defaultMemberUniqueName="[PurchaseOrder].[GoodsReceiptUnit].[All]" allUniqueName="[PurchaseOrder].[GoodsReceiptUnit].[All]" dimensionUniqueName="[PurchaseOrder]" displayFolder="" count="0" unbalanced="0" hidden="1"/>
    <cacheHierarchy uniqueName="[PurchaseOrder].[GoodsReceiptValueLC]" caption="GoodsReceiptValueLC" attribute="1" defaultMemberUniqueName="[PurchaseOrder].[GoodsReceiptValueLC].[All]" allUniqueName="[PurchaseOrder].[GoodsReceiptValueLC].[All]" dimensionUniqueName="[PurchaseOrder]" displayFolder="" count="0" unbalanced="0" hidden="1"/>
    <cacheHierarchy uniqueName="[PurchaseOrder].[LocalCurrencyCode]" caption="LocalCurrencyCode" attribute="1" defaultMemberUniqueName="[PurchaseOrder].[LocalCurrencyCode].[All]" allUniqueName="[PurchaseOrder].[LocalCurrencyCode].[All]" dimensionUniqueName="[PurchaseOrder]" displayFolder="" count="0" unbalanced="0" hidden="1"/>
    <cacheHierarchy uniqueName="[PurchaseOrder].[MaterialKey]" caption="MaterialKey" attribute="1" defaultMemberUniqueName="[PurchaseOrder].[MaterialKey].[All]" allUniqueName="[PurchaseOrder].[MaterialKey].[All]" dimensionUniqueName="[PurchaseOrder]" displayFolder="" count="0" unbalanced="0" hidden="1"/>
    <cacheHierarchy uniqueName="[PurchaseOrder].[OrderCurrencyCode]" caption="OrderCurrencyCode" attribute="1" defaultMemberUniqueName="[PurchaseOrder].[OrderCurrencyCode].[All]" allUniqueName="[PurchaseOrder].[OrderCurrencyCode].[All]" dimensionUniqueName="[PurchaseOrder]" displayFolder="" count="0" unbalanced="0" hidden="1"/>
    <cacheHierarchy uniqueName="[PurchaseOrder].[OtherMerchantGoodsReceiptUnit]" caption="OtherMerchantGoodsReceiptUnit" attribute="1" defaultMemberUniqueName="[PurchaseOrder].[OtherMerchantGoodsReceiptUnit].[All]" allUniqueName="[PurchaseOrder].[OtherMerchantGoodsReceiptUnit].[All]" dimensionUniqueName="[PurchaseOrder]" displayFolder="" count="0" unbalanced="0" hidden="1"/>
    <cacheHierarchy uniqueName="[PurchaseOrder].[OtherMerchantGoodsReceiptValueLC]" caption="OtherMerchantGoodsReceiptValueLC" attribute="1" defaultMemberUniqueName="[PurchaseOrder].[OtherMerchantGoodsReceiptValueLC].[All]" allUniqueName="[PurchaseOrder].[OtherMerchantGoodsReceiptValueLC].[All]" dimensionUniqueName="[PurchaseOrder]" displayFolder="" count="0" unbalanced="0" hidden="1"/>
    <cacheHierarchy uniqueName="[PurchaseOrder].[OtherMerchantPendingPONetValue]" caption="OtherMerchantPendingPONetValue" attribute="1" defaultMemberUniqueName="[PurchaseOrder].[OtherMerchantPendingPONetValue].[All]" allUniqueName="[PurchaseOrder].[OtherMerchantPendingPONetValue].[All]" dimensionUniqueName="[PurchaseOrder]" displayFolder="" count="0" unbalanced="0" hidden="1"/>
    <cacheHierarchy uniqueName="[PurchaseOrder].[OtherMerchantPendingPurchaseOrderUnit]" caption="OtherMerchantPendingPurchaseOrderUnit" attribute="1" defaultMemberUniqueName="[PurchaseOrder].[OtherMerchantPendingPurchaseOrderUnit].[All]" allUniqueName="[PurchaseOrder].[OtherMerchantPendingPurchaseOrderUnit].[All]" dimensionUniqueName="[PurchaseOrder]" displayFolder="" count="0" unbalanced="0" hidden="1"/>
    <cacheHierarchy uniqueName="[PurchaseOrder].[OtherMerchantPurchaseOrderUnit]" caption="OtherMerchantPurchaseOrderUnit" attribute="1" defaultMemberUniqueName="[PurchaseOrder].[OtherMerchantPurchaseOrderUnit].[All]" allUniqueName="[PurchaseOrder].[OtherMerchantPurchaseOrderUnit].[All]" dimensionUniqueName="[PurchaseOrder]" displayFolder="" count="0" unbalanced="0" hidden="1"/>
    <cacheHierarchy uniqueName="[PurchaseOrder].[PendingPONetValue]" caption="PendingPONetValue" attribute="1" defaultMemberUniqueName="[PurchaseOrder].[PendingPONetValue].[All]" allUniqueName="[PurchaseOrder].[PendingPONetValue].[All]" dimensionUniqueName="[PurchaseOrder]" displayFolder="" count="0" unbalanced="0" hidden="1"/>
    <cacheHierarchy uniqueName="[PurchaseOrder].[PendingPurchaseOrderUnit]" caption="PendingPurchaseOrderUnit" attribute="1" defaultMemberUniqueName="[PurchaseOrder].[PendingPurchaseOrderUnit].[All]" allUniqueName="[PurchaseOrder].[PendingPurchaseOrderUnit].[All]" dimensionUniqueName="[PurchaseOrder]" displayFolder="" count="0" unbalanced="0" hidden="1"/>
    <cacheHierarchy uniqueName="[PurchaseOrder].[PONetValue]" caption="PONetValue" attribute="1" defaultMemberUniqueName="[PurchaseOrder].[PONetValue].[All]" allUniqueName="[PurchaseOrder].[PONetValue].[All]" dimensionUniqueName="[PurchaseOrder]" displayFolder="" count="0" unbalanced="0" hidden="1"/>
    <cacheHierarchy uniqueName="[PurchaseOrder].[PurchaseOrderUnit]" caption="PurchaseOrderUnit" attribute="1" defaultMemberUniqueName="[PurchaseOrder].[PurchaseOrderUnit].[All]" allUniqueName="[PurchaseOrder].[PurchaseOrderUnit].[All]" dimensionUniqueName="[PurchaseOrder]" displayFolder="" count="0" unbalanced="0" hidden="1"/>
    <cacheHierarchy uniqueName="[PurchaseOrder].[SalesChannelKey]" caption="SalesChannelKey" attribute="1" defaultMemberUniqueName="[PurchaseOrder].[SalesChannelKey].[All]" allUniqueName="[PurchaseOrder].[SalesChannelKey].[All]" dimensionUniqueName="[PurchaseOrder]" displayFolder="" count="0" unbalanced="0" hidden="1"/>
    <cacheHierarchy uniqueName="[PurchaseOrder].[UnitPrice]" caption="UnitPrice" attribute="1" defaultMemberUniqueName="[PurchaseOrder].[UnitPrice].[All]" allUniqueName="[PurchaseOrder].[UnitPrice].[All]" dimensionUniqueName="[PurchaseOrder]" displayFolder="" count="0" unbalanced="0" hidden="1"/>
    <cacheHierarchy uniqueName="[Sales].[Ly]" caption="Ly" attribute="1" defaultMemberUniqueName="[Sales].[Ly].[All]" allUniqueName="[Sales].[Ly].[All]" dimensionUniqueName="[Sales]" displayFolder="" count="0" unbalanced="0" hidden="1"/>
    <cacheHierarchy uniqueName="[Sales].[LyLFL]" caption="LyLFL" attribute="1" defaultMemberUniqueName="[Sales].[LyLFL].[All]" allUniqueName="[Sales].[LyLFL].[All]" dimensionUniqueName="[Sales]" displayFolder="" count="0" unbalanced="0" hidden="1"/>
    <cacheHierarchy uniqueName="[Sales].[MeasureBlokLY02]" caption="MeasureBlokLY02" attribute="1" defaultMemberUniqueName="[Sales].[MeasureBlokLY02].[All]" allUniqueName="[Sales].[MeasureBlokLY02].[All]" dimensionUniqueName="[Sales]" displayFolder="" count="0" unbalanced="0" hidden="1"/>
    <cacheHierarchy uniqueName="[Sales].[MeasureBlokLYLFL04]" caption="MeasureBlokLYLFL04" attribute="1" defaultMemberUniqueName="[Sales].[MeasureBlokLYLFL04].[All]" allUniqueName="[Sales].[MeasureBlokLYLFL04].[All]" dimensionUniqueName="[Sales]" displayFolder="" count="0" unbalanced="0" hidden="1"/>
    <cacheHierarchy uniqueName="[Sales].[MeasureBlokTY01]" caption="MeasureBlokTY01" attribute="1" defaultMemberUniqueName="[Sales].[MeasureBlokTY01].[All]" allUniqueName="[Sales].[MeasureBlokTY01].[All]" dimensionUniqueName="[Sales]" displayFolder="" count="0" unbalanced="0" hidden="1"/>
    <cacheHierarchy uniqueName="[Sales].[MeasureBlokTYLFL03]" caption="MeasureBlokTYLFL03" attribute="1" defaultMemberUniqueName="[Sales].[MeasureBlokTYLFL03].[All]" allUniqueName="[Sales].[MeasureBlokTYLFL03].[All]" dimensionUniqueName="[Sales]" displayFolder="" count="0" unbalanced="0" hidden="1"/>
    <cacheHierarchy uniqueName="[Sales].[MeasureGroupName]" caption="MeasureGroupName" attribute="1" defaultMemberUniqueName="[Sales].[MeasureGroupName].[All]" allUniqueName="[Sales].[MeasureGroupName].[All]" dimensionUniqueName="[Sales]" displayFolder="" count="0" unbalanced="0" hidden="1"/>
    <cacheHierarchy uniqueName="[Sales].[ProcessTime]" caption="ProcessTime" attribute="1" defaultMemberUniqueName="[Sales].[ProcessTime].[All]" allUniqueName="[Sales].[ProcessTime].[All]" dimensionUniqueName="[Sales]" displayFolder="" count="0" unbalanced="0" hidden="1"/>
    <cacheHierarchy uniqueName="[Sales].[Ty]" caption="Ty" attribute="1" defaultMemberUniqueName="[Sales].[Ty].[All]" allUniqueName="[Sales].[Ty].[All]" dimensionUniqueName="[Sales]" displayFolder="" count="0" unbalanced="0" hidden="1"/>
    <cacheHierarchy uniqueName="[Sales].[TyLfl]" caption="TyLfl" attribute="1" defaultMemberUniqueName="[Sales].[TyLfl].[All]" allUniqueName="[Sales].[TyLfl].[All]" dimensionUniqueName="[Sales]" displayFolder="" count="0" unbalanced="0" hidden="1"/>
    <cacheHierarchy uniqueName="[SalesBudget].[BudgetCost]" caption="BudgetCost" attribute="1" defaultMemberUniqueName="[SalesBudget].[BudgetCost].[All]" allUniqueName="[SalesBudget].[BudgetCost].[All]" dimensionUniqueName="[SalesBudget]" displayFolder="" count="0" unbalanced="0" hidden="1"/>
    <cacheHierarchy uniqueName="[SalesBudget].[BudgetInitialSalesPrice]" caption="BudgetInitialSalesPrice" attribute="1" defaultMemberUniqueName="[SalesBudget].[BudgetInitialSalesPrice].[All]" allUniqueName="[SalesBudget].[BudgetInitialSalesPrice].[All]" dimensionUniqueName="[SalesBudget]" displayFolder="" count="0" unbalanced="0" hidden="1"/>
    <cacheHierarchy uniqueName="[SalesBudget].[BudgetProfitValue]" caption="BudgetProfitValue" attribute="1" defaultMemberUniqueName="[SalesBudget].[BudgetProfitValue].[All]" allUniqueName="[SalesBudget].[BudgetProfitValue].[All]" dimensionUniqueName="[SalesBudget]" displayFolder="" count="0" unbalanced="0" hidden="1"/>
    <cacheHierarchy uniqueName="[SalesBudget].[BudgetUnit]" caption="BudgetUnit" attribute="1" defaultMemberUniqueName="[SalesBudget].[BudgetUnit].[All]" allUniqueName="[SalesBudget].[BudgetUnit].[All]" dimensionUniqueName="[SalesBudget]" displayFolder="" count="0" unbalanced="0" hidden="1"/>
    <cacheHierarchy uniqueName="[SalesBudget].[BudgetValue]" caption="BudgetValue" attribute="1" defaultMemberUniqueName="[SalesBudget].[BudgetValue].[All]" allUniqueName="[SalesBudget].[BudgetValue].[All]" dimensionUniqueName="[SalesBudget]" displayFolder="" count="0" unbalanced="0" hidden="1"/>
    <cacheHierarchy uniqueName="[SalesBudget].[EURExcRate]" caption="EURExcRate" attribute="1" defaultMemberUniqueName="[SalesBudget].[EURExcRate].[All]" allUniqueName="[SalesBudget].[EURExcRate].[All]" dimensionUniqueName="[SalesBudget]" displayFolder="" count="0" unbalanced="0" hidden="1"/>
    <cacheHierarchy uniqueName="[SalesBudget].[LocationCurrencyCode]" caption="LocationCurrencyCode" attribute="1" defaultMemberUniqueName="[SalesBudget].[LocationCurrencyCode].[All]" allUniqueName="[SalesBudget].[LocationCurrencyCode].[All]" dimensionUniqueName="[SalesBudget]" displayFolder="" count="0" unbalanced="0" hidden="1"/>
    <cacheHierarchy uniqueName="[SalesBudget].[LocationKey]" caption="LocationKey" attribute="1" defaultMemberUniqueName="[SalesBudget].[LocationKey].[All]" allUniqueName="[SalesBudget].[LocationKey].[All]" dimensionUniqueName="[SalesBudget]" displayFolder="" count="0" unbalanced="0" hidden="1"/>
    <cacheHierarchy uniqueName="[SalesBudget].[MaterialKey]" caption="MaterialKey" attribute="1" defaultMemberUniqueName="[SalesBudget].[MaterialKey].[All]" allUniqueName="[SalesBudget].[MaterialKey].[All]" dimensionUniqueName="[SalesBudget]" displayFolder="" count="0" unbalanced="0" hidden="1"/>
    <cacheHierarchy uniqueName="[SalesBudget].[SalesChannelKey]" caption="SalesChannelKey" attribute="1" defaultMemberUniqueName="[SalesBudget].[SalesChannelKey].[All]" allUniqueName="[SalesBudget].[SalesChannelKey].[All]" dimensionUniqueName="[SalesBudget]" displayFolder="" count="0" unbalanced="0" hidden="1"/>
    <cacheHierarchy uniqueName="[SalesBudget].[SubDistChannelCode]" caption="SubDistChannelCode" attribute="1" defaultMemberUniqueName="[SalesBudget].[SubDistChannelCode].[All]" allUniqueName="[SalesBudget].[SubDistChannelCode].[All]" dimensionUniqueName="[SalesBudget]" displayFolder="" count="0" unbalanced="0" hidden="1"/>
    <cacheHierarchy uniqueName="[SalesBudget].[SubDistChannelKey]" caption="SubDistChannelKey" attribute="1" defaultMemberUniqueName="[SalesBudget].[SubDistChannelKey].[All]" allUniqueName="[SalesBudget].[SubDistChannelKey].[All]" dimensionUniqueName="[SalesBudget]" displayFolder="" count="0" unbalanced="0" hidden="1"/>
    <cacheHierarchy uniqueName="[SalesBudget].[TRYExcRate]" caption="TRYExcRate" attribute="1" defaultMemberUniqueName="[SalesBudget].[TRYExcRate].[All]" allUniqueName="[SalesBudget].[TRYExcRate].[All]" dimensionUniqueName="[SalesBudget]" displayFolder="" count="0" unbalanced="0" hidden="1"/>
    <cacheHierarchy uniqueName="[SalesBudget].[TYDate]" caption="TYDate" attribute="1" defaultMemberUniqueName="[SalesBudget].[TYDate].[All]" allUniqueName="[SalesBudget].[TYDate].[All]" dimensionUniqueName="[SalesBudget]" displayFolder="" count="0" unbalanced="0" hidden="1"/>
    <cacheHierarchy uniqueName="[SalesBudget].[USDExcRate]" caption="USDExcRate" attribute="1" defaultMemberUniqueName="[SalesBudget].[USDExcRate].[All]" allUniqueName="[SalesBudget].[USDExcRate].[All]" dimensionUniqueName="[SalesBudget]" displayFolder="" count="0" unbalanced="0" hidden="1"/>
    <cacheHierarchy uniqueName="[SalesBudgetLY].[BudgetTypeName]" caption="BudgetTypeName" attribute="1" defaultMemberUniqueName="[SalesBudgetLY].[BudgetTypeName].[All]" allUniqueName="[SalesBudgetLY].[BudgetTypeName].[All]" dimensionUniqueName="[SalesBudgetLY]" displayFolder="" count="0" unbalanced="0" hidden="1"/>
    <cacheHierarchy uniqueName="[SalesBudgetLY].[EURExcRate]" caption="EURExcRate" attribute="1" defaultMemberUniqueName="[SalesBudgetLY].[EURExcRate].[All]" allUniqueName="[SalesBudgetLY].[EURExcRate].[All]" dimensionUniqueName="[SalesBudgetLY]" displayFolder="" count="0" unbalanced="0" hidden="1"/>
    <cacheHierarchy uniqueName="[SalesBudgetLY].[LocationCurrencyCode]" caption="LocationCurrencyCode" attribute="1" defaultMemberUniqueName="[SalesBudgetLY].[LocationCurrencyCode].[All]" allUniqueName="[SalesBudgetLY].[LocationCurrencyCode].[All]" dimensionUniqueName="[SalesBudgetLY]" displayFolder="" count="0" unbalanced="0" hidden="1"/>
    <cacheHierarchy uniqueName="[SalesBudgetLY].[LocationKey]" caption="LocationKey" attribute="1" defaultMemberUniqueName="[SalesBudgetLY].[LocationKey].[All]" allUniqueName="[SalesBudgetLY].[LocationKey].[All]" dimensionUniqueName="[SalesBudgetLY]" displayFolder="" count="0" unbalanced="0" hidden="1"/>
    <cacheHierarchy uniqueName="[SalesBudgetLY].[LYBudgetCost]" caption="LYBudgetCost" attribute="1" defaultMemberUniqueName="[SalesBudgetLY].[LYBudgetCost].[All]" allUniqueName="[SalesBudgetLY].[LYBudgetCost].[All]" dimensionUniqueName="[SalesBudgetLY]" displayFolder="" count="0" unbalanced="0" hidden="1"/>
    <cacheHierarchy uniqueName="[SalesBudgetLY].[LYBudgetInitialSalesPrice]" caption="LYBudgetInitialSalesPrice" attribute="1" defaultMemberUniqueName="[SalesBudgetLY].[LYBudgetInitialSalesPrice].[All]" allUniqueName="[SalesBudgetLY].[LYBudgetInitialSalesPrice].[All]" dimensionUniqueName="[SalesBudgetLY]" displayFolder="" count="0" unbalanced="0" hidden="1"/>
    <cacheHierarchy uniqueName="[SalesBudgetLY].[LYBudgetProfitValue]" caption="LYBudgetProfitValue" attribute="1" defaultMemberUniqueName="[SalesBudgetLY].[LYBudgetProfitValue].[All]" allUniqueName="[SalesBudgetLY].[LYBudgetProfitValue].[All]" dimensionUniqueName="[SalesBudgetLY]" displayFolder="" count="0" unbalanced="0" hidden="1"/>
    <cacheHierarchy uniqueName="[SalesBudgetLY].[LYBudgetUnit]" caption="LYBudgetUnit" attribute="1" defaultMemberUniqueName="[SalesBudgetLY].[LYBudgetUnit].[All]" allUniqueName="[SalesBudgetLY].[LYBudgetUnit].[All]" dimensionUniqueName="[SalesBudgetLY]" displayFolder="" count="0" unbalanced="0" hidden="1"/>
    <cacheHierarchy uniqueName="[SalesBudgetLY].[LYBudgetValue]" caption="LYBudgetValue" attribute="1" defaultMemberUniqueName="[SalesBudgetLY].[LYBudgetValue].[All]" allUniqueName="[SalesBudgetLY].[LYBudgetValue].[All]" dimensionUniqueName="[SalesBudgetLY]" displayFolder="" count="0" unbalanced="0" hidden="1"/>
    <cacheHierarchy uniqueName="[SalesBudgetLY].[MaterialKey]" caption="MaterialKey" attribute="1" defaultMemberUniqueName="[SalesBudgetLY].[MaterialKey].[All]" allUniqueName="[SalesBudgetLY].[MaterialKey].[All]" dimensionUniqueName="[SalesBudgetLY]" displayFolder="" count="0" unbalanced="0" hidden="1"/>
    <cacheHierarchy uniqueName="[SalesBudgetLY].[SalesChannelKey]" caption="SalesChannelKey" attribute="1" defaultMemberUniqueName="[SalesBudgetLY].[SalesChannelKey].[All]" allUniqueName="[SalesBudgetLY].[SalesChannelKey].[All]" dimensionUniqueName="[SalesBudgetLY]" displayFolder="" count="0" unbalanced="0" hidden="1"/>
    <cacheHierarchy uniqueName="[SalesBudgetLY].[SubDistChannelCode]" caption="SubDistChannelCode" attribute="1" defaultMemberUniqueName="[SalesBudgetLY].[SubDistChannelCode].[All]" allUniqueName="[SalesBudgetLY].[SubDistChannelCode].[All]" dimensionUniqueName="[SalesBudgetLY]" displayFolder="" count="0" unbalanced="0" hidden="1"/>
    <cacheHierarchy uniqueName="[SalesBudgetLY].[SubDistChannelKey]" caption="SubDistChannelKey" attribute="1" defaultMemberUniqueName="[SalesBudgetLY].[SubDistChannelKey].[All]" allUniqueName="[SalesBudgetLY].[SubDistChannelKey].[All]" dimensionUniqueName="[SalesBudgetLY]" displayFolder="" count="0" unbalanced="0" hidden="1"/>
    <cacheHierarchy uniqueName="[SalesBudgetLY].[TRYExcRate]" caption="TRYExcRate" attribute="1" defaultMemberUniqueName="[SalesBudgetLY].[TRYExcRate].[All]" allUniqueName="[SalesBudgetLY].[TRYExcRate].[All]" dimensionUniqueName="[SalesBudgetLY]" displayFolder="" count="0" unbalanced="0" hidden="1"/>
    <cacheHierarchy uniqueName="[SalesBudgetLY].[TYDate]" caption="TYDate" attribute="1" defaultMemberUniqueName="[SalesBudgetLY].[TYDate].[All]" allUniqueName="[SalesBudgetLY].[TYDate].[All]" dimensionUniqueName="[SalesBudgetLY]" displayFolder="" count="0" unbalanced="0" hidden="1"/>
    <cacheHierarchy uniqueName="[SalesBudgetLY].[USDExcRate]" caption="USDExcRate" attribute="1" defaultMemberUniqueName="[SalesBudgetLY].[USDExcRate].[All]" allUniqueName="[SalesBudgetLY].[USDExcRate].[All]" dimensionUniqueName="[SalesBudgetLY]" displayFolder="" count="0" unbalanced="0" hidden="1"/>
    <cacheHierarchy uniqueName="[SalesChannel].[CountryRank]" caption="CountryRank" attribute="1" defaultMemberUniqueName="[SalesChannel].[CountryRank].[All]" allUniqueName="[SalesChannel].[CountryRank].[All]" dimensionUniqueName="[SalesChannel]" displayFolder="" count="0" unbalanced="0" hidden="1"/>
    <cacheHierarchy uniqueName="[SalesChannel].[SalesOrgTypeRank]" caption="SalesOrgTypeRank" attribute="1" defaultMemberUniqueName="[SalesChannel].[SalesOrgTypeRank].[All]" allUniqueName="[SalesChannel].[SalesOrgTypeRank].[All]" dimensionUniqueName="[SalesChannel]" displayFolder="" count="0" unbalanced="0" hidden="1"/>
    <cacheHierarchy uniqueName="[SalesLY].[CurrentSalesPriceID]" caption="CurrentSalesPriceID" attribute="1" defaultMemberUniqueName="[SalesLY].[CurrentSalesPriceID].[All]" allUniqueName="[SalesLY].[CurrentSalesPriceID].[All]" dimensionUniqueName="[SalesLY]" displayFolder="" count="0" unbalanced="0" hidden="1"/>
    <cacheHierarchy uniqueName="[SalesLY].[InitialSalesPriceID]" caption="InitialSalesPriceID" attribute="1" defaultMemberUniqueName="[SalesLY].[InitialSalesPriceID].[All]" allUniqueName="[SalesLY].[InitialSalesPriceID].[All]" dimensionUniqueName="[SalesLY]" displayFolder="" count="0" unbalanced="0" hidden="1"/>
    <cacheHierarchy uniqueName="[SalesLY].[LFLFactor]" caption="LFLFactor" attribute="1" defaultMemberUniqueName="[SalesLY].[LFLFactor].[All]" allUniqueName="[SalesLY].[LFLFactor].[All]" dimensionUniqueName="[SalesLY]" displayFolder="" count="0" unbalanced="0" hidden="1"/>
    <cacheHierarchy uniqueName="[SalesLY].[LocationKey]" caption="LocationKey" attribute="1" defaultMemberUniqueName="[SalesLY].[LocationKey].[All]" allUniqueName="[SalesLY].[LocationKey].[All]" dimensionUniqueName="[SalesLY]" displayFolder="" count="0" unbalanced="0" hidden="1"/>
    <cacheHierarchy uniqueName="[SalesLY].[LYSalesCostLC]" caption="LYSalesCostLC" attribute="1" defaultMemberUniqueName="[SalesLY].[LYSalesCostLC].[All]" allUniqueName="[SalesLY].[LYSalesCostLC].[All]" dimensionUniqueName="[SalesLY]" displayFolder="" count="0" unbalanced="0" hidden="1"/>
    <cacheHierarchy uniqueName="[SalesLY].[LYSalesCostTRY]" caption="LYSalesCostTRY" attribute="1" defaultMemberUniqueName="[SalesLY].[LYSalesCostTRY].[All]" allUniqueName="[SalesLY].[LYSalesCostTRY].[All]" dimensionUniqueName="[SalesLY]" displayFolder="" count="0" unbalanced="0" hidden="1"/>
    <cacheHierarchy uniqueName="[SalesLY].[LYSalesCostUSD]" caption="LYSalesCostUSD" attribute="1" defaultMemberUniqueName="[SalesLY].[LYSalesCostUSD].[All]" allUniqueName="[SalesLY].[LYSalesCostUSD].[All]" dimensionUniqueName="[SalesLY]" displayFolder="" count="0" unbalanced="0" hidden="1"/>
    <cacheHierarchy uniqueName="[SalesLY].[LYSalesCostVATLC]" caption="LYSalesCostVATLC" attribute="1" defaultMemberUniqueName="[SalesLY].[LYSalesCostVATLC].[All]" allUniqueName="[SalesLY].[LYSalesCostVATLC].[All]" dimensionUniqueName="[SalesLY]" displayFolder="" count="0" unbalanced="0" hidden="1"/>
    <cacheHierarchy uniqueName="[SalesLY].[LYSalesCostVATTRY]" caption="LYSalesCostVATTRY" attribute="1" defaultMemberUniqueName="[SalesLY].[LYSalesCostVATTRY].[All]" allUniqueName="[SalesLY].[LYSalesCostVATTRY].[All]" dimensionUniqueName="[SalesLY]" displayFolder="" count="0" unbalanced="0" hidden="1"/>
    <cacheHierarchy uniqueName="[SalesLY].[LYSalesCostVATUSD]" caption="LYSalesCostVATUSD" attribute="1" defaultMemberUniqueName="[SalesLY].[LYSalesCostVATUSD].[All]" allUniqueName="[SalesLY].[LYSalesCostVATUSD].[All]" dimensionUniqueName="[SalesLY]" displayFolder="" count="0" unbalanced="0" hidden="1"/>
    <cacheHierarchy uniqueName="[SalesLY].[LYSalesDiscountValueLC]" caption="LYSalesDiscountValueLC" attribute="1" defaultMemberUniqueName="[SalesLY].[LYSalesDiscountValueLC].[All]" allUniqueName="[SalesLY].[LYSalesDiscountValueLC].[All]" dimensionUniqueName="[SalesLY]" displayFolder="" count="0" unbalanced="0" hidden="1"/>
    <cacheHierarchy uniqueName="[SalesLY].[LYSalesDiscountValueTRY]" caption="LYSalesDiscountValueTRY" attribute="1" defaultMemberUniqueName="[SalesLY].[LYSalesDiscountValueTRY].[All]" allUniqueName="[SalesLY].[LYSalesDiscountValueTRY].[All]" dimensionUniqueName="[SalesLY]" displayFolder="" count="0" unbalanced="0" hidden="1"/>
    <cacheHierarchy uniqueName="[SalesLY].[LYSalesDiscountValueUSD]" caption="LYSalesDiscountValueUSD" attribute="1" defaultMemberUniqueName="[SalesLY].[LYSalesDiscountValueUSD].[All]" allUniqueName="[SalesLY].[LYSalesDiscountValueUSD].[All]" dimensionUniqueName="[SalesLY]" displayFolder="" count="0" unbalanced="0" hidden="1"/>
    <cacheHierarchy uniqueName="[SalesLY].[LYSalesDiscountValueVATLC]" caption="LYSalesDiscountValueVATLC" attribute="1" defaultMemberUniqueName="[SalesLY].[LYSalesDiscountValueVATLC].[All]" allUniqueName="[SalesLY].[LYSalesDiscountValueVATLC].[All]" dimensionUniqueName="[SalesLY]" displayFolder="" count="0" unbalanced="0" hidden="1"/>
    <cacheHierarchy uniqueName="[SalesLY].[LYSalesDiscountValueVATTRY]" caption="LYSalesDiscountValueVATTRY" attribute="1" defaultMemberUniqueName="[SalesLY].[LYSalesDiscountValueVATTRY].[All]" allUniqueName="[SalesLY].[LYSalesDiscountValueVATTRY].[All]" dimensionUniqueName="[SalesLY]" displayFolder="" count="0" unbalanced="0" hidden="1"/>
    <cacheHierarchy uniqueName="[SalesLY].[LYSalesDiscountValueVATUSD]" caption="LYSalesDiscountValueVATUSD" attribute="1" defaultMemberUniqueName="[SalesLY].[LYSalesDiscountValueVATUSD].[All]" allUniqueName="[SalesLY].[LYSalesDiscountValueVATUSD].[All]" dimensionUniqueName="[SalesLY]" displayFolder="" count="0" unbalanced="0" hidden="1"/>
    <cacheHierarchy uniqueName="[SalesLY].[LYSalesGrossProfitLC]" caption="LYSalesGrossProfitLC" attribute="1" defaultMemberUniqueName="[SalesLY].[LYSalesGrossProfitLC].[All]" allUniqueName="[SalesLY].[LYSalesGrossProfitLC].[All]" dimensionUniqueName="[SalesLY]" displayFolder="" count="0" unbalanced="0" hidden="1"/>
    <cacheHierarchy uniqueName="[SalesLY].[LYSalesGrossProfitTRY]" caption="LYSalesGrossProfitTRY" attribute="1" defaultMemberUniqueName="[SalesLY].[LYSalesGrossProfitTRY].[All]" allUniqueName="[SalesLY].[LYSalesGrossProfitTRY].[All]" dimensionUniqueName="[SalesLY]" displayFolder="" count="0" unbalanced="0" hidden="1"/>
    <cacheHierarchy uniqueName="[SalesLY].[LYSalesGrossProfitUSD]" caption="LYSalesGrossProfitUSD" attribute="1" defaultMemberUniqueName="[SalesLY].[LYSalesGrossProfitUSD].[All]" allUniqueName="[SalesLY].[LYSalesGrossProfitUSD].[All]" dimensionUniqueName="[SalesLY]" displayFolder="" count="0" unbalanced="0" hidden="1"/>
    <cacheHierarchy uniqueName="[SalesLY].[LYSalesGrossProfitVATLC]" caption="LYSalesGrossProfitVATLC" attribute="1" defaultMemberUniqueName="[SalesLY].[LYSalesGrossProfitVATLC].[All]" allUniqueName="[SalesLY].[LYSalesGrossProfitVATLC].[All]" dimensionUniqueName="[SalesLY]" displayFolder="" count="0" unbalanced="0" hidden="1"/>
    <cacheHierarchy uniqueName="[SalesLY].[LYSalesGrossProfitVATTRY]" caption="LYSalesGrossProfitVATTRY" attribute="1" defaultMemberUniqueName="[SalesLY].[LYSalesGrossProfitVATTRY].[All]" allUniqueName="[SalesLY].[LYSalesGrossProfitVATTRY].[All]" dimensionUniqueName="[SalesLY]" displayFolder="" count="0" unbalanced="0" hidden="1"/>
    <cacheHierarchy uniqueName="[SalesLY].[LYSalesGrossProfitVATUSD]" caption="LYSalesGrossProfitVATUSD" attribute="1" defaultMemberUniqueName="[SalesLY].[LYSalesGrossProfitVATUSD].[All]" allUniqueName="[SalesLY].[LYSalesGrossProfitVATUSD].[All]" dimensionUniqueName="[SalesLY]" displayFolder="" count="0" unbalanced="0" hidden="1"/>
    <cacheHierarchy uniqueName="[SalesLY].[LYSalesUnit]" caption="LYSalesUnit" attribute="1" defaultMemberUniqueName="[SalesLY].[LYSalesUnit].[All]" allUniqueName="[SalesLY].[LYSalesUnit].[All]" dimensionUniqueName="[SalesLY]" displayFolder="" count="0" unbalanced="0" hidden="1"/>
    <cacheHierarchy uniqueName="[SalesLY].[LYSalesValueCSPLC]" caption="LYSalesValueCSPLC" attribute="1" defaultMemberUniqueName="[SalesLY].[LYSalesValueCSPLC].[All]" allUniqueName="[SalesLY].[LYSalesValueCSPLC].[All]" dimensionUniqueName="[SalesLY]" displayFolder="" count="0" unbalanced="0" hidden="1"/>
    <cacheHierarchy uniqueName="[SalesLY].[LYSalesValueCSPTRY]" caption="LYSalesValueCSPTRY" attribute="1" defaultMemberUniqueName="[SalesLY].[LYSalesValueCSPTRY].[All]" allUniqueName="[SalesLY].[LYSalesValueCSPTRY].[All]" dimensionUniqueName="[SalesLY]" displayFolder="" count="0" unbalanced="0" hidden="1"/>
    <cacheHierarchy uniqueName="[SalesLY].[LYSalesValueCSPUSD]" caption="LYSalesValueCSPUSD" attribute="1" defaultMemberUniqueName="[SalesLY].[LYSalesValueCSPUSD].[All]" allUniqueName="[SalesLY].[LYSalesValueCSPUSD].[All]" dimensionUniqueName="[SalesLY]" displayFolder="" count="0" unbalanced="0" hidden="1"/>
    <cacheHierarchy uniqueName="[SalesLY].[LYSalesValueISPLC]" caption="LYSalesValueISPLC" attribute="1" defaultMemberUniqueName="[SalesLY].[LYSalesValueISPLC].[All]" allUniqueName="[SalesLY].[LYSalesValueISPLC].[All]" dimensionUniqueName="[SalesLY]" displayFolder="" count="0" unbalanced="0" hidden="1"/>
    <cacheHierarchy uniqueName="[SalesLY].[LYSalesValueISPTRY]" caption="LYSalesValueISPTRY" attribute="1" defaultMemberUniqueName="[SalesLY].[LYSalesValueISPTRY].[All]" allUniqueName="[SalesLY].[LYSalesValueISPTRY].[All]" dimensionUniqueName="[SalesLY]" displayFolder="" count="0" unbalanced="0" hidden="1"/>
    <cacheHierarchy uniqueName="[SalesLY].[LYSalesValueISPUSD]" caption="LYSalesValueISPUSD" attribute="1" defaultMemberUniqueName="[SalesLY].[LYSalesValueISPUSD].[All]" allUniqueName="[SalesLY].[LYSalesValueISPUSD].[All]" dimensionUniqueName="[SalesLY]" displayFolder="" count="0" unbalanced="0" hidden="1"/>
    <cacheHierarchy uniqueName="[SalesLY].[LYSalesValueLC]" caption="LYSalesValueLC" attribute="1" defaultMemberUniqueName="[SalesLY].[LYSalesValueLC].[All]" allUniqueName="[SalesLY].[LYSalesValueLC].[All]" dimensionUniqueName="[SalesLY]" displayFolder="" count="0" unbalanced="0" hidden="1"/>
    <cacheHierarchy uniqueName="[SalesLY].[LYSalesValueTRY]" caption="LYSalesValueTRY" attribute="1" defaultMemberUniqueName="[SalesLY].[LYSalesValueTRY].[All]" allUniqueName="[SalesLY].[LYSalesValueTRY].[All]" dimensionUniqueName="[SalesLY]" displayFolder="" count="0" unbalanced="0" hidden="1"/>
    <cacheHierarchy uniqueName="[SalesLY].[LYSalesValueUSD]" caption="LYSalesValueUSD" attribute="1" defaultMemberUniqueName="[SalesLY].[LYSalesValueUSD].[All]" allUniqueName="[SalesLY].[LYSalesValueUSD].[All]" dimensionUniqueName="[SalesLY]" displayFolder="" count="0" unbalanced="0" hidden="1"/>
    <cacheHierarchy uniqueName="[SalesLY].[LYSalesValueVATCSPLC]" caption="LYSalesValueVATCSPLC" attribute="1" defaultMemberUniqueName="[SalesLY].[LYSalesValueVATCSPLC].[All]" allUniqueName="[SalesLY].[LYSalesValueVATCSPLC].[All]" dimensionUniqueName="[SalesLY]" displayFolder="" count="0" unbalanced="0" hidden="1"/>
    <cacheHierarchy uniqueName="[SalesLY].[LYSalesValueVATCSPTRY]" caption="LYSalesValueVATCSPTRY" attribute="1" defaultMemberUniqueName="[SalesLY].[LYSalesValueVATCSPTRY].[All]" allUniqueName="[SalesLY].[LYSalesValueVATCSPTRY].[All]" dimensionUniqueName="[SalesLY]" displayFolder="" count="0" unbalanced="0" hidden="1"/>
    <cacheHierarchy uniqueName="[SalesLY].[LYSalesValueVATCSPUSD]" caption="LYSalesValueVATCSPUSD" attribute="1" defaultMemberUniqueName="[SalesLY].[LYSalesValueVATCSPUSD].[All]" allUniqueName="[SalesLY].[LYSalesValueVATCSPUSD].[All]" dimensionUniqueName="[SalesLY]" displayFolder="" count="0" unbalanced="0" hidden="1"/>
    <cacheHierarchy uniqueName="[SalesLY].[LYSalesValueVATISPLC]" caption="LYSalesValueVATISPLC" attribute="1" defaultMemberUniqueName="[SalesLY].[LYSalesValueVATISPLC].[All]" allUniqueName="[SalesLY].[LYSalesValueVATISPLC].[All]" dimensionUniqueName="[SalesLY]" displayFolder="" count="0" unbalanced="0" hidden="1"/>
    <cacheHierarchy uniqueName="[SalesLY].[LYSalesValueVATISPTRY]" caption="LYSalesValueVATISPTRY" attribute="1" defaultMemberUniqueName="[SalesLY].[LYSalesValueVATISPTRY].[All]" allUniqueName="[SalesLY].[LYSalesValueVATISPTRY].[All]" dimensionUniqueName="[SalesLY]" displayFolder="" count="0" unbalanced="0" hidden="1"/>
    <cacheHierarchy uniqueName="[SalesLY].[LYSalesValueVATISPUSD]" caption="LYSalesValueVATISPUSD" attribute="1" defaultMemberUniqueName="[SalesLY].[LYSalesValueVATISPUSD].[All]" allUniqueName="[SalesLY].[LYSalesValueVATISPUSD].[All]" dimensionUniqueName="[SalesLY]" displayFolder="" count="0" unbalanced="0" hidden="1"/>
    <cacheHierarchy uniqueName="[SalesLY].[LYSalesValueVATLC]" caption="LYSalesValueVATLC" attribute="1" defaultMemberUniqueName="[SalesLY].[LYSalesValueVATLC].[All]" allUniqueName="[SalesLY].[LYSalesValueVATLC].[All]" dimensionUniqueName="[SalesLY]" displayFolder="" count="0" unbalanced="0" hidden="1"/>
    <cacheHierarchy uniqueName="[SalesLY].[LYSalesValueVATTRY]" caption="LYSalesValueVATTRY" attribute="1" defaultMemberUniqueName="[SalesLY].[LYSalesValueVATTRY].[All]" allUniqueName="[SalesLY].[LYSalesValueVATTRY].[All]" dimensionUniqueName="[SalesLY]" displayFolder="" count="0" unbalanced="0" hidden="1"/>
    <cacheHierarchy uniqueName="[SalesLY].[LYSalesValueVATUSD]" caption="LYSalesValueVATUSD" attribute="1" defaultMemberUniqueName="[SalesLY].[LYSalesValueVATUSD].[All]" allUniqueName="[SalesLY].[LYSalesValueVATUSD].[All]" dimensionUniqueName="[SalesLY]" displayFolder="" count="0" unbalanced="0" hidden="1"/>
    <cacheHierarchy uniqueName="[SalesLY].[MaterialKey]" caption="MaterialKey" attribute="1" defaultMemberUniqueName="[SalesLY].[MaterialKey].[All]" allUniqueName="[SalesLY].[MaterialKey].[All]" dimensionUniqueName="[SalesLY]" displayFolder="" count="0" unbalanced="0" hidden="1"/>
    <cacheHierarchy uniqueName="[SalesLY].[OutletID]" caption="OutletID" attribute="1" defaultMemberUniqueName="[SalesLY].[OutletID].[All]" allUniqueName="[SalesLY].[OutletID].[All]" dimensionUniqueName="[SalesLY]" displayFolder="" count="0" unbalanced="0" hidden="1"/>
    <cacheHierarchy uniqueName="[SalesLY].[SalesChannelKey]" caption="SalesChannelKey" attribute="1" defaultMemberUniqueName="[SalesLY].[SalesChannelKey].[All]" allUniqueName="[SalesLY].[SalesChannelKey].[All]" dimensionUniqueName="[SalesLY]" displayFolder="" count="0" unbalanced="0" hidden="1"/>
    <cacheHierarchy uniqueName="[SalesLY].[SalesHour]" caption="SalesHour" attribute="1" defaultMemberUniqueName="[SalesLY].[SalesHour].[All]" allUniqueName="[SalesLY].[SalesHour].[All]" dimensionUniqueName="[SalesLY]" displayFolder="" count="0" unbalanced="0" hidden="1"/>
    <cacheHierarchy uniqueName="[SalesLY].[SalesInvoiceItem]" caption="SalesInvoiceItem" attribute="1" defaultMemberUniqueName="[SalesLY].[SalesInvoiceItem].[All]" allUniqueName="[SalesLY].[SalesInvoiceItem].[All]" dimensionUniqueName="[SalesLY]" displayFolder="" count="0" unbalanced="0" hidden="1"/>
    <cacheHierarchy uniqueName="[SalesLY].[SalesInvoiceNumber]" caption="SalesInvoiceNumber" attribute="1" defaultMemberUniqueName="[SalesLY].[SalesInvoiceNumber].[All]" allUniqueName="[SalesLY].[SalesInvoiceNumber].[All]" dimensionUniqueName="[SalesLY]" displayFolder="" count="0" unbalanced="0" hidden="1"/>
    <cacheHierarchy uniqueName="[SalesLY].[SalesSeasonID]" caption="SalesSeasonID" attribute="1" defaultMemberUniqueName="[SalesLY].[SalesSeasonID].[All]" allUniqueName="[SalesLY].[SalesSeasonID].[All]" dimensionUniqueName="[SalesLY]" displayFolder="" count="0" unbalanced="0" hidden="1"/>
    <cacheHierarchy uniqueName="[SalesLY].[SalesType]" caption="SalesType" attribute="1" defaultMemberUniqueName="[SalesLY].[SalesType].[All]" allUniqueName="[SalesLY].[SalesType].[All]" dimensionUniqueName="[SalesLY]" displayFolder="" count="0" unbalanced="0" hidden="1"/>
    <cacheHierarchy uniqueName="[SalesLY].[SalesUOM]" caption="SalesUOM" attribute="1" defaultMemberUniqueName="[SalesLY].[SalesUOM].[All]" allUniqueName="[SalesLY].[SalesUOM].[All]" dimensionUniqueName="[SalesLY]" displayFolder="" count="0" unbalanced="0" hidden="1"/>
    <cacheHierarchy uniqueName="[SalesLY].[SubDistChannelKey]" caption="SubDistChannelKey" attribute="1" defaultMemberUniqueName="[SalesLY].[SubDistChannelKey].[All]" allUniqueName="[SalesLY].[SubDistChannelKey].[All]" dimensionUniqueName="[SalesLY]" displayFolder="" count="0" unbalanced="0" hidden="1"/>
    <cacheHierarchy uniqueName="[SalesLY].[TYDate]" caption="TYDate" attribute="1" defaultMemberUniqueName="[SalesLY].[TYDate].[All]" allUniqueName="[SalesLY].[TYDate].[All]" dimensionUniqueName="[SalesLY]" displayFolder="" count="0" unbalanced="0" hidden="1"/>
    <cacheHierarchy uniqueName="[SalesTY].[CurrentSalesPriceID]" caption="CurrentSalesPriceID" attribute="1" defaultMemberUniqueName="[SalesTY].[CurrentSalesPriceID].[All]" allUniqueName="[SalesTY].[CurrentSalesPriceID].[All]" dimensionUniqueName="[SalesTY]" displayFolder="" count="0" unbalanced="0" hidden="1"/>
    <cacheHierarchy uniqueName="[SalesTY].[CustomerCode]" caption="CustomerCode" attribute="1" defaultMemberUniqueName="[SalesTY].[CustomerCode].[All]" allUniqueName="[SalesTY].[CustomerCode].[All]" dimensionUniqueName="[SalesTY]" displayFolder="" count="0" unbalanced="0" hidden="1"/>
    <cacheHierarchy uniqueName="[SalesTY].[InitialSalesPriceID]" caption="InitialSalesPriceID" attribute="1" defaultMemberUniqueName="[SalesTY].[InitialSalesPriceID].[All]" allUniqueName="[SalesTY].[InitialSalesPriceID].[All]" dimensionUniqueName="[SalesTY]" displayFolder="" count="0" unbalanced="0" hidden="1"/>
    <cacheHierarchy uniqueName="[SalesTY].[LFLFactor]" caption="LFLFactor" attribute="1" defaultMemberUniqueName="[SalesTY].[LFLFactor].[All]" allUniqueName="[SalesTY].[LFLFactor].[All]" dimensionUniqueName="[SalesTY]" displayFolder="" count="0" unbalanced="0" hidden="1"/>
    <cacheHierarchy uniqueName="[SalesTY].[LocationKey]" caption="LocationKey" attribute="1" defaultMemberUniqueName="[SalesTY].[LocationKey].[All]" allUniqueName="[SalesTY].[LocationKey].[All]" dimensionUniqueName="[SalesTY]" displayFolder="" count="0" unbalanced="0" hidden="1"/>
    <cacheHierarchy uniqueName="[SalesTY].[MaterialKey]" caption="MaterialKey" attribute="1" defaultMemberUniqueName="[SalesTY].[MaterialKey].[All]" allUniqueName="[SalesTY].[MaterialKey].[All]" dimensionUniqueName="[SalesTY]" displayFolder="" count="0" unbalanced="0" hidden="1"/>
    <cacheHierarchy uniqueName="[SalesTY].[OutletID]" caption="OutletID" attribute="1" defaultMemberUniqueName="[SalesTY].[OutletID].[All]" allUniqueName="[SalesTY].[OutletID].[All]" dimensionUniqueName="[SalesTY]" displayFolder="" count="0" unbalanced="0" hidden="1"/>
    <cacheHierarchy uniqueName="[SalesTY].[SalesChannelKey]" caption="SalesChannelKey" attribute="1" defaultMemberUniqueName="[SalesTY].[SalesChannelKey].[All]" allUniqueName="[SalesTY].[SalesChannelKey].[All]" dimensionUniqueName="[SalesTY]" displayFolder="" count="0" unbalanced="0" hidden="1"/>
    <cacheHierarchy uniqueName="[SalesTY].[SalesDate]" caption="SalesDate" attribute="1" defaultMemberUniqueName="[SalesTY].[SalesDate].[All]" allUniqueName="[SalesTY].[SalesDate].[All]" dimensionUniqueName="[SalesTY]" displayFolder="" count="0" unbalanced="0" hidden="1"/>
    <cacheHierarchy uniqueName="[SalesTY].[SalesHour]" caption="SalesHour" attribute="1" defaultMemberUniqueName="[SalesTY].[SalesHour].[All]" allUniqueName="[SalesTY].[SalesHour].[All]" dimensionUniqueName="[SalesTY]" displayFolder="" count="0" unbalanced="0" hidden="1"/>
    <cacheHierarchy uniqueName="[SalesTY].[SalesInvoiceItem]" caption="SalesInvoiceItem" attribute="1" defaultMemberUniqueName="[SalesTY].[SalesInvoiceItem].[All]" allUniqueName="[SalesTY].[SalesInvoiceItem].[All]" dimensionUniqueName="[SalesTY]" displayFolder="" count="0" unbalanced="0" hidden="1"/>
    <cacheHierarchy uniqueName="[SalesTY].[SalesInvoiceNumber]" caption="SalesInvoiceNumber" attribute="1" defaultMemberUniqueName="[SalesTY].[SalesInvoiceNumber].[All]" allUniqueName="[SalesTY].[SalesInvoiceNumber].[All]" dimensionUniqueName="[SalesTY]" displayFolder="" count="0" unbalanced="0" hidden="1"/>
    <cacheHierarchy uniqueName="[SalesTY].[SalesSeasonID]" caption="SalesSeasonID" attribute="1" defaultMemberUniqueName="[SalesTY].[SalesSeasonID].[All]" allUniqueName="[SalesTY].[SalesSeasonID].[All]" dimensionUniqueName="[SalesTY]" displayFolder="" count="0" unbalanced="0" hidden="1"/>
    <cacheHierarchy uniqueName="[SalesTY].[SalesType]" caption="SalesType" attribute="1" defaultMemberUniqueName="[SalesTY].[SalesType].[All]" allUniqueName="[SalesTY].[SalesType].[All]" dimensionUniqueName="[SalesTY]" displayFolder="" count="0" unbalanced="0" hidden="1"/>
    <cacheHierarchy uniqueName="[SalesTY].[SalesUOM]" caption="SalesUOM" attribute="1" defaultMemberUniqueName="[SalesTY].[SalesUOM].[All]" allUniqueName="[SalesTY].[SalesUOM].[All]" dimensionUniqueName="[SalesTY]" displayFolder="" count="0" unbalanced="0" hidden="1"/>
    <cacheHierarchy uniqueName="[SalesTY].[SubDistChannelKey]" caption="SubDistChannelKey" attribute="1" defaultMemberUniqueName="[SalesTY].[SubDistChannelKey].[All]" allUniqueName="[SalesTY].[SubDistChannelKey].[All]" dimensionUniqueName="[SalesTY]" displayFolder="" count="0" unbalanced="0" hidden="1"/>
    <cacheHierarchy uniqueName="[SalesTY].[TYSalesCostLC]" caption="TYSalesCostLC" attribute="1" defaultMemberUniqueName="[SalesTY].[TYSalesCostLC].[All]" allUniqueName="[SalesTY].[TYSalesCostLC].[All]" dimensionUniqueName="[SalesTY]" displayFolder="" count="0" unbalanced="0" hidden="1"/>
    <cacheHierarchy uniqueName="[SalesTY].[TYSalesCostLC_Orj]" caption="TYSalesCostLC_Orj" attribute="1" defaultMemberUniqueName="[SalesTY].[TYSalesCostLC_Orj].[All]" allUniqueName="[SalesTY].[TYSalesCostLC_Orj].[All]" dimensionUniqueName="[SalesTY]" displayFolder="" count="0" unbalanced="0" hidden="1"/>
    <cacheHierarchy uniqueName="[SalesTY].[TYSalesCostTRY]" caption="TYSalesCostTRY" attribute="1" defaultMemberUniqueName="[SalesTY].[TYSalesCostTRY].[All]" allUniqueName="[SalesTY].[TYSalesCostTRY].[All]" dimensionUniqueName="[SalesTY]" displayFolder="" count="0" unbalanced="0" hidden="1"/>
    <cacheHierarchy uniqueName="[SalesTY].[TYSalesCostUSD]" caption="TYSalesCostUSD" attribute="1" defaultMemberUniqueName="[SalesTY].[TYSalesCostUSD].[All]" allUniqueName="[SalesTY].[TYSalesCostUSD].[All]" dimensionUniqueName="[SalesTY]" displayFolder="" count="0" unbalanced="0" hidden="1"/>
    <cacheHierarchy uniqueName="[SalesTY].[TYSalesCostVATLC]" caption="TYSalesCostVATLC" attribute="1" defaultMemberUniqueName="[SalesTY].[TYSalesCostVATLC].[All]" allUniqueName="[SalesTY].[TYSalesCostVATLC].[All]" dimensionUniqueName="[SalesTY]" displayFolder="" count="0" unbalanced="0" hidden="1"/>
    <cacheHierarchy uniqueName="[SalesTY].[TYSalesCostVATTRY]" caption="TYSalesCostVATTRY" attribute="1" defaultMemberUniqueName="[SalesTY].[TYSalesCostVATTRY].[All]" allUniqueName="[SalesTY].[TYSalesCostVATTRY].[All]" dimensionUniqueName="[SalesTY]" displayFolder="" count="0" unbalanced="0" hidden="1"/>
    <cacheHierarchy uniqueName="[SalesTY].[TYSalesCostVATUSD]" caption="TYSalesCostVATUSD" attribute="1" defaultMemberUniqueName="[SalesTY].[TYSalesCostVATUSD].[All]" allUniqueName="[SalesTY].[TYSalesCostVATUSD].[All]" dimensionUniqueName="[SalesTY]" displayFolder="" count="0" unbalanced="0" hidden="1"/>
    <cacheHierarchy uniqueName="[SalesTY].[TYSalesDiscountValueLC]" caption="TYSalesDiscountValueLC" attribute="1" defaultMemberUniqueName="[SalesTY].[TYSalesDiscountValueLC].[All]" allUniqueName="[SalesTY].[TYSalesDiscountValueLC].[All]" dimensionUniqueName="[SalesTY]" displayFolder="" count="0" unbalanced="0" hidden="1"/>
    <cacheHierarchy uniqueName="[SalesTY].[TYSalesDiscountValueTRY]" caption="TYSalesDiscountValueTRY" attribute="1" defaultMemberUniqueName="[SalesTY].[TYSalesDiscountValueTRY].[All]" allUniqueName="[SalesTY].[TYSalesDiscountValueTRY].[All]" dimensionUniqueName="[SalesTY]" displayFolder="" count="0" unbalanced="0" hidden="1"/>
    <cacheHierarchy uniqueName="[SalesTY].[TYSalesDiscountValueUSD]" caption="TYSalesDiscountValueUSD" attribute="1" defaultMemberUniqueName="[SalesTY].[TYSalesDiscountValueUSD].[All]" allUniqueName="[SalesTY].[TYSalesDiscountValueUSD].[All]" dimensionUniqueName="[SalesTY]" displayFolder="" count="0" unbalanced="0" hidden="1"/>
    <cacheHierarchy uniqueName="[SalesTY].[TYSalesDiscountValueVATLC]" caption="TYSalesDiscountValueVATLC" attribute="1" defaultMemberUniqueName="[SalesTY].[TYSalesDiscountValueVATLC].[All]" allUniqueName="[SalesTY].[TYSalesDiscountValueVATLC].[All]" dimensionUniqueName="[SalesTY]" displayFolder="" count="0" unbalanced="0" hidden="1"/>
    <cacheHierarchy uniqueName="[SalesTY].[TYSalesDiscountValueVATTRY]" caption="TYSalesDiscountValueVATTRY" attribute="1" defaultMemberUniqueName="[SalesTY].[TYSalesDiscountValueVATTRY].[All]" allUniqueName="[SalesTY].[TYSalesDiscountValueVATTRY].[All]" dimensionUniqueName="[SalesTY]" displayFolder="" count="0" unbalanced="0" hidden="1"/>
    <cacheHierarchy uniqueName="[SalesTY].[TYSalesDiscountValueVATUSD]" caption="TYSalesDiscountValueVATUSD" attribute="1" defaultMemberUniqueName="[SalesTY].[TYSalesDiscountValueVATUSD].[All]" allUniqueName="[SalesTY].[TYSalesDiscountValueVATUSD].[All]" dimensionUniqueName="[SalesTY]" displayFolder="" count="0" unbalanced="0" hidden="1"/>
    <cacheHierarchy uniqueName="[SalesTY].[TYSalesGrossProfitLC]" caption="TYSalesGrossProfitLC" attribute="1" defaultMemberUniqueName="[SalesTY].[TYSalesGrossProfitLC].[All]" allUniqueName="[SalesTY].[TYSalesGrossProfitLC].[All]" dimensionUniqueName="[SalesTY]" displayFolder="" count="0" unbalanced="0" hidden="1"/>
    <cacheHierarchy uniqueName="[SalesTY].[TYSalesGrossProfitTRY]" caption="TYSalesGrossProfitTRY" attribute="1" defaultMemberUniqueName="[SalesTY].[TYSalesGrossProfitTRY].[All]" allUniqueName="[SalesTY].[TYSalesGrossProfitTRY].[All]" dimensionUniqueName="[SalesTY]" displayFolder="" count="0" unbalanced="0" hidden="1"/>
    <cacheHierarchy uniqueName="[SalesTY].[TYSalesGrossProfitUSD]" caption="TYSalesGrossProfitUSD" attribute="1" defaultMemberUniqueName="[SalesTY].[TYSalesGrossProfitUSD].[All]" allUniqueName="[SalesTY].[TYSalesGrossProfitUSD].[All]" dimensionUniqueName="[SalesTY]" displayFolder="" count="0" unbalanced="0" hidden="1"/>
    <cacheHierarchy uniqueName="[SalesTY].[TYSalesGrossProfitVATLC]" caption="TYSalesGrossProfitVATLC" attribute="1" defaultMemberUniqueName="[SalesTY].[TYSalesGrossProfitVATLC].[All]" allUniqueName="[SalesTY].[TYSalesGrossProfitVATLC].[All]" dimensionUniqueName="[SalesTY]" displayFolder="" count="0" unbalanced="0" hidden="1"/>
    <cacheHierarchy uniqueName="[SalesTY].[TYSalesGrossProfitVATTRY]" caption="TYSalesGrossProfitVATTRY" attribute="1" defaultMemberUniqueName="[SalesTY].[TYSalesGrossProfitVATTRY].[All]" allUniqueName="[SalesTY].[TYSalesGrossProfitVATTRY].[All]" dimensionUniqueName="[SalesTY]" displayFolder="" count="0" unbalanced="0" hidden="1"/>
    <cacheHierarchy uniqueName="[SalesTY].[TYSalesGrossProfitVATUSD]" caption="TYSalesGrossProfitVATUSD" attribute="1" defaultMemberUniqueName="[SalesTY].[TYSalesGrossProfitVATUSD].[All]" allUniqueName="[SalesTY].[TYSalesGrossProfitVATUSD].[All]" dimensionUniqueName="[SalesTY]" displayFolder="" count="0" unbalanced="0" hidden="1"/>
    <cacheHierarchy uniqueName="[SalesTY].[TYSalesUnit]" caption="TYSalesUnit" attribute="1" defaultMemberUniqueName="[SalesTY].[TYSalesUnit].[All]" allUniqueName="[SalesTY].[TYSalesUnit].[All]" dimensionUniqueName="[SalesTY]" displayFolder="" count="0" unbalanced="0" hidden="1"/>
    <cacheHierarchy uniqueName="[SalesTY].[TYSalesValueCSPLC]" caption="TYSalesValueCSPLC" attribute="1" defaultMemberUniqueName="[SalesTY].[TYSalesValueCSPLC].[All]" allUniqueName="[SalesTY].[TYSalesValueCSPLC].[All]" dimensionUniqueName="[SalesTY]" displayFolder="" count="0" unbalanced="0" hidden="1"/>
    <cacheHierarchy uniqueName="[SalesTY].[TYSalesValueCSPTRY]" caption="TYSalesValueCSPTRY" attribute="1" defaultMemberUniqueName="[SalesTY].[TYSalesValueCSPTRY].[All]" allUniqueName="[SalesTY].[TYSalesValueCSPTRY].[All]" dimensionUniqueName="[SalesTY]" displayFolder="" count="0" unbalanced="0" hidden="1"/>
    <cacheHierarchy uniqueName="[SalesTY].[TYSalesValueCSPUSD]" caption="TYSalesValueCSPUSD" attribute="1" defaultMemberUniqueName="[SalesTY].[TYSalesValueCSPUSD].[All]" allUniqueName="[SalesTY].[TYSalesValueCSPUSD].[All]" dimensionUniqueName="[SalesTY]" displayFolder="" count="0" unbalanced="0" hidden="1"/>
    <cacheHierarchy uniqueName="[SalesTY].[TYSalesValueISPLC]" caption="TYSalesValueISPLC" attribute="1" defaultMemberUniqueName="[SalesTY].[TYSalesValueISPLC].[All]" allUniqueName="[SalesTY].[TYSalesValueISPLC].[All]" dimensionUniqueName="[SalesTY]" displayFolder="" count="0" unbalanced="0" hidden="1"/>
    <cacheHierarchy uniqueName="[SalesTY].[TYSalesValueISPTRY]" caption="TYSalesValueISPTRY" attribute="1" defaultMemberUniqueName="[SalesTY].[TYSalesValueISPTRY].[All]" allUniqueName="[SalesTY].[TYSalesValueISPTRY].[All]" dimensionUniqueName="[SalesTY]" displayFolder="" count="0" unbalanced="0" hidden="1"/>
    <cacheHierarchy uniqueName="[SalesTY].[TYSalesValueISPUSD]" caption="TYSalesValueISPUSD" attribute="1" defaultMemberUniqueName="[SalesTY].[TYSalesValueISPUSD].[All]" allUniqueName="[SalesTY].[TYSalesValueISPUSD].[All]" dimensionUniqueName="[SalesTY]" displayFolder="" count="0" unbalanced="0" hidden="1"/>
    <cacheHierarchy uniqueName="[SalesTY].[TYSalesValueLC]" caption="TYSalesValueLC" attribute="1" defaultMemberUniqueName="[SalesTY].[TYSalesValueLC].[All]" allUniqueName="[SalesTY].[TYSalesValueLC].[All]" dimensionUniqueName="[SalesTY]" displayFolder="" count="0" unbalanced="0" hidden="1"/>
    <cacheHierarchy uniqueName="[SalesTY].[TYSalesValueTRY]" caption="TYSalesValueTRY" attribute="1" defaultMemberUniqueName="[SalesTY].[TYSalesValueTRY].[All]" allUniqueName="[SalesTY].[TYSalesValueTRY].[All]" dimensionUniqueName="[SalesTY]" displayFolder="" count="0" unbalanced="0" hidden="1"/>
    <cacheHierarchy uniqueName="[SalesTY].[TYSalesValueUSD]" caption="TYSalesValueUSD" attribute="1" defaultMemberUniqueName="[SalesTY].[TYSalesValueUSD].[All]" allUniqueName="[SalesTY].[TYSalesValueUSD].[All]" dimensionUniqueName="[SalesTY]" displayFolder="" count="0" unbalanced="0" hidden="1"/>
    <cacheHierarchy uniqueName="[SalesTY].[TYSalesValueVATCSPLC]" caption="TYSalesValueVATCSPLC" attribute="1" defaultMemberUniqueName="[SalesTY].[TYSalesValueVATCSPLC].[All]" allUniqueName="[SalesTY].[TYSalesValueVATCSPLC].[All]" dimensionUniqueName="[SalesTY]" displayFolder="" count="0" unbalanced="0" hidden="1"/>
    <cacheHierarchy uniqueName="[SalesTY].[TYSalesValueVATCSPTRY]" caption="TYSalesValueVATCSPTRY" attribute="1" defaultMemberUniqueName="[SalesTY].[TYSalesValueVATCSPTRY].[All]" allUniqueName="[SalesTY].[TYSalesValueVATCSPTRY].[All]" dimensionUniqueName="[SalesTY]" displayFolder="" count="0" unbalanced="0" hidden="1"/>
    <cacheHierarchy uniqueName="[SalesTY].[TYSalesValueVATCSPUSD]" caption="TYSalesValueVATCSPUSD" attribute="1" defaultMemberUniqueName="[SalesTY].[TYSalesValueVATCSPUSD].[All]" allUniqueName="[SalesTY].[TYSalesValueVATCSPUSD].[All]" dimensionUniqueName="[SalesTY]" displayFolder="" count="0" unbalanced="0" hidden="1"/>
    <cacheHierarchy uniqueName="[SalesTY].[TYSalesValueVATISPLC]" caption="TYSalesValueVATISPLC" attribute="1" defaultMemberUniqueName="[SalesTY].[TYSalesValueVATISPLC].[All]" allUniqueName="[SalesTY].[TYSalesValueVATISPLC].[All]" dimensionUniqueName="[SalesTY]" displayFolder="" count="0" unbalanced="0" hidden="1"/>
    <cacheHierarchy uniqueName="[SalesTY].[TYSalesValueVATISPTRY]" caption="TYSalesValueVATISPTRY" attribute="1" defaultMemberUniqueName="[SalesTY].[TYSalesValueVATISPTRY].[All]" allUniqueName="[SalesTY].[TYSalesValueVATISPTRY].[All]" dimensionUniqueName="[SalesTY]" displayFolder="" count="0" unbalanced="0" hidden="1"/>
    <cacheHierarchy uniqueName="[SalesTY].[TYSalesValueVATISPUSD]" caption="TYSalesValueVATISPUSD" attribute="1" defaultMemberUniqueName="[SalesTY].[TYSalesValueVATISPUSD].[All]" allUniqueName="[SalesTY].[TYSalesValueVATISPUSD].[All]" dimensionUniqueName="[SalesTY]" displayFolder="" count="0" unbalanced="0" hidden="1"/>
    <cacheHierarchy uniqueName="[SalesTY].[TYSalesValueVATLC]" caption="TYSalesValueVATLC" attribute="1" defaultMemberUniqueName="[SalesTY].[TYSalesValueVATLC].[All]" allUniqueName="[SalesTY].[TYSalesValueVATLC].[All]" dimensionUniqueName="[SalesTY]" displayFolder="" count="0" unbalanced="0" hidden="1"/>
    <cacheHierarchy uniqueName="[SalesTY].[TYSalesValueVATTRY]" caption="TYSalesValueVATTRY" attribute="1" defaultMemberUniqueName="[SalesTY].[TYSalesValueVATTRY].[All]" allUniqueName="[SalesTY].[TYSalesValueVATTRY].[All]" dimensionUniqueName="[SalesTY]" displayFolder="" count="0" unbalanced="0" hidden="1"/>
    <cacheHierarchy uniqueName="[SalesTY].[TYSalesValueVATUSD]" caption="TYSalesValueVATUSD" attribute="1" defaultMemberUniqueName="[SalesTY].[TYSalesValueVATUSD].[All]" allUniqueName="[SalesTY].[TYSalesValueVATUSD].[All]" dimensionUniqueName="[SalesTY]" displayFolder="" count="0" unbalanced="0" hidden="1"/>
    <cacheHierarchy uniqueName="[StockDC].[CompanyUnitCost]" caption="CompanyUnitCost" attribute="1" defaultMemberUniqueName="[StockDC].[CompanyUnitCost].[All]" allUniqueName="[StockDC].[CompanyUnitCost].[All]" dimensionUniqueName="[StockDC]" displayFolder="" count="0" unbalanced="0" hidden="1"/>
    <cacheHierarchy uniqueName="[StockDC].[EURExcRate]" caption="EURExcRate" attribute="1" defaultMemberUniqueName="[StockDC].[EURExcRate].[All]" allUniqueName="[StockDC].[EURExcRate].[All]" dimensionUniqueName="[StockDC]" displayFolder="" count="0" unbalanced="0" hidden="1"/>
    <cacheHierarchy uniqueName="[StockDC].[InitialSalesPriceID]" caption="InitialSalesPriceID" attribute="1" defaultMemberUniqueName="[StockDC].[InitialSalesPriceID].[All]" allUniqueName="[StockDC].[InitialSalesPriceID].[All]" dimensionUniqueName="[StockDC]" displayFolder="" count="0" unbalanced="0" hidden="1"/>
    <cacheHierarchy uniqueName="[StockDC].[LCExcRate]" caption="LCExcRate" attribute="1" defaultMemberUniqueName="[StockDC].[LCExcRate].[All]" allUniqueName="[StockDC].[LCExcRate].[All]" dimensionUniqueName="[StockDC]" displayFolder="" count="0" unbalanced="0" hidden="1"/>
    <cacheHierarchy uniqueName="[StockDC].[LFLFactor]" caption="LFLFactor" attribute="1" defaultMemberUniqueName="[StockDC].[LFLFactor].[All]" allUniqueName="[StockDC].[LFLFactor].[All]" dimensionUniqueName="[StockDC]" displayFolder="" count="0" unbalanced="0" hidden="1"/>
    <cacheHierarchy uniqueName="[StockDC].[MaterialKey]" caption="MaterialKey" attribute="1" defaultMemberUniqueName="[StockDC].[MaterialKey].[All]" allUniqueName="[StockDC].[MaterialKey].[All]" dimensionUniqueName="[StockDC]" displayFolder="" count="0" unbalanced="0" hidden="1"/>
    <cacheHierarchy uniqueName="[StockDC].[OutletID]" caption="OutletID" attribute="1" defaultMemberUniqueName="[StockDC].[OutletID].[All]" allUniqueName="[StockDC].[OutletID].[All]" dimensionUniqueName="[StockDC]" displayFolder="" count="0" unbalanced="0" hidden="1"/>
    <cacheHierarchy uniqueName="[StockDC].[SalesChannelKey]" caption="SalesChannelKey" attribute="1" defaultMemberUniqueName="[StockDC].[SalesChannelKey].[All]" allUniqueName="[StockDC].[SalesChannelKey].[All]" dimensionUniqueName="[StockDC]" displayFolder="" count="0" unbalanced="0" hidden="1"/>
    <cacheHierarchy uniqueName="[StockDC].[SalesSeasonID]" caption="SalesSeasonID" attribute="1" defaultMemberUniqueName="[StockDC].[SalesSeasonID].[All]" allUniqueName="[StockDC].[SalesSeasonID].[All]" dimensionUniqueName="[StockDC]" displayFolder="" count="0" unbalanced="0" hidden="1"/>
    <cacheHierarchy uniqueName="[StockDC].[StockDate]" caption="StockDate" attribute="1" defaultMemberUniqueName="[StockDC].[StockDate].[All]" allUniqueName="[StockDC].[StockDate].[All]" dimensionUniqueName="[StockDC]" displayFolder="" count="0" unbalanced="0" hidden="1"/>
    <cacheHierarchy uniqueName="[StockDC].[StockUnit]" caption="StockUnit" attribute="1" defaultMemberUniqueName="[StockDC].[StockUnit].[All]" allUniqueName="[StockDC].[StockUnit].[All]" dimensionUniqueName="[StockDC]" displayFolder="" count="0" unbalanced="0" hidden="1"/>
    <cacheHierarchy uniqueName="[StockDC].[SubLocationKey]" caption="SubLocationKey" attribute="1" defaultMemberUniqueName="[StockDC].[SubLocationKey].[All]" allUniqueName="[StockDC].[SubLocationKey].[All]" dimensionUniqueName="[StockDC]" displayFolder="" count="0" unbalanced="0" hidden="1"/>
    <cacheHierarchy uniqueName="[StockDC].[TransitStockUnit]" caption="TransitStockUnit" attribute="1" defaultMemberUniqueName="[StockDC].[TransitStockUnit].[All]" allUniqueName="[StockDC].[TransitStockUnit].[All]" dimensionUniqueName="[StockDC]" displayFolder="" count="0" unbalanced="0" hidden="1"/>
    <cacheHierarchy uniqueName="[StockDC].[TRYExcRate]" caption="TRYExcRate" attribute="1" defaultMemberUniqueName="[StockDC].[TRYExcRate].[All]" allUniqueName="[StockDC].[TRYExcRate].[All]" dimensionUniqueName="[StockDC]" displayFolder="" count="0" unbalanced="0" hidden="1"/>
    <cacheHierarchy uniqueName="[StockDC].[UnitCost]" caption="UnitCost" attribute="1" defaultMemberUniqueName="[StockDC].[UnitCost].[All]" allUniqueName="[StockDC].[UnitCost].[All]" dimensionUniqueName="[StockDC]" displayFolder="" count="0" unbalanced="0" hidden="1"/>
    <cacheHierarchy uniqueName="[StockDC].[USDExcRate]" caption="USDExcRate" attribute="1" defaultMemberUniqueName="[StockDC].[USDExcRate].[All]" allUniqueName="[StockDC].[USDExcRate].[All]" dimensionUniqueName="[StockDC]" displayFolder="" count="0" unbalanced="0" hidden="1"/>
    <cacheHierarchy uniqueName="[StockDCLY].[CompanyUnitCost]" caption="CompanyUnitCost" attribute="1" defaultMemberUniqueName="[StockDCLY].[CompanyUnitCost].[All]" allUniqueName="[StockDCLY].[CompanyUnitCost].[All]" dimensionUniqueName="[StockDCLY]" displayFolder="" count="0" unbalanced="0" hidden="1"/>
    <cacheHierarchy uniqueName="[StockDCLY].[InitialSalesPriceID]" caption="InitialSalesPriceID" attribute="1" defaultMemberUniqueName="[StockDCLY].[InitialSalesPriceID].[All]" allUniqueName="[StockDCLY].[InitialSalesPriceID].[All]" dimensionUniqueName="[StockDCLY]" displayFolder="" count="0" unbalanced="0" hidden="1"/>
    <cacheHierarchy uniqueName="[StockDCLY].[MaterialKey]" caption="MaterialKey" attribute="1" defaultMemberUniqueName="[StockDCLY].[MaterialKey].[All]" allUniqueName="[StockDCLY].[MaterialKey].[All]" dimensionUniqueName="[StockDCLY]" displayFolder="" count="0" unbalanced="0" hidden="1"/>
    <cacheHierarchy uniqueName="[StockDCLY].[OutletID]" caption="OutletID" attribute="1" defaultMemberUniqueName="[StockDCLY].[OutletID].[All]" allUniqueName="[StockDCLY].[OutletID].[All]" dimensionUniqueName="[StockDCLY]" displayFolder="" count="0" unbalanced="0" hidden="1"/>
    <cacheHierarchy uniqueName="[StockDCLY].[SalesChannelKey]" caption="SalesChannelKey" attribute="1" defaultMemberUniqueName="[StockDCLY].[SalesChannelKey].[All]" allUniqueName="[StockDCLY].[SalesChannelKey].[All]" dimensionUniqueName="[StockDCLY]" displayFolder="" count="0" unbalanced="0" hidden="1"/>
    <cacheHierarchy uniqueName="[StockDCLY].[SalesSeasonID]" caption="SalesSeasonID" attribute="1" defaultMemberUniqueName="[StockDCLY].[SalesSeasonID].[All]" allUniqueName="[StockDCLY].[SalesSeasonID].[All]" dimensionUniqueName="[StockDCLY]" displayFolder="" count="0" unbalanced="0" hidden="1"/>
    <cacheHierarchy uniqueName="[StockDCLY].[StockUnit]" caption="StockUnit" attribute="1" defaultMemberUniqueName="[StockDCLY].[StockUnit].[All]" allUniqueName="[StockDCLY].[StockUnit].[All]" dimensionUniqueName="[StockDCLY]" displayFolder="" count="0" unbalanced="0" hidden="1"/>
    <cacheHierarchy uniqueName="[StockDCLY].[SubLocationKey]" caption="SubLocationKey" attribute="1" defaultMemberUniqueName="[StockDCLY].[SubLocationKey].[All]" allUniqueName="[StockDCLY].[SubLocationKey].[All]" dimensionUniqueName="[StockDCLY]" displayFolder="" count="0" unbalanced="0" hidden="1"/>
    <cacheHierarchy uniqueName="[StockDCLY].[TRYExcRate]" caption="TRYExcRate" attribute="1" defaultMemberUniqueName="[StockDCLY].[TRYExcRate].[All]" allUniqueName="[StockDCLY].[TRYExcRate].[All]" dimensionUniqueName="[StockDCLY]" displayFolder="" count="0" unbalanced="0" hidden="1"/>
    <cacheHierarchy uniqueName="[StockDCLY].[TYDate]" caption="TYDate" attribute="1" defaultMemberUniqueName="[StockDCLY].[TYDate].[All]" allUniqueName="[StockDCLY].[TYDate].[All]" dimensionUniqueName="[StockDCLY]" displayFolder="" count="0" unbalanced="0" hidden="1"/>
    <cacheHierarchy uniqueName="[StockDCLY].[UnitCost]" caption="UnitCost" attribute="1" defaultMemberUniqueName="[StockDCLY].[UnitCost].[All]" allUniqueName="[StockDCLY].[UnitCost].[All]" dimensionUniqueName="[StockDCLY]" displayFolder="" count="0" unbalanced="0" hidden="1"/>
    <cacheHierarchy uniqueName="[StockDCLY].[USDExcRate]" caption="USDExcRate" attribute="1" defaultMemberUniqueName="[StockDCLY].[USDExcRate].[All]" allUniqueName="[StockDCLY].[USDExcRate].[All]" dimensionUniqueName="[StockDCLY]" displayFolder="" count="0" unbalanced="0" hidden="1"/>
    <cacheHierarchy uniqueName="[StockStore].[CompanyUnitCost]" caption="CompanyUnitCost" attribute="1" defaultMemberUniqueName="[StockStore].[CompanyUnitCost].[All]" allUniqueName="[StockStore].[CompanyUnitCost].[All]" dimensionUniqueName="[StockStore]" displayFolder="" count="0" unbalanced="0" hidden="1"/>
    <cacheHierarchy uniqueName="[StockStore].[EURExcRate]" caption="EURExcRate" attribute="1" defaultMemberUniqueName="[StockStore].[EURExcRate].[All]" allUniqueName="[StockStore].[EURExcRate].[All]" dimensionUniqueName="[StockStore]" displayFolder="" count="0" unbalanced="0" hidden="1"/>
    <cacheHierarchy uniqueName="[StockStore].[InitialSalesPriceID]" caption="InitialSalesPriceID" attribute="1" defaultMemberUniqueName="[StockStore].[InitialSalesPriceID].[All]" allUniqueName="[StockStore].[InitialSalesPriceID].[All]" dimensionUniqueName="[StockStore]" displayFolder="" count="0" unbalanced="0" hidden="1"/>
    <cacheHierarchy uniqueName="[StockStore].[LCExcRate]" caption="LCExcRate" attribute="1" defaultMemberUniqueName="[StockStore].[LCExcRate].[All]" allUniqueName="[StockStore].[LCExcRate].[All]" dimensionUniqueName="[StockStore]" displayFolder="" count="0" unbalanced="0" hidden="1"/>
    <cacheHierarchy uniqueName="[StockStore].[LFLFactor]" caption="LFLFactor" attribute="1" defaultMemberUniqueName="[StockStore].[LFLFactor].[All]" allUniqueName="[StockStore].[LFLFactor].[All]" dimensionUniqueName="[StockStore]" displayFolder="" count="0" unbalanced="0" hidden="1"/>
    <cacheHierarchy uniqueName="[StockStore].[LocationKey]" caption="LocationKey" attribute="1" defaultMemberUniqueName="[StockStore].[LocationKey].[All]" allUniqueName="[StockStore].[LocationKey].[All]" dimensionUniqueName="[StockStore]" displayFolder="" count="0" unbalanced="0" hidden="1"/>
    <cacheHierarchy uniqueName="[StockStore].[MaterialKey]" caption="MaterialKey" attribute="1" defaultMemberUniqueName="[StockStore].[MaterialKey].[All]" allUniqueName="[StockStore].[MaterialKey].[All]" dimensionUniqueName="[StockStore]" displayFolder="" count="0" unbalanced="0" hidden="1"/>
    <cacheHierarchy uniqueName="[StockStore].[OtherStockUnit]" caption="OtherStockUnit" attribute="1" defaultMemberUniqueName="[StockStore].[OtherStockUnit].[All]" allUniqueName="[StockStore].[OtherStockUnit].[All]" dimensionUniqueName="[StockStore]" displayFolder="" count="0" unbalanced="0" hidden="1"/>
    <cacheHierarchy uniqueName="[StockStore].[OutletID]" caption="OutletID" attribute="1" defaultMemberUniqueName="[StockStore].[OutletID].[All]" allUniqueName="[StockStore].[OutletID].[All]" dimensionUniqueName="[StockStore]" displayFolder="" count="0" unbalanced="0" hidden="1"/>
    <cacheHierarchy uniqueName="[StockStore].[SalesChannelKey]" caption="SalesChannelKey" attribute="1" defaultMemberUniqueName="[StockStore].[SalesChannelKey].[All]" allUniqueName="[StockStore].[SalesChannelKey].[All]" dimensionUniqueName="[StockStore]" displayFolder="" count="0" unbalanced="0" hidden="1"/>
    <cacheHierarchy uniqueName="[StockStore].[SalesSeasonID]" caption="SalesSeasonID" attribute="1" defaultMemberUniqueName="[StockStore].[SalesSeasonID].[All]" allUniqueName="[StockStore].[SalesSeasonID].[All]" dimensionUniqueName="[StockStore]" displayFolder="" count="0" unbalanced="0" hidden="1"/>
    <cacheHierarchy uniqueName="[StockStore].[StockDate]" caption="StockDate" attribute="1" defaultMemberUniqueName="[StockStore].[StockDate].[All]" allUniqueName="[StockStore].[StockDate].[All]" dimensionUniqueName="[StockStore]" displayFolder="" count="0" unbalanced="0" hidden="1"/>
    <cacheHierarchy uniqueName="[StockStore].[StockUnit]" caption="StockUnit" attribute="1" defaultMemberUniqueName="[StockStore].[StockUnit].[All]" allUniqueName="[StockStore].[StockUnit].[All]" dimensionUniqueName="[StockStore]" displayFolder="" count="0" unbalanced="0" hidden="1"/>
    <cacheHierarchy uniqueName="[StockStore].[TransitStockUnit]" caption="TransitStockUnit" attribute="1" defaultMemberUniqueName="[StockStore].[TransitStockUnit].[All]" allUniqueName="[StockStore].[TransitStockUnit].[All]" dimensionUniqueName="[StockStore]" displayFolder="" count="0" unbalanced="0" hidden="1"/>
    <cacheHierarchy uniqueName="[StockStore].[TRYExcRate]" caption="TRYExcRate" attribute="1" defaultMemberUniqueName="[StockStore].[TRYExcRate].[All]" allUniqueName="[StockStore].[TRYExcRate].[All]" dimensionUniqueName="[StockStore]" displayFolder="" count="0" unbalanced="0" hidden="1"/>
    <cacheHierarchy uniqueName="[StockStore].[UnitCost]" caption="UnitCost" attribute="1" defaultMemberUniqueName="[StockStore].[UnitCost].[All]" allUniqueName="[StockStore].[UnitCost].[All]" dimensionUniqueName="[StockStore]" displayFolder="" count="0" unbalanced="0" hidden="1"/>
    <cacheHierarchy uniqueName="[StockStore].[USDExcRate]" caption="USDExcRate" attribute="1" defaultMemberUniqueName="[StockStore].[USDExcRate].[All]" allUniqueName="[StockStore].[USDExcRate].[All]" dimensionUniqueName="[StockStore]" displayFolder="" count="0" unbalanced="0" hidden="1"/>
    <cacheHierarchy uniqueName="[StockStoreLY].[CompanyUnitCost]" caption="CompanyUnitCost" attribute="1" defaultMemberUniqueName="[StockStoreLY].[CompanyUnitCost].[All]" allUniqueName="[StockStoreLY].[CompanyUnitCost].[All]" dimensionUniqueName="[StockStoreLY]" displayFolder="" count="0" unbalanced="0" hidden="1"/>
    <cacheHierarchy uniqueName="[StockStoreLY].[InitialSalesPriceID]" caption="InitialSalesPriceID" attribute="1" defaultMemberUniqueName="[StockStoreLY].[InitialSalesPriceID].[All]" allUniqueName="[StockStoreLY].[InitialSalesPriceID].[All]" dimensionUniqueName="[StockStoreLY]" displayFolder="" count="0" unbalanced="0" hidden="1"/>
    <cacheHierarchy uniqueName="[StockStoreLY].[LFLFactor]" caption="LFLFactor" attribute="1" defaultMemberUniqueName="[StockStoreLY].[LFLFactor].[All]" allUniqueName="[StockStoreLY].[LFLFactor].[All]" dimensionUniqueName="[StockStoreLY]" displayFolder="" count="0" unbalanced="0" hidden="1"/>
    <cacheHierarchy uniqueName="[StockStoreLY].[LocationKey]" caption="LocationKey" attribute="1" defaultMemberUniqueName="[StockStoreLY].[LocationKey].[All]" allUniqueName="[StockStoreLY].[LocationKey].[All]" dimensionUniqueName="[StockStoreLY]" displayFolder="" count="0" unbalanced="0" hidden="1"/>
    <cacheHierarchy uniqueName="[StockStoreLY].[MaterialKey]" caption="MaterialKey" attribute="1" defaultMemberUniqueName="[StockStoreLY].[MaterialKey].[All]" allUniqueName="[StockStoreLY].[MaterialKey].[All]" dimensionUniqueName="[StockStoreLY]" displayFolder="" count="0" unbalanced="0" hidden="1"/>
    <cacheHierarchy uniqueName="[StockStoreLY].[OtherStockUnit]" caption="OtherStockUnit" attribute="1" defaultMemberUniqueName="[StockStoreLY].[OtherStockUnit].[All]" allUniqueName="[StockStoreLY].[OtherStockUnit].[All]" dimensionUniqueName="[StockStoreLY]" displayFolder="" count="0" unbalanced="0" hidden="1"/>
    <cacheHierarchy uniqueName="[StockStoreLY].[OutletID]" caption="OutletID" attribute="1" defaultMemberUniqueName="[StockStoreLY].[OutletID].[All]" allUniqueName="[StockStoreLY].[OutletID].[All]" dimensionUniqueName="[StockStoreLY]" displayFolder="" count="0" unbalanced="0" hidden="1"/>
    <cacheHierarchy uniqueName="[StockStoreLY].[SalesChannelKey]" caption="SalesChannelKey" attribute="1" defaultMemberUniqueName="[StockStoreLY].[SalesChannelKey].[All]" allUniqueName="[StockStoreLY].[SalesChannelKey].[All]" dimensionUniqueName="[StockStoreLY]" displayFolder="" count="0" unbalanced="0" hidden="1"/>
    <cacheHierarchy uniqueName="[StockStoreLY].[SalesSeasonID]" caption="SalesSeasonID" attribute="1" defaultMemberUniqueName="[StockStoreLY].[SalesSeasonID].[All]" allUniqueName="[StockStoreLY].[SalesSeasonID].[All]" dimensionUniqueName="[StockStoreLY]" displayFolder="" count="0" unbalanced="0" hidden="1"/>
    <cacheHierarchy uniqueName="[StockStoreLY].[StockUnit]" caption="StockUnit" attribute="1" defaultMemberUniqueName="[StockStoreLY].[StockUnit].[All]" allUniqueName="[StockStoreLY].[StockUnit].[All]" dimensionUniqueName="[StockStoreLY]" displayFolder="" count="0" unbalanced="0" hidden="1"/>
    <cacheHierarchy uniqueName="[StockStoreLY].[TransitStockUnit]" caption="TransitStockUnit" attribute="1" defaultMemberUniqueName="[StockStoreLY].[TransitStockUnit].[All]" allUniqueName="[StockStoreLY].[TransitStockUnit].[All]" dimensionUniqueName="[StockStoreLY]" displayFolder="" count="0" unbalanced="0" hidden="1"/>
    <cacheHierarchy uniqueName="[StockStoreLY].[TRYExcRate]" caption="TRYExcRate" attribute="1" defaultMemberUniqueName="[StockStoreLY].[TRYExcRate].[All]" allUniqueName="[StockStoreLY].[TRYExcRate].[All]" dimensionUniqueName="[StockStoreLY]" displayFolder="" count="0" unbalanced="0" hidden="1"/>
    <cacheHierarchy uniqueName="[StockStoreLY].[TYDate]" caption="TYDate" attribute="1" defaultMemberUniqueName="[StockStoreLY].[TYDate].[All]" allUniqueName="[StockStoreLY].[TYDate].[All]" dimensionUniqueName="[StockStoreLY]" displayFolder="" count="0" unbalanced="0" hidden="1"/>
    <cacheHierarchy uniqueName="[StockStoreLY].[UnitCost]" caption="UnitCost" attribute="1" defaultMemberUniqueName="[StockStoreLY].[UnitCost].[All]" allUniqueName="[StockStoreLY].[UnitCost].[All]" dimensionUniqueName="[StockStoreLY]" displayFolder="" count="0" unbalanced="0" hidden="1"/>
    <cacheHierarchy uniqueName="[StockStoreLY].[USDExcRate]" caption="USDExcRate" attribute="1" defaultMemberUniqueName="[StockStoreLY].[USDExcRate].[All]" allUniqueName="[StockStoreLY].[USDExcRate].[All]" dimensionUniqueName="[StockStoreLY]" displayFolder="" count="0" unbalanced="0" hidden="1"/>
    <cacheHierarchy uniqueName="[Store].[StoreSalesChannelKey]" caption="StoreSalesChannelKey" attribute="1" defaultMemberUniqueName="[Store].[StoreSalesChannelKey].[All]" allUniqueName="[Store].[StoreSalesChannelKey].[All]" dimensionUniqueName="[Store]" displayFolder="" count="0" unbalanced="0" hidden="1"/>
    <cacheHierarchy uniqueName="[StoreCapacity].[BackStoreCapacityArea]" caption="BackStoreCapacityArea" attribute="1" defaultMemberUniqueName="[StoreCapacity].[BackStoreCapacityArea].[All]" allUniqueName="[StoreCapacity].[BackStoreCapacityArea].[All]" dimensionUniqueName="[StoreCapacity]" displayFolder="" count="0" unbalanced="0" hidden="1"/>
    <cacheHierarchy uniqueName="[StoreCapacity].[BackStoreCapacitydm3]" caption="BackStoreCapacitydm3" attribute="1" defaultMemberUniqueName="[StoreCapacity].[BackStoreCapacitydm3].[All]" allUniqueName="[StoreCapacity].[BackStoreCapacitydm3].[All]" dimensionUniqueName="[StoreCapacity]" displayFolder="" count="0" unbalanced="0" hidden="1"/>
    <cacheHierarchy uniqueName="[StoreCapacity].[BackStoreCapacityQuantity]" caption="BackStoreCapacityQuantity" attribute="1" defaultMemberUniqueName="[StoreCapacity].[BackStoreCapacityQuantity].[All]" allUniqueName="[StoreCapacity].[BackStoreCapacityQuantity].[All]" dimensionUniqueName="[StoreCapacity]" displayFolder="" count="0" unbalanced="0" hidden="1"/>
    <cacheHierarchy uniqueName="[StoreCapacity].[DWSourceKey]" caption="DWSourceKey" attribute="1" defaultMemberUniqueName="[StoreCapacity].[DWSourceKey].[All]" allUniqueName="[StoreCapacity].[DWSourceKey].[All]" dimensionUniqueName="[StoreCapacity]" displayFolder="" count="0" unbalanced="0" hidden="1"/>
    <cacheHierarchy uniqueName="[StoreCapacity].[ETLDate]" caption="ETLDate" attribute="1" defaultMemberUniqueName="[StoreCapacity].[ETLDate].[All]" allUniqueName="[StoreCapacity].[ETLDate].[All]" dimensionUniqueName="[StoreCapacity]" displayFolder="" count="0" unbalanced="0" hidden="1"/>
    <cacheHierarchy uniqueName="[StoreCapacity].[InitialSalesPriceID]" caption="InitialSalesPriceID" attribute="1" defaultMemberUniqueName="[StoreCapacity].[InitialSalesPriceID].[All]" allUniqueName="[StoreCapacity].[InitialSalesPriceID].[All]" dimensionUniqueName="[StoreCapacity]" displayFolder="" count="0" unbalanced="0" hidden="1"/>
    <cacheHierarchy uniqueName="[StoreCapacity].[LFLFactor]" caption="LFLFactor" attribute="1" defaultMemberUniqueName="[StoreCapacity].[LFLFactor].[All]" allUniqueName="[StoreCapacity].[LFLFactor].[All]" dimensionUniqueName="[StoreCapacity]" displayFolder="" count="0" unbalanced="0" hidden="1"/>
    <cacheHierarchy uniqueName="[StoreCapacity].[LocationKey]" caption="LocationKey" attribute="1" defaultMemberUniqueName="[StoreCapacity].[LocationKey].[All]" allUniqueName="[StoreCapacity].[LocationKey].[All]" dimensionUniqueName="[StoreCapacity]" displayFolder="" count="0" unbalanced="0" hidden="1"/>
    <cacheHierarchy uniqueName="[StoreCapacity].[MainGroupKey]" caption="MainGroupKey" attribute="1" defaultMemberUniqueName="[StoreCapacity].[MainGroupKey].[All]" allUniqueName="[StoreCapacity].[MainGroupKey].[All]" dimensionUniqueName="[StoreCapacity]" displayFolder="" count="0" unbalanced="0" hidden="1"/>
    <cacheHierarchy uniqueName="[StoreCapacity].[OutletID]" caption="OutletID" attribute="1" defaultMemberUniqueName="[StoreCapacity].[OutletID].[All]" allUniqueName="[StoreCapacity].[OutletID].[All]" dimensionUniqueName="[StoreCapacity]" displayFolder="" count="0" unbalanced="0" hidden="1"/>
    <cacheHierarchy uniqueName="[StoreCapacity].[SalesChannelKey]" caption="SalesChannelKey" attribute="1" defaultMemberUniqueName="[StoreCapacity].[SalesChannelKey].[All]" allUniqueName="[StoreCapacity].[SalesChannelKey].[All]" dimensionUniqueName="[StoreCapacity]" displayFolder="" count="0" unbalanced="0" hidden="1"/>
    <cacheHierarchy uniqueName="[StoreCapacity].[SalesSeasonID]" caption="SalesSeasonID" attribute="1" defaultMemberUniqueName="[StoreCapacity].[SalesSeasonID].[All]" allUniqueName="[StoreCapacity].[SalesSeasonID].[All]" dimensionUniqueName="[StoreCapacity]" displayFolder="" count="0" unbalanced="0" hidden="1"/>
    <cacheHierarchy uniqueName="[StoreCapacity].[StoreCapacitydm3]" caption="StoreCapacitydm3" attribute="1" defaultMemberUniqueName="[StoreCapacity].[StoreCapacitydm3].[All]" allUniqueName="[StoreCapacity].[StoreCapacitydm3].[All]" dimensionUniqueName="[StoreCapacity]" displayFolder="" count="0" unbalanced="0" hidden="1"/>
    <cacheHierarchy uniqueName="[StoreCapacity].[StoreCapacityQuantity]" caption="StoreCapacityQuantity" attribute="1" defaultMemberUniqueName="[StoreCapacity].[StoreCapacityQuantity].[All]" allUniqueName="[StoreCapacity].[StoreCapacityQuantity].[All]" dimensionUniqueName="[StoreCapacity]" displayFolder="" count="0" unbalanced="0" hidden="1"/>
    <cacheHierarchy uniqueName="[StoreCapacity].[StoreCode]" caption="StoreCode" attribute="1" defaultMemberUniqueName="[StoreCapacity].[StoreCode].[All]" allUniqueName="[StoreCapacity].[StoreCode].[All]" dimensionUniqueName="[StoreCapacity]" displayFolder="" count="0" unbalanced="0" hidden="1"/>
    <cacheHierarchy uniqueName="[StoreCapacity].[SubDistChannelKey]" caption="SubDistChannelKey" attribute="1" defaultMemberUniqueName="[StoreCapacity].[SubDistChannelKey].[All]" allUniqueName="[StoreCapacity].[SubDistChannelKey].[All]" dimensionUniqueName="[StoreCapacity]" displayFolder="" count="0" unbalanced="0" hidden="1"/>
    <cacheHierarchy uniqueName="[StoreLFLStatu].[EtlDate]" caption="EtlDate" attribute="1" defaultMemberUniqueName="[StoreLFLStatu].[EtlDate].[All]" allUniqueName="[StoreLFLStatu].[EtlDate].[All]" dimensionUniqueName="[StoreLFLStatu]" displayFolder="" count="0" unbalanced="0" hidden="1"/>
    <cacheHierarchy uniqueName="[StoreTarget].[Cancelled]" caption="Cancelled" attribute="1" defaultMemberUniqueName="[StoreTarget].[Cancelled].[All]" allUniqueName="[StoreTarget].[Cancelled].[All]" dimensionUniqueName="[StoreTarget]" displayFolder="" count="0" unbalanced="0" hidden="1"/>
    <cacheHierarchy uniqueName="[StoreTarget].[ChangeByUser]" caption="ChangeByUser" attribute="1" defaultMemberUniqueName="[StoreTarget].[ChangeByUser].[All]" allUniqueName="[StoreTarget].[ChangeByUser].[All]" dimensionUniqueName="[StoreTarget]" displayFolder="" count="0" unbalanced="0" hidden="1"/>
    <cacheHierarchy uniqueName="[StoreTarget].[ChangeDate]" caption="ChangeDate" attribute="1" defaultMemberUniqueName="[StoreTarget].[ChangeDate].[All]" allUniqueName="[StoreTarget].[ChangeDate].[All]" dimensionUniqueName="[StoreTarget]" displayFolder="" count="0" unbalanced="0" hidden="1"/>
    <cacheHierarchy uniqueName="[StoreTarget].[ChangeTime]" caption="ChangeTime" attribute="1" defaultMemberUniqueName="[StoreTarget].[ChangeTime].[All]" allUniqueName="[StoreTarget].[ChangeTime].[All]" dimensionUniqueName="[StoreTarget]" displayFolder="" count="0" unbalanced="0" hidden="1"/>
    <cacheHierarchy uniqueName="[StoreTarget].[CreatedByUser]" caption="CreatedByUser" attribute="1" defaultMemberUniqueName="[StoreTarget].[CreatedByUser].[All]" allUniqueName="[StoreTarget].[CreatedByUser].[All]" dimensionUniqueName="[StoreTarget]" displayFolder="" count="0" unbalanced="0" hidden="1"/>
    <cacheHierarchy uniqueName="[StoreTarget].[CreationDate]" caption="CreationDate" attribute="1" defaultMemberUniqueName="[StoreTarget].[CreationDate].[All]" allUniqueName="[StoreTarget].[CreationDate].[All]" dimensionUniqueName="[StoreTarget]" displayFolder="" count="0" unbalanced="0" hidden="1"/>
    <cacheHierarchy uniqueName="[StoreTarget].[CreationTime]" caption="CreationTime" attribute="1" defaultMemberUniqueName="[StoreTarget].[CreationTime].[All]" allUniqueName="[StoreTarget].[CreationTime].[All]" dimensionUniqueName="[StoreTarget]" displayFolder="" count="0" unbalanced="0" hidden="1"/>
    <cacheHierarchy uniqueName="[StoreTarget].[Currency]" caption="Currency" attribute="1" defaultMemberUniqueName="[StoreTarget].[Currency].[All]" allUniqueName="[StoreTarget].[Currency].[All]" dimensionUniqueName="[StoreTarget]" displayFolder="" count="0" unbalanced="0" hidden="1"/>
    <cacheHierarchy uniqueName="[StoreTarget].[DwSourceKey]" caption="DwSourceKey" attribute="1" defaultMemberUniqueName="[StoreTarget].[DwSourceKey].[All]" allUniqueName="[StoreTarget].[DwSourceKey].[All]" dimensionUniqueName="[StoreTarget]" displayFolder="" count="0" unbalanced="0" hidden="1"/>
    <cacheHierarchy uniqueName="[StoreTarget].[EtlDate]" caption="EtlDate" attribute="1" defaultMemberUniqueName="[StoreTarget].[EtlDate].[All]" allUniqueName="[StoreTarget].[EtlDate].[All]" dimensionUniqueName="[StoreTarget]" displayFolder="" count="0" unbalanced="0" hidden="1"/>
    <cacheHierarchy uniqueName="[StoreTarget].[LfLFactor]" caption="LfLFactor" attribute="1" defaultMemberUniqueName="[StoreTarget].[LfLFactor].[All]" allUniqueName="[StoreTarget].[LfLFactor].[All]" dimensionUniqueName="[StoreTarget]" displayFolder="" count="0" unbalanced="0" hidden="1"/>
    <cacheHierarchy uniqueName="[StoreTarget].[LocationCode]" caption="LocationCode" attribute="1" defaultMemberUniqueName="[StoreTarget].[LocationCode].[All]" allUniqueName="[StoreTarget].[LocationCode].[All]" dimensionUniqueName="[StoreTarget]" displayFolder="" count="0" unbalanced="0" hidden="1"/>
    <cacheHierarchy uniqueName="[StoreTarget].[LocationKey]" caption="LocationKey" attribute="1" defaultMemberUniqueName="[StoreTarget].[LocationKey].[All]" allUniqueName="[StoreTarget].[LocationKey].[All]" dimensionUniqueName="[StoreTarget]" displayFolder="" count="0" unbalanced="0" hidden="1"/>
    <cacheHierarchy uniqueName="[StoreTarget].[QuantityUnit]" caption="QuantityUnit" attribute="1" defaultMemberUniqueName="[StoreTarget].[QuantityUnit].[All]" allUniqueName="[StoreTarget].[QuantityUnit].[All]" dimensionUniqueName="[StoreTarget]" displayFolder="" count="0" unbalanced="0" hidden="1"/>
    <cacheHierarchy uniqueName="[StoreTarget].[SalesChannelKey]" caption="SalesChannelKey" attribute="1" defaultMemberUniqueName="[StoreTarget].[SalesChannelKey].[All]" allUniqueName="[StoreTarget].[SalesChannelKey].[All]" dimensionUniqueName="[StoreTarget]" displayFolder="" count="0" unbalanced="0" hidden="1"/>
    <cacheHierarchy uniqueName="[StoreTarget].[TargetConversionRate]" caption="TargetConversionRate" attribute="1" defaultMemberUniqueName="[StoreTarget].[TargetConversionRate].[All]" allUniqueName="[StoreTarget].[TargetConversionRate].[All]" dimensionUniqueName="[StoreTarget]" displayFolder="" count="0" unbalanced="0" hidden="1"/>
    <cacheHierarchy uniqueName="[StoreTarget].[TargetDate]" caption="TargetDate" attribute="1" defaultMemberUniqueName="[StoreTarget].[TargetDate].[All]" allUniqueName="[StoreTarget].[TargetDate].[All]" dimensionUniqueName="[StoreTarget]" displayFolder="" count="0" unbalanced="0" hidden="1"/>
    <cacheHierarchy uniqueName="[StoreTarget].[TargetSalesValueLC]" caption="TargetSalesValueLC" attribute="1" defaultMemberUniqueName="[StoreTarget].[TargetSalesValueLC].[All]" allUniqueName="[StoreTarget].[TargetSalesValueLC].[All]" dimensionUniqueName="[StoreTarget]" displayFolder="" count="0" unbalanced="0" hidden="1"/>
    <cacheHierarchy uniqueName="[StoreTarget].[TargetSalesValueTRY]" caption="TargetSalesValueTRY" attribute="1" defaultMemberUniqueName="[StoreTarget].[TargetSalesValueTRY].[All]" allUniqueName="[StoreTarget].[TargetSalesValueTRY].[All]" dimensionUniqueName="[StoreTarget]" displayFolder="" count="0" unbalanced="0" hidden="1"/>
    <cacheHierarchy uniqueName="[StoreTarget].[TargetSalesValueUSD]" caption="TargetSalesValueUSD" attribute="1" defaultMemberUniqueName="[StoreTarget].[TargetSalesValueUSD].[All]" allUniqueName="[StoreTarget].[TargetSalesValueUSD].[All]" dimensionUniqueName="[StoreTarget]" displayFolder="" count="0" unbalanced="0" hidden="1"/>
    <cacheHierarchy uniqueName="[StoreTarget].[TargetType]" caption="TargetType" attribute="1" defaultMemberUniqueName="[StoreTarget].[TargetType].[All]" allUniqueName="[StoreTarget].[TargetType].[All]" dimensionUniqueName="[StoreTarget]" displayFolder="" count="0" unbalanced="0" hidden="1"/>
    <cacheHierarchy uniqueName="[StoreTargetLY].[Cancelled]" caption="Cancelled" attribute="1" defaultMemberUniqueName="[StoreTargetLY].[Cancelled].[All]" allUniqueName="[StoreTargetLY].[Cancelled].[All]" dimensionUniqueName="[StoreTargetLY]" displayFolder="" count="0" unbalanced="0" hidden="1"/>
    <cacheHierarchy uniqueName="[StoreTargetLY].[ChangeByUser]" caption="ChangeByUser" attribute="1" defaultMemberUniqueName="[StoreTargetLY].[ChangeByUser].[All]" allUniqueName="[StoreTargetLY].[ChangeByUser].[All]" dimensionUniqueName="[StoreTargetLY]" displayFolder="" count="0" unbalanced="0" hidden="1"/>
    <cacheHierarchy uniqueName="[StoreTargetLY].[ChangeDate]" caption="ChangeDate" attribute="1" defaultMemberUniqueName="[StoreTargetLY].[ChangeDate].[All]" allUniqueName="[StoreTargetLY].[ChangeDate].[All]" dimensionUniqueName="[StoreTargetLY]" displayFolder="" count="0" unbalanced="0" hidden="1"/>
    <cacheHierarchy uniqueName="[StoreTargetLY].[ChangeTime]" caption="ChangeTime" attribute="1" defaultMemberUniqueName="[StoreTargetLY].[ChangeTime].[All]" allUniqueName="[StoreTargetLY].[ChangeTime].[All]" dimensionUniqueName="[StoreTargetLY]" displayFolder="" count="0" unbalanced="0" hidden="1"/>
    <cacheHierarchy uniqueName="[StoreTargetLY].[CreatedByUser]" caption="CreatedByUser" attribute="1" defaultMemberUniqueName="[StoreTargetLY].[CreatedByUser].[All]" allUniqueName="[StoreTargetLY].[CreatedByUser].[All]" dimensionUniqueName="[StoreTargetLY]" displayFolder="" count="0" unbalanced="0" hidden="1"/>
    <cacheHierarchy uniqueName="[StoreTargetLY].[CreationDate]" caption="CreationDate" attribute="1" defaultMemberUniqueName="[StoreTargetLY].[CreationDate].[All]" allUniqueName="[StoreTargetLY].[CreationDate].[All]" dimensionUniqueName="[StoreTargetLY]" displayFolder="" count="0" unbalanced="0" hidden="1"/>
    <cacheHierarchy uniqueName="[StoreTargetLY].[CreationTime]" caption="CreationTime" attribute="1" defaultMemberUniqueName="[StoreTargetLY].[CreationTime].[All]" allUniqueName="[StoreTargetLY].[CreationTime].[All]" dimensionUniqueName="[StoreTargetLY]" displayFolder="" count="0" unbalanced="0" hidden="1"/>
    <cacheHierarchy uniqueName="[StoreTargetLY].[Currency]" caption="Currency" attribute="1" defaultMemberUniqueName="[StoreTargetLY].[Currency].[All]" allUniqueName="[StoreTargetLY].[Currency].[All]" dimensionUniqueName="[StoreTargetLY]" displayFolder="" count="0" unbalanced="0" hidden="1"/>
    <cacheHierarchy uniqueName="[StoreTargetLY].[DwSourceKey]" caption="DwSourceKey" attribute="1" defaultMemberUniqueName="[StoreTargetLY].[DwSourceKey].[All]" allUniqueName="[StoreTargetLY].[DwSourceKey].[All]" dimensionUniqueName="[StoreTargetLY]" displayFolder="" count="0" unbalanced="0" hidden="1"/>
    <cacheHierarchy uniqueName="[StoreTargetLY].[EtlDate]" caption="EtlDate" attribute="1" defaultMemberUniqueName="[StoreTargetLY].[EtlDate].[All]" allUniqueName="[StoreTargetLY].[EtlDate].[All]" dimensionUniqueName="[StoreTargetLY]" displayFolder="" count="0" unbalanced="0" hidden="1"/>
    <cacheHierarchy uniqueName="[StoreTargetLY].[LfLFactor]" caption="LfLFactor" attribute="1" defaultMemberUniqueName="[StoreTargetLY].[LfLFactor].[All]" allUniqueName="[StoreTargetLY].[LfLFactor].[All]" dimensionUniqueName="[StoreTargetLY]" displayFolder="" count="0" unbalanced="0" hidden="1"/>
    <cacheHierarchy uniqueName="[StoreTargetLY].[LocationCode]" caption="LocationCode" attribute="1" defaultMemberUniqueName="[StoreTargetLY].[LocationCode].[All]" allUniqueName="[StoreTargetLY].[LocationCode].[All]" dimensionUniqueName="[StoreTargetLY]" displayFolder="" count="0" unbalanced="0" hidden="1"/>
    <cacheHierarchy uniqueName="[StoreTargetLY].[LocationKey]" caption="LocationKey" attribute="1" defaultMemberUniqueName="[StoreTargetLY].[LocationKey].[All]" allUniqueName="[StoreTargetLY].[LocationKey].[All]" dimensionUniqueName="[StoreTargetLY]" displayFolder="" count="0" unbalanced="0" hidden="1"/>
    <cacheHierarchy uniqueName="[StoreTargetLY].[QuantityUnit]" caption="QuantityUnit" attribute="1" defaultMemberUniqueName="[StoreTargetLY].[QuantityUnit].[All]" allUniqueName="[StoreTargetLY].[QuantityUnit].[All]" dimensionUniqueName="[StoreTargetLY]" displayFolder="" count="0" unbalanced="0" hidden="1"/>
    <cacheHierarchy uniqueName="[StoreTargetLY].[SalesChannelKey]" caption="SalesChannelKey" attribute="1" defaultMemberUniqueName="[StoreTargetLY].[SalesChannelKey].[All]" allUniqueName="[StoreTargetLY].[SalesChannelKey].[All]" dimensionUniqueName="[StoreTargetLY]" displayFolder="" count="0" unbalanced="0" hidden="1"/>
    <cacheHierarchy uniqueName="[StoreTargetLY].[TargetConversionRate]" caption="TargetConversionRate" attribute="1" defaultMemberUniqueName="[StoreTargetLY].[TargetConversionRate].[All]" allUniqueName="[StoreTargetLY].[TargetConversionRate].[All]" dimensionUniqueName="[StoreTargetLY]" displayFolder="" count="0" unbalanced="0" hidden="1"/>
    <cacheHierarchy uniqueName="[StoreTargetLY].[TargetSalesValueLC]" caption="TargetSalesValueLC" attribute="1" defaultMemberUniqueName="[StoreTargetLY].[TargetSalesValueLC].[All]" allUniqueName="[StoreTargetLY].[TargetSalesValueLC].[All]" dimensionUniqueName="[StoreTargetLY]" displayFolder="" count="0" unbalanced="0" hidden="1"/>
    <cacheHierarchy uniqueName="[StoreTargetLY].[TargetSalesValueTRY]" caption="TargetSalesValueTRY" attribute="1" defaultMemberUniqueName="[StoreTargetLY].[TargetSalesValueTRY].[All]" allUniqueName="[StoreTargetLY].[TargetSalesValueTRY].[All]" dimensionUniqueName="[StoreTargetLY]" displayFolder="" count="0" unbalanced="0" hidden="1"/>
    <cacheHierarchy uniqueName="[StoreTargetLY].[TargetSalesValueUSD]" caption="TargetSalesValueUSD" attribute="1" defaultMemberUniqueName="[StoreTargetLY].[TargetSalesValueUSD].[All]" allUniqueName="[StoreTargetLY].[TargetSalesValueUSD].[All]" dimensionUniqueName="[StoreTargetLY]" displayFolder="" count="0" unbalanced="0" hidden="1"/>
    <cacheHierarchy uniqueName="[StoreTargetLY].[TargetType]" caption="TargetType" attribute="1" defaultMemberUniqueName="[StoreTargetLY].[TargetType].[All]" allUniqueName="[StoreTargetLY].[TargetType].[All]" dimensionUniqueName="[StoreTargetLY]" displayFolder="" count="0" unbalanced="0" hidden="1"/>
    <cacheHierarchy uniqueName="[StoreTargetLY].[TYDate]" caption="TYDate" attribute="1" defaultMemberUniqueName="[StoreTargetLY].[TYDate].[All]" allUniqueName="[StoreTargetLY].[TYDate].[All]" dimensionUniqueName="[StoreTargetLY]" displayFolder="" count="0" unbalanced="0" hidden="1"/>
    <cacheHierarchy uniqueName="[SubDistChannel].[DistrubitionChannelCode]" caption="DistrubitionChannelCode" attribute="1" defaultMemberUniqueName="[SubDistChannel].[DistrubitionChannelCode].[All]" allUniqueName="[SubDistChannel].[DistrubitionChannelCode].[All]" dimensionUniqueName="[SubDistChannel]" displayFolder="" count="0" unbalanced="0" hidden="1"/>
    <cacheHierarchy uniqueName="[SubDistChannel].[DistrubitionChannelDesc]" caption="DistrubitionChannelDesc" attribute="1" defaultMemberUniqueName="[SubDistChannel].[DistrubitionChannelDesc].[All]" allUniqueName="[SubDistChannel].[DistrubitionChannelDesc].[All]" dimensionUniqueName="[SubDistChannel]" displayFolder="" count="0" unbalanced="0" hidden="1"/>
    <cacheHierarchy uniqueName="[SubDistChannel].[DistrubitionChannelKey]" caption="DistrubitionChannelKey" attribute="1" defaultMemberUniqueName="[SubDistChannel].[DistrubitionChannelKey].[All]" allUniqueName="[SubDistChannel].[DistrubitionChannelKey].[All]" dimensionUniqueName="[SubDistChannel]" displayFolder="" count="0" unbalanced="0" hidden="1"/>
    <cacheHierarchy uniqueName="[SubDistChannel].[DWSourceKey]" caption="DWSourceKey" attribute="1" defaultMemberUniqueName="[SubDistChannel].[DWSourceKey].[All]" allUniqueName="[SubDistChannel].[DWSourceKey].[All]" dimensionUniqueName="[SubDistChannel]" displayFolder="" count="0" unbalanced="0" hidden="1"/>
    <cacheHierarchy uniqueName="[SubDistChannel].[EtlDate]" caption="EtlDate" attribute="1" defaultMemberUniqueName="[SubDistChannel].[EtlDate].[All]" allUniqueName="[SubDistChannel].[EtlDate].[All]" dimensionUniqueName="[SubDistChannel]" displayFolder="" count="0" unbalanced="0" hidden="1"/>
    <cacheHierarchy uniqueName="[Visitor].[AdjustedCCR]" caption="AdjustedCCR" attribute="1" defaultMemberUniqueName="[Visitor].[AdjustedCCR].[All]" allUniqueName="[Visitor].[AdjustedCCR].[All]" dimensionUniqueName="[Visitor]" displayFolder="" count="0" unbalanced="0" hidden="1"/>
    <cacheHierarchy uniqueName="[Visitor].[AdjustedVisitorCount]" caption="AdjustedVisitorCount" attribute="1" defaultMemberUniqueName="[Visitor].[AdjustedVisitorCount].[All]" allUniqueName="[Visitor].[AdjustedVisitorCount].[All]" dimensionUniqueName="[Visitor]" displayFolder="" count="0" unbalanced="0" hidden="1"/>
    <cacheHierarchy uniqueName="[Visitor].[CCR_Source]" caption="CCR_Source" attribute="1" defaultMemberUniqueName="[Visitor].[CCR_Source].[All]" allUniqueName="[Visitor].[CCR_Source].[All]" dimensionUniqueName="[Visitor]" displayFolder="" count="0" unbalanced="0" hidden="1"/>
    <cacheHierarchy uniqueName="[Visitor].[CompanyKey]" caption="CompanyKey" attribute="1" defaultMemberUniqueName="[Visitor].[CompanyKey].[All]" allUniqueName="[Visitor].[CompanyKey].[All]" dimensionUniqueName="[Visitor]" displayFolder="" count="0" unbalanced="0" hidden="1"/>
    <cacheHierarchy uniqueName="[Visitor].[CustomerConversionRate]" caption="CustomerConversionRate" attribute="1" defaultMemberUniqueName="[Visitor].[CustomerConversionRate].[All]" allUniqueName="[Visitor].[CustomerConversionRate].[All]" dimensionUniqueName="[Visitor]" displayFolder="" count="0" unbalanced="0" hidden="1"/>
    <cacheHierarchy uniqueName="[Visitor].[DailyInvoiceCount]" caption="DailyInvoiceCount" attribute="1" defaultMemberUniqueName="[Visitor].[DailyInvoiceCount].[All]" allUniqueName="[Visitor].[DailyInvoiceCount].[All]" dimensionUniqueName="[Visitor]" displayFolder="" count="0" unbalanced="0" hidden="1"/>
    <cacheHierarchy uniqueName="[Visitor].[DailyInvoiceReturn]" caption="DailyInvoiceReturn" attribute="1" defaultMemberUniqueName="[Visitor].[DailyInvoiceReturn].[All]" allUniqueName="[Visitor].[DailyInvoiceReturn].[All]" dimensionUniqueName="[Visitor]" displayFolder="" count="0" unbalanced="0" hidden="1"/>
    <cacheHierarchy uniqueName="[Visitor].[DailyInvoiceSale]" caption="DailyInvoiceSale" attribute="1" defaultMemberUniqueName="[Visitor].[DailyInvoiceSale].[All]" allUniqueName="[Visitor].[DailyInvoiceSale].[All]" dimensionUniqueName="[Visitor]" displayFolder="" count="0" unbalanced="0" hidden="1"/>
    <cacheHierarchy uniqueName="[Visitor].[DailyVisitorCount]" caption="DailyVisitorCount" attribute="1" defaultMemberUniqueName="[Visitor].[DailyVisitorCount].[All]" allUniqueName="[Visitor].[DailyVisitorCount].[All]" dimensionUniqueName="[Visitor]" displayFolder="" count="0" unbalanced="0" hidden="1"/>
    <cacheHierarchy uniqueName="[Visitor].[DayoftheWeek]" caption="DayoftheWeek" attribute="1" defaultMemberUniqueName="[Visitor].[DayoftheWeek].[All]" allUniqueName="[Visitor].[DayoftheWeek].[All]" dimensionUniqueName="[Visitor]" displayFolder="" count="0" unbalanced="0" hidden="1"/>
    <cacheHierarchy uniqueName="[Visitor].[DIC_Country]" caption="DIC_Country" attribute="1" defaultMemberUniqueName="[Visitor].[DIC_Country].[All]" allUniqueName="[Visitor].[DIC_Country].[All]" dimensionUniqueName="[Visitor]" displayFolder="" count="0" unbalanced="0" hidden="1"/>
    <cacheHierarchy uniqueName="[Visitor].[DVC_Country]" caption="DVC_Country" attribute="1" defaultMemberUniqueName="[Visitor].[DVC_Country].[All]" allUniqueName="[Visitor].[DVC_Country].[All]" dimensionUniqueName="[Visitor]" displayFolder="" count="0" unbalanced="0" hidden="1"/>
    <cacheHierarchy uniqueName="[Visitor].[ETLDate]" caption="ETLDate" attribute="1" defaultMemberUniqueName="[Visitor].[ETLDate].[All]" allUniqueName="[Visitor].[ETLDate].[All]" dimensionUniqueName="[Visitor]" displayFolder="" count="0" unbalanced="0" hidden="1"/>
    <cacheHierarchy uniqueName="[Visitor].[isAdjustmentRequired]" caption="isAdjustmentRequired" attribute="1" defaultMemberUniqueName="[Visitor].[isAdjustmentRequired].[All]" allUniqueName="[Visitor].[isAdjustmentRequired].[All]" dimensionUniqueName="[Visitor]" displayFolder="" count="0" unbalanced="0" hidden="1"/>
    <cacheHierarchy uniqueName="[Visitor].[LocationKey]" caption="LocationKey" attribute="1" defaultMemberUniqueName="[Visitor].[LocationKey].[All]" allUniqueName="[Visitor].[LocationKey].[All]" dimensionUniqueName="[Visitor]" displayFolder="" count="0" unbalanced="0" hidden="1"/>
    <cacheHierarchy uniqueName="[Visitor].[StoreLfLStatuKey]" caption="StoreLfLStatuKey" attribute="1" defaultMemberUniqueName="[Visitor].[StoreLfLStatuKey].[All]" allUniqueName="[Visitor].[StoreLfLStatuKey].[All]" dimensionUniqueName="[Visitor]" displayFolder="" count="0" unbalanced="0" hidden="1"/>
    <cacheHierarchy uniqueName="[Visitor].[VisitDate]" caption="VisitDate" attribute="1" defaultMemberUniqueName="[Visitor].[VisitDate].[All]" allUniqueName="[Visitor].[VisitDate].[All]" dimensionUniqueName="[Visitor]" displayFolder="" count="0" unbalanced="0" hidden="1"/>
    <cacheHierarchy uniqueName="[VisitorHourly].[LocationKey]" caption="LocationKey" attribute="1" defaultMemberUniqueName="[VisitorHourly].[LocationKey].[All]" allUniqueName="[VisitorHourly].[LocationKey].[All]" dimensionUniqueName="[VisitorHourly]" displayFolder="" count="0" unbalanced="0" hidden="1"/>
    <cacheHierarchy uniqueName="[VisitorHourly].[LYCustomerEntryCount]" caption="LYCustomerEntryCount" attribute="1" defaultMemberUniqueName="[VisitorHourly].[LYCustomerEntryCount].[All]" allUniqueName="[VisitorHourly].[LYCustomerEntryCount].[All]" dimensionUniqueName="[VisitorHourly]" displayFolder="" count="0" unbalanced="0" hidden="1"/>
    <cacheHierarchy uniqueName="[VisitorHourly].[LYLFLFactor]" caption="LYLFLFactor" attribute="1" defaultMemberUniqueName="[VisitorHourly].[LYLFLFactor].[All]" allUniqueName="[VisitorHourly].[LYLFLFactor].[All]" dimensionUniqueName="[VisitorHourly]" displayFolder="" count="0" unbalanced="0" hidden="1"/>
    <cacheHierarchy uniqueName="[VisitorHourly].[SalesChannelKey]" caption="SalesChannelKey" attribute="1" defaultMemberUniqueName="[VisitorHourly].[SalesChannelKey].[All]" allUniqueName="[VisitorHourly].[SalesChannelKey].[All]" dimensionUniqueName="[VisitorHourly]" displayFolder="" count="0" unbalanced="0" hidden="1"/>
    <cacheHierarchy uniqueName="[VisitorHourly].[TYCustomerEntryCount]" caption="TYCustomerEntryCount" attribute="1" defaultMemberUniqueName="[VisitorHourly].[TYCustomerEntryCount].[All]" allUniqueName="[VisitorHourly].[TYCustomerEntryCount].[All]" dimensionUniqueName="[VisitorHourly]" displayFolder="" count="0" unbalanced="0" hidden="1"/>
    <cacheHierarchy uniqueName="[VisitorHourly].[TYLFLFactor]" caption="TYLFLFactor" attribute="1" defaultMemberUniqueName="[VisitorHourly].[TYLFLFactor].[All]" allUniqueName="[VisitorHourly].[TYLFLFactor].[All]" dimensionUniqueName="[VisitorHourly]" displayFolder="" count="0" unbalanced="0" hidden="1"/>
    <cacheHierarchy uniqueName="[VisitorHourly].[VisitDate]" caption="VisitDate" attribute="1" defaultMemberUniqueName="[VisitorHourly].[VisitDate].[All]" allUniqueName="[VisitorHourly].[VisitDate].[All]" dimensionUniqueName="[VisitorHourly]" displayFolder="" count="0" unbalanced="0" hidden="1"/>
    <cacheHierarchy uniqueName="[VisitorHourly].[VisitTimeHH]" caption="VisitTimeHH" attribute="1" defaultMemberUniqueName="[VisitorHourly].[VisitTimeHH].[All]" allUniqueName="[VisitorHourly].[VisitTimeHH].[All]" dimensionUniqueName="[VisitorHourly]" displayFolder="" count="0" unbalanced="0" hidden="1"/>
    <cacheHierarchy uniqueName="[Measures].[TY Avg DC Stock Unit]" caption="TY Avg DC Stock Unit" measure="1" displayFolder="01_TY\_UNIT" measureGroup="StockDC" count="0"/>
    <cacheHierarchy uniqueName="[Measures].[TY Avg DC Cus Stock Unit]" caption="TY Avg DC Cus Stock Unit" measure="1" displayFolder="01_TY\_UNIT" measureGroup="StockDC" count="0"/>
    <cacheHierarchy uniqueName="[Measures].[TY Avg DC Transit Stock Unit]" caption="TY Avg DC Transit Stock Unit" measure="1" displayFolder="01_TY\_UNIT" measureGroup="StockDC" count="0"/>
    <cacheHierarchy uniqueName="[Measures].[TY Avg DC Stock Cost LC]" caption="TY Avg DC Stock Cost LC" measure="1" displayFolder="01_TY\LC" measureGroup="StockDC" count="0"/>
    <cacheHierarchy uniqueName="[Measures].[TY Avg DC Transit Stock Cost LC]" caption="TY Avg DC Transit Stock Cost LC" measure="1" displayFolder="01_TY\LC" measureGroup="StockDC" count="0"/>
    <cacheHierarchy uniqueName="[Measures].[TY Avg DC Cus Stock Cost LC]" caption="TY Avg DC Cus Stock Cost LC" measure="1" displayFolder="01_TY\LC" measureGroup="StockDC" count="0"/>
    <cacheHierarchy uniqueName="[Measures].[TY Avg DC Stock Cost TRY]" caption="TY Avg DC Stock Cost TRY" measure="1" displayFolder="01_TY\TRY" measureGroup="StockDC" count="0"/>
    <cacheHierarchy uniqueName="[Measures].[TY Avg DC Transit Stock Cost TRY]" caption="TY Avg DC Transit Stock Cost TRY" measure="1" displayFolder="01_TY\TRY" measureGroup="StockDC" count="0"/>
    <cacheHierarchy uniqueName="[Measures].[TY Avg DC Cus Stock Cost TRY]" caption="TY Avg DC Cus Stock Cost TRY" measure="1" displayFolder="01_TY\TRY" measureGroup="StockDC" count="0"/>
    <cacheHierarchy uniqueName="[Measures].[TY Avg DC Stock Cost USD]" caption="TY Avg DC Stock Cost USD" measure="1" displayFolder="01_TY\USD" measureGroup="StockDC" count="0"/>
    <cacheHierarchy uniqueName="[Measures].[TY Avg DC Transit Stock Cost USD]" caption="TY Avg DC Transit Stock Cost USD" measure="1" displayFolder="01_TY\USD" measureGroup="StockDC" count="0"/>
    <cacheHierarchy uniqueName="[Measures].[TY Avg DC Cus Stock Cost USD]" caption="TY Avg DC Cus Stock Cost USD" measure="1" displayFolder="01_TY\USD" measureGroup="StockDC" count="0"/>
    <cacheHierarchy uniqueName="[Measures].[LY Avg DC Stock Unit]" caption="LY Avg DC Stock Unit" measure="1" displayFolder="02_LY\_UNIT" measureGroup="StockDC" count="0"/>
    <cacheHierarchy uniqueName="[Measures].[LY Avg DC Transit Stock Unit]" caption="LY Avg DC Transit Stock Unit" measure="1" displayFolder="02_LY\_UNIT" measureGroup="StockDC" count="0"/>
    <cacheHierarchy uniqueName="[Measures].[LY Avg DC Cus Stock Unit]" caption="LY Avg DC Cus Stock Unit" measure="1" displayFolder="02_LY\_UNIT" measureGroup="StockDC" count="0"/>
    <cacheHierarchy uniqueName="[Measures].[LY Avg DC Stock Cost LC]" caption="LY Avg DC Stock Cost LC" measure="1" displayFolder="02_LY\LC" measureGroup="StockDC" count="0"/>
    <cacheHierarchy uniqueName="[Measures].[LY Avg DC Transit Stock Cost LC]" caption="LY Avg DC Transit Stock Cost LC" measure="1" displayFolder="02_LY\LC" measureGroup="StockDC" count="0"/>
    <cacheHierarchy uniqueName="[Measures].[LY Avg DC Cus Stock Cost LC]" caption="LY Avg DC Cus Stock Cost LC" measure="1" displayFolder="02_LY\LC" measureGroup="StockDC" count="0"/>
    <cacheHierarchy uniqueName="[Measures].[LY Avg DC Stock Cost TRY]" caption="LY Avg DC Stock Cost TRY" measure="1" displayFolder="02_LY\TRY" measureGroup="StockDC" count="0"/>
    <cacheHierarchy uniqueName="[Measures].[LY Avg DC Transit Stock Cost TRY]" caption="LY Avg DC Transit Stock Cost TRY" measure="1" displayFolder="02_LY\TRY" measureGroup="StockDC" count="0"/>
    <cacheHierarchy uniqueName="[Measures].[LY Avg DC Cus Stock Cost TRY]" caption="LY Avg DC Cus Stock Cost TRY" measure="1" displayFolder="02_LY\TRY" measureGroup="StockDC" count="0"/>
    <cacheHierarchy uniqueName="[Measures].[LY Avg DC Stock Cost USD]" caption="LY Avg DC Stock Cost USD" measure="1" displayFolder="02_LY\USD" measureGroup="StockDC" count="0"/>
    <cacheHierarchy uniqueName="[Measures].[LY Avg DC Transit Stock Cost USD]" caption="LY Avg DC Transit Stock Cost USD" measure="1" displayFolder="02_LY\USD" measureGroup="StockDC" count="0"/>
    <cacheHierarchy uniqueName="[Measures].[LY Avg DC Cus Stock Cost USD]" caption="LY Avg DC Cus Stock Cost USD" measure="1" displayFolder="02_LY\USD" measureGroup="StockDC" count="0"/>
    <cacheHierarchy uniqueName="[Measures].[CUR Open Imports DC Stock Unit]" caption="CUR Open Imports DC Stock Unit" measure="1" displayFolder="00_CURRENT" measureGroup="StockDC" count="0"/>
    <cacheHierarchy uniqueName="[Measures].[CUR Open Transfer DC Stock Unit]" caption="CUR Open Transfer DC Stock Unit" measure="1" displayFolder="00_CURRENT" measureGroup="StockDC" count="0"/>
    <cacheHierarchy uniqueName="[Measures].[EOP TY Avg DC Stock Unit]" caption="EOP TY Avg DC Stock Unit" measure="1" displayFolder="01_TY\_UNIT" measureGroup="StockDC" count="0"/>
    <cacheHierarchy uniqueName="[Measures].[EOP TY Avg DC Transit Stock Unit]" caption="EOP TY Avg DC Transit Stock Unit" measure="1" displayFolder="01_TY\_UNIT" measureGroup="StockDC" count="0"/>
    <cacheHierarchy uniqueName="[Measures].[EOP TY Avg DC Cus Stock Unit]" caption="EOP TY Avg DC Cus Stock Unit" measure="1" displayFolder="01_TY\_UNIT" measureGroup="StockDC" count="0"/>
    <cacheHierarchy uniqueName="[Measures].[EOP TY Avg DC Stock Cost LC]" caption="EOP TY Avg DC Stock Cost LC" measure="1" displayFolder="01_TY\LC" measureGroup="StockDC" count="0"/>
    <cacheHierarchy uniqueName="[Measures].[EOP TY Avg DC Transit Stock Cost LC]" caption="EOP TY Avg DC Transit Stock Cost LC" measure="1" displayFolder="01_TY\LC" measureGroup="StockDC" count="0"/>
    <cacheHierarchy uniqueName="[Measures].[EOP TY Avg DC CUS Stock Cost LC]" caption="EOP TY Avg DC CUS Stock Cost LC" measure="1" displayFolder="01_TY\LC" measureGroup="StockDC" count="0"/>
    <cacheHierarchy uniqueName="[Measures].[EOP TY Avg DC Stock Cost TRY]" caption="EOP TY Avg DC Stock Cost TRY" measure="1" displayFolder="01_TY\TRY" measureGroup="StockDC" count="0"/>
    <cacheHierarchy uniqueName="[Measures].[EOP TY Avg DC Cus Stock Cost TRY]" caption="EOP TY Avg DC Cus Stock Cost TRY" measure="1" displayFolder="01_TY\TRY" measureGroup="StockDC" count="0"/>
    <cacheHierarchy uniqueName="[Measures].[EOP TY Avg DC Transit Stock Cost TRY]" caption="EOP TY Avg DC Transit Stock Cost TRY" measure="1" displayFolder="01_TY\TRY" measureGroup="StockDC" count="0"/>
    <cacheHierarchy uniqueName="[Measures].[TY Avg DC Other Stock Unit]" caption="TY Avg DC Other Stock Unit" measure="1" displayFolder="01_TY\_UNIT" measureGroup="StockDC" count="0"/>
    <cacheHierarchy uniqueName="[Measures].[EOP TY Avg DC Other Stock Unit]" caption="EOP TY Avg DC Other Stock Unit" measure="1" displayFolder="01_TY\_UNIT" measureGroup="StockDC" count="0"/>
    <cacheHierarchy uniqueName="[Measures].[TY Avg DC Other Stock Cost LC]" caption="TY Avg DC Other Stock Cost LC" measure="1" displayFolder="01_TY\LC" measureGroup="StockDC" count="0"/>
    <cacheHierarchy uniqueName="[Measures].[EOP TY Avg DC Other Stock Cost LC]" caption="EOP TY Avg DC Other Stock Cost LC" measure="1" displayFolder="01_TY\LC" measureGroup="StockDC" count="0"/>
    <cacheHierarchy uniqueName="[Measures].[TY Avg DC Other Stock Cost TRY]" caption="TY Avg DC Other Stock Cost TRY" measure="1" displayFolder="01_TY\TRY" measureGroup="StockDC" count="0"/>
    <cacheHierarchy uniqueName="[Measures].[EOP TY Avg DC Other Stock Cost TRY]" caption="EOP TY Avg DC Other Stock Cost TRY" measure="1" displayFolder="01_TY\TRY" measureGroup="StockDC" count="0"/>
    <cacheHierarchy uniqueName="[Measures].[TY Avg DC Other Stock Cost USD]" caption="TY Avg DC Other Stock Cost USD" measure="1" displayFolder="01_TY\USD" measureGroup="StockDC" count="0"/>
    <cacheHierarchy uniqueName="[Measures].[EOP TY Avg DC Stock Cost USD]" caption="EOP TY Avg DC Stock Cost USD" measure="1" displayFolder="01_TY\USD" measureGroup="StockDC" count="0"/>
    <cacheHierarchy uniqueName="[Measures].[EOP TY Avg DC Transit Stock Cost USD]" caption="EOP TY Avg DC Transit Stock Cost USD" measure="1" displayFolder="01_TY\USD" measureGroup="StockDC" count="0"/>
    <cacheHierarchy uniqueName="[Measures].[EOP TY Avg DC Cus Stock Cost USD]" caption="EOP TY Avg DC Cus Stock Cost USD" measure="1" displayFolder="01_TY\USD" measureGroup="StockDC" count="0"/>
    <cacheHierarchy uniqueName="[Measures].[EOP TY Avg DC Other Stock Cost USD]" caption="EOP TY Avg DC Other Stock Cost USD" measure="1" displayFolder="01_TY\USD" measureGroup="StockDC" count="0"/>
    <cacheHierarchy uniqueName="[Measures].[LY Avg DC Other Stock Unit]" caption="LY Avg DC Other Stock Unit" measure="1" displayFolder="02_LY\_UNIT" measureGroup="StockDC" count="0"/>
    <cacheHierarchy uniqueName="[Measures].[LY Avg DC Other Stock Cost LC]" caption="LY Avg DC Other Stock Cost LC" measure="1" displayFolder="02_LY\LC" measureGroup="StockDC" count="0"/>
    <cacheHierarchy uniqueName="[Measures].[LY Avg DC Other Stock Cost TRY]" caption="LY Avg DC Other Stock Cost TRY" measure="1" displayFolder="02_LY\TRY" measureGroup="StockDC" count="0"/>
    <cacheHierarchy uniqueName="[Measures].[LY Avg DC Other Stock Cost USD]" caption="LY Avg DC Other Stock Cost USD" measure="1" displayFolder="02_LY\USD" measureGroup="StockDC" count="0"/>
    <cacheHierarchy uniqueName="[Measures].[EOP Goods Receipt PO DC Stock Unit]" caption="EOP Goods Receipt PO DC Stock Unit" measure="1" displayFolder="01_TY\_UNIT" measureGroup="StockDC" count="0"/>
    <cacheHierarchy uniqueName="[Measures].[EOP Goods Receipt PO DC Transit Stock Unit]" caption="EOP Goods Receipt PO DC Transit Stock Unit" measure="1" displayFolder="01_TY\_UNIT" measureGroup="StockDC" count="0"/>
    <cacheHierarchy uniqueName="[Measures].[EOP Goods Receipt PO DC Cus Stock Unit]" caption="EOP Goods Receipt PO DC Cus Stock Unit" measure="1" displayFolder="01_TY\_UNIT" measureGroup="StockDC" count="0"/>
    <cacheHierarchy uniqueName="[Measures].[EOP Goods Receipt PO DC Other Stock Unit]" caption="EOP Goods Receipt PO DC Other Stock Unit" measure="1" displayFolder="01_TY\_UNIT" measureGroup="StockDC" count="0"/>
    <cacheHierarchy uniqueName="[Measures].[CUR Available DC Stock Unit]" caption="CUR Available DC Stock Unit" measure="1" displayFolder="00_CURRENT" measureGroup="StockDC" count="0"/>
    <cacheHierarchy uniqueName="[Measures].[CUR Real DC Stock Unit]" caption="CUR Real DC Stock Unit" measure="1" displayFolder="00_CURRENT" measureGroup="StockDC" count="0"/>
    <cacheHierarchy uniqueName="[Measures].[CUR Open Delivery DC Stock Unit]" caption="CUR Open Delivery DC Stock Unit" measure="1" displayFolder="00_CURRENT" measureGroup="StockDC" count="0"/>
    <cacheHierarchy uniqueName="[Measures].[CUR Open Order DC Stock Unit]" caption="CUR Open Order DC Stock Unit" measure="1" displayFolder="00_CURRENT" measureGroup="StockDC" count="0"/>
    <cacheHierarchy uniqueName="[Measures].[CUR Open Sto DC Stock Unit]" caption="CUR Open Sto DC Stock Unit" measure="1" displayFolder="00_CURRENT" measureGroup="StockDC" count="0"/>
    <cacheHierarchy uniqueName="[Measures].[CUR Safety DC Stock Unit]" caption="CUR Safety DC Stock Unit" measure="1" displayFolder="00_CURRENT" measureGroup="StockDC" count="0"/>
    <cacheHierarchy uniqueName="[Measures].[CUR Buffer DC Stock Unit]" caption="CUR Buffer DC Stock Unit" measure="1" displayFolder="00_CURRENT" measureGroup="StockDC" count="0"/>
    <cacheHierarchy uniqueName="[Measures].[CUR Unapproved Order DC Stock Unit]" caption="CUR Unapproved Order DC Stock Unit" measure="1" displayFolder="00_CURRENT" measureGroup="StockDC" count="0"/>
    <cacheHierarchy uniqueName="[Measures].[EOP LY DC Transit Stock Unit]" caption="EOP LY DC Transit Stock Unit" measure="1" displayFolder="02_LY\_UNIT" measureGroup="StockDC" count="0"/>
    <cacheHierarchy uniqueName="[Measures].[EOP LY DC Cus Stock Unit]" caption="EOP LY DC Cus Stock Unit" measure="1" displayFolder="02_LY\_UNIT" measureGroup="StockDC" count="0"/>
    <cacheHierarchy uniqueName="[Measures].[EOP LY DC Other Stock Unit]" caption="EOP LY DC Other Stock Unit" measure="1" displayFolder="02_LY\_UNIT" measureGroup="StockDC" count="0"/>
    <cacheHierarchy uniqueName="[Measures].[EOP LY DC Stock Unit]" caption="EOP LY DC Stock Unit" measure="1" displayFolder="02_LY\_UNIT" measureGroup="StockDC" count="0"/>
    <cacheHierarchy uniqueName="[Measures].[TY Avg Store Stock Unit]" caption="TY Avg Store Stock Unit" measure="1" displayFolder="01_TY\_UNIT" measureGroup="StockStore" count="0"/>
    <cacheHierarchy uniqueName="[Measures].[TY Avg Store Transit Stock Unit]" caption="TY Avg Store Transit Stock Unit" measure="1" displayFolder="01_TY\_UNIT" measureGroup="StockStore" count="0"/>
    <cacheHierarchy uniqueName="[Measures].[TY Avg Store Stock Cost LC]" caption="TY Avg Store Stock Cost LC" measure="1" displayFolder="01_TY\LC" measureGroup="StockStore" count="0"/>
    <cacheHierarchy uniqueName="[Measures].[TY Avg Store Transit Stock Cost LC]" caption="TY Avg Store Transit Stock Cost LC" measure="1" displayFolder="01_TY\LC" measureGroup="StockStore" count="0"/>
    <cacheHierarchy uniqueName="[Measures].[TY LFL Avg Store Stock Unit]" caption="TY LFL Avg Store Stock Unit" measure="1" displayFolder="02_TYLFL\_UNIT" measureGroup="StockStore" count="0"/>
    <cacheHierarchy uniqueName="[Measures].[TY LFL Avg Store Transit Stock Unit]" caption="TY LFL Avg Store Transit Stock Unit" measure="1" displayFolder="02_TYLFL\_UNIT" measureGroup="StockStore" count="0"/>
    <cacheHierarchy uniqueName="[Measures].[TY LFL Avg Store Stock Cost LC]" caption="TY LFL Avg Store Stock Cost LC" measure="1" displayFolder="02_TYLFL\LC" measureGroup="StockStore" count="0"/>
    <cacheHierarchy uniqueName="[Measures].[TY LFL Avg Store Transit Stock Cost LC]" caption="TY LFL Avg Store Transit Stock Cost LC" measure="1" displayFolder="02_TYLFL\LC" measureGroup="StockStore" count="0"/>
    <cacheHierarchy uniqueName="[Measures].[TY Avg Store Stock Cost TRY]" caption="TY Avg Store Stock Cost TRY" measure="1" displayFolder="01_TY\TRY" measureGroup="StockStore" count="0"/>
    <cacheHierarchy uniqueName="[Measures].[TY Avg Store Transit Stock Cost TRY]" caption="TY Avg Store Transit Stock Cost TRY" measure="1" displayFolder="01_TY\TRY" measureGroup="StockStore" count="0"/>
    <cacheHierarchy uniqueName="[Measures].[TY Avg Store Stock Cost USD]" caption="TY Avg Store Stock Cost USD" measure="1" displayFolder="01_TY\USD" measureGroup="StockStore" count="0"/>
    <cacheHierarchy uniqueName="[Measures].[TY Avg Store Transit Stock Cost USD]" caption="TY Avg Store Transit Stock Cost USD" measure="1" displayFolder="01_TY\USD" measureGroup="StockStore" count="0"/>
    <cacheHierarchy uniqueName="[Measures].[TY LFL Avg Store Stock Cost TRY]" caption="TY LFL Avg Store Stock Cost TRY" measure="1" displayFolder="02_TYLFL\TRY" measureGroup="StockStore" count="0"/>
    <cacheHierarchy uniqueName="[Measures].[TY LFL Avg Store Transit Stock Cost TRY]" caption="TY LFL Avg Store Transit Stock Cost TRY" measure="1" displayFolder="02_TYLFL\TRY" measureGroup="StockStore" count="0"/>
    <cacheHierarchy uniqueName="[Measures].[TY LFL Avg Store Stock Cost USD]" caption="TY LFL Avg Store Stock Cost USD" measure="1" displayFolder="02_TYLFL\USD" measureGroup="StockStore" count="0"/>
    <cacheHierarchy uniqueName="[Measures].[TY LFL Avg Store Transit Stock Cost USD]" caption="TY LFL Avg Store Transit Stock Cost USD" measure="1" displayFolder="02_TYLFL\USD" measureGroup="StockStore" count="0"/>
    <cacheHierarchy uniqueName="[Measures].[StockLastProcessTime]" caption="StockLastProcessTime" measure="1" displayFolder="00_INFO" measureGroup="StockStore" count="0"/>
    <cacheHierarchy uniqueName="[Measures].[LY Avg Store Stock Unit]" caption="LY Avg Store Stock Unit" measure="1" displayFolder="03_LY\_UNIT" measureGroup="StockStore" count="0"/>
    <cacheHierarchy uniqueName="[Measures].[LY Avg Store Transit Stock Unit]" caption="LY Avg Store Transit Stock Unit" measure="1" displayFolder="03_LY\_UNIT" measureGroup="StockStore" count="0"/>
    <cacheHierarchy uniqueName="[Measures].[LY Avg Store Stock Cost LC]" caption="LY Avg Store Stock Cost LC" measure="1" displayFolder="03_LY\LC" measureGroup="StockStore" count="0"/>
    <cacheHierarchy uniqueName="[Measures].[LY Avg Store Transit Stock Cost LC]" caption="LY Avg Store Transit Stock Cost LC" measure="1" displayFolder="03_LY\LC" measureGroup="StockStore" count="0"/>
    <cacheHierarchy uniqueName="[Measures].[LY Avg Store Stock Cost TRY]" caption="LY Avg Store Stock Cost TRY" measure="1" displayFolder="03_LY\TRY" measureGroup="StockStore" count="0"/>
    <cacheHierarchy uniqueName="[Measures].[LY Avg Store Transit Stock Cost TRY]" caption="LY Avg Store Transit Stock Cost TRY" measure="1" displayFolder="03_LY\TRY" measureGroup="StockStore" count="0"/>
    <cacheHierarchy uniqueName="[Measures].[LY Avg Store Stock Cost USD]" caption="LY Avg Store Stock Cost USD" measure="1" displayFolder="03_LY\USD" measureGroup="StockStore" count="0"/>
    <cacheHierarchy uniqueName="[Measures].[LY Avg Store Transit Stock Cost USD]" caption="LY Avg Store Transit Stock Cost USD" measure="1" displayFolder="03_LY\USD" measureGroup="StockStore" count="0"/>
    <cacheHierarchy uniqueName="[Measures].[LY LFL Avg Store Stock Unit]" caption="LY LFL Avg Store Stock Unit" measure="1" displayFolder="04_LYLFL\_UNIT" measureGroup="StockStore" count="0"/>
    <cacheHierarchy uniqueName="[Measures].[LY LFL Avg Store Transit Stock Unit]" caption="LY LFL Avg Store Transit Stock Unit" measure="1" displayFolder="04_LYLFL\_UNIT" measureGroup="StockStore" count="0"/>
    <cacheHierarchy uniqueName="[Measures].[LY LFL Avg Store Stock Cost LC]" caption="LY LFL Avg Store Stock Cost LC" measure="1" displayFolder="04_LYLFL\LC" measureGroup="StockStore" count="0"/>
    <cacheHierarchy uniqueName="[Measures].[LY LFL Avg Store Transit Stock Cost LC]" caption="LY LFL Avg Store Transit Stock Cost LC" measure="1" displayFolder="04_LYLFL\LC" measureGroup="StockStore" count="0"/>
    <cacheHierarchy uniqueName="[Measures].[LY LFL Avg Store Stock Cost TRY]" caption="LY LFL Avg Store Stock Cost TRY" measure="1" displayFolder="04_LYLFL\TRY" measureGroup="StockStore" count="0"/>
    <cacheHierarchy uniqueName="[Measures].[LY LFL Avg Store Transit Stock Cost TRY]" caption="LY LFL Avg Store Transit Stock Cost TRY" measure="1" displayFolder="04_LYLFL\TRY" measureGroup="StockStore" count="0"/>
    <cacheHierarchy uniqueName="[Measures].[LY LFL Avg Store Stock Cost USD]" caption="LY LFL Avg Store Stock Cost USD" measure="1" displayFolder="04_LYLFL\USD" measureGroup="StockStore" count="0"/>
    <cacheHierarchy uniqueName="[Measures].[LY LFL Avg Store Transit Stock Cost USD]" caption="LY LFL Avg Store Transit Stock Cost USD" measure="1" displayFolder="04_LYLFL\USD" measureGroup="StockStore" count="0"/>
    <cacheHierarchy uniqueName="[Measures].[CUR Open Imports Store Stock Unit]" caption="CUR Open Imports Store Stock Unit" measure="1" displayFolder="00_CURRENT" measureGroup="StockStore" count="0"/>
    <cacheHierarchy uniqueName="[Measures].[CUR Open Transfer Store Stock Unit]" caption="CUR Open Transfer Store Stock Unit" measure="1" displayFolder="00_CURRENT" measureGroup="StockStore" count="0"/>
    <cacheHierarchy uniqueName="[Measures].[EOP TY Store Stock Unit]" caption="EOP TY Store Stock Unit" measure="1" displayFolder="01_TY\_UNIT" measureGroup="StockStore" count="0"/>
    <cacheHierarchy uniqueName="[Measures].[EOP TY Avg Store Stock Cost LC]" caption="EOP TY Avg Store Stock Cost LC" measure="1" displayFolder="01_TY\LC" measureGroup="StockStore" count="0"/>
    <cacheHierarchy uniqueName="[Measures].[EOP TY Store Transit Stock Unit]" caption="EOP TY Store Transit Stock Unit" measure="1" displayFolder="01_TY\_UNIT" measureGroup="StockStore" count="0"/>
    <cacheHierarchy uniqueName="[Measures].[EOP TY Avg Store Transit Stock Cost LC]" caption="EOP TY Avg Store Transit Stock Cost LC" measure="1" displayFolder="01_TY\LC" measureGroup="StockStore" count="0"/>
    <cacheHierarchy uniqueName="[Measures].[EOP TY Avg Store Stock Cost TRY]" caption="EOP TY Avg Store Stock Cost TRY" measure="1" displayFolder="01_TY\TRY" measureGroup="StockStore" count="0"/>
    <cacheHierarchy uniqueName="[Measures].[EOP TY Avg Store Transit Stock Cost TRY]" caption="EOP TY Avg Store Transit Stock Cost TRY" measure="1" displayFolder="01_TY\TRY" measureGroup="StockStore" count="0"/>
    <cacheHierarchy uniqueName="[Measures].[EOP LY Store Stock Unit]" caption="EOP LY Store Stock Unit" measure="1" displayFolder="03_LY\_UNIT" measureGroup="StockStore" count="0"/>
    <cacheHierarchy uniqueName="[Measures].[EOP LY Store Transit Stock Unit]" caption="EOP LY Store Transit Stock Unit" measure="1" displayFolder="03_LY\_UNIT" measureGroup="StockStore" count="0"/>
    <cacheHierarchy uniqueName="[Measures].[EOP LY Avg Store Stock Cost LC]" caption="EOP LY Avg Store Stock Cost LC" measure="1" displayFolder="03_LY\LC" measureGroup="StockStore" count="0"/>
    <cacheHierarchy uniqueName="[Measures].[EOP LY Avg Store Transit Stock Cost LC]" caption="EOP LY Avg Store Transit Stock Cost LC" measure="1" displayFolder="03_LY\LC" measureGroup="StockStore" count="0"/>
    <cacheHierarchy uniqueName="[Measures].[EOP LY Avg Store Stock Cost TRY]" caption="EOP LY Avg Store Stock Cost TRY" measure="1" displayFolder="03_LY\TRY" measureGroup="StockStore" count="0"/>
    <cacheHierarchy uniqueName="[Measures].[EOP LY Avg Store Transit Stock Cost TRY]" caption="EOP LY Avg Store Transit Stock Cost TRY" measure="1" displayFolder="03_LY\TRY" measureGroup="StockStore" count="0"/>
    <cacheHierarchy uniqueName="[Measures].[TY Avg Store Other Stock Unit]" caption="TY Avg Store Other Stock Unit" measure="1" displayFolder="01_TY\_UNIT" measureGroup="StockStore" count="0"/>
    <cacheHierarchy uniqueName="[Measures].[TY LFL Avg Store Other Stock Unit]" caption="TY LFL Avg Store Other Stock Unit" measure="1" displayFolder="02_TYLFL\_UNIT" measureGroup="StockStore" count="0"/>
    <cacheHierarchy uniqueName="[Measures].[LY Avg Store Other Stock Unit]" caption="LY Avg Store Other Stock Unit" measure="1" displayFolder="03_LY\_UNIT" measureGroup="StockStore" count="0"/>
    <cacheHierarchy uniqueName="[Measures].[LY LFL Avg Store Other Stock Unit]" caption="LY LFL Avg Store Other Stock Unit" measure="1" displayFolder="04_LYLFL\_UNIT" measureGroup="StockStore" count="0"/>
    <cacheHierarchy uniqueName="[Measures].[TY Avg Company Stock Unit]" caption="TY Avg Company Stock Unit" measure="1" displayFolder="01_TY\_UNIT" measureGroup="StockStore" count="0"/>
    <cacheHierarchy uniqueName="[Measures].[TY Avg Store Other Stock Cost TRY]" caption="TY Avg Store Other Stock Cost TRY" measure="1" displayFolder="01_TY\TRY" measureGroup="StockStore" count="0"/>
    <cacheHierarchy uniqueName="[Measures].[EOP TY Avg Company Stock Cost TRY]" caption="EOP TY Avg Company Stock Cost TRY" measure="1" displayFolder="01_TY\TRY" measureGroup="StockStore" count="0"/>
    <cacheHierarchy uniqueName="[Measures].[EOP TY Avg Store Other Stock Cost TRY]" caption="EOP TY Avg Store Other Stock Cost TRY" measure="1" displayFolder="01_TY\TRY" measureGroup="StockStore" count="0"/>
    <cacheHierarchy uniqueName="[Measures].[TY Avg StoreOther Stock Cost LC]" caption="TY Avg StoreOther Stock Cost LC" measure="1" displayFolder="01_TY\LC" measureGroup="StockStore" count="0"/>
    <cacheHierarchy uniqueName="[Measures].[EOP TY Avg Store Other Stock Cost LC]" caption="EOP TY Avg Store Other Stock Cost LC" measure="1" displayFolder="01_TY\LC" measureGroup="StockStore" count="0"/>
    <cacheHierarchy uniqueName="[Measures].[TY Avg Store Other Stock Cost USD]" caption="TY Avg Store Other Stock Cost USD" measure="1" displayFolder="01_TY\USD" measureGroup="StockStore" count="0"/>
    <cacheHierarchy uniqueName="[Measures].[TY Avg Company Stock Cost TRY]" caption="TY Avg Company Stock Cost TRY" measure="1" displayFolder="01_TY\TRY" measureGroup="StockStore" count="0"/>
    <cacheHierarchy uniqueName="[Measures].[TY Avg Company Stock Cost LC]" caption="TY Avg Company Stock Cost LC" measure="1" displayFolder="01_TY\LC" measureGroup="StockStore" count="0"/>
    <cacheHierarchy uniqueName="[Measures].[TY Avg Company Stock Cost USD]" caption="TY Avg Company Stock Cost USD" measure="1" displayFolder="01_TY\USD" measureGroup="StockStore" count="0"/>
    <cacheHierarchy uniqueName="[Measures].[TY Avg Store Other Stock Cost LC]" caption="TY Avg Store Other Stock Cost LC" measure="1" displayFolder="01_TY\LC" measureGroup="StockStore" count="0"/>
    <cacheHierarchy uniqueName="[Measures].[LY Avg Company Stock Unit]" caption="LY Avg Company Stock Unit" measure="1" displayFolder="03_LY\_UNIT" measureGroup="StockStore" count="0"/>
    <cacheHierarchy uniqueName="[Measures].[LY Avg Company Stock Cost LC]" caption="LY Avg Company Stock Cost LC" measure="1" displayFolder="03_LY\LC" measureGroup="StockStore" count="0"/>
    <cacheHierarchy uniqueName="[Measures].[LY Avg Store Other Stock Cost LC]" caption="LY Avg Store Other Stock Cost LC" measure="1" displayFolder="03_LY\LC" measureGroup="StockStore" count="0"/>
    <cacheHierarchy uniqueName="[Measures].[LY Avg Company Stock Cost TRY]" caption="LY Avg Company Stock Cost TRY" measure="1" displayFolder="03_LY\TRY" measureGroup="StockStore" count="0"/>
    <cacheHierarchy uniqueName="[Measures].[LY Avg Company Stock Cost USD]" caption="LY Avg Company Stock Cost USD" measure="1" displayFolder="03_LY\USD" measureGroup="StockStore" count="0"/>
    <cacheHierarchy uniqueName="[Measures].[EOP TY Company Stock Unit]" caption="EOP TY Company Stock Unit" measure="1" displayFolder="01_TY\_UNIT" measureGroup="StockStore" count="0"/>
    <cacheHierarchy uniqueName="[Measures].[EOP TY Store Other Stock Unit]" caption="EOP TY Store Other Stock Unit" measure="1" displayFolder="01_TY\_UNIT" measureGroup="StockStore" count="0"/>
    <cacheHierarchy uniqueName="[Measures].[EOP TY Company Stock Cost TRY]" caption="EOP TY Company Stock Cost TRY" measure="1" displayFolder="01_TY\TRY" measureGroup="StockStore" count="0"/>
    <cacheHierarchy uniqueName="[Measures].[Cur Unit ISP VAT LC]" caption="Cur Unit ISP VAT LC" measure="1" displayFolder="00_CURRENT" measureGroup="StockStore" count="0"/>
    <cacheHierarchy uniqueName="[Measures].[Cur Discounted Unit ISP VAT LC]" caption="Cur Discounted Unit ISP VAT LC" measure="1" displayFolder="00_CURRENT" measureGroup="StockStore" count="0"/>
    <cacheHierarchy uniqueName="[Measures].[CUR Available Store Stock Unit]" caption="CUR Available Store Stock Unit" measure="1" displayFolder="00_CURRENT" measureGroup="StockStore" count="0"/>
    <cacheHierarchy uniqueName="[Measures].[CUR Real Store Stock Unit]" caption="CUR Real Store Stock Unit" measure="1" displayFolder="00_CURRENT" measureGroup="StockStore" count="0"/>
    <cacheHierarchy uniqueName="[Measures].[CUR Open Delivery Store Stock Unit]" caption="CUR Open Delivery Store Stock Unit" measure="1" displayFolder="00_CURRENT" measureGroup="StockStore" count="0"/>
    <cacheHierarchy uniqueName="[Measures].[CUR Open Sto Store Stock Unit]" caption="CUR Open Sto Store Stock Unit" measure="1" displayFolder="00_CURRENT" measureGroup="StockStore" count="0"/>
    <cacheHierarchy uniqueName="[Measures].[CUR Safety Store Stock Unit]" caption="CUR Safety Store Stock Unit" measure="1" displayFolder="00_CURRENT" measureGroup="StockStore" count="0"/>
    <cacheHierarchy uniqueName="[Measures].[CUR Buffer Store Stock Unit]" caption="CUR Buffer Store Stock Unit" measure="1" displayFolder="00_CURRENT" measureGroup="StockStore" count="0"/>
    <cacheHierarchy uniqueName="[Measures].[CUR Unapproved Order Store Stock Unit]" caption="CUR Unapproved Order Store Stock Unit" measure="1" displayFolder="00_CURRENT" measureGroup="StockStore" count="0"/>
    <cacheHierarchy uniqueName="[Measures].[OrderLastProcessTime]" caption="OrderLastProcessTime" measure="1" displayFolder="00_INFO" measureGroup="StockStore" count="0"/>
    <cacheHierarchy uniqueName="[Measures].[AvailableStockProcessTime]" caption="AvailableStockProcessTime" measure="1" displayFolder="00_INFO" measureGroup="StockStore" count="0"/>
    <cacheHierarchy uniqueName="[Measures].[EOP LY Company Stock Unit]" caption="EOP LY Company Stock Unit" measure="1" displayFolder="03_LY\_UNIT" measureGroup="StockStore" count="0"/>
    <cacheHierarchy uniqueName="[Measures].[EOP LY Store Other Stock Unit]" caption="EOP LY Store Other Stock Unit" measure="1" displayFolder="03_LY\_UNIT" measureGroup="StockStore" count="0"/>
    <cacheHierarchy uniqueName="[Measures].[CUR Open Order Store Stock Unit]" caption="CUR Open Order Store Stock Unit" measure="1" displayFolder="00_CURRENT" measureGroup="StockStore" count="0"/>
    <cacheHierarchy uniqueName="[Measures].[EOP TY Store Stock Dm3]" caption="EOP TY Store Stock Dm3" measure="1" displayFolder="01_TY\_VOLUME" measureGroup="StockStore" count="0"/>
    <cacheHierarchy uniqueName="[Measures].[TY Avg Store Stock Dm3]" caption="TY Avg Store Stock Dm3" measure="1" displayFolder="01_TY\_VOLUME" measureGroup="StockStore" count="0"/>
    <cacheHierarchy uniqueName="[Measures].[EOP TY Store Transit Stock Dm3]" caption="EOP TY Store Transit Stock Dm3" measure="1" displayFolder="01_TY\_VOLUME" measureGroup="StockStore" count="0"/>
    <cacheHierarchy uniqueName="[Measures].[CUR Open Transfer Store Stock Dm3]" caption="CUR Open Transfer Store Stock Dm3" measure="1" displayFolder="00_CURRENT" measureGroup="StockStore" count="0"/>
    <cacheHierarchy uniqueName="[Measures].[CUR Unapproved Order Store Stock Dm3]" caption="CUR Unapproved Order Store Stock Dm3" measure="1" displayFolder="00_CURRENT" measureGroup="StockStore" count="0"/>
    <cacheHierarchy uniqueName="[Measures].[TY Sales Unit]" caption="TY Sales Unit" measure="1" displayFolder="01_TY\_UNIT" measureGroup="Sales" count="0"/>
    <cacheHierarchy uniqueName="[Measures].[TY Sales Value VAT LC]" caption="TY Sales Value VAT LC" measure="1" displayFolder="01_TY\LC" measureGroup="Sales" count="0"/>
    <cacheHierarchy uniqueName="[Measures].[TY Sales Value LC]" caption="TY Sales Value LC" measure="1" displayFolder="01_TY\LC" measureGroup="Sales" count="0"/>
    <cacheHierarchy uniqueName="[Measures].[TY Sales Cost VAT LC]" caption="TY Sales Cost VAT LC" measure="1" displayFolder="01_TY\LC" measureGroup="Sales" count="0"/>
    <cacheHierarchy uniqueName="[Measures].[TY Sales Cost LC]" caption="TY Sales Cost LC" measure="1" displayFolder="01_TY\LC" measureGroup="Sales" count="0"/>
    <cacheHierarchy uniqueName="[Measures].[TY ISP Sales Value VAT LC]" caption="TY ISP Sales Value VAT LC" measure="1" displayFolder="01_TY\LC" measureGroup="Sales" count="0"/>
    <cacheHierarchy uniqueName="[Measures].[TY ISP Sales Value LC]" caption="TY ISP Sales Value LC" measure="1" displayFolder="01_TY\LC" measureGroup="Sales" count="0"/>
    <cacheHierarchy uniqueName="[Measures].[TY Sales Discount Value VAT LC]" caption="TY Sales Discount Value VAT LC" measure="1" displayFolder="01_TY\LC" measureGroup="Sales" count="0"/>
    <cacheHierarchy uniqueName="[Measures].[TY Sales Discount Value LC]" caption="TY Sales Discount Value LC" measure="1" displayFolder="01_TY\LC" measureGroup="Sales" count="0"/>
    <cacheHierarchy uniqueName="[Measures].[TY Sales Value VAT TRY]" caption="TY Sales Value VAT TRY" measure="1" displayFolder="01_TY\TRY" measureGroup="Sales" count="0"/>
    <cacheHierarchy uniqueName="[Measures].[TY Sales Value TRY]" caption="TY Sales Value TRY" measure="1" displayFolder="01_TY\TRY" measureGroup="Sales" count="0"/>
    <cacheHierarchy uniqueName="[Measures].[TY Sales Cost VAT TRY]" caption="TY Sales Cost VAT TRY" measure="1" displayFolder="01_TY\TRY" measureGroup="Sales" count="0"/>
    <cacheHierarchy uniqueName="[Measures].[TY Sales Cost TRY]" caption="TY Sales Cost TRY" measure="1" displayFolder="01_TY\TRY" measureGroup="Sales" count="0"/>
    <cacheHierarchy uniqueName="[Measures].[TY ISP Sales Value VAT TRY]" caption="TY ISP Sales Value VAT TRY" measure="1" displayFolder="01_TY\TRY" measureGroup="Sales" count="0"/>
    <cacheHierarchy uniqueName="[Measures].[TY ISP Sales Value TRY]" caption="TY ISP Sales Value TRY" measure="1" displayFolder="01_TY\TRY" measureGroup="Sales" count="0"/>
    <cacheHierarchy uniqueName="[Measures].[TY Sales Discount Value VAT TRY]" caption="TY Sales Discount Value VAT TRY" measure="1" displayFolder="01_TY\TRY" measureGroup="Sales" count="0"/>
    <cacheHierarchy uniqueName="[Measures].[TY Sales Discount Value TRY]" caption="TY Sales Discount Value TRY" measure="1" displayFolder="01_TY\TRY" measureGroup="Sales" count="0"/>
    <cacheHierarchy uniqueName="[Measures].[TY Invoice Count]" caption="TY Invoice Count" measure="1" displayFolder="01_TY\_UNIT" measureGroup="Sales" count="0"/>
    <cacheHierarchy uniqueName="[Measures].[TY Return Invoice Count]" caption="TY Return Invoice Count" measure="1" displayFolder="01_TY\_UNIT" measureGroup="Sales" count="0"/>
    <cacheHierarchy uniqueName="[Measures].[TY Gross Invoice Count]" caption="TY Gross Invoice Count" measure="1" displayFolder="01_TY\_UNIT" measureGroup="Sales" count="0"/>
    <cacheHierarchy uniqueName="[Measures].[SalesLastProcessTime]" caption="SalesLastProcessTime" measure="1" displayFolder="00_INFO" measureGroup="Sales" count="0"/>
    <cacheHierarchy uniqueName="[Measures].[TY LFL Gross Invoice Count]" caption="TY LFL Gross Invoice Count" measure="1" displayFolder="02_TYLFL\_UNIT" measureGroup="Sales" count="0"/>
    <cacheHierarchy uniqueName="[Measures].[TY LFL Return Invoice Count]" caption="TY LFL Return Invoice Count" measure="1" displayFolder="02_TYLFL\_UNIT" measureGroup="Sales" count="0"/>
    <cacheHierarchy uniqueName="[Measures].[TY LFL Invoice Count]" caption="TY LFL Invoice Count" measure="1" displayFolder="02_TYLFL\_UNIT" measureGroup="Sales" count="0"/>
    <cacheHierarchy uniqueName="[Measures].[LY Sales Unit]" caption="LY Sales Unit" measure="1" displayFolder="03_LY\_UNIT" measureGroup="Sales" count="0"/>
    <cacheHierarchy uniqueName="[Measures].[LY Sales Value VAT LC]" caption="LY Sales Value VAT LC" measure="1" displayFolder="03_LY\LC" measureGroup="Sales" count="0"/>
    <cacheHierarchy uniqueName="[Measures].[LY Sales Value LC]" caption="LY Sales Value LC" measure="1" displayFolder="03_LY\LC" measureGroup="Sales" count="0"/>
    <cacheHierarchy uniqueName="[Measures].[LY Sales Cost VAT LC]" caption="LY Sales Cost VAT LC" measure="1" displayFolder="03_LY\LC" measureGroup="Sales" count="0"/>
    <cacheHierarchy uniqueName="[Measures].[LY Sales Cost LC]" caption="LY Sales Cost LC" measure="1" displayFolder="03_LY\LC" measureGroup="Sales" count="0"/>
    <cacheHierarchy uniqueName="[Measures].[LY ISP Sales Value VAT LC]" caption="LY ISP Sales Value VAT LC" measure="1" displayFolder="03_LY\LC" measureGroup="Sales" count="0"/>
    <cacheHierarchy uniqueName="[Measures].[LY ISP Sales Value LC]" caption="LY ISP Sales Value LC" measure="1" displayFolder="03_LY\LC" measureGroup="Sales" count="0"/>
    <cacheHierarchy uniqueName="[Measures].[LY Sales Discount Value VAT LC]" caption="LY Sales Discount Value VAT LC" measure="1" displayFolder="03_LY\LC" measureGroup="Sales" count="0"/>
    <cacheHierarchy uniqueName="[Measures].[LY Sales Discount Value LC]" caption="LY Sales Discount Value LC" measure="1" displayFolder="03_LY\LC" measureGroup="Sales" count="0"/>
    <cacheHierarchy uniqueName="[Measures].[LY Invoice Count]" caption="LY Invoice Count" measure="1" displayFolder="03_LY\_UNIT" measureGroup="Sales" count="0"/>
    <cacheHierarchy uniqueName="[Measures].[LY Gross Invoice Count]" caption="LY Gross Invoice Count" measure="1" displayFolder="03_LY\_UNIT" measureGroup="Sales" count="0"/>
    <cacheHierarchy uniqueName="[Measures].[LY Return Invoice Count]" caption="LY Return Invoice Count" measure="1" displayFolder="03_LY\_UNIT" measureGroup="Sales" count="0"/>
    <cacheHierarchy uniqueName="[Measures].[TY LFL Sales Unit]" caption="TY LFL Sales Unit" measure="1" displayFolder="02_TYLFL\_UNIT" measureGroup="Sales" count="0"/>
    <cacheHierarchy uniqueName="[Measures].[TY LFL Sales Value VAT LC]" caption="TY LFL Sales Value VAT LC" measure="1" displayFolder="02_TYLFL\LC" measureGroup="Sales" count="0"/>
    <cacheHierarchy uniqueName="[Measures].[TY LFL Sales Value LC]" caption="TY LFL Sales Value LC" measure="1" displayFolder="02_TYLFL\LC" measureGroup="Sales" count="0"/>
    <cacheHierarchy uniqueName="[Measures].[TY LFL Sales Cost VAT LC]" caption="TY LFL Sales Cost VAT LC" measure="1" displayFolder="02_TYLFL\LC" measureGroup="Sales" count="0"/>
    <cacheHierarchy uniqueName="[Measures].[TY LFL Sales Cost LC]" caption="TY LFL Sales Cost LC" measure="1" displayFolder="02_TYLFL\LC" measureGroup="Sales" count="0"/>
    <cacheHierarchy uniqueName="[Measures].[TY LFL ISP Sales Value VAT LC]" caption="TY LFL ISP Sales Value VAT LC" measure="1" displayFolder="02_TYLFL\LC" measureGroup="Sales" count="0"/>
    <cacheHierarchy uniqueName="[Measures].[TY LFL ISP Sales Value LC]" caption="TY LFL ISP Sales Value LC" measure="1" displayFolder="02_TYLFL\LC" measureGroup="Sales" count="0"/>
    <cacheHierarchy uniqueName="[Measures].[TY LFL Sales Discount Value VAT LC]" caption="TY LFL Sales Discount Value VAT LC" measure="1" displayFolder="02_TYLFL\LC" measureGroup="Sales" count="0"/>
    <cacheHierarchy uniqueName="[Measures].[TY LFL Sales Discount Value LC]" caption="TY LFL Sales Discount Value LC" measure="1" displayFolder="02_TYLFL\LC" measureGroup="Sales" count="0"/>
    <cacheHierarchy uniqueName="[Measures].[TY Sales Value VAT USD]" caption="TY Sales Value VAT USD" measure="1" displayFolder="01_TY\USD" measureGroup="Sales" count="0"/>
    <cacheHierarchy uniqueName="[Measures].[TY Sales Value USD]" caption="TY Sales Value USD" measure="1" displayFolder="01_TY\USD" measureGroup="Sales" count="0"/>
    <cacheHierarchy uniqueName="[Measures].[TY Sales Cost VAT USD]" caption="TY Sales Cost VAT USD" measure="1" displayFolder="01_TY\USD" measureGroup="Sales" count="0"/>
    <cacheHierarchy uniqueName="[Measures].[TY Sales Cost USD]" caption="TY Sales Cost USD" measure="1" displayFolder="01_TY\USD" measureGroup="Sales" count="0"/>
    <cacheHierarchy uniqueName="[Measures].[TY ISP Sales Value VAT USD]" caption="TY ISP Sales Value VAT USD" measure="1" displayFolder="01_TY\USD" measureGroup="Sales" count="0"/>
    <cacheHierarchy uniqueName="[Measures].[TY ISP Sales Value USD]" caption="TY ISP Sales Value USD" measure="1" displayFolder="01_TY\USD" measureGroup="Sales" count="0"/>
    <cacheHierarchy uniqueName="[Measures].[TY Sales Discount Value VAT USD]" caption="TY Sales Discount Value VAT USD" measure="1" displayFolder="01_TY\USD" measureGroup="Sales" count="0"/>
    <cacheHierarchy uniqueName="[Measures].[TY Sales Discount Value USD]" caption="TY Sales Discount Value USD" measure="1" displayFolder="01_TY\USD" measureGroup="Sales" count="0"/>
    <cacheHierarchy uniqueName="[Measures].[TY LFL Sales Value VAT TRY]" caption="TY LFL Sales Value VAT TRY" measure="1" displayFolder="02_TYLFL\TRY" measureGroup="Sales" count="0"/>
    <cacheHierarchy uniqueName="[Measures].[TY LFL Sales Value TRY]" caption="TY LFL Sales Value TRY" measure="1" displayFolder="02_TYLFL\TRY" measureGroup="Sales" count="0"/>
    <cacheHierarchy uniqueName="[Measures].[TY LFL Sales Cost VAT TRY]" caption="TY LFL Sales Cost VAT TRY" measure="1" displayFolder="02_TYLFL\TRY" measureGroup="Sales" count="0"/>
    <cacheHierarchy uniqueName="[Measures].[TY LFL Sales Cost TRY]" caption="TY LFL Sales Cost TRY" measure="1" displayFolder="02_TYLFL\TRY" measureGroup="Sales" count="0"/>
    <cacheHierarchy uniqueName="[Measures].[TY LFL ISP Sales Value VAT TRY]" caption="TY LFL ISP Sales Value VAT TRY" measure="1" displayFolder="02_TYLFL\TRY" measureGroup="Sales" count="0"/>
    <cacheHierarchy uniqueName="[Measures].[TY LFL ISP Sales Value TRY]" caption="TY LFL ISP Sales Value TRY" measure="1" displayFolder="02_TYLFL\TRY" measureGroup="Sales" count="0"/>
    <cacheHierarchy uniqueName="[Measures].[TY LFL Sales Discount Value VAT TRY]" caption="TY LFL Sales Discount Value VAT TRY" measure="1" displayFolder="02_TYLFL\TRY" measureGroup="Sales" count="0"/>
    <cacheHierarchy uniqueName="[Measures].[TY LFL Sales Discount Value TRY]" caption="TY LFL Sales Discount Value TRY" measure="1" displayFolder="02_TYLFL\TRY" measureGroup="Sales" count="0"/>
    <cacheHierarchy uniqueName="[Measures].[TY LFL Sales Value VAT USD]" caption="TY LFL Sales Value VAT USD" measure="1" displayFolder="02_TYLFL\USD" measureGroup="Sales" count="0"/>
    <cacheHierarchy uniqueName="[Measures].[TY LFL Sales Value USD]" caption="TY LFL Sales Value USD" measure="1" displayFolder="02_TYLFL\USD" measureGroup="Sales" count="0"/>
    <cacheHierarchy uniqueName="[Measures].[TY LFL Sales Cost VAT USD]" caption="TY LFL Sales Cost VAT USD" measure="1" displayFolder="02_TYLFL\USD" measureGroup="Sales" count="0"/>
    <cacheHierarchy uniqueName="[Measures].[TY LFL Sales Cost USD]" caption="TY LFL Sales Cost USD" measure="1" displayFolder="02_TYLFL\USD" measureGroup="Sales" count="0"/>
    <cacheHierarchy uniqueName="[Measures].[TY LFL ISP Sales Value VAT USD]" caption="TY LFL ISP Sales Value VAT USD" measure="1" displayFolder="02_TYLFL\USD" measureGroup="Sales" count="0"/>
    <cacheHierarchy uniqueName="[Measures].[TY LFL ISP Sales Value USD]" caption="TY LFL ISP Sales Value USD" measure="1" displayFolder="02_TYLFL\USD" measureGroup="Sales" count="0"/>
    <cacheHierarchy uniqueName="[Measures].[TY LFL Sales Discount Value VAT USD]" caption="TY LFL Sales Discount Value VAT USD" measure="1" displayFolder="02_TYLFL\USD" measureGroup="Sales" count="0"/>
    <cacheHierarchy uniqueName="[Measures].[TY LFL Sales Discount Value USD]" caption="TY LFL Sales Discount Value USD" measure="1" displayFolder="02_TYLFL\USD" measureGroup="Sales" count="0"/>
    <cacheHierarchy uniqueName="[Measures].[LY Sales Value VAT TRY]" caption="LY Sales Value VAT TRY" measure="1" displayFolder="03_LY\TRY" measureGroup="Sales" count="0"/>
    <cacheHierarchy uniqueName="[Measures].[LY Sales Value TRY]" caption="LY Sales Value TRY" measure="1" displayFolder="03_LY\TRY" measureGroup="Sales" count="0"/>
    <cacheHierarchy uniqueName="[Measures].[LY Sales Cost VAT TRY]" caption="LY Sales Cost VAT TRY" measure="1" displayFolder="03_LY\TRY" measureGroup="Sales" count="0"/>
    <cacheHierarchy uniqueName="[Measures].[LY Sales Cost TRY]" caption="LY Sales Cost TRY" measure="1" displayFolder="03_LY\TRY" measureGroup="Sales" count="0"/>
    <cacheHierarchy uniqueName="[Measures].[LY ISP Sales Value VAT TRY]" caption="LY ISP Sales Value VAT TRY" measure="1" displayFolder="03_LY\TRY" measureGroup="Sales" count="0"/>
    <cacheHierarchy uniqueName="[Measures].[LY ISP Sales Value TRY]" caption="LY ISP Sales Value TRY" measure="1" displayFolder="03_LY\TRY" measureGroup="Sales" count="0"/>
    <cacheHierarchy uniqueName="[Measures].[LY Sales Discount Value VAT TRY]" caption="LY Sales Discount Value VAT TRY" measure="1" displayFolder="03_LY\TRY" measureGroup="Sales" count="0"/>
    <cacheHierarchy uniqueName="[Measures].[LY Sales Discount Value TRY]" caption="LY Sales Discount Value TRY" measure="1" displayFolder="03_LY\TRY" measureGroup="Sales" count="0"/>
    <cacheHierarchy uniqueName="[Measures].[LY Sales Value VAT USD]" caption="LY Sales Value VAT USD" measure="1" displayFolder="03_LY\USD" measureGroup="Sales" count="0"/>
    <cacheHierarchy uniqueName="[Measures].[LY Sales Value USD]" caption="LY Sales Value USD" measure="1" displayFolder="03_LY\USD" measureGroup="Sales" count="0"/>
    <cacheHierarchy uniqueName="[Measures].[LY Sales Cost VAT USD]" caption="LY Sales Cost VAT USD" measure="1" displayFolder="03_LY\USD" measureGroup="Sales" count="0"/>
    <cacheHierarchy uniqueName="[Measures].[LY Sales Cost USD]" caption="LY Sales Cost USD" measure="1" displayFolder="03_LY\USD" measureGroup="Sales" count="0"/>
    <cacheHierarchy uniqueName="[Measures].[LY ISP Sales Value VAT USD]" caption="LY ISP Sales Value VAT USD" measure="1" displayFolder="03_LY\USD" measureGroup="Sales" count="0"/>
    <cacheHierarchy uniqueName="[Measures].[LY ISP Sales Value USD]" caption="LY ISP Sales Value USD" measure="1" displayFolder="03_LY\USD" measureGroup="Sales" count="0"/>
    <cacheHierarchy uniqueName="[Measures].[LY Sales Discount Value VAT USD]" caption="LY Sales Discount Value VAT USD" measure="1" displayFolder="03_LY\USD" measureGroup="Sales" count="0"/>
    <cacheHierarchy uniqueName="[Measures].[LY Sales Discount Value USD]" caption="LY Sales Discount Value USD" measure="1" displayFolder="03_LY\USD" measureGroup="Sales" count="0"/>
    <cacheHierarchy uniqueName="[Measures].[LY LFL Sales Unit]" caption="LY LFL Sales Unit" measure="1" displayFolder="04_LYLFL\_UNIT" measureGroup="Sales" count="0"/>
    <cacheHierarchy uniqueName="[Measures].[LY LFL Sales Value VAT LC]" caption="LY LFL Sales Value VAT LC" measure="1" displayFolder="04_LYLFL\LC" measureGroup="Sales" count="0"/>
    <cacheHierarchy uniqueName="[Measures].[LY LFL Sales Value LC]" caption="LY LFL Sales Value LC" measure="1" displayFolder="04_LYLFL\LC" measureGroup="Sales" count="0"/>
    <cacheHierarchy uniqueName="[Measures].[LY LFL Sales Cost VAT LC]" caption="LY LFL Sales Cost VAT LC" measure="1" displayFolder="04_LYLFL\LC" measureGroup="Sales" count="0"/>
    <cacheHierarchy uniqueName="[Measures].[LY LFL Sales Cost LC]" caption="LY LFL Sales Cost LC" measure="1" displayFolder="04_LYLFL\LC" measureGroup="Sales" count="0"/>
    <cacheHierarchy uniqueName="[Measures].[LY LFL ISP Sales Value VAT LC]" caption="LY LFL ISP Sales Value VAT LC" measure="1" displayFolder="04_LYLFL\LC" measureGroup="Sales" count="0"/>
    <cacheHierarchy uniqueName="[Measures].[LY LFL ISP Sales Value LC]" caption="LY LFL ISP Sales Value LC" measure="1" displayFolder="04_LYLFL\LC" measureGroup="Sales" count="0"/>
    <cacheHierarchy uniqueName="[Measures].[LY LFL Sales Discount Value VAT LC]" caption="LY LFL Sales Discount Value VAT LC" measure="1" displayFolder="04_LYLFL\LC" measureGroup="Sales" count="0"/>
    <cacheHierarchy uniqueName="[Measures].[LY LFL Sales Discount Value LC]" caption="LY LFL Sales Discount Value LC" measure="1" displayFolder="04_LYLFL\LC" measureGroup="Sales" count="0"/>
    <cacheHierarchy uniqueName="[Measures].[LY LFL Sales Value VAT TRY]" caption="LY LFL Sales Value VAT TRY" measure="1" displayFolder="04_LYLFL\TRY" measureGroup="Sales" count="0"/>
    <cacheHierarchy uniqueName="[Measures].[LY LFL Sales Value TRY]" caption="LY LFL Sales Value TRY" measure="1" displayFolder="04_LYLFL\TRY" measureGroup="Sales" count="0"/>
    <cacheHierarchy uniqueName="[Measures].[LY LFL Sales Cost VAT TRY]" caption="LY LFL Sales Cost VAT TRY" measure="1" displayFolder="04_LYLFL\TRY" measureGroup="Sales" count="0"/>
    <cacheHierarchy uniqueName="[Measures].[LY LFL Sales Cost TRY]" caption="LY LFL Sales Cost TRY" measure="1" displayFolder="04_LYLFL\TRY" measureGroup="Sales" count="0"/>
    <cacheHierarchy uniqueName="[Measures].[LY LFL ISP Sales Value VAT TRY]" caption="LY LFL ISP Sales Value VAT TRY" measure="1" displayFolder="04_LYLFL\TRY" measureGroup="Sales" count="0"/>
    <cacheHierarchy uniqueName="[Measures].[LY LFL ISP Sales Value TRY]" caption="LY LFL ISP Sales Value TRY" measure="1" displayFolder="04_LYLFL\TRY" measureGroup="Sales" count="0"/>
    <cacheHierarchy uniqueName="[Measures].[LY LFL Sales Discount Value VAT TRY]" caption="LY LFL Sales Discount Value VAT TRY" measure="1" displayFolder="04_LYLFL\TRY" measureGroup="Sales" count="0"/>
    <cacheHierarchy uniqueName="[Measures].[LY LFL Sales Discount Value TRY]" caption="LY LFL Sales Discount Value TRY" measure="1" displayFolder="04_LYLFL\TRY" measureGroup="Sales" count="0"/>
    <cacheHierarchy uniqueName="[Measures].[LY LFL Gross Invoice Count]" caption="LY LFL Gross Invoice Count" measure="1" displayFolder="04_LYLFL\_UNIT" measureGroup="Sales" count="0"/>
    <cacheHierarchy uniqueName="[Measures].[LY LFL Return Invoice Count]" caption="LY LFL Return Invoice Count" measure="1" displayFolder="04_LYLFL\_UNIT" measureGroup="Sales" count="0"/>
    <cacheHierarchy uniqueName="[Measures].[LY LFL Invoice Count]" caption="LY LFL Invoice Count" measure="1" displayFolder="04_LYLFL\_UNIT" measureGroup="Sales" count="0"/>
    <cacheHierarchy uniqueName="[Measures].[LY LFL Sales Value VAT USD]" caption="LY LFL Sales Value VAT USD" measure="1" displayFolder="04_LYLFL\USD" measureGroup="Sales" count="0"/>
    <cacheHierarchy uniqueName="[Measures].[LY LFL Sales Value USD]" caption="LY LFL Sales Value USD" measure="1" displayFolder="04_LYLFL\USD" measureGroup="Sales" count="0"/>
    <cacheHierarchy uniqueName="[Measures].[LY LFL Sales Cost VAT USD]" caption="LY LFL Sales Cost VAT USD" measure="1" displayFolder="04_LYLFL\USD" measureGroup="Sales" count="0"/>
    <cacheHierarchy uniqueName="[Measures].[LY LFL Sales Cost USD]" caption="LY LFL Sales Cost USD" measure="1" displayFolder="04_LYLFL\USD" measureGroup="Sales" count="0"/>
    <cacheHierarchy uniqueName="[Measures].[LY LFL ISP Sales Value VAT USD]" caption="LY LFL ISP Sales Value VAT USD" measure="1" displayFolder="04_LYLFL\USD" measureGroup="Sales" count="0"/>
    <cacheHierarchy uniqueName="[Measures].[LY LFL ISP Sales Value USD]" caption="LY LFL ISP Sales Value USD" measure="1" displayFolder="04_LYLFL\USD" measureGroup="Sales" count="0"/>
    <cacheHierarchy uniqueName="[Measures].[LY LFL Sales Discount Value VAT USD]" caption="LY LFL Sales Discount Value VAT USD" measure="1" displayFolder="04_LYLFL\USD" measureGroup="Sales" count="0"/>
    <cacheHierarchy uniqueName="[Measures].[LY LFL Sales Discount Value USD]" caption="LY LFL Sales Discount Value USD" measure="1" displayFolder="04_LYLFL\USD" measureGroup="Sales" count="0"/>
    <cacheHierarchy uniqueName="[Measures].[MinLflDate]" caption="MinLflDate" measure="1" displayFolder="00_INFO" measureGroup="Sales" count="0"/>
    <cacheHierarchy uniqueName="[Measures].[TY Unit Sales Price LC]" caption="TY Unit Sales Price LC" measure="1" displayFolder="01_TY\LC" measureGroup="Sales" count="0"/>
    <cacheHierarchy uniqueName="[Measures].[TY Unit Cost LC]" caption="TY Unit Cost LC" measure="1" displayFolder="01_TY\LC" measureGroup="Sales" count="0"/>
    <cacheHierarchy uniqueName="[Measures].[TY Unit ISP LC]" caption="TY Unit ISP LC" measure="1" displayFolder="01_TY\LC" measureGroup="Sales" count="0"/>
    <cacheHierarchy uniqueName="[Measures].[LY Unit Sales Price LC]" caption="LY Unit Sales Price LC" measure="1" displayFolder="03_LY\LC" measureGroup="Sales" count="0"/>
    <cacheHierarchy uniqueName="[Measures].[LY Unit Cost LC]" caption="LY Unit Cost LC" measure="1" displayFolder="03_LY\LC" measureGroup="Sales" count="0"/>
    <cacheHierarchy uniqueName="[Measures].[LY Unit ISP LC]" caption="LY Unit ISP LC" measure="1" displayFolder="03_LY\LC" measureGroup="Sales" count="0"/>
    <cacheHierarchy uniqueName="[Measures].[TY LFL Unit Sales Price LC]" caption="TY LFL Unit Sales Price LC" measure="1" displayFolder="02_TYLFL\LC" measureGroup="Sales" count="0"/>
    <cacheHierarchy uniqueName="[Measures].[TY LFL Unit Cost LC]" caption="TY LFL Unit Cost LC" measure="1" displayFolder="02_TYLFL\LC" measureGroup="Sales" count="0"/>
    <cacheHierarchy uniqueName="[Measures].[TY LFL Unit ISP LC]" caption="TY LFL Unit ISP LC" measure="1" displayFolder="02_TYLFL\LC" measureGroup="Sales" count="0"/>
    <cacheHierarchy uniqueName="[Measures].[LY LFL Unit Sales Price LC]" caption="LY LFL Unit Sales Price LC" measure="1" displayFolder="04_LYLFL\LC" measureGroup="Sales" count="0"/>
    <cacheHierarchy uniqueName="[Measures].[LY LFL Unit Cost LC]" caption="LY LFL Unit Cost LC" measure="1" displayFolder="04_LYLFL\LC" measureGroup="Sales" count="0"/>
    <cacheHierarchy uniqueName="[Measures].[LY LFL Unit ISP LC]" caption="LY LFL Unit ISP LC" measure="1" displayFolder="04_LYLFL\LC" measureGroup="Sales" count="0"/>
    <cacheHierarchy uniqueName="[Measures].[TY Unit Sales Price TRY]" caption="TY Unit Sales Price TRY" measure="1" displayFolder="01_TY\TRY" measureGroup="Sales" count="0"/>
    <cacheHierarchy uniqueName="[Measures].[TY Unit Cost TRY]" caption="TY Unit Cost TRY" measure="1" displayFolder="01_TY\TRY" measureGroup="Sales" count="0"/>
    <cacheHierarchy uniqueName="[Measures].[TY Unit ISP TRY]" caption="TY Unit ISP TRY" measure="1" displayFolder="01_TY\TRY" measureGroup="Sales" count="0"/>
    <cacheHierarchy uniqueName="[Measures].[LY Unit Sales Price TRY]" caption="LY Unit Sales Price TRY" measure="1" displayFolder="03_LY\TRY" measureGroup="Sales" count="0"/>
    <cacheHierarchy uniqueName="[Measures].[LY Unit Cost TRY]" caption="LY Unit Cost TRY" measure="1" displayFolder="03_LY\TRY" measureGroup="Sales" count="0"/>
    <cacheHierarchy uniqueName="[Measures].[LY Unit ISP TRY]" caption="LY Unit ISP TRY" measure="1" displayFolder="03_LY\TRY" measureGroup="Sales" count="0"/>
    <cacheHierarchy uniqueName="[Measures].[TY LFL Unit Sales Price TRY]" caption="TY LFL Unit Sales Price TRY" measure="1" displayFolder="02_TYLFL\TRY" measureGroup="Sales" count="0"/>
    <cacheHierarchy uniqueName="[Measures].[TY LFL Unit Cost TRY]" caption="TY LFL Unit Cost TRY" measure="1" displayFolder="02_TYLFL\TRY" measureGroup="Sales" count="0"/>
    <cacheHierarchy uniqueName="[Measures].[TY LFL Unit ISP TRY]" caption="TY LFL Unit ISP TRY" measure="1" displayFolder="02_TYLFL\TRY" measureGroup="Sales" count="0"/>
    <cacheHierarchy uniqueName="[Measures].[LY LFL Unit Sales Price TRY]" caption="LY LFL Unit Sales Price TRY" measure="1" displayFolder="04_LYLFL\TRY" measureGroup="Sales" count="0"/>
    <cacheHierarchy uniqueName="[Measures].[LY LFL Unit Cost TRY]" caption="LY LFL Unit Cost TRY" measure="1" displayFolder="04_LYLFL\TRY" measureGroup="Sales" count="0"/>
    <cacheHierarchy uniqueName="[Measures].[LY LFL Unit ISP TRY]" caption="LY LFL Unit ISP TRY" measure="1" displayFolder="04_LYLFL\TRY" measureGroup="Sales" count="0"/>
    <cacheHierarchy uniqueName="[Measures].[TY Unit Sales Price USD]" caption="TY Unit Sales Price USD" measure="1" displayFolder="01_TY\USD" measureGroup="Sales" count="0"/>
    <cacheHierarchy uniqueName="[Measures].[TY Unit Cost USD]" caption="TY Unit Cost USD" measure="1" displayFolder="01_TY\USD" measureGroup="Sales" count="0"/>
    <cacheHierarchy uniqueName="[Measures].[TY Unit ISP USD]" caption="TY Unit ISP USD" measure="1" displayFolder="01_TY\USD" measureGroup="Sales" count="0"/>
    <cacheHierarchy uniqueName="[Measures].[LY Unit Sales Price USD]" caption="LY Unit Sales Price USD" measure="1" displayFolder="03_LY\USD" measureGroup="Sales" count="0"/>
    <cacheHierarchy uniqueName="[Measures].[LY Unit Cost USD]" caption="LY Unit Cost USD" measure="1" displayFolder="03_LY\USD" measureGroup="Sales" count="0"/>
    <cacheHierarchy uniqueName="[Measures].[LY Unit ISP USD]" caption="LY Unit ISP USD" measure="1" displayFolder="03_LY\USD" measureGroup="Sales" count="0"/>
    <cacheHierarchy uniqueName="[Measures].[TY LFL Unit Sales Price USD]" caption="TY LFL Unit Sales Price USD" measure="1" displayFolder="02_TYLFL\USD" measureGroup="Sales" count="0"/>
    <cacheHierarchy uniqueName="[Measures].[TY LFL Unit Cost USD]" caption="TY LFL Unit Cost USD" measure="1" displayFolder="02_TYLFL\USD" measureGroup="Sales" count="0"/>
    <cacheHierarchy uniqueName="[Measures].[TY LFL Unit ISP USD]" caption="TY LFL Unit ISP USD" measure="1" displayFolder="02_TYLFL\USD" measureGroup="Sales" count="0"/>
    <cacheHierarchy uniqueName="[Measures].[LY LFL Unit Sales Price USD]" caption="LY LFL Unit Sales Price USD" measure="1" displayFolder="04_LYLFL\USD" measureGroup="Sales" count="0"/>
    <cacheHierarchy uniqueName="[Measures].[LY LFL Unit Cost USD]" caption="LY LFL Unit Cost USD" measure="1" displayFolder="04_LYLFL\USD" measureGroup="Sales" count="0"/>
    <cacheHierarchy uniqueName="[Measures].[LY LFL Unit ISP USD]" caption="LY LFL Unit ISP USD" measure="1" displayFolder="04_LYLFL\USD" measureGroup="Sales" count="0"/>
    <cacheHierarchy uniqueName="[Measures].[TY Gross Profit LC]" caption="TY Gross Profit LC" measure="1" displayFolder="01_TY\LC" measureGroup="Sales" count="0"/>
    <cacheHierarchy uniqueName="[Measures].[TY Gross Profit VAT LC]" caption="TY Gross Profit VAT LC" measure="1" displayFolder="01_TY\LC" measureGroup="Sales" count="0"/>
    <cacheHierarchy uniqueName="[Measures].[LY Gross Profit LC]" caption="LY Gross Profit LC" measure="1" displayFolder="03_LY\LC" measureGroup="Sales" count="0"/>
    <cacheHierarchy uniqueName="[Measures].[LY Gross Profit VAT LC]" caption="LY Gross Profit VAT LC" measure="1" displayFolder="03_LY\LC" measureGroup="Sales" count="0"/>
    <cacheHierarchy uniqueName="[Measures].[TY Gross Profit TRY]" caption="TY Gross Profit TRY" measure="1" displayFolder="01_TY\TRY" measureGroup="Sales" count="0"/>
    <cacheHierarchy uniqueName="[Measures].[TY Gross Profit VAT TRY]" caption="TY Gross Profit VAT TRY" measure="1" displayFolder="01_TY\TRY" measureGroup="Sales" count="0"/>
    <cacheHierarchy uniqueName="[Measures].[TY Gross Profit USD]" caption="TY Gross Profit USD" measure="1" displayFolder="01_TY\USD" measureGroup="Sales" count="0"/>
    <cacheHierarchy uniqueName="[Measures].[TY Gross Profit VAT USD]" caption="TY Gross Profit VAT USD" measure="1" displayFolder="01_TY\USD" measureGroup="Sales" count="0"/>
    <cacheHierarchy uniqueName="[Measures].[LY Gross Profit TRY]" caption="LY Gross Profit TRY" measure="1" displayFolder="03_LY\TRY" measureGroup="Sales" count="0"/>
    <cacheHierarchy uniqueName="[Measures].[LY Gross Profit VAT TRY]" caption="LY Gross Profit VAT TRY" measure="1" displayFolder="03_LY\TRY" measureGroup="Sales" count="0"/>
    <cacheHierarchy uniqueName="[Measures].[LY Gross Profit USD]" caption="LY Gross Profit USD" measure="1" displayFolder="03_LY\USD" measureGroup="Sales" count="0"/>
    <cacheHierarchy uniqueName="[Measures].[LY Gross Profit VAT USD]" caption="LY Gross Profit VAT USD" measure="1" displayFolder="03_LY\USD" measureGroup="Sales" count="0"/>
    <cacheHierarchy uniqueName="[Measures].[TY LFL Gross Profit LC]" caption="TY LFL Gross Profit LC" measure="1" displayFolder="02_TYLFL\LC" measureGroup="Sales" count="0"/>
    <cacheHierarchy uniqueName="[Measures].[TY LFL Gross Profit VAT LC]" caption="TY LFL Gross Profit VAT LC" measure="1" displayFolder="02_TYLFL\LC" measureGroup="Sales" count="0"/>
    <cacheHierarchy uniqueName="[Measures].[TY LFL Gross Profit TRY]" caption="TY LFL Gross Profit TRY" measure="1" displayFolder="02_TYLFL\TRY" measureGroup="Sales" count="0"/>
    <cacheHierarchy uniqueName="[Measures].[TY LFL Gross Profit VAT TRY]" caption="TY LFL Gross Profit VAT TRY" measure="1" displayFolder="02_TYLFL\TRY" measureGroup="Sales" count="0"/>
    <cacheHierarchy uniqueName="[Measures].[TY LFL Gross Profit USD]" caption="TY LFL Gross Profit USD" measure="1" displayFolder="02_TYLFL\USD" measureGroup="Sales" count="0"/>
    <cacheHierarchy uniqueName="[Measures].[TY LFL Gross Profit VAT USD]" caption="TY LFL Gross Profit VAT USD" measure="1" displayFolder="02_TYLFL\USD" measureGroup="Sales" count="0"/>
    <cacheHierarchy uniqueName="[Measures].[LY LFL Gross Profit LC]" caption="LY LFL Gross Profit LC" measure="1" displayFolder="04_LYLFL\LC" measureGroup="Sales" count="0"/>
    <cacheHierarchy uniqueName="[Measures].[LY LFL Gross Profit VAT LC]" caption="LY LFL Gross Profit VAT LC" measure="1" displayFolder="04_LYLFL\LC" measureGroup="Sales" count="0"/>
    <cacheHierarchy uniqueName="[Measures].[LY LFL Gross Profit TRY]" caption="LY LFL Gross Profit TRY" measure="1" displayFolder="04_LYLFL\TRY" measureGroup="Sales" count="0"/>
    <cacheHierarchy uniqueName="[Measures].[LY LFL Gross Profit VAT TRY]" caption="LY LFL Gross Profit VAT TRY" measure="1" displayFolder="04_LYLFL\TRY" measureGroup="Sales" count="0"/>
    <cacheHierarchy uniqueName="[Measures].[LY LFL Gross Profit USD]" caption="LY LFL Gross Profit USD" measure="1" displayFolder="04_LYLFL\USD" measureGroup="Sales" count="0"/>
    <cacheHierarchy uniqueName="[Measures].[LY LFL Gross Profit VAT USD]" caption="LY LFL Gross Profit VAT USD" measure="1" displayFolder="04_LYLFL\USD" measureGroup="Sales" count="0"/>
    <cacheHierarchy uniqueName="[Measures].[TY Unit ISP VAT LC]" caption="TY Unit ISP VAT LC" measure="1" displayFolder="01_TY\LC" measureGroup="Sales" count="0"/>
    <cacheHierarchy uniqueName="[Measures].[LY Unit ISP VAT LC]" caption="LY Unit ISP VAT LC" measure="1" displayFolder="03_LY\LC" measureGroup="Sales" count="0"/>
    <cacheHierarchy uniqueName="[Measures].[TY LFL Unit ISP VAT LC]" caption="TY LFL Unit ISP VAT LC" measure="1" displayFolder="02_TYLFL\LC" measureGroup="Sales" count="0"/>
    <cacheHierarchy uniqueName="[Measures].[LY LFL Unit ISP VAT LC]" caption="LY LFL Unit ISP VAT LC" measure="1" displayFolder="02_TYLFL\LC" measureGroup="Sales" count="0"/>
    <cacheHierarchy uniqueName="[Measures].[TY Unit ISP VAT TRY]" caption="TY Unit ISP VAT TRY" measure="1" displayFolder="01_TY\TRY" measureGroup="Sales" count="0"/>
    <cacheHierarchy uniqueName="[Measures].[LY Unit ISP VAT TRY]" caption="LY Unit ISP VAT TRY" measure="1" displayFolder="03_LY\TRY" measureGroup="Sales" count="0"/>
    <cacheHierarchy uniqueName="[Measures].[TY LFL Unit ISP VAT TRY]" caption="TY LFL Unit ISP VAT TRY" measure="1" displayFolder="02_TYLFL\TRY" measureGroup="Sales" count="0"/>
    <cacheHierarchy uniqueName="[Measures].[LY LFL Unit ISP VAT TRY]" caption="LY LFL Unit ISP VAT TRY" measure="1" displayFolder="04_LYLFL\TRY" measureGroup="Sales" count="0"/>
    <cacheHierarchy uniqueName="[Measures].[TY Unit ISP VAT USD]" caption="TY Unit ISP VAT USD" measure="1" displayFolder="01_TY\USD" measureGroup="Sales" count="0"/>
    <cacheHierarchy uniqueName="[Measures].[LY Unit ISP VAT USD]" caption="LY Unit ISP VAT USD" measure="1" displayFolder="03_LY\USD" measureGroup="Sales" count="0"/>
    <cacheHierarchy uniqueName="[Measures].[TY LFL Unit ISP VAT USD]" caption="TY LFL Unit ISP VAT USD" measure="1" displayFolder="02_TYLFL\USD" measureGroup="Sales" count="0"/>
    <cacheHierarchy uniqueName="[Measures].[LY LFL Unit ISP VAT USD]" caption="LY LFL Unit ISP VAT USD" measure="1" displayFolder="04_LYLFL\USD" measureGroup="Sales" count="0"/>
    <cacheHierarchy uniqueName="[Measures].[TY Target Sales Value LC]" caption="TY Target Sales Value LC" measure="1" displayFolder="01_TY\LC" measureGroup="Sales" count="0"/>
    <cacheHierarchy uniqueName="[Measures].[TY Target Sales Value TRY]" caption="TY Target Sales Value TRY" measure="1" displayFolder="01_TY\TRY" measureGroup="Sales" count="0"/>
    <cacheHierarchy uniqueName="[Measures].[TY Target Sales Value USD]" caption="TY Target Sales Value USD" measure="1" displayFolder="01_TY\USD" measureGroup="Sales" count="0"/>
    <cacheHierarchy uniqueName="[Measures].[LY Target Sales Value LC]" caption="LY Target Sales Value LC" measure="1" displayFolder="03_LY\LC" measureGroup="Sales" count="0"/>
    <cacheHierarchy uniqueName="[Measures].[LY Target Sales Value TRY]" caption="LY Target Sales Value TRY" measure="1" displayFolder="03_LY\TRY" measureGroup="Sales" count="0"/>
    <cacheHierarchy uniqueName="[Measures].[LY Target Sales Value USD]" caption="LY Target Sales Value USD" measure="1" displayFolder="03_LY\USD" measureGroup="Sales" count="0"/>
    <cacheHierarchy uniqueName="[Measures].[TY LFL Target Sales Value LC]" caption="TY LFL Target Sales Value LC" measure="1" displayFolder="02_TYLFL\LC" measureGroup="Sales" count="0"/>
    <cacheHierarchy uniqueName="[Measures].[TY LFL Target Sales Value TRY]" caption="TY LFL Target Sales Value TRY" measure="1" displayFolder="02_TYLFL\TRY" measureGroup="Sales" count="0"/>
    <cacheHierarchy uniqueName="[Measures].[TY LFL Target Sales Value USD]" caption="TY LFL Target Sales Value USD" measure="1" displayFolder="02_TYLFL\USD" measureGroup="Sales" count="0"/>
    <cacheHierarchy uniqueName="[Measures].[LY LFL Target Sales Value LC]" caption="LY LFL Target Sales Value LC" measure="1" displayFolder="04_LYLFL\LC" measureGroup="Sales" count="0"/>
    <cacheHierarchy uniqueName="[Measures].[LY LFL Target Sales Value TRY]" caption="LY LFL Target Sales Value TRY" measure="1" displayFolder="04_LYLFL\TRY" measureGroup="Sales" count="0"/>
    <cacheHierarchy uniqueName="[Measures].[LY LFL Target Sales Value USD]" caption="LY LFL Target Sales Value USD" measure="1" displayFolder="04_LYLFL\USD" measureGroup="Sales" count="0"/>
    <cacheHierarchy uniqueName="[Measures].[TY Sales Cost LC Forecast]" caption="TY Sales Cost LC Forecast" measure="1" displayFolder="01_TY\LC" measureGroup="Sales" count="0"/>
    <cacheHierarchy uniqueName="[Measures].[TY Gross Profit LC Forecast]" caption="TY Gross Profit LC Forecast" measure="1" displayFolder="01_TY\LC" measureGroup="Sales" count="0"/>
    <cacheHierarchy uniqueName="[Measures].[TY Gross Marjin LC% Forecast]" caption="TY Gross Marjin LC% Forecast" measure="1" displayFolder="01_TY\LC" measureGroup="Sales" count="0"/>
    <cacheHierarchy uniqueName="[Measures].[TY Sales Budget Unit]" caption="TY Sales Budget Unit" measure="1" displayFolder="TY\_UNIT" measureGroup="SalesBudget" count="0"/>
    <cacheHierarchy uniqueName="[Measures].[TY Sales Budget Value LC]" caption="TY Sales Budget Value LC" measure="1" displayFolder="TY\LC" measureGroup="SalesBudget" count="0"/>
    <cacheHierarchy uniqueName="[Measures].[TY Sales Budget Cost LC]" caption="TY Sales Budget Cost LC" measure="1" displayFolder="TY\LC" measureGroup="SalesBudget" count="0"/>
    <cacheHierarchy uniqueName="[Measures].[TY Sales Budget Profit Value LC]" caption="TY Sales Budget Profit Value LC" measure="1" displayFolder="TY\LC" measureGroup="SalesBudget" count="0"/>
    <cacheHierarchy uniqueName="[Measures].[Achieved TY Sales Budget Unit]" caption="Achieved TY Sales Budget Unit" measure="1" displayFolder="TY\_UNIT" measureGroup="SalesBudget" count="0"/>
    <cacheHierarchy uniqueName="[Measures].[Achieved TY Sales Budget Value LC]" caption="Achieved TY Sales Budget Value LC" measure="1" displayFolder="TY\LC" measureGroup="SalesBudget" count="0"/>
    <cacheHierarchy uniqueName="[Measures].[Achieved TY Sales Budget Cost LC]" caption="Achieved TY Sales Budget Cost LC" measure="1" displayFolder="TY\LC" measureGroup="SalesBudget" count="0"/>
    <cacheHierarchy uniqueName="[Measures].[Achieved TY Sales Budget Profit Value LC]" caption="Achieved TY Sales Budget Profit Value LC" measure="1" displayFolder="TY\LC" measureGroup="SalesBudget" count="0"/>
    <cacheHierarchy uniqueName="[Measures].[TY Budget Unit Gap]" caption="TY Budget Unit Gap" measure="1" displayFolder="TY\_UNIT" measureGroup="SalesBudget" count="0"/>
    <cacheHierarchy uniqueName="[Measures].[TY Sales Budget Value LC Gap]" caption="TY Sales Budget Value LC Gap" measure="1" displayFolder="TY\LC" measureGroup="SalesBudget" count="0"/>
    <cacheHierarchy uniqueName="[Measures].[TY Sales Budget Cost LC Gap]" caption="TY Sales Budget Cost LC Gap" measure="1" displayFolder="TY\LC" measureGroup="SalesBudget" count="0"/>
    <cacheHierarchy uniqueName="[Measures].[TY Sales Budget Profit Value LC Gap]" caption="TY Sales Budget Profit Value LC Gap" measure="1" displayFolder="TY\LC" measureGroup="SalesBudget" count="0"/>
    <cacheHierarchy uniqueName="[Measures].[TY Sales Budget Value TRY]" caption="TY Sales Budget Value TRY" measure="1" displayFolder="TY\TRY" measureGroup="SalesBudget" count="0"/>
    <cacheHierarchy uniqueName="[Measures].[TY Sales Budget Cost TRY]" caption="TY Sales Budget Cost TRY" measure="1" displayFolder="TY\TRY" measureGroup="SalesBudget" count="0"/>
    <cacheHierarchy uniqueName="[Measures].[TY Sales Budget Profit Value TRY]" caption="TY Sales Budget Profit Value TRY" measure="1" displayFolder="TY\TRY" measureGroup="SalesBudget" count="0"/>
    <cacheHierarchy uniqueName="[Measures].[TY Sales Budget Value USD]" caption="TY Sales Budget Value USD" measure="1" displayFolder="TY\USD" measureGroup="SalesBudget" count="0"/>
    <cacheHierarchy uniqueName="[Measures].[TY Sales Budget Cost USD]" caption="TY Sales Budget Cost USD" measure="1" displayFolder="TY\USD" measureGroup="SalesBudget" count="0"/>
    <cacheHierarchy uniqueName="[Measures].[Achieved TY Sales Budget Value TRY]" caption="Achieved TY Sales Budget Value TRY" measure="1" displayFolder="TY\TRY" measureGroup="SalesBudget" count="0"/>
    <cacheHierarchy uniqueName="[Measures].[Achieved TY Sales Budget Cost TRY]" caption="Achieved TY Sales Budget Cost TRY" measure="1" displayFolder="TY\TRY" measureGroup="SalesBudget" count="0"/>
    <cacheHierarchy uniqueName="[Measures].[Achieved TY Sales Budget Profit Value TRY]" caption="Achieved TY Sales Budget Profit Value TRY" measure="1" displayFolder="TY\TRY" measureGroup="SalesBudget" count="0"/>
    <cacheHierarchy uniqueName="[Measures].[Achieved TY Sales Budget Value USD]" caption="Achieved TY Sales Budget Value USD" measure="1" displayFolder="TY\USD" measureGroup="SalesBudget" count="0"/>
    <cacheHierarchy uniqueName="[Measures].[TY Sales Budget Profit Value USD]" caption="TY Sales Budget Profit Value USD" measure="1" displayFolder="TY\USD" measureGroup="SalesBudget" count="0"/>
    <cacheHierarchy uniqueName="[Measures].[Achieved TY Sales Budget Cost USD]" caption="Achieved TY Sales Budget Cost USD" measure="1" displayFolder="TY\USD" measureGroup="SalesBudget" count="0"/>
    <cacheHierarchy uniqueName="[Measures].[TY Sales Budget Value TRY Gap]" caption="TY Sales Budget Value TRY Gap" measure="1" displayFolder="TY\TRY" measureGroup="SalesBudget" count="0"/>
    <cacheHierarchy uniqueName="[Measures].[TY Sales Budget Cost TRY Gap]" caption="TY Sales Budget Cost TRY Gap" measure="1" displayFolder="TY\TRY" measureGroup="SalesBudget" count="0"/>
    <cacheHierarchy uniqueName="[Measures].[TY Sales Budget Profit Value TRY Gap]" caption="TY Sales Budget Profit Value TRY Gap" measure="1" displayFolder="TY\TRY" measureGroup="SalesBudget" count="0"/>
    <cacheHierarchy uniqueName="[Measures].[Achieved TY Sales Budget Profit Value USD]" caption="Achieved TY Sales Budget Profit Value USD" measure="1" displayFolder="TY\USD" measureGroup="SalesBudget" count="0"/>
    <cacheHierarchy uniqueName="[Measures].[TY Sales Budget Value USD Gap]" caption="TY Sales Budget Value USD Gap" measure="1" displayFolder="TY\USD" measureGroup="SalesBudget" count="0"/>
    <cacheHierarchy uniqueName="[Measures].[TY Sales Budget Cost USD Gap]" caption="TY Sales Budget Cost USD Gap" measure="1" displayFolder="TY\USD" measureGroup="SalesBudget" count="0"/>
    <cacheHierarchy uniqueName="[Measures].[TY Sales Budget Profit Value USD Gap]" caption="TY Sales Budget Profit Value USD Gap" measure="1" displayFolder="TY\USD" measureGroup="SalesBudget" count="0"/>
    <cacheHierarchy uniqueName="[Measures].[LY Sales Budget Unit]" caption="LY Sales Budget Unit" measure="1" displayFolder="LY\_UNIT" measureGroup="SalesBudget" count="0"/>
    <cacheHierarchy uniqueName="[Measures].[Achieved LY Sales Budget Unit]" caption="Achieved LY Sales Budget Unit" measure="1" displayFolder="LY\_UNIT" measureGroup="SalesBudget" count="0"/>
    <cacheHierarchy uniqueName="[Measures].[LY Budget Unit Gap]" caption="LY Budget Unit Gap" measure="1" displayFolder="LY\_UNIT" measureGroup="SalesBudget" count="0"/>
    <cacheHierarchy uniqueName="[Measures].[LY Sales Budget Value LC]" caption="LY Sales Budget Value LC" measure="1" displayFolder="LY\LC" measureGroup="SalesBudget" count="0"/>
    <cacheHierarchy uniqueName="[Measures].[LY Sales Budget Cost LC]" caption="LY Sales Budget Cost LC" measure="1" displayFolder="LY\LC" measureGroup="SalesBudget" count="0"/>
    <cacheHierarchy uniqueName="[Measures].[LY Sales Budget Profit Value LC]" caption="LY Sales Budget Profit Value LC" measure="1" displayFolder="LY\LC" measureGroup="SalesBudget" count="0"/>
    <cacheHierarchy uniqueName="[Measures].[Achieved LY Sales Budget Value LC]" caption="Achieved LY Sales Budget Value LC" measure="1" displayFolder="LY\LC" measureGroup="SalesBudget" count="0"/>
    <cacheHierarchy uniqueName="[Measures].[Achieved LY Sales Budget Cost LC]" caption="Achieved LY Sales Budget Cost LC" measure="1" displayFolder="LY\LC" measureGroup="SalesBudget" count="0"/>
    <cacheHierarchy uniqueName="[Measures].[Achieved LY Sales Budget Profit Value LC]" caption="Achieved LY Sales Budget Profit Value LC" measure="1" displayFolder="LY\LC" measureGroup="SalesBudget" count="0"/>
    <cacheHierarchy uniqueName="[Measures].[LY Sales Budget Value LC Gap]" caption="LY Sales Budget Value LC Gap" measure="1" displayFolder="LY\LC" measureGroup="SalesBudget" count="0"/>
    <cacheHierarchy uniqueName="[Measures].[LY Sales Budget Cost LC Gap]" caption="LY Sales Budget Cost LC Gap" measure="1" displayFolder="LY\LC" measureGroup="SalesBudget" count="0"/>
    <cacheHierarchy uniqueName="[Measures].[LY Sales Budget Profit Value LC Gap]" caption="LY Sales Budget Profit Value LC Gap" measure="1" displayFolder="LY\LC" measureGroup="SalesBudget" count="0"/>
    <cacheHierarchy uniqueName="[Measures].[LY Sales Budget Value TRY]" caption="LY Sales Budget Value TRY" measure="1" displayFolder="LY\TRY" measureGroup="SalesBudget" count="0"/>
    <cacheHierarchy uniqueName="[Measures].[LY Sales Budget Cost TRY]" caption="LY Sales Budget Cost TRY" measure="1" displayFolder="LY\TRY" measureGroup="SalesBudget" count="0"/>
    <cacheHierarchy uniqueName="[Measures].[LY Sales Budget Profit Value TRY]" caption="LY Sales Budget Profit Value TRY" measure="1" displayFolder="LY\TRY" measureGroup="SalesBudget" count="0"/>
    <cacheHierarchy uniqueName="[Measures].[LY Sales Budget Value USD]" caption="LY Sales Budget Value USD" measure="1" displayFolder="LY\USD" measureGroup="SalesBudget" count="0"/>
    <cacheHierarchy uniqueName="[Measures].[LY Sales Budget Cost USD]" caption="LY Sales Budget Cost USD" measure="1" displayFolder="LY\USD" measureGroup="SalesBudget" count="0"/>
    <cacheHierarchy uniqueName="[Measures].[Achieved LY Sales Budget Value TRY]" caption="Achieved LY Sales Budget Value TRY" measure="1" displayFolder="LY\TRY" measureGroup="SalesBudget" count="0"/>
    <cacheHierarchy uniqueName="[Measures].[Achieved LY Sales Budget Cost TRY]" caption="Achieved LY Sales Budget Cost TRY" measure="1" displayFolder="LY\TRY" measureGroup="SalesBudget" count="0"/>
    <cacheHierarchy uniqueName="[Measures].[Achieved LY Sales Budget Profit Value TRY]" caption="Achieved LY Sales Budget Profit Value TRY" measure="1" displayFolder="LY\TRY" measureGroup="SalesBudget" count="0"/>
    <cacheHierarchy uniqueName="[Measures].[Achieved LY Sales Budget Value USD]" caption="Achieved LY Sales Budget Value USD" measure="1" displayFolder="LY\USD" measureGroup="SalesBudget" count="0"/>
    <cacheHierarchy uniqueName="[Measures].[LY Sales Budget Profit Value USD]" caption="LY Sales Budget Profit Value USD" measure="1" displayFolder="LY\USD" measureGroup="SalesBudget" count="0"/>
    <cacheHierarchy uniqueName="[Measures].[Achieved LY Sales Budget Cost USD]" caption="Achieved LY Sales Budget Cost USD" measure="1" displayFolder="LY\USD" measureGroup="SalesBudget" count="0"/>
    <cacheHierarchy uniqueName="[Measures].[LY Sales Budget Value TRY Gap]" caption="LY Sales Budget Value TRY Gap" measure="1" displayFolder="LY\TRY" measureGroup="SalesBudget" count="0"/>
    <cacheHierarchy uniqueName="[Measures].[LY Sales Budget Cost TRY Gap]" caption="LY Sales Budget Cost TRY Gap" measure="1" displayFolder="LY\TRY" measureGroup="SalesBudget" count="0"/>
    <cacheHierarchy uniqueName="[Measures].[LY Sales Budget Profit Value TRY Gap]" caption="LY Sales Budget Profit Value TRY Gap" measure="1" displayFolder="LY\TRY" measureGroup="SalesBudget" count="0"/>
    <cacheHierarchy uniqueName="[Measures].[Achieved LY Sales Budget Profit Value USD]" caption="Achieved LY Sales Budget Profit Value USD" measure="1" displayFolder="LY\USD" measureGroup="SalesBudget" count="0"/>
    <cacheHierarchy uniqueName="[Measures].[LY Sales Budget Value USD Gap]" caption="LY Sales Budget Value USD Gap" measure="1" displayFolder="LY\USD" measureGroup="SalesBudget" count="0"/>
    <cacheHierarchy uniqueName="[Measures].[LY Sales Budget Cost USD Gap]" caption="LY Sales Budget Cost USD Gap" measure="1" displayFolder="LY\USD" measureGroup="SalesBudget" count="0"/>
    <cacheHierarchy uniqueName="[Measures].[LY Sales Budget Profit Value USD Gap]" caption="LY Sales Budget Profit Value USD Gap" measure="1" displayFolder="LY\USD" measureGroup="SalesBudget" count="0"/>
    <cacheHierarchy uniqueName="[Measures].[TY Sales Budget Gross Marjin TRY%]" caption="TY Sales Budget Gross Marjin TRY%" measure="1" displayFolder="TY\TRY" measureGroup="SalesBudget" count="0"/>
    <cacheHierarchy uniqueName="[Measures].[TY Sales Budget Gross _x0009_Marjin LC%]" caption="TY Sales Budget Gross _x0009_Marjin LC%" measure="1" displayFolder="TY\LC" measureGroup="SalesBudget" count="0"/>
    <cacheHierarchy uniqueName="[Measures].[TY Sales Budget Gross Marjin USD%]" caption="TY Sales Budget Gross Marjin USD%" measure="1" displayFolder="TY\USD" measureGroup="SalesBudget" count="0"/>
    <cacheHierarchy uniqueName="[Measures].[TY Gross Marjin TRY%]" caption="TY Gross Marjin TRY%" measure="1" displayFolder="01_TY\TRY" measureGroup="KPI" count="0"/>
    <cacheHierarchy uniqueName="[Measures].[TY Gross Marjin LC%]" caption="TY Gross Marjin LC%" measure="1" displayFolder="01_TY\LC" measureGroup="KPI" count="0"/>
    <cacheHierarchy uniqueName="[Measures].[TY Gross Marjin USD%]" caption="TY Gross Marjin USD%" measure="1" displayFolder="01_TY\USD" measureGroup="KPI" count="0"/>
    <cacheHierarchy uniqueName="[Measures].[LY Gross Marjin LC%]" caption="LY Gross Marjin LC%" measure="1" displayFolder="03_LY\LC" measureGroup="KPI" count="0"/>
    <cacheHierarchy uniqueName="[Measures].[LY Gross Marjin TRY%]" caption="LY Gross Marjin TRY%" measure="1" displayFolder="03_LY\TRY" measureGroup="KPI" count="0"/>
    <cacheHierarchy uniqueName="[Measures].[LY Gross Marjin USD%]" caption="LY Gross Marjin USD%" measure="1" displayFolder="03_LY\USD" measureGroup="KPI" count="0"/>
    <cacheHierarchy uniqueName="[Measures].[TY LFL Gross Marjin LC%]" caption="TY LFL Gross Marjin LC%" measure="1" displayFolder="02_TYLFL\LC" measureGroup="KPI" count="0"/>
    <cacheHierarchy uniqueName="[Measures].[TY LFL Gross Marjin TRY%]" caption="TY LFL Gross Marjin TRY%" measure="1" displayFolder="02_TYLFL\TRY" measureGroup="KPI" count="0"/>
    <cacheHierarchy uniqueName="[Measures].[TY LFL Gross Marjin USD%]" caption="TY LFL Gross Marjin USD%" measure="1" displayFolder="02_TYLFL\USD" measureGroup="KPI" count="0"/>
    <cacheHierarchy uniqueName="[Measures].[LY LFL Gross Marjin LC%]" caption="LY LFL Gross Marjin LC%" measure="1" displayFolder="04_LYLFL\LC" measureGroup="KPI" count="0"/>
    <cacheHierarchy uniqueName="[Measures].[LY LFL Gross Marjin TRY%]" caption="LY LFL Gross Marjin TRY%" measure="1" displayFolder="04_LYLFL\TRY" measureGroup="KPI" count="0"/>
    <cacheHierarchy uniqueName="[Measures].[LY LFL Gross Marjin USD%]" caption="LY LFL Gross Marjin USD%" measure="1" displayFolder="04_LYLFL\USD" measureGroup="KPI" count="0"/>
    <cacheHierarchy uniqueName="[Measures].[TY Store Back Cover LC]" caption="TY Store Back Cover LC" measure="1" displayFolder="01_TY\LC" measureGroup="KPI" count="0"/>
    <cacheHierarchy uniqueName="[Measures].[TY Store Back Cover Unit]" caption="TY Store Back Cover Unit" measure="1" displayFolder="01_TY\UNIT" measureGroup="KPI" count="0"/>
    <cacheHierarchy uniqueName="[Measures].[TY Store Turnover Unit]" caption="TY Store Turnover Unit" measure="1" displayFolder="01_TY\_UNIT" measureGroup="KPI" count="0"/>
    <cacheHierarchy uniqueName="[Measures].[TY Store Turnover  LC]" caption="TY Store Turnover  LC" measure="1" displayFolder="01_TY\LC" measureGroup="KPI" count="0"/>
    <cacheHierarchy uniqueName="[Measures].[TY Store Turnover TRY]" caption="TY Store Turnover TRY" measure="1" displayFolder="01_TY\TRY" measureGroup="KPI" count="0"/>
    <cacheHierarchy uniqueName="[Measures].[TY Store Turnover USD]" caption="TY Store Turnover USD" measure="1" displayFolder="01_TY\USD" measureGroup="KPI" count="0"/>
    <cacheHierarchy uniqueName="[Measures].[TY Actual MarkDown LC%]" caption="TY Actual MarkDown LC%" measure="1" displayFolder="01_TY\LC" measureGroup="KPI" count="0"/>
    <cacheHierarchy uniqueName="[Measures].[TY Actual MarkDown TRY%]" caption="TY Actual MarkDown TRY%" measure="1" displayFolder="01_TY\TRY" measureGroup="KPI" count="0"/>
    <cacheHierarchy uniqueName="[Measures].[TY Actual MarkDown USD%]" caption="TY Actual MarkDown USD%" measure="1" displayFolder="01_TY\USD" measureGroup="KPI" count="0"/>
    <cacheHierarchy uniqueName="[Measures].[TY Store Back Cover TRY]" caption="TY Store Back Cover TRY" measure="1" displayFolder="01_TY\TRY" measureGroup="KPI" count="0"/>
    <cacheHierarchy uniqueName="[Measures].[TY Store Back Cover USD]" caption="TY Store Back Cover USD" measure="1" displayFolder="01_TY\USD" measureGroup="KPI" count="0"/>
    <cacheHierarchy uniqueName="[Measures].[TY LFL Store Back Cover Unit]" caption="TY LFL Store Back Cover Unit" measure="1" displayFolder="02_TYLFL\_UNIT" measureGroup="KPI" count="0"/>
    <cacheHierarchy uniqueName="[Measures].[LY Store Turnover Unit]" caption="LY Store Turnover Unit" measure="1" displayFolder="03_LY\_UNIT" measureGroup="KPI" count="0"/>
    <cacheHierarchy uniqueName="[Measures].[LY Store Turnover  LC]" caption="LY Store Turnover  LC" measure="1" displayFolder="03_LY\LC" measureGroup="KPI" count="0"/>
    <cacheHierarchy uniqueName="[Measures].[LY Store Turnover TRY]" caption="LY Store Turnover TRY" measure="1" displayFolder="03_LY\TRY" measureGroup="KPI" count="0"/>
    <cacheHierarchy uniqueName="[Measures].[LY Store Turnover USD]" caption="LY Store Turnover USD" measure="1" displayFolder="03_LY\USD" measureGroup="KPI" count="0"/>
    <cacheHierarchy uniqueName="[Measures].[TY LFL Store Turnover Unit]" caption="TY LFL Store Turnover Unit" measure="1" displayFolder="02_TYLFL\_UNIT" measureGroup="KPI" count="0"/>
    <cacheHierarchy uniqueName="[Measures].[TY LFL Store Turnover  LC]" caption="TY LFL Store Turnover  LC" measure="1" displayFolder="02_TYLFL\LC" measureGroup="KPI" count="0"/>
    <cacheHierarchy uniqueName="[Measures].[TY LFL Store Turnover TRY]" caption="TY LFL Store Turnover TRY" measure="1" displayFolder="02_TYLFL\TRY" measureGroup="KPI" count="0"/>
    <cacheHierarchy uniqueName="[Measures].[TY LFL Store Turnover USD]" caption="TY LFL Store Turnover USD" measure="1" displayFolder="02_TYLFL\USD" measureGroup="KPI" count="0"/>
    <cacheHierarchy uniqueName="[Measures].[LY LFL Store Turnover Unit]" caption="LY LFL Store Turnover Unit" measure="1" displayFolder="04_LYLFL\_UNIT" measureGroup="KPI" count="0"/>
    <cacheHierarchy uniqueName="[Measures].[LY LFL Store Turnover  LC]" caption="LY LFL Store Turnover  LC" measure="1" displayFolder="04_LYLFL\LC" measureGroup="KPI" count="0"/>
    <cacheHierarchy uniqueName="[Measures].[LY LFL Store Turnover TRY]" caption="LY LFL Store Turnover TRY" measure="1" displayFolder="04_LYLFL\TRY" measureGroup="KPI" count="0"/>
    <cacheHierarchy uniqueName="[Measures].[LY LFL Store Turnover USD]" caption="LY LFL Store Turnover USD" measure="1" displayFolder="04_LYLFL\USD" measureGroup="KPI" count="0"/>
    <cacheHierarchy uniqueName="[Measures].[TY Actual MarkUp LC]" caption="TY Actual MarkUp LC" measure="1" displayFolder="01_TY\LC" measureGroup="KPI" count="0"/>
    <cacheHierarchy uniqueName="[Measures].[TY Actual MarkUp TRY]" caption="TY Actual MarkUp TRY" measure="1" displayFolder="01_TY\TRY" measureGroup="KPI" count="0"/>
    <cacheHierarchy uniqueName="[Measures].[TY Actual MarkUp USD]" caption="TY Actual MarkUp USD" measure="1" displayFolder="01_TY\USD" measureGroup="KPI" count="0"/>
    <cacheHierarchy uniqueName="[Measures].[LY Actual MarkUp LC]" caption="LY Actual MarkUp LC" measure="1" displayFolder="03_LY\LC" measureGroup="KPI" count="0"/>
    <cacheHierarchy uniqueName="[Measures].[LY Actual MarkUp TRY]" caption="LY Actual MarkUp TRY" measure="1" displayFolder="03_LY\TRY" measureGroup="KPI" count="0"/>
    <cacheHierarchy uniqueName="[Measures].[LY Actual MarkUp USD]" caption="LY Actual MarkUp USD" measure="1" displayFolder="03_LY\USD" measureGroup="KPI" count="0"/>
    <cacheHierarchy uniqueName="[Measures].[TY LFL Actual MarkUp LC]" caption="TY LFL Actual MarkUp LC" measure="1" displayFolder="02_TYLFL\LC" measureGroup="KPI" count="0"/>
    <cacheHierarchy uniqueName="[Measures].[TY LFL Actual MarkUp TRY]" caption="TY LFL Actual MarkUp TRY" measure="1" displayFolder="02_TYLFL\TRY" measureGroup="KPI" count="0"/>
    <cacheHierarchy uniqueName="[Measures].[TY LFL Actual MarkUp USD]" caption="TY LFL Actual MarkUp USD" measure="1" displayFolder="02_TYLFL\USD" measureGroup="KPI" count="0"/>
    <cacheHierarchy uniqueName="[Measures].[LY LFL Actual MarkUp LC]" caption="LY LFL Actual MarkUp LC" measure="1" displayFolder="04_LYLFL\LC" measureGroup="KPI" count="0"/>
    <cacheHierarchy uniqueName="[Measures].[LY LFL Actual MarkUp TRY]" caption="LY LFL Actual MarkUp TRY" measure="1" displayFolder="04_LYLFL\TRY" measureGroup="KPI" count="0"/>
    <cacheHierarchy uniqueName="[Measures].[LY LFL Actual MarkUp USD]" caption="LY LFL Actual MarkUp USD" measure="1" displayFolder="04_LYLFL\USD" measureGroup="KPI" count="0"/>
    <cacheHierarchy uniqueName="[Measures].[LY Store Back Cover Unit]" caption="LY Store Back Cover Unit" measure="1" displayFolder="03_LY\_UNIT" measureGroup="KPI" count="0"/>
    <cacheHierarchy uniqueName="[Measures].[LY LFL Store Back Cover Unit]" caption="LY LFL Store Back Cover Unit" measure="1" displayFolder="04_LYLFL\_UNIT" measureGroup="KPI" count="0"/>
    <cacheHierarchy uniqueName="[Measures].[TY Conversion Rate]" caption="TY Conversion Rate" measure="1" displayFolder="01_TY\_UNIT" measureGroup="KPI" count="0"/>
    <cacheHierarchy uniqueName="[Measures].[LY Conversion Rate]" caption="LY Conversion Rate" measure="1" displayFolder="03_LY\_UNIT" measureGroup="KPI" count="0"/>
    <cacheHierarchy uniqueName="[Measures].[TY LFL Conversion Rate]" caption="TY LFL Conversion Rate" measure="1" displayFolder="02_TYLFL\_UNIT" measureGroup="KPI" count="0"/>
    <cacheHierarchy uniqueName="[Measures].[LY LFL Conversion Rate]" caption="LY LFL Conversion Rate" measure="1" displayFolder="04_LYLFL\_UNIT" measureGroup="KPI" count="0"/>
    <cacheHierarchy uniqueName="[Measures].[TY MerchYearWeekCount]" caption="TY MerchYearWeekCount" measure="1" displayFolder="00_INFO" measureGroup="KPI" count="0"/>
    <cacheHierarchy uniqueName="[Measures].[LY MerchYearWeekCount]" caption="LY MerchYearWeekCount" measure="1" displayFolder="00_INFO" measureGroup="KPI" count="0"/>
    <cacheHierarchy uniqueName="[Measures].[LY Store Back Cover LC]" caption="LY Store Back Cover LC" measure="1" displayFolder="03_LY\LC" measureGroup="KPI" count="0"/>
    <cacheHierarchy uniqueName="[Measures].[LY Store Back Cover TRY]" caption="LY Store Back Cover TRY" measure="1" displayFolder="03_LY\TRY" measureGroup="KPI" count="0"/>
    <cacheHierarchy uniqueName="[Measures].[LY Store Back Cover USD]" caption="LY Store Back Cover USD" measure="1" displayFolder="03_LY\USD" measureGroup="KPI" count="0"/>
    <cacheHierarchy uniqueName="[Measures].[TY LFL Store Back Cover LC]" caption="TY LFL Store Back Cover LC" measure="1" displayFolder="02_TYLFL\LC" measureGroup="KPI" count="0"/>
    <cacheHierarchy uniqueName="[Measures].[TYLFL MerchYearWeekCount]" caption="TYLFL MerchYearWeekCount" measure="1" displayFolder="00_INFO" measureGroup="KPI" count="0"/>
    <cacheHierarchy uniqueName="[Measures].[LYLFL MerchYearWeekCount]" caption="LYLFL MerchYearWeekCount" measure="1" displayFolder="00_INFO" measureGroup="KPI" count="0"/>
    <cacheHierarchy uniqueName="[Measures].[Sales Value TYvsLY LC%]" caption="Sales Value TYvsLY LC%" measure="1" displayFolder="01_TY\LC" measureGroup="KPI" count="0"/>
    <cacheHierarchy uniqueName="[Measures].[Sales Value TYvsLY TRY%]" caption="Sales Value TYvsLY TRY%" measure="1" displayFolder="01_TY\TRY" measureGroup="KPI" count="0"/>
    <cacheHierarchy uniqueName="[Measures].[Sales Value TYvsLY USD%]" caption="Sales Value TYvsLY USD%" measure="1" displayFolder="01_TY\USD" measureGroup="KPI" count="0"/>
    <cacheHierarchy uniqueName="[Measures].[Sales Unit TYvsLY%]" caption="Sales Unit TYvsLY%" measure="1" displayFolder="01_TY\_UNIT" measureGroup="KPI" count="0"/>
    <cacheHierarchy uniqueName="[Measures].[LFL Sales Unit TYvsLY%]" caption="LFL Sales Unit TYvsLY%" measure="1" displayFolder="02_TYLFL\_UNIT" measureGroup="KPI" count="0"/>
    <cacheHierarchy uniqueName="[Measures].[LFL Sales Value TYvsLY LC%]" caption="LFL Sales Value TYvsLY LC%" measure="1" displayFolder="02_TYLFL\LC" measureGroup="KPI" count="0"/>
    <cacheHierarchy uniqueName="[Measures].[LFL Sales Value TYvsLY TRY%]" caption="LFL Sales Value TYvsLY TRY%" measure="1" displayFolder="02_TYLFL\TRY" measureGroup="KPI" count="0"/>
    <cacheHierarchy uniqueName="[Measures].[LFL Sales Value TYvsLY USD%]" caption="LFL Sales Value TYvsLY USD%" measure="1" displayFolder="02_TYLFL\USD" measureGroup="KPI" count="0"/>
    <cacheHierarchy uniqueName="[Measures].[Store Stock Unit TYvsLY%]" caption="Store Stock Unit TYvsLY%" measure="1" displayFolder="01_TY\_UNIT" measureGroup="KPI" count="0"/>
    <cacheHierarchy uniqueName="[Measures].[Store Stock Cost TYvsLY LC%]" caption="Store Stock Cost TYvsLY LC%" measure="1" displayFolder="01_TY\LC" measureGroup="KPI" count="0"/>
    <cacheHierarchy uniqueName="[Measures].[Store Stock Cost TYvsLY TRY%]" caption="Store Stock Cost TYvsLY TRY%" measure="1" displayFolder="01_TY\TRY" measureGroup="KPI" count="0"/>
    <cacheHierarchy uniqueName="[Measures].[Store Stock Cost TYvsLY USD%]" caption="Store Stock Cost TYvsLY USD%" measure="1" displayFolder="01_TY\USD" measureGroup="KPI" count="0"/>
    <cacheHierarchy uniqueName="[Measures].[LFL Store Stock Unit TYvsLY%]" caption="LFL Store Stock Unit TYvsLY%" measure="1" displayFolder="02_TYLFL\_UNIT" measureGroup="KPI" count="0"/>
    <cacheHierarchy uniqueName="[Measures].[LFL Store Stock Cost TYvsLY LC%]" caption="LFL Store Stock Cost TYvsLY LC%" measure="1" displayFolder="02_TYLFL\LC" measureGroup="KPI" count="0"/>
    <cacheHierarchy uniqueName="[Measures].[LFL Stock Cost TYvsLY TRY%]" caption="LFL Stock Cost TYvsLY TRY%" measure="1" displayFolder="02_TYLFL\TRY" measureGroup="KPI" count="0"/>
    <cacheHierarchy uniqueName="[Measures].[LFL Store Stock Cost TYvsLY USD%]" caption="LFL Store Stock Cost TYvsLY USD%" measure="1" displayFolder="02_TYLFL\USD" measureGroup="KPI" count="0"/>
    <cacheHierarchy uniqueName="[Measures].[Unit Sales Price TYvsLY LC%]" caption="Unit Sales Price TYvsLY LC%" measure="1" displayFolder="01_TY\LC" measureGroup="KPI" count="0"/>
    <cacheHierarchy uniqueName="[Measures].[Unit Sales Price TYvsLY TRY%]" caption="Unit Sales Price TYvsLY TRY%" measure="1" displayFolder="01_TY\TRY" measureGroup="KPI" count="0"/>
    <cacheHierarchy uniqueName="[Measures].[Unit Sales Price TYvsLY USD%]" caption="Unit Sales Price TYvsLY USD%" measure="1" displayFolder="01_TY\USD" measureGroup="KPI" count="0"/>
    <cacheHierarchy uniqueName="[Measures].[LFL Unit Sales Price TYvsLY LC%]" caption="LFL Unit Sales Price TYvsLY LC%" measure="1" displayFolder="02_TYLFL\LC" measureGroup="KPI" count="0"/>
    <cacheHierarchy uniqueName="[Measures].[LFL Unit Sales Price TYvsLY TRY%]" caption="LFL Unit Sales Price TYvsLY TRY%" measure="1" displayFolder="02_TYLFL\TRY" measureGroup="KPI" count="0"/>
    <cacheHierarchy uniqueName="[Measures].[LFL Unit Sales Price TYvsLY USD%]" caption="LFL Unit Sales Price TYvsLY USD%" measure="1" displayFolder="02_TYLFL\USD" measureGroup="KPI" count="0"/>
    <cacheHierarchy uniqueName="[Measures].[Unit Cost TYvsLY LC%]" caption="Unit Cost TYvsLY LC%" measure="1" displayFolder="01_TY\LC" measureGroup="KPI" count="0"/>
    <cacheHierarchy uniqueName="[Measures].[Unit Cost TYvsLY TRY%]" caption="Unit Cost TYvsLY TRY%" measure="1" displayFolder="01_TY\TRY" measureGroup="KPI" count="0"/>
    <cacheHierarchy uniqueName="[Measures].[Unit Cost TYvsLY USD%]" caption="Unit Cost TYvsLY USD%" measure="1" displayFolder="01_TY\USD" measureGroup="KPI" count="0"/>
    <cacheHierarchy uniqueName="[Measures].[LFL Unit Cost TYvsLY LC%]" caption="LFL Unit Cost TYvsLY LC%" measure="1" displayFolder="02_TYLFL\LC" measureGroup="KPI" count="0"/>
    <cacheHierarchy uniqueName="[Measures].[LFL Unit Cost TYvsLY TRY%]" caption="LFL Unit Cost TYvsLY TRY%" measure="1" displayFolder="02_TYLFL\TRY" measureGroup="KPI" count="0"/>
    <cacheHierarchy uniqueName="[Measures].[LFL Unit Cost TYvsLY USD%]" caption="LFL Unit Cost TYvsLY USD%" measure="1" displayFolder="02_TYLFL\USD" measureGroup="KPI" count="0"/>
    <cacheHierarchy uniqueName="[Measures].[Unit ISP TYvsLY LC%]" caption="Unit ISP TYvsLY LC%" measure="1" displayFolder="01_TY\LC" measureGroup="KPI" count="0"/>
    <cacheHierarchy uniqueName="[Measures].[Unit ISP TYvsLY TRY%]" caption="Unit ISP TYvsLY TRY%" measure="1" displayFolder="01_TY\TRY" measureGroup="KPI" count="0"/>
    <cacheHierarchy uniqueName="[Measures].[Unit ISP TYvsLY USD%]" caption="Unit ISP TYvsLY USD%" measure="1" displayFolder="01_TY\USD" measureGroup="KPI" count="0"/>
    <cacheHierarchy uniqueName="[Measures].[LFL Unit ISP TYvsLY LC%]" caption="LFL Unit ISP TYvsLY LC%" measure="1" displayFolder="02_TYLFL\LC" measureGroup="KPI" count="0"/>
    <cacheHierarchy uniqueName="[Measures].[LFL Unit ISP TYvsLY TRY%]" caption="LFL Unit ISP TYvsLY TRY%" measure="1" displayFolder="02_TYLFL\TRY" measureGroup="KPI" count="0"/>
    <cacheHierarchy uniqueName="[Measures].[LFL Unit ISP TYvsLY USD%]" caption="LFL Unit ISP TYvsLY USD%" measure="1" displayFolder="02_TYLFL\USD" measureGroup="KPI" count="0"/>
    <cacheHierarchy uniqueName="[Measures].[Store Back Cover Unit TYvsLY%]" caption="Store Back Cover Unit TYvsLY%" measure="1" displayFolder="01_TY\_UNIT" measureGroup="KPI" count="0"/>
    <cacheHierarchy uniqueName="[Measures].[LFL Store Back Cover Unit TYvsLY%]" caption="LFL Store Back Cover Unit TYvsLY%" measure="1" displayFolder="02_TYLFL\_UNIT" measureGroup="KPI" count="0"/>
    <cacheHierarchy uniqueName="[Measures].[Gross Marjin TYvsLY LC%]" caption="Gross Marjin TYvsLY LC%" measure="1" displayFolder="01_TY\LC" measureGroup="KPI" count="0"/>
    <cacheHierarchy uniqueName="[Measures].[Gross Marjin TYvsLY TRY%]" caption="Gross Marjin TYvsLY TRY%" measure="1" displayFolder="01_TY\TRY" measureGroup="KPI" count="0"/>
    <cacheHierarchy uniqueName="[Measures].[Gross Marjin TYvsLY USD%]" caption="Gross Marjin TYvsLY USD%" measure="1" displayFolder="01_TY\USD" measureGroup="KPI" count="0"/>
    <cacheHierarchy uniqueName="[Measures].[LFL Gross Marjin TYvsLY LC%]" caption="LFL Gross Marjin TYvsLY LC%" measure="1" displayFolder="02_TYLFL\LC" measureGroup="KPI" count="0"/>
    <cacheHierarchy uniqueName="[Measures].[LFL Gross Marjin TYvsLY TRY%]" caption="LFL Gross Marjin TYvsLY TRY%" measure="1" displayFolder="02_TYLFL\TRY" measureGroup="KPI" count="0"/>
    <cacheHierarchy uniqueName="[Measures].[LFL Gross Marjin TYvsLY USD%]" caption="LFL Gross Marjin TYvsLY USD%" measure="1" displayFolder="02_TYLFL\USD" measureGroup="KPI" count="0"/>
    <cacheHierarchy uniqueName="[Measures].[Sales Profit TYvsLY LC%]" caption="Sales Profit TYvsLY LC%" measure="1" displayFolder="01_TY\LC" measureGroup="KPI" count="0"/>
    <cacheHierarchy uniqueName="[Measures].[Sales Profit TYvsLY TRY%]" caption="Sales Profit TYvsLY TRY%" measure="1" displayFolder="01_TY\TRY" measureGroup="KPI" count="0"/>
    <cacheHierarchy uniqueName="[Measures].[Sales Profit TYvsLY USD%]" caption="Sales Profit TYvsLY USD%" measure="1" displayFolder="01_TY\USD" measureGroup="KPI" count="0"/>
    <cacheHierarchy uniqueName="[Measures].[LFL Sales Profit TYvsLY LC%]" caption="LFL Sales Profit TYvsLY LC%" measure="1" displayFolder="02_TYLFL\LC" measureGroup="KPI" count="0"/>
    <cacheHierarchy uniqueName="[Measures].[LFL Sales Profit TYvsLY TRY%]" caption="LFL Sales Profit TYvsLY TRY%" measure="1" displayFolder="02_TYLFL\TRY" measureGroup="KPI" count="0"/>
    <cacheHierarchy uniqueName="[Measures].[LFL Sales Profit TYvsLY USD%]" caption="LFL Sales Profit TYvsLY USD%" measure="1" displayFolder="02_TYLFL\USD" measureGroup="KPI" count="0"/>
    <cacheHierarchy uniqueName="[Measures].[TY LFL Store Back Cover TRY]" caption="TY LFL Store Back Cover TRY" measure="1" displayFolder="02_TYLFL\TRY" measureGroup="KPI" count="0"/>
    <cacheHierarchy uniqueName="[Measures].[TY LFL Store Back Cover USD]" caption="TY LFL Store Back Cover USD" measure="1" displayFolder="02_TYLFL\USD" measureGroup="KPI" count="0"/>
    <cacheHierarchy uniqueName="[Measures].[LY LFL Store Back Cover LC]" caption="LY LFL Store Back Cover LC" measure="1" displayFolder="04_LYLFL\LC" measureGroup="KPI" count="0"/>
    <cacheHierarchy uniqueName="[Measures].[LY LFL Store Back Cover TRY]" caption="LY LFL Store Back Cover TRY" measure="1" displayFolder="04_LYLFL\TRY" measureGroup="KPI" count="0"/>
    <cacheHierarchy uniqueName="[Measures].[LY LFL Store Back Cover USD]" caption="LY LFL Store Back Cover USD" measure="1" displayFolder="04_LYLFL\USD" measureGroup="KPI" count="0"/>
    <cacheHierarchy uniqueName="[Measures].[Store Back Cover TYvsLY LC%]" caption="Store Back Cover TYvsLY LC%" measure="1" displayFolder="01_TY\LC" measureGroup="KPI" count="0"/>
    <cacheHierarchy uniqueName="[Measures].[Store Back Cover TYvsLY TRY%]" caption="Store Back Cover TYvsLY TRY%" measure="1" displayFolder="01_TY\TRY" measureGroup="KPI" count="0"/>
    <cacheHierarchy uniqueName="[Measures].[Store Back Cover TYvsLY USD%]" caption="Store Back Cover TYvsLY USD%" measure="1" displayFolder="01_TY\USD" measureGroup="KPI" count="0"/>
    <cacheHierarchy uniqueName="[Measures].[LFL Store Back Cover TYvsLY LC%]" caption="LFL Store Back Cover TYvsLY LC%" measure="1" displayFolder="02_TYLFL\LC" measureGroup="KPI" count="0"/>
    <cacheHierarchy uniqueName="[Measures].[LFL Store Back Cover TYvsLY TRY%]" caption="LFL Store Back Cover TYvsLY TRY%" measure="1" displayFolder="02_TYLFL\TRY" measureGroup="KPI" count="0"/>
    <cacheHierarchy uniqueName="[Measures].[LFL Store Back Cover TYvsLY USD%]" caption="LFL Store Back Cover TYvsLY USD%" measure="1" displayFolder="02_TYLFL\USD" measureGroup="KPI" count="0"/>
    <cacheHierarchy uniqueName="[Measures].[TY GMROII LC]" caption="TY GMROII LC" measure="1" displayFolder="01_TY\LC" measureGroup="KPI" count="0"/>
    <cacheHierarchy uniqueName="[Measures].[TY GMROII TRY]" caption="TY GMROII TRY" measure="1" displayFolder="01_TY\TRY" measureGroup="KPI" count="0"/>
    <cacheHierarchy uniqueName="[Measures].[TY GMROII USD]" caption="TY GMROII USD" measure="1" displayFolder="01_TY\USD" measureGroup="KPI" count="0"/>
    <cacheHierarchy uniqueName="[Measures].[LY GMROII LC]" caption="LY GMROII LC" measure="1" displayFolder="03_LY\LC" measureGroup="KPI" count="0"/>
    <cacheHierarchy uniqueName="[Measures].[LY GMROII TRY]" caption="LY GMROII TRY" measure="1" displayFolder="03_LY\TRY" measureGroup="KPI" count="0"/>
    <cacheHierarchy uniqueName="[Measures].[LY GMROII USD]" caption="LY GMROII USD" measure="1" displayFolder="03_LY\USD" measureGroup="KPI" count="0"/>
    <cacheHierarchy uniqueName="[Measures].[TY LFL GMROII LC]" caption="TY LFL GMROII LC" measure="1" displayFolder="02_TYLFL\LC" measureGroup="KPI" count="0"/>
    <cacheHierarchy uniqueName="[Measures].[TY LFL GMROII TRY]" caption="TY LFL GMROII TRY" measure="1" displayFolder="02_TYLFL\TRY" measureGroup="KPI" count="0"/>
    <cacheHierarchy uniqueName="[Measures].[TY LFL GMROII USD]" caption="TY LFL GMROII USD" measure="1" displayFolder="02_TYLFL\USD" measureGroup="KPI" count="0"/>
    <cacheHierarchy uniqueName="[Measures].[LY LFL GMROII LC]" caption="LY LFL GMROII LC" measure="1" displayFolder="04_LYLFL\LC" measureGroup="KPI" count="0"/>
    <cacheHierarchy uniqueName="[Measures].[LY LFL GMROII TRY]" caption="LY LFL GMROII TRY" measure="1" displayFolder="04_LYLFL\TRY" measureGroup="KPI" count="0"/>
    <cacheHierarchy uniqueName="[Measures].[LY LFL GMROII USD]" caption="LY LFL GMROII USD" measure="1" displayFolder="04_LYLFL\USD" measureGroup="KPI" count="0"/>
    <cacheHierarchy uniqueName="[Measures].[LY Actual MarkDown LC%]" caption="LY Actual MarkDown LC%" measure="1" displayFolder="03_LY\LC" measureGroup="KPI" count="0"/>
    <cacheHierarchy uniqueName="[Measures].[LY Actual MarkDown TRY%]" caption="LY Actual MarkDown TRY%" measure="1" displayFolder="03_LY\TRY" measureGroup="KPI" count="0"/>
    <cacheHierarchy uniqueName="[Measures].[LY Actual MarkDown USD%]" caption="LY Actual MarkDown USD%" measure="1" displayFolder="03_LY\USD" measureGroup="KPI" count="0"/>
    <cacheHierarchy uniqueName="[Measures].[TY LFL Actual MarkDown LC%]" caption="TY LFL Actual MarkDown LC%" measure="1" displayFolder="02_TYLFL\LC" measureGroup="KPI" count="0"/>
    <cacheHierarchy uniqueName="[Measures].[TY LFL Actual MarkDown TRY%]" caption="TY LFL Actual MarkDown TRY%" measure="1" displayFolder="02_TYLFL\TRY" measureGroup="KPI" count="0"/>
    <cacheHierarchy uniqueName="[Measures].[TY LFL Actual MarkDown USD%]" caption="TY LFL Actual MarkDown USD%" measure="1" displayFolder="02_TYLFL\USD" measureGroup="KPI" count="0"/>
    <cacheHierarchy uniqueName="[Measures].[LY LFL Actual MarkDown LC%]" caption="LY LFL Actual MarkDown LC%" measure="1" displayFolder="04_LYLFL\LC" measureGroup="KPI" count="0"/>
    <cacheHierarchy uniqueName="[Measures].[LY LFL Actual MarkDown TRY%]" caption="LY LFL Actual MarkDown TRY%" measure="1" displayFolder="04_LYLFL\TRY" measureGroup="KPI" count="0"/>
    <cacheHierarchy uniqueName="[Measures].[LY LFL Actual MarkDown USD%]" caption="LY LFL Actual MarkDown USD%" measure="1" displayFolder="04_LYLFL\USD" measureGroup="KPI" count="0"/>
    <cacheHierarchy uniqueName="[Measures].[Last 7Days TY Sales Unit]" caption="Last 7Days TY Sales Unit" measure="1" displayFolder="LASTN" measureGroup="KPI" count="0"/>
    <cacheHierarchy uniqueName="[Measures].[Last 7Days TY Sales Value LC]" caption="Last 7Days TY Sales Value LC" measure="1" displayFolder="LASTN" measureGroup="KPI" count="0"/>
    <cacheHierarchy uniqueName="[Measures].[Last 14Days TY Sales Unit]" caption="Last 14Days TY Sales Unit" measure="1" displayFolder="LASTN" measureGroup="KPI" count="0"/>
    <cacheHierarchy uniqueName="[Measures].[Last 14Days TY Sales Value LC]" caption="Last 14Days TY Sales Value LC" measure="1" displayFolder="LASTN" measureGroup="KPI" count="0"/>
    <cacheHierarchy uniqueName="[Measures].[Last 28Days TY Sales Unit]" caption="Last 28Days TY Sales Unit" measure="1" displayFolder="LASTN" measureGroup="KPI" count="0"/>
    <cacheHierarchy uniqueName="[Measures].[Last 28Days TY Sales Value LC]" caption="Last 28Days TY Sales Value LC" measure="1" displayFolder="LASTN" measureGroup="KPI" count="0"/>
    <cacheHierarchy uniqueName="[Measures].[Last 90Days TY Sales Unit]" caption="Last 90Days TY Sales Unit" measure="1" displayFolder="LASTN" measureGroup="KPI" count="0"/>
    <cacheHierarchy uniqueName="[Measures].[Last 90Days TY Sales Value LC]" caption="Last 90Days TY Sales Value LC" measure="1" displayFolder="LASTN" measureGroup="KPI" count="0"/>
    <cacheHierarchy uniqueName="[Measures].[Last 180Days TY Sales Unit]" caption="Last 180Days TY Sales Unit" measure="1" displayFolder="LASTN" measureGroup="KPI" count="0"/>
    <cacheHierarchy uniqueName="[Measures].[Last 180Days TY Sales Value LC]" caption="Last 180Days TY Sales Value LC" measure="1" displayFolder="LASTN" measureGroup="KPI" count="0"/>
    <cacheHierarchy uniqueName="[Measures].[TY UPT]" caption="TY UPT" measure="1" displayFolder="01_TY\_UNIT" measureGroup="KPI" count="0"/>
    <cacheHierarchy uniqueName="[Measures].[TY AOV LC]" caption="TY AOV LC" measure="1" displayFolder="01_TY\LC" measureGroup="KPI" count="0"/>
    <cacheHierarchy uniqueName="[Measures].[TY AOV TRY]" caption="TY AOV TRY" measure="1" displayFolder="01_TY\TRY" measureGroup="KPI" count="0"/>
    <cacheHierarchy uniqueName="[Measures].[TY AOV USD]" caption="TY AOV USD" measure="1" displayFolder="01_TY\USD" measureGroup="KPI" count="0"/>
    <cacheHierarchy uniqueName="[Measures].[LY UPT]" caption="LY UPT" measure="1" displayFolder="03_LY\_UNIT" measureGroup="KPI" count="0"/>
    <cacheHierarchy uniqueName="[Measures].[LY AOV LC]" caption="LY AOV LC" measure="1" displayFolder="03_LY\LC" measureGroup="KPI" count="0"/>
    <cacheHierarchy uniqueName="[Measures].[LY AOV TRY]" caption="LY AOV TRY" measure="1" displayFolder="03_LY\TRY" measureGroup="KPI" count="0"/>
    <cacheHierarchy uniqueName="[Measures].[LY AOV USD]" caption="LY AOV USD" measure="1" displayFolder="03_LY\USD" measureGroup="KPI" count="0"/>
    <cacheHierarchy uniqueName="[Measures].[TY LFL UPT]" caption="TY LFL UPT" measure="1" displayFolder="02_TYLFL\_UNIT" measureGroup="KPI" count="0"/>
    <cacheHierarchy uniqueName="[Measures].[TY LFL AOV LC]" caption="TY LFL AOV LC" measure="1" displayFolder="02_TYLFL\LC" measureGroup="KPI" count="0"/>
    <cacheHierarchy uniqueName="[Measures].[TY LFL AOV TRY]" caption="TY LFL AOV TRY" measure="1" displayFolder="02_TYLFL\TRY" measureGroup="KPI" count="0"/>
    <cacheHierarchy uniqueName="[Measures].[TY LFL AOV USD]" caption="TY LFL AOV USD" measure="1" displayFolder="02_TYLFL\USD" measureGroup="KPI" count="0"/>
    <cacheHierarchy uniqueName="[Measures].[LY LFL UPT]" caption="LY LFL UPT" measure="1" displayFolder="04_LYLFL\_UNIT" measureGroup="KPI" count="0"/>
    <cacheHierarchy uniqueName="[Measures].[LY LFL AOV LC]" caption="LY LFL AOV LC" measure="1" displayFolder="04_LYLFL\LC" measureGroup="KPI" count="0"/>
    <cacheHierarchy uniqueName="[Measures].[LY LFL AOV TRY]" caption="LY LFL AOV TRY" measure="1" displayFolder="04_LYLFL\TRY" measureGroup="KPI" count="0"/>
    <cacheHierarchy uniqueName="[Measures].[LY LFL AOV USD]" caption="LY LFL AOV USD" measure="1" displayFolder="04_LYLFL\USD" measureGroup="KPI" count="0"/>
    <cacheHierarchy uniqueName="[Measures].[TY DayCount]" caption="TY DayCount" measure="1" displayFolder="00_INFO" measureGroup="KPI" count="0"/>
    <cacheHierarchy uniqueName="[Measures].[TY Store Count]" caption="TY Store Count" measure="1" displayFolder="01_TY\_UNIT" measureGroup="KPI" count="0"/>
    <cacheHierarchy uniqueName="[Measures].[LY Store Count]" caption="LY Store Count" measure="1" displayFolder="03_LY\_UNIT" measureGroup="KPI" count="0"/>
    <cacheHierarchy uniqueName="[Measures].[TY LFL Store Count]" caption="TY LFL Store Count" measure="1" displayFolder="02_TYLFL\_UNIT" measureGroup="KPI" count="0"/>
    <cacheHierarchy uniqueName="[Measures].[LY LFL Store Count]" caption="LY LFL Store Count" measure="1" displayFolder="04_LYLFL\_UNIT" measureGroup="KPI" count="0"/>
    <cacheHierarchy uniqueName="[Measures].[Sales Unit TyTWvsTyLW%]" caption="Sales Unit TyTWvsTyLW%" measure="1" displayFolder="TyTWvsTyLW" measureGroup="KPI" count="0"/>
    <cacheHierarchy uniqueName="[Measures].[LFL Sales Unit TyTWvsTyLW%]" caption="LFL Sales Unit TyTWvsTyLW%" measure="1" displayFolder="TyTWvsTyLW" measureGroup="KPI" count="0"/>
    <cacheHierarchy uniqueName="[Measures].[Sales Value TyTWvsTyLW LC%]" caption="Sales Value TyTWvsTyLW LC%" measure="1" displayFolder="TyTWvsTyLW" measureGroup="KPI" count="0"/>
    <cacheHierarchy uniqueName="[Measures].[Sales Value TyTWvsTyLW TRY%]" caption="Sales Value TyTWvsTyLW TRY%" measure="1" displayFolder="TyTWvsTyLW" measureGroup="KPI" count="0"/>
    <cacheHierarchy uniqueName="[Measures].[Sales Value TyTWvsTyLW USD%]" caption="Sales Value TyTWvsTyLW USD%" measure="1" displayFolder="TyTWvsTyLW" measureGroup="KPI" count="0"/>
    <cacheHierarchy uniqueName="[Measures].[LFL Sales Value TyTWvsTyLW LC%]" caption="LFL Sales Value TyTWvsTyLW LC%" measure="1" displayFolder="TyTWvsTyLW" measureGroup="KPI" count="0"/>
    <cacheHierarchy uniqueName="[Measures].[LFL Sales Value TyTWvsTyLW TRY%]" caption="LFL Sales Value TyTWvsTyLW TRY%" measure="1" displayFolder="TyTWvsTyLW" measureGroup="KPI" count="0"/>
    <cacheHierarchy uniqueName="[Measures].[LFL Sales Value TyTWvsTyLW USD%]" caption="LFL Sales Value TyTWvsTyLW USD%" measure="1" displayFolder="TyTWvsTyLW" measureGroup="KPI" count="0"/>
    <cacheHierarchy uniqueName="[Measures].[Store Stock Unit TyTWvsTyLW%]" caption="Store Stock Unit TyTWvsTyLW%" measure="1" displayFolder="TyTWvsTyLW" measureGroup="KPI" count="0"/>
    <cacheHierarchy uniqueName="[Measures].[Store Stock Cost TyTWvsTyLW LC%]" caption="Store Stock Cost TyTWvsTyLW LC%" measure="1" displayFolder="TyTWvsTyLW" measureGroup="KPI" count="0"/>
    <cacheHierarchy uniqueName="[Measures].[Store Stock Cost TyTWvsTyLW TRY%]" caption="Store Stock Cost TyTWvsTyLW TRY%" measure="1" displayFolder="TyTWvsTyLW" measureGroup="KPI" count="0"/>
    <cacheHierarchy uniqueName="[Measures].[Store Stock Cost TyTWvsTyLW USD%]" caption="Store Stock Cost TyTWvsTyLW USD%" measure="1" displayFolder="TyTWvsTyLW" measureGroup="KPI" count="0"/>
    <cacheHierarchy uniqueName="[Measures].[LFL Store Stock Unit TyTWvsTyLW%]" caption="LFL Store Stock Unit TyTWvsTyLW%" measure="1" displayFolder="TyTWvsTyLW" measureGroup="KPI" count="0"/>
    <cacheHierarchy uniqueName="[Measures].[LFL Store Stock Cost TyTWvsTyLW LC%]" caption="LFL Store Stock Cost TyTWvsTyLW LC%" measure="1" displayFolder="TyTWvsTyLW" measureGroup="KPI" count="0"/>
    <cacheHierarchy uniqueName="[Measures].[LFL Store Stock Cost TyTWvsTyLW TRY%]" caption="LFL Store Stock Cost TyTWvsTyLW TRY%" measure="1" displayFolder="TyTWvsTyLW" measureGroup="KPI" count="0"/>
    <cacheHierarchy uniqueName="[Measures].[LFL Store Stock Cost TyTWvsTyLW USD%]" caption="LFL Store Stock Cost TyTWvsTyLW USD%" measure="1" displayFolder="TyTWvsTyLW" measureGroup="KPI" count="0"/>
    <cacheHierarchy uniqueName="[Measures].[Unit Sales Price TyTWvsTyLW LC%]" caption="Unit Sales Price TyTWvsTyLW LC%" measure="1" displayFolder="TyTWvsTyLW" measureGroup="KPI" count="0"/>
    <cacheHierarchy uniqueName="[Measures].[Unit Sales Price TyTWvsTyLW TRY%]" caption="Unit Sales Price TyTWvsTyLW TRY%" measure="1" displayFolder="TyTWvsTyLW" measureGroup="KPI" count="0"/>
    <cacheHierarchy uniqueName="[Measures].[Unit Sales Price TyTWvsTyLW USD%]" caption="Unit Sales Price TyTWvsTyLW USD%" measure="1" displayFolder="TyTWvsTyLW" measureGroup="KPI" count="0"/>
    <cacheHierarchy uniqueName="[Measures].[LFL Unit Sales Price TyTWvsTyLW LC%]" caption="LFL Unit Sales Price TyTWvsTyLW LC%" measure="1" displayFolder="TyTWvsTyLW" measureGroup="KPI" count="0"/>
    <cacheHierarchy uniqueName="[Measures].[LFL Unit Sales Price TyTWvsTyLW TRY%]" caption="LFL Unit Sales Price TyTWvsTyLW TRY%" measure="1" displayFolder="TyTWvsTyLW" measureGroup="KPI" count="0"/>
    <cacheHierarchy uniqueName="[Measures].[LFL Unit Sales Price TyTWvsTyLW USD%]" caption="LFL Unit Sales Price TyTWvsTyLW USD%" measure="1" displayFolder="TyTWvsTyLW" measureGroup="KPI" count="0"/>
    <cacheHierarchy uniqueName="[Measures].[TY DC Inc Back Cover Unit]" caption="TY DC Inc Back Cover Unit" measure="1" displayFolder="01_TY\_UNIT" measureGroup="KPI" count="0"/>
    <cacheHierarchy uniqueName="[Measures].[TY DC Inc Back Cover LC]" caption="TY DC Inc Back Cover LC" measure="1" displayFolder="01_TY\LC" measureGroup="KPI" count="0"/>
    <cacheHierarchy uniqueName="[Measures].[TY DC Inc Back Cover TRY]" caption="TY DC Inc Back Cover TRY" measure="1" displayFolder="01_TY\TRY" measureGroup="KPI" count="0"/>
    <cacheHierarchy uniqueName="[Measures].[TY DC Inc Back Cover USD]" caption="TY DC Inc Back Cover USD" measure="1" displayFolder="01_TY\USD" measureGroup="KPI" count="0"/>
    <cacheHierarchy uniqueName="[Measures].[LY DC Inc Back Cover Unit]" caption="LY DC Inc Back Cover Unit" measure="1" displayFolder="03_LY\_UNIT" measureGroup="KPI" count="0"/>
    <cacheHierarchy uniqueName="[Measures].[LY DC Inc Back Cover LC]" caption="LY DC Inc Back Cover LC" measure="1" displayFolder="03_LY\LC" measureGroup="KPI" count="0"/>
    <cacheHierarchy uniqueName="[Measures].[LY DC Inc Back Cover TRY]" caption="LY DC Inc Back Cover TRY" measure="1" displayFolder="03_LY\TRY" measureGroup="KPI" count="0"/>
    <cacheHierarchy uniqueName="[Measures].[LY DC Inc Back Cover USD]" caption="LY DC Inc Back Cover USD" measure="1" displayFolder="03_LY\USD" measureGroup="KPI" count="0"/>
    <cacheHierarchy uniqueName="[Measures].[DC Inc Back Cover Unit TYvsLY%]" caption="DC Inc Back Cover Unit TYvsLY%" measure="1" displayFolder="01_TY\_UNIT" measureGroup="KPI" count="0"/>
    <cacheHierarchy uniqueName="[Measures].[DC Inc Back Cover TYvsLY LC%]" caption="DC Inc Back Cover TYvsLY LC%" measure="1" displayFolder="01_TY\LC" measureGroup="KPI" count="0"/>
    <cacheHierarchy uniqueName="[Measures].[DC Inc Back Cover TYvsLY TRY%]" caption="DC Inc Back Cover TYvsLY TRY%" measure="1" displayFolder="01_TY\TRY" measureGroup="KPI" count="0"/>
    <cacheHierarchy uniqueName="[Measures].[DC Inc Back Cover TYvsLY USD%]" caption="DC Inc Back Cover TYvsLY USD%" measure="1" displayFolder="01_TY\USD" measureGroup="KPI" count="0"/>
    <cacheHierarchy uniqueName="[Measures].[ShowAll]" caption="ShowAll" measure="1" displayFolder="00_INFO" measureGroup="KPI" count="0"/>
    <cacheHierarchy uniqueName="[Measures].[Store Area m2]" caption="Store Area m2" measure="1" displayFolder="00_INFO" measureGroup="KPI" count="0"/>
    <cacheHierarchy uniqueName="[Measures].[TY Store Total Back Cover Unit]" caption="TY Store Total Back Cover Unit" measure="1" displayFolder="01_TY\UNIT" measureGroup="KPI" count="0"/>
    <cacheHierarchy uniqueName="[Measures].[TY Store Total Back Cover LC]" caption="TY Store Total Back Cover LC" measure="1" displayFolder="01_TY\LC" measureGroup="KPI" count="0"/>
    <cacheHierarchy uniqueName="[Measures].[TY Store Count by Sales]" caption="TY Store Count by Sales" measure="1" displayFolder="01_TY\_UNIT" measureGroup="KPI" count="0"/>
    <cacheHierarchy uniqueName="[Measures].[LY Store Count by Sales]" caption="LY Store Count by Sales" measure="1" displayFolder="03_LY\_UNIT" measureGroup="KPI" count="0"/>
    <cacheHierarchy uniqueName="[Measures].[TY LFL Store Count by Sales]" caption="TY LFL Store Count by Sales" measure="1" displayFolder="02_TYLFL\_UNIT" measureGroup="KPI" count="0"/>
    <cacheHierarchy uniqueName="[Measures].[LY LFL Store Count by Sales]" caption="LY LFL Store Count by Sales" measure="1" displayFolder="04_LYLFL\_UNIT" measureGroup="KPI" count="0"/>
    <cacheHierarchy uniqueName="[Measures].[TY Store Count by Stock]" caption="TY Store Count by Stock" measure="1" displayFolder="01_TY\_UNIT" measureGroup="KPI" count="0"/>
    <cacheHierarchy uniqueName="[Measures].[LY Store Count by Stock]" caption="LY Store Count by Stock" measure="1" displayFolder="03_LY\_UNIT" measureGroup="KPI" count="0"/>
    <cacheHierarchy uniqueName="[Measures].[TY LFL Store Count by Stock]" caption="TY LFL Store Count by Stock" measure="1" displayFolder="02_TYLFL\_UNIT" measureGroup="KPI" count="0"/>
    <cacheHierarchy uniqueName="[Measures].[LY LFL Store Count by Stock]" caption="LY LFL Store Count by Stock" measure="1" displayFolder="04_LYLFL\_UNIT" measureGroup="KPI" count="0"/>
    <cacheHierarchy uniqueName="[Measures].[TY Store Total Back Cover TRY]" caption="TY Store Total Back Cover TRY" measure="1" displayFolder="01_TY\TRY" measureGroup="KPI" count="0"/>
    <cacheHierarchy uniqueName="[Measures].[TY Store Total Back Cover USD]" caption="TY Store Total Back Cover USD" measure="1" displayFolder="01_TY\USD" measureGroup="KPI" count="0"/>
    <cacheHierarchy uniqueName="[Measures].[TY Country Back Cover Unit]" caption="TY Country Back Cover Unit" measure="1" displayFolder="01_TY\UNIT" measureGroup="KPI" count="0"/>
    <cacheHierarchy uniqueName="[Measures].[PO Unit]" caption="PO Unit" measure="1" displayFolder="_UNIT" measureGroup="PurchaseOrder" count="0"/>
    <cacheHierarchy uniqueName="[Measures].[Goods Receipt PO Unit]" caption="Goods Receipt PO Unit" measure="1" displayFolder="_UNIT" measureGroup="PurchaseOrder" count="0"/>
    <cacheHierarchy uniqueName="[Measures].[Pending PO Unit]" caption="Pending PO Unit" measure="1" displayFolder="_UNIT" measureGroup="PurchaseOrder" count="0"/>
    <cacheHierarchy uniqueName="[Measures].[Other Merchant PO Unit]" caption="Other Merchant PO Unit" measure="1" displayFolder="_UNIT" measureGroup="PurchaseOrder" count="0"/>
    <cacheHierarchy uniqueName="[Measures].[Other Merchant Goods Receipt PO Unit]" caption="Other Merchant Goods Receipt PO Unit" measure="1" displayFolder="_UNIT" measureGroup="PurchaseOrder" count="0"/>
    <cacheHierarchy uniqueName="[Measures].[Other Merchant Pending PO Unit]" caption="Other Merchant Pending PO Unit" measure="1" displayFolder="_UNIT" measureGroup="PurchaseOrder" count="0"/>
    <cacheHierarchy uniqueName="[Measures].[Pending PO Unit Runing Total]" caption="Pending PO Unit Runing Total" measure="1" displayFolder="_UNIT" measureGroup="PurchaseOrder" count="0"/>
    <cacheHierarchy uniqueName="[Measures].[Other Merchant Pending PO Unit Runing Total]" caption="Other Merchant Pending PO Unit Runing Total" measure="1" displayFolder="_UNIT" measureGroup="PurchaseOrder" count="0"/>
    <cacheHierarchy uniqueName="[Measures].[PO Unit Year Total]" caption="PO Unit Year Total" measure="1" displayFolder="_UNIT" measureGroup="PurchaseOrder" count="0"/>
    <cacheHierarchy uniqueName="[Measures].[Goods Receipt PO Unit Year Total]" caption="Goods Receipt PO Unit Year Total" measure="1" displayFolder="_UNIT" measureGroup="PurchaseOrder" count="0"/>
    <cacheHierarchy uniqueName="[Measures].[Other Merchant PO Unit Year Total]" caption="Other Merchant PO Unit Year Total" measure="1" displayFolder="_UNIT" measureGroup="PurchaseOrder" count="0"/>
    <cacheHierarchy uniqueName="[Measures].[Other Merchant Goods Receipt PO Unit Year Total]" caption="Other Merchant Goods Receipt PO Unit Year Total" measure="1" displayFolder="_UNIT" measureGroup="PurchaseOrder" count="0"/>
    <cacheHierarchy uniqueName="[Measures].[ALL PO Unit]" caption="ALL PO Unit" measure="1" displayFolder="_UNIT" measureGroup="PurchaseOrder" count="0"/>
    <cacheHierarchy uniqueName="[Measures].[ALL PO Unit Year Total]" caption="ALL PO Unit Year Total" measure="1" displayFolder="_UNIT" measureGroup="PurchaseOrder" count="0"/>
    <cacheHierarchy uniqueName="[Measures].[ALL Pending PO Unit]" caption="ALL Pending PO Unit" measure="1" displayFolder="_UNIT" measureGroup="PurchaseOrder" count="0"/>
    <cacheHierarchy uniqueName="[Measures].[ALL Pending PO Unit Runing Total]" caption="ALL Pending PO Unit Runing Total" measure="1" displayFolder="_UNIT" measureGroup="PurchaseOrder" count="0"/>
    <cacheHierarchy uniqueName="[Measures].[ALL Goods Receipt PO Unit]" caption="ALL Goods Receipt PO Unit" measure="1" displayFolder="_UNIT" measureGroup="PurchaseOrder" count="0"/>
    <cacheHierarchy uniqueName="[Measures].[ALL Goods Receipt PO Unit Year Total]" caption="ALL Goods Receipt PO Unit Year Total" measure="1" displayFolder="_UNIT" measureGroup="PurchaseOrder" count="0"/>
    <cacheHierarchy uniqueName="[Measures].[PO Value LC]" caption="PO Value LC" measure="1" displayFolder="_VALUE" measureGroup="PurchaseOrder" count="0"/>
    <cacheHierarchy uniqueName="[Measures].[PO Value LC Year Total]" caption="PO Value LC Year Total" measure="1" displayFolder="_VALUE" measureGroup="PurchaseOrder" count="0"/>
    <cacheHierarchy uniqueName="[Measures].[Goods Receipt PO Value LC]" caption="Goods Receipt PO Value LC" measure="1" displayFolder="_VALUE" measureGroup="PurchaseOrder" count="0"/>
    <cacheHierarchy uniqueName="[Measures].[Goods Receipt PO Value LC Year Total]" caption="Goods Receipt PO Value LC Year Total" measure="1" displayFolder="_VALUE" measureGroup="PurchaseOrder" count="0"/>
    <cacheHierarchy uniqueName="[Measures].[Pending PO Value LC]" caption="Pending PO Value LC" measure="1" displayFolder="_VALUE" measureGroup="PurchaseOrder" count="0"/>
    <cacheHierarchy uniqueName="[Measures].[Pending PO Value LC Runing Total]" caption="Pending PO Value LC Runing Total" measure="1" displayFolder="_VALUE" measureGroup="PurchaseOrder" count="0"/>
    <cacheHierarchy uniqueName="[Measures].[Other Merchant Goods Receipt PO Value LC]" caption="Other Merchant Goods Receipt PO Value LC" measure="1" displayFolder="_VALUE" measureGroup="PurchaseOrder" count="0"/>
    <cacheHierarchy uniqueName="[Measures].[Other Merchant Goods Receipt PO Value LC Year Total]" caption="Other Merchant Goods Receipt PO Value LC Year Total" measure="1" displayFolder="_VALUE" measureGroup="PurchaseOrder" count="0"/>
    <cacheHierarchy uniqueName="[Measures].[Other Merchant Pending PO Value LC]" caption="Other Merchant Pending PO Value LC" measure="1" displayFolder="_VALUE" measureGroup="PurchaseOrder" count="0"/>
    <cacheHierarchy uniqueName="[Measures].[Other Merchant Pending PO Value LC Runing Total]" caption="Other Merchant Pending PO Value LC Runing Total" measure="1" displayFolder="_VALUE" measureGroup="PurchaseOrder" count="0"/>
    <cacheHierarchy uniqueName="[Measures].[Other Merchant PO Value LC]" caption="Other Merchant PO Value LC" measure="1" displayFolder="_VALUE" measureGroup="PurchaseOrder" count="0"/>
    <cacheHierarchy uniqueName="[Measures].[Other Merchant PO Value LC Year Total]" caption="Other Merchant PO Value LC Year Total" measure="1" displayFolder="_VALUE" measureGroup="PurchaseOrder" count="0"/>
    <cacheHierarchy uniqueName="[Measures].[ALL PO Value LC]" caption="ALL PO Value LC" measure="1" displayFolder="_VALUE" measureGroup="PurchaseOrder" count="0"/>
    <cacheHierarchy uniqueName="[Measures].[ALL PO Value LC Year Total]" caption="ALL PO Value LC Year Total" measure="1" displayFolder="_VALUE" measureGroup="PurchaseOrder" count="0"/>
    <cacheHierarchy uniqueName="[Measures].[ALL Goods Receipt PO Value LC]" caption="ALL Goods Receipt PO Value LC" measure="1" displayFolder="_VALUE" measureGroup="PurchaseOrder" count="0"/>
    <cacheHierarchy uniqueName="[Measures].[ALL Goods Receipt PO Value LC Year Total]" caption="ALL Goods Receipt PO Value LC Year Total" measure="1" displayFolder="_VALUE" measureGroup="PurchaseOrder" count="0"/>
    <cacheHierarchy uniqueName="[Measures].[ALL Pending PO Value LC]" caption="ALL Pending PO Value LC" measure="1" displayFolder="_VALUE" measureGroup="PurchaseOrder" count="0"/>
    <cacheHierarchy uniqueName="[Measures].[ALL Pending PO Value LC Runing Total]" caption="ALL Pending PO Value LC Runing Total" measure="1" displayFolder="_VALUE" measureGroup="PurchaseOrder" count="0"/>
    <cacheHierarchy uniqueName="[Measures].[Goods Receipt PO Value Navlun LC]" caption="Goods Receipt PO Value Navlun LC" measure="1" displayFolder="_VALUE" measureGroup="PurchaseOrder" count="0"/>
    <cacheHierarchy uniqueName="[Measures].[TY Customer Entry Count]" caption="TY Customer Entry Count" measure="1" displayFolder="01_TY" measureGroup="VisitorHourly" count="0"/>
    <cacheHierarchy uniqueName="[Measures].[LY Customer Entry Count]" caption="LY Customer Entry Count" measure="1" displayFolder="03_LY" measureGroup="VisitorHourly" count="0"/>
    <cacheHierarchy uniqueName="[Measures].[TY LFL Customer Entry Count]" caption="TY LFL Customer Entry Count" measure="1" displayFolder="02_TYLFL" measureGroup="VisitorHourly" count="0"/>
    <cacheHierarchy uniqueName="[Measures].[LY LFL Customer Entry Count]" caption="LY LFL Customer Entry Count" measure="1" displayFolder="04_LYLFL" measureGroup="VisitorHourly" count="0"/>
    <cacheHierarchy uniqueName="[Measures].[Daily Invoice Sale]" caption="Daily Invoice Sale" measure="1" displayFolder="01_SALE" measureGroup="Visitor" count="0"/>
    <cacheHierarchy uniqueName="[Measures].[Daily Invoice Return]" caption="Daily Invoice Return" measure="1" displayFolder="01_SALE" measureGroup="Visitor" count="0"/>
    <cacheHierarchy uniqueName="[Measures].[Net Daily Invoice (Sale-Return)]" caption="Net Daily Invoice (Sale-Return)" measure="1" displayFolder="01_SALE" measureGroup="Visitor" count="0"/>
    <cacheHierarchy uniqueName="[Measures].[Daily Visitor Count]" caption="Daily Visitor Count" measure="1" displayFolder="02_VISITOR" measureGroup="Visitor" count="0"/>
    <cacheHierarchy uniqueName="[Measures].[Net Daily Invoice of Company]" caption="Net Daily Invoice of Company" measure="1" displayFolder="01_SALE" measureGroup="Visitor" count="0"/>
    <cacheHierarchy uniqueName="[Measures].[Daily Visitor Count of Company]" caption="Daily Visitor Count of Company" measure="1" displayFolder="02_VISITOR" measureGroup="Visitor" count="0"/>
    <cacheHierarchy uniqueName="[Measures].[Customer Conversion Rate]" caption="Customer Conversion Rate" measure="1" displayFolder="03_CCR" measureGroup="Visitor" count="0"/>
    <cacheHierarchy uniqueName="[Measures].[Adjusted Customer Conversion Rate]" caption="Adjusted Customer Conversion Rate" measure="1" displayFolder="03_CCR" measureGroup="Visitor" count="0"/>
    <cacheHierarchy uniqueName="[Measures].[Adjusted Visitor Count]" caption="Adjusted Visitor Count" measure="1" displayFolder="02_VISITOR" measureGroup="Visitor" count="0"/>
    <cacheHierarchy uniqueName="[Measures].[TY Avg Capacity Plan Unit]" caption="TY Avg Capacity Plan Unit" measure="1" displayFolder="01_TY\_UNIT" measureGroup="Capacity" count="0"/>
    <cacheHierarchy uniqueName="[Measures].[TY LFL Avg Capacity Plan Unit]" caption="TY LFL Avg Capacity Plan Unit" measure="1" displayFolder="01_TY\_UNIT" measureGroup="Capacity" count="0"/>
    <cacheHierarchy uniqueName="[Measures].[CUR Store Capacity Quantity]" caption="CUR Store Capacity Quantity" measure="1" displayFolder="00_CURRENT\_UNIT" measureGroup="Capacity" count="0"/>
    <cacheHierarchy uniqueName="[Measures].[CUR Backstore Capacity Quantity]" caption="CUR Backstore Capacity Quantity" measure="1" displayFolder="00_CURRENT\_UNIT" measureGroup="Capacity" count="0"/>
    <cacheHierarchy uniqueName="[Measures].[CUR Total Store Capacity Quantity]" caption="CUR Total Store Capacity Quantity" measure="1" displayFolder="00_CURRENT\_UNIT" measureGroup="Capacity" count="0"/>
    <cacheHierarchy uniqueName="[Measures].[CUR Store Capacity dm3]" caption="CUR Store Capacity dm3" measure="1" displayFolder="00_CURRENT\_LCM" measureGroup="Capacity" count="0"/>
    <cacheHierarchy uniqueName="[Measures].[CUR Backstore Capacity dm3]" caption="CUR Backstore Capacity dm3" measure="1" displayFolder="00_CURRENT\_LCM" measureGroup="Capacity" count="0"/>
    <cacheHierarchy uniqueName="[Measures].[CUR Total Store Capacity dm3]" caption="CUR Total Store Capacity dm3" measure="1" displayFolder="00_CURRENT\_LCM" measureGroup="Capacity" count="0"/>
    <cacheHierarchy uniqueName="[Measures].[TY Avg Capacity Plan Cost LC]" caption="TY Avg Capacity Plan Cost LC" measure="1" displayFolder="01_TY\_LC" measureGroup="Capacity" count="0"/>
    <cacheHierarchy uniqueName="[Measures].[TY LFL Avg Capacity Plan Cost LC]" caption="TY LFL Avg Capacity Plan Cost LC" measure="1" displayFolder="01_TY\_LC" measureGroup="Capacity" count="0"/>
    <cacheHierarchy uniqueName="[Measures].[__Default measure]" caption="__Default measure" measure="1" displayFolder="" count="0" hidden="1"/>
    <cacheHierarchy uniqueName="[Measures].[DCStockUnit]" caption="DCStockUnit" measure="1" displayFolder="01_TY\_UNIT" measureGroup="StockDC" count="0" hidden="1"/>
    <cacheHierarchy uniqueName="[Measures].[DCCUSStockUnit]" caption="DCCUSStockUnit" measure="1" displayFolder="01_TY\_UNIT" measureGroup="StockDC" count="0" hidden="1"/>
    <cacheHierarchy uniqueName="[Measures].[DCTRNStockUnit]" caption="DCTRNStockUnit" measure="1" displayFolder="01_TY\_UNIT" measureGroup="StockDC" count="0" hidden="1"/>
    <cacheHierarchy uniqueName="[Measures].[DCStockCostLC]" caption="DCStockCostLC" measure="1" displayFolder="01_TY\LC" measureGroup="StockDC" count="0" hidden="1"/>
    <cacheHierarchy uniqueName="[Measures].[DCTRNStockCostLC]" caption="DCTRNStockCostLC" measure="1" displayFolder="01_TY\LC" measureGroup="StockDC" count="0" hidden="1"/>
    <cacheHierarchy uniqueName="[Measures].[DCCUSStockCostLC]" caption="DCCUSStockCostLC" measure="1" displayFolder="01_TY\LC" measureGroup="StockDC" count="0" hidden="1"/>
    <cacheHierarchy uniqueName="[Measures].[DCStockCostTRY]" caption="DCStockCostTRY" measure="1" displayFolder="01_TY\TRY" measureGroup="StockDC" count="0" hidden="1"/>
    <cacheHierarchy uniqueName="[Measures].[DCTRNStockCostTRY]" caption="DCTRNStockCostTRY" measure="1" displayFolder="01_TY\TRY" measureGroup="StockDC" count="0" hidden="1"/>
    <cacheHierarchy uniqueName="[Measures].[DCCUSStockCostTRY]" caption="DCCUSStockCostTRY" measure="1" displayFolder="01_TY\TRY" measureGroup="StockDC" count="0" hidden="1"/>
    <cacheHierarchy uniqueName="[Measures].[DCStockCostUSD]" caption="DCStockCostUSD" measure="1" displayFolder="01_TY\USD" measureGroup="StockDC" count="0" hidden="1"/>
    <cacheHierarchy uniqueName="[Measures].[DCTRNStockCostUSD]" caption="DCTRNStockCostUSD" measure="1" displayFolder="01_TY\USD" measureGroup="StockDC" count="0" hidden="1"/>
    <cacheHierarchy uniqueName="[Measures].[DCCUSStockCostUSD]" caption="DCCUSStockCostUSD" measure="1" displayFolder="01_TY\USD" measureGroup="StockDC" count="0" hidden="1"/>
    <cacheHierarchy uniqueName="[Measures].[LYDCStockUnit]" caption="LYDCStockUnit" measure="1" displayFolder="02_LY\_UNIT" measureGroup="StockDC" count="0" hidden="1"/>
    <cacheHierarchy uniqueName="[Measures].[LYDCTRNStockUnit]" caption="LYDCTRNStockUnit" measure="1" displayFolder="02_LY\_UNIT" measureGroup="StockDC" count="0" hidden="1"/>
    <cacheHierarchy uniqueName="[Measures].[LYDCCUSStockUnit]" caption="LYDCCUSStockUnit" measure="1" displayFolder="02_LY\_UNIT" measureGroup="StockDC" count="0" hidden="1"/>
    <cacheHierarchy uniqueName="[Measures].[LYDCStockCostLC]" caption="LYDCStockCostLC" measure="1" displayFolder="02_LY\LC" measureGroup="StockDC" count="0" hidden="1"/>
    <cacheHierarchy uniqueName="[Measures].[LYDCTRNStockCostLC]" caption="LYDCTRNStockCostLC" measure="1" displayFolder="02_LY\LC" measureGroup="StockDC" count="0" hidden="1"/>
    <cacheHierarchy uniqueName="[Measures].[LYDCCUSStockCostLC]" caption="LYDCCUSStockCostLC" measure="1" displayFolder="02_LY\LC" measureGroup="StockDC" count="0" hidden="1"/>
    <cacheHierarchy uniqueName="[Measures].[LYDCStockCostTRY]" caption="LYDCStockCostTRY" measure="1" displayFolder="02_LY\TRY" measureGroup="StockDC" count="0" hidden="1"/>
    <cacheHierarchy uniqueName="[Measures].[LYDCTRNStockCostTRY]" caption="LYDCTRNStockCostTRY" measure="1" displayFolder="02_LY\TRY" measureGroup="StockDC" count="0" hidden="1"/>
    <cacheHierarchy uniqueName="[Measures].[LYDCCUSStockCostTRY]" caption="LYDCCUSStockCostTRY" measure="1" displayFolder="02_LY\TRY" measureGroup="StockDC" count="0" hidden="1"/>
    <cacheHierarchy uniqueName="[Measures].[LYDCStockCostUSD]" caption="LYDCStockCostUSD" measure="1" displayFolder="02_LY\USD" measureGroup="StockDC" count="0" hidden="1"/>
    <cacheHierarchy uniqueName="[Measures].[LYDCTRNStockCostUSD]" caption="LYDCTRNStockCostUSD" measure="1" displayFolder="02_LY\USD" measureGroup="StockDC" count="0" hidden="1"/>
    <cacheHierarchy uniqueName="[Measures].[LYDCCUSStockCostUSD]" caption="LYDCCUSStockCostUSD" measure="1" displayFolder="02_LY\USD" measureGroup="StockDC" count="0" hidden="1"/>
    <cacheHierarchy uniqueName="[Measures].[DCOTHStockUnit]" caption="DCOTHStockUnit" measure="1" displayFolder="01_TY\_UNIT" measureGroup="StockDC" count="0" hidden="1"/>
    <cacheHierarchy uniqueName="[Measures].[DCOthStockCostLC]" caption="DCOthStockCostLC" measure="1" displayFolder="01_TY\LC" measureGroup="StockDC" count="0" hidden="1"/>
    <cacheHierarchy uniqueName="[Measures].[DCOTHStockCostTRY]" caption="DCOTHStockCostTRY" measure="1" displayFolder="01_TY\TRY" measureGroup="StockDC" count="0" hidden="1"/>
    <cacheHierarchy uniqueName="[Measures].[DCOTHStockCostUSD]" caption="DCOTHStockCostUSD" measure="1" displayFolder="01_TY\USD" measureGroup="StockDC" count="0" hidden="1"/>
    <cacheHierarchy uniqueName="[Measures].[LYDCOTHStockUnit]" caption="LYDCOTHStockUnit" measure="1" displayFolder="02_LY\_UNIT" measureGroup="StockDC" count="0" hidden="1"/>
    <cacheHierarchy uniqueName="[Measures].[LYDCOTHStockCostLC]" caption="LYDCOTHStockCostLC" measure="1" displayFolder="02_LY\LC" measureGroup="StockDC" count="0" hidden="1"/>
    <cacheHierarchy uniqueName="[Measures].[LYDCOTHStockCostTRY]" caption="LYDCOTHStockCostTRY" measure="1" displayFolder="02_LY\TRY" measureGroup="StockDC" count="0" hidden="1"/>
    <cacheHierarchy uniqueName="[Measures].[LYDCOTHStockCostUSD]" caption="LYDCOTHStockCostUSD" measure="1" displayFolder="02_LY\USD" measureGroup="StockDC" count="0" hidden="1"/>
    <cacheHierarchy uniqueName="[Measures].[SumofStockUnit]" caption="SumofStockUnit" measure="1" displayFolder="01_TY\_UNIT" measureGroup="StockStore" count="0" hidden="1"/>
    <cacheHierarchy uniqueName="[Measures].[SumofTransitStockUnit]" caption="SumofTransitStockUnit" measure="1" displayFolder="01_TY\_UNIT" measureGroup="StockStore" count="0" hidden="1"/>
    <cacheHierarchy uniqueName="[Measures].[StoreStockCostLC]" caption="StoreStockCostLC" measure="1" displayFolder="01_TY\LC" measureGroup="StockStore" count="0" hidden="1"/>
    <cacheHierarchy uniqueName="[Measures].[StoreTransitStockCostLC]" caption="StoreTransitStockCostLC" measure="1" displayFolder="01_TY\LC" measureGroup="StockStore" count="0" hidden="1"/>
    <cacheHierarchy uniqueName="[Measures].[TyLFLSumofStockUnit]" caption="TyLFLSumofStockUnit" measure="1" displayFolder="02_TYLFL\_UNIT" measureGroup="StockStore" count="0" hidden="1"/>
    <cacheHierarchy uniqueName="[Measures].[TyLFLSumofTransitStockUnit]" caption="TyLFLSumofTransitStockUnit" measure="1" displayFolder="02_TYLFL\_UNIT" measureGroup="StockStore" count="0" hidden="1"/>
    <cacheHierarchy uniqueName="[Measures].[TYlfl StoreStockCostLC]" caption="TYlfl StoreStockCostLC" measure="1" displayFolder="02_TYLFL\LC" measureGroup="StockStore" count="0" hidden="1"/>
    <cacheHierarchy uniqueName="[Measures].[TYlfl StoreTransitStockCostLC]" caption="TYlfl StoreTransitStockCostLC" measure="1" displayFolder="02_TYLFL\LC" measureGroup="StockStore" count="0" hidden="1"/>
    <cacheHierarchy uniqueName="[Measures].[StoreStockCostTRY]" caption="StoreStockCostTRY" measure="1" displayFolder="01_TY\TRY" measureGroup="StockStore" count="0" hidden="1"/>
    <cacheHierarchy uniqueName="[Measures].[StoreTransitStockCostTRY]" caption="StoreTransitStockCostTRY" measure="1" displayFolder="01_TY\TRY" measureGroup="StockStore" count="0" hidden="1"/>
    <cacheHierarchy uniqueName="[Measures].[StoreStockCostUSD]" caption="StoreStockCostUSD" measure="1" displayFolder="01_TY\USD" measureGroup="StockStore" count="0" hidden="1"/>
    <cacheHierarchy uniqueName="[Measures].[StoreTransitStockCostUSD]" caption="StoreTransitStockCostUSD" measure="1" displayFolder="01_TY\USD" measureGroup="StockStore" count="0" hidden="1"/>
    <cacheHierarchy uniqueName="[Measures].[TYLFL StoreStockCostTRY]" caption="TYLFL StoreStockCostTRY" measure="1" displayFolder="02_TYLFL\TRY" measureGroup="StockStore" count="0" hidden="1"/>
    <cacheHierarchy uniqueName="[Measures].[TYLFL StoreTransitStockCostTRY]" caption="TYLFL StoreTransitStockCostTRY" measure="1" displayFolder="02_TYLFL\TRY" measureGroup="StockStore" count="0" hidden="1"/>
    <cacheHierarchy uniqueName="[Measures].[TYLFL StoreStockCostUSD]" caption="TYLFL StoreStockCostUSD" measure="1" displayFolder="02_TYLFL\USD" measureGroup="StockStore" count="0" hidden="1"/>
    <cacheHierarchy uniqueName="[Measures].[TYLFL StoreTransitStockCostUSD]" caption="TYLFL StoreTransitStockCostUSD" measure="1" displayFolder="02_TYLFL\USD" measureGroup="StockStore" count="0" hidden="1"/>
    <cacheHierarchy uniqueName="[Measures].[LYSumofStockUnit]" caption="LYSumofStockUnit" measure="1" displayFolder="03_LY\_UNIT" measureGroup="StockStore" count="0" hidden="1"/>
    <cacheHierarchy uniqueName="[Measures].[LYSumofTransitStockUnit]" caption="LYSumofTransitStockUnit" measure="1" displayFolder="03_LY\_UNIT" measureGroup="StockStore" count="0" hidden="1"/>
    <cacheHierarchy uniqueName="[Measures].[LYStoreStockCostLC]" caption="LYStoreStockCostLC" measure="1" displayFolder="03_LY\LC" measureGroup="StockStore" count="0" hidden="1"/>
    <cacheHierarchy uniqueName="[Measures].[LYStoreTransitStockCostLC]" caption="LYStoreTransitStockCostLC" measure="1" displayFolder="03_LY\LC" measureGroup="StockStore" count="0" hidden="1"/>
    <cacheHierarchy uniqueName="[Measures].[LYStoreStockCostTRY]" caption="LYStoreStockCostTRY" measure="1" displayFolder="03_LY\TRY" measureGroup="StockStore" count="0" hidden="1"/>
    <cacheHierarchy uniqueName="[Measures].[LYStoreTransitStockCostTRY]" caption="LYStoreTransitStockCostTRY" measure="1" displayFolder="03_LY\TRY" measureGroup="StockStore" count="0" hidden="1"/>
    <cacheHierarchy uniqueName="[Measures].[LYStoreStockCostUSD]" caption="LYStoreStockCostUSD" measure="1" displayFolder="03_LY\USD" measureGroup="StockStore" count="0" hidden="1"/>
    <cacheHierarchy uniqueName="[Measures].[LYStoreTransitStockCostUSD]" caption="LYStoreTransitStockCostUSD" measure="1" displayFolder="03_LY\USD" measureGroup="StockStore" count="0" hidden="1"/>
    <cacheHierarchy uniqueName="[Measures].[LyLFLSumofStockUnit]" caption="LyLFLSumofStockUnit" measure="1" displayFolder="04_LYLFL\_UNIT" measureGroup="StockStore" count="0" hidden="1"/>
    <cacheHierarchy uniqueName="[Measures].[LyLFLSumofTransitStockUnit]" caption="LyLFLSumofTransitStockUnit" measure="1" displayFolder="04_LYLFL\_UNIT" measureGroup="StockStore" count="0" hidden="1"/>
    <cacheHierarchy uniqueName="[Measures].[LYlfl StoreStockCostLC]" caption="LYlfl StoreStockCostLC" measure="1" displayFolder="04_LYLFL\LC" measureGroup="StockStore" count="0" hidden="1"/>
    <cacheHierarchy uniqueName="[Measures].[LYlfl StoreTransitStockCostLC]" caption="LYlfl StoreTransitStockCostLC" measure="1" displayFolder="04_LYLFL\LC" measureGroup="StockStore" count="0" hidden="1"/>
    <cacheHierarchy uniqueName="[Measures].[LYLFL StoreStockCostTRY]" caption="LYLFL StoreStockCostTRY" measure="1" displayFolder="04_LYLFL\TRY" measureGroup="StockStore" count="0" hidden="1"/>
    <cacheHierarchy uniqueName="[Measures].[LYLFL StoreTransitStockCostTRY]" caption="LYLFL StoreTransitStockCostTRY" measure="1" displayFolder="04_LYLFL\TRY" measureGroup="StockStore" count="0" hidden="1"/>
    <cacheHierarchy uniqueName="[Measures].[LYLFL StoreStockCostUSD]" caption="LYLFL StoreStockCostUSD" measure="1" displayFolder="04_LYLFL\USD" measureGroup="StockStore" count="0" hidden="1"/>
    <cacheHierarchy uniqueName="[Measures].[LYLFL StoreTransitStockCostUSD]" caption="LYLFL StoreTransitStockCostUSD" measure="1" displayFolder="04_LYLFL\USD" measureGroup="StockStore" count="0" hidden="1"/>
    <cacheHierarchy uniqueName="[Measures].[RoEcomStok]" caption="RoEcomStok" measure="1" displayFolder="" measureGroup="StockStore" count="0" hidden="1"/>
    <cacheHierarchy uniqueName="[Measures].[laststokdate]" caption="laststokdate" measure="1" displayFolder="" measureGroup="StockStore" count="0" hidden="1"/>
    <cacheHierarchy uniqueName="[Measures].[SumofOtherStockUnit]" caption="SumofOtherStockUnit" measure="1" displayFolder="" measureGroup="StockStore" count="0" hidden="1"/>
    <cacheHierarchy uniqueName="[Measures].[TyLFLSumofOtherStockUnit]" caption="TyLFLSumofOtherStockUnit" measure="1" displayFolder="" measureGroup="StockStore" count="0" hidden="1"/>
    <cacheHierarchy uniqueName="[Measures].[LYSumofOtherStockUnit]" caption="LYSumofOtherStockUnit" measure="1" displayFolder="" measureGroup="StockStore" count="0" hidden="1"/>
    <cacheHierarchy uniqueName="[Measures].[LyLFLSumofOtherStockUnit]" caption="LyLFLSumofOtherStockUnit" measure="1" displayFolder="" measureGroup="StockStore" count="0" hidden="1"/>
    <cacheHierarchy uniqueName="[Measures].[StoreOtherStockCostTRY]" caption="StoreOtherStockCostTRY" measure="1" displayFolder="" measureGroup="StockStore" count="0" hidden="1"/>
    <cacheHierarchy uniqueName="[Measures].[StoreOtherStockCostLC]" caption="StoreOtherStockCostLC" measure="1" displayFolder="" measureGroup="StockStore" count="0" hidden="1"/>
    <cacheHierarchy uniqueName="[Measures].[StoreOtherStockCostUSD]" caption="StoreOtherStockCostUSD" measure="1" displayFolder="" measureGroup="StockStore" count="0" hidden="1"/>
    <cacheHierarchy uniqueName="[Measures].[Salable Stock Unit]" caption="Salable Stock Unit" measure="1" displayFolder="" measureGroup="StockStore" count="0" hidden="1"/>
    <cacheHierarchy uniqueName="[Measures].[LYStoreOtherStockCostLC]" caption="LYStoreOtherStockCostLC" measure="1" displayFolder="" measureGroup="StockStore" count="0" hidden="1"/>
    <cacheHierarchy uniqueName="[Measures].[LYStoreOtherStockCostTRY]" caption="LYStoreOtherStockCostTRY" measure="1" displayFolder="" measureGroup="StockStore" count="0" hidden="1"/>
    <cacheHierarchy uniqueName="[Measures].[LYStoreOtherStockCostUSD]" caption="LYStoreOtherStockCostUSD" measure="1" displayFolder="" measureGroup="StockStore" count="0" hidden="1"/>
    <cacheHierarchy uniqueName="[Measures].[Copy of CUR Open Transfer Store Stock Unit]" caption="Copy of CUR Open Transfer Store Stock Unit" measure="1" displayFolder="" measureGroup="StockStore" count="0" hidden="1"/>
    <cacheHierarchy uniqueName="[Measures].[SumofStockUnitDm3]" caption="SumofStockUnitDm3" measure="1" displayFolder="" measureGroup="StockStore" count="0" hidden="1"/>
    <cacheHierarchy uniqueName="[Measures].[SumofTransitStockUnitDm3]" caption="SumofTransitStockUnitDm3" measure="1" displayFolder="" measureGroup="StockStore" count="0" hidden="1"/>
    <cacheHierarchy uniqueName="[Measures].[TY CSP Sales Value VAT LC]" caption="TY CSP Sales Value VAT LC" measure="1" displayFolder="01_TY\LC" measureGroup="Sales" count="0" hidden="1"/>
    <cacheHierarchy uniqueName="[Measures].[TY CSP Sales Value LC]" caption="TY CSP Sales Value LC" measure="1" displayFolder="01_TY\LC" measureGroup="Sales" count="0" hidden="1"/>
    <cacheHierarchy uniqueName="[Measures].[TY CSP Sales Value VAT TRY]" caption="TY CSP Sales Value VAT TRY" measure="1" displayFolder="01_TY\TRY" measureGroup="Sales" count="0" hidden="1"/>
    <cacheHierarchy uniqueName="[Measures].[TY CSP Sales Value TRY]" caption="TY CSP Sales Value TRY" measure="1" displayFolder="01_TY\TRY" measureGroup="Sales" count="0" hidden="1"/>
    <cacheHierarchy uniqueName="[Measures].[LY CSP Sales Value VAT LC]" caption="LY CSP Sales Value VAT LC" measure="1" displayFolder="03_LY\LC" measureGroup="Sales" count="0" hidden="1"/>
    <cacheHierarchy uniqueName="[Measures].[LY CSP Sales Value LC]" caption="LY CSP Sales Value LC" measure="1" displayFolder="03_LY\LC" measureGroup="Sales" count="0" hidden="1"/>
    <cacheHierarchy uniqueName="[Measures].[TY LFL CSP Sales Value VAT LC]" caption="TY LFL CSP Sales Value VAT LC" measure="1" displayFolder="02_TYLFL\LC" measureGroup="Sales" count="0" hidden="1"/>
    <cacheHierarchy uniqueName="[Measures].[TY LFL CSP Sales Value LC]" caption="TY LFL CSP Sales Value LC" measure="1" displayFolder="02_TYLFL\LC" measureGroup="Sales" count="0" hidden="1"/>
    <cacheHierarchy uniqueName="[Measures].[TY CSP Sales Value VAT USD]" caption="TY CSP Sales Value VAT USD" measure="1" displayFolder="01_TY\USD" measureGroup="Sales" count="0" hidden="1"/>
    <cacheHierarchy uniqueName="[Measures].[TY CSP Sales Value USD]" caption="TY CSP Sales Value USD" measure="1" displayFolder="01_TY\USD" measureGroup="Sales" count="0" hidden="1"/>
    <cacheHierarchy uniqueName="[Measures].[TY LFL CSP Sales Value VAT TRY]" caption="TY LFL CSP Sales Value VAT TRY" measure="1" displayFolder="02_TYLFL\TRY" measureGroup="Sales" count="0" hidden="1"/>
    <cacheHierarchy uniqueName="[Measures].[TY LFL CSP Sales Value TRY]" caption="TY LFL CSP Sales Value TRY" measure="1" displayFolder="02_TYLFL\TRY" measureGroup="Sales" count="0" hidden="1"/>
    <cacheHierarchy uniqueName="[Measures].[TY LFL CSP Sales Value VAT USD]" caption="TY LFL CSP Sales Value VAT USD" measure="1" displayFolder="02_TYLFL\USD" measureGroup="Sales" count="0" hidden="1"/>
    <cacheHierarchy uniqueName="[Measures].[TY LFL CSP Sales Value USD]" caption="TY LFL CSP Sales Value USD" measure="1" displayFolder="02_TYLFL\USD" measureGroup="Sales" count="0" hidden="1"/>
    <cacheHierarchy uniqueName="[Measures].[LY CSP Sales Value VAT TRY]" caption="LY CSP Sales Value VAT TRY" measure="1" displayFolder="03_LY\TRY" measureGroup="Sales" count="0" hidden="1"/>
    <cacheHierarchy uniqueName="[Measures].[LY CSP Sales Value TRY]" caption="LY CSP Sales Value TRY" measure="1" displayFolder="03_LY\TRY" measureGroup="Sales" count="0" hidden="1"/>
    <cacheHierarchy uniqueName="[Measures].[LY CSP Sales Value VAT USD]" caption="LY CSP Sales Value VAT USD" measure="1" displayFolder="03_LY\USD" measureGroup="Sales" count="0" hidden="1"/>
    <cacheHierarchy uniqueName="[Measures].[LY CSP Sales Value USD]" caption="LY CSP Sales Value USD" measure="1" displayFolder="03_LY\USD" measureGroup="Sales" count="0" hidden="1"/>
    <cacheHierarchy uniqueName="[Measures].[LY LFL CSP Sales Value VAT LC]" caption="LY LFL CSP Sales Value VAT LC" measure="1" displayFolder="04_LYLFL\LC" measureGroup="Sales" count="0" hidden="1"/>
    <cacheHierarchy uniqueName="[Measures].[LY LFL CSP Sales Value LC]" caption="LY LFL CSP Sales Value LC" measure="1" displayFolder="04_LYLFL\LC" measureGroup="Sales" count="0" hidden="1"/>
    <cacheHierarchy uniqueName="[Measures].[LY LFL CSP Sales Value VAT TRY]" caption="LY LFL CSP Sales Value VAT TRY" measure="1" displayFolder="04_LYLFL\TRY" measureGroup="Sales" count="0" hidden="1"/>
    <cacheHierarchy uniqueName="[Measures].[LY LFL CSP Sales Value TRY]" caption="LY LFL CSP Sales Value TRY" measure="1" displayFolder="04_LYLFL\TRY" measureGroup="Sales" count="0" hidden="1"/>
    <cacheHierarchy uniqueName="[Measures].[LY LFL CSP Sales Value VAT USD]" caption="LY LFL CSP Sales Value VAT USD" measure="1" displayFolder="04_LYLFL\USD" measureGroup="Sales" count="0" hidden="1"/>
    <cacheHierarchy uniqueName="[Measures].[LY LFL CSP Sales Value USD]" caption="LY LFL CSP Sales Value USD" measure="1" displayFolder="04_LYLFL\USD" measureGroup="Sales" count="0" hidden="1"/>
    <cacheHierarchy uniqueName="[Measures].[TY Unit CSP LC]" caption="TY Unit CSP LC" measure="1" displayFolder="01_TY\LC" measureGroup="Sales" count="0" hidden="1"/>
    <cacheHierarchy uniqueName="[Measures].[LY Unit CSP LC]" caption="LY Unit CSP LC" measure="1" displayFolder="03_LY\LC" measureGroup="Sales" count="0" hidden="1"/>
    <cacheHierarchy uniqueName="[Measures].[TY LFL Unit CSP LC]" caption="TY LFL Unit CSP LC" measure="1" displayFolder="02_TYLFL\LC" measureGroup="Sales" count="0" hidden="1"/>
    <cacheHierarchy uniqueName="[Measures].[LY LFL Unit CSP LC]" caption="LY LFL Unit CSP LC" measure="1" displayFolder="04_LYLFL\LC" measureGroup="Sales" count="0" hidden="1"/>
    <cacheHierarchy uniqueName="[Measures].[TY Unit CSP TRY]" caption="TY Unit CSP TRY" measure="1" displayFolder="01_TY\TRY" measureGroup="Sales" count="0" hidden="1"/>
    <cacheHierarchy uniqueName="[Measures].[LY Unit CSP TRY]" caption="LY Unit CSP TRY" measure="1" displayFolder="03_LY\TRY" measureGroup="Sales" count="0" hidden="1"/>
    <cacheHierarchy uniqueName="[Measures].[TY LFL Unit CSPTRY]" caption="TY LFL Unit CSPTRY" measure="1" displayFolder="02_TYLFL\TRY" measureGroup="Sales" count="0" hidden="1"/>
    <cacheHierarchy uniqueName="[Measures].[LY LFL Unit CSP TRY]" caption="LY LFL Unit CSP TRY" measure="1" displayFolder="04_LYLFL\TRY" measureGroup="Sales" count="0" hidden="1"/>
    <cacheHierarchy uniqueName="[Measures].[TY Unit CSP USD]" caption="TY Unit CSP USD" measure="1" displayFolder="01_TY\USD" measureGroup="Sales" count="0" hidden="1"/>
    <cacheHierarchy uniqueName="[Measures].[LY Unit CSP USD]" caption="LY Unit CSP USD" measure="1" displayFolder="03_LY\USD" measureGroup="Sales" count="0" hidden="1"/>
    <cacheHierarchy uniqueName="[Measures].[TY LFL Unit CSP USD]" caption="TY LFL Unit CSP USD" measure="1" displayFolder="02_TYLFL\USD" measureGroup="Sales" count="0" hidden="1"/>
    <cacheHierarchy uniqueName="[Measures].[TY Store Cover Unit]" caption="TY Store Cover Unit" measure="1" displayFolder="01_TY\_UNIT" measureGroup="KPI" count="0" hidden="1"/>
    <cacheHierarchy uniqueName="[Measures].[TY Store Cover LC]" caption="TY Store Cover LC" measure="1" displayFolder="01_TY\LC" measureGroup="KPI" count="0" hidden="1"/>
    <cacheHierarchy uniqueName="[Measures].[TY Store Cover TRY]" caption="TY Store Cover TRY" measure="1" displayFolder="01_TY\TRY" measureGroup="KPI" count="0" hidden="1"/>
    <cacheHierarchy uniqueName="[Measures].[TY Store Cover USD]" caption="TY Store Cover USD" measure="1" displayFolder="01_TY\USD" measureGroup="KPI" count="0" hidden="1"/>
    <cacheHierarchy uniqueName="[Measures].[LY Store Cover LC]" caption="LY Store Cover LC" measure="1" displayFolder="03_LY\LC" measureGroup="KPI" count="0" hidden="1"/>
    <cacheHierarchy uniqueName="[Measures].[LY Store Cover TRY]" caption="LY Store Cover TRY" measure="1" displayFolder="03_LY\TRY" measureGroup="KPI" count="0" hidden="1"/>
    <cacheHierarchy uniqueName="[Measures].[LY Store Cover USD]" caption="LY Store Cover USD" measure="1" displayFolder="03_LY\USD" measureGroup="KPI" count="0" hidden="1"/>
    <cacheHierarchy uniqueName="[Measures].[TY LFL Store Cover LC]" caption="TY LFL Store Cover LC" measure="1" displayFolder="02_TYLFL\LC" measureGroup="KPI" count="0" hidden="1"/>
    <cacheHierarchy uniqueName="[Measures].[TY LFL Store Cover TRY]" caption="TY LFL Store Cover TRY" measure="1" displayFolder="02_TYLFL\TRY" measureGroup="KPI" count="0" hidden="1"/>
    <cacheHierarchy uniqueName="[Measures].[TY LFL Store Cover USD]" caption="TY LFL Store Cover USD" measure="1" displayFolder="02_TYLFL\USD" measureGroup="KPI" count="0" hidden="1"/>
    <cacheHierarchy uniqueName="[Measures].[LY LFL Store Cover LC]" caption="LY LFL Store Cover LC" measure="1" displayFolder="04_LYLFL\LC" measureGroup="KPI" count="0" hidden="1"/>
    <cacheHierarchy uniqueName="[Measures].[LY LFL Store Cover TRY]" caption="LY LFL Store Cover TRY" measure="1" displayFolder="04_LYLFL\TRY" measureGroup="KPI" count="0" hidden="1"/>
    <cacheHierarchy uniqueName="[Measures].[LY LFL Store Cover USD]" caption="LY LFL Store Cover USD" measure="1" displayFolder="04_LYLFL\USD" measureGroup="KPI" count="0" hidden="1"/>
    <cacheHierarchy uniqueName="[Measures].[LY Store Cover Unit]" caption="LY Store Cover Unit" measure="1" displayFolder="03_LY\_UNIT" measureGroup="KPI" count="0" hidden="1"/>
    <cacheHierarchy uniqueName="[Measures].[TY LFL Store Cover Unit]" caption="TY LFL Store Cover Unit" measure="1" displayFolder="02_TYLFL\_UNIT" measureGroup="KPI" count="0" hidden="1"/>
    <cacheHierarchy uniqueName="[Measures].[LY LFL Store Cover Unit]" caption="LY LFL Store Cover Unit" measure="1" displayFolder="04_LYLFL\_UNIT" measureGroup="KPI" count="0" hidden="1"/>
    <cacheHierarchy uniqueName="[Measures].[Store Cover Unit TYvsLY%]" caption="Store Cover Unit TYvsLY%" measure="1" displayFolder="01_TY\_UNIT" measureGroup="KPI" count="0" hidden="1"/>
    <cacheHierarchy uniqueName="[Measures].[LFL Store Cover Unit TYvsLY%]" caption="LFL Store Cover Unit TYvsLY%" measure="1" displayFolder="02_TYLFL\_UNIT" measureGroup="KPI" count="0" hidden="1"/>
    <cacheHierarchy uniqueName="[Measures].[TY Country Back Cover Unit TR]" caption="TY Country Back Cover Unit TR" measure="1" displayFolder="" measureGroup="KPI" count="0" hidden="1"/>
    <cacheHierarchy uniqueName="[Measures].[TY Country Back Cover Unit YD]" caption="TY Country Back Cover Unit YD" measure="1" displayFolder="" measureGroup="KPI" count="0" hidden="1"/>
    <cacheHierarchy uniqueName="[Measures].[TY SKU Count by Store Stock]" caption="TY SKU Count by Store Stock" measure="1" displayFolder="01_TY\_UNIT" measureGroup="KPI" count="0" hidden="1"/>
    <cacheHierarchy uniqueName="[Measures].[LY SKU Count by Store Stock]" caption="LY SKU Count by Store Stock" measure="1" displayFolder="03_LY\_UNIT" measureGroup="KPI" count="0" hidden="1"/>
    <cacheHierarchy uniqueName="[Measures].[TY LFL SKU Count by Store Stock]" caption="TY LFL SKU Count by Store Stock" measure="1" displayFolder="02_TYLFL\_UNIT" measureGroup="KPI" count="0" hidden="1"/>
    <cacheHierarchy uniqueName="[Measures].[LY LFL SKU Count by Store Stock]" caption="LY LFL SKU Count by Store Stock" measure="1" displayFolder="04_LYLFL\_UNIT" measureGroup="KPI" count="0" hidden="1"/>
    <cacheHierarchy uniqueName="[Measures].[CUR Store Count by Total Stock]" caption="CUR Store Count by Total Stock" measure="1" displayFolder="01_TY\_UNIT" measureGroup="KPI" count="0" hidden="1"/>
    <cacheHierarchy uniqueName="[Measures].[PO Unit Total]" caption="PO Unit Total" measure="1" displayFolder="" measureGroup="PurchaseOrder" count="0" hidden="1"/>
    <cacheHierarchy uniqueName="[Measures].[PO Unit Running Total 30 Days]" caption="PO Unit Running Total 30 Days" measure="1" displayFolder="" measureGroup="PurchaseOrder" count="0" hidden="1"/>
    <cacheHierarchy uniqueName="[Measures].[PO Unit Last 30 Days Total]" caption="PO Unit Last 30 Days Total" measure="1" displayFolder="" measureGroup="PurchaseOrder" count="0" hidden="1"/>
    <cacheHierarchy uniqueName="[Measures].[Goods Receipt PO Unit Base]" caption="Goods Receipt PO Unit Base" measure="1" displayFolder="_UNIT" measureGroup="PurchaseOrder" count="0" hidden="1"/>
    <cacheHierarchy uniqueName="[Measures].[Goods Receipt PO Value LC Base]" caption="Goods Receipt PO Value LC Base" measure="1" displayFolder="_VALUE" measureGroup="PurchaseOrder" count="0" hidden="1"/>
    <cacheHierarchy uniqueName="[Measures].[Goods Receipt PO Value Navlun LC Base]" caption="Goods Receipt PO Value Navlun LC Base" measure="1" displayFolder="" measureGroup="PurchaseOrder" count="0" hidden="1"/>
    <cacheHierarchy uniqueName="[Measures].[TyLFLSumofCapacityPlanUnit]" caption="TyLFLSumofCapacityPlanUnit" measure="1" displayFolder="" measureGroup="Capacity" count="0" hidden="1"/>
    <cacheHierarchy uniqueName="[Measures].[TySumofCapacityPlanUnit]" caption="TySumofCapacityPlanUnit" measure="1" displayFolder="" measureGroup="Capacity" count="0" hidden="1"/>
    <cacheHierarchy uniqueName="[Measures].[CUR Backstore Capacity Area]" caption="CUR Backstore Capacity Area" measure="1" displayFolder="00_CURRENT\_UNIT" measureGroup="Capacity" count="0" hidden="1"/>
    <cacheHierarchy uniqueName="[Measures].[TySumofCapacityPlanCostLC]" caption="TySumofCapacityPlanCostLC" measure="1" displayFolder="" measureGroup="Capacity" count="0" hidden="1"/>
    <cacheHierarchy uniqueName="[Measures].[TyLFLSumofCapacityPlanCostLC]" caption="TyLFLSumofCapacityPlanCostLC" measure="1" displayFolder="" measureGroup="Capacity" count="0" hidden="1"/>
  </cacheHierarchies>
  <kpis count="0"/>
  <extLst>
    <ext xmlns:x14="http://schemas.microsoft.com/office/spreadsheetml/2009/9/main" uri="{725AE2AE-9491-48be-B2B4-4EB974FC3084}">
      <x14:pivotCacheDefinition slicerData="1" pivotCacheId="166042810"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ehmet Fatih Başol" refreshedDate="46063.389413310186" backgroundQuery="1" createdVersion="3" refreshedVersion="8" minRefreshableVersion="3" recordCount="0" supportSubquery="1" supportAdvancedDrill="1" xr:uid="{6BAF3C42-2F2E-4765-9F19-94DCF80389F9}">
  <cacheSource type="external" connectionId="2">
    <extLst>
      <ext xmlns:x14="http://schemas.microsoft.com/office/spreadsheetml/2009/9/main" uri="{F057638F-6D5F-4e77-A914-E7F072B9BCA8}">
        <x14:sourceConnection name="DataHome CURE Model1"/>
      </ext>
    </extLst>
  </cacheSource>
  <cacheFields count="0"/>
  <cacheHierarchies count="156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ID]" caption="DateID" attribute="1" time="1" defaultMemberUniqueName="[Calendar].[DateID].[All]" allUniqueName="[Calendar].[DateID].[All]" dimensionUniqueName="[Calendar]" displayFolder="" count="0" unbalanced="0"/>
    <cacheHierarchy uniqueName="[Calendar].[DayName]" caption="DayName" attribute="1" time="1" defaultMemberUniqueName="[Calendar].[DayName].[All]" allUniqueName="[Calendar].[DayName].[All]" dimensionUniqueName="[Calendar]" displayFolder="" count="0" unbalanced="0"/>
    <cacheHierarchy uniqueName="[Calendar].[DayOfMonth]" caption="DayOfMonth" attribute="1" time="1" defaultMemberUniqueName="[Calendar].[DayOfMonth].[All]" allUniqueName="[Calendar].[DayOfMonth].[All]" dimensionUniqueName="[Calendar]" displayFolder="Gregorian" count="0" unbalanced="0"/>
    <cacheHierarchy uniqueName="[Calendar].[DayOfWeek]" caption="DayOfWeek" attribute="1" time="1" defaultMemberUniqueName="[Calendar].[DayOfWeek].[All]" allUniqueName="[Calendar].[DayOfWeek].[All]" dimensionUniqueName="[Calendar]" displayFolder="Gregorian" count="0" unbalanced="0"/>
    <cacheHierarchy uniqueName="[Calendar].[H_Gregorian]" caption="H_Gregorian" time="1" defaultMemberUniqueName="[Calendar].[H_Gregorian].[All]" allUniqueName="[Calendar].[H_Gregorian].[All]" dimensionUniqueName="[Calendar]" displayFolder="" count="0" unbalanced="0"/>
    <cacheHierarchy uniqueName="[Calendar].[H_Merch]" caption="H_Merch" time="1" defaultMemberUniqueName="[Calendar].[H_Merch].[All]" allUniqueName="[Calendar].[H_Merch].[All]" dimensionUniqueName="[Calendar]" displayFolder="" count="5" unbalanced="0"/>
    <cacheHierarchy uniqueName="[Calendar].[IsWeekend]" caption="IsWeekend" attribute="1" time="1" defaultMemberUniqueName="[Calendar].[IsWeekend].[All]" allUniqueName="[Calendar].[IsWeekend].[All]" dimensionUniqueName="[Calendar]" displayFolder="" count="0" unbalanced="0"/>
    <cacheHierarchy uniqueName="[Calendar].[Last7DaysPartSequence]" caption="Last7DaysPartSequence" attribute="1" time="1" defaultMemberUniqueName="[Calendar].[Last7DaysPartSequence].[All]" allUniqueName="[Calendar].[Last7DaysPartSequence].[All]" dimensionUniqueName="[Calendar]" displayFolder="" count="0" unbalanced="0"/>
    <cacheHierarchy uniqueName="[Calendar].[LastNDays]" caption="LastNDays" attribute="1" time="1" defaultMemberUniqueName="[Calendar].[LastNDays].[All]" allUniqueName="[Calendar].[LastNDays].[All]" dimensionUniqueName="[Calendar]" displayFolder="" count="0" unbalanced="0"/>
    <cacheHierarchy uniqueName="[Calendar].[LastNMonths]" caption="LastNMonths" attribute="1" time="1" defaultMemberUniqueName="[Calendar].[LastNMonths].[All]" allUniqueName="[Calendar].[LastNMonths].[All]" dimensionUniqueName="[Calendar]" displayFolder="" count="0" unbalanced="0"/>
    <cacheHierarchy uniqueName="[Calendar].[LastNWeeks]" caption="LastNWeeks" attribute="1" time="1" defaultMemberUniqueName="[Calendar].[LastNWeeks].[All]" allUniqueName="[Calendar].[LastNWeeks].[All]" dimensionUniqueName="[Calendar]" displayFolder="" count="0" unbalanced="0"/>
    <cacheHierarchy uniqueName="[Calendar].[MerchMonth]" caption="MerchMonth" attribute="1" time="1" defaultMemberUniqueName="[Calendar].[MerchMonth].[All]" allUniqueName="[Calendar].[MerchMonth].[All]" dimensionUniqueName="[Calendar]" displayFolder="Merch" count="2" unbalanced="0"/>
    <cacheHierarchy uniqueName="[Calendar].[MerchMonthName]" caption="MerchMonthName" attribute="1" time="1" defaultMemberUniqueName="[Calendar].[MerchMonthName].[All]" allUniqueName="[Calendar].[MerchMonthName].[All]" dimensionUniqueName="[Calendar]" displayFolder="Merch" count="0" unbalanced="0"/>
    <cacheHierarchy uniqueName="[Calendar].[MerchWeek]" caption="MerchWeek" attribute="1" time="1" defaultMemberUniqueName="[Calendar].[MerchWeek].[All]" allUniqueName="[Calendar].[MerchWeek].[All]" dimensionUniqueName="[Calendar]" displayFolder="Merch" count="2" unbalanced="0"/>
    <cacheHierarchy uniqueName="[Calendar].[MerchYear]" caption="MerchYear" attribute="1" time="1" defaultMemberUniqueName="[Calendar].[MerchYear].[All]" allUniqueName="[Calendar].[MerchYear].[All]" dimensionUniqueName="[Calendar]" displayFolder="Merch" count="0" unbalanced="0"/>
    <cacheHierarchy uniqueName="[Calendar].[MerchYearMonth]" caption="MerchYearMonth" attribute="1" time="1" defaultMemberUniqueName="[Calendar].[MerchYearMonth].[All]" allUniqueName="[Calendar].[MerchYearMonth].[All]" dimensionUniqueName="[Calendar]" displayFolder="Merch" count="0" unbalanced="0"/>
    <cacheHierarchy uniqueName="[Calendar].[MerchYearMonthName]" caption="MerchYearMonthName" attribute="1" time="1" defaultMemberUniqueName="[Calendar].[MerchYearMonthName].[All]" allUniqueName="[Calendar].[MerchYearMonthName].[All]" dimensionUniqueName="[Calendar]" displayFolder="Merch" count="0" unbalanced="0"/>
    <cacheHierarchy uniqueName="[Calendar].[MerchYearWeek]" caption="MerchYearWeek" attribute="1" time="1" defaultMemberUniqueName="[Calendar].[MerchYearWeek].[All]" allUniqueName="[Calendar].[MerchYearWeek].[All]" dimensionUniqueName="[Calendar]" displayFolder="Merch" count="0" unbalanced="0"/>
    <cacheHierarchy uniqueName="[Calendar].[Month]" caption="Month" attribute="1" time="1" defaultMemberUniqueName="[Calendar].[Month].[All]" allUniqueName="[Calendar].[Month].[All]" dimensionUniqueName="[Calendar]" displayFolder="Gregorian" count="0" unbalanced="0"/>
    <cacheHierarchy uniqueName="[Calendar].[MonthName]" caption="MonthName" attribute="1" time="1" defaultMemberUniqueName="[Calendar].[MonthName].[All]" allUniqueName="[Calendar].[MonthName].[All]" dimensionUniqueName="[Calendar]" displayFolder="Gregorian" count="0" unbalanced="0"/>
    <cacheHierarchy uniqueName="[Calendar].[MonthPeriod]" caption="MonthPeriod" attribute="1" time="1" defaultMemberUniqueName="[Calendar].[MonthPeriod].[All]" allUniqueName="[Calendar].[MonthPeriod].[All]" dimensionUniqueName="[Calendar]" displayFolder="" count="0" unbalanced="0"/>
    <cacheHierarchy uniqueName="[Calendar].[PastDate]" caption="PastDate" attribute="1" time="1" defaultMemberUniqueName="[Calendar].[PastDate].[All]" allUniqueName="[Calendar].[PastDate].[All]" dimensionUniqueName="[Calendar]" displayFolder="" count="0" unbalanced="0"/>
    <cacheHierarchy uniqueName="[Calendar].[Week]" caption="Week" attribute="1" time="1" defaultMemberUniqueName="[Calendar].[Week].[All]" allUniqueName="[Calendar].[Week].[All]" dimensionUniqueName="[Calendar]" displayFolder="Gregorian" count="0" unbalanced="0"/>
    <cacheHierarchy uniqueName="[Calendar].[WeekPartSequence]" caption="WeekPartSequence" attribute="1" time="1" defaultMemberUniqueName="[Calendar].[WeekPartSequence].[All]" allUniqueName="[Calendar].[WeekPartSequence].[All]" dimensionUniqueName="[Calendar]" displayFolder="" count="0" unbalanced="0"/>
    <cacheHierarchy uniqueName="[Calendar].[WeekPeriod]" caption="WeekPeriod" attribute="1" time="1" defaultMemberUniqueName="[Calendar].[WeekPeriod].[All]" allUniqueName="[Calendar].[WeekPeriod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Gregorian" count="0" unbalanced="0"/>
    <cacheHierarchy uniqueName="[Calendar].[YearMonth]" caption="YearMonth" attribute="1" time="1" defaultMemberUniqueName="[Calendar].[YearMonth].[All]" allUniqueName="[Calendar].[YearMonth].[All]" dimensionUniqueName="[Calendar]" displayFolder="Gregorian" count="0" unbalanced="0"/>
    <cacheHierarchy uniqueName="[Calendar].[YearMonthName]" caption="YearMonthName" attribute="1" time="1" defaultMemberUniqueName="[Calendar].[YearMonthName].[All]" allUniqueName="[Calendar].[YearMonthName].[All]" dimensionUniqueName="[Calendar]" displayFolder="Gregorian" count="0" unbalanced="0"/>
    <cacheHierarchy uniqueName="[Calendar].[YearPeriod]" caption="YearPeriod" attribute="1" time="1" defaultMemberUniqueName="[Calendar].[YearPeriod].[All]" allUniqueName="[Calendar].[YearPeriod].[All]" dimensionUniqueName="[Calendar]" displayFolder="" count="0" unbalanced="0"/>
    <cacheHierarchy uniqueName="[Calendar].[YearWeek]" caption="YearWeek" attribute="1" time="1" defaultMemberUniqueName="[Calendar].[YearWeek].[All]" allUniqueName="[Calendar].[YearWeek].[All]" dimensionUniqueName="[Calendar]" displayFolder="Gregorian" count="0" unbalanced="0"/>
    <cacheHierarchy uniqueName="[DCWarehouse].[DCCompanyCode]" caption="DCCompanyCode" attribute="1" defaultMemberUniqueName="[DCWarehouse].[DCCompanyCode].[All]" allUniqueName="[DCWarehouse].[DCCompanyCode].[All]" dimensionUniqueName="[DCWarehouse]" displayFolder="" count="0" unbalanced="0"/>
    <cacheHierarchy uniqueName="[DCWarehouse].[DCCompanyName]" caption="DCCompanyName" attribute="1" defaultMemberUniqueName="[DCWarehouse].[DCCompanyName].[All]" allUniqueName="[DCWarehouse].[DCCompanyName].[All]" dimensionUniqueName="[DCWarehouse]" displayFolder="" count="0" unbalanced="0"/>
    <cacheHierarchy uniqueName="[DCWarehouse].[DCCompanyRegion]" caption="DCCompanyRegion" attribute="1" defaultMemberUniqueName="[DCWarehouse].[DCCompanyRegion].[All]" allUniqueName="[DCWarehouse].[DCCompanyRegion].[All]" dimensionUniqueName="[DCWarehouse]" displayFolder="" count="0" unbalanced="0"/>
    <cacheHierarchy uniqueName="[DCWarehouse].[DCDistrubitionChannelCode]" caption="DCDistrubitionChannelCode" attribute="1" defaultMemberUniqueName="[DCWarehouse].[DCDistrubitionChannelCode].[All]" allUniqueName="[DCWarehouse].[DCDistrubitionChannelCode].[All]" dimensionUniqueName="[DCWarehouse]" displayFolder="" count="0" unbalanced="0"/>
    <cacheHierarchy uniqueName="[DCWarehouse].[DCSalesOrgCode]" caption="DCSalesOrgCode" attribute="1" defaultMemberUniqueName="[DCWarehouse].[DCSalesOrgCode].[All]" allUniqueName="[DCWarehouse].[DCSalesOrgCode].[All]" dimensionUniqueName="[DCWarehouse]" displayFolder="" count="0" unbalanced="0"/>
    <cacheHierarchy uniqueName="[DCWarehouse].[DCSalesOrgType]" caption="DCSalesOrgType" attribute="1" defaultMemberUniqueName="[DCWarehouse].[DCSalesOrgType].[All]" allUniqueName="[DCWarehouse].[DCSalesOrgType].[All]" dimensionUniqueName="[DCWarehouse]" displayFolder="" count="0" unbalanced="0"/>
    <cacheHierarchy uniqueName="[DCWarehouse].[DCSubWarehouseCode]" caption="DCSubWarehouseCode" attribute="1" defaultMemberUniqueName="[DCWarehouse].[DCSubWarehouseCode].[All]" allUniqueName="[DCWarehouse].[DCSubWarehouseCode].[All]" dimensionUniqueName="[DCWarehouse]" displayFolder="" count="0" unbalanced="0"/>
    <cacheHierarchy uniqueName="[DCWarehouse].[DCSubWarehouseKey]" caption="DCSubWarehouseKey" attribute="1" defaultMemberUniqueName="[DCWarehouse].[DCSubWarehouseKey].[All]" allUniqueName="[DCWarehouse].[DCSubWarehouseKey].[All]" dimensionUniqueName="[DCWarehouse]" displayFolder="Key" count="0" unbalanced="0"/>
    <cacheHierarchy uniqueName="[DCWarehouse].[DCWarehouseCode]" caption="DCWarehouseCode" attribute="1" defaultMemberUniqueName="[DCWarehouse].[DCWarehouseCode].[All]" allUniqueName="[DCWarehouse].[DCWarehouseCode].[All]" dimensionUniqueName="[DCWarehouse]" displayFolder="" count="0" unbalanced="0"/>
    <cacheHierarchy uniqueName="[DCWarehouse].[DCWarehouseDataType]" caption="DCWarehouseDataType" attribute="1" defaultMemberUniqueName="[DCWarehouse].[DCWarehouseDataType].[All]" allUniqueName="[DCWarehouse].[DCWarehouseDataType].[All]" dimensionUniqueName="[DCWarehouse]" displayFolder="" count="0" unbalanced="0"/>
    <cacheHierarchy uniqueName="[DCWarehouse].[DCWarehouseDesc]" caption="DCWarehouseDesc" attribute="1" defaultMemberUniqueName="[DCWarehouse].[DCWarehouseDesc].[All]" allUniqueName="[DCWarehouse].[DCWarehouseDesc].[All]" dimensionUniqueName="[DCWarehouse]" displayFolder="" count="0" unbalanced="0"/>
    <cacheHierarchy uniqueName="[DCWarehouse].[DCWarehouseKey]" caption="DCWarehouseKey" attribute="1" defaultMemberUniqueName="[DCWarehouse].[DCWarehouseKey].[All]" allUniqueName="[DCWarehouse].[DCWarehouseKey].[All]" dimensionUniqueName="[DCWarehouse]" displayFolder="Key" count="0" unbalanced="0"/>
    <cacheHierarchy uniqueName="[Delivery].[CustomerClass]" caption="CustomerClass" attribute="1" defaultMemberUniqueName="[Delivery].[CustomerClass].[All]" allUniqueName="[Delivery].[CustomerClass].[All]" dimensionUniqueName="[Delivery]" displayFolder="" count="0" unbalanced="0"/>
    <cacheHierarchy uniqueName="[Delivery].[MainCustomerClass]" caption="MainCustomerClass" attribute="1" defaultMemberUniqueName="[Delivery].[MainCustomerClass].[All]" allUniqueName="[Delivery].[MainCustomerClass].[All]" dimensionUniqueName="[Delivery]" displayFolder="" count="0" unbalanced="0"/>
    <cacheHierarchy uniqueName="[ISPUnitPrice].[ISPLCPriceGroup100]" caption="ISPLCPriceGroup100" attribute="1" defaultMemberUniqueName="[ISPUnitPrice].[ISPLCPriceGroup100].[All]" allUniqueName="[ISPUnitPrice].[ISPLCPriceGroup100].[All]" dimensionUniqueName="[ISPUnitPrice]" displayFolder="" count="0" unbalanced="0"/>
    <cacheHierarchy uniqueName="[ISPUnitPrice].[ISPLCPriceVAT]" caption="ISPLCPriceVAT" attribute="1" defaultMemberUniqueName="[ISPUnitPrice].[ISPLCPriceVAT].[All]" allUniqueName="[ISPUnitPrice].[ISPLCPriceVAT].[All]" dimensionUniqueName="[ISPUnitPrice]" displayFolder="" count="0" unbalanced="0"/>
    <cacheHierarchy uniqueName="[Material].[Barcode]" caption="Barcode" attribute="1" defaultMemberUniqueName="[Material].[Barcode].[All]" allUniqueName="[Material].[Barcode].[All]" dimensionUniqueName="[Material]" displayFolder="" count="0" unbalanced="0"/>
    <cacheHierarchy uniqueName="[Material].[BrandCode]" caption="BrandCode" attribute="1" defaultMemberUniqueName="[Material].[BrandCode].[All]" allUniqueName="[Material].[BrandCode].[All]" dimensionUniqueName="[Material]" displayFolder="" count="0" unbalanced="0"/>
    <cacheHierarchy uniqueName="[Material].[BrandDesc]" caption="BrandDesc" attribute="1" defaultMemberUniqueName="[Material].[BrandDesc].[All]" allUniqueName="[Material].[BrandDesc].[All]" dimensionUniqueName="[Material]" displayFolder="" count="0" unbalanced="0"/>
    <cacheHierarchy uniqueName="[Material].[BudgetGroupCode]" caption="BudgetGroupCode" attribute="1" defaultMemberUniqueName="[Material].[BudgetGroupCode].[All]" allUniqueName="[Material].[BudgetGroupCode].[All]" dimensionUniqueName="[Material]" displayFolder="" count="0" unbalanced="0"/>
    <cacheHierarchy uniqueName="[Material].[BudgetGroupDesc]" caption="BudgetGroupDesc" attribute="1" defaultMemberUniqueName="[Material].[BudgetGroupDesc].[All]" allUniqueName="[Material].[BudgetGroupDesc].[All]" dimensionUniqueName="[Material]" displayFolder="" count="0" unbalanced="0"/>
    <cacheHierarchy uniqueName="[Material].[Category]" caption="Category" attribute="1" defaultMemberUniqueName="[Material].[Category].[All]" allUniqueName="[Material].[Category].[All]" dimensionUniqueName="[Material]" displayFolder="" count="0" unbalanced="0"/>
    <cacheHierarchy uniqueName="[Material].[CategoryLeader]" caption="CategoryLeader" attribute="1" defaultMemberUniqueName="[Material].[CategoryLeader].[All]" allUniqueName="[Material].[CategoryLeader].[All]" dimensionUniqueName="[Material]" displayFolder="" count="0" unbalanced="0"/>
    <cacheHierarchy uniqueName="[Material].[CatlCode]" caption="CatlCode" attribute="1" defaultMemberUniqueName="[Material].[CatlCode].[All]" allUniqueName="[Material].[CatlCode].[All]" dimensionUniqueName="[Material]" displayFolder="" count="0" unbalanced="0"/>
    <cacheHierarchy uniqueName="[Material].[CatlDesc]" caption="CatlDesc" attribute="1" defaultMemberUniqueName="[Material].[CatlDesc].[All]" allUniqueName="[Material].[CatlDesc].[All]" dimensionUniqueName="[Material]" displayFolder="" count="0" unbalanced="0"/>
    <cacheHierarchy uniqueName="[Material].[ColorCode]" caption="ColorCode" attribute="1" defaultMemberUniqueName="[Material].[ColorCode].[All]" allUniqueName="[Material].[ColorCode].[All]" dimensionUniqueName="[Material]" displayFolder="" count="0" unbalanced="0"/>
    <cacheHierarchy uniqueName="[Material].[ColorDesc]" caption="ColorDesc" attribute="1" defaultMemberUniqueName="[Material].[ColorDesc].[All]" allUniqueName="[Material].[ColorDesc].[All]" dimensionUniqueName="[Material]" displayFolder="" count="0" unbalanced="0"/>
    <cacheHierarchy uniqueName="[Material].[CombineCode]" caption="CombineCode" attribute="1" defaultMemberUniqueName="[Material].[CombineCode].[All]" allUniqueName="[Material].[CombineCode].[All]" dimensionUniqueName="[Material]" displayFolder="" count="0" unbalanced="0"/>
    <cacheHierarchy uniqueName="[Material].[CombineDesc]" caption="CombineDesc" attribute="1" defaultMemberUniqueName="[Material].[CombineDesc].[All]" allUniqueName="[Material].[CombineDesc].[All]" dimensionUniqueName="[Material]" displayFolder="" count="0" unbalanced="0"/>
    <cacheHierarchy uniqueName="[Material].[CurProductStateID]" caption="CurProductStateID" attribute="1" defaultMemberUniqueName="[Material].[CurProductStateID].[All]" allUniqueName="[Material].[CurProductStateID].[All]" dimensionUniqueName="[Material]" displayFolder="" count="0" unbalanced="0"/>
    <cacheHierarchy uniqueName="[Material].[CurProductStateName]" caption="CurProductStateName" attribute="1" defaultMemberUniqueName="[Material].[CurProductStateName].[All]" allUniqueName="[Material].[CurProductStateName].[All]" dimensionUniqueName="[Material]" displayFolder="" count="0" unbalanced="0"/>
    <cacheHierarchy uniqueName="[Material].[CurSalesSeasonID]" caption="CurSalesSeasonID" attribute="1" defaultMemberUniqueName="[Material].[CurSalesSeasonID].[All]" allUniqueName="[Material].[CurSalesSeasonID].[All]" dimensionUniqueName="[Material]" displayFolder="" count="0" unbalanced="0"/>
    <cacheHierarchy uniqueName="[Material].[CurSalesSeasonName]" caption="CurSalesSeasonName" attribute="1" defaultMemberUniqueName="[Material].[CurSalesSeasonName].[All]" allUniqueName="[Material].[CurSalesSeasonName].[All]" dimensionUniqueName="[Material]" displayFolder="" count="0" unbalanced="0"/>
    <cacheHierarchy uniqueName="[Material].[DesingCode]" caption="DesingCode" attribute="1" defaultMemberUniqueName="[Material].[DesingCode].[All]" allUniqueName="[Material].[DesingCode].[All]" dimensionUniqueName="[Material]" displayFolder="" count="0" unbalanced="0"/>
    <cacheHierarchy uniqueName="[Material].[DesingDesc]" caption="DesingDesc" attribute="1" defaultMemberUniqueName="[Material].[DesingDesc].[All]" allUniqueName="[Material].[DesingDesc].[All]" dimensionUniqueName="[Material]" displayFolder="" count="0" unbalanced="0"/>
    <cacheHierarchy uniqueName="[Material].[EtlDate]" caption="EtlDate" attribute="1" defaultMemberUniqueName="[Material].[EtlDate].[All]" allUniqueName="[Material].[EtlDate].[All]" dimensionUniqueName="[Material]" displayFolder="" count="0" unbalanced="0"/>
    <cacheHierarchy uniqueName="[Material].[FabricCode]" caption="FabricCode" attribute="1" defaultMemberUniqueName="[Material].[FabricCode].[All]" allUniqueName="[Material].[FabricCode].[All]" dimensionUniqueName="[Material]" displayFolder="" count="0" unbalanced="0"/>
    <cacheHierarchy uniqueName="[Material].[FacricDesc]" caption="FacricDesc" attribute="1" defaultMemberUniqueName="[Material].[FacricDesc].[All]" allUniqueName="[Material].[FacricDesc].[All]" dimensionUniqueName="[Material]" displayFolder="" count="0" unbalanced="0"/>
    <cacheHierarchy uniqueName="[Material].[H_MainGroup]" caption="H_MainGroup" defaultMemberUniqueName="[Material].[H_MainGroup].[All]" allUniqueName="[Material].[H_MainGroup].[All]" dimensionUniqueName="[Material]" displayFolder="" count="3" unbalanced="0"/>
    <cacheHierarchy uniqueName="[Material].[HygieneCode]" caption="HygieneCode" attribute="1" defaultMemberUniqueName="[Material].[HygieneCode].[All]" allUniqueName="[Material].[HygieneCode].[All]" dimensionUniqueName="[Material]" displayFolder="" count="0" unbalanced="0"/>
    <cacheHierarchy uniqueName="[Material].[HygieneDesc]" caption="HygieneDesc" attribute="1" defaultMemberUniqueName="[Material].[HygieneDesc].[All]" allUniqueName="[Material].[HygieneDesc].[All]" dimensionUniqueName="[Material]" displayFolder="" count="0" unbalanced="0"/>
    <cacheHierarchy uniqueName="[Material].[ImageURL]" caption="ImageURL" attribute="1" defaultMemberUniqueName="[Material].[ImageURL].[All]" allUniqueName="[Material].[ImageURL].[All]" dimensionUniqueName="[Material]" displayFolder="" count="0" unbalanced="0"/>
    <cacheHierarchy uniqueName="[Material].[LivingArea]" caption="LivingArea" attribute="1" defaultMemberUniqueName="[Material].[LivingArea].[All]" allUniqueName="[Material].[LivingArea].[All]" dimensionUniqueName="[Material]" displayFolder="" count="0" unbalanced="0"/>
    <cacheHierarchy uniqueName="[Material].[MainGroupCode]" caption="MainGroupCode" attribute="1" defaultMemberUniqueName="[Material].[MainGroupCode].[All]" allUniqueName="[Material].[MainGroupCode].[All]" dimensionUniqueName="[Material]" displayFolder="" count="0" unbalanced="0"/>
    <cacheHierarchy uniqueName="[Material].[MainGroupDesc]" caption="MainGroupDesc" attribute="1" defaultMemberUniqueName="[Material].[MainGroupDesc].[All]" allUniqueName="[Material].[MainGroupDesc].[All]" dimensionUniqueName="[Material]" displayFolder="" count="0" unbalanced="0"/>
    <cacheHierarchy uniqueName="[Material].[MatDim]" caption="MatDim" attribute="1" defaultMemberUniqueName="[Material].[MatDim].[All]" allUniqueName="[Material].[MatDim].[All]" dimensionUniqueName="[Material]" displayFolder="" count="0" unbalanced="0"/>
    <cacheHierarchy uniqueName="[Material].[MatDimUnit]" caption="MatDimUnit" attribute="1" defaultMemberUniqueName="[Material].[MatDimUnit].[All]" allUniqueName="[Material].[MatDimUnit].[All]" dimensionUniqueName="[Material]" displayFolder="" count="0" unbalanced="0"/>
    <cacheHierarchy uniqueName="[Material].[MaterialCode]" caption="MaterialCode" attribute="1" defaultMemberUniqueName="[Material].[MaterialCode].[All]" allUniqueName="[Material].[MaterialCode].[All]" dimensionUniqueName="[Material]" displayFolder="" count="0" unbalanced="0"/>
    <cacheHierarchy uniqueName="[Material].[MaterialCodeDesc]" caption="MaterialCodeDesc" attribute="1" defaultMemberUniqueName="[Material].[MaterialCodeDesc].[All]" allUniqueName="[Material].[MaterialCodeDesc].[All]" dimensionUniqueName="[Material]" displayFolder="" count="0" unbalanced="0"/>
    <cacheHierarchy uniqueName="[Material].[MaterialCodeWoZero]" caption="MaterialCodeWoZero" attribute="1" defaultMemberUniqueName="[Material].[MaterialCodeWoZero].[All]" allUniqueName="[Material].[MaterialCodeWoZero].[All]" dimensionUniqueName="[Material]" displayFolder="" count="0" unbalanced="0"/>
    <cacheHierarchy uniqueName="[Material].[MaterialDesc]" caption="MaterialDesc" attribute="1" defaultMemberUniqueName="[Material].[MaterialDesc].[All]" allUniqueName="[Material].[MaterialDesc].[All]" dimensionUniqueName="[Material]" displayFolder="" count="0" unbalanced="0"/>
    <cacheHierarchy uniqueName="[Material].[MaterialDm3]" caption="MaterialDm3" attribute="1" defaultMemberUniqueName="[Material].[MaterialDm3].[All]" allUniqueName="[Material].[MaterialDm3].[All]" dimensionUniqueName="[Material]" displayFolder="" count="0" unbalanced="0"/>
    <cacheHierarchy uniqueName="[Material].[MaterialFeatureCode]" caption="MaterialFeatureCode" attribute="1" defaultMemberUniqueName="[Material].[MaterialFeatureCode].[All]" allUniqueName="[Material].[MaterialFeatureCode].[All]" dimensionUniqueName="[Material]" displayFolder="" count="0" unbalanced="0"/>
    <cacheHierarchy uniqueName="[Material].[MaterialFeatureDesc]" caption="MaterialFeatureDesc" attribute="1" defaultMemberUniqueName="[Material].[MaterialFeatureDesc].[All]" allUniqueName="[Material].[MaterialFeatureDesc].[All]" dimensionUniqueName="[Material]" displayFolder="" count="0" unbalanced="0"/>
    <cacheHierarchy uniqueName="[Material].[MaterialKey]" caption="MaterialKey" attribute="1" defaultMemberUniqueName="[Material].[MaterialKey].[All]" allUniqueName="[Material].[MaterialKey].[All]" dimensionUniqueName="[Material]" displayFolder="" count="0" unbalanced="0"/>
    <cacheHierarchy uniqueName="[Material].[MaterialOtherFeatureCode]" caption="MaterialOtherFeatureCode" attribute="1" defaultMemberUniqueName="[Material].[MaterialOtherFeatureCode].[All]" allUniqueName="[Material].[MaterialOtherFeatureCode].[All]" dimensionUniqueName="[Material]" displayFolder="" count="0" unbalanced="0"/>
    <cacheHierarchy uniqueName="[Material].[MaterialOtherFeatureDesc]" caption="MaterialOtherFeatureDesc" attribute="1" defaultMemberUniqueName="[Material].[MaterialOtherFeatureDesc].[All]" allUniqueName="[Material].[MaterialOtherFeatureDesc].[All]" dimensionUniqueName="[Material]" displayFolder="" count="0" unbalanced="0"/>
    <cacheHierarchy uniqueName="[Material].[MaterialSpecialFeatureCode]" caption="MaterialSpecialFeatureCode" attribute="1" defaultMemberUniqueName="[Material].[MaterialSpecialFeatureCode].[All]" allUniqueName="[Material].[MaterialSpecialFeatureCode].[All]" dimensionUniqueName="[Material]" displayFolder="" count="0" unbalanced="0"/>
    <cacheHierarchy uniqueName="[Material].[MaterialSpecialFeatureDesc]" caption="MaterialSpecialFeatureDesc" attribute="1" defaultMemberUniqueName="[Material].[MaterialSpecialFeatureDesc].[All]" allUniqueName="[Material].[MaterialSpecialFeatureDesc].[All]" dimensionUniqueName="[Material]" displayFolder="" count="0" unbalanced="0"/>
    <cacheHierarchy uniqueName="[Material].[MaterialTypeCode]" caption="MaterialTypeCode" attribute="1" defaultMemberUniqueName="[Material].[MaterialTypeCode].[All]" allUniqueName="[Material].[MaterialTypeCode].[All]" dimensionUniqueName="[Material]" displayFolder="" count="0" unbalanced="0"/>
    <cacheHierarchy uniqueName="[Material].[MaterialTypeDesc]" caption="MaterialTypeDesc" attribute="1" defaultMemberUniqueName="[Material].[MaterialTypeDesc].[All]" allUniqueName="[Material].[MaterialTypeDesc].[All]" dimensionUniqueName="[Material]" displayFolder="" count="0" unbalanced="0"/>
    <cacheHierarchy uniqueName="[Material].[MatHeight]" caption="MatHeight" attribute="1" defaultMemberUniqueName="[Material].[MatHeight].[All]" allUniqueName="[Material].[MatHeight].[All]" dimensionUniqueName="[Material]" displayFolder="" count="0" unbalanced="0"/>
    <cacheHierarchy uniqueName="[Material].[MatLenght]" caption="MatLenght" attribute="1" defaultMemberUniqueName="[Material].[MatLenght].[All]" allUniqueName="[Material].[MatLenght].[All]" dimensionUniqueName="[Material]" displayFolder="" count="0" unbalanced="0"/>
    <cacheHierarchy uniqueName="[Material].[MatVolume]" caption="MatVolume" attribute="1" defaultMemberUniqueName="[Material].[MatVolume].[All]" allUniqueName="[Material].[MatVolume].[All]" dimensionUniqueName="[Material]" displayFolder="" count="0" unbalanced="0"/>
    <cacheHierarchy uniqueName="[Material].[MatVolumeUnit]" caption="MatVolumeUnit" attribute="1" defaultMemberUniqueName="[Material].[MatVolumeUnit].[All]" allUniqueName="[Material].[MatVolumeUnit].[All]" dimensionUniqueName="[Material]" displayFolder="" count="0" unbalanced="0"/>
    <cacheHierarchy uniqueName="[Material].[MatWeight]" caption="MatWeight" attribute="1" defaultMemberUniqueName="[Material].[MatWeight].[All]" allUniqueName="[Material].[MatWeight].[All]" dimensionUniqueName="[Material]" displayFolder="" count="0" unbalanced="0"/>
    <cacheHierarchy uniqueName="[Material].[MatWeightUnit]" caption="MatWeightUnit" attribute="1" defaultMemberUniqueName="[Material].[MatWeightUnit].[All]" allUniqueName="[Material].[MatWeightUnit].[All]" dimensionUniqueName="[Material]" displayFolder="" count="0" unbalanced="0"/>
    <cacheHierarchy uniqueName="[Material].[MatWidth]" caption="MatWidth" attribute="1" defaultMemberUniqueName="[Material].[MatWidth].[All]" allUniqueName="[Material].[MatWidth].[All]" dimensionUniqueName="[Material]" displayFolder="" count="0" unbalanced="0"/>
    <cacheHierarchy uniqueName="[Material].[MaxStockQty]" caption="MaxStockQty" attribute="1" defaultMemberUniqueName="[Material].[MaxStockQty].[All]" allUniqueName="[Material].[MaxStockQty].[All]" dimensionUniqueName="[Material]" displayFolder="" count="0" unbalanced="0"/>
    <cacheHierarchy uniqueName="[Material].[MerchProduct]" caption="MerchProduct" attribute="1" defaultMemberUniqueName="[Material].[MerchProduct].[All]" allUniqueName="[Material].[MerchProduct].[All]" dimensionUniqueName="[Material]" displayFolder="" count="0" unbalanced="0"/>
    <cacheHierarchy uniqueName="[Material].[MinStockQty]" caption="MinStockQty" attribute="1" defaultMemberUniqueName="[Material].[MinStockQty].[All]" allUniqueName="[Material].[MinStockQty].[All]" dimensionUniqueName="[Material]" displayFolder="" count="0" unbalanced="0"/>
    <cacheHierarchy uniqueName="[Material].[PackagingType]" caption="PackagingType" attribute="1" defaultMemberUniqueName="[Material].[PackagingType].[All]" allUniqueName="[Material].[PackagingType].[All]" dimensionUniqueName="[Material]" displayFolder="" count="0" unbalanced="0"/>
    <cacheHierarchy uniqueName="[Material].[PlaningQualityCode]" caption="PlaningQualityCode" attribute="1" defaultMemberUniqueName="[Material].[PlaningQualityCode].[All]" allUniqueName="[Material].[PlaningQualityCode].[All]" dimensionUniqueName="[Material]" displayFolder="" count="0" unbalanced="0"/>
    <cacheHierarchy uniqueName="[Material].[PlaningQualityDesc]" caption="PlaningQualityDesc" attribute="1" defaultMemberUniqueName="[Material].[PlaningQualityDesc].[All]" allUniqueName="[Material].[PlaningQualityDesc].[All]" dimensionUniqueName="[Material]" displayFolder="" count="0" unbalanced="0"/>
    <cacheHierarchy uniqueName="[Material].[PlanStatus]" caption="PlanStatus" attribute="1" defaultMemberUniqueName="[Material].[PlanStatus].[All]" allUniqueName="[Material].[PlanStatus].[All]" dimensionUniqueName="[Material]" displayFolder="" count="0" unbalanced="0"/>
    <cacheHierarchy uniqueName="[Material].[PriceX]" caption="PriceX" attribute="1" defaultMemberUniqueName="[Material].[PriceX].[All]" allUniqueName="[Material].[PriceX].[All]" dimensionUniqueName="[Material]" displayFolder="" count="0" unbalanced="0"/>
    <cacheHierarchy uniqueName="[Material].[ProductFamily]" caption="ProductFamily" attribute="1" defaultMemberUniqueName="[Material].[ProductFamily].[All]" allUniqueName="[Material].[ProductFamily].[All]" dimensionUniqueName="[Material]" displayFolder="" count="0" unbalanced="0"/>
    <cacheHierarchy uniqueName="[Material].[ProductSegment]" caption="ProductSegment" attribute="1" defaultMemberUniqueName="[Material].[ProductSegment].[All]" allUniqueName="[Material].[ProductSegment].[All]" dimensionUniqueName="[Material]" displayFolder="" count="0" unbalanced="0"/>
    <cacheHierarchy uniqueName="[Material].[ProductStoreSegment]" caption="ProductStoreSegment" attribute="1" defaultMemberUniqueName="[Material].[ProductStoreSegment].[All]" allUniqueName="[Material].[ProductStoreSegment].[All]" dimensionUniqueName="[Material]" displayFolder="" count="0" unbalanced="0"/>
    <cacheHierarchy uniqueName="[Material].[QtyInBox]" caption="QtyInBox" attribute="1" defaultMemberUniqueName="[Material].[QtyInBox].[All]" allUniqueName="[Material].[QtyInBox].[All]" dimensionUniqueName="[Material]" displayFolder="" count="0" unbalanced="0"/>
    <cacheHierarchy uniqueName="[Material].[QtyInPackage]" caption="QtyInPackage" attribute="1" defaultMemberUniqueName="[Material].[QtyInPackage].[All]" allUniqueName="[Material].[QtyInPackage].[All]" dimensionUniqueName="[Material]" displayFolder="" count="0" unbalanced="0"/>
    <cacheHierarchy uniqueName="[Material].[QtyInPallet]" caption="QtyInPallet" attribute="1" defaultMemberUniqueName="[Material].[QtyInPallet].[All]" allUniqueName="[Material].[QtyInPallet].[All]" dimensionUniqueName="[Material]" displayFolder="" count="0" unbalanced="0"/>
    <cacheHierarchy uniqueName="[Material].[RemainingDaysforPlan]" caption="RemainingDaysforPlan" attribute="1" defaultMemberUniqueName="[Material].[RemainingDaysforPlan].[All]" allUniqueName="[Material].[RemainingDaysforPlan].[All]" dimensionUniqueName="[Material]" displayFolder="" count="0" unbalanced="0"/>
    <cacheHierarchy uniqueName="[Material].[Season]" caption="Season" attribute="1" defaultMemberUniqueName="[Material].[Season].[All]" allUniqueName="[Material].[Season].[All]" dimensionUniqueName="[Material]" displayFolder="" count="0" unbalanced="0"/>
    <cacheHierarchy uniqueName="[Material].[SeasonYear]" caption="SeasonYear" attribute="1" defaultMemberUniqueName="[Material].[SeasonYear].[All]" allUniqueName="[Material].[SeasonYear].[All]" dimensionUniqueName="[Material]" displayFolder="" count="0" unbalanced="0"/>
    <cacheHierarchy uniqueName="[Material].[Size_Code]" caption="Size_Code" attribute="1" defaultMemberUniqueName="[Material].[Size_Code].[All]" allUniqueName="[Material].[Size_Code].[All]" dimensionUniqueName="[Material]" displayFolder="" count="0" unbalanced="0"/>
    <cacheHierarchy uniqueName="[Material].[Size_Desc]" caption="Size_Desc" attribute="1" defaultMemberUniqueName="[Material].[Size_Desc].[All]" allUniqueName="[Material].[Size_Desc].[All]" dimensionUniqueName="[Material]" displayFolder="" count="0" unbalanced="0"/>
    <cacheHierarchy uniqueName="[Material].[Status]" caption="Status" attribute="1" defaultMemberUniqueName="[Material].[Status].[All]" allUniqueName="[Material].[Status].[All]" dimensionUniqueName="[Material]" displayFolder="" count="0" unbalanced="0"/>
    <cacheHierarchy uniqueName="[Material].[SubGroupCode]" caption="SubGroupCode" attribute="1" defaultMemberUniqueName="[Material].[SubGroupCode].[All]" allUniqueName="[Material].[SubGroupCode].[All]" dimensionUniqueName="[Material]" displayFolder="" count="0" unbalanced="0"/>
    <cacheHierarchy uniqueName="[Material].[SubGroupDesc]" caption="SubGroupDesc" attribute="1" defaultMemberUniqueName="[Material].[SubGroupDesc].[All]" allUniqueName="[Material].[SubGroupDesc].[All]" dimensionUniqueName="[Material]" displayFolder="" count="0" unbalanced="0"/>
    <cacheHierarchy uniqueName="[Material].[TagGroupDesc]" caption="TagGroupDesc" attribute="1" defaultMemberUniqueName="[Material].[TagGroupDesc].[All]" allUniqueName="[Material].[TagGroupDesc].[All]" dimensionUniqueName="[Material]" displayFolder="" count="0" unbalanced="0"/>
    <cacheHierarchy uniqueName="[Material].[TextileProduct]" caption="TextileProduct" attribute="1" defaultMemberUniqueName="[Material].[TextileProduct].[All]" allUniqueName="[Material].[TextileProduct].[All]" dimensionUniqueName="[Material]" displayFolder="" count="0" unbalanced="0"/>
    <cacheHierarchy uniqueName="[Material].[Theme]" caption="Theme" attribute="1" defaultMemberUniqueName="[Material].[Theme].[All]" allUniqueName="[Material].[Theme].[All]" dimensionUniqueName="[Material]" displayFolder="" count="0" unbalanced="0"/>
    <cacheHierarchy uniqueName="[Material].[TribeLeader]" caption="TribeLeader" attribute="1" defaultMemberUniqueName="[Material].[TribeLeader].[All]" allUniqueName="[Material].[TribeLeader].[All]" dimensionUniqueName="[Material]" displayFolder="" count="0" unbalanced="0"/>
    <cacheHierarchy uniqueName="[Material].[VatRate]" caption="VatRate" attribute="1" defaultMemberUniqueName="[Material].[VatRate].[All]" allUniqueName="[Material].[VatRate].[All]" dimensionUniqueName="[Material]" displayFolder="" count="0" unbalanced="0"/>
    <cacheHierarchy uniqueName="[Material].[VendorCode]" caption="VendorCode" attribute="1" defaultMemberUniqueName="[Material].[VendorCode].[All]" allUniqueName="[Material].[VendorCode].[All]" dimensionUniqueName="[Material]" displayFolder="" count="0" unbalanced="0"/>
    <cacheHierarchy uniqueName="[Material].[VendorCountry]" caption="VendorCountry" attribute="1" defaultMemberUniqueName="[Material].[VendorCountry].[All]" allUniqueName="[Material].[VendorCountry].[All]" dimensionUniqueName="[Material]" displayFolder="" count="0" unbalanced="0"/>
    <cacheHierarchy uniqueName="[Material].[VendorKey]" caption="VendorKey" attribute="1" defaultMemberUniqueName="[Material].[VendorKey].[All]" allUniqueName="[Material].[VendorKey].[All]" dimensionUniqueName="[Material]" displayFolder="" count="0" unbalanced="0"/>
    <cacheHierarchy uniqueName="[Material].[VendorName]" caption="VendorName" attribute="1" defaultMemberUniqueName="[Material].[VendorName].[All]" allUniqueName="[Material].[VendorName].[All]" dimensionUniqueName="[Material]" displayFolder="" count="0" unbalanced="0"/>
    <cacheHierarchy uniqueName="[Material].[YearSeason]" caption="YearSeason" attribute="1" defaultMemberUniqueName="[Material].[YearSeason].[All]" allUniqueName="[Material].[YearSeason].[All]" dimensionUniqueName="[Material]" displayFolder="" count="0" unbalanced="0"/>
    <cacheHierarchy uniqueName="[SalesBudget].[BudgetTypeName]" caption="BudgetTypeName" attribute="1" defaultMemberUniqueName="[SalesBudget].[BudgetTypeName].[All]" allUniqueName="[SalesBudget].[BudgetTypeName].[All]" dimensionUniqueName="[SalesBudget]" displayFolder="" count="0" unbalanced="0"/>
    <cacheHierarchy uniqueName="[SalesChannel].[CompanyCode]" caption="CompanyCode" attribute="1" defaultMemberUniqueName="[SalesChannel].[CompanyCode].[All]" allUniqueName="[SalesChannel].[CompanyCode].[All]" dimensionUniqueName="[SalesChannel]" displayFolder="SalesChannelCode" count="0" unbalanced="0"/>
    <cacheHierarchy uniqueName="[SalesChannel].[CompanyCurrency]" caption="CompanyCurrency" attribute="1" defaultMemberUniqueName="[SalesChannel].[CompanyCurrency].[All]" allUniqueName="[SalesChannel].[CompanyCurrency].[All]" dimensionUniqueName="[SalesChannel]" displayFolder="SalesChannelCode" count="0" unbalanced="0"/>
    <cacheHierarchy uniqueName="[SalesChannel].[CompanyKey]" caption="CompanyKey" attribute="1" defaultMemberUniqueName="[SalesChannel].[CompanyKey].[All]" allUniqueName="[SalesChannel].[CompanyKey].[All]" dimensionUniqueName="[SalesChannel]" displayFolder="SalesChannelCode" count="0" unbalanced="0"/>
    <cacheHierarchy uniqueName="[SalesChannel].[CompanyName]" caption="CompanyName" attribute="1" defaultMemberUniqueName="[SalesChannel].[CompanyName].[All]" allUniqueName="[SalesChannel].[CompanyName].[All]" dimensionUniqueName="[SalesChannel]" displayFolder="SalesChannelName" count="0" unbalanced="0"/>
    <cacheHierarchy uniqueName="[SalesChannel].[CompanyRegion]" caption="CompanyRegion" attribute="1" defaultMemberUniqueName="[SalesChannel].[CompanyRegion].[All]" allUniqueName="[SalesChannel].[CompanyRegion].[All]" dimensionUniqueName="[SalesChannel]" displayFolder="" count="0" unbalanced="0"/>
    <cacheHierarchy uniqueName="[SalesChannel].[CountryCode]" caption="CountryCode" attribute="1" defaultMemberUniqueName="[SalesChannel].[CountryCode].[All]" allUniqueName="[SalesChannel].[CountryCode].[All]" dimensionUniqueName="[SalesChannel]" displayFolder="SalesChannelCode" count="0" unbalanced="0"/>
    <cacheHierarchy uniqueName="[SalesChannel].[CountryName]" caption="CountryName" attribute="1" defaultMemberUniqueName="[SalesChannel].[CountryName].[All]" allUniqueName="[SalesChannel].[CountryName].[All]" dimensionUniqueName="[SalesChannel]" displayFolder="SalesChannelName" count="0" unbalanced="0"/>
    <cacheHierarchy uniqueName="[SalesChannel].[DistrubitionChannelCode]" caption="DistrubitionChannelCode" attribute="1" defaultMemberUniqueName="[SalesChannel].[DistrubitionChannelCode].[All]" allUniqueName="[SalesChannel].[DistrubitionChannelCode].[All]" dimensionUniqueName="[SalesChannel]" displayFolder="SalesChannelCode" count="0" unbalanced="0"/>
    <cacheHierarchy uniqueName="[SalesChannel].[DistrubitionChannelDesc]" caption="DistrubitionChannelDesc" attribute="1" defaultMemberUniqueName="[SalesChannel].[DistrubitionChannelDesc].[All]" allUniqueName="[SalesChannel].[DistrubitionChannelDesc].[All]" dimensionUniqueName="[SalesChannel]" displayFolder="SalesChannelName" count="0" unbalanced="0"/>
    <cacheHierarchy uniqueName="[SalesChannel].[DistrubitionChannelKey]" caption="DistrubitionChannelKey" attribute="1" defaultMemberUniqueName="[SalesChannel].[DistrubitionChannelKey].[All]" allUniqueName="[SalesChannel].[DistrubitionChannelKey].[All]" dimensionUniqueName="[SalesChannel]" displayFolder="SalesChannelCode" count="0" unbalanced="0"/>
    <cacheHierarchy uniqueName="[SalesChannel].[H_SalesChannel]" caption="H_SalesChannel" defaultMemberUniqueName="[SalesChannel].[H_SalesChannel].[All]" allUniqueName="[SalesChannel].[H_SalesChannel].[All]" dimensionUniqueName="[SalesChannel]" displayFolder="" count="0" unbalanced="0"/>
    <cacheHierarchy uniqueName="[SalesChannel].[SalesChannelCode]" caption="SalesChannelCode" attribute="1" defaultMemberUniqueName="[SalesChannel].[SalesChannelCode].[All]" allUniqueName="[SalesChannel].[SalesChannelCode].[All]" dimensionUniqueName="[SalesChannel]" displayFolder="SalesChannelCode" count="0" unbalanced="0"/>
    <cacheHierarchy uniqueName="[SalesChannel].[SalesChannelKey]" caption="SalesChannelKey" attribute="1" defaultMemberUniqueName="[SalesChannel].[SalesChannelKey].[All]" allUniqueName="[SalesChannel].[SalesChannelKey].[All]" dimensionUniqueName="[SalesChannel]" displayFolder="SalesChannelCode" count="0" unbalanced="0"/>
    <cacheHierarchy uniqueName="[SalesChannel].[SalesOrgCode]" caption="SalesOrgCode" attribute="1" defaultMemberUniqueName="[SalesChannel].[SalesOrgCode].[All]" allUniqueName="[SalesChannel].[SalesOrgCode].[All]" dimensionUniqueName="[SalesChannel]" displayFolder="SalesChannelCode" count="0" unbalanced="0"/>
    <cacheHierarchy uniqueName="[SalesChannel].[SalesOrgDesc]" caption="SalesOrgDesc" attribute="1" defaultMemberUniqueName="[SalesChannel].[SalesOrgDesc].[All]" allUniqueName="[SalesChannel].[SalesOrgDesc].[All]" dimensionUniqueName="[SalesChannel]" displayFolder="SalesChannelName" count="0" unbalanced="0"/>
    <cacheHierarchy uniqueName="[SalesChannel].[SalesOrgKey]" caption="SalesOrgKey" attribute="1" defaultMemberUniqueName="[SalesChannel].[SalesOrgKey].[All]" allUniqueName="[SalesChannel].[SalesOrgKey].[All]" dimensionUniqueName="[SalesChannel]" displayFolder="SalesChannelCode" count="0" unbalanced="0"/>
    <cacheHierarchy uniqueName="[SalesChannel].[SalesOrgType]" caption="SalesOrgType" attribute="1" defaultMemberUniqueName="[SalesChannel].[SalesOrgType].[All]" allUniqueName="[SalesChannel].[SalesOrgType].[All]" dimensionUniqueName="[SalesChannel]" displayFolder="" count="0" unbalanced="0"/>
    <cacheHierarchy uniqueName="[SalesSeason].[EtlDate]" caption="EtlDate" attribute="1" defaultMemberUniqueName="[SalesSeason].[EtlDate].[All]" allUniqueName="[SalesSeason].[EtlDate].[All]" dimensionUniqueName="[SalesSeason]" displayFolder="" count="0" unbalanced="0"/>
    <cacheHierarchy uniqueName="[SalesSeason].[SalesSeasonCode]" caption="SalesSeasonCode" attribute="1" defaultMemberUniqueName="[SalesSeason].[SalesSeasonCode].[All]" allUniqueName="[SalesSeason].[SalesSeasonCode].[All]" dimensionUniqueName="[SalesSeason]" displayFolder="" count="0" unbalanced="0"/>
    <cacheHierarchy uniqueName="[SalesSeason].[SalesSeasonID]" caption="SalesSeasonID" attribute="1" defaultMemberUniqueName="[SalesSeason].[SalesSeasonID].[All]" allUniqueName="[SalesSeason].[SalesSeasonID].[All]" dimensionUniqueName="[SalesSeason]" displayFolder="" count="0" unbalanced="0"/>
    <cacheHierarchy uniqueName="[SalesSeason].[SalesSeasonName]" caption="SalesSeasonName" attribute="1" defaultMemberUniqueName="[SalesSeason].[SalesSeasonName].[All]" allUniqueName="[SalesSeason].[SalesSeasonName].[All]" dimensionUniqueName="[SalesSeason]" displayFolder="" count="0" unbalanced="0"/>
    <cacheHierarchy uniqueName="[StockList].[StockList]" caption="StockList" attribute="1" defaultMemberUniqueName="[StockList].[StockList].[All]" allUniqueName="[StockList].[StockList].[All]" dimensionUniqueName="[StockList]" displayFolder="" count="0" unbalanced="0"/>
    <cacheHierarchy uniqueName="[StockList].[StockListChannelName]" caption="StockListChannelName" attribute="1" defaultMemberUniqueName="[StockList].[StockListChannelName].[All]" allUniqueName="[StockList].[StockListChannelName].[All]" dimensionUniqueName="[StockList]" displayFolder="" count="0" unbalanced="0"/>
    <cacheHierarchy uniqueName="[StockList].[StockListCode]" caption="StockListCode" attribute="1" defaultMemberUniqueName="[StockList].[StockListCode].[All]" allUniqueName="[StockList].[StockListCode].[All]" dimensionUniqueName="[StockList]" displayFolder="" count="0" unbalanced="0"/>
    <cacheHierarchy uniqueName="[StockList].[StockListKey]" caption="StockListKey" attribute="1" defaultMemberUniqueName="[StockList].[StockListKey].[All]" allUniqueName="[StockList].[StockListKey].[All]" dimensionUniqueName="[StockList]" displayFolder="" count="0" unbalanced="0"/>
    <cacheHierarchy uniqueName="[Store].[AllocationSpecialist]" caption="AllocationSpecialist" attribute="1" defaultMemberUniqueName="[Store].[AllocationSpecialist].[All]" allUniqueName="[Store].[AllocationSpecialist].[All]" dimensionUniqueName="[Store]" displayFolder="" count="0" unbalanced="0"/>
    <cacheHierarchy uniqueName="[Store].[BackStoreM2]" caption="BackStoreM2" attribute="1" defaultMemberUniqueName="[Store].[BackStoreM2].[All]" allUniqueName="[Store].[BackStoreM2].[All]" dimensionUniqueName="[Store]" displayFolder="" count="0" unbalanced="0"/>
    <cacheHierarchy uniqueName="[Store].[CapacityClusterCode]" caption="CapacityClusterCode" attribute="1" defaultMemberUniqueName="[Store].[CapacityClusterCode].[All]" allUniqueName="[Store].[CapacityClusterCode].[All]" dimensionUniqueName="[Store]" displayFolder="" count="0" unbalanced="0"/>
    <cacheHierarchy uniqueName="[Store].[CapacityClusterDesc]" caption="CapacityClusterDesc" attribute="1" defaultMemberUniqueName="[Store].[CapacityClusterDesc].[All]" allUniqueName="[Store].[CapacityClusterDesc].[All]" dimensionUniqueName="[Store]" displayFolder="" count="0" unbalanced="0"/>
    <cacheHierarchy uniqueName="[Store].[CityCode]" caption="CityCode" attribute="1" defaultMemberUniqueName="[Store].[CityCode].[All]" allUniqueName="[Store].[CityCode].[All]" dimensionUniqueName="[Store]" displayFolder="" count="0" unbalanced="0"/>
    <cacheHierarchy uniqueName="[Store].[GrossAreaMeters]" caption="GrossAreaMeters" attribute="1" defaultMemberUniqueName="[Store].[GrossAreaMeters].[All]" allUniqueName="[Store].[GrossAreaMeters].[All]" dimensionUniqueName="[Store]" displayFolder="" count="0" unbalanced="0"/>
    <cacheHierarchy uniqueName="[Store].[Latitude]" caption="Latitude" attribute="1" defaultMemberUniqueName="[Store].[Latitude].[All]" allUniqueName="[Store].[Latitude].[All]" dimensionUniqueName="[Store]" displayFolder="" count="0" unbalanced="0"/>
    <cacheHierarchy uniqueName="[Store].[LocationCityDesc]" caption="LocationCityDesc" attribute="1" defaultMemberUniqueName="[Store].[LocationCityDesc].[All]" allUniqueName="[Store].[LocationCityDesc].[All]" dimensionUniqueName="[Store]" displayFolder="" count="0" unbalanced="0"/>
    <cacheHierarchy uniqueName="[Store].[LocationCountry]" caption="LocationCountry" attribute="1" defaultMemberUniqueName="[Store].[LocationCountry].[All]" allUniqueName="[Store].[LocationCountry].[All]" dimensionUniqueName="[Store]" displayFolder="" count="0" unbalanced="0"/>
    <cacheHierarchy uniqueName="[Store].[LocationCurrencyCode]" caption="LocationCurrencyCode" attribute="1" defaultMemberUniqueName="[Store].[LocationCurrencyCode].[All]" allUniqueName="[Store].[LocationCurrencyCode].[All]" dimensionUniqueName="[Store]" displayFolder="" count="0" unbalanced="0"/>
    <cacheHierarchy uniqueName="[Store].[LocationKey]" caption="LocationKey" attribute="1" defaultMemberUniqueName="[Store].[LocationKey].[All]" allUniqueName="[Store].[LocationKey].[All]" dimensionUniqueName="[Store]" displayFolder="" count="0" unbalanced="0"/>
    <cacheHierarchy uniqueName="[Store].[LocationSeason]" caption="LocationSeason" attribute="1" defaultMemberUniqueName="[Store].[LocationSeason].[All]" allUniqueName="[Store].[LocationSeason].[All]" dimensionUniqueName="[Store]" displayFolder="" count="0" unbalanced="0"/>
    <cacheHierarchy uniqueName="[Store].[LocationType]" caption="LocationType" attribute="1" defaultMemberUniqueName="[Store].[LocationType].[All]" allUniqueName="[Store].[LocationType].[All]" dimensionUniqueName="[Store]" displayFolder="" count="0" unbalanced="0"/>
    <cacheHierarchy uniqueName="[Store].[Longitude]" caption="Longitude" attribute="1" defaultMemberUniqueName="[Store].[Longitude].[All]" allUniqueName="[Store].[Longitude].[All]" dimensionUniqueName="[Store]" displayFolder="" count="0" unbalanced="0"/>
    <cacheHierarchy uniqueName="[Store].[OperationRegionCode]" caption="OperationRegionCode" attribute="1" defaultMemberUniqueName="[Store].[OperationRegionCode].[All]" allUniqueName="[Store].[OperationRegionCode].[All]" dimensionUniqueName="[Store]" displayFolder="" count="0" unbalanced="0"/>
    <cacheHierarchy uniqueName="[Store].[OperationRegionDesc]" caption="OperationRegionDesc" attribute="1" defaultMemberUniqueName="[Store].[OperationRegionDesc].[All]" allUniqueName="[Store].[OperationRegionDesc].[All]" dimensionUniqueName="[Store]" displayFolder="" count="0" unbalanced="0"/>
    <cacheHierarchy uniqueName="[Store].[RegionManager1]" caption="RegionManager1" attribute="1" defaultMemberUniqueName="[Store].[RegionManager1].[All]" allUniqueName="[Store].[RegionManager1].[All]" dimensionUniqueName="[Store]" displayFolder="" count="0" unbalanced="0"/>
    <cacheHierarchy uniqueName="[Store].[RegionManager2]" caption="RegionManager2" attribute="1" defaultMemberUniqueName="[Store].[RegionManager2].[All]" allUniqueName="[Store].[RegionManager2].[All]" dimensionUniqueName="[Store]" displayFolder="" count="0" unbalanced="0"/>
    <cacheHierarchy uniqueName="[Store].[RegionOpManager]" caption="RegionOpManager" attribute="1" defaultMemberUniqueName="[Store].[RegionOpManager].[All]" allUniqueName="[Store].[RegionOpManager].[All]" dimensionUniqueName="[Store]" displayFolder="" count="0" unbalanced="0"/>
    <cacheHierarchy uniqueName="[Store].[SalesOrgRegion]" caption="SalesOrgRegion" attribute="1" defaultMemberUniqueName="[Store].[SalesOrgRegion].[All]" allUniqueName="[Store].[SalesOrgRegion].[All]" dimensionUniqueName="[Store]" displayFolder="" count="0" unbalanced="0"/>
    <cacheHierarchy uniqueName="[Store].[SquareMeters]" caption="SquareMeters" attribute="1" defaultMemberUniqueName="[Store].[SquareMeters].[All]" allUniqueName="[Store].[SquareMeters].[All]" dimensionUniqueName="[Store]" displayFolder="" count="0" unbalanced="0"/>
    <cacheHierarchy uniqueName="[Store].[StockBufferFactor]" caption="StockBufferFactor" attribute="1" defaultMemberUniqueName="[Store].[StockBufferFactor].[All]" allUniqueName="[Store].[StockBufferFactor].[All]" dimensionUniqueName="[Store]" displayFolder="" count="0" unbalanced="0"/>
    <cacheHierarchy uniqueName="[Store].[StoreClass]" caption="StoreClass" attribute="1" defaultMemberUniqueName="[Store].[StoreClass].[All]" allUniqueName="[Store].[StoreClass].[All]" dimensionUniqueName="[Store]" displayFolder="" count="0" unbalanced="0"/>
    <cacheHierarchy uniqueName="[Store].[StoreCloseDate]" caption="StoreCloseDate" attribute="1" defaultMemberUniqueName="[Store].[StoreCloseDate].[All]" allUniqueName="[Store].[StoreCloseDate].[All]" dimensionUniqueName="[Store]" displayFolder="" count="0" unbalanced="0"/>
    <cacheHierarchy uniqueName="[Store].[StoreCode]" caption="StoreCode" attribute="1" defaultMemberUniqueName="[Store].[StoreCode].[All]" allUniqueName="[Store].[StoreCode].[All]" dimensionUniqueName="[Store]" displayFolder="" count="0" unbalanced="0"/>
    <cacheHierarchy uniqueName="[Store].[StoreCompanyRegion]" caption="StoreCompanyRegion" attribute="1" defaultMemberUniqueName="[Store].[StoreCompanyRegion].[All]" allUniqueName="[Store].[StoreCompanyRegion].[All]" dimensionUniqueName="[Store]" displayFolder="" count="0" unbalanced="0"/>
    <cacheHierarchy uniqueName="[Store].[StoreCustomerCluster]" caption="StoreCustomerCluster" attribute="1" defaultMemberUniqueName="[Store].[StoreCustomerCluster].[All]" allUniqueName="[Store].[StoreCustomerCluster].[All]" dimensionUniqueName="[Store]" displayFolder="" count="0" unbalanced="0"/>
    <cacheHierarchy uniqueName="[Store].[StoreDistChannelCode]" caption="StoreDistChannelCode" attribute="1" defaultMemberUniqueName="[Store].[StoreDistChannelCode].[All]" allUniqueName="[Store].[StoreDistChannelCode].[All]" dimensionUniqueName="[Store]" displayFolder="" count="0" unbalanced="0"/>
    <cacheHierarchy uniqueName="[Store].[StoreDistChannelDesc]" caption="StoreDistChannelDesc" attribute="1" defaultMemberUniqueName="[Store].[StoreDistChannelDesc].[All]" allUniqueName="[Store].[StoreDistChannelDesc].[All]" dimensionUniqueName="[Store]" displayFolder="" count="0" unbalanced="0"/>
    <cacheHierarchy uniqueName="[Store].[StoreIN_Outlet]" caption="StoreIN_Outlet" attribute="1" defaultMemberUniqueName="[Store].[StoreIN_Outlet].[All]" allUniqueName="[Store].[StoreIN_Outlet].[All]" dimensionUniqueName="[Store]" displayFolder="" count="0" unbalanced="0"/>
    <cacheHierarchy uniqueName="[Store].[StoreName]" caption="StoreName" attribute="1" defaultMemberUniqueName="[Store].[StoreName].[All]" allUniqueName="[Store].[StoreName].[All]" dimensionUniqueName="[Store]" displayFolder="" count="0" unbalanced="0"/>
    <cacheHierarchy uniqueName="[Store].[StoreOpenDate]" caption="StoreOpenDate" attribute="1" defaultMemberUniqueName="[Store].[StoreOpenDate].[All]" allUniqueName="[Store].[StoreOpenDate].[All]" dimensionUniqueName="[Store]" displayFolder="" count="0" unbalanced="0"/>
    <cacheHierarchy uniqueName="[Store].[StorePriceChannel]" caption="StorePriceChannel" attribute="1" defaultMemberUniqueName="[Store].[StorePriceChannel].[All]" allUniqueName="[Store].[StorePriceChannel].[All]" dimensionUniqueName="[Store]" displayFolder="" count="0" unbalanced="0"/>
    <cacheHierarchy uniqueName="[Store].[StorePriceScore]" caption="StorePriceScore" attribute="1" defaultMemberUniqueName="[Store].[StorePriceScore].[All]" allUniqueName="[Store].[StorePriceScore].[All]" dimensionUniqueName="[Store]" displayFolder="" count="0" unbalanced="0"/>
    <cacheHierarchy uniqueName="[Store].[StoreRegionCode]" caption="StoreRegionCode" attribute="1" defaultMemberUniqueName="[Store].[StoreRegionCode].[All]" allUniqueName="[Store].[StoreRegionCode].[All]" dimensionUniqueName="[Store]" displayFolder="" count="0" unbalanced="0"/>
    <cacheHierarchy uniqueName="[Store].[StoreRegionDesc]" caption="StoreRegionDesc" attribute="1" defaultMemberUniqueName="[Store].[StoreRegionDesc].[All]" allUniqueName="[Store].[StoreRegionDesc].[All]" dimensionUniqueName="[Store]" displayFolder="" count="0" unbalanced="0"/>
    <cacheHierarchy uniqueName="[Store].[StoreSeasonDesc]" caption="StoreSeasonDesc" attribute="1" defaultMemberUniqueName="[Store].[StoreSeasonDesc].[All]" allUniqueName="[Store].[StoreSeasonDesc].[All]" dimensionUniqueName="[Store]" displayFolder="" count="0" unbalanced="0"/>
    <cacheHierarchy uniqueName="[Store].[StoreSize]" caption="StoreSize" attribute="1" defaultMemberUniqueName="[Store].[StoreSize].[All]" allUniqueName="[Store].[StoreSize].[All]" dimensionUniqueName="[Store]" displayFolder="" count="0" unbalanced="0"/>
    <cacheHierarchy uniqueName="[Store].[StoreStatus]" caption="StoreStatus" attribute="1" defaultMemberUniqueName="[Store].[StoreStatus].[All]" allUniqueName="[Store].[StoreStatus].[All]" dimensionUniqueName="[Store]" displayFolder="" count="0" unbalanced="0"/>
    <cacheHierarchy uniqueName="[Store].[StoreTopType]" caption="StoreTopType" attribute="1" defaultMemberUniqueName="[Store].[StoreTopType].[All]" allUniqueName="[Store].[StoreTopType].[All]" dimensionUniqueName="[Store]" displayFolder="" count="0" unbalanced="0"/>
    <cacheHierarchy uniqueName="[Store].[StoreType]" caption="StoreType" attribute="1" defaultMemberUniqueName="[Store].[StoreType].[All]" allUniqueName="[Store].[StoreType].[All]" dimensionUniqueName="[Store]" displayFolder="" count="0" unbalanced="0"/>
    <cacheHierarchy uniqueName="[Store].[Tourist]" caption="Tourist" attribute="1" defaultMemberUniqueName="[Store].[Tourist].[All]" allUniqueName="[Store].[Tourist].[All]" dimensionUniqueName="[Store]" displayFolder="" count="0" unbalanced="0"/>
    <cacheHierarchy uniqueName="[StoreLFLStatu].[StoreLFLStatuDesc]" caption="StoreLFLStatuDesc" attribute="1" defaultMemberUniqueName="[StoreLFLStatu].[StoreLFLStatuDesc].[All]" allUniqueName="[StoreLFLStatu].[StoreLFLStatuDesc].[All]" dimensionUniqueName="[StoreLFLStatu]" displayFolder="" count="0" unbalanced="0"/>
    <cacheHierarchy uniqueName="[StoreLFLStatu].[StoreLFLStatuGroupDesc]" caption="StoreLFLStatuGroupDesc" attribute="1" defaultMemberUniqueName="[StoreLFLStatu].[StoreLFLStatuGroupDesc].[All]" allUniqueName="[StoreLFLStatu].[StoreLFLStatuGroupDesc].[All]" dimensionUniqueName="[StoreLFLStatu]" displayFolder="" count="0" unbalanced="0"/>
    <cacheHierarchy uniqueName="[StoreLFLStatu].[StoreLFLStatuKey]" caption="StoreLFLStatuKey" attribute="1" defaultMemberUniqueName="[StoreLFLStatu].[StoreLFLStatuKey].[All]" allUniqueName="[StoreLFLStatu].[StoreLFLStatuKey].[All]" dimensionUniqueName="[StoreLFLStatu]" displayFolder="" count="0" unbalanced="0"/>
    <cacheHierarchy uniqueName="[SubDistChannel].[SubDistChannelCode]" caption="SubDistChannelCode" attribute="1" defaultMemberUniqueName="[SubDistChannel].[SubDistChannelCode].[All]" allUniqueName="[SubDistChannel].[SubDistChannelCode].[All]" dimensionUniqueName="[SubDistChannel]" displayFolder="" count="0" unbalanced="0"/>
    <cacheHierarchy uniqueName="[SubDistChannel].[SubDistChannelDesc]" caption="SubDistChannelDesc" attribute="1" defaultMemberUniqueName="[SubDistChannel].[SubDistChannelDesc].[All]" allUniqueName="[SubDistChannel].[SubDistChannelDesc].[All]" dimensionUniqueName="[SubDistChannel]" displayFolder="" count="0" unbalanced="0"/>
    <cacheHierarchy uniqueName="[SubDistChannel].[SubDistChannelKey]" caption="SubDistChannelKey" attribute="1" defaultMemberUniqueName="[SubDistChannel].[SubDistChannelKey].[All]" allUniqueName="[SubDistChannel].[SubDistChannelKey].[All]" dimensionUniqueName="[SubDistChannel]" displayFolder="" count="0" unbalanced="0"/>
    <cacheHierarchy uniqueName="[Calendar].[EtlDate]" caption="EtlDate" attribute="1" time="1" defaultMemberUniqueName="[Calendar].[EtlDate].[All]" allUniqueName="[Calendar].[EtlDate].[All]" dimensionUniqueName="[Calendar]" displayFolder="" count="0" unbalanced="0" hidden="1"/>
    <cacheHierarchy uniqueName="[Capacity].[Date]" caption="Date" attribute="1" defaultMemberUniqueName="[Capacity].[Date].[All]" allUniqueName="[Capacity].[Date].[All]" dimensionUniqueName="[Capacity]" displayFolder="" count="0" unbalanced="0" hidden="1"/>
    <cacheHierarchy uniqueName="[Capacity].[InitialSalesPriceID]" caption="InitialSalesPriceID" attribute="1" defaultMemberUniqueName="[Capacity].[InitialSalesPriceID].[All]" allUniqueName="[Capacity].[InitialSalesPriceID].[All]" dimensionUniqueName="[Capacity]" displayFolder="" count="0" unbalanced="0" hidden="1"/>
    <cacheHierarchy uniqueName="[Capacity].[LFLFactor]" caption="LFLFactor" attribute="1" defaultMemberUniqueName="[Capacity].[LFLFactor].[All]" allUniqueName="[Capacity].[LFLFactor].[All]" dimensionUniqueName="[Capacity]" displayFolder="" count="0" unbalanced="0" hidden="1"/>
    <cacheHierarchy uniqueName="[Capacity].[LocationKey]" caption="LocationKey" attribute="1" defaultMemberUniqueName="[Capacity].[LocationKey].[All]" allUniqueName="[Capacity].[LocationKey].[All]" dimensionUniqueName="[Capacity]" displayFolder="" count="0" unbalanced="0" hidden="1"/>
    <cacheHierarchy uniqueName="[Capacity].[MaterialKey]" caption="MaterialKey" attribute="1" defaultMemberUniqueName="[Capacity].[MaterialKey].[All]" allUniqueName="[Capacity].[MaterialKey].[All]" dimensionUniqueName="[Capacity]" displayFolder="" count="0" unbalanced="0" hidden="1"/>
    <cacheHierarchy uniqueName="[Capacity].[OutletID]" caption="OutletID" attribute="1" defaultMemberUniqueName="[Capacity].[OutletID].[All]" allUniqueName="[Capacity].[OutletID].[All]" dimensionUniqueName="[Capacity]" displayFolder="" count="0" unbalanced="0" hidden="1"/>
    <cacheHierarchy uniqueName="[Capacity].[SalesChannelKey]" caption="SalesChannelKey" attribute="1" defaultMemberUniqueName="[Capacity].[SalesChannelKey].[All]" allUniqueName="[Capacity].[SalesChannelKey].[All]" dimensionUniqueName="[Capacity]" displayFolder="" count="0" unbalanced="0" hidden="1"/>
    <cacheHierarchy uniqueName="[Capacity].[SalesSeasonID]" caption="SalesSeasonID" attribute="1" defaultMemberUniqueName="[Capacity].[SalesSeasonID].[All]" allUniqueName="[Capacity].[SalesSeasonID].[All]" dimensionUniqueName="[Capacity]" displayFolder="" count="0" unbalanced="0" hidden="1"/>
    <cacheHierarchy uniqueName="[Capacity].[SubDistChannelKey]" caption="SubDistChannelKey" attribute="1" defaultMemberUniqueName="[Capacity].[SubDistChannelKey].[All]" allUniqueName="[Capacity].[SubDistChannelKey].[All]" dimensionUniqueName="[Capacity]" displayFolder="" count="0" unbalanced="0" hidden="1"/>
    <cacheHierarchy uniqueName="[Capacity].[TYCapacityPlanUnit]" caption="TYCapacityPlanUnit" attribute="1" defaultMemberUniqueName="[Capacity].[TYCapacityPlanUnit].[All]" allUniqueName="[Capacity].[TYCapacityPlanUnit].[All]" dimensionUniqueName="[Capacity]" displayFolder="" count="0" unbalanced="0" hidden="1"/>
    <cacheHierarchy uniqueName="[CapacityPlanTY].[Date]" caption="Date" attribute="1" defaultMemberUniqueName="[CapacityPlanTY].[Date].[All]" allUniqueName="[CapacityPlanTY].[Date].[All]" dimensionUniqueName="[CapacityPlanTY]" displayFolder="" count="0" unbalanced="0" hidden="1"/>
    <cacheHierarchy uniqueName="[CapacityPlanTY].[DistrubitionChannelCode]" caption="DistrubitionChannelCode" attribute="1" defaultMemberUniqueName="[CapacityPlanTY].[DistrubitionChannelCode].[All]" allUniqueName="[CapacityPlanTY].[DistrubitionChannelCode].[All]" dimensionUniqueName="[CapacityPlanTY]" displayFolder="" count="0" unbalanced="0" hidden="1"/>
    <cacheHierarchy uniqueName="[CapacityPlanTY].[DWSourceKey]" caption="DWSourceKey" attribute="1" defaultMemberUniqueName="[CapacityPlanTY].[DWSourceKey].[All]" allUniqueName="[CapacityPlanTY].[DWSourceKey].[All]" dimensionUniqueName="[CapacityPlanTY]" displayFolder="" count="0" unbalanced="0" hidden="1"/>
    <cacheHierarchy uniqueName="[CapacityPlanTY].[ETLDate]" caption="ETLDate" attribute="1" defaultMemberUniqueName="[CapacityPlanTY].[ETLDate].[All]" allUniqueName="[CapacityPlanTY].[ETLDate].[All]" dimensionUniqueName="[CapacityPlanTY]" displayFolder="" count="0" unbalanced="0" hidden="1"/>
    <cacheHierarchy uniqueName="[CapacityPlanTY].[EURExcRate]" caption="EURExcRate" attribute="1" defaultMemberUniqueName="[CapacityPlanTY].[EURExcRate].[All]" allUniqueName="[CapacityPlanTY].[EURExcRate].[All]" dimensionUniqueName="[CapacityPlanTY]" displayFolder="" count="0" unbalanced="0" hidden="1"/>
    <cacheHierarchy uniqueName="[CapacityPlanTY].[LFLPlanAvgStoreStockCostLC]" caption="LFLPlanAvgStoreStockCostLC" attribute="1" defaultMemberUniqueName="[CapacityPlanTY].[LFLPlanAvgStoreStockCostLC].[All]" allUniqueName="[CapacityPlanTY].[LFLPlanAvgStoreStockCostLC].[All]" dimensionUniqueName="[CapacityPlanTY]" displayFolder="" count="0" unbalanced="0" hidden="1"/>
    <cacheHierarchy uniqueName="[CapacityPlanTY].[LFLPlanAvgStoreStockUnit]" caption="LFLPlanAvgStoreStockUnit" attribute="1" defaultMemberUniqueName="[CapacityPlanTY].[LFLPlanAvgStoreStockUnit].[All]" allUniqueName="[CapacityPlanTY].[LFLPlanAvgStoreStockUnit].[All]" dimensionUniqueName="[CapacityPlanTY]" displayFolder="" count="0" unbalanced="0" hidden="1"/>
    <cacheHierarchy uniqueName="[CapacityPlanTY].[LocationCurrencyCode]" caption="LocationCurrencyCode" attribute="1" defaultMemberUniqueName="[CapacityPlanTY].[LocationCurrencyCode].[All]" allUniqueName="[CapacityPlanTY].[LocationCurrencyCode].[All]" dimensionUniqueName="[CapacityPlanTY]" displayFolder="" count="0" unbalanced="0" hidden="1"/>
    <cacheHierarchy uniqueName="[CapacityPlanTY].[LocationKey]" caption="LocationKey" attribute="1" defaultMemberUniqueName="[CapacityPlanTY].[LocationKey].[All]" allUniqueName="[CapacityPlanTY].[LocationKey].[All]" dimensionUniqueName="[CapacityPlanTY]" displayFolder="" count="0" unbalanced="0" hidden="1"/>
    <cacheHierarchy uniqueName="[CapacityPlanTY].[MainGroupCode]" caption="MainGroupCode" attribute="1" defaultMemberUniqueName="[CapacityPlanTY].[MainGroupCode].[All]" allUniqueName="[CapacityPlanTY].[MainGroupCode].[All]" dimensionUniqueName="[CapacityPlanTY]" displayFolder="" count="0" unbalanced="0" hidden="1"/>
    <cacheHierarchy uniqueName="[CapacityPlanTY].[MaterialKey]" caption="MaterialKey" attribute="1" defaultMemberUniqueName="[CapacityPlanTY].[MaterialKey].[All]" allUniqueName="[CapacityPlanTY].[MaterialKey].[All]" dimensionUniqueName="[CapacityPlanTY]" displayFolder="" count="0" unbalanced="0" hidden="1"/>
    <cacheHierarchy uniqueName="[CapacityPlanTY].[PlanAvgStoreStockCostLC]" caption="PlanAvgStoreStockCostLC" attribute="1" defaultMemberUniqueName="[CapacityPlanTY].[PlanAvgStoreStockCostLC].[All]" allUniqueName="[CapacityPlanTY].[PlanAvgStoreStockCostLC].[All]" dimensionUniqueName="[CapacityPlanTY]" displayFolder="" count="0" unbalanced="0" hidden="1"/>
    <cacheHierarchy uniqueName="[CapacityPlanTY].[PlanAvgStoreStockUnit]" caption="PlanAvgStoreStockUnit" attribute="1" defaultMemberUniqueName="[CapacityPlanTY].[PlanAvgStoreStockUnit].[All]" allUniqueName="[CapacityPlanTY].[PlanAvgStoreStockUnit].[All]" dimensionUniqueName="[CapacityPlanTY]" displayFolder="" count="0" unbalanced="0" hidden="1"/>
    <cacheHierarchy uniqueName="[CapacityPlanTY].[SalesChannelKey]" caption="SalesChannelKey" attribute="1" defaultMemberUniqueName="[CapacityPlanTY].[SalesChannelKey].[All]" allUniqueName="[CapacityPlanTY].[SalesChannelKey].[All]" dimensionUniqueName="[CapacityPlanTY]" displayFolder="" count="0" unbalanced="0" hidden="1"/>
    <cacheHierarchy uniqueName="[CapacityPlanTY].[SalesOrgCode]" caption="SalesOrgCode" attribute="1" defaultMemberUniqueName="[CapacityPlanTY].[SalesOrgCode].[All]" allUniqueName="[CapacityPlanTY].[SalesOrgCode].[All]" dimensionUniqueName="[CapacityPlanTY]" displayFolder="" count="0" unbalanced="0" hidden="1"/>
    <cacheHierarchy uniqueName="[CapacityPlanTY].[SubDistChannelKey]" caption="SubDistChannelKey" attribute="1" defaultMemberUniqueName="[CapacityPlanTY].[SubDistChannelKey].[All]" allUniqueName="[CapacityPlanTY].[SubDistChannelKey].[All]" dimensionUniqueName="[CapacityPlanTY]" displayFolder="" count="0" unbalanced="0" hidden="1"/>
    <cacheHierarchy uniqueName="[CapacityPlanTY].[SubGroupCode]" caption="SubGroupCode" attribute="1" defaultMemberUniqueName="[CapacityPlanTY].[SubGroupCode].[All]" allUniqueName="[CapacityPlanTY].[SubGroupCode].[All]" dimensionUniqueName="[CapacityPlanTY]" displayFolder="" count="0" unbalanced="0" hidden="1"/>
    <cacheHierarchy uniqueName="[CapacityPlanTY].[TRYExcRate]" caption="TRYExcRate" attribute="1" defaultMemberUniqueName="[CapacityPlanTY].[TRYExcRate].[All]" allUniqueName="[CapacityPlanTY].[TRYExcRate].[All]" dimensionUniqueName="[CapacityPlanTY]" displayFolder="" count="0" unbalanced="0" hidden="1"/>
    <cacheHierarchy uniqueName="[CapacityPlanTY].[USDExcRate]" caption="USDExcRate" attribute="1" defaultMemberUniqueName="[CapacityPlanTY].[USDExcRate].[All]" allUniqueName="[CapacityPlanTY].[USDExcRate].[All]" dimensionUniqueName="[CapacityPlanTY]" displayFolder="" count="0" unbalanced="0" hidden="1"/>
    <cacheHierarchy uniqueName="[CapacityPlanTY].[YearMonth]" caption="YearMonth" attribute="1" defaultMemberUniqueName="[CapacityPlanTY].[YearMonth].[All]" allUniqueName="[CapacityPlanTY].[YearMonth].[All]" dimensionUniqueName="[CapacityPlanTY]" displayFolder="" count="0" unbalanced="0" hidden="1"/>
    <cacheHierarchy uniqueName="[CurrentStockSales].[BanProfit]" caption="BanProfit" attribute="1" defaultMemberUniqueName="[CurrentStockSales].[BanProfit].[All]" allUniqueName="[CurrentStockSales].[BanProfit].[All]" dimensionUniqueName="[CurrentStockSales]" displayFolder="" count="0" unbalanced="0" hidden="1"/>
    <cacheHierarchy uniqueName="[CurrentStockSales].[CumStockDM3]" caption="CumStockDM3" attribute="1" defaultMemberUniqueName="[CurrentStockSales].[CumStockDM3].[All]" allUniqueName="[CurrentStockSales].[CumStockDM3].[All]" dimensionUniqueName="[CurrentStockSales]" displayFolder="" count="0" unbalanced="0" hidden="1"/>
    <cacheHierarchy uniqueName="[CurrentStockSales].[CumStokUnit]" caption="CumStokUnit" attribute="1" defaultMemberUniqueName="[CurrentStockSales].[CumStokUnit].[All]" allUniqueName="[CurrentStockSales].[CumStokUnit].[All]" dimensionUniqueName="[CurrentStockSales]" displayFolder="" count="0" unbalanced="0" hidden="1"/>
    <cacheHierarchy uniqueName="[CurrentStockSales].[CUROpenTransferStoreStockUnit]" caption="CUROpenTransferStoreStockUnit" attribute="1" defaultMemberUniqueName="[CurrentStockSales].[CUROpenTransferStoreStockUnit].[All]" allUniqueName="[CurrentStockSales].[CUROpenTransferStoreStockUnit].[All]" dimensionUniqueName="[CurrentStockSales]" displayFolder="" count="0" unbalanced="0" hidden="1"/>
    <cacheHierarchy uniqueName="[CurrentStockSales].[CURUnapprovedOrderStoreStockUnit]" caption="CURUnapprovedOrderStoreStockUnit" attribute="1" defaultMemberUniqueName="[CurrentStockSales].[CURUnapprovedOrderStoreStockUnit].[All]" allUniqueName="[CurrentStockSales].[CURUnapprovedOrderStoreStockUnit].[All]" dimensionUniqueName="[CurrentStockSales]" displayFolder="" count="0" unbalanced="0" hidden="1"/>
    <cacheHierarchy uniqueName="[CurrentStockSales].[GrossProfit007]" caption="GrossProfit007" attribute="1" defaultMemberUniqueName="[CurrentStockSales].[GrossProfit007].[All]" allUniqueName="[CurrentStockSales].[GrossProfit007].[All]" dimensionUniqueName="[CurrentStockSales]" displayFolder="" count="0" unbalanced="0" hidden="1"/>
    <cacheHierarchy uniqueName="[CurrentStockSales].[GrossProfit021]" caption="GrossProfit021" attribute="1" defaultMemberUniqueName="[CurrentStockSales].[GrossProfit021].[All]" allUniqueName="[CurrentStockSales].[GrossProfit021].[All]" dimensionUniqueName="[CurrentStockSales]" displayFolder="" count="0" unbalanced="0" hidden="1"/>
    <cacheHierarchy uniqueName="[CurrentStockSales].[LivingArea]" caption="LivingArea" attribute="1" defaultMemberUniqueName="[CurrentStockSales].[LivingArea].[All]" allUniqueName="[CurrentStockSales].[LivingArea].[All]" dimensionUniqueName="[CurrentStockSales]" displayFolder="" count="0" unbalanced="0" hidden="1"/>
    <cacheHierarchy uniqueName="[CurrentStockSales].[MainGroupCode]" caption="MainGroupCode" attribute="1" defaultMemberUniqueName="[CurrentStockSales].[MainGroupCode].[All]" allUniqueName="[CurrentStockSales].[MainGroupCode].[All]" dimensionUniqueName="[CurrentStockSales]" displayFolder="" count="0" unbalanced="0" hidden="1"/>
    <cacheHierarchy uniqueName="[CurrentStockSales].[Marj_w1]" caption="Marj_w1" attribute="1" defaultMemberUniqueName="[CurrentStockSales].[Marj_w1].[All]" allUniqueName="[CurrentStockSales].[Marj_w1].[All]" dimensionUniqueName="[CurrentStockSales]" displayFolder="" count="0" unbalanced="0" hidden="1"/>
    <cacheHierarchy uniqueName="[CurrentStockSales].[Marj_w3]" caption="Marj_w3" attribute="1" defaultMemberUniqueName="[CurrentStockSales].[Marj_w3].[All]" allUniqueName="[CurrentStockSales].[Marj_w3].[All]" dimensionUniqueName="[CurrentStockSales]" displayFolder="" count="0" unbalanced="0" hidden="1"/>
    <cacheHierarchy uniqueName="[CurrentStockSales].[MaterialCode]" caption="MaterialCode" attribute="1" defaultMemberUniqueName="[CurrentStockSales].[MaterialCode].[All]" allUniqueName="[CurrentStockSales].[MaterialCode].[All]" dimensionUniqueName="[CurrentStockSales]" displayFolder="" count="0" unbalanced="0" hidden="1"/>
    <cacheHierarchy uniqueName="[CurrentStockSales].[MaterialDm3]" caption="MaterialDm3" attribute="1" defaultMemberUniqueName="[CurrentStockSales].[MaterialDm3].[All]" allUniqueName="[CurrentStockSales].[MaterialDm3].[All]" dimensionUniqueName="[CurrentStockSales]" displayFolder="" count="0" unbalanced="0" hidden="1"/>
    <cacheHierarchy uniqueName="[CurrentStockSales].[MaterialKey]" caption="MaterialKey" attribute="1" defaultMemberUniqueName="[CurrentStockSales].[MaterialKey].[All]" allUniqueName="[CurrentStockSales].[MaterialKey].[All]" dimensionUniqueName="[CurrentStockSales]" displayFolder="" count="0" unbalanced="0" hidden="1"/>
    <cacheHierarchy uniqueName="[CurrentStockSales].[NetCumStockDM3]" caption="NetCumStockDM3" attribute="1" defaultMemberUniqueName="[CurrentStockSales].[NetCumStockDM3].[All]" allUniqueName="[CurrentStockSales].[NetCumStockDM3].[All]" dimensionUniqueName="[CurrentStockSales]" displayFolder="" count="0" unbalanced="0" hidden="1"/>
    <cacheHierarchy uniqueName="[CurrentStockSales].[NetCumStokUnit]" caption="NetCumStokUnit" attribute="1" defaultMemberUniqueName="[CurrentStockSales].[NetCumStokUnit].[All]" allUniqueName="[CurrentStockSales].[NetCumStokUnit].[All]" dimensionUniqueName="[CurrentStockSales]" displayFolder="" count="0" unbalanced="0" hidden="1"/>
    <cacheHierarchy uniqueName="[CurrentStockSales].[QtyInBox]" caption="QtyInBox" attribute="1" defaultMemberUniqueName="[CurrentStockSales].[QtyInBox].[All]" allUniqueName="[CurrentStockSales].[QtyInBox].[All]" dimensionUniqueName="[CurrentStockSales]" displayFolder="" count="0" unbalanced="0" hidden="1"/>
    <cacheHierarchy uniqueName="[CurrentStockSales].[SalesUnit007]" caption="SalesUnit007" attribute="1" defaultMemberUniqueName="[CurrentStockSales].[SalesUnit007].[All]" allUniqueName="[CurrentStockSales].[SalesUnit007].[All]" dimensionUniqueName="[CurrentStockSales]" displayFolder="" count="0" unbalanced="0" hidden="1"/>
    <cacheHierarchy uniqueName="[CurrentStockSales].[SalesUnit021]" caption="SalesUnit021" attribute="1" defaultMemberUniqueName="[CurrentStockSales].[SalesUnit021].[All]" allUniqueName="[CurrentStockSales].[SalesUnit021].[All]" dimensionUniqueName="[CurrentStockSales]" displayFolder="" count="0" unbalanced="0" hidden="1"/>
    <cacheHierarchy uniqueName="[CurrentStockSales].[SalesValue007]" caption="SalesValue007" attribute="1" defaultMemberUniqueName="[CurrentStockSales].[SalesValue007].[All]" allUniqueName="[CurrentStockSales].[SalesValue007].[All]" dimensionUniqueName="[CurrentStockSales]" displayFolder="" count="0" unbalanced="0" hidden="1"/>
    <cacheHierarchy uniqueName="[CurrentStockSales].[SalesValue021]" caption="SalesValue021" attribute="1" defaultMemberUniqueName="[CurrentStockSales].[SalesValue021].[All]" allUniqueName="[CurrentStockSales].[SalesValue021].[All]" dimensionUniqueName="[CurrentStockSales]" displayFolder="" count="0" unbalanced="0" hidden="1"/>
    <cacheHierarchy uniqueName="[CurrentStockSales].[StockBufferFactor]" caption="StockBufferFactor" attribute="1" defaultMemberUniqueName="[CurrentStockSales].[StockBufferFactor].[All]" allUniqueName="[CurrentStockSales].[StockBufferFactor].[All]" dimensionUniqueName="[CurrentStockSales]" displayFolder="" count="0" unbalanced="0" hidden="1"/>
    <cacheHierarchy uniqueName="[CurrentStockSales].[StoreCode]" caption="StoreCode" attribute="1" defaultMemberUniqueName="[CurrentStockSales].[StoreCode].[All]" allUniqueName="[CurrentStockSales].[StoreCode].[All]" dimensionUniqueName="[CurrentStockSales]" displayFolder="" count="0" unbalanced="0" hidden="1"/>
    <cacheHierarchy uniqueName="[CurrentStockSales].[StoreStockUnit]" caption="StoreStockUnit" attribute="1" defaultMemberUniqueName="[CurrentStockSales].[StoreStockUnit].[All]" allUniqueName="[CurrentStockSales].[StoreStockUnit].[All]" dimensionUniqueName="[CurrentStockSales]" displayFolder="" count="0" unbalanced="0" hidden="1"/>
    <cacheHierarchy uniqueName="[CurrentStockSales].[StoreTransitStockUnit]" caption="StoreTransitStockUnit" attribute="1" defaultMemberUniqueName="[CurrentStockSales].[StoreTransitStockUnit].[All]" allUniqueName="[CurrentStockSales].[StoreTransitStockUnit].[All]" dimensionUniqueName="[CurrentStockSales]" displayFolder="" count="0" unbalanced="0" hidden="1"/>
    <cacheHierarchy uniqueName="[CurrentStockSales].[TRMarj_w1]" caption="TRMarj_w1" attribute="1" defaultMemberUniqueName="[CurrentStockSales].[TRMarj_w1].[All]" allUniqueName="[CurrentStockSales].[TRMarj_w1].[All]" dimensionUniqueName="[CurrentStockSales]" displayFolder="" count="0" unbalanced="0" hidden="1"/>
    <cacheHierarchy uniqueName="[CurrentStockSales].[TRMarj_w3]" caption="TRMarj_w3" attribute="1" defaultMemberUniqueName="[CurrentStockSales].[TRMarj_w3].[All]" allUniqueName="[CurrentStockSales].[TRMarj_w3].[All]" dimensionUniqueName="[CurrentStockSales]" displayFolder="" count="0" unbalanced="0" hidden="1"/>
    <cacheHierarchy uniqueName="[CurrentStockSales].[WeeklyAvgSales]" caption="WeeklyAvgSales" attribute="1" defaultMemberUniqueName="[CurrentStockSales].[WeeklyAvgSales].[All]" allUniqueName="[CurrentStockSales].[WeeklyAvgSales].[All]" dimensionUniqueName="[CurrentStockSales]" displayFolder="" count="0" unbalanced="0" hidden="1"/>
    <cacheHierarchy uniqueName="[CurrentStockStore].[CompanyUnitCost]" caption="CompanyUnitCost" attribute="1" defaultMemberUniqueName="[CurrentStockStore].[CompanyUnitCost].[All]" allUniqueName="[CurrentStockStore].[CompanyUnitCost].[All]" dimensionUniqueName="[CurrentStockStore]" displayFolder="" count="0" unbalanced="0" hidden="1"/>
    <cacheHierarchy uniqueName="[CurrentStockStore].[EURExcRate]" caption="EURExcRate" attribute="1" defaultMemberUniqueName="[CurrentStockStore].[EURExcRate].[All]" allUniqueName="[CurrentStockStore].[EURExcRate].[All]" dimensionUniqueName="[CurrentStockStore]" displayFolder="" count="0" unbalanced="0" hidden="1"/>
    <cacheHierarchy uniqueName="[CurrentStockStore].[InitialSalesPriceID]" caption="InitialSalesPriceID" attribute="1" defaultMemberUniqueName="[CurrentStockStore].[InitialSalesPriceID].[All]" allUniqueName="[CurrentStockStore].[InitialSalesPriceID].[All]" dimensionUniqueName="[CurrentStockStore]" displayFolder="" count="0" unbalanced="0" hidden="1"/>
    <cacheHierarchy uniqueName="[CurrentStockStore].[ISPLCPriceVAT]" caption="ISPLCPriceVAT" attribute="1" defaultMemberUniqueName="[CurrentStockStore].[ISPLCPriceVAT].[All]" allUniqueName="[CurrentStockStore].[ISPLCPriceVAT].[All]" dimensionUniqueName="[CurrentStockStore]" displayFolder="" count="0" unbalanced="0" hidden="1"/>
    <cacheHierarchy uniqueName="[CurrentStockStore].[LCExcRate]" caption="LCExcRate" attribute="1" defaultMemberUniqueName="[CurrentStockStore].[LCExcRate].[All]" allUniqueName="[CurrentStockStore].[LCExcRate].[All]" dimensionUniqueName="[CurrentStockStore]" displayFolder="" count="0" unbalanced="0" hidden="1"/>
    <cacheHierarchy uniqueName="[CurrentStockStore].[LFLFactor]" caption="LFLFactor" attribute="1" defaultMemberUniqueName="[CurrentStockStore].[LFLFactor].[All]" allUniqueName="[CurrentStockStore].[LFLFactor].[All]" dimensionUniqueName="[CurrentStockStore]" displayFolder="" count="0" unbalanced="0" hidden="1"/>
    <cacheHierarchy uniqueName="[CurrentStockStore].[LocationKey]" caption="LocationKey" attribute="1" defaultMemberUniqueName="[CurrentStockStore].[LocationKey].[All]" allUniqueName="[CurrentStockStore].[LocationKey].[All]" dimensionUniqueName="[CurrentStockStore]" displayFolder="" count="0" unbalanced="0" hidden="1"/>
    <cacheHierarchy uniqueName="[CurrentStockStore].[MaterialKey]" caption="MaterialKey" attribute="1" defaultMemberUniqueName="[CurrentStockStore].[MaterialKey].[All]" allUniqueName="[CurrentStockStore].[MaterialKey].[All]" dimensionUniqueName="[CurrentStockStore]" displayFolder="" count="0" unbalanced="0" hidden="1"/>
    <cacheHierarchy uniqueName="[CurrentStockStore].[OtherStockUnit]" caption="OtherStockUnit" attribute="1" defaultMemberUniqueName="[CurrentStockStore].[OtherStockUnit].[All]" allUniqueName="[CurrentStockStore].[OtherStockUnit].[All]" dimensionUniqueName="[CurrentStockStore]" displayFolder="" count="0" unbalanced="0" hidden="1"/>
    <cacheHierarchy uniqueName="[CurrentStockStore].[OutletID]" caption="OutletID" attribute="1" defaultMemberUniqueName="[CurrentStockStore].[OutletID].[All]" allUniqueName="[CurrentStockStore].[OutletID].[All]" dimensionUniqueName="[CurrentStockStore]" displayFolder="" count="0" unbalanced="0" hidden="1"/>
    <cacheHierarchy uniqueName="[CurrentStockStore].[SalesChannelKey]" caption="SalesChannelKey" attribute="1" defaultMemberUniqueName="[CurrentStockStore].[SalesChannelKey].[All]" allUniqueName="[CurrentStockStore].[SalesChannelKey].[All]" dimensionUniqueName="[CurrentStockStore]" displayFolder="" count="0" unbalanced="0" hidden="1"/>
    <cacheHierarchy uniqueName="[CurrentStockStore].[SalesSeasonID]" caption="SalesSeasonID" attribute="1" defaultMemberUniqueName="[CurrentStockStore].[SalesSeasonID].[All]" allUniqueName="[CurrentStockStore].[SalesSeasonID].[All]" dimensionUniqueName="[CurrentStockStore]" displayFolder="" count="0" unbalanced="0" hidden="1"/>
    <cacheHierarchy uniqueName="[CurrentStockStore].[StockDate]" caption="StockDate" attribute="1" defaultMemberUniqueName="[CurrentStockStore].[StockDate].[All]" allUniqueName="[CurrentStockStore].[StockDate].[All]" dimensionUniqueName="[CurrentStockStore]" displayFolder="" count="0" unbalanced="0" hidden="1"/>
    <cacheHierarchy uniqueName="[CurrentStockStore].[StockUnit]" caption="StockUnit" attribute="1" defaultMemberUniqueName="[CurrentStockStore].[StockUnit].[All]" allUniqueName="[CurrentStockStore].[StockUnit].[All]" dimensionUniqueName="[CurrentStockStore]" displayFolder="" count="0" unbalanced="0" hidden="1"/>
    <cacheHierarchy uniqueName="[CurrentStockStore].[TransitStockUnit]" caption="TransitStockUnit" attribute="1" defaultMemberUniqueName="[CurrentStockStore].[TransitStockUnit].[All]" allUniqueName="[CurrentStockStore].[TransitStockUnit].[All]" dimensionUniqueName="[CurrentStockStore]" displayFolder="" count="0" unbalanced="0" hidden="1"/>
    <cacheHierarchy uniqueName="[CurrentStockStore].[TRYExcRate]" caption="TRYExcRate" attribute="1" defaultMemberUniqueName="[CurrentStockStore].[TRYExcRate].[All]" allUniqueName="[CurrentStockStore].[TRYExcRate].[All]" dimensionUniqueName="[CurrentStockStore]" displayFolder="" count="0" unbalanced="0" hidden="1"/>
    <cacheHierarchy uniqueName="[CurrentStockStore].[UnitCost]" caption="UnitCost" attribute="1" defaultMemberUniqueName="[CurrentStockStore].[UnitCost].[All]" allUniqueName="[CurrentStockStore].[UnitCost].[All]" dimensionUniqueName="[CurrentStockStore]" displayFolder="" count="0" unbalanced="0" hidden="1"/>
    <cacheHierarchy uniqueName="[CurrentStockStore].[USDExcRate]" caption="USDExcRate" attribute="1" defaultMemberUniqueName="[CurrentStockStore].[USDExcRate].[All]" allUniqueName="[CurrentStockStore].[USDExcRate].[All]" dimensionUniqueName="[CurrentStockStore]" displayFolder="" count="0" unbalanced="0" hidden="1"/>
    <cacheHierarchy uniqueName="[Delivery].[DeliveryBudget]" caption="DeliveryBudget" attribute="1" defaultMemberUniqueName="[Delivery].[DeliveryBudget].[All]" allUniqueName="[Delivery].[DeliveryBudget].[All]" dimensionUniqueName="[Delivery]" displayFolder="" count="0" unbalanced="0" hidden="1"/>
    <cacheHierarchy uniqueName="[Delivery].[DeliveryQty]" caption="DeliveryQty" attribute="1" defaultMemberUniqueName="[Delivery].[DeliveryQty].[All]" allUniqueName="[Delivery].[DeliveryQty].[All]" dimensionUniqueName="[Delivery]" displayFolder="" count="0" unbalanced="0" hidden="1"/>
    <cacheHierarchy uniqueName="[Delivery].[FirstDayofMonth]" caption="FirstDayofMonth" attribute="1" defaultMemberUniqueName="[Delivery].[FirstDayofMonth].[All]" allUniqueName="[Delivery].[FirstDayofMonth].[All]" dimensionUniqueName="[Delivery]" displayFolder="" count="0" unbalanced="0" hidden="1"/>
    <cacheHierarchy uniqueName="[Delivery].[MaterialKey]" caption="MaterialKey" attribute="1" defaultMemberUniqueName="[Delivery].[MaterialKey].[All]" allUniqueName="[Delivery].[MaterialKey].[All]" dimensionUniqueName="[Delivery]" displayFolder="" count="0" unbalanced="0" hidden="1"/>
    <cacheHierarchy uniqueName="[Delivery].[Month]" caption="Month" attribute="1" defaultMemberUniqueName="[Delivery].[Month].[All]" allUniqueName="[Delivery].[Month].[All]" dimensionUniqueName="[Delivery]" displayFolder="" count="0" unbalanced="0" hidden="1"/>
    <cacheHierarchy uniqueName="[Delivery].[Year]" caption="Year" attribute="1" defaultMemberUniqueName="[Delivery].[Year].[All]" allUniqueName="[Delivery].[Year].[All]" dimensionUniqueName="[Delivery]" displayFolder="" count="0" unbalanced="0" hidden="1"/>
    <cacheHierarchy uniqueName="[ISPUnitPrice].[ISPUnitPriceKey]" caption="ISPUnitPriceKey" attribute="1" defaultMemberUniqueName="[ISPUnitPrice].[ISPUnitPriceKey].[All]" allUniqueName="[ISPUnitPrice].[ISPUnitPriceKey].[All]" dimensionUniqueName="[ISPUnitPrice]" displayFolder="" count="0" unbalanced="0" hidden="1"/>
    <cacheHierarchy uniqueName="[KPI].[Ly]" caption="Ly" attribute="1" defaultMemberUniqueName="[KPI].[Ly].[All]" allUniqueName="[KPI].[Ly].[All]" dimensionUniqueName="[KPI]" displayFolder="" count="0" unbalanced="0" hidden="1"/>
    <cacheHierarchy uniqueName="[KPI].[Ly_LC]" caption="Ly_LC" attribute="1" defaultMemberUniqueName="[KPI].[Ly_LC].[All]" allUniqueName="[KPI].[Ly_LC].[All]" dimensionUniqueName="[KPI]" displayFolder="" count="0" unbalanced="0" hidden="1"/>
    <cacheHierarchy uniqueName="[KPI].[Ly_TRY]" caption="Ly_TRY" attribute="1" defaultMemberUniqueName="[KPI].[Ly_TRY].[All]" allUniqueName="[KPI].[Ly_TRY].[All]" dimensionUniqueName="[KPI]" displayFolder="" count="0" unbalanced="0" hidden="1"/>
    <cacheHierarchy uniqueName="[KPI].[Ly_USD]" caption="Ly_USD" attribute="1" defaultMemberUniqueName="[KPI].[Ly_USD].[All]" allUniqueName="[KPI].[Ly_USD].[All]" dimensionUniqueName="[KPI]" displayFolder="" count="0" unbalanced="0" hidden="1"/>
    <cacheHierarchy uniqueName="[KPI].[LyLFL]" caption="LyLFL" attribute="1" defaultMemberUniqueName="[KPI].[LyLFL].[All]" allUniqueName="[KPI].[LyLFL].[All]" dimensionUniqueName="[KPI]" displayFolder="" count="0" unbalanced="0" hidden="1"/>
    <cacheHierarchy uniqueName="[KPI].[LyLFL_LC]" caption="LyLFL_LC" attribute="1" defaultMemberUniqueName="[KPI].[LyLFL_LC].[All]" allUniqueName="[KPI].[LyLFL_LC].[All]" dimensionUniqueName="[KPI]" displayFolder="" count="0" unbalanced="0" hidden="1"/>
    <cacheHierarchy uniqueName="[KPI].[LyLFL_TRY]" caption="LyLFL_TRY" attribute="1" defaultMemberUniqueName="[KPI].[LyLFL_TRY].[All]" allUniqueName="[KPI].[LyLFL_TRY].[All]" dimensionUniqueName="[KPI]" displayFolder="" count="0" unbalanced="0" hidden="1"/>
    <cacheHierarchy uniqueName="[KPI].[LyLFL_USD]" caption="LyLFL_USD" attribute="1" defaultMemberUniqueName="[KPI].[LyLFL_USD].[All]" allUniqueName="[KPI].[LyLFL_USD].[All]" dimensionUniqueName="[KPI]" displayFolder="" count="0" unbalanced="0" hidden="1"/>
    <cacheHierarchy uniqueName="[KPI].[MeasureBlokLY02]" caption="MeasureBlokLY02" attribute="1" defaultMemberUniqueName="[KPI].[MeasureBlokLY02].[All]" allUniqueName="[KPI].[MeasureBlokLY02].[All]" dimensionUniqueName="[KPI]" displayFolder="" count="0" unbalanced="0" hidden="1"/>
    <cacheHierarchy uniqueName="[KPI].[MeasureBlokLYLFL04]" caption="MeasureBlokLYLFL04" attribute="1" defaultMemberUniqueName="[KPI].[MeasureBlokLYLFL04].[All]" allUniqueName="[KPI].[MeasureBlokLYLFL04].[All]" dimensionUniqueName="[KPI]" displayFolder="" count="0" unbalanced="0" hidden="1"/>
    <cacheHierarchy uniqueName="[KPI].[MeasureBlokTY01]" caption="MeasureBlokTY01" attribute="1" defaultMemberUniqueName="[KPI].[MeasureBlokTY01].[All]" allUniqueName="[KPI].[MeasureBlokTY01].[All]" dimensionUniqueName="[KPI]" displayFolder="" count="0" unbalanced="0" hidden="1"/>
    <cacheHierarchy uniqueName="[KPI].[MeasureBlokTYLFL03]" caption="MeasureBlokTYLFL03" attribute="1" defaultMemberUniqueName="[KPI].[MeasureBlokTYLFL03].[All]" allUniqueName="[KPI].[MeasureBlokTYLFL03].[All]" dimensionUniqueName="[KPI]" displayFolder="" count="0" unbalanced="0" hidden="1"/>
    <cacheHierarchy uniqueName="[KPI].[ProcessTime]" caption="ProcessTime" attribute="1" defaultMemberUniqueName="[KPI].[ProcessTime].[All]" allUniqueName="[KPI].[ProcessTime].[All]" dimensionUniqueName="[KPI]" displayFolder="" count="0" unbalanced="0" hidden="1"/>
    <cacheHierarchy uniqueName="[KPI].[Ty]" caption="Ty" attribute="1" defaultMemberUniqueName="[KPI].[Ty].[All]" allUniqueName="[KPI].[Ty].[All]" dimensionUniqueName="[KPI]" displayFolder="" count="0" unbalanced="0" hidden="1"/>
    <cacheHierarchy uniqueName="[KPI].[Ty_LC]" caption="Ty_LC" attribute="1" defaultMemberUniqueName="[KPI].[Ty_LC].[All]" allUniqueName="[KPI].[Ty_LC].[All]" dimensionUniqueName="[KPI]" displayFolder="" count="0" unbalanced="0" hidden="1"/>
    <cacheHierarchy uniqueName="[KPI].[Ty_TRY]" caption="Ty_TRY" attribute="1" defaultMemberUniqueName="[KPI].[Ty_TRY].[All]" allUniqueName="[KPI].[Ty_TRY].[All]" dimensionUniqueName="[KPI]" displayFolder="" count="0" unbalanced="0" hidden="1"/>
    <cacheHierarchy uniqueName="[KPI].[Ty_USD]" caption="Ty_USD" attribute="1" defaultMemberUniqueName="[KPI].[Ty_USD].[All]" allUniqueName="[KPI].[Ty_USD].[All]" dimensionUniqueName="[KPI]" displayFolder="" count="0" unbalanced="0" hidden="1"/>
    <cacheHierarchy uniqueName="[KPI].[TyLfl]" caption="TyLfl" attribute="1" defaultMemberUniqueName="[KPI].[TyLfl].[All]" allUniqueName="[KPI].[TyLfl].[All]" dimensionUniqueName="[KPI]" displayFolder="" count="0" unbalanced="0" hidden="1"/>
    <cacheHierarchy uniqueName="[KPI].[TyLfl_LC]" caption="TyLfl_LC" attribute="1" defaultMemberUniqueName="[KPI].[TyLfl_LC].[All]" allUniqueName="[KPI].[TyLfl_LC].[All]" dimensionUniqueName="[KPI]" displayFolder="" count="0" unbalanced="0" hidden="1"/>
    <cacheHierarchy uniqueName="[KPI].[TyLfl_TRY]" caption="TyLfl_TRY" attribute="1" defaultMemberUniqueName="[KPI].[TyLfl_TRY].[All]" allUniqueName="[KPI].[TyLfl_TRY].[All]" dimensionUniqueName="[KPI]" displayFolder="" count="0" unbalanced="0" hidden="1"/>
    <cacheHierarchy uniqueName="[KPI].[TyLfl_USD]" caption="TyLfl_USD" attribute="1" defaultMemberUniqueName="[KPI].[TyLfl_USD].[All]" allUniqueName="[KPI].[TyLfl_USD].[All]" dimensionUniqueName="[KPI]" displayFolder="" count="0" unbalanced="0" hidden="1"/>
    <cacheHierarchy uniqueName="[LFLDate].[LFLDate]" caption="LFLDate" attribute="1" defaultMemberUniqueName="[LFLDate].[LFLDate].[All]" allUniqueName="[LFLDate].[LFLDate].[All]" dimensionUniqueName="[LFLDate]" displayFolder="" count="0" unbalanced="0" hidden="1"/>
    <cacheHierarchy uniqueName="[LFLDate].[SalesChannelKey]" caption="SalesChannelKey" attribute="1" defaultMemberUniqueName="[LFLDate].[SalesChannelKey].[All]" allUniqueName="[LFLDate].[SalesChannelKey].[All]" dimensionUniqueName="[LFLDate]" displayFolder="" count="0" unbalanced="0" hidden="1"/>
    <cacheHierarchy uniqueName="[LFLDate].[SCKeyLFLDate]" caption="SCKeyLFLDate" attribute="1" defaultMemberUniqueName="[LFLDate].[SCKeyLFLDate].[All]" allUniqueName="[LFLDate].[SCKeyLFLDate].[All]" dimensionUniqueName="[LFLDate]" displayFolder="" count="0" unbalanced="0" hidden="1"/>
    <cacheHierarchy uniqueName="[LFLDate].[TYDate]" caption="TYDate" attribute="1" defaultMemberUniqueName="[LFLDate].[TYDate].[All]" allUniqueName="[LFLDate].[TYDate].[All]" dimensionUniqueName="[LFLDate]" displayFolder="" count="0" unbalanced="0" hidden="1"/>
    <cacheHierarchy uniqueName="[OpenImportsDCStock].[AvailableStockUnit]" caption="AvailableStockUnit" attribute="1" defaultMemberUniqueName="[OpenImportsDCStock].[AvailableStockUnit].[All]" allUniqueName="[OpenImportsDCStock].[AvailableStockUnit].[All]" dimensionUniqueName="[OpenImportsDCStock]" displayFolder="" count="0" unbalanced="0" hidden="1"/>
    <cacheHierarchy uniqueName="[OpenImportsDCStock].[BufferStockUnit]" caption="BufferStockUnit" attribute="1" defaultMemberUniqueName="[OpenImportsDCStock].[BufferStockUnit].[All]" allUniqueName="[OpenImportsDCStock].[BufferStockUnit].[All]" dimensionUniqueName="[OpenImportsDCStock]" displayFolder="" count="0" unbalanced="0" hidden="1"/>
    <cacheHierarchy uniqueName="[OpenImportsDCStock].[CUROpenImportsDCStockUnit]" caption="CUROpenImportsDCStockUnit" attribute="1" defaultMemberUniqueName="[OpenImportsDCStock].[CUROpenImportsDCStockUnit].[All]" allUniqueName="[OpenImportsDCStock].[CUROpenImportsDCStockUnit].[All]" dimensionUniqueName="[OpenImportsDCStock]" displayFolder="" count="0" unbalanced="0" hidden="1"/>
    <cacheHierarchy uniqueName="[OpenImportsDCStock].[CUROpenTransferDCStockUnit]" caption="CUROpenTransferDCStockUnit" attribute="1" defaultMemberUniqueName="[OpenImportsDCStock].[CUROpenTransferDCStockUnit].[All]" allUniqueName="[OpenImportsDCStock].[CUROpenTransferDCStockUnit].[All]" dimensionUniqueName="[OpenImportsDCStock]" displayFolder="" count="0" unbalanced="0" hidden="1"/>
    <cacheHierarchy uniqueName="[OpenImportsDCStock].[CURUnapprovedOrderDCStockUnit]" caption="CURUnapprovedOrderDCStockUnit" attribute="1" defaultMemberUniqueName="[OpenImportsDCStock].[CURUnapprovedOrderDCStockUnit].[All]" allUniqueName="[OpenImportsDCStock].[CURUnapprovedOrderDCStockUnit].[All]" dimensionUniqueName="[OpenImportsDCStock]" displayFolder="" count="0" unbalanced="0" hidden="1"/>
    <cacheHierarchy uniqueName="[OpenImportsDCStock].[LocationKey]" caption="LocationKey" attribute="1" defaultMemberUniqueName="[OpenImportsDCStock].[LocationKey].[All]" allUniqueName="[OpenImportsDCStock].[LocationKey].[All]" dimensionUniqueName="[OpenImportsDCStock]" displayFolder="" count="0" unbalanced="0" hidden="1"/>
    <cacheHierarchy uniqueName="[OpenImportsDCStock].[LocationType]" caption="LocationType" attribute="1" defaultMemberUniqueName="[OpenImportsDCStock].[LocationType].[All]" allUniqueName="[OpenImportsDCStock].[LocationType].[All]" dimensionUniqueName="[OpenImportsDCStock]" displayFolder="" count="0" unbalanced="0" hidden="1"/>
    <cacheHierarchy uniqueName="[OpenImportsDCStock].[MaterialKey]" caption="MaterialKey" attribute="1" defaultMemberUniqueName="[OpenImportsDCStock].[MaterialKey].[All]" allUniqueName="[OpenImportsDCStock].[MaterialKey].[All]" dimensionUniqueName="[OpenImportsDCStock]" displayFolder="" count="0" unbalanced="0" hidden="1"/>
    <cacheHierarchy uniqueName="[OpenImportsDCStock].[OpenDeliveryStockUnit]" caption="OpenDeliveryStockUnit" attribute="1" defaultMemberUniqueName="[OpenImportsDCStock].[OpenDeliveryStockUnit].[All]" allUniqueName="[OpenImportsDCStock].[OpenDeliveryStockUnit].[All]" dimensionUniqueName="[OpenImportsDCStock]" displayFolder="" count="0" unbalanced="0" hidden="1"/>
    <cacheHierarchy uniqueName="[OpenImportsDCStock].[OpenOrderStockUnit]" caption="OpenOrderStockUnit" attribute="1" defaultMemberUniqueName="[OpenImportsDCStock].[OpenOrderStockUnit].[All]" allUniqueName="[OpenImportsDCStock].[OpenOrderStockUnit].[All]" dimensionUniqueName="[OpenImportsDCStock]" displayFolder="" count="0" unbalanced="0" hidden="1"/>
    <cacheHierarchy uniqueName="[OpenImportsDCStock].[OpenStoStockUnit]" caption="OpenStoStockUnit" attribute="1" defaultMemberUniqueName="[OpenImportsDCStock].[OpenStoStockUnit].[All]" allUniqueName="[OpenImportsDCStock].[OpenStoStockUnit].[All]" dimensionUniqueName="[OpenImportsDCStock]" displayFolder="" count="0" unbalanced="0" hidden="1"/>
    <cacheHierarchy uniqueName="[OpenImportsDCStock].[RealStockUnit]" caption="RealStockUnit" attribute="1" defaultMemberUniqueName="[OpenImportsDCStock].[RealStockUnit].[All]" allUniqueName="[OpenImportsDCStock].[RealStockUnit].[All]" dimensionUniqueName="[OpenImportsDCStock]" displayFolder="" count="0" unbalanced="0" hidden="1"/>
    <cacheHierarchy uniqueName="[OpenImportsDCStock].[SafetyStockUnit]" caption="SafetyStockUnit" attribute="1" defaultMemberUniqueName="[OpenImportsDCStock].[SafetyStockUnit].[All]" allUniqueName="[OpenImportsDCStock].[SafetyStockUnit].[All]" dimensionUniqueName="[OpenImportsDCStock]" displayFolder="" count="0" unbalanced="0" hidden="1"/>
    <cacheHierarchy uniqueName="[OpenImportsDCStock].[SalesChannelKey]" caption="SalesChannelKey" attribute="1" defaultMemberUniqueName="[OpenImportsDCStock].[SalesChannelKey].[All]" allUniqueName="[OpenImportsDCStock].[SalesChannelKey].[All]" dimensionUniqueName="[OpenImportsDCStock]" displayFolder="" count="0" unbalanced="0" hidden="1"/>
    <cacheHierarchy uniqueName="[OpenImportsDCStock].[StockListKey]" caption="StockListKey" attribute="1" defaultMemberUniqueName="[OpenImportsDCStock].[StockListKey].[All]" allUniqueName="[OpenImportsDCStock].[StockListKey].[All]" dimensionUniqueName="[OpenImportsDCStock]" displayFolder="" count="0" unbalanced="0" hidden="1"/>
    <cacheHierarchy uniqueName="[OpenImportsDCStock].[SubLocationKey]" caption="SubLocationKey" attribute="1" defaultMemberUniqueName="[OpenImportsDCStock].[SubLocationKey].[All]" allUniqueName="[OpenImportsDCStock].[SubLocationKey].[All]" dimensionUniqueName="[OpenImportsDCStock]" displayFolder="" count="0" unbalanced="0" hidden="1"/>
    <cacheHierarchy uniqueName="[OpenImportsStoreStock].[AvailableStockUnit]" caption="AvailableStockUnit" attribute="1" defaultMemberUniqueName="[OpenImportsStoreStock].[AvailableStockUnit].[All]" allUniqueName="[OpenImportsStoreStock].[AvailableStockUnit].[All]" dimensionUniqueName="[OpenImportsStoreStock]" displayFolder="" count="0" unbalanced="0" hidden="1"/>
    <cacheHierarchy uniqueName="[OpenImportsStoreStock].[BufferStockUnit]" caption="BufferStockUnit" attribute="1" defaultMemberUniqueName="[OpenImportsStoreStock].[BufferStockUnit].[All]" allUniqueName="[OpenImportsStoreStock].[BufferStockUnit].[All]" dimensionUniqueName="[OpenImportsStoreStock]" displayFolder="" count="0" unbalanced="0" hidden="1"/>
    <cacheHierarchy uniqueName="[OpenImportsStoreStock].[CUROpenImportsStoreStockUnit]" caption="CUROpenImportsStoreStockUnit" attribute="1" defaultMemberUniqueName="[OpenImportsStoreStock].[CUROpenImportsStoreStockUnit].[All]" allUniqueName="[OpenImportsStoreStock].[CUROpenImportsStoreStockUnit].[All]" dimensionUniqueName="[OpenImportsStoreStock]" displayFolder="" count="0" unbalanced="0" hidden="1"/>
    <cacheHierarchy uniqueName="[OpenImportsStoreStock].[CUROpenTransferStoreStockUnit]" caption="CUROpenTransferStoreStockUnit" attribute="1" defaultMemberUniqueName="[OpenImportsStoreStock].[CUROpenTransferStoreStockUnit].[All]" allUniqueName="[OpenImportsStoreStock].[CUROpenTransferStoreStockUnit].[All]" dimensionUniqueName="[OpenImportsStoreStock]" displayFolder="" count="0" unbalanced="0" hidden="1"/>
    <cacheHierarchy uniqueName="[OpenImportsStoreStock].[CURUnapprovedOrderStoreStockUnit]" caption="CURUnapprovedOrderStoreStockUnit" attribute="1" defaultMemberUniqueName="[OpenImportsStoreStock].[CURUnapprovedOrderStoreStockUnit].[All]" allUniqueName="[OpenImportsStoreStock].[CURUnapprovedOrderStoreStockUnit].[All]" dimensionUniqueName="[OpenImportsStoreStock]" displayFolder="" count="0" unbalanced="0" hidden="1"/>
    <cacheHierarchy uniqueName="[OpenImportsStoreStock].[FROM_PLANT]" caption="FROM_PLANT" attribute="1" defaultMemberUniqueName="[OpenImportsStoreStock].[FROM_PLANT].[All]" allUniqueName="[OpenImportsStoreStock].[FROM_PLANT].[All]" dimensionUniqueName="[OpenImportsStoreStock]" displayFolder="" count="0" unbalanced="0" hidden="1"/>
    <cacheHierarchy uniqueName="[OpenImportsStoreStock].[LocationKey]" caption="LocationKey" attribute="1" defaultMemberUniqueName="[OpenImportsStoreStock].[LocationKey].[All]" allUniqueName="[OpenImportsStoreStock].[LocationKey].[All]" dimensionUniqueName="[OpenImportsStoreStock]" displayFolder="" count="0" unbalanced="0" hidden="1"/>
    <cacheHierarchy uniqueName="[OpenImportsStoreStock].[LocationType]" caption="LocationType" attribute="1" defaultMemberUniqueName="[OpenImportsStoreStock].[LocationType].[All]" allUniqueName="[OpenImportsStoreStock].[LocationType].[All]" dimensionUniqueName="[OpenImportsStoreStock]" displayFolder="" count="0" unbalanced="0" hidden="1"/>
    <cacheHierarchy uniqueName="[OpenImportsStoreStock].[MaterialKey]" caption="MaterialKey" attribute="1" defaultMemberUniqueName="[OpenImportsStoreStock].[MaterialKey].[All]" allUniqueName="[OpenImportsStoreStock].[MaterialKey].[All]" dimensionUniqueName="[OpenImportsStoreStock]" displayFolder="" count="0" unbalanced="0" hidden="1"/>
    <cacheHierarchy uniqueName="[OpenImportsStoreStock].[OpenDeliveryStockUnit]" caption="OpenDeliveryStockUnit" attribute="1" defaultMemberUniqueName="[OpenImportsStoreStock].[OpenDeliveryStockUnit].[All]" allUniqueName="[OpenImportsStoreStock].[OpenDeliveryStockUnit].[All]" dimensionUniqueName="[OpenImportsStoreStock]" displayFolder="" count="0" unbalanced="0" hidden="1"/>
    <cacheHierarchy uniqueName="[OpenImportsStoreStock].[OpenOrderStockUnit]" caption="OpenOrderStockUnit" attribute="1" defaultMemberUniqueName="[OpenImportsStoreStock].[OpenOrderStockUnit].[All]" allUniqueName="[OpenImportsStoreStock].[OpenOrderStockUnit].[All]" dimensionUniqueName="[OpenImportsStoreStock]" displayFolder="" count="0" unbalanced="0" hidden="1"/>
    <cacheHierarchy uniqueName="[OpenImportsStoreStock].[OpenStoStockUnit]" caption="OpenStoStockUnit" attribute="1" defaultMemberUniqueName="[OpenImportsStoreStock].[OpenStoStockUnit].[All]" allUniqueName="[OpenImportsStoreStock].[OpenStoStockUnit].[All]" dimensionUniqueName="[OpenImportsStoreStock]" displayFolder="" count="0" unbalanced="0" hidden="1"/>
    <cacheHierarchy uniqueName="[OpenImportsStoreStock].[RealStockUnit]" caption="RealStockUnit" attribute="1" defaultMemberUniqueName="[OpenImportsStoreStock].[RealStockUnit].[All]" allUniqueName="[OpenImportsStoreStock].[RealStockUnit].[All]" dimensionUniqueName="[OpenImportsStoreStock]" displayFolder="" count="0" unbalanced="0" hidden="1"/>
    <cacheHierarchy uniqueName="[OpenImportsStoreStock].[SafetyStockUnit]" caption="SafetyStockUnit" attribute="1" defaultMemberUniqueName="[OpenImportsStoreStock].[SafetyStockUnit].[All]" allUniqueName="[OpenImportsStoreStock].[SafetyStockUnit].[All]" dimensionUniqueName="[OpenImportsStoreStock]" displayFolder="" count="0" unbalanced="0" hidden="1"/>
    <cacheHierarchy uniqueName="[OpenImportsStoreStock].[SalesChannelKey]" caption="SalesChannelKey" attribute="1" defaultMemberUniqueName="[OpenImportsStoreStock].[SalesChannelKey].[All]" allUniqueName="[OpenImportsStoreStock].[SalesChannelKey].[All]" dimensionUniqueName="[OpenImportsStoreStock]" displayFolder="" count="0" unbalanced="0" hidden="1"/>
    <cacheHierarchy uniqueName="[OpenImportsStoreStock].[StockListKey]" caption="StockListKey" attribute="1" defaultMemberUniqueName="[OpenImportsStoreStock].[StockListKey].[All]" allUniqueName="[OpenImportsStoreStock].[StockListKey].[All]" dimensionUniqueName="[OpenImportsStoreStock]" displayFolder="" count="0" unbalanced="0" hidden="1"/>
    <cacheHierarchy uniqueName="[PurchaseOrder].[DCSubWarehouseKey]" caption="DCSubWarehouseKey" attribute="1" defaultMemberUniqueName="[PurchaseOrder].[DCSubWarehouseKey].[All]" allUniqueName="[PurchaseOrder].[DCSubWarehouseKey].[All]" dimensionUniqueName="[PurchaseOrder]" displayFolder="" count="0" unbalanced="0" hidden="1"/>
    <cacheHierarchy uniqueName="[PurchaseOrder].[DeadLine]" caption="DeadLine" attribute="1" defaultMemberUniqueName="[PurchaseOrder].[DeadLine].[All]" allUniqueName="[PurchaseOrder].[DeadLine].[All]" dimensionUniqueName="[PurchaseOrder]" displayFolder="" count="0" unbalanced="0" hidden="1"/>
    <cacheHierarchy uniqueName="[PurchaseOrder].[DWSourceKey]" caption="DWSourceKey" attribute="1" defaultMemberUniqueName="[PurchaseOrder].[DWSourceKey].[All]" allUniqueName="[PurchaseOrder].[DWSourceKey].[All]" dimensionUniqueName="[PurchaseOrder]" displayFolder="" count="0" unbalanced="0" hidden="1"/>
    <cacheHierarchy uniqueName="[PurchaseOrder].[EstimatedExcRateLC]" caption="EstimatedExcRateLC" attribute="1" defaultMemberUniqueName="[PurchaseOrder].[EstimatedExcRateLC].[All]" allUniqueName="[PurchaseOrder].[EstimatedExcRateLC].[All]" dimensionUniqueName="[PurchaseOrder]" displayFolder="" count="0" unbalanced="0" hidden="1"/>
    <cacheHierarchy uniqueName="[PurchaseOrder].[EtlDate]" caption="EtlDate" attribute="1" defaultMemberUniqueName="[PurchaseOrder].[EtlDate].[All]" allUniqueName="[PurchaseOrder].[EtlDate].[All]" dimensionUniqueName="[PurchaseOrder]" displayFolder="" count="0" unbalanced="0" hidden="1"/>
    <cacheHierarchy uniqueName="[PurchaseOrder].[Factor]" caption="Factor" attribute="1" defaultMemberUniqueName="[PurchaseOrder].[Factor].[All]" allUniqueName="[PurchaseOrder].[Factor].[All]" dimensionUniqueName="[PurchaseOrder]" displayFolder="" count="0" unbalanced="0" hidden="1"/>
    <cacheHierarchy uniqueName="[PurchaseOrder].[GoodsReceiptDate]" caption="GoodsReceiptDate" attribute="1" defaultMemberUniqueName="[PurchaseOrder].[GoodsReceiptDate].[All]" allUniqueName="[PurchaseOrder].[GoodsReceiptDate].[All]" dimensionUniqueName="[PurchaseOrder]" displayFolder="" count="0" unbalanced="0" hidden="1"/>
    <cacheHierarchy uniqueName="[PurchaseOrder].[GoodsReceiptUnit]" caption="GoodsReceiptUnit" attribute="1" defaultMemberUniqueName="[PurchaseOrder].[GoodsReceiptUnit].[All]" allUniqueName="[PurchaseOrder].[GoodsReceiptUnit].[All]" dimensionUniqueName="[PurchaseOrder]" displayFolder="" count="0" unbalanced="0" hidden="1"/>
    <cacheHierarchy uniqueName="[PurchaseOrder].[GoodsReceiptValueLC]" caption="GoodsReceiptValueLC" attribute="1" defaultMemberUniqueName="[PurchaseOrder].[GoodsReceiptValueLC].[All]" allUniqueName="[PurchaseOrder].[GoodsReceiptValueLC].[All]" dimensionUniqueName="[PurchaseOrder]" displayFolder="" count="0" unbalanced="0" hidden="1"/>
    <cacheHierarchy uniqueName="[PurchaseOrder].[LocalCurrencyCode]" caption="LocalCurrencyCode" attribute="1" defaultMemberUniqueName="[PurchaseOrder].[LocalCurrencyCode].[All]" allUniqueName="[PurchaseOrder].[LocalCurrencyCode].[All]" dimensionUniqueName="[PurchaseOrder]" displayFolder="" count="0" unbalanced="0" hidden="1"/>
    <cacheHierarchy uniqueName="[PurchaseOrder].[MaterialKey]" caption="MaterialKey" attribute="1" defaultMemberUniqueName="[PurchaseOrder].[MaterialKey].[All]" allUniqueName="[PurchaseOrder].[MaterialKey].[All]" dimensionUniqueName="[PurchaseOrder]" displayFolder="" count="0" unbalanced="0" hidden="1"/>
    <cacheHierarchy uniqueName="[PurchaseOrder].[OrderCurrencyCode]" caption="OrderCurrencyCode" attribute="1" defaultMemberUniqueName="[PurchaseOrder].[OrderCurrencyCode].[All]" allUniqueName="[PurchaseOrder].[OrderCurrencyCode].[All]" dimensionUniqueName="[PurchaseOrder]" displayFolder="" count="0" unbalanced="0" hidden="1"/>
    <cacheHierarchy uniqueName="[PurchaseOrder].[OtherMerchantGoodsReceiptUnit]" caption="OtherMerchantGoodsReceiptUnit" attribute="1" defaultMemberUniqueName="[PurchaseOrder].[OtherMerchantGoodsReceiptUnit].[All]" allUniqueName="[PurchaseOrder].[OtherMerchantGoodsReceiptUnit].[All]" dimensionUniqueName="[PurchaseOrder]" displayFolder="" count="0" unbalanced="0" hidden="1"/>
    <cacheHierarchy uniqueName="[PurchaseOrder].[OtherMerchantGoodsReceiptValueLC]" caption="OtherMerchantGoodsReceiptValueLC" attribute="1" defaultMemberUniqueName="[PurchaseOrder].[OtherMerchantGoodsReceiptValueLC].[All]" allUniqueName="[PurchaseOrder].[OtherMerchantGoodsReceiptValueLC].[All]" dimensionUniqueName="[PurchaseOrder]" displayFolder="" count="0" unbalanced="0" hidden="1"/>
    <cacheHierarchy uniqueName="[PurchaseOrder].[OtherMerchantPendingPONetValue]" caption="OtherMerchantPendingPONetValue" attribute="1" defaultMemberUniqueName="[PurchaseOrder].[OtherMerchantPendingPONetValue].[All]" allUniqueName="[PurchaseOrder].[OtherMerchantPendingPONetValue].[All]" dimensionUniqueName="[PurchaseOrder]" displayFolder="" count="0" unbalanced="0" hidden="1"/>
    <cacheHierarchy uniqueName="[PurchaseOrder].[OtherMerchantPendingPurchaseOrderUnit]" caption="OtherMerchantPendingPurchaseOrderUnit" attribute="1" defaultMemberUniqueName="[PurchaseOrder].[OtherMerchantPendingPurchaseOrderUnit].[All]" allUniqueName="[PurchaseOrder].[OtherMerchantPendingPurchaseOrderUnit].[All]" dimensionUniqueName="[PurchaseOrder]" displayFolder="" count="0" unbalanced="0" hidden="1"/>
    <cacheHierarchy uniqueName="[PurchaseOrder].[OtherMerchantPurchaseOrderUnit]" caption="OtherMerchantPurchaseOrderUnit" attribute="1" defaultMemberUniqueName="[PurchaseOrder].[OtherMerchantPurchaseOrderUnit].[All]" allUniqueName="[PurchaseOrder].[OtherMerchantPurchaseOrderUnit].[All]" dimensionUniqueName="[PurchaseOrder]" displayFolder="" count="0" unbalanced="0" hidden="1"/>
    <cacheHierarchy uniqueName="[PurchaseOrder].[PendingPONetValue]" caption="PendingPONetValue" attribute="1" defaultMemberUniqueName="[PurchaseOrder].[PendingPONetValue].[All]" allUniqueName="[PurchaseOrder].[PendingPONetValue].[All]" dimensionUniqueName="[PurchaseOrder]" displayFolder="" count="0" unbalanced="0" hidden="1"/>
    <cacheHierarchy uniqueName="[PurchaseOrder].[PendingPurchaseOrderUnit]" caption="PendingPurchaseOrderUnit" attribute="1" defaultMemberUniqueName="[PurchaseOrder].[PendingPurchaseOrderUnit].[All]" allUniqueName="[PurchaseOrder].[PendingPurchaseOrderUnit].[All]" dimensionUniqueName="[PurchaseOrder]" displayFolder="" count="0" unbalanced="0" hidden="1"/>
    <cacheHierarchy uniqueName="[PurchaseOrder].[PONetValue]" caption="PONetValue" attribute="1" defaultMemberUniqueName="[PurchaseOrder].[PONetValue].[All]" allUniqueName="[PurchaseOrder].[PONetValue].[All]" dimensionUniqueName="[PurchaseOrder]" displayFolder="" count="0" unbalanced="0" hidden="1"/>
    <cacheHierarchy uniqueName="[PurchaseOrder].[ProductStateID]" caption="ProductStateID" attribute="1" defaultMemberUniqueName="[PurchaseOrder].[ProductStateID].[All]" allUniqueName="[PurchaseOrder].[ProductStateID].[All]" dimensionUniqueName="[PurchaseOrder]" displayFolder="" count="0" unbalanced="0" hidden="1"/>
    <cacheHierarchy uniqueName="[PurchaseOrder].[PurchaseOrderCode]" caption="PurchaseOrderCode" attribute="1" defaultMemberUniqueName="[PurchaseOrder].[PurchaseOrderCode].[All]" allUniqueName="[PurchaseOrder].[PurchaseOrderCode].[All]" dimensionUniqueName="[PurchaseOrder]" displayFolder="" count="0" unbalanced="0" hidden="1"/>
    <cacheHierarchy uniqueName="[PurchaseOrder].[PurchaseOrderUnit]" caption="PurchaseOrderUnit" attribute="1" defaultMemberUniqueName="[PurchaseOrder].[PurchaseOrderUnit].[All]" allUniqueName="[PurchaseOrder].[PurchaseOrderUnit].[All]" dimensionUniqueName="[PurchaseOrder]" displayFolder="" count="0" unbalanced="0" hidden="1"/>
    <cacheHierarchy uniqueName="[PurchaseOrder].[SalesChannelKey]" caption="SalesChannelKey" attribute="1" defaultMemberUniqueName="[PurchaseOrder].[SalesChannelKey].[All]" allUniqueName="[PurchaseOrder].[SalesChannelKey].[All]" dimensionUniqueName="[PurchaseOrder]" displayFolder="" count="0" unbalanced="0" hidden="1"/>
    <cacheHierarchy uniqueName="[PurchaseOrder].[SalesSeasonID]" caption="SalesSeasonID" attribute="1" defaultMemberUniqueName="[PurchaseOrder].[SalesSeasonID].[All]" allUniqueName="[PurchaseOrder].[SalesSeasonID].[All]" dimensionUniqueName="[PurchaseOrder]" displayFolder="" count="0" unbalanced="0" hidden="1"/>
    <cacheHierarchy uniqueName="[PurchaseOrder].[ToptanSasCarpanı]" caption="ToptanSasCarpanı" attribute="1" defaultMemberUniqueName="[PurchaseOrder].[ToptanSasCarpanı].[All]" allUniqueName="[PurchaseOrder].[ToptanSasCarpanı].[All]" dimensionUniqueName="[PurchaseOrder]" displayFolder="" count="0" unbalanced="0" hidden="1"/>
    <cacheHierarchy uniqueName="[PurchaseOrder].[UnitPrice]" caption="UnitPrice" attribute="1" defaultMemberUniqueName="[PurchaseOrder].[UnitPrice].[All]" allUniqueName="[PurchaseOrder].[UnitPrice].[All]" dimensionUniqueName="[PurchaseOrder]" displayFolder="" count="0" unbalanced="0" hidden="1"/>
    <cacheHierarchy uniqueName="[PurchaseOrderGR].[DCSubWarehouseKey]" caption="DCSubWarehouseKey" attribute="1" defaultMemberUniqueName="[PurchaseOrderGR].[DCSubWarehouseKey].[All]" allUniqueName="[PurchaseOrderGR].[DCSubWarehouseKey].[All]" dimensionUniqueName="[PurchaseOrderGR]" displayFolder="" count="0" unbalanced="0" hidden="1"/>
    <cacheHierarchy uniqueName="[PurchaseOrderGR].[DeadLine]" caption="DeadLine" attribute="1" defaultMemberUniqueName="[PurchaseOrderGR].[DeadLine].[All]" allUniqueName="[PurchaseOrderGR].[DeadLine].[All]" dimensionUniqueName="[PurchaseOrderGR]" displayFolder="" count="0" unbalanced="0" hidden="1"/>
    <cacheHierarchy uniqueName="[PurchaseOrderGR].[DWSourceKey]" caption="DWSourceKey" attribute="1" defaultMemberUniqueName="[PurchaseOrderGR].[DWSourceKey].[All]" allUniqueName="[PurchaseOrderGR].[DWSourceKey].[All]" dimensionUniqueName="[PurchaseOrderGR]" displayFolder="" count="0" unbalanced="0" hidden="1"/>
    <cacheHierarchy uniqueName="[PurchaseOrderGR].[EstimatedExcRateLC]" caption="EstimatedExcRateLC" attribute="1" defaultMemberUniqueName="[PurchaseOrderGR].[EstimatedExcRateLC].[All]" allUniqueName="[PurchaseOrderGR].[EstimatedExcRateLC].[All]" dimensionUniqueName="[PurchaseOrderGR]" displayFolder="" count="0" unbalanced="0" hidden="1"/>
    <cacheHierarchy uniqueName="[PurchaseOrderGR].[EtlDate]" caption="EtlDate" attribute="1" defaultMemberUniqueName="[PurchaseOrderGR].[EtlDate].[All]" allUniqueName="[PurchaseOrderGR].[EtlDate].[All]" dimensionUniqueName="[PurchaseOrderGR]" displayFolder="" count="0" unbalanced="0" hidden="1"/>
    <cacheHierarchy uniqueName="[PurchaseOrderGR].[Factor]" caption="Factor" attribute="1" defaultMemberUniqueName="[PurchaseOrderGR].[Factor].[All]" allUniqueName="[PurchaseOrderGR].[Factor].[All]" dimensionUniqueName="[PurchaseOrderGR]" displayFolder="" count="0" unbalanced="0" hidden="1"/>
    <cacheHierarchy uniqueName="[PurchaseOrderGR].[GoodReceiptValueNavlunLC]" caption="GoodReceiptValueNavlunLC" attribute="1" defaultMemberUniqueName="[PurchaseOrderGR].[GoodReceiptValueNavlunLC].[All]" allUniqueName="[PurchaseOrderGR].[GoodReceiptValueNavlunLC].[All]" dimensionUniqueName="[PurchaseOrderGR]" displayFolder="" count="0" unbalanced="0" hidden="1"/>
    <cacheHierarchy uniqueName="[PurchaseOrderGR].[GoodsReceiptDate]" caption="GoodsReceiptDate" attribute="1" defaultMemberUniqueName="[PurchaseOrderGR].[GoodsReceiptDate].[All]" allUniqueName="[PurchaseOrderGR].[GoodsReceiptDate].[All]" dimensionUniqueName="[PurchaseOrderGR]" displayFolder="" count="0" unbalanced="0" hidden="1"/>
    <cacheHierarchy uniqueName="[PurchaseOrderGR].[GoodsReceiptUnit]" caption="GoodsReceiptUnit" attribute="1" defaultMemberUniqueName="[PurchaseOrderGR].[GoodsReceiptUnit].[All]" allUniqueName="[PurchaseOrderGR].[GoodsReceiptUnit].[All]" dimensionUniqueName="[PurchaseOrderGR]" displayFolder="" count="0" unbalanced="0" hidden="1"/>
    <cacheHierarchy uniqueName="[PurchaseOrderGR].[GoodsReceiptValueLC]" caption="GoodsReceiptValueLC" attribute="1" defaultMemberUniqueName="[PurchaseOrderGR].[GoodsReceiptValueLC].[All]" allUniqueName="[PurchaseOrderGR].[GoodsReceiptValueLC].[All]" dimensionUniqueName="[PurchaseOrderGR]" displayFolder="" count="0" unbalanced="0" hidden="1"/>
    <cacheHierarchy uniqueName="[PurchaseOrderGR].[LocalCurrencyCode]" caption="LocalCurrencyCode" attribute="1" defaultMemberUniqueName="[PurchaseOrderGR].[LocalCurrencyCode].[All]" allUniqueName="[PurchaseOrderGR].[LocalCurrencyCode].[All]" dimensionUniqueName="[PurchaseOrderGR]" displayFolder="" count="0" unbalanced="0" hidden="1"/>
    <cacheHierarchy uniqueName="[PurchaseOrderGR].[MaterialKey]" caption="MaterialKey" attribute="1" defaultMemberUniqueName="[PurchaseOrderGR].[MaterialKey].[All]" allUniqueName="[PurchaseOrderGR].[MaterialKey].[All]" dimensionUniqueName="[PurchaseOrderGR]" displayFolder="" count="0" unbalanced="0" hidden="1"/>
    <cacheHierarchy uniqueName="[PurchaseOrderGR].[OrderCurrencyCode]" caption="OrderCurrencyCode" attribute="1" defaultMemberUniqueName="[PurchaseOrderGR].[OrderCurrencyCode].[All]" allUniqueName="[PurchaseOrderGR].[OrderCurrencyCode].[All]" dimensionUniqueName="[PurchaseOrderGR]" displayFolder="" count="0" unbalanced="0" hidden="1"/>
    <cacheHierarchy uniqueName="[PurchaseOrderGR].[OtherMerchantGoodsReceiptUnit]" caption="OtherMerchantGoodsReceiptUnit" attribute="1" defaultMemberUniqueName="[PurchaseOrderGR].[OtherMerchantGoodsReceiptUnit].[All]" allUniqueName="[PurchaseOrderGR].[OtherMerchantGoodsReceiptUnit].[All]" dimensionUniqueName="[PurchaseOrderGR]" displayFolder="" count="0" unbalanced="0" hidden="1"/>
    <cacheHierarchy uniqueName="[PurchaseOrderGR].[OtherMerchantGoodsReceiptValueLC]" caption="OtherMerchantGoodsReceiptValueLC" attribute="1" defaultMemberUniqueName="[PurchaseOrderGR].[OtherMerchantGoodsReceiptValueLC].[All]" allUniqueName="[PurchaseOrderGR].[OtherMerchantGoodsReceiptValueLC].[All]" dimensionUniqueName="[PurchaseOrderGR]" displayFolder="" count="0" unbalanced="0" hidden="1"/>
    <cacheHierarchy uniqueName="[PurchaseOrderGR].[ProductStateID]" caption="ProductStateID" attribute="1" defaultMemberUniqueName="[PurchaseOrderGR].[ProductStateID].[All]" allUniqueName="[PurchaseOrderGR].[ProductStateID].[All]" dimensionUniqueName="[PurchaseOrderGR]" displayFolder="" count="0" unbalanced="0" hidden="1"/>
    <cacheHierarchy uniqueName="[PurchaseOrderGR].[PurchaseOrderCode]" caption="PurchaseOrderCode" attribute="1" defaultMemberUniqueName="[PurchaseOrderGR].[PurchaseOrderCode].[All]" allUniqueName="[PurchaseOrderGR].[PurchaseOrderCode].[All]" dimensionUniqueName="[PurchaseOrderGR]" displayFolder="" count="0" unbalanced="0" hidden="1"/>
    <cacheHierarchy uniqueName="[PurchaseOrderGR].[SalesChannelKey]" caption="SalesChannelKey" attribute="1" defaultMemberUniqueName="[PurchaseOrderGR].[SalesChannelKey].[All]" allUniqueName="[PurchaseOrderGR].[SalesChannelKey].[All]" dimensionUniqueName="[PurchaseOrderGR]" displayFolder="" count="0" unbalanced="0" hidden="1"/>
    <cacheHierarchy uniqueName="[PurchaseOrderGR].[SalesSeasonID]" caption="SalesSeasonID" attribute="1" defaultMemberUniqueName="[PurchaseOrderGR].[SalesSeasonID].[All]" allUniqueName="[PurchaseOrderGR].[SalesSeasonID].[All]" dimensionUniqueName="[PurchaseOrderGR]" displayFolder="" count="0" unbalanced="0" hidden="1"/>
    <cacheHierarchy uniqueName="[PurchaseOrderGR].[ToptanSasCarpanı]" caption="ToptanSasCarpanı" attribute="1" defaultMemberUniqueName="[PurchaseOrderGR].[ToptanSasCarpanı].[All]" allUniqueName="[PurchaseOrderGR].[ToptanSasCarpanı].[All]" dimensionUniqueName="[PurchaseOrderGR]" displayFolder="" count="0" unbalanced="0" hidden="1"/>
    <cacheHierarchy uniqueName="[Sales].[Ly]" caption="Ly" attribute="1" defaultMemberUniqueName="[Sales].[Ly].[All]" allUniqueName="[Sales].[Ly].[All]" dimensionUniqueName="[Sales]" displayFolder="" count="0" unbalanced="0" hidden="1"/>
    <cacheHierarchy uniqueName="[Sales].[LyLFL]" caption="LyLFL" attribute="1" defaultMemberUniqueName="[Sales].[LyLFL].[All]" allUniqueName="[Sales].[LyLFL].[All]" dimensionUniqueName="[Sales]" displayFolder="" count="0" unbalanced="0" hidden="1"/>
    <cacheHierarchy uniqueName="[Sales].[MeasureBlokLY02]" caption="MeasureBlokLY02" attribute="1" defaultMemberUniqueName="[Sales].[MeasureBlokLY02].[All]" allUniqueName="[Sales].[MeasureBlokLY02].[All]" dimensionUniqueName="[Sales]" displayFolder="" count="0" unbalanced="0" hidden="1"/>
    <cacheHierarchy uniqueName="[Sales].[MeasureBlokLYLFL04]" caption="MeasureBlokLYLFL04" attribute="1" defaultMemberUniqueName="[Sales].[MeasureBlokLYLFL04].[All]" allUniqueName="[Sales].[MeasureBlokLYLFL04].[All]" dimensionUniqueName="[Sales]" displayFolder="" count="0" unbalanced="0" hidden="1"/>
    <cacheHierarchy uniqueName="[Sales].[MeasureBlokTY01]" caption="MeasureBlokTY01" attribute="1" defaultMemberUniqueName="[Sales].[MeasureBlokTY01].[All]" allUniqueName="[Sales].[MeasureBlokTY01].[All]" dimensionUniqueName="[Sales]" displayFolder="" count="0" unbalanced="0" hidden="1"/>
    <cacheHierarchy uniqueName="[Sales].[MeasureBlokTYLFL03]" caption="MeasureBlokTYLFL03" attribute="1" defaultMemberUniqueName="[Sales].[MeasureBlokTYLFL03].[All]" allUniqueName="[Sales].[MeasureBlokTYLFL03].[All]" dimensionUniqueName="[Sales]" displayFolder="" count="0" unbalanced="0" hidden="1"/>
    <cacheHierarchy uniqueName="[Sales].[MeasureGroupName]" caption="MeasureGroupName" attribute="1" defaultMemberUniqueName="[Sales].[MeasureGroupName].[All]" allUniqueName="[Sales].[MeasureGroupName].[All]" dimensionUniqueName="[Sales]" displayFolder="" count="0" unbalanced="0" hidden="1"/>
    <cacheHierarchy uniqueName="[Sales].[ProcessTime]" caption="ProcessTime" attribute="1" defaultMemberUniqueName="[Sales].[ProcessTime].[All]" allUniqueName="[Sales].[ProcessTime].[All]" dimensionUniqueName="[Sales]" displayFolder="" count="0" unbalanced="0" hidden="1"/>
    <cacheHierarchy uniqueName="[Sales].[Ty]" caption="Ty" attribute="1" defaultMemberUniqueName="[Sales].[Ty].[All]" allUniqueName="[Sales].[Ty].[All]" dimensionUniqueName="[Sales]" displayFolder="" count="0" unbalanced="0" hidden="1"/>
    <cacheHierarchy uniqueName="[Sales].[TyLfl]" caption="TyLfl" attribute="1" defaultMemberUniqueName="[Sales].[TyLfl].[All]" allUniqueName="[Sales].[TyLfl].[All]" dimensionUniqueName="[Sales]" displayFolder="" count="0" unbalanced="0" hidden="1"/>
    <cacheHierarchy uniqueName="[SalesBudget].[BudgetCost]" caption="BudgetCost" attribute="1" defaultMemberUniqueName="[SalesBudget].[BudgetCost].[All]" allUniqueName="[SalesBudget].[BudgetCost].[All]" dimensionUniqueName="[SalesBudget]" displayFolder="" count="0" unbalanced="0" hidden="1"/>
    <cacheHierarchy uniqueName="[SalesBudget].[BudgetInitialSalesPrice]" caption="BudgetInitialSalesPrice" attribute="1" defaultMemberUniqueName="[SalesBudget].[BudgetInitialSalesPrice].[All]" allUniqueName="[SalesBudget].[BudgetInitialSalesPrice].[All]" dimensionUniqueName="[SalesBudget]" displayFolder="" count="0" unbalanced="0" hidden="1"/>
    <cacheHierarchy uniqueName="[SalesBudget].[BudgetProfitValue]" caption="BudgetProfitValue" attribute="1" defaultMemberUniqueName="[SalesBudget].[BudgetProfitValue].[All]" allUniqueName="[SalesBudget].[BudgetProfitValue].[All]" dimensionUniqueName="[SalesBudget]" displayFolder="" count="0" unbalanced="0" hidden="1"/>
    <cacheHierarchy uniqueName="[SalesBudget].[BudgetUnit]" caption="BudgetUnit" attribute="1" defaultMemberUniqueName="[SalesBudget].[BudgetUnit].[All]" allUniqueName="[SalesBudget].[BudgetUnit].[All]" dimensionUniqueName="[SalesBudget]" displayFolder="" count="0" unbalanced="0" hidden="1"/>
    <cacheHierarchy uniqueName="[SalesBudget].[BudgetValue]" caption="BudgetValue" attribute="1" defaultMemberUniqueName="[SalesBudget].[BudgetValue].[All]" allUniqueName="[SalesBudget].[BudgetValue].[All]" dimensionUniqueName="[SalesBudget]" displayFolder="" count="0" unbalanced="0" hidden="1"/>
    <cacheHierarchy uniqueName="[SalesBudget].[EURExcRate]" caption="EURExcRate" attribute="1" defaultMemberUniqueName="[SalesBudget].[EURExcRate].[All]" allUniqueName="[SalesBudget].[EURExcRate].[All]" dimensionUniqueName="[SalesBudget]" displayFolder="" count="0" unbalanced="0" hidden="1"/>
    <cacheHierarchy uniqueName="[SalesBudget].[LocationCurrencyCode]" caption="LocationCurrencyCode" attribute="1" defaultMemberUniqueName="[SalesBudget].[LocationCurrencyCode].[All]" allUniqueName="[SalesBudget].[LocationCurrencyCode].[All]" dimensionUniqueName="[SalesBudget]" displayFolder="" count="0" unbalanced="0" hidden="1"/>
    <cacheHierarchy uniqueName="[SalesBudget].[LocationKey]" caption="LocationKey" attribute="1" defaultMemberUniqueName="[SalesBudget].[LocationKey].[All]" allUniqueName="[SalesBudget].[LocationKey].[All]" dimensionUniqueName="[SalesBudget]" displayFolder="" count="0" unbalanced="0" hidden="1"/>
    <cacheHierarchy uniqueName="[SalesBudget].[MaterialKey]" caption="MaterialKey" attribute="1" defaultMemberUniqueName="[SalesBudget].[MaterialKey].[All]" allUniqueName="[SalesBudget].[MaterialKey].[All]" dimensionUniqueName="[SalesBudget]" displayFolder="" count="0" unbalanced="0" hidden="1"/>
    <cacheHierarchy uniqueName="[SalesBudget].[SalesChannelKey]" caption="SalesChannelKey" attribute="1" defaultMemberUniqueName="[SalesBudget].[SalesChannelKey].[All]" allUniqueName="[SalesBudget].[SalesChannelKey].[All]" dimensionUniqueName="[SalesBudget]" displayFolder="" count="0" unbalanced="0" hidden="1"/>
    <cacheHierarchy uniqueName="[SalesBudget].[SubDistChannelCode]" caption="SubDistChannelCode" attribute="1" defaultMemberUniqueName="[SalesBudget].[SubDistChannelCode].[All]" allUniqueName="[SalesBudget].[SubDistChannelCode].[All]" dimensionUniqueName="[SalesBudget]" displayFolder="" count="0" unbalanced="0" hidden="1"/>
    <cacheHierarchy uniqueName="[SalesBudget].[SubDistChannelKey]" caption="SubDistChannelKey" attribute="1" defaultMemberUniqueName="[SalesBudget].[SubDistChannelKey].[All]" allUniqueName="[SalesBudget].[SubDistChannelKey].[All]" dimensionUniqueName="[SalesBudget]" displayFolder="" count="0" unbalanced="0" hidden="1"/>
    <cacheHierarchy uniqueName="[SalesBudget].[TRYExcRate]" caption="TRYExcRate" attribute="1" defaultMemberUniqueName="[SalesBudget].[TRYExcRate].[All]" allUniqueName="[SalesBudget].[TRYExcRate].[All]" dimensionUniqueName="[SalesBudget]" displayFolder="" count="0" unbalanced="0" hidden="1"/>
    <cacheHierarchy uniqueName="[SalesBudget].[TYDate]" caption="TYDate" attribute="1" defaultMemberUniqueName="[SalesBudget].[TYDate].[All]" allUniqueName="[SalesBudget].[TYDate].[All]" dimensionUniqueName="[SalesBudget]" displayFolder="" count="0" unbalanced="0" hidden="1"/>
    <cacheHierarchy uniqueName="[SalesBudget].[USDExcRate]" caption="USDExcRate" attribute="1" defaultMemberUniqueName="[SalesBudget].[USDExcRate].[All]" allUniqueName="[SalesBudget].[USDExcRate].[All]" dimensionUniqueName="[SalesBudget]" displayFolder="" count="0" unbalanced="0" hidden="1"/>
    <cacheHierarchy uniqueName="[SalesBudgetLY].[BudgetTypeName]" caption="BudgetTypeName" attribute="1" defaultMemberUniqueName="[SalesBudgetLY].[BudgetTypeName].[All]" allUniqueName="[SalesBudgetLY].[BudgetTypeName].[All]" dimensionUniqueName="[SalesBudgetLY]" displayFolder="" count="0" unbalanced="0" hidden="1"/>
    <cacheHierarchy uniqueName="[SalesBudgetLY].[EURExcRate]" caption="EURExcRate" attribute="1" defaultMemberUniqueName="[SalesBudgetLY].[EURExcRate].[All]" allUniqueName="[SalesBudgetLY].[EURExcRate].[All]" dimensionUniqueName="[SalesBudgetLY]" displayFolder="" count="0" unbalanced="0" hidden="1"/>
    <cacheHierarchy uniqueName="[SalesBudgetLY].[LocationCurrencyCode]" caption="LocationCurrencyCode" attribute="1" defaultMemberUniqueName="[SalesBudgetLY].[LocationCurrencyCode].[All]" allUniqueName="[SalesBudgetLY].[LocationCurrencyCode].[All]" dimensionUniqueName="[SalesBudgetLY]" displayFolder="" count="0" unbalanced="0" hidden="1"/>
    <cacheHierarchy uniqueName="[SalesBudgetLY].[LocationKey]" caption="LocationKey" attribute="1" defaultMemberUniqueName="[SalesBudgetLY].[LocationKey].[All]" allUniqueName="[SalesBudgetLY].[LocationKey].[All]" dimensionUniqueName="[SalesBudgetLY]" displayFolder="" count="0" unbalanced="0" hidden="1"/>
    <cacheHierarchy uniqueName="[SalesBudgetLY].[LYBudgetCost]" caption="LYBudgetCost" attribute="1" defaultMemberUniqueName="[SalesBudgetLY].[LYBudgetCost].[All]" allUniqueName="[SalesBudgetLY].[LYBudgetCost].[All]" dimensionUniqueName="[SalesBudgetLY]" displayFolder="" count="0" unbalanced="0" hidden="1"/>
    <cacheHierarchy uniqueName="[SalesBudgetLY].[LYBudgetInitialSalesPrice]" caption="LYBudgetInitialSalesPrice" attribute="1" defaultMemberUniqueName="[SalesBudgetLY].[LYBudgetInitialSalesPrice].[All]" allUniqueName="[SalesBudgetLY].[LYBudgetInitialSalesPrice].[All]" dimensionUniqueName="[SalesBudgetLY]" displayFolder="" count="0" unbalanced="0" hidden="1"/>
    <cacheHierarchy uniqueName="[SalesBudgetLY].[LYBudgetProfitValue]" caption="LYBudgetProfitValue" attribute="1" defaultMemberUniqueName="[SalesBudgetLY].[LYBudgetProfitValue].[All]" allUniqueName="[SalesBudgetLY].[LYBudgetProfitValue].[All]" dimensionUniqueName="[SalesBudgetLY]" displayFolder="" count="0" unbalanced="0" hidden="1"/>
    <cacheHierarchy uniqueName="[SalesBudgetLY].[LYBudgetUnit]" caption="LYBudgetUnit" attribute="1" defaultMemberUniqueName="[SalesBudgetLY].[LYBudgetUnit].[All]" allUniqueName="[SalesBudgetLY].[LYBudgetUnit].[All]" dimensionUniqueName="[SalesBudgetLY]" displayFolder="" count="0" unbalanced="0" hidden="1"/>
    <cacheHierarchy uniqueName="[SalesBudgetLY].[LYBudgetValue]" caption="LYBudgetValue" attribute="1" defaultMemberUniqueName="[SalesBudgetLY].[LYBudgetValue].[All]" allUniqueName="[SalesBudgetLY].[LYBudgetValue].[All]" dimensionUniqueName="[SalesBudgetLY]" displayFolder="" count="0" unbalanced="0" hidden="1"/>
    <cacheHierarchy uniqueName="[SalesBudgetLY].[MaterialKey]" caption="MaterialKey" attribute="1" defaultMemberUniqueName="[SalesBudgetLY].[MaterialKey].[All]" allUniqueName="[SalesBudgetLY].[MaterialKey].[All]" dimensionUniqueName="[SalesBudgetLY]" displayFolder="" count="0" unbalanced="0" hidden="1"/>
    <cacheHierarchy uniqueName="[SalesBudgetLY].[SalesChannelKey]" caption="SalesChannelKey" attribute="1" defaultMemberUniqueName="[SalesBudgetLY].[SalesChannelKey].[All]" allUniqueName="[SalesBudgetLY].[SalesChannelKey].[All]" dimensionUniqueName="[SalesBudgetLY]" displayFolder="" count="0" unbalanced="0" hidden="1"/>
    <cacheHierarchy uniqueName="[SalesBudgetLY].[SubDistChannelCode]" caption="SubDistChannelCode" attribute="1" defaultMemberUniqueName="[SalesBudgetLY].[SubDistChannelCode].[All]" allUniqueName="[SalesBudgetLY].[SubDistChannelCode].[All]" dimensionUniqueName="[SalesBudgetLY]" displayFolder="" count="0" unbalanced="0" hidden="1"/>
    <cacheHierarchy uniqueName="[SalesBudgetLY].[SubDistChannelKey]" caption="SubDistChannelKey" attribute="1" defaultMemberUniqueName="[SalesBudgetLY].[SubDistChannelKey].[All]" allUniqueName="[SalesBudgetLY].[SubDistChannelKey].[All]" dimensionUniqueName="[SalesBudgetLY]" displayFolder="" count="0" unbalanced="0" hidden="1"/>
    <cacheHierarchy uniqueName="[SalesBudgetLY].[TRYExcRate]" caption="TRYExcRate" attribute="1" defaultMemberUniqueName="[SalesBudgetLY].[TRYExcRate].[All]" allUniqueName="[SalesBudgetLY].[TRYExcRate].[All]" dimensionUniqueName="[SalesBudgetLY]" displayFolder="" count="0" unbalanced="0" hidden="1"/>
    <cacheHierarchy uniqueName="[SalesBudgetLY].[TYDate]" caption="TYDate" attribute="1" defaultMemberUniqueName="[SalesBudgetLY].[TYDate].[All]" allUniqueName="[SalesBudgetLY].[TYDate].[All]" dimensionUniqueName="[SalesBudgetLY]" displayFolder="" count="0" unbalanced="0" hidden="1"/>
    <cacheHierarchy uniqueName="[SalesBudgetLY].[USDExcRate]" caption="USDExcRate" attribute="1" defaultMemberUniqueName="[SalesBudgetLY].[USDExcRate].[All]" allUniqueName="[SalesBudgetLY].[USDExcRate].[All]" dimensionUniqueName="[SalesBudgetLY]" displayFolder="" count="0" unbalanced="0" hidden="1"/>
    <cacheHierarchy uniqueName="[SalesChannel].[CountryRank]" caption="CountryRank" attribute="1" defaultMemberUniqueName="[SalesChannel].[CountryRank].[All]" allUniqueName="[SalesChannel].[CountryRank].[All]" dimensionUniqueName="[SalesChannel]" displayFolder="" count="0" unbalanced="0" hidden="1"/>
    <cacheHierarchy uniqueName="[SalesChannel].[SalesOrgTypeRank]" caption="SalesOrgTypeRank" attribute="1" defaultMemberUniqueName="[SalesChannel].[SalesOrgTypeRank].[All]" allUniqueName="[SalesChannel].[SalesOrgTypeRank].[All]" dimensionUniqueName="[SalesChannel]" displayFolder="" count="0" unbalanced="0" hidden="1"/>
    <cacheHierarchy uniqueName="[SalesLY].[CurrentSalesPriceID]" caption="CurrentSalesPriceID" attribute="1" defaultMemberUniqueName="[SalesLY].[CurrentSalesPriceID].[All]" allUniqueName="[SalesLY].[CurrentSalesPriceID].[All]" dimensionUniqueName="[SalesLY]" displayFolder="" count="0" unbalanced="0" hidden="1"/>
    <cacheHierarchy uniqueName="[SalesLY].[InitialSalesPriceID]" caption="InitialSalesPriceID" attribute="1" defaultMemberUniqueName="[SalesLY].[InitialSalesPriceID].[All]" allUniqueName="[SalesLY].[InitialSalesPriceID].[All]" dimensionUniqueName="[SalesLY]" displayFolder="" count="0" unbalanced="0" hidden="1"/>
    <cacheHierarchy uniqueName="[SalesLY].[LFLFactor]" caption="LFLFactor" attribute="1" defaultMemberUniqueName="[SalesLY].[LFLFactor].[All]" allUniqueName="[SalesLY].[LFLFactor].[All]" dimensionUniqueName="[SalesLY]" displayFolder="" count="0" unbalanced="0" hidden="1"/>
    <cacheHierarchy uniqueName="[SalesLY].[LocationKey]" caption="LocationKey" attribute="1" defaultMemberUniqueName="[SalesLY].[LocationKey].[All]" allUniqueName="[SalesLY].[LocationKey].[All]" dimensionUniqueName="[SalesLY]" displayFolder="" count="0" unbalanced="0" hidden="1"/>
    <cacheHierarchy uniqueName="[SalesLY].[LYSalesCostLC]" caption="LYSalesCostLC" attribute="1" defaultMemberUniqueName="[SalesLY].[LYSalesCostLC].[All]" allUniqueName="[SalesLY].[LYSalesCostLC].[All]" dimensionUniqueName="[SalesLY]" displayFolder="" count="0" unbalanced="0" hidden="1"/>
    <cacheHierarchy uniqueName="[SalesLY].[LYSalesCostTRY]" caption="LYSalesCostTRY" attribute="1" defaultMemberUniqueName="[SalesLY].[LYSalesCostTRY].[All]" allUniqueName="[SalesLY].[LYSalesCostTRY].[All]" dimensionUniqueName="[SalesLY]" displayFolder="" count="0" unbalanced="0" hidden="1"/>
    <cacheHierarchy uniqueName="[SalesLY].[LYSalesCostUSD]" caption="LYSalesCostUSD" attribute="1" defaultMemberUniqueName="[SalesLY].[LYSalesCostUSD].[All]" allUniqueName="[SalesLY].[LYSalesCostUSD].[All]" dimensionUniqueName="[SalesLY]" displayFolder="" count="0" unbalanced="0" hidden="1"/>
    <cacheHierarchy uniqueName="[SalesLY].[LYSalesCostVATLC]" caption="LYSalesCostVATLC" attribute="1" defaultMemberUniqueName="[SalesLY].[LYSalesCostVATLC].[All]" allUniqueName="[SalesLY].[LYSalesCostVATLC].[All]" dimensionUniqueName="[SalesLY]" displayFolder="" count="0" unbalanced="0" hidden="1"/>
    <cacheHierarchy uniqueName="[SalesLY].[LYSalesCostVATTRY]" caption="LYSalesCostVATTRY" attribute="1" defaultMemberUniqueName="[SalesLY].[LYSalesCostVATTRY].[All]" allUniqueName="[SalesLY].[LYSalesCostVATTRY].[All]" dimensionUniqueName="[SalesLY]" displayFolder="" count="0" unbalanced="0" hidden="1"/>
    <cacheHierarchy uniqueName="[SalesLY].[LYSalesCostVATUSD]" caption="LYSalesCostVATUSD" attribute="1" defaultMemberUniqueName="[SalesLY].[LYSalesCostVATUSD].[All]" allUniqueName="[SalesLY].[LYSalesCostVATUSD].[All]" dimensionUniqueName="[SalesLY]" displayFolder="" count="0" unbalanced="0" hidden="1"/>
    <cacheHierarchy uniqueName="[SalesLY].[LYSalesDiscountValueLC]" caption="LYSalesDiscountValueLC" attribute="1" defaultMemberUniqueName="[SalesLY].[LYSalesDiscountValueLC].[All]" allUniqueName="[SalesLY].[LYSalesDiscountValueLC].[All]" dimensionUniqueName="[SalesLY]" displayFolder="" count="0" unbalanced="0" hidden="1"/>
    <cacheHierarchy uniqueName="[SalesLY].[LYSalesDiscountValueTRY]" caption="LYSalesDiscountValueTRY" attribute="1" defaultMemberUniqueName="[SalesLY].[LYSalesDiscountValueTRY].[All]" allUniqueName="[SalesLY].[LYSalesDiscountValueTRY].[All]" dimensionUniqueName="[SalesLY]" displayFolder="" count="0" unbalanced="0" hidden="1"/>
    <cacheHierarchy uniqueName="[SalesLY].[LYSalesDiscountValueUSD]" caption="LYSalesDiscountValueUSD" attribute="1" defaultMemberUniqueName="[SalesLY].[LYSalesDiscountValueUSD].[All]" allUniqueName="[SalesLY].[LYSalesDiscountValueUSD].[All]" dimensionUniqueName="[SalesLY]" displayFolder="" count="0" unbalanced="0" hidden="1"/>
    <cacheHierarchy uniqueName="[SalesLY].[LYSalesDiscountValueVATLC]" caption="LYSalesDiscountValueVATLC" attribute="1" defaultMemberUniqueName="[SalesLY].[LYSalesDiscountValueVATLC].[All]" allUniqueName="[SalesLY].[LYSalesDiscountValueVATLC].[All]" dimensionUniqueName="[SalesLY]" displayFolder="" count="0" unbalanced="0" hidden="1"/>
    <cacheHierarchy uniqueName="[SalesLY].[LYSalesDiscountValueVATTRY]" caption="LYSalesDiscountValueVATTRY" attribute="1" defaultMemberUniqueName="[SalesLY].[LYSalesDiscountValueVATTRY].[All]" allUniqueName="[SalesLY].[LYSalesDiscountValueVATTRY].[All]" dimensionUniqueName="[SalesLY]" displayFolder="" count="0" unbalanced="0" hidden="1"/>
    <cacheHierarchy uniqueName="[SalesLY].[LYSalesDiscountValueVATUSD]" caption="LYSalesDiscountValueVATUSD" attribute="1" defaultMemberUniqueName="[SalesLY].[LYSalesDiscountValueVATUSD].[All]" allUniqueName="[SalesLY].[LYSalesDiscountValueVATUSD].[All]" dimensionUniqueName="[SalesLY]" displayFolder="" count="0" unbalanced="0" hidden="1"/>
    <cacheHierarchy uniqueName="[SalesLY].[LYSalesGrossProfitLC]" caption="LYSalesGrossProfitLC" attribute="1" defaultMemberUniqueName="[SalesLY].[LYSalesGrossProfitLC].[All]" allUniqueName="[SalesLY].[LYSalesGrossProfitLC].[All]" dimensionUniqueName="[SalesLY]" displayFolder="" count="0" unbalanced="0" hidden="1"/>
    <cacheHierarchy uniqueName="[SalesLY].[LYSalesGrossProfitTRY]" caption="LYSalesGrossProfitTRY" attribute="1" defaultMemberUniqueName="[SalesLY].[LYSalesGrossProfitTRY].[All]" allUniqueName="[SalesLY].[LYSalesGrossProfitTRY].[All]" dimensionUniqueName="[SalesLY]" displayFolder="" count="0" unbalanced="0" hidden="1"/>
    <cacheHierarchy uniqueName="[SalesLY].[LYSalesGrossProfitUSD]" caption="LYSalesGrossProfitUSD" attribute="1" defaultMemberUniqueName="[SalesLY].[LYSalesGrossProfitUSD].[All]" allUniqueName="[SalesLY].[LYSalesGrossProfitUSD].[All]" dimensionUniqueName="[SalesLY]" displayFolder="" count="0" unbalanced="0" hidden="1"/>
    <cacheHierarchy uniqueName="[SalesLY].[LYSalesGrossProfitVATLC]" caption="LYSalesGrossProfitVATLC" attribute="1" defaultMemberUniqueName="[SalesLY].[LYSalesGrossProfitVATLC].[All]" allUniqueName="[SalesLY].[LYSalesGrossProfitVATLC].[All]" dimensionUniqueName="[SalesLY]" displayFolder="" count="0" unbalanced="0" hidden="1"/>
    <cacheHierarchy uniqueName="[SalesLY].[LYSalesGrossProfitVATTRY]" caption="LYSalesGrossProfitVATTRY" attribute="1" defaultMemberUniqueName="[SalesLY].[LYSalesGrossProfitVATTRY].[All]" allUniqueName="[SalesLY].[LYSalesGrossProfitVATTRY].[All]" dimensionUniqueName="[SalesLY]" displayFolder="" count="0" unbalanced="0" hidden="1"/>
    <cacheHierarchy uniqueName="[SalesLY].[LYSalesGrossProfitVATUSD]" caption="LYSalesGrossProfitVATUSD" attribute="1" defaultMemberUniqueName="[SalesLY].[LYSalesGrossProfitVATUSD].[All]" allUniqueName="[SalesLY].[LYSalesGrossProfitVATUSD].[All]" dimensionUniqueName="[SalesLY]" displayFolder="" count="0" unbalanced="0" hidden="1"/>
    <cacheHierarchy uniqueName="[SalesLY].[LYSalesUnit]" caption="LYSalesUnit" attribute="1" defaultMemberUniqueName="[SalesLY].[LYSalesUnit].[All]" allUniqueName="[SalesLY].[LYSalesUnit].[All]" dimensionUniqueName="[SalesLY]" displayFolder="" count="0" unbalanced="0" hidden="1"/>
    <cacheHierarchy uniqueName="[SalesLY].[LYSalesValueCSPLC]" caption="LYSalesValueCSPLC" attribute="1" defaultMemberUniqueName="[SalesLY].[LYSalesValueCSPLC].[All]" allUniqueName="[SalesLY].[LYSalesValueCSPLC].[All]" dimensionUniqueName="[SalesLY]" displayFolder="" count="0" unbalanced="0" hidden="1"/>
    <cacheHierarchy uniqueName="[SalesLY].[LYSalesValueCSPTRY]" caption="LYSalesValueCSPTRY" attribute="1" defaultMemberUniqueName="[SalesLY].[LYSalesValueCSPTRY].[All]" allUniqueName="[SalesLY].[LYSalesValueCSPTRY].[All]" dimensionUniqueName="[SalesLY]" displayFolder="" count="0" unbalanced="0" hidden="1"/>
    <cacheHierarchy uniqueName="[SalesLY].[LYSalesValueCSPUSD]" caption="LYSalesValueCSPUSD" attribute="1" defaultMemberUniqueName="[SalesLY].[LYSalesValueCSPUSD].[All]" allUniqueName="[SalesLY].[LYSalesValueCSPUSD].[All]" dimensionUniqueName="[SalesLY]" displayFolder="" count="0" unbalanced="0" hidden="1"/>
    <cacheHierarchy uniqueName="[SalesLY].[LYSalesValueISPLC]" caption="LYSalesValueISPLC" attribute="1" defaultMemberUniqueName="[SalesLY].[LYSalesValueISPLC].[All]" allUniqueName="[SalesLY].[LYSalesValueISPLC].[All]" dimensionUniqueName="[SalesLY]" displayFolder="" count="0" unbalanced="0" hidden="1"/>
    <cacheHierarchy uniqueName="[SalesLY].[LYSalesValueISPTRY]" caption="LYSalesValueISPTRY" attribute="1" defaultMemberUniqueName="[SalesLY].[LYSalesValueISPTRY].[All]" allUniqueName="[SalesLY].[LYSalesValueISPTRY].[All]" dimensionUniqueName="[SalesLY]" displayFolder="" count="0" unbalanced="0" hidden="1"/>
    <cacheHierarchy uniqueName="[SalesLY].[LYSalesValueISPUSD]" caption="LYSalesValueISPUSD" attribute="1" defaultMemberUniqueName="[SalesLY].[LYSalesValueISPUSD].[All]" allUniqueName="[SalesLY].[LYSalesValueISPUSD].[All]" dimensionUniqueName="[SalesLY]" displayFolder="" count="0" unbalanced="0" hidden="1"/>
    <cacheHierarchy uniqueName="[SalesLY].[LYSalesValueLC]" caption="LYSalesValueLC" attribute="1" defaultMemberUniqueName="[SalesLY].[LYSalesValueLC].[All]" allUniqueName="[SalesLY].[LYSalesValueLC].[All]" dimensionUniqueName="[SalesLY]" displayFolder="" count="0" unbalanced="0" hidden="1"/>
    <cacheHierarchy uniqueName="[SalesLY].[LYSalesValueTRY]" caption="LYSalesValueTRY" attribute="1" defaultMemberUniqueName="[SalesLY].[LYSalesValueTRY].[All]" allUniqueName="[SalesLY].[LYSalesValueTRY].[All]" dimensionUniqueName="[SalesLY]" displayFolder="" count="0" unbalanced="0" hidden="1"/>
    <cacheHierarchy uniqueName="[SalesLY].[LYSalesValueUSD]" caption="LYSalesValueUSD" attribute="1" defaultMemberUniqueName="[SalesLY].[LYSalesValueUSD].[All]" allUniqueName="[SalesLY].[LYSalesValueUSD].[All]" dimensionUniqueName="[SalesLY]" displayFolder="" count="0" unbalanced="0" hidden="1"/>
    <cacheHierarchy uniqueName="[SalesLY].[LYSalesValueVATCSPLC]" caption="LYSalesValueVATCSPLC" attribute="1" defaultMemberUniqueName="[SalesLY].[LYSalesValueVATCSPLC].[All]" allUniqueName="[SalesLY].[LYSalesValueVATCSPLC].[All]" dimensionUniqueName="[SalesLY]" displayFolder="" count="0" unbalanced="0" hidden="1"/>
    <cacheHierarchy uniqueName="[SalesLY].[LYSalesValueVATCSPTRY]" caption="LYSalesValueVATCSPTRY" attribute="1" defaultMemberUniqueName="[SalesLY].[LYSalesValueVATCSPTRY].[All]" allUniqueName="[SalesLY].[LYSalesValueVATCSPTRY].[All]" dimensionUniqueName="[SalesLY]" displayFolder="" count="0" unbalanced="0" hidden="1"/>
    <cacheHierarchy uniqueName="[SalesLY].[LYSalesValueVATCSPUSD]" caption="LYSalesValueVATCSPUSD" attribute="1" defaultMemberUniqueName="[SalesLY].[LYSalesValueVATCSPUSD].[All]" allUniqueName="[SalesLY].[LYSalesValueVATCSPUSD].[All]" dimensionUniqueName="[SalesLY]" displayFolder="" count="0" unbalanced="0" hidden="1"/>
    <cacheHierarchy uniqueName="[SalesLY].[LYSalesValueVATISPLC]" caption="LYSalesValueVATISPLC" attribute="1" defaultMemberUniqueName="[SalesLY].[LYSalesValueVATISPLC].[All]" allUniqueName="[SalesLY].[LYSalesValueVATISPLC].[All]" dimensionUniqueName="[SalesLY]" displayFolder="" count="0" unbalanced="0" hidden="1"/>
    <cacheHierarchy uniqueName="[SalesLY].[LYSalesValueVATISPTRY]" caption="LYSalesValueVATISPTRY" attribute="1" defaultMemberUniqueName="[SalesLY].[LYSalesValueVATISPTRY].[All]" allUniqueName="[SalesLY].[LYSalesValueVATISPTRY].[All]" dimensionUniqueName="[SalesLY]" displayFolder="" count="0" unbalanced="0" hidden="1"/>
    <cacheHierarchy uniqueName="[SalesLY].[LYSalesValueVATISPUSD]" caption="LYSalesValueVATISPUSD" attribute="1" defaultMemberUniqueName="[SalesLY].[LYSalesValueVATISPUSD].[All]" allUniqueName="[SalesLY].[LYSalesValueVATISPUSD].[All]" dimensionUniqueName="[SalesLY]" displayFolder="" count="0" unbalanced="0" hidden="1"/>
    <cacheHierarchy uniqueName="[SalesLY].[LYSalesValueVATLC]" caption="LYSalesValueVATLC" attribute="1" defaultMemberUniqueName="[SalesLY].[LYSalesValueVATLC].[All]" allUniqueName="[SalesLY].[LYSalesValueVATLC].[All]" dimensionUniqueName="[SalesLY]" displayFolder="" count="0" unbalanced="0" hidden="1"/>
    <cacheHierarchy uniqueName="[SalesLY].[LYSalesValueVATTRY]" caption="LYSalesValueVATTRY" attribute="1" defaultMemberUniqueName="[SalesLY].[LYSalesValueVATTRY].[All]" allUniqueName="[SalesLY].[LYSalesValueVATTRY].[All]" dimensionUniqueName="[SalesLY]" displayFolder="" count="0" unbalanced="0" hidden="1"/>
    <cacheHierarchy uniqueName="[SalesLY].[LYSalesValueVATUSD]" caption="LYSalesValueVATUSD" attribute="1" defaultMemberUniqueName="[SalesLY].[LYSalesValueVATUSD].[All]" allUniqueName="[SalesLY].[LYSalesValueVATUSD].[All]" dimensionUniqueName="[SalesLY]" displayFolder="" count="0" unbalanced="0" hidden="1"/>
    <cacheHierarchy uniqueName="[SalesLY].[MaterialKey]" caption="MaterialKey" attribute="1" defaultMemberUniqueName="[SalesLY].[MaterialKey].[All]" allUniqueName="[SalesLY].[MaterialKey].[All]" dimensionUniqueName="[SalesLY]" displayFolder="" count="0" unbalanced="0" hidden="1"/>
    <cacheHierarchy uniqueName="[SalesLY].[OutletID]" caption="OutletID" attribute="1" defaultMemberUniqueName="[SalesLY].[OutletID].[All]" allUniqueName="[SalesLY].[OutletID].[All]" dimensionUniqueName="[SalesLY]" displayFolder="" count="0" unbalanced="0" hidden="1"/>
    <cacheHierarchy uniqueName="[SalesLY].[SalesChannelKey]" caption="SalesChannelKey" attribute="1" defaultMemberUniqueName="[SalesLY].[SalesChannelKey].[All]" allUniqueName="[SalesLY].[SalesChannelKey].[All]" dimensionUniqueName="[SalesLY]" displayFolder="" count="0" unbalanced="0" hidden="1"/>
    <cacheHierarchy uniqueName="[SalesLY].[SalesHour]" caption="SalesHour" attribute="1" defaultMemberUniqueName="[SalesLY].[SalesHour].[All]" allUniqueName="[SalesLY].[SalesHour].[All]" dimensionUniqueName="[SalesLY]" displayFolder="" count="0" unbalanced="0" hidden="1"/>
    <cacheHierarchy uniqueName="[SalesLY].[SalesInvoiceItem]" caption="SalesInvoiceItem" attribute="1" defaultMemberUniqueName="[SalesLY].[SalesInvoiceItem].[All]" allUniqueName="[SalesLY].[SalesInvoiceItem].[All]" dimensionUniqueName="[SalesLY]" displayFolder="" count="0" unbalanced="0" hidden="1"/>
    <cacheHierarchy uniqueName="[SalesLY].[SalesInvoiceNumber]" caption="SalesInvoiceNumber" attribute="1" defaultMemberUniqueName="[SalesLY].[SalesInvoiceNumber].[All]" allUniqueName="[SalesLY].[SalesInvoiceNumber].[All]" dimensionUniqueName="[SalesLY]" displayFolder="" count="0" unbalanced="0" hidden="1"/>
    <cacheHierarchy uniqueName="[SalesLY].[SalesSeasonID]" caption="SalesSeasonID" attribute="1" defaultMemberUniqueName="[SalesLY].[SalesSeasonID].[All]" allUniqueName="[SalesLY].[SalesSeasonID].[All]" dimensionUniqueName="[SalesLY]" displayFolder="" count="0" unbalanced="0" hidden="1"/>
    <cacheHierarchy uniqueName="[SalesLY].[SalesType]" caption="SalesType" attribute="1" defaultMemberUniqueName="[SalesLY].[SalesType].[All]" allUniqueName="[SalesLY].[SalesType].[All]" dimensionUniqueName="[SalesLY]" displayFolder="" count="0" unbalanced="0" hidden="1"/>
    <cacheHierarchy uniqueName="[SalesLY].[SalesUOM]" caption="SalesUOM" attribute="1" defaultMemberUniqueName="[SalesLY].[SalesUOM].[All]" allUniqueName="[SalesLY].[SalesUOM].[All]" dimensionUniqueName="[SalesLY]" displayFolder="" count="0" unbalanced="0" hidden="1"/>
    <cacheHierarchy uniqueName="[SalesLY].[SubDistChannelKey]" caption="SubDistChannelKey" attribute="1" defaultMemberUniqueName="[SalesLY].[SubDistChannelKey].[All]" allUniqueName="[SalesLY].[SubDistChannelKey].[All]" dimensionUniqueName="[SalesLY]" displayFolder="" count="0" unbalanced="0" hidden="1"/>
    <cacheHierarchy uniqueName="[SalesLY].[TYDate]" caption="TYDate" attribute="1" defaultMemberUniqueName="[SalesLY].[TYDate].[All]" allUniqueName="[SalesLY].[TYDate].[All]" dimensionUniqueName="[SalesLY]" displayFolder="" count="0" unbalanced="0" hidden="1"/>
    <cacheHierarchy uniqueName="[SalesTY].[CurrentSalesPriceID]" caption="CurrentSalesPriceID" attribute="1" defaultMemberUniqueName="[SalesTY].[CurrentSalesPriceID].[All]" allUniqueName="[SalesTY].[CurrentSalesPriceID].[All]" dimensionUniqueName="[SalesTY]" displayFolder="" count="0" unbalanced="0" hidden="1"/>
    <cacheHierarchy uniqueName="[SalesTY].[CustomerCode]" caption="CustomerCode" attribute="1" defaultMemberUniqueName="[SalesTY].[CustomerCode].[All]" allUniqueName="[SalesTY].[CustomerCode].[All]" dimensionUniqueName="[SalesTY]" displayFolder="" count="0" unbalanced="0" hidden="1"/>
    <cacheHierarchy uniqueName="[SalesTY].[InitialSalesPriceID]" caption="InitialSalesPriceID" attribute="1" defaultMemberUniqueName="[SalesTY].[InitialSalesPriceID].[All]" allUniqueName="[SalesTY].[InitialSalesPriceID].[All]" dimensionUniqueName="[SalesTY]" displayFolder="" count="0" unbalanced="0" hidden="1"/>
    <cacheHierarchy uniqueName="[SalesTY].[LFLFactor]" caption="LFLFactor" attribute="1" defaultMemberUniqueName="[SalesTY].[LFLFactor].[All]" allUniqueName="[SalesTY].[LFLFactor].[All]" dimensionUniqueName="[SalesTY]" displayFolder="" count="0" unbalanced="0" hidden="1"/>
    <cacheHierarchy uniqueName="[SalesTY].[LocationKey]" caption="LocationKey" attribute="1" defaultMemberUniqueName="[SalesTY].[LocationKey].[All]" allUniqueName="[SalesTY].[LocationKey].[All]" dimensionUniqueName="[SalesTY]" displayFolder="" count="0" unbalanced="0" hidden="1"/>
    <cacheHierarchy uniqueName="[SalesTY].[MaterialKey]" caption="MaterialKey" attribute="1" defaultMemberUniqueName="[SalesTY].[MaterialKey].[All]" allUniqueName="[SalesTY].[MaterialKey].[All]" dimensionUniqueName="[SalesTY]" displayFolder="" count="0" unbalanced="0" hidden="1"/>
    <cacheHierarchy uniqueName="[SalesTY].[OutletID]" caption="OutletID" attribute="1" defaultMemberUniqueName="[SalesTY].[OutletID].[All]" allUniqueName="[SalesTY].[OutletID].[All]" dimensionUniqueName="[SalesTY]" displayFolder="" count="0" unbalanced="0" hidden="1"/>
    <cacheHierarchy uniqueName="[SalesTY].[SalesChannelKey]" caption="SalesChannelKey" attribute="1" defaultMemberUniqueName="[SalesTY].[SalesChannelKey].[All]" allUniqueName="[SalesTY].[SalesChannelKey].[All]" dimensionUniqueName="[SalesTY]" displayFolder="" count="0" unbalanced="0" hidden="1"/>
    <cacheHierarchy uniqueName="[SalesTY].[SalesDate]" caption="SalesDate" attribute="1" defaultMemberUniqueName="[SalesTY].[SalesDate].[All]" allUniqueName="[SalesTY].[SalesDate].[All]" dimensionUniqueName="[SalesTY]" displayFolder="" count="0" unbalanced="0" hidden="1"/>
    <cacheHierarchy uniqueName="[SalesTY].[SalesHour]" caption="SalesHour" attribute="1" defaultMemberUniqueName="[SalesTY].[SalesHour].[All]" allUniqueName="[SalesTY].[SalesHour].[All]" dimensionUniqueName="[SalesTY]" displayFolder="" count="0" unbalanced="0" hidden="1"/>
    <cacheHierarchy uniqueName="[SalesTY].[SalesInvoiceItem]" caption="SalesInvoiceItem" attribute="1" defaultMemberUniqueName="[SalesTY].[SalesInvoiceItem].[All]" allUniqueName="[SalesTY].[SalesInvoiceItem].[All]" dimensionUniqueName="[SalesTY]" displayFolder="" count="0" unbalanced="0" hidden="1"/>
    <cacheHierarchy uniqueName="[SalesTY].[SalesInvoiceNumber]" caption="SalesInvoiceNumber" attribute="1" defaultMemberUniqueName="[SalesTY].[SalesInvoiceNumber].[All]" allUniqueName="[SalesTY].[SalesInvoiceNumber].[All]" dimensionUniqueName="[SalesTY]" displayFolder="" count="0" unbalanced="0" hidden="1"/>
    <cacheHierarchy uniqueName="[SalesTY].[SalesSeasonID]" caption="SalesSeasonID" attribute="1" defaultMemberUniqueName="[SalesTY].[SalesSeasonID].[All]" allUniqueName="[SalesTY].[SalesSeasonID].[All]" dimensionUniqueName="[SalesTY]" displayFolder="" count="0" unbalanced="0" hidden="1"/>
    <cacheHierarchy uniqueName="[SalesTY].[SalesType]" caption="SalesType" attribute="1" defaultMemberUniqueName="[SalesTY].[SalesType].[All]" allUniqueName="[SalesTY].[SalesType].[All]" dimensionUniqueName="[SalesTY]" displayFolder="" count="0" unbalanced="0" hidden="1"/>
    <cacheHierarchy uniqueName="[SalesTY].[SalesUOM]" caption="SalesUOM" attribute="1" defaultMemberUniqueName="[SalesTY].[SalesUOM].[All]" allUniqueName="[SalesTY].[SalesUOM].[All]" dimensionUniqueName="[SalesTY]" displayFolder="" count="0" unbalanced="0" hidden="1"/>
    <cacheHierarchy uniqueName="[SalesTY].[SubDistChannelKey]" caption="SubDistChannelKey" attribute="1" defaultMemberUniqueName="[SalesTY].[SubDistChannelKey].[All]" allUniqueName="[SalesTY].[SubDistChannelKey].[All]" dimensionUniqueName="[SalesTY]" displayFolder="" count="0" unbalanced="0" hidden="1"/>
    <cacheHierarchy uniqueName="[SalesTY].[TYSalesCostLC]" caption="TYSalesCostLC" attribute="1" defaultMemberUniqueName="[SalesTY].[TYSalesCostLC].[All]" allUniqueName="[SalesTY].[TYSalesCostLC].[All]" dimensionUniqueName="[SalesTY]" displayFolder="" count="0" unbalanced="0" hidden="1"/>
    <cacheHierarchy uniqueName="[SalesTY].[TYSalesCostLC_Orj]" caption="TYSalesCostLC_Orj" attribute="1" defaultMemberUniqueName="[SalesTY].[TYSalesCostLC_Orj].[All]" allUniqueName="[SalesTY].[TYSalesCostLC_Orj].[All]" dimensionUniqueName="[SalesTY]" displayFolder="" count="0" unbalanced="0" hidden="1"/>
    <cacheHierarchy uniqueName="[SalesTY].[TYSalesCostTRY]" caption="TYSalesCostTRY" attribute="1" defaultMemberUniqueName="[SalesTY].[TYSalesCostTRY].[All]" allUniqueName="[SalesTY].[TYSalesCostTRY].[All]" dimensionUniqueName="[SalesTY]" displayFolder="" count="0" unbalanced="0" hidden="1"/>
    <cacheHierarchy uniqueName="[SalesTY].[TYSalesCostUSD]" caption="TYSalesCostUSD" attribute="1" defaultMemberUniqueName="[SalesTY].[TYSalesCostUSD].[All]" allUniqueName="[SalesTY].[TYSalesCostUSD].[All]" dimensionUniqueName="[SalesTY]" displayFolder="" count="0" unbalanced="0" hidden="1"/>
    <cacheHierarchy uniqueName="[SalesTY].[TYSalesCostVATLC]" caption="TYSalesCostVATLC" attribute="1" defaultMemberUniqueName="[SalesTY].[TYSalesCostVATLC].[All]" allUniqueName="[SalesTY].[TYSalesCostVATLC].[All]" dimensionUniqueName="[SalesTY]" displayFolder="" count="0" unbalanced="0" hidden="1"/>
    <cacheHierarchy uniqueName="[SalesTY].[TYSalesCostVATTRY]" caption="TYSalesCostVATTRY" attribute="1" defaultMemberUniqueName="[SalesTY].[TYSalesCostVATTRY].[All]" allUniqueName="[SalesTY].[TYSalesCostVATTRY].[All]" dimensionUniqueName="[SalesTY]" displayFolder="" count="0" unbalanced="0" hidden="1"/>
    <cacheHierarchy uniqueName="[SalesTY].[TYSalesCostVATUSD]" caption="TYSalesCostVATUSD" attribute="1" defaultMemberUniqueName="[SalesTY].[TYSalesCostVATUSD].[All]" allUniqueName="[SalesTY].[TYSalesCostVATUSD].[All]" dimensionUniqueName="[SalesTY]" displayFolder="" count="0" unbalanced="0" hidden="1"/>
    <cacheHierarchy uniqueName="[SalesTY].[TYSalesDiscountValueLC]" caption="TYSalesDiscountValueLC" attribute="1" defaultMemberUniqueName="[SalesTY].[TYSalesDiscountValueLC].[All]" allUniqueName="[SalesTY].[TYSalesDiscountValueLC].[All]" dimensionUniqueName="[SalesTY]" displayFolder="" count="0" unbalanced="0" hidden="1"/>
    <cacheHierarchy uniqueName="[SalesTY].[TYSalesDiscountValueTRY]" caption="TYSalesDiscountValueTRY" attribute="1" defaultMemberUniqueName="[SalesTY].[TYSalesDiscountValueTRY].[All]" allUniqueName="[SalesTY].[TYSalesDiscountValueTRY].[All]" dimensionUniqueName="[SalesTY]" displayFolder="" count="0" unbalanced="0" hidden="1"/>
    <cacheHierarchy uniqueName="[SalesTY].[TYSalesDiscountValueUSD]" caption="TYSalesDiscountValueUSD" attribute="1" defaultMemberUniqueName="[SalesTY].[TYSalesDiscountValueUSD].[All]" allUniqueName="[SalesTY].[TYSalesDiscountValueUSD].[All]" dimensionUniqueName="[SalesTY]" displayFolder="" count="0" unbalanced="0" hidden="1"/>
    <cacheHierarchy uniqueName="[SalesTY].[TYSalesDiscountValueVATLC]" caption="TYSalesDiscountValueVATLC" attribute="1" defaultMemberUniqueName="[SalesTY].[TYSalesDiscountValueVATLC].[All]" allUniqueName="[SalesTY].[TYSalesDiscountValueVATLC].[All]" dimensionUniqueName="[SalesTY]" displayFolder="" count="0" unbalanced="0" hidden="1"/>
    <cacheHierarchy uniqueName="[SalesTY].[TYSalesDiscountValueVATTRY]" caption="TYSalesDiscountValueVATTRY" attribute="1" defaultMemberUniqueName="[SalesTY].[TYSalesDiscountValueVATTRY].[All]" allUniqueName="[SalesTY].[TYSalesDiscountValueVATTRY].[All]" dimensionUniqueName="[SalesTY]" displayFolder="" count="0" unbalanced="0" hidden="1"/>
    <cacheHierarchy uniqueName="[SalesTY].[TYSalesDiscountValueVATUSD]" caption="TYSalesDiscountValueVATUSD" attribute="1" defaultMemberUniqueName="[SalesTY].[TYSalesDiscountValueVATUSD].[All]" allUniqueName="[SalesTY].[TYSalesDiscountValueVATUSD].[All]" dimensionUniqueName="[SalesTY]" displayFolder="" count="0" unbalanced="0" hidden="1"/>
    <cacheHierarchy uniqueName="[SalesTY].[TYSalesGrossProfitLC]" caption="TYSalesGrossProfitLC" attribute="1" defaultMemberUniqueName="[SalesTY].[TYSalesGrossProfitLC].[All]" allUniqueName="[SalesTY].[TYSalesGrossProfitLC].[All]" dimensionUniqueName="[SalesTY]" displayFolder="" count="0" unbalanced="0" hidden="1"/>
    <cacheHierarchy uniqueName="[SalesTY].[TYSalesGrossProfitTRY]" caption="TYSalesGrossProfitTRY" attribute="1" defaultMemberUniqueName="[SalesTY].[TYSalesGrossProfitTRY].[All]" allUniqueName="[SalesTY].[TYSalesGrossProfitTRY].[All]" dimensionUniqueName="[SalesTY]" displayFolder="" count="0" unbalanced="0" hidden="1"/>
    <cacheHierarchy uniqueName="[SalesTY].[TYSalesGrossProfitUSD]" caption="TYSalesGrossProfitUSD" attribute="1" defaultMemberUniqueName="[SalesTY].[TYSalesGrossProfitUSD].[All]" allUniqueName="[SalesTY].[TYSalesGrossProfitUSD].[All]" dimensionUniqueName="[SalesTY]" displayFolder="" count="0" unbalanced="0" hidden="1"/>
    <cacheHierarchy uniqueName="[SalesTY].[TYSalesGrossProfitVATLC]" caption="TYSalesGrossProfitVATLC" attribute="1" defaultMemberUniqueName="[SalesTY].[TYSalesGrossProfitVATLC].[All]" allUniqueName="[SalesTY].[TYSalesGrossProfitVATLC].[All]" dimensionUniqueName="[SalesTY]" displayFolder="" count="0" unbalanced="0" hidden="1"/>
    <cacheHierarchy uniqueName="[SalesTY].[TYSalesGrossProfitVATTRY]" caption="TYSalesGrossProfitVATTRY" attribute="1" defaultMemberUniqueName="[SalesTY].[TYSalesGrossProfitVATTRY].[All]" allUniqueName="[SalesTY].[TYSalesGrossProfitVATTRY].[All]" dimensionUniqueName="[SalesTY]" displayFolder="" count="0" unbalanced="0" hidden="1"/>
    <cacheHierarchy uniqueName="[SalesTY].[TYSalesGrossProfitVATUSD]" caption="TYSalesGrossProfitVATUSD" attribute="1" defaultMemberUniqueName="[SalesTY].[TYSalesGrossProfitVATUSD].[All]" allUniqueName="[SalesTY].[TYSalesGrossProfitVATUSD].[All]" dimensionUniqueName="[SalesTY]" displayFolder="" count="0" unbalanced="0" hidden="1"/>
    <cacheHierarchy uniqueName="[SalesTY].[TYSalesUnit]" caption="TYSalesUnit" attribute="1" defaultMemberUniqueName="[SalesTY].[TYSalesUnit].[All]" allUniqueName="[SalesTY].[TYSalesUnit].[All]" dimensionUniqueName="[SalesTY]" displayFolder="" count="0" unbalanced="0" hidden="1"/>
    <cacheHierarchy uniqueName="[SalesTY].[TYSalesValueCSPLC]" caption="TYSalesValueCSPLC" attribute="1" defaultMemberUniqueName="[SalesTY].[TYSalesValueCSPLC].[All]" allUniqueName="[SalesTY].[TYSalesValueCSPLC].[All]" dimensionUniqueName="[SalesTY]" displayFolder="" count="0" unbalanced="0" hidden="1"/>
    <cacheHierarchy uniqueName="[SalesTY].[TYSalesValueCSPTRY]" caption="TYSalesValueCSPTRY" attribute="1" defaultMemberUniqueName="[SalesTY].[TYSalesValueCSPTRY].[All]" allUniqueName="[SalesTY].[TYSalesValueCSPTRY].[All]" dimensionUniqueName="[SalesTY]" displayFolder="" count="0" unbalanced="0" hidden="1"/>
    <cacheHierarchy uniqueName="[SalesTY].[TYSalesValueCSPUSD]" caption="TYSalesValueCSPUSD" attribute="1" defaultMemberUniqueName="[SalesTY].[TYSalesValueCSPUSD].[All]" allUniqueName="[SalesTY].[TYSalesValueCSPUSD].[All]" dimensionUniqueName="[SalesTY]" displayFolder="" count="0" unbalanced="0" hidden="1"/>
    <cacheHierarchy uniqueName="[SalesTY].[TYSalesValueISPLC]" caption="TYSalesValueISPLC" attribute="1" defaultMemberUniqueName="[SalesTY].[TYSalesValueISPLC].[All]" allUniqueName="[SalesTY].[TYSalesValueISPLC].[All]" dimensionUniqueName="[SalesTY]" displayFolder="" count="0" unbalanced="0" hidden="1"/>
    <cacheHierarchy uniqueName="[SalesTY].[TYSalesValueISPTRY]" caption="TYSalesValueISPTRY" attribute="1" defaultMemberUniqueName="[SalesTY].[TYSalesValueISPTRY].[All]" allUniqueName="[SalesTY].[TYSalesValueISPTRY].[All]" dimensionUniqueName="[SalesTY]" displayFolder="" count="0" unbalanced="0" hidden="1"/>
    <cacheHierarchy uniqueName="[SalesTY].[TYSalesValueISPUSD]" caption="TYSalesValueISPUSD" attribute="1" defaultMemberUniqueName="[SalesTY].[TYSalesValueISPUSD].[All]" allUniqueName="[SalesTY].[TYSalesValueISPUSD].[All]" dimensionUniqueName="[SalesTY]" displayFolder="" count="0" unbalanced="0" hidden="1"/>
    <cacheHierarchy uniqueName="[SalesTY].[TYSalesValueLC]" caption="TYSalesValueLC" attribute="1" defaultMemberUniqueName="[SalesTY].[TYSalesValueLC].[All]" allUniqueName="[SalesTY].[TYSalesValueLC].[All]" dimensionUniqueName="[SalesTY]" displayFolder="" count="0" unbalanced="0" hidden="1"/>
    <cacheHierarchy uniqueName="[SalesTY].[TYSalesValueTRY]" caption="TYSalesValueTRY" attribute="1" defaultMemberUniqueName="[SalesTY].[TYSalesValueTRY].[All]" allUniqueName="[SalesTY].[TYSalesValueTRY].[All]" dimensionUniqueName="[SalesTY]" displayFolder="" count="0" unbalanced="0" hidden="1"/>
    <cacheHierarchy uniqueName="[SalesTY].[TYSalesValueUSD]" caption="TYSalesValueUSD" attribute="1" defaultMemberUniqueName="[SalesTY].[TYSalesValueUSD].[All]" allUniqueName="[SalesTY].[TYSalesValueUSD].[All]" dimensionUniqueName="[SalesTY]" displayFolder="" count="0" unbalanced="0" hidden="1"/>
    <cacheHierarchy uniqueName="[SalesTY].[TYSalesValueVATCSPLC]" caption="TYSalesValueVATCSPLC" attribute="1" defaultMemberUniqueName="[SalesTY].[TYSalesValueVATCSPLC].[All]" allUniqueName="[SalesTY].[TYSalesValueVATCSPLC].[All]" dimensionUniqueName="[SalesTY]" displayFolder="" count="0" unbalanced="0" hidden="1"/>
    <cacheHierarchy uniqueName="[SalesTY].[TYSalesValueVATCSPTRY]" caption="TYSalesValueVATCSPTRY" attribute="1" defaultMemberUniqueName="[SalesTY].[TYSalesValueVATCSPTRY].[All]" allUniqueName="[SalesTY].[TYSalesValueVATCSPTRY].[All]" dimensionUniqueName="[SalesTY]" displayFolder="" count="0" unbalanced="0" hidden="1"/>
    <cacheHierarchy uniqueName="[SalesTY].[TYSalesValueVATCSPUSD]" caption="TYSalesValueVATCSPUSD" attribute="1" defaultMemberUniqueName="[SalesTY].[TYSalesValueVATCSPUSD].[All]" allUniqueName="[SalesTY].[TYSalesValueVATCSPUSD].[All]" dimensionUniqueName="[SalesTY]" displayFolder="" count="0" unbalanced="0" hidden="1"/>
    <cacheHierarchy uniqueName="[SalesTY].[TYSalesValueVATISPLC]" caption="TYSalesValueVATISPLC" attribute="1" defaultMemberUniqueName="[SalesTY].[TYSalesValueVATISPLC].[All]" allUniqueName="[SalesTY].[TYSalesValueVATISPLC].[All]" dimensionUniqueName="[SalesTY]" displayFolder="" count="0" unbalanced="0" hidden="1"/>
    <cacheHierarchy uniqueName="[SalesTY].[TYSalesValueVATISPTRY]" caption="TYSalesValueVATISPTRY" attribute="1" defaultMemberUniqueName="[SalesTY].[TYSalesValueVATISPTRY].[All]" allUniqueName="[SalesTY].[TYSalesValueVATISPTRY].[All]" dimensionUniqueName="[SalesTY]" displayFolder="" count="0" unbalanced="0" hidden="1"/>
    <cacheHierarchy uniqueName="[SalesTY].[TYSalesValueVATISPUSD]" caption="TYSalesValueVATISPUSD" attribute="1" defaultMemberUniqueName="[SalesTY].[TYSalesValueVATISPUSD].[All]" allUniqueName="[SalesTY].[TYSalesValueVATISPUSD].[All]" dimensionUniqueName="[SalesTY]" displayFolder="" count="0" unbalanced="0" hidden="1"/>
    <cacheHierarchy uniqueName="[SalesTY].[TYSalesValueVATLC]" caption="TYSalesValueVATLC" attribute="1" defaultMemberUniqueName="[SalesTY].[TYSalesValueVATLC].[All]" allUniqueName="[SalesTY].[TYSalesValueVATLC].[All]" dimensionUniqueName="[SalesTY]" displayFolder="" count="0" unbalanced="0" hidden="1"/>
    <cacheHierarchy uniqueName="[SalesTY].[TYSalesValueVATTRY]" caption="TYSalesValueVATTRY" attribute="1" defaultMemberUniqueName="[SalesTY].[TYSalesValueVATTRY].[All]" allUniqueName="[SalesTY].[TYSalesValueVATTRY].[All]" dimensionUniqueName="[SalesTY]" displayFolder="" count="0" unbalanced="0" hidden="1"/>
    <cacheHierarchy uniqueName="[SalesTY].[TYSalesValueVATUSD]" caption="TYSalesValueVATUSD" attribute="1" defaultMemberUniqueName="[SalesTY].[TYSalesValueVATUSD].[All]" allUniqueName="[SalesTY].[TYSalesValueVATUSD].[All]" dimensionUniqueName="[SalesTY]" displayFolder="" count="0" unbalanced="0" hidden="1"/>
    <cacheHierarchy uniqueName="[StockDC].[CompanyUnitCost]" caption="CompanyUnitCost" attribute="1" defaultMemberUniqueName="[StockDC].[CompanyUnitCost].[All]" allUniqueName="[StockDC].[CompanyUnitCost].[All]" dimensionUniqueName="[StockDC]" displayFolder="" count="0" unbalanced="0" hidden="1"/>
    <cacheHierarchy uniqueName="[StockDC].[EURExcRate]" caption="EURExcRate" attribute="1" defaultMemberUniqueName="[StockDC].[EURExcRate].[All]" allUniqueName="[StockDC].[EURExcRate].[All]" dimensionUniqueName="[StockDC]" displayFolder="" count="0" unbalanced="0" hidden="1"/>
    <cacheHierarchy uniqueName="[StockDC].[InitialSalesPriceID]" caption="InitialSalesPriceID" attribute="1" defaultMemberUniqueName="[StockDC].[InitialSalesPriceID].[All]" allUniqueName="[StockDC].[InitialSalesPriceID].[All]" dimensionUniqueName="[StockDC]" displayFolder="" count="0" unbalanced="0" hidden="1"/>
    <cacheHierarchy uniqueName="[StockDC].[LCExcRate]" caption="LCExcRate" attribute="1" defaultMemberUniqueName="[StockDC].[LCExcRate].[All]" allUniqueName="[StockDC].[LCExcRate].[All]" dimensionUniqueName="[StockDC]" displayFolder="" count="0" unbalanced="0" hidden="1"/>
    <cacheHierarchy uniqueName="[StockDC].[LFLFactor]" caption="LFLFactor" attribute="1" defaultMemberUniqueName="[StockDC].[LFLFactor].[All]" allUniqueName="[StockDC].[LFLFactor].[All]" dimensionUniqueName="[StockDC]" displayFolder="" count="0" unbalanced="0" hidden="1"/>
    <cacheHierarchy uniqueName="[StockDC].[MaterialKey]" caption="MaterialKey" attribute="1" defaultMemberUniqueName="[StockDC].[MaterialKey].[All]" allUniqueName="[StockDC].[MaterialKey].[All]" dimensionUniqueName="[StockDC]" displayFolder="" count="0" unbalanced="0" hidden="1"/>
    <cacheHierarchy uniqueName="[StockDC].[OutletID]" caption="OutletID" attribute="1" defaultMemberUniqueName="[StockDC].[OutletID].[All]" allUniqueName="[StockDC].[OutletID].[All]" dimensionUniqueName="[StockDC]" displayFolder="" count="0" unbalanced="0" hidden="1"/>
    <cacheHierarchy uniqueName="[StockDC].[SalesChannelKey]" caption="SalesChannelKey" attribute="1" defaultMemberUniqueName="[StockDC].[SalesChannelKey].[All]" allUniqueName="[StockDC].[SalesChannelKey].[All]" dimensionUniqueName="[StockDC]" displayFolder="" count="0" unbalanced="0" hidden="1"/>
    <cacheHierarchy uniqueName="[StockDC].[SalesSeasonID]" caption="SalesSeasonID" attribute="1" defaultMemberUniqueName="[StockDC].[SalesSeasonID].[All]" allUniqueName="[StockDC].[SalesSeasonID].[All]" dimensionUniqueName="[StockDC]" displayFolder="" count="0" unbalanced="0" hidden="1"/>
    <cacheHierarchy uniqueName="[StockDC].[StockDate]" caption="StockDate" attribute="1" defaultMemberUniqueName="[StockDC].[StockDate].[All]" allUniqueName="[StockDC].[StockDate].[All]" dimensionUniqueName="[StockDC]" displayFolder="" count="0" unbalanced="0" hidden="1"/>
    <cacheHierarchy uniqueName="[StockDC].[StockUnit]" caption="StockUnit" attribute="1" defaultMemberUniqueName="[StockDC].[StockUnit].[All]" allUniqueName="[StockDC].[StockUnit].[All]" dimensionUniqueName="[StockDC]" displayFolder="" count="0" unbalanced="0" hidden="1"/>
    <cacheHierarchy uniqueName="[StockDC].[SubLocationKey]" caption="SubLocationKey" attribute="1" defaultMemberUniqueName="[StockDC].[SubLocationKey].[All]" allUniqueName="[StockDC].[SubLocationKey].[All]" dimensionUniqueName="[StockDC]" displayFolder="" count="0" unbalanced="0" hidden="1"/>
    <cacheHierarchy uniqueName="[StockDC].[TransitStockUnit]" caption="TransitStockUnit" attribute="1" defaultMemberUniqueName="[StockDC].[TransitStockUnit].[All]" allUniqueName="[StockDC].[TransitStockUnit].[All]" dimensionUniqueName="[StockDC]" displayFolder="" count="0" unbalanced="0" hidden="1"/>
    <cacheHierarchy uniqueName="[StockDC].[TRYExcRate]" caption="TRYExcRate" attribute="1" defaultMemberUniqueName="[StockDC].[TRYExcRate].[All]" allUniqueName="[StockDC].[TRYExcRate].[All]" dimensionUniqueName="[StockDC]" displayFolder="" count="0" unbalanced="0" hidden="1"/>
    <cacheHierarchy uniqueName="[StockDC].[UnitCost]" caption="UnitCost" attribute="1" defaultMemberUniqueName="[StockDC].[UnitCost].[All]" allUniqueName="[StockDC].[UnitCost].[All]" dimensionUniqueName="[StockDC]" displayFolder="" count="0" unbalanced="0" hidden="1"/>
    <cacheHierarchy uniqueName="[StockDC].[USDExcRate]" caption="USDExcRate" attribute="1" defaultMemberUniqueName="[StockDC].[USDExcRate].[All]" allUniqueName="[StockDC].[USDExcRate].[All]" dimensionUniqueName="[StockDC]" displayFolder="" count="0" unbalanced="0" hidden="1"/>
    <cacheHierarchy uniqueName="[StockDCLY].[CompanyUnitCost]" caption="CompanyUnitCost" attribute="1" defaultMemberUniqueName="[StockDCLY].[CompanyUnitCost].[All]" allUniqueName="[StockDCLY].[CompanyUnitCost].[All]" dimensionUniqueName="[StockDCLY]" displayFolder="" count="0" unbalanced="0" hidden="1"/>
    <cacheHierarchy uniqueName="[StockDCLY].[InitialSalesPriceID]" caption="InitialSalesPriceID" attribute="1" defaultMemberUniqueName="[StockDCLY].[InitialSalesPriceID].[All]" allUniqueName="[StockDCLY].[InitialSalesPriceID].[All]" dimensionUniqueName="[StockDCLY]" displayFolder="" count="0" unbalanced="0" hidden="1"/>
    <cacheHierarchy uniqueName="[StockDCLY].[MaterialKey]" caption="MaterialKey" attribute="1" defaultMemberUniqueName="[StockDCLY].[MaterialKey].[All]" allUniqueName="[StockDCLY].[MaterialKey].[All]" dimensionUniqueName="[StockDCLY]" displayFolder="" count="0" unbalanced="0" hidden="1"/>
    <cacheHierarchy uniqueName="[StockDCLY].[OutletID]" caption="OutletID" attribute="1" defaultMemberUniqueName="[StockDCLY].[OutletID].[All]" allUniqueName="[StockDCLY].[OutletID].[All]" dimensionUniqueName="[StockDCLY]" displayFolder="" count="0" unbalanced="0" hidden="1"/>
    <cacheHierarchy uniqueName="[StockDCLY].[SalesChannelKey]" caption="SalesChannelKey" attribute="1" defaultMemberUniqueName="[StockDCLY].[SalesChannelKey].[All]" allUniqueName="[StockDCLY].[SalesChannelKey].[All]" dimensionUniqueName="[StockDCLY]" displayFolder="" count="0" unbalanced="0" hidden="1"/>
    <cacheHierarchy uniqueName="[StockDCLY].[SalesSeasonID]" caption="SalesSeasonID" attribute="1" defaultMemberUniqueName="[StockDCLY].[SalesSeasonID].[All]" allUniqueName="[StockDCLY].[SalesSeasonID].[All]" dimensionUniqueName="[StockDCLY]" displayFolder="" count="0" unbalanced="0" hidden="1"/>
    <cacheHierarchy uniqueName="[StockDCLY].[StockUnit]" caption="StockUnit" attribute="1" defaultMemberUniqueName="[StockDCLY].[StockUnit].[All]" allUniqueName="[StockDCLY].[StockUnit].[All]" dimensionUniqueName="[StockDCLY]" displayFolder="" count="0" unbalanced="0" hidden="1"/>
    <cacheHierarchy uniqueName="[StockDCLY].[SubLocationKey]" caption="SubLocationKey" attribute="1" defaultMemberUniqueName="[StockDCLY].[SubLocationKey].[All]" allUniqueName="[StockDCLY].[SubLocationKey].[All]" dimensionUniqueName="[StockDCLY]" displayFolder="" count="0" unbalanced="0" hidden="1"/>
    <cacheHierarchy uniqueName="[StockDCLY].[TRYExcRate]" caption="TRYExcRate" attribute="1" defaultMemberUniqueName="[StockDCLY].[TRYExcRate].[All]" allUniqueName="[StockDCLY].[TRYExcRate].[All]" dimensionUniqueName="[StockDCLY]" displayFolder="" count="0" unbalanced="0" hidden="1"/>
    <cacheHierarchy uniqueName="[StockDCLY].[TYDate]" caption="TYDate" attribute="1" defaultMemberUniqueName="[StockDCLY].[TYDate].[All]" allUniqueName="[StockDCLY].[TYDate].[All]" dimensionUniqueName="[StockDCLY]" displayFolder="" count="0" unbalanced="0" hidden="1"/>
    <cacheHierarchy uniqueName="[StockDCLY].[UnitCost]" caption="UnitCost" attribute="1" defaultMemberUniqueName="[StockDCLY].[UnitCost].[All]" allUniqueName="[StockDCLY].[UnitCost].[All]" dimensionUniqueName="[StockDCLY]" displayFolder="" count="0" unbalanced="0" hidden="1"/>
    <cacheHierarchy uniqueName="[StockDCLY].[USDExcRate]" caption="USDExcRate" attribute="1" defaultMemberUniqueName="[StockDCLY].[USDExcRate].[All]" allUniqueName="[StockDCLY].[USDExcRate].[All]" dimensionUniqueName="[StockDCLY]" displayFolder="" count="0" unbalanced="0" hidden="1"/>
    <cacheHierarchy uniqueName="[StockStore].[CompanyUnitCost]" caption="CompanyUnitCost" attribute="1" defaultMemberUniqueName="[StockStore].[CompanyUnitCost].[All]" allUniqueName="[StockStore].[CompanyUnitCost].[All]" dimensionUniqueName="[StockStore]" displayFolder="" count="0" unbalanced="0" hidden="1"/>
    <cacheHierarchy uniqueName="[StockStore].[EURExcRate]" caption="EURExcRate" attribute="1" defaultMemberUniqueName="[StockStore].[EURExcRate].[All]" allUniqueName="[StockStore].[EURExcRate].[All]" dimensionUniqueName="[StockStore]" displayFolder="" count="0" unbalanced="0" hidden="1"/>
    <cacheHierarchy uniqueName="[StockStore].[InitialSalesPriceID]" caption="InitialSalesPriceID" attribute="1" defaultMemberUniqueName="[StockStore].[InitialSalesPriceID].[All]" allUniqueName="[StockStore].[InitialSalesPriceID].[All]" dimensionUniqueName="[StockStore]" displayFolder="" count="0" unbalanced="0" hidden="1"/>
    <cacheHierarchy uniqueName="[StockStore].[LCExcRate]" caption="LCExcRate" attribute="1" defaultMemberUniqueName="[StockStore].[LCExcRate].[All]" allUniqueName="[StockStore].[LCExcRate].[All]" dimensionUniqueName="[StockStore]" displayFolder="" count="0" unbalanced="0" hidden="1"/>
    <cacheHierarchy uniqueName="[StockStore].[LFLFactor]" caption="LFLFactor" attribute="1" defaultMemberUniqueName="[StockStore].[LFLFactor].[All]" allUniqueName="[StockStore].[LFLFactor].[All]" dimensionUniqueName="[StockStore]" displayFolder="" count="0" unbalanced="0" hidden="1"/>
    <cacheHierarchy uniqueName="[StockStore].[LocationKey]" caption="LocationKey" attribute="1" defaultMemberUniqueName="[StockStore].[LocationKey].[All]" allUniqueName="[StockStore].[LocationKey].[All]" dimensionUniqueName="[StockStore]" displayFolder="" count="0" unbalanced="0" hidden="1"/>
    <cacheHierarchy uniqueName="[StockStore].[MaterialKey]" caption="MaterialKey" attribute="1" defaultMemberUniqueName="[StockStore].[MaterialKey].[All]" allUniqueName="[StockStore].[MaterialKey].[All]" dimensionUniqueName="[StockStore]" displayFolder="" count="0" unbalanced="0" hidden="1"/>
    <cacheHierarchy uniqueName="[StockStore].[OtherStockUnit]" caption="OtherStockUnit" attribute="1" defaultMemberUniqueName="[StockStore].[OtherStockUnit].[All]" allUniqueName="[StockStore].[OtherStockUnit].[All]" dimensionUniqueName="[StockStore]" displayFolder="" count="0" unbalanced="0" hidden="1"/>
    <cacheHierarchy uniqueName="[StockStore].[OutletID]" caption="OutletID" attribute="1" defaultMemberUniqueName="[StockStore].[OutletID].[All]" allUniqueName="[StockStore].[OutletID].[All]" dimensionUniqueName="[StockStore]" displayFolder="" count="0" unbalanced="0" hidden="1"/>
    <cacheHierarchy uniqueName="[StockStore].[SalesChannelKey]" caption="SalesChannelKey" attribute="1" defaultMemberUniqueName="[StockStore].[SalesChannelKey].[All]" allUniqueName="[StockStore].[SalesChannelKey].[All]" dimensionUniqueName="[StockStore]" displayFolder="" count="0" unbalanced="0" hidden="1"/>
    <cacheHierarchy uniqueName="[StockStore].[SalesSeasonID]" caption="SalesSeasonID" attribute="1" defaultMemberUniqueName="[StockStore].[SalesSeasonID].[All]" allUniqueName="[StockStore].[SalesSeasonID].[All]" dimensionUniqueName="[StockStore]" displayFolder="" count="0" unbalanced="0" hidden="1"/>
    <cacheHierarchy uniqueName="[StockStore].[StockDate]" caption="StockDate" attribute="1" defaultMemberUniqueName="[StockStore].[StockDate].[All]" allUniqueName="[StockStore].[StockDate].[All]" dimensionUniqueName="[StockStore]" displayFolder="" count="0" unbalanced="0" hidden="1"/>
    <cacheHierarchy uniqueName="[StockStore].[StockUnit]" caption="StockUnit" attribute="1" defaultMemberUniqueName="[StockStore].[StockUnit].[All]" allUniqueName="[StockStore].[StockUnit].[All]" dimensionUniqueName="[StockStore]" displayFolder="" count="0" unbalanced="0" hidden="1"/>
    <cacheHierarchy uniqueName="[StockStore].[TransitStockUnit]" caption="TransitStockUnit" attribute="1" defaultMemberUniqueName="[StockStore].[TransitStockUnit].[All]" allUniqueName="[StockStore].[TransitStockUnit].[All]" dimensionUniqueName="[StockStore]" displayFolder="" count="0" unbalanced="0" hidden="1"/>
    <cacheHierarchy uniqueName="[StockStore].[TRYExcRate]" caption="TRYExcRate" attribute="1" defaultMemberUniqueName="[StockStore].[TRYExcRate].[All]" allUniqueName="[StockStore].[TRYExcRate].[All]" dimensionUniqueName="[StockStore]" displayFolder="" count="0" unbalanced="0" hidden="1"/>
    <cacheHierarchy uniqueName="[StockStore].[UnitCost]" caption="UnitCost" attribute="1" defaultMemberUniqueName="[StockStore].[UnitCost].[All]" allUniqueName="[StockStore].[UnitCost].[All]" dimensionUniqueName="[StockStore]" displayFolder="" count="0" unbalanced="0" hidden="1"/>
    <cacheHierarchy uniqueName="[StockStore].[USDExcRate]" caption="USDExcRate" attribute="1" defaultMemberUniqueName="[StockStore].[USDExcRate].[All]" allUniqueName="[StockStore].[USDExcRate].[All]" dimensionUniqueName="[StockStore]" displayFolder="" count="0" unbalanced="0" hidden="1"/>
    <cacheHierarchy uniqueName="[StockStoreLY].[CompanyUnitCost]" caption="CompanyUnitCost" attribute="1" defaultMemberUniqueName="[StockStoreLY].[CompanyUnitCost].[All]" allUniqueName="[StockStoreLY].[CompanyUnitCost].[All]" dimensionUniqueName="[StockStoreLY]" displayFolder="" count="0" unbalanced="0" hidden="1"/>
    <cacheHierarchy uniqueName="[StockStoreLY].[InitialSalesPriceID]" caption="InitialSalesPriceID" attribute="1" defaultMemberUniqueName="[StockStoreLY].[InitialSalesPriceID].[All]" allUniqueName="[StockStoreLY].[InitialSalesPriceID].[All]" dimensionUniqueName="[StockStoreLY]" displayFolder="" count="0" unbalanced="0" hidden="1"/>
    <cacheHierarchy uniqueName="[StockStoreLY].[LFLFactor]" caption="LFLFactor" attribute="1" defaultMemberUniqueName="[StockStoreLY].[LFLFactor].[All]" allUniqueName="[StockStoreLY].[LFLFactor].[All]" dimensionUniqueName="[StockStoreLY]" displayFolder="" count="0" unbalanced="0" hidden="1"/>
    <cacheHierarchy uniqueName="[StockStoreLY].[LocationKey]" caption="LocationKey" attribute="1" defaultMemberUniqueName="[StockStoreLY].[LocationKey].[All]" allUniqueName="[StockStoreLY].[LocationKey].[All]" dimensionUniqueName="[StockStoreLY]" displayFolder="" count="0" unbalanced="0" hidden="1"/>
    <cacheHierarchy uniqueName="[StockStoreLY].[MaterialKey]" caption="MaterialKey" attribute="1" defaultMemberUniqueName="[StockStoreLY].[MaterialKey].[All]" allUniqueName="[StockStoreLY].[MaterialKey].[All]" dimensionUniqueName="[StockStoreLY]" displayFolder="" count="0" unbalanced="0" hidden="1"/>
    <cacheHierarchy uniqueName="[StockStoreLY].[OtherStockUnit]" caption="OtherStockUnit" attribute="1" defaultMemberUniqueName="[StockStoreLY].[OtherStockUnit].[All]" allUniqueName="[StockStoreLY].[OtherStockUnit].[All]" dimensionUniqueName="[StockStoreLY]" displayFolder="" count="0" unbalanced="0" hidden="1"/>
    <cacheHierarchy uniqueName="[StockStoreLY].[OutletID]" caption="OutletID" attribute="1" defaultMemberUniqueName="[StockStoreLY].[OutletID].[All]" allUniqueName="[StockStoreLY].[OutletID].[All]" dimensionUniqueName="[StockStoreLY]" displayFolder="" count="0" unbalanced="0" hidden="1"/>
    <cacheHierarchy uniqueName="[StockStoreLY].[SalesChannelKey]" caption="SalesChannelKey" attribute="1" defaultMemberUniqueName="[StockStoreLY].[SalesChannelKey].[All]" allUniqueName="[StockStoreLY].[SalesChannelKey].[All]" dimensionUniqueName="[StockStoreLY]" displayFolder="" count="0" unbalanced="0" hidden="1"/>
    <cacheHierarchy uniqueName="[StockStoreLY].[SalesSeasonID]" caption="SalesSeasonID" attribute="1" defaultMemberUniqueName="[StockStoreLY].[SalesSeasonID].[All]" allUniqueName="[StockStoreLY].[SalesSeasonID].[All]" dimensionUniqueName="[StockStoreLY]" displayFolder="" count="0" unbalanced="0" hidden="1"/>
    <cacheHierarchy uniqueName="[StockStoreLY].[StockUnit]" caption="StockUnit" attribute="1" defaultMemberUniqueName="[StockStoreLY].[StockUnit].[All]" allUniqueName="[StockStoreLY].[StockUnit].[All]" dimensionUniqueName="[StockStoreLY]" displayFolder="" count="0" unbalanced="0" hidden="1"/>
    <cacheHierarchy uniqueName="[StockStoreLY].[TransitStockUnit]" caption="TransitStockUnit" attribute="1" defaultMemberUniqueName="[StockStoreLY].[TransitStockUnit].[All]" allUniqueName="[StockStoreLY].[TransitStockUnit].[All]" dimensionUniqueName="[StockStoreLY]" displayFolder="" count="0" unbalanced="0" hidden="1"/>
    <cacheHierarchy uniqueName="[StockStoreLY].[TRYExcRate]" caption="TRYExcRate" attribute="1" defaultMemberUniqueName="[StockStoreLY].[TRYExcRate].[All]" allUniqueName="[StockStoreLY].[TRYExcRate].[All]" dimensionUniqueName="[StockStoreLY]" displayFolder="" count="0" unbalanced="0" hidden="1"/>
    <cacheHierarchy uniqueName="[StockStoreLY].[TYDate]" caption="TYDate" attribute="1" defaultMemberUniqueName="[StockStoreLY].[TYDate].[All]" allUniqueName="[StockStoreLY].[TYDate].[All]" dimensionUniqueName="[StockStoreLY]" displayFolder="" count="0" unbalanced="0" hidden="1"/>
    <cacheHierarchy uniqueName="[StockStoreLY].[UnitCost]" caption="UnitCost" attribute="1" defaultMemberUniqueName="[StockStoreLY].[UnitCost].[All]" allUniqueName="[StockStoreLY].[UnitCost].[All]" dimensionUniqueName="[StockStoreLY]" displayFolder="" count="0" unbalanced="0" hidden="1"/>
    <cacheHierarchy uniqueName="[StockStoreLY].[USDExcRate]" caption="USDExcRate" attribute="1" defaultMemberUniqueName="[StockStoreLY].[USDExcRate].[All]" allUniqueName="[StockStoreLY].[USDExcRate].[All]" dimensionUniqueName="[StockStoreLY]" displayFolder="" count="0" unbalanced="0" hidden="1"/>
    <cacheHierarchy uniqueName="[Store].[CapacityUnit]" caption="CapacityUnit" attribute="1" defaultMemberUniqueName="[Store].[CapacityUnit].[All]" allUniqueName="[Store].[CapacityUnit].[All]" dimensionUniqueName="[Store]" displayFolder="" count="0" unbalanced="0" hidden="1"/>
    <cacheHierarchy uniqueName="[Store].[StoreSalesChannelKey]" caption="StoreSalesChannelKey" attribute="1" defaultMemberUniqueName="[Store].[StoreSalesChannelKey].[All]" allUniqueName="[Store].[StoreSalesChannelKey].[All]" dimensionUniqueName="[Store]" displayFolder="" count="0" unbalanced="0" hidden="1"/>
    <cacheHierarchy uniqueName="[StoreCapacity].[BackStoreCapacityArea]" caption="BackStoreCapacityArea" attribute="1" defaultMemberUniqueName="[StoreCapacity].[BackStoreCapacityArea].[All]" allUniqueName="[StoreCapacity].[BackStoreCapacityArea].[All]" dimensionUniqueName="[StoreCapacity]" displayFolder="" count="0" unbalanced="0" hidden="1"/>
    <cacheHierarchy uniqueName="[StoreCapacity].[BackStoreCapacitydm3]" caption="BackStoreCapacitydm3" attribute="1" defaultMemberUniqueName="[StoreCapacity].[BackStoreCapacitydm3].[All]" allUniqueName="[StoreCapacity].[BackStoreCapacitydm3].[All]" dimensionUniqueName="[StoreCapacity]" displayFolder="" count="0" unbalanced="0" hidden="1"/>
    <cacheHierarchy uniqueName="[StoreCapacity].[BackStoreCapacityQuantity]" caption="BackStoreCapacityQuantity" attribute="1" defaultMemberUniqueName="[StoreCapacity].[BackStoreCapacityQuantity].[All]" allUniqueName="[StoreCapacity].[BackStoreCapacityQuantity].[All]" dimensionUniqueName="[StoreCapacity]" displayFolder="" count="0" unbalanced="0" hidden="1"/>
    <cacheHierarchy uniqueName="[StoreCapacity].[DWSourceKey]" caption="DWSourceKey" attribute="1" defaultMemberUniqueName="[StoreCapacity].[DWSourceKey].[All]" allUniqueName="[StoreCapacity].[DWSourceKey].[All]" dimensionUniqueName="[StoreCapacity]" displayFolder="" count="0" unbalanced="0" hidden="1"/>
    <cacheHierarchy uniqueName="[StoreCapacity].[ETLDate]" caption="ETLDate" attribute="1" defaultMemberUniqueName="[StoreCapacity].[ETLDate].[All]" allUniqueName="[StoreCapacity].[ETLDate].[All]" dimensionUniqueName="[StoreCapacity]" displayFolder="" count="0" unbalanced="0" hidden="1"/>
    <cacheHierarchy uniqueName="[StoreCapacity].[InitialSalesPriceID]" caption="InitialSalesPriceID" attribute="1" defaultMemberUniqueName="[StoreCapacity].[InitialSalesPriceID].[All]" allUniqueName="[StoreCapacity].[InitialSalesPriceID].[All]" dimensionUniqueName="[StoreCapacity]" displayFolder="" count="0" unbalanced="0" hidden="1"/>
    <cacheHierarchy uniqueName="[StoreCapacity].[LFLFactor]" caption="LFLFactor" attribute="1" defaultMemberUniqueName="[StoreCapacity].[LFLFactor].[All]" allUniqueName="[StoreCapacity].[LFLFactor].[All]" dimensionUniqueName="[StoreCapacity]" displayFolder="" count="0" unbalanced="0" hidden="1"/>
    <cacheHierarchy uniqueName="[StoreCapacity].[LocationKey]" caption="LocationKey" attribute="1" defaultMemberUniqueName="[StoreCapacity].[LocationKey].[All]" allUniqueName="[StoreCapacity].[LocationKey].[All]" dimensionUniqueName="[StoreCapacity]" displayFolder="" count="0" unbalanced="0" hidden="1"/>
    <cacheHierarchy uniqueName="[StoreCapacity].[MainGroupKey]" caption="MainGroupKey" attribute="1" defaultMemberUniqueName="[StoreCapacity].[MainGroupKey].[All]" allUniqueName="[StoreCapacity].[MainGroupKey].[All]" dimensionUniqueName="[StoreCapacity]" displayFolder="" count="0" unbalanced="0" hidden="1"/>
    <cacheHierarchy uniqueName="[StoreCapacity].[OutletID]" caption="OutletID" attribute="1" defaultMemberUniqueName="[StoreCapacity].[OutletID].[All]" allUniqueName="[StoreCapacity].[OutletID].[All]" dimensionUniqueName="[StoreCapacity]" displayFolder="" count="0" unbalanced="0" hidden="1"/>
    <cacheHierarchy uniqueName="[StoreCapacity].[SalesChannelKey]" caption="SalesChannelKey" attribute="1" defaultMemberUniqueName="[StoreCapacity].[SalesChannelKey].[All]" allUniqueName="[StoreCapacity].[SalesChannelKey].[All]" dimensionUniqueName="[StoreCapacity]" displayFolder="" count="0" unbalanced="0" hidden="1"/>
    <cacheHierarchy uniqueName="[StoreCapacity].[SalesSeasonID]" caption="SalesSeasonID" attribute="1" defaultMemberUniqueName="[StoreCapacity].[SalesSeasonID].[All]" allUniqueName="[StoreCapacity].[SalesSeasonID].[All]" dimensionUniqueName="[StoreCapacity]" displayFolder="" count="0" unbalanced="0" hidden="1"/>
    <cacheHierarchy uniqueName="[StoreCapacity].[StoreCapacitydm3]" caption="StoreCapacitydm3" attribute="1" defaultMemberUniqueName="[StoreCapacity].[StoreCapacitydm3].[All]" allUniqueName="[StoreCapacity].[StoreCapacitydm3].[All]" dimensionUniqueName="[StoreCapacity]" displayFolder="" count="0" unbalanced="0" hidden="1"/>
    <cacheHierarchy uniqueName="[StoreCapacity].[StoreCapacityQuantity]" caption="StoreCapacityQuantity" attribute="1" defaultMemberUniqueName="[StoreCapacity].[StoreCapacityQuantity].[All]" allUniqueName="[StoreCapacity].[StoreCapacityQuantity].[All]" dimensionUniqueName="[StoreCapacity]" displayFolder="" count="0" unbalanced="0" hidden="1"/>
    <cacheHierarchy uniqueName="[StoreCapacity].[StoreCode]" caption="StoreCode" attribute="1" defaultMemberUniqueName="[StoreCapacity].[StoreCode].[All]" allUniqueName="[StoreCapacity].[StoreCode].[All]" dimensionUniqueName="[StoreCapacity]" displayFolder="" count="0" unbalanced="0" hidden="1"/>
    <cacheHierarchy uniqueName="[StoreCapacity].[SubDistChannelKey]" caption="SubDistChannelKey" attribute="1" defaultMemberUniqueName="[StoreCapacity].[SubDistChannelKey].[All]" allUniqueName="[StoreCapacity].[SubDistChannelKey].[All]" dimensionUniqueName="[StoreCapacity]" displayFolder="" count="0" unbalanced="0" hidden="1"/>
    <cacheHierarchy uniqueName="[StoreLFLStatu].[EtlDate]" caption="EtlDate" attribute="1" defaultMemberUniqueName="[StoreLFLStatu].[EtlDate].[All]" allUniqueName="[StoreLFLStatu].[EtlDate].[All]" dimensionUniqueName="[StoreLFLStatu]" displayFolder="" count="0" unbalanced="0" hidden="1"/>
    <cacheHierarchy uniqueName="[StoreTarget].[Cancelled]" caption="Cancelled" attribute="1" defaultMemberUniqueName="[StoreTarget].[Cancelled].[All]" allUniqueName="[StoreTarget].[Cancelled].[All]" dimensionUniqueName="[StoreTarget]" displayFolder="" count="0" unbalanced="0" hidden="1"/>
    <cacheHierarchy uniqueName="[StoreTarget].[ChangeByUser]" caption="ChangeByUser" attribute="1" defaultMemberUniqueName="[StoreTarget].[ChangeByUser].[All]" allUniqueName="[StoreTarget].[ChangeByUser].[All]" dimensionUniqueName="[StoreTarget]" displayFolder="" count="0" unbalanced="0" hidden="1"/>
    <cacheHierarchy uniqueName="[StoreTarget].[ChangeDate]" caption="ChangeDate" attribute="1" defaultMemberUniqueName="[StoreTarget].[ChangeDate].[All]" allUniqueName="[StoreTarget].[ChangeDate].[All]" dimensionUniqueName="[StoreTarget]" displayFolder="" count="0" unbalanced="0" hidden="1"/>
    <cacheHierarchy uniqueName="[StoreTarget].[ChangeTime]" caption="ChangeTime" attribute="1" defaultMemberUniqueName="[StoreTarget].[ChangeTime].[All]" allUniqueName="[StoreTarget].[ChangeTime].[All]" dimensionUniqueName="[StoreTarget]" displayFolder="" count="0" unbalanced="0" hidden="1"/>
    <cacheHierarchy uniqueName="[StoreTarget].[CreatedByUser]" caption="CreatedByUser" attribute="1" defaultMemberUniqueName="[StoreTarget].[CreatedByUser].[All]" allUniqueName="[StoreTarget].[CreatedByUser].[All]" dimensionUniqueName="[StoreTarget]" displayFolder="" count="0" unbalanced="0" hidden="1"/>
    <cacheHierarchy uniqueName="[StoreTarget].[CreationDate]" caption="CreationDate" attribute="1" defaultMemberUniqueName="[StoreTarget].[CreationDate].[All]" allUniqueName="[StoreTarget].[CreationDate].[All]" dimensionUniqueName="[StoreTarget]" displayFolder="" count="0" unbalanced="0" hidden="1"/>
    <cacheHierarchy uniqueName="[StoreTarget].[CreationTime]" caption="CreationTime" attribute="1" defaultMemberUniqueName="[StoreTarget].[CreationTime].[All]" allUniqueName="[StoreTarget].[CreationTime].[All]" dimensionUniqueName="[StoreTarget]" displayFolder="" count="0" unbalanced="0" hidden="1"/>
    <cacheHierarchy uniqueName="[StoreTarget].[Currency]" caption="Currency" attribute="1" defaultMemberUniqueName="[StoreTarget].[Currency].[All]" allUniqueName="[StoreTarget].[Currency].[All]" dimensionUniqueName="[StoreTarget]" displayFolder="" count="0" unbalanced="0" hidden="1"/>
    <cacheHierarchy uniqueName="[StoreTarget].[DwSourceKey]" caption="DwSourceKey" attribute="1" defaultMemberUniqueName="[StoreTarget].[DwSourceKey].[All]" allUniqueName="[StoreTarget].[DwSourceKey].[All]" dimensionUniqueName="[StoreTarget]" displayFolder="" count="0" unbalanced="0" hidden="1"/>
    <cacheHierarchy uniqueName="[StoreTarget].[EtlDate]" caption="EtlDate" attribute="1" defaultMemberUniqueName="[StoreTarget].[EtlDate].[All]" allUniqueName="[StoreTarget].[EtlDate].[All]" dimensionUniqueName="[StoreTarget]" displayFolder="" count="0" unbalanced="0" hidden="1"/>
    <cacheHierarchy uniqueName="[StoreTarget].[LfLFactor]" caption="LfLFactor" attribute="1" defaultMemberUniqueName="[StoreTarget].[LfLFactor].[All]" allUniqueName="[StoreTarget].[LfLFactor].[All]" dimensionUniqueName="[StoreTarget]" displayFolder="" count="0" unbalanced="0" hidden="1"/>
    <cacheHierarchy uniqueName="[StoreTarget].[LocationCode]" caption="LocationCode" attribute="1" defaultMemberUniqueName="[StoreTarget].[LocationCode].[All]" allUniqueName="[StoreTarget].[LocationCode].[All]" dimensionUniqueName="[StoreTarget]" displayFolder="" count="0" unbalanced="0" hidden="1"/>
    <cacheHierarchy uniqueName="[StoreTarget].[LocationKey]" caption="LocationKey" attribute="1" defaultMemberUniqueName="[StoreTarget].[LocationKey].[All]" allUniqueName="[StoreTarget].[LocationKey].[All]" dimensionUniqueName="[StoreTarget]" displayFolder="" count="0" unbalanced="0" hidden="1"/>
    <cacheHierarchy uniqueName="[StoreTarget].[QuantityUnit]" caption="QuantityUnit" attribute="1" defaultMemberUniqueName="[StoreTarget].[QuantityUnit].[All]" allUniqueName="[StoreTarget].[QuantityUnit].[All]" dimensionUniqueName="[StoreTarget]" displayFolder="" count="0" unbalanced="0" hidden="1"/>
    <cacheHierarchy uniqueName="[StoreTarget].[SalesChannelKey]" caption="SalesChannelKey" attribute="1" defaultMemberUniqueName="[StoreTarget].[SalesChannelKey].[All]" allUniqueName="[StoreTarget].[SalesChannelKey].[All]" dimensionUniqueName="[StoreTarget]" displayFolder="" count="0" unbalanced="0" hidden="1"/>
    <cacheHierarchy uniqueName="[StoreTarget].[TargetConversionRate]" caption="TargetConversionRate" attribute="1" defaultMemberUniqueName="[StoreTarget].[TargetConversionRate].[All]" allUniqueName="[StoreTarget].[TargetConversionRate].[All]" dimensionUniqueName="[StoreTarget]" displayFolder="" count="0" unbalanced="0" hidden="1"/>
    <cacheHierarchy uniqueName="[StoreTarget].[TargetDate]" caption="TargetDate" attribute="1" defaultMemberUniqueName="[StoreTarget].[TargetDate].[All]" allUniqueName="[StoreTarget].[TargetDate].[All]" dimensionUniqueName="[StoreTarget]" displayFolder="" count="0" unbalanced="0" hidden="1"/>
    <cacheHierarchy uniqueName="[StoreTarget].[TargetSalesValueLC]" caption="TargetSalesValueLC" attribute="1" defaultMemberUniqueName="[StoreTarget].[TargetSalesValueLC].[All]" allUniqueName="[StoreTarget].[TargetSalesValueLC].[All]" dimensionUniqueName="[StoreTarget]" displayFolder="" count="0" unbalanced="0" hidden="1"/>
    <cacheHierarchy uniqueName="[StoreTarget].[TargetSalesValueTRY]" caption="TargetSalesValueTRY" attribute="1" defaultMemberUniqueName="[StoreTarget].[TargetSalesValueTRY].[All]" allUniqueName="[StoreTarget].[TargetSalesValueTRY].[All]" dimensionUniqueName="[StoreTarget]" displayFolder="" count="0" unbalanced="0" hidden="1"/>
    <cacheHierarchy uniqueName="[StoreTarget].[TargetSalesValueUSD]" caption="TargetSalesValueUSD" attribute="1" defaultMemberUniqueName="[StoreTarget].[TargetSalesValueUSD].[All]" allUniqueName="[StoreTarget].[TargetSalesValueUSD].[All]" dimensionUniqueName="[StoreTarget]" displayFolder="" count="0" unbalanced="0" hidden="1"/>
    <cacheHierarchy uniqueName="[StoreTarget].[TargetType]" caption="TargetType" attribute="1" defaultMemberUniqueName="[StoreTarget].[TargetType].[All]" allUniqueName="[StoreTarget].[TargetType].[All]" dimensionUniqueName="[StoreTarget]" displayFolder="" count="0" unbalanced="0" hidden="1"/>
    <cacheHierarchy uniqueName="[StoreTargetLY].[Cancelled]" caption="Cancelled" attribute="1" defaultMemberUniqueName="[StoreTargetLY].[Cancelled].[All]" allUniqueName="[StoreTargetLY].[Cancelled].[All]" dimensionUniqueName="[StoreTargetLY]" displayFolder="" count="0" unbalanced="0" hidden="1"/>
    <cacheHierarchy uniqueName="[StoreTargetLY].[ChangeByUser]" caption="ChangeByUser" attribute="1" defaultMemberUniqueName="[StoreTargetLY].[ChangeByUser].[All]" allUniqueName="[StoreTargetLY].[ChangeByUser].[All]" dimensionUniqueName="[StoreTargetLY]" displayFolder="" count="0" unbalanced="0" hidden="1"/>
    <cacheHierarchy uniqueName="[StoreTargetLY].[ChangeDate]" caption="ChangeDate" attribute="1" defaultMemberUniqueName="[StoreTargetLY].[ChangeDate].[All]" allUniqueName="[StoreTargetLY].[ChangeDate].[All]" dimensionUniqueName="[StoreTargetLY]" displayFolder="" count="0" unbalanced="0" hidden="1"/>
    <cacheHierarchy uniqueName="[StoreTargetLY].[ChangeTime]" caption="ChangeTime" attribute="1" defaultMemberUniqueName="[StoreTargetLY].[ChangeTime].[All]" allUniqueName="[StoreTargetLY].[ChangeTime].[All]" dimensionUniqueName="[StoreTargetLY]" displayFolder="" count="0" unbalanced="0" hidden="1"/>
    <cacheHierarchy uniqueName="[StoreTargetLY].[CreatedByUser]" caption="CreatedByUser" attribute="1" defaultMemberUniqueName="[StoreTargetLY].[CreatedByUser].[All]" allUniqueName="[StoreTargetLY].[CreatedByUser].[All]" dimensionUniqueName="[StoreTargetLY]" displayFolder="" count="0" unbalanced="0" hidden="1"/>
    <cacheHierarchy uniqueName="[StoreTargetLY].[CreationDate]" caption="CreationDate" attribute="1" defaultMemberUniqueName="[StoreTargetLY].[CreationDate].[All]" allUniqueName="[StoreTargetLY].[CreationDate].[All]" dimensionUniqueName="[StoreTargetLY]" displayFolder="" count="0" unbalanced="0" hidden="1"/>
    <cacheHierarchy uniqueName="[StoreTargetLY].[CreationTime]" caption="CreationTime" attribute="1" defaultMemberUniqueName="[StoreTargetLY].[CreationTime].[All]" allUniqueName="[StoreTargetLY].[CreationTime].[All]" dimensionUniqueName="[StoreTargetLY]" displayFolder="" count="0" unbalanced="0" hidden="1"/>
    <cacheHierarchy uniqueName="[StoreTargetLY].[Currency]" caption="Currency" attribute="1" defaultMemberUniqueName="[StoreTargetLY].[Currency].[All]" allUniqueName="[StoreTargetLY].[Currency].[All]" dimensionUniqueName="[StoreTargetLY]" displayFolder="" count="0" unbalanced="0" hidden="1"/>
    <cacheHierarchy uniqueName="[StoreTargetLY].[DwSourceKey]" caption="DwSourceKey" attribute="1" defaultMemberUniqueName="[StoreTargetLY].[DwSourceKey].[All]" allUniqueName="[StoreTargetLY].[DwSourceKey].[All]" dimensionUniqueName="[StoreTargetLY]" displayFolder="" count="0" unbalanced="0" hidden="1"/>
    <cacheHierarchy uniqueName="[StoreTargetLY].[EtlDate]" caption="EtlDate" attribute="1" defaultMemberUniqueName="[StoreTargetLY].[EtlDate].[All]" allUniqueName="[StoreTargetLY].[EtlDate].[All]" dimensionUniqueName="[StoreTargetLY]" displayFolder="" count="0" unbalanced="0" hidden="1"/>
    <cacheHierarchy uniqueName="[StoreTargetLY].[LfLFactor]" caption="LfLFactor" attribute="1" defaultMemberUniqueName="[StoreTargetLY].[LfLFactor].[All]" allUniqueName="[StoreTargetLY].[LfLFactor].[All]" dimensionUniqueName="[StoreTargetLY]" displayFolder="" count="0" unbalanced="0" hidden="1"/>
    <cacheHierarchy uniqueName="[StoreTargetLY].[LocationCode]" caption="LocationCode" attribute="1" defaultMemberUniqueName="[StoreTargetLY].[LocationCode].[All]" allUniqueName="[StoreTargetLY].[LocationCode].[All]" dimensionUniqueName="[StoreTargetLY]" displayFolder="" count="0" unbalanced="0" hidden="1"/>
    <cacheHierarchy uniqueName="[StoreTargetLY].[LocationKey]" caption="LocationKey" attribute="1" defaultMemberUniqueName="[StoreTargetLY].[LocationKey].[All]" allUniqueName="[StoreTargetLY].[LocationKey].[All]" dimensionUniqueName="[StoreTargetLY]" displayFolder="" count="0" unbalanced="0" hidden="1"/>
    <cacheHierarchy uniqueName="[StoreTargetLY].[QuantityUnit]" caption="QuantityUnit" attribute="1" defaultMemberUniqueName="[StoreTargetLY].[QuantityUnit].[All]" allUniqueName="[StoreTargetLY].[QuantityUnit].[All]" dimensionUniqueName="[StoreTargetLY]" displayFolder="" count="0" unbalanced="0" hidden="1"/>
    <cacheHierarchy uniqueName="[StoreTargetLY].[SalesChannelKey]" caption="SalesChannelKey" attribute="1" defaultMemberUniqueName="[StoreTargetLY].[SalesChannelKey].[All]" allUniqueName="[StoreTargetLY].[SalesChannelKey].[All]" dimensionUniqueName="[StoreTargetLY]" displayFolder="" count="0" unbalanced="0" hidden="1"/>
    <cacheHierarchy uniqueName="[StoreTargetLY].[TargetConversionRate]" caption="TargetConversionRate" attribute="1" defaultMemberUniqueName="[StoreTargetLY].[TargetConversionRate].[All]" allUniqueName="[StoreTargetLY].[TargetConversionRate].[All]" dimensionUniqueName="[StoreTargetLY]" displayFolder="" count="0" unbalanced="0" hidden="1"/>
    <cacheHierarchy uniqueName="[StoreTargetLY].[TargetSalesValueLC]" caption="TargetSalesValueLC" attribute="1" defaultMemberUniqueName="[StoreTargetLY].[TargetSalesValueLC].[All]" allUniqueName="[StoreTargetLY].[TargetSalesValueLC].[All]" dimensionUniqueName="[StoreTargetLY]" displayFolder="" count="0" unbalanced="0" hidden="1"/>
    <cacheHierarchy uniqueName="[StoreTargetLY].[TargetSalesValueTRY]" caption="TargetSalesValueTRY" attribute="1" defaultMemberUniqueName="[StoreTargetLY].[TargetSalesValueTRY].[All]" allUniqueName="[StoreTargetLY].[TargetSalesValueTRY].[All]" dimensionUniqueName="[StoreTargetLY]" displayFolder="" count="0" unbalanced="0" hidden="1"/>
    <cacheHierarchy uniqueName="[StoreTargetLY].[TargetSalesValueUSD]" caption="TargetSalesValueUSD" attribute="1" defaultMemberUniqueName="[StoreTargetLY].[TargetSalesValueUSD].[All]" allUniqueName="[StoreTargetLY].[TargetSalesValueUSD].[All]" dimensionUniqueName="[StoreTargetLY]" displayFolder="" count="0" unbalanced="0" hidden="1"/>
    <cacheHierarchy uniqueName="[StoreTargetLY].[TargetType]" caption="TargetType" attribute="1" defaultMemberUniqueName="[StoreTargetLY].[TargetType].[All]" allUniqueName="[StoreTargetLY].[TargetType].[All]" dimensionUniqueName="[StoreTargetLY]" displayFolder="" count="0" unbalanced="0" hidden="1"/>
    <cacheHierarchy uniqueName="[StoreTargetLY].[TYDate]" caption="TYDate" attribute="1" defaultMemberUniqueName="[StoreTargetLY].[TYDate].[All]" allUniqueName="[StoreTargetLY].[TYDate].[All]" dimensionUniqueName="[StoreTargetLY]" displayFolder="" count="0" unbalanced="0" hidden="1"/>
    <cacheHierarchy uniqueName="[SubDistChannel].[DistrubitionChannelCode]" caption="DistrubitionChannelCode" attribute="1" defaultMemberUniqueName="[SubDistChannel].[DistrubitionChannelCode].[All]" allUniqueName="[SubDistChannel].[DistrubitionChannelCode].[All]" dimensionUniqueName="[SubDistChannel]" displayFolder="" count="0" unbalanced="0" hidden="1"/>
    <cacheHierarchy uniqueName="[SubDistChannel].[DistrubitionChannelDesc]" caption="DistrubitionChannelDesc" attribute="1" defaultMemberUniqueName="[SubDistChannel].[DistrubitionChannelDesc].[All]" allUniqueName="[SubDistChannel].[DistrubitionChannelDesc].[All]" dimensionUniqueName="[SubDistChannel]" displayFolder="" count="0" unbalanced="0" hidden="1"/>
    <cacheHierarchy uniqueName="[SubDistChannel].[DistrubitionChannelKey]" caption="DistrubitionChannelKey" attribute="1" defaultMemberUniqueName="[SubDistChannel].[DistrubitionChannelKey].[All]" allUniqueName="[SubDistChannel].[DistrubitionChannelKey].[All]" dimensionUniqueName="[SubDistChannel]" displayFolder="" count="0" unbalanced="0" hidden="1"/>
    <cacheHierarchy uniqueName="[SubDistChannel].[DWSourceKey]" caption="DWSourceKey" attribute="1" defaultMemberUniqueName="[SubDistChannel].[DWSourceKey].[All]" allUniqueName="[SubDistChannel].[DWSourceKey].[All]" dimensionUniqueName="[SubDistChannel]" displayFolder="" count="0" unbalanced="0" hidden="1"/>
    <cacheHierarchy uniqueName="[SubDistChannel].[EtlDate]" caption="EtlDate" attribute="1" defaultMemberUniqueName="[SubDistChannel].[EtlDate].[All]" allUniqueName="[SubDistChannel].[EtlDate].[All]" dimensionUniqueName="[SubDistChannel]" displayFolder="" count="0" unbalanced="0" hidden="1"/>
    <cacheHierarchy uniqueName="[Visitor].[AdjustedCCR]" caption="AdjustedCCR" attribute="1" defaultMemberUniqueName="[Visitor].[AdjustedCCR].[All]" allUniqueName="[Visitor].[AdjustedCCR].[All]" dimensionUniqueName="[Visitor]" displayFolder="" count="0" unbalanced="0" hidden="1"/>
    <cacheHierarchy uniqueName="[Visitor].[AdjustedVisitorCount]" caption="AdjustedVisitorCount" attribute="1" defaultMemberUniqueName="[Visitor].[AdjustedVisitorCount].[All]" allUniqueName="[Visitor].[AdjustedVisitorCount].[All]" dimensionUniqueName="[Visitor]" displayFolder="" count="0" unbalanced="0" hidden="1"/>
    <cacheHierarchy uniqueName="[Visitor].[CCR_Source]" caption="CCR_Source" attribute="1" defaultMemberUniqueName="[Visitor].[CCR_Source].[All]" allUniqueName="[Visitor].[CCR_Source].[All]" dimensionUniqueName="[Visitor]" displayFolder="" count="0" unbalanced="0" hidden="1"/>
    <cacheHierarchy uniqueName="[Visitor].[CompanyKey]" caption="CompanyKey" attribute="1" defaultMemberUniqueName="[Visitor].[CompanyKey].[All]" allUniqueName="[Visitor].[CompanyKey].[All]" dimensionUniqueName="[Visitor]" displayFolder="" count="0" unbalanced="0" hidden="1"/>
    <cacheHierarchy uniqueName="[Visitor].[CustomerConversionRate]" caption="CustomerConversionRate" attribute="1" defaultMemberUniqueName="[Visitor].[CustomerConversionRate].[All]" allUniqueName="[Visitor].[CustomerConversionRate].[All]" dimensionUniqueName="[Visitor]" displayFolder="" count="0" unbalanced="0" hidden="1"/>
    <cacheHierarchy uniqueName="[Visitor].[DailyInvoiceCount]" caption="DailyInvoiceCount" attribute="1" defaultMemberUniqueName="[Visitor].[DailyInvoiceCount].[All]" allUniqueName="[Visitor].[DailyInvoiceCount].[All]" dimensionUniqueName="[Visitor]" displayFolder="" count="0" unbalanced="0" hidden="1"/>
    <cacheHierarchy uniqueName="[Visitor].[DailyInvoiceReturn]" caption="DailyInvoiceReturn" attribute="1" defaultMemberUniqueName="[Visitor].[DailyInvoiceReturn].[All]" allUniqueName="[Visitor].[DailyInvoiceReturn].[All]" dimensionUniqueName="[Visitor]" displayFolder="" count="0" unbalanced="0" hidden="1"/>
    <cacheHierarchy uniqueName="[Visitor].[DailyInvoiceSale]" caption="DailyInvoiceSale" attribute="1" defaultMemberUniqueName="[Visitor].[DailyInvoiceSale].[All]" allUniqueName="[Visitor].[DailyInvoiceSale].[All]" dimensionUniqueName="[Visitor]" displayFolder="" count="0" unbalanced="0" hidden="1"/>
    <cacheHierarchy uniqueName="[Visitor].[DailyVisitorCount]" caption="DailyVisitorCount" attribute="1" defaultMemberUniqueName="[Visitor].[DailyVisitorCount].[All]" allUniqueName="[Visitor].[DailyVisitorCount].[All]" dimensionUniqueName="[Visitor]" displayFolder="" count="0" unbalanced="0" hidden="1"/>
    <cacheHierarchy uniqueName="[Visitor].[DayoftheWeek]" caption="DayoftheWeek" attribute="1" defaultMemberUniqueName="[Visitor].[DayoftheWeek].[All]" allUniqueName="[Visitor].[DayoftheWeek].[All]" dimensionUniqueName="[Visitor]" displayFolder="" count="0" unbalanced="0" hidden="1"/>
    <cacheHierarchy uniqueName="[Visitor].[DIC_Country]" caption="DIC_Country" attribute="1" defaultMemberUniqueName="[Visitor].[DIC_Country].[All]" allUniqueName="[Visitor].[DIC_Country].[All]" dimensionUniqueName="[Visitor]" displayFolder="" count="0" unbalanced="0" hidden="1"/>
    <cacheHierarchy uniqueName="[Visitor].[DVC_Country]" caption="DVC_Country" attribute="1" defaultMemberUniqueName="[Visitor].[DVC_Country].[All]" allUniqueName="[Visitor].[DVC_Country].[All]" dimensionUniqueName="[Visitor]" displayFolder="" count="0" unbalanced="0" hidden="1"/>
    <cacheHierarchy uniqueName="[Visitor].[ETLDate]" caption="ETLDate" attribute="1" defaultMemberUniqueName="[Visitor].[ETLDate].[All]" allUniqueName="[Visitor].[ETLDate].[All]" dimensionUniqueName="[Visitor]" displayFolder="" count="0" unbalanced="0" hidden="1"/>
    <cacheHierarchy uniqueName="[Visitor].[isAdjustmentRequired]" caption="isAdjustmentRequired" attribute="1" defaultMemberUniqueName="[Visitor].[isAdjustmentRequired].[All]" allUniqueName="[Visitor].[isAdjustmentRequired].[All]" dimensionUniqueName="[Visitor]" displayFolder="" count="0" unbalanced="0" hidden="1"/>
    <cacheHierarchy uniqueName="[Visitor].[LocationKey]" caption="LocationKey" attribute="1" defaultMemberUniqueName="[Visitor].[LocationKey].[All]" allUniqueName="[Visitor].[LocationKey].[All]" dimensionUniqueName="[Visitor]" displayFolder="" count="0" unbalanced="0" hidden="1"/>
    <cacheHierarchy uniqueName="[Visitor].[StoreLfLStatuKey]" caption="StoreLfLStatuKey" attribute="1" defaultMemberUniqueName="[Visitor].[StoreLfLStatuKey].[All]" allUniqueName="[Visitor].[StoreLfLStatuKey].[All]" dimensionUniqueName="[Visitor]" displayFolder="" count="0" unbalanced="0" hidden="1"/>
    <cacheHierarchy uniqueName="[Visitor].[VisitDate]" caption="VisitDate" attribute="1" defaultMemberUniqueName="[Visitor].[VisitDate].[All]" allUniqueName="[Visitor].[VisitDate].[All]" dimensionUniqueName="[Visitor]" displayFolder="" count="0" unbalanced="0" hidden="1"/>
    <cacheHierarchy uniqueName="[VisitorHourly].[LocationKey]" caption="LocationKey" attribute="1" defaultMemberUniqueName="[VisitorHourly].[LocationKey].[All]" allUniqueName="[VisitorHourly].[LocationKey].[All]" dimensionUniqueName="[VisitorHourly]" displayFolder="" count="0" unbalanced="0" hidden="1"/>
    <cacheHierarchy uniqueName="[VisitorHourly].[LYCustomerEntryCount]" caption="LYCustomerEntryCount" attribute="1" defaultMemberUniqueName="[VisitorHourly].[LYCustomerEntryCount].[All]" allUniqueName="[VisitorHourly].[LYCustomerEntryCount].[All]" dimensionUniqueName="[VisitorHourly]" displayFolder="" count="0" unbalanced="0" hidden="1"/>
    <cacheHierarchy uniqueName="[VisitorHourly].[LYLFLFactor]" caption="LYLFLFactor" attribute="1" defaultMemberUniqueName="[VisitorHourly].[LYLFLFactor].[All]" allUniqueName="[VisitorHourly].[LYLFLFactor].[All]" dimensionUniqueName="[VisitorHourly]" displayFolder="" count="0" unbalanced="0" hidden="1"/>
    <cacheHierarchy uniqueName="[VisitorHourly].[SalesChannelKey]" caption="SalesChannelKey" attribute="1" defaultMemberUniqueName="[VisitorHourly].[SalesChannelKey].[All]" allUniqueName="[VisitorHourly].[SalesChannelKey].[All]" dimensionUniqueName="[VisitorHourly]" displayFolder="" count="0" unbalanced="0" hidden="1"/>
    <cacheHierarchy uniqueName="[VisitorHourly].[TYCustomerEntryCount]" caption="TYCustomerEntryCount" attribute="1" defaultMemberUniqueName="[VisitorHourly].[TYCustomerEntryCount].[All]" allUniqueName="[VisitorHourly].[TYCustomerEntryCount].[All]" dimensionUniqueName="[VisitorHourly]" displayFolder="" count="0" unbalanced="0" hidden="1"/>
    <cacheHierarchy uniqueName="[VisitorHourly].[TYLFLFactor]" caption="TYLFLFactor" attribute="1" defaultMemberUniqueName="[VisitorHourly].[TYLFLFactor].[All]" allUniqueName="[VisitorHourly].[TYLFLFactor].[All]" dimensionUniqueName="[VisitorHourly]" displayFolder="" count="0" unbalanced="0" hidden="1"/>
    <cacheHierarchy uniqueName="[VisitorHourly].[VisitDate]" caption="VisitDate" attribute="1" defaultMemberUniqueName="[VisitorHourly].[VisitDate].[All]" allUniqueName="[VisitorHourly].[VisitDate].[All]" dimensionUniqueName="[VisitorHourly]" displayFolder="" count="0" unbalanced="0" hidden="1"/>
    <cacheHierarchy uniqueName="[VisitorHourly].[VisitTimeHH]" caption="VisitTimeHH" attribute="1" defaultMemberUniqueName="[VisitorHourly].[VisitTimeHH].[All]" allUniqueName="[VisitorHourly].[VisitTimeHH].[All]" dimensionUniqueName="[VisitorHourly]" displayFolder="" count="0" unbalanced="0" hidden="1"/>
    <cacheHierarchy uniqueName="[Measures].[TY Avg DC Stock Unit]" caption="TY Avg DC Stock Unit" measure="1" displayFolder="01_TY\_UNIT" measureGroup="StockDC" count="0"/>
    <cacheHierarchy uniqueName="[Measures].[TY Avg DC Cus Stock Unit]" caption="TY Avg DC Cus Stock Unit" measure="1" displayFolder="01_TY\_UNIT" measureGroup="StockDC" count="0"/>
    <cacheHierarchy uniqueName="[Measures].[TY Avg DC Transit Stock Unit]" caption="TY Avg DC Transit Stock Unit" measure="1" displayFolder="01_TY\_UNIT" measureGroup="StockDC" count="0"/>
    <cacheHierarchy uniqueName="[Measures].[TY Avg DC Stock Cost LC]" caption="TY Avg DC Stock Cost LC" measure="1" displayFolder="01_TY\LC" measureGroup="StockDC" count="0"/>
    <cacheHierarchy uniqueName="[Measures].[TY Avg DC Transit Stock Cost LC]" caption="TY Avg DC Transit Stock Cost LC" measure="1" displayFolder="01_TY\LC" measureGroup="StockDC" count="0"/>
    <cacheHierarchy uniqueName="[Measures].[TY Avg DC Cus Stock Cost LC]" caption="TY Avg DC Cus Stock Cost LC" measure="1" displayFolder="01_TY\LC" measureGroup="StockDC" count="0"/>
    <cacheHierarchy uniqueName="[Measures].[TY Avg DC Stock Cost TRY]" caption="TY Avg DC Stock Cost TRY" measure="1" displayFolder="01_TY\TRY" measureGroup="StockDC" count="0"/>
    <cacheHierarchy uniqueName="[Measures].[TY Avg DC Transit Stock Cost TRY]" caption="TY Avg DC Transit Stock Cost TRY" measure="1" displayFolder="01_TY\TRY" measureGroup="StockDC" count="0"/>
    <cacheHierarchy uniqueName="[Measures].[TY Avg DC Cus Stock Cost TRY]" caption="TY Avg DC Cus Stock Cost TRY" measure="1" displayFolder="01_TY\TRY" measureGroup="StockDC" count="0"/>
    <cacheHierarchy uniqueName="[Measures].[TY Avg DC Stock Cost USD]" caption="TY Avg DC Stock Cost USD" measure="1" displayFolder="01_TY\USD" measureGroup="StockDC" count="0"/>
    <cacheHierarchy uniqueName="[Measures].[TY Avg DC Transit Stock Cost USD]" caption="TY Avg DC Transit Stock Cost USD" measure="1" displayFolder="01_TY\USD" measureGroup="StockDC" count="0"/>
    <cacheHierarchy uniqueName="[Measures].[TY Avg DC Cus Stock Cost USD]" caption="TY Avg DC Cus Stock Cost USD" measure="1" displayFolder="01_TY\USD" measureGroup="StockDC" count="0"/>
    <cacheHierarchy uniqueName="[Measures].[LY Avg DC Stock Unit]" caption="LY Avg DC Stock Unit" measure="1" displayFolder="02_LY\_UNIT" measureGroup="StockDC" count="0"/>
    <cacheHierarchy uniqueName="[Measures].[LY Avg DC Transit Stock Unit]" caption="LY Avg DC Transit Stock Unit" measure="1" displayFolder="02_LY\_UNIT" measureGroup="StockDC" count="0"/>
    <cacheHierarchy uniqueName="[Measures].[LY Avg DC Cus Stock Unit]" caption="LY Avg DC Cus Stock Unit" measure="1" displayFolder="02_LY\_UNIT" measureGroup="StockDC" count="0"/>
    <cacheHierarchy uniqueName="[Measures].[LY Avg DC Stock Cost LC]" caption="LY Avg DC Stock Cost LC" measure="1" displayFolder="02_LY\LC" measureGroup="StockDC" count="0"/>
    <cacheHierarchy uniqueName="[Measures].[LY Avg DC Transit Stock Cost LC]" caption="LY Avg DC Transit Stock Cost LC" measure="1" displayFolder="02_LY\LC" measureGroup="StockDC" count="0"/>
    <cacheHierarchy uniqueName="[Measures].[LY Avg DC Cus Stock Cost LC]" caption="LY Avg DC Cus Stock Cost LC" measure="1" displayFolder="02_LY\LC" measureGroup="StockDC" count="0"/>
    <cacheHierarchy uniqueName="[Measures].[LY Avg DC Stock Cost TRY]" caption="LY Avg DC Stock Cost TRY" measure="1" displayFolder="02_LY\TRY" measureGroup="StockDC" count="0"/>
    <cacheHierarchy uniqueName="[Measures].[LY Avg DC Transit Stock Cost TRY]" caption="LY Avg DC Transit Stock Cost TRY" measure="1" displayFolder="02_LY\TRY" measureGroup="StockDC" count="0"/>
    <cacheHierarchy uniqueName="[Measures].[LY Avg DC Cus Stock Cost TRY]" caption="LY Avg DC Cus Stock Cost TRY" measure="1" displayFolder="02_LY\TRY" measureGroup="StockDC" count="0"/>
    <cacheHierarchy uniqueName="[Measures].[LY Avg DC Stock Cost USD]" caption="LY Avg DC Stock Cost USD" measure="1" displayFolder="02_LY\USD" measureGroup="StockDC" count="0"/>
    <cacheHierarchy uniqueName="[Measures].[LY Avg DC Transit Stock Cost USD]" caption="LY Avg DC Transit Stock Cost USD" measure="1" displayFolder="02_LY\USD" measureGroup="StockDC" count="0"/>
    <cacheHierarchy uniqueName="[Measures].[LY Avg DC Cus Stock Cost USD]" caption="LY Avg DC Cus Stock Cost USD" measure="1" displayFolder="02_LY\USD" measureGroup="StockDC" count="0"/>
    <cacheHierarchy uniqueName="[Measures].[CUR Open Imports DC Stock Unit]" caption="CUR Open Imports DC Stock Unit" measure="1" displayFolder="00_CURRENT" measureGroup="StockDC" count="0"/>
    <cacheHierarchy uniqueName="[Measures].[CUR Open Transfer DC Stock Unit]" caption="CUR Open Transfer DC Stock Unit" measure="1" displayFolder="00_CURRENT" measureGroup="StockDC" count="0"/>
    <cacheHierarchy uniqueName="[Measures].[EOP TY Avg DC Stock Unit]" caption="EOP TY Avg DC Stock Unit" measure="1" displayFolder="01_TY\_UNIT" measureGroup="StockDC" count="0"/>
    <cacheHierarchy uniqueName="[Measures].[EOP TY Avg DC Transit Stock Unit]" caption="EOP TY Avg DC Transit Stock Unit" measure="1" displayFolder="01_TY\_UNIT" measureGroup="StockDC" count="0"/>
    <cacheHierarchy uniqueName="[Measures].[EOP TY Avg DC Cus Stock Unit]" caption="EOP TY Avg DC Cus Stock Unit" measure="1" displayFolder="01_TY\_UNIT" measureGroup="StockDC" count="0"/>
    <cacheHierarchy uniqueName="[Measures].[EOP TY Avg DC Stock Cost LC]" caption="EOP TY Avg DC Stock Cost LC" measure="1" displayFolder="01_TY\LC" measureGroup="StockDC" count="0"/>
    <cacheHierarchy uniqueName="[Measures].[EOP TY Avg DC Transit Stock Cost LC]" caption="EOP TY Avg DC Transit Stock Cost LC" measure="1" displayFolder="01_TY\LC" measureGroup="StockDC" count="0"/>
    <cacheHierarchy uniqueName="[Measures].[EOP TY Avg DC CUS Stock Cost LC]" caption="EOP TY Avg DC CUS Stock Cost LC" measure="1" displayFolder="01_TY\LC" measureGroup="StockDC" count="0"/>
    <cacheHierarchy uniqueName="[Measures].[EOP TY Avg DC Stock Cost TRY]" caption="EOP TY Avg DC Stock Cost TRY" measure="1" displayFolder="01_TY\TRY" measureGroup="StockDC" count="0"/>
    <cacheHierarchy uniqueName="[Measures].[EOP TY Avg DC Cus Stock Cost TRY]" caption="EOP TY Avg DC Cus Stock Cost TRY" measure="1" displayFolder="01_TY\TRY" measureGroup="StockDC" count="0"/>
    <cacheHierarchy uniqueName="[Measures].[EOP TY Avg DC Transit Stock Cost TRY]" caption="EOP TY Avg DC Transit Stock Cost TRY" measure="1" displayFolder="01_TY\TRY" measureGroup="StockDC" count="0"/>
    <cacheHierarchy uniqueName="[Measures].[TY Avg DC Other Stock Unit]" caption="TY Avg DC Other Stock Unit" measure="1" displayFolder="01_TY\_UNIT" measureGroup="StockDC" count="0"/>
    <cacheHierarchy uniqueName="[Measures].[EOP TY Avg DC Other Stock Unit]" caption="EOP TY Avg DC Other Stock Unit" measure="1" displayFolder="01_TY\_UNIT" measureGroup="StockDC" count="0"/>
    <cacheHierarchy uniqueName="[Measures].[TY Avg DC Other Stock Cost LC]" caption="TY Avg DC Other Stock Cost LC" measure="1" displayFolder="01_TY\LC" measureGroup="StockDC" count="0"/>
    <cacheHierarchy uniqueName="[Measures].[EOP TY Avg DC Other Stock Cost LC]" caption="EOP TY Avg DC Other Stock Cost LC" measure="1" displayFolder="01_TY\LC" measureGroup="StockDC" count="0"/>
    <cacheHierarchy uniqueName="[Measures].[TY Avg DC Other Stock Cost TRY]" caption="TY Avg DC Other Stock Cost TRY" measure="1" displayFolder="01_TY\TRY" measureGroup="StockDC" count="0"/>
    <cacheHierarchy uniqueName="[Measures].[EOP TY Avg DC Other Stock Cost TRY]" caption="EOP TY Avg DC Other Stock Cost TRY" measure="1" displayFolder="01_TY\TRY" measureGroup="StockDC" count="0"/>
    <cacheHierarchy uniqueName="[Measures].[TY Avg DC Other Stock Cost USD]" caption="TY Avg DC Other Stock Cost USD" measure="1" displayFolder="01_TY\USD" measureGroup="StockDC" count="0"/>
    <cacheHierarchy uniqueName="[Measures].[EOP TY Avg DC Stock Cost USD]" caption="EOP TY Avg DC Stock Cost USD" measure="1" displayFolder="01_TY\USD" measureGroup="StockDC" count="0"/>
    <cacheHierarchy uniqueName="[Measures].[EOP TY Avg DC Transit Stock Cost USD]" caption="EOP TY Avg DC Transit Stock Cost USD" measure="1" displayFolder="01_TY\USD" measureGroup="StockDC" count="0"/>
    <cacheHierarchy uniqueName="[Measures].[EOP TY Avg DC Cus Stock Cost USD]" caption="EOP TY Avg DC Cus Stock Cost USD" measure="1" displayFolder="01_TY\USD" measureGroup="StockDC" count="0"/>
    <cacheHierarchy uniqueName="[Measures].[EOP TY Avg DC Other Stock Cost USD]" caption="EOP TY Avg DC Other Stock Cost USD" measure="1" displayFolder="01_TY\USD" measureGroup="StockDC" count="0"/>
    <cacheHierarchy uniqueName="[Measures].[LY Avg DC Other Stock Unit]" caption="LY Avg DC Other Stock Unit" measure="1" displayFolder="02_LY\_UNIT" measureGroup="StockDC" count="0"/>
    <cacheHierarchy uniqueName="[Measures].[LY Avg DC Other Stock Cost LC]" caption="LY Avg DC Other Stock Cost LC" measure="1" displayFolder="02_LY\LC" measureGroup="StockDC" count="0"/>
    <cacheHierarchy uniqueName="[Measures].[LY Avg DC Other Stock Cost TRY]" caption="LY Avg DC Other Stock Cost TRY" measure="1" displayFolder="02_LY\TRY" measureGroup="StockDC" count="0"/>
    <cacheHierarchy uniqueName="[Measures].[LY Avg DC Other Stock Cost USD]" caption="LY Avg DC Other Stock Cost USD" measure="1" displayFolder="02_LY\USD" measureGroup="StockDC" count="0"/>
    <cacheHierarchy uniqueName="[Measures].[EOP Goods Receipt PO DC Stock Unit]" caption="EOP Goods Receipt PO DC Stock Unit" measure="1" displayFolder="01_TY\_UNIT" measureGroup="StockDC" count="0"/>
    <cacheHierarchy uniqueName="[Measures].[EOP Goods Receipt PO DC Transit Stock Unit]" caption="EOP Goods Receipt PO DC Transit Stock Unit" measure="1" displayFolder="01_TY\_UNIT" measureGroup="StockDC" count="0"/>
    <cacheHierarchy uniqueName="[Measures].[EOP Goods Receipt PO DC Cus Stock Unit]" caption="EOP Goods Receipt PO DC Cus Stock Unit" measure="1" displayFolder="01_TY\_UNIT" measureGroup="StockDC" count="0"/>
    <cacheHierarchy uniqueName="[Measures].[EOP Goods Receipt PO DC Other Stock Unit]" caption="EOP Goods Receipt PO DC Other Stock Unit" measure="1" displayFolder="01_TY\_UNIT" measureGroup="StockDC" count="0"/>
    <cacheHierarchy uniqueName="[Measures].[CUR Available DC Stock Unit]" caption="CUR Available DC Stock Unit" measure="1" displayFolder="00_CURRENT" measureGroup="StockDC" count="0"/>
    <cacheHierarchy uniqueName="[Measures].[CUR Real DC Stock Unit]" caption="CUR Real DC Stock Unit" measure="1" displayFolder="00_CURRENT" measureGroup="StockDC" count="0"/>
    <cacheHierarchy uniqueName="[Measures].[CUR Open Delivery DC Stock Unit]" caption="CUR Open Delivery DC Stock Unit" measure="1" displayFolder="00_CURRENT" measureGroup="StockDC" count="0"/>
    <cacheHierarchy uniqueName="[Measures].[CUR Open Order DC Stock Unit]" caption="CUR Open Order DC Stock Unit" measure="1" displayFolder="00_CURRENT" measureGroup="StockDC" count="0"/>
    <cacheHierarchy uniqueName="[Measures].[CUR Open Sto DC Stock Unit]" caption="CUR Open Sto DC Stock Unit" measure="1" displayFolder="00_CURRENT" measureGroup="StockDC" count="0"/>
    <cacheHierarchy uniqueName="[Measures].[CUR Safety DC Stock Unit]" caption="CUR Safety DC Stock Unit" measure="1" displayFolder="00_CURRENT" measureGroup="StockDC" count="0"/>
    <cacheHierarchy uniqueName="[Measures].[CUR Buffer DC Stock Unit]" caption="CUR Buffer DC Stock Unit" measure="1" displayFolder="00_CURRENT" measureGroup="StockDC" count="0"/>
    <cacheHierarchy uniqueName="[Measures].[CUR Unapproved Order DC Stock Unit]" caption="CUR Unapproved Order DC Stock Unit" measure="1" displayFolder="00_CURRENT" measureGroup="StockDC" count="0"/>
    <cacheHierarchy uniqueName="[Measures].[EOP LY DC Transit Stock Unit]" caption="EOP LY DC Transit Stock Unit" measure="1" displayFolder="02_LY\_UNIT" measureGroup="StockDC" count="0"/>
    <cacheHierarchy uniqueName="[Measures].[EOP LY DC Cus Stock Unit]" caption="EOP LY DC Cus Stock Unit" measure="1" displayFolder="02_LY\_UNIT" measureGroup="StockDC" count="0"/>
    <cacheHierarchy uniqueName="[Measures].[EOP LY DC Other Stock Unit]" caption="EOP LY DC Other Stock Unit" measure="1" displayFolder="02_LY\_UNIT" measureGroup="StockDC" count="0"/>
    <cacheHierarchy uniqueName="[Measures].[EOP LY DC Stock Unit]" caption="EOP LY DC Stock Unit" measure="1" displayFolder="02_LY\_UNIT" measureGroup="StockDC" count="0"/>
    <cacheHierarchy uniqueName="[Measures].[Kullanılabilir DC Stok Adet]" caption="Kullanılabilir DC Stok Adet" measure="1" displayFolder="00_CURRENT" measureGroup="StockDC" count="0"/>
    <cacheHierarchy uniqueName="[Measures].[TY Avg Store Stock Unit]" caption="TY Avg Store Stock Unit" measure="1" displayFolder="01_TY\_UNIT" measureGroup="StockStore" count="0"/>
    <cacheHierarchy uniqueName="[Measures].[TY Avg Store Transit Stock Unit]" caption="TY Avg Store Transit Stock Unit" measure="1" displayFolder="01_TY\_UNIT" measureGroup="StockStore" count="0"/>
    <cacheHierarchy uniqueName="[Measures].[TY Avg Store Stock Cost LC]" caption="TY Avg Store Stock Cost LC" measure="1" displayFolder="01_TY\LC" measureGroup="StockStore" count="0"/>
    <cacheHierarchy uniqueName="[Measures].[TY Avg Store Transit Stock Cost LC]" caption="TY Avg Store Transit Stock Cost LC" measure="1" displayFolder="01_TY\LC" measureGroup="StockStore" count="0"/>
    <cacheHierarchy uniqueName="[Measures].[TY LFL Avg Store Stock Unit]" caption="TY LFL Avg Store Stock Unit" measure="1" displayFolder="02_TYLFL\_UNIT" measureGroup="StockStore" count="0"/>
    <cacheHierarchy uniqueName="[Measures].[TY LFL Avg Store Transit Stock Unit]" caption="TY LFL Avg Store Transit Stock Unit" measure="1" displayFolder="02_TYLFL\_UNIT" measureGroup="StockStore" count="0"/>
    <cacheHierarchy uniqueName="[Measures].[TY LFL Avg Store Stock Cost LC]" caption="TY LFL Avg Store Stock Cost LC" measure="1" displayFolder="02_TYLFL\LC" measureGroup="StockStore" count="0"/>
    <cacheHierarchy uniqueName="[Measures].[TY LFL Avg Store Transit Stock Cost LC]" caption="TY LFL Avg Store Transit Stock Cost LC" measure="1" displayFolder="02_TYLFL\LC" measureGroup="StockStore" count="0"/>
    <cacheHierarchy uniqueName="[Measures].[TY Avg Store Stock Cost TRY]" caption="TY Avg Store Stock Cost TRY" measure="1" displayFolder="01_TY\TRY" measureGroup="StockStore" count="0"/>
    <cacheHierarchy uniqueName="[Measures].[TY Avg Store Transit Stock Cost TRY]" caption="TY Avg Store Transit Stock Cost TRY" measure="1" displayFolder="01_TY\TRY" measureGroup="StockStore" count="0"/>
    <cacheHierarchy uniqueName="[Measures].[TY Avg Store Stock Cost USD]" caption="TY Avg Store Stock Cost USD" measure="1" displayFolder="01_TY\USD" measureGroup="StockStore" count="0"/>
    <cacheHierarchy uniqueName="[Measures].[TY Avg Store Transit Stock Cost USD]" caption="TY Avg Store Transit Stock Cost USD" measure="1" displayFolder="01_TY\USD" measureGroup="StockStore" count="0"/>
    <cacheHierarchy uniqueName="[Measures].[TY LFL Avg Store Stock Cost TRY]" caption="TY LFL Avg Store Stock Cost TRY" measure="1" displayFolder="02_TYLFL\TRY" measureGroup="StockStore" count="0"/>
    <cacheHierarchy uniqueName="[Measures].[TY LFL Avg Store Transit Stock Cost TRY]" caption="TY LFL Avg Store Transit Stock Cost TRY" measure="1" displayFolder="02_TYLFL\TRY" measureGroup="StockStore" count="0"/>
    <cacheHierarchy uniqueName="[Measures].[TY LFL Avg Store Stock Cost USD]" caption="TY LFL Avg Store Stock Cost USD" measure="1" displayFolder="02_TYLFL\USD" measureGroup="StockStore" count="0"/>
    <cacheHierarchy uniqueName="[Measures].[TY LFL Avg Store Transit Stock Cost USD]" caption="TY LFL Avg Store Transit Stock Cost USD" measure="1" displayFolder="02_TYLFL\USD" measureGroup="StockStore" count="0"/>
    <cacheHierarchy uniqueName="[Measures].[StockLastProcessTime]" caption="StockLastProcessTime" measure="1" displayFolder="00_INFO" measureGroup="StockStore" count="0"/>
    <cacheHierarchy uniqueName="[Measures].[LY Avg Store Stock Unit]" caption="LY Avg Store Stock Unit" measure="1" displayFolder="03_LY\_UNIT" measureGroup="StockStore" count="0"/>
    <cacheHierarchy uniqueName="[Measures].[LY Avg Store Transit Stock Unit]" caption="LY Avg Store Transit Stock Unit" measure="1" displayFolder="03_LY\_UNIT" measureGroup="StockStore" count="0"/>
    <cacheHierarchy uniqueName="[Measures].[LY Avg Store Stock Cost LC]" caption="LY Avg Store Stock Cost LC" measure="1" displayFolder="03_LY\LC" measureGroup="StockStore" count="0"/>
    <cacheHierarchy uniqueName="[Measures].[LY Avg Store Transit Stock Cost LC]" caption="LY Avg Store Transit Stock Cost LC" measure="1" displayFolder="03_LY\LC" measureGroup="StockStore" count="0"/>
    <cacheHierarchy uniqueName="[Measures].[LY Avg Store Stock Cost TRY]" caption="LY Avg Store Stock Cost TRY" measure="1" displayFolder="03_LY\TRY" measureGroup="StockStore" count="0"/>
    <cacheHierarchy uniqueName="[Measures].[LY Avg Store Transit Stock Cost TRY]" caption="LY Avg Store Transit Stock Cost TRY" measure="1" displayFolder="03_LY\TRY" measureGroup="StockStore" count="0"/>
    <cacheHierarchy uniqueName="[Measures].[LY Avg Store Stock Cost USD]" caption="LY Avg Store Stock Cost USD" measure="1" displayFolder="03_LY\USD" measureGroup="StockStore" count="0"/>
    <cacheHierarchy uniqueName="[Measures].[LY Avg Store Transit Stock Cost USD]" caption="LY Avg Store Transit Stock Cost USD" measure="1" displayFolder="03_LY\USD" measureGroup="StockStore" count="0"/>
    <cacheHierarchy uniqueName="[Measures].[LY LFL Avg Store Stock Unit]" caption="LY LFL Avg Store Stock Unit" measure="1" displayFolder="04_LYLFL\_UNIT" measureGroup="StockStore" count="0"/>
    <cacheHierarchy uniqueName="[Measures].[LY LFL Avg Store Transit Stock Unit]" caption="LY LFL Avg Store Transit Stock Unit" measure="1" displayFolder="04_LYLFL\_UNIT" measureGroup="StockStore" count="0"/>
    <cacheHierarchy uniqueName="[Measures].[LY LFL Avg Store Stock Cost LC]" caption="LY LFL Avg Store Stock Cost LC" measure="1" displayFolder="04_LYLFL\LC" measureGroup="StockStore" count="0"/>
    <cacheHierarchy uniqueName="[Measures].[LY LFL Avg Store Transit Stock Cost LC]" caption="LY LFL Avg Store Transit Stock Cost LC" measure="1" displayFolder="04_LYLFL\LC" measureGroup="StockStore" count="0"/>
    <cacheHierarchy uniqueName="[Measures].[LY LFL Avg Store Stock Cost TRY]" caption="LY LFL Avg Store Stock Cost TRY" measure="1" displayFolder="04_LYLFL\TRY" measureGroup="StockStore" count="0"/>
    <cacheHierarchy uniqueName="[Measures].[LY LFL Avg Store Transit Stock Cost TRY]" caption="LY LFL Avg Store Transit Stock Cost TRY" measure="1" displayFolder="04_LYLFL\TRY" measureGroup="StockStore" count="0"/>
    <cacheHierarchy uniqueName="[Measures].[LY LFL Avg Store Stock Cost USD]" caption="LY LFL Avg Store Stock Cost USD" measure="1" displayFolder="04_LYLFL\USD" measureGroup="StockStore" count="0"/>
    <cacheHierarchy uniqueName="[Measures].[LY LFL Avg Store Transit Stock Cost USD]" caption="LY LFL Avg Store Transit Stock Cost USD" measure="1" displayFolder="04_LYLFL\USD" measureGroup="StockStore" count="0"/>
    <cacheHierarchy uniqueName="[Measures].[CUR Open Imports Store Stock Unit]" caption="CUR Open Imports Store Stock Unit" measure="1" displayFolder="00_CURRENT" measureGroup="StockStore" count="0"/>
    <cacheHierarchy uniqueName="[Measures].[CUR Open Transfer Store Stock Unit]" caption="CUR Open Transfer Store Stock Unit" measure="1" displayFolder="00_CURRENT" measureGroup="StockStore" count="0"/>
    <cacheHierarchy uniqueName="[Measures].[EOP TY Store Stock Unit]" caption="EOP TY Store Stock Unit" measure="1" displayFolder="01_TY\_UNIT" measureGroup="StockStore" count="0"/>
    <cacheHierarchy uniqueName="[Measures].[EOP TY Avg Store Stock Cost LC]" caption="EOP TY Avg Store Stock Cost LC" measure="1" displayFolder="01_TY\LC" measureGroup="StockStore" count="0"/>
    <cacheHierarchy uniqueName="[Measures].[EOP TY Store Transit Stock Unit]" caption="EOP TY Store Transit Stock Unit" measure="1" displayFolder="01_TY\_UNIT" measureGroup="StockStore" count="0"/>
    <cacheHierarchy uniqueName="[Measures].[EOP TY Avg Store Transit Stock Cost LC]" caption="EOP TY Avg Store Transit Stock Cost LC" measure="1" displayFolder="01_TY\LC" measureGroup="StockStore" count="0"/>
    <cacheHierarchy uniqueName="[Measures].[EOP TY Avg Store Stock Cost TRY]" caption="EOP TY Avg Store Stock Cost TRY" measure="1" displayFolder="01_TY\TRY" measureGroup="StockStore" count="0"/>
    <cacheHierarchy uniqueName="[Measures].[EOP TY Avg Store Transit Stock Cost TRY]" caption="EOP TY Avg Store Transit Stock Cost TRY" measure="1" displayFolder="01_TY\TRY" measureGroup="StockStore" count="0"/>
    <cacheHierarchy uniqueName="[Measures].[EOP LY Store Stock Unit]" caption="EOP LY Store Stock Unit" measure="1" displayFolder="03_LY\_UNIT" measureGroup="StockStore" count="0"/>
    <cacheHierarchy uniqueName="[Measures].[EOP LY Store Transit Stock Unit]" caption="EOP LY Store Transit Stock Unit" measure="1" displayFolder="03_LY\_UNIT" measureGroup="StockStore" count="0"/>
    <cacheHierarchy uniqueName="[Measures].[EOP LY Avg Store Stock Cost LC]" caption="EOP LY Avg Store Stock Cost LC" measure="1" displayFolder="03_LY\LC" measureGroup="StockStore" count="0"/>
    <cacheHierarchy uniqueName="[Measures].[EOP LY Avg Store Transit Stock Cost LC]" caption="EOP LY Avg Store Transit Stock Cost LC" measure="1" displayFolder="03_LY\LC" measureGroup="StockStore" count="0"/>
    <cacheHierarchy uniqueName="[Measures].[EOP LY Avg Store Stock Cost TRY]" caption="EOP LY Avg Store Stock Cost TRY" measure="1" displayFolder="03_LY\TRY" measureGroup="StockStore" count="0"/>
    <cacheHierarchy uniqueName="[Measures].[EOP LY Avg Store Transit Stock Cost TRY]" caption="EOP LY Avg Store Transit Stock Cost TRY" measure="1" displayFolder="03_LY\TRY" measureGroup="StockStore" count="0"/>
    <cacheHierarchy uniqueName="[Measures].[TY Avg Store Other Stock Unit]" caption="TY Avg Store Other Stock Unit" measure="1" displayFolder="01_TY\_UNIT" measureGroup="StockStore" count="0"/>
    <cacheHierarchy uniqueName="[Measures].[TY LFL Avg Store Other Stock Unit]" caption="TY LFL Avg Store Other Stock Unit" measure="1" displayFolder="02_TYLFL\_UNIT" measureGroup="StockStore" count="0"/>
    <cacheHierarchy uniqueName="[Measures].[LY Avg Store Other Stock Unit]" caption="LY Avg Store Other Stock Unit" measure="1" displayFolder="03_LY\_UNIT" measureGroup="StockStore" count="0"/>
    <cacheHierarchy uniqueName="[Measures].[LY LFL Avg Store Other Stock Unit]" caption="LY LFL Avg Store Other Stock Unit" measure="1" displayFolder="04_LYLFL\_UNIT" measureGroup="StockStore" count="0"/>
    <cacheHierarchy uniqueName="[Measures].[TY Avg Company Stock Unit]" caption="TY Avg Company Stock Unit" measure="1" displayFolder="01_TY\_UNIT" measureGroup="StockStore" count="0"/>
    <cacheHierarchy uniqueName="[Measures].[TY Avg Store Other Stock Cost TRY]" caption="TY Avg Store Other Stock Cost TRY" measure="1" displayFolder="01_TY\TRY" measureGroup="StockStore" count="0"/>
    <cacheHierarchy uniqueName="[Measures].[EOP TY Avg Company Stock Cost TRY]" caption="EOP TY Avg Company Stock Cost TRY" measure="1" displayFolder="01_TY\TRY" measureGroup="StockStore" count="0"/>
    <cacheHierarchy uniqueName="[Measures].[EOP TY Avg Store Other Stock Cost TRY]" caption="EOP TY Avg Store Other Stock Cost TRY" measure="1" displayFolder="01_TY\TRY" measureGroup="StockStore" count="0"/>
    <cacheHierarchy uniqueName="[Measures].[TY Avg StoreOther Stock Cost LC]" caption="TY Avg StoreOther Stock Cost LC" measure="1" displayFolder="01_TY\LC" measureGroup="StockStore" count="0"/>
    <cacheHierarchy uniqueName="[Measures].[EOP TY Avg Store Other Stock Cost LC]" caption="EOP TY Avg Store Other Stock Cost LC" measure="1" displayFolder="01_TY\LC" measureGroup="StockStore" count="0"/>
    <cacheHierarchy uniqueName="[Measures].[TY Avg Store Other Stock Cost USD]" caption="TY Avg Store Other Stock Cost USD" measure="1" displayFolder="01_TY\USD" measureGroup="StockStore" count="0"/>
    <cacheHierarchy uniqueName="[Measures].[TY Avg Company Stock Cost TRY]" caption="TY Avg Company Stock Cost TRY" measure="1" displayFolder="01_TY\TRY" measureGroup="StockStore" count="0"/>
    <cacheHierarchy uniqueName="[Measures].[TY Avg Company Stock Cost LC]" caption="TY Avg Company Stock Cost LC" measure="1" displayFolder="01_TY\LC" measureGroup="StockStore" count="0"/>
    <cacheHierarchy uniqueName="[Measures].[TY Avg Company Stock Cost USD]" caption="TY Avg Company Stock Cost USD" measure="1" displayFolder="01_TY\USD" measureGroup="StockStore" count="0"/>
    <cacheHierarchy uniqueName="[Measures].[TY Avg Store Other Stock Cost LC]" caption="TY Avg Store Other Stock Cost LC" measure="1" displayFolder="01_TY\LC" measureGroup="StockStore" count="0"/>
    <cacheHierarchy uniqueName="[Measures].[LY Avg Company Stock Unit]" caption="LY Avg Company Stock Unit" measure="1" displayFolder="03_LY\_UNIT" measureGroup="StockStore" count="0"/>
    <cacheHierarchy uniqueName="[Measures].[LY Avg Company Stock Cost LC]" caption="LY Avg Company Stock Cost LC" measure="1" displayFolder="03_LY\LC" measureGroup="StockStore" count="0"/>
    <cacheHierarchy uniqueName="[Measures].[LY Avg Store Other Stock Cost LC]" caption="LY Avg Store Other Stock Cost LC" measure="1" displayFolder="03_LY\LC" measureGroup="StockStore" count="0"/>
    <cacheHierarchy uniqueName="[Measures].[LY Avg Company Stock Cost TRY]" caption="LY Avg Company Stock Cost TRY" measure="1" displayFolder="03_LY\TRY" measureGroup="StockStore" count="0"/>
    <cacheHierarchy uniqueName="[Measures].[LY Avg Company Stock Cost USD]" caption="LY Avg Company Stock Cost USD" measure="1" displayFolder="03_LY\USD" measureGroup="StockStore" count="0"/>
    <cacheHierarchy uniqueName="[Measures].[EOP TY Company Stock Unit]" caption="EOP TY Company Stock Unit" measure="1" displayFolder="01_TY\_UNIT" measureGroup="StockStore" count="0"/>
    <cacheHierarchy uniqueName="[Measures].[EOP TY Store Other Stock Unit]" caption="EOP TY Store Other Stock Unit" measure="1" displayFolder="01_TY\_UNIT" measureGroup="StockStore" count="0"/>
    <cacheHierarchy uniqueName="[Measures].[EOP TY Company Stock Cost TRY]" caption="EOP TY Company Stock Cost TRY" measure="1" displayFolder="01_TY\TRY" measureGroup="StockStore" count="0"/>
    <cacheHierarchy uniqueName="[Measures].[Cur Unit ISP VAT LC]" caption="Cur Unit ISP VAT LC" measure="1" displayFolder="00_CURRENT" measureGroup="StockStore" count="0"/>
    <cacheHierarchy uniqueName="[Measures].[Cur Discounted Unit ISP VAT LC]" caption="Cur Discounted Unit ISP VAT LC" measure="1" displayFolder="00_CURRENT" measureGroup="StockStore" count="0"/>
    <cacheHierarchy uniqueName="[Measures].[CUR Available Store Stock Unit]" caption="CUR Available Store Stock Unit" measure="1" displayFolder="00_CURRENT" measureGroup="StockStore" count="0"/>
    <cacheHierarchy uniqueName="[Measures].[CUR Real Store Stock Unit]" caption="CUR Real Store Stock Unit" measure="1" displayFolder="00_CURRENT" measureGroup="StockStore" count="0"/>
    <cacheHierarchy uniqueName="[Measures].[CUR Open Delivery Store Stock Unit]" caption="CUR Open Delivery Store Stock Unit" measure="1" displayFolder="00_CURRENT" measureGroup="StockStore" count="0"/>
    <cacheHierarchy uniqueName="[Measures].[CUR Open Sto Store Stock Unit]" caption="CUR Open Sto Store Stock Unit" measure="1" displayFolder="00_CURRENT" measureGroup="StockStore" count="0"/>
    <cacheHierarchy uniqueName="[Measures].[CUR Safety Store Stock Unit]" caption="CUR Safety Store Stock Unit" measure="1" displayFolder="00_CURRENT" measureGroup="StockStore" count="0"/>
    <cacheHierarchy uniqueName="[Measures].[CUR Buffer Store Stock Unit]" caption="CUR Buffer Store Stock Unit" measure="1" displayFolder="00_CURRENT" measureGroup="StockStore" count="0"/>
    <cacheHierarchy uniqueName="[Measures].[CUR Unapproved Order Store Stock Unit]" caption="CUR Unapproved Order Store Stock Unit" measure="1" displayFolder="00_CURRENT" measureGroup="StockStore" count="0"/>
    <cacheHierarchy uniqueName="[Measures].[OrderLastProcessTime]" caption="OrderLastProcessTime" measure="1" displayFolder="00_INFO" measureGroup="StockStore" count="0"/>
    <cacheHierarchy uniqueName="[Measures].[AvailableStockProcessTime]" caption="AvailableStockProcessTime" measure="1" displayFolder="00_INFO" measureGroup="StockStore" count="0"/>
    <cacheHierarchy uniqueName="[Measures].[EOP LY Company Stock Unit]" caption="EOP LY Company Stock Unit" measure="1" displayFolder="03_LY\_UNIT" measureGroup="StockStore" count="0"/>
    <cacheHierarchy uniqueName="[Measures].[EOP LY Store Other Stock Unit]" caption="EOP LY Store Other Stock Unit" measure="1" displayFolder="03_LY\_UNIT" measureGroup="StockStore" count="0"/>
    <cacheHierarchy uniqueName="[Measures].[CUR Open Order Store Stock Unit]" caption="CUR Open Order Store Stock Unit" measure="1" displayFolder="00_CURRENT" measureGroup="StockStore" count="0"/>
    <cacheHierarchy uniqueName="[Measures].[EOP TY Store Stock Dm3]" caption="EOP TY Store Stock Dm3" measure="1" displayFolder="01_TY\_VOLUME" measureGroup="StockStore" count="0"/>
    <cacheHierarchy uniqueName="[Measures].[TY Avg Store Stock Dm3]" caption="TY Avg Store Stock Dm3" measure="1" displayFolder="01_TY\_VOLUME" measureGroup="StockStore" count="0"/>
    <cacheHierarchy uniqueName="[Measures].[EOP TY Store Transit Stock Dm3]" caption="EOP TY Store Transit Stock Dm3" measure="1" displayFolder="01_TY\_VOLUME" measureGroup="StockStore" count="0"/>
    <cacheHierarchy uniqueName="[Measures].[CUR Open Transfer Store Stock Dm3]" caption="CUR Open Transfer Store Stock Dm3" measure="1" displayFolder="00_CURRENT" measureGroup="StockStore" count="0"/>
    <cacheHierarchy uniqueName="[Measures].[CUR Unapproved Order Store Stock Dm3]" caption="CUR Unapproved Order Store Stock Dm3" measure="1" displayFolder="00_CURRENT" measureGroup="StockStore" count="0"/>
    <cacheHierarchy uniqueName="[Measures].[CUR Unapproved Order Store Stock Unit Others]" caption="CUR Unapproved Order Store Stock Unit Others" measure="1" displayFolder="00_CURRENT" measureGroup="StockStore" count="0"/>
    <cacheHierarchy uniqueName="[Measures].[CUR Open Transfer Store Stock Unit Others]" caption="CUR Open Transfer Store Stock Unit Others" measure="1" displayFolder="00_CURRENT" measureGroup="StockStore" count="0"/>
    <cacheHierarchy uniqueName="[Measures].[CUR Open Transfer Store Stock Dm3 Others]" caption="CUR Open Transfer Store Stock Dm3 Others" measure="1" displayFolder="00_CURRENT" measureGroup="StockStore" count="0"/>
    <cacheHierarchy uniqueName="[Measures].[CUR Unapproved Order Store Stock Dm3 Others]" caption="CUR Unapproved Order Store Stock Dm3 Others" measure="1" displayFolder="00_CURRENT" measureGroup="StockStore" count="0"/>
    <cacheHierarchy uniqueName="[Measures].[TY Sales Unit]" caption="TY Sales Unit" measure="1" displayFolder="01_TY\_UNIT" measureGroup="Sales" count="0"/>
    <cacheHierarchy uniqueName="[Measures].[TY Sales Value VAT LC]" caption="TY Sales Value VAT LC" measure="1" displayFolder="01_TY\LC" measureGroup="Sales" count="0"/>
    <cacheHierarchy uniqueName="[Measures].[TY Sales Value LC]" caption="TY Sales Value LC" measure="1" displayFolder="01_TY\LC" measureGroup="Sales" count="0"/>
    <cacheHierarchy uniqueName="[Measures].[TY Sales Cost VAT LC]" caption="TY Sales Cost VAT LC" measure="1" displayFolder="01_TY\LC" measureGroup="Sales" count="0"/>
    <cacheHierarchy uniqueName="[Measures].[TY Sales Cost LC]" caption="TY Sales Cost LC" measure="1" displayFolder="01_TY\LC" measureGroup="Sales" count="0"/>
    <cacheHierarchy uniqueName="[Measures].[TY ISP Sales Value VAT LC]" caption="TY ISP Sales Value VAT LC" measure="1" displayFolder="01_TY\LC" measureGroup="Sales" count="0"/>
    <cacheHierarchy uniqueName="[Measures].[TY ISP Sales Value LC]" caption="TY ISP Sales Value LC" measure="1" displayFolder="01_TY\LC" measureGroup="Sales" count="0"/>
    <cacheHierarchy uniqueName="[Measures].[TY Sales Discount Value VAT LC]" caption="TY Sales Discount Value VAT LC" measure="1" displayFolder="01_TY\LC" measureGroup="Sales" count="0"/>
    <cacheHierarchy uniqueName="[Measures].[TY Sales Discount Value LC]" caption="TY Sales Discount Value LC" measure="1" displayFolder="01_TY\LC" measureGroup="Sales" count="0"/>
    <cacheHierarchy uniqueName="[Measures].[TY Sales Value VAT TRY]" caption="TY Sales Value VAT TRY" measure="1" displayFolder="01_TY\TRY" measureGroup="Sales" count="0"/>
    <cacheHierarchy uniqueName="[Measures].[TY Sales Value TRY]" caption="TY Sales Value TRY" measure="1" displayFolder="01_TY\TRY" measureGroup="Sales" count="0"/>
    <cacheHierarchy uniqueName="[Measures].[TY Sales Cost VAT TRY]" caption="TY Sales Cost VAT TRY" measure="1" displayFolder="01_TY\TRY" measureGroup="Sales" count="0"/>
    <cacheHierarchy uniqueName="[Measures].[TY Sales Cost TRY]" caption="TY Sales Cost TRY" measure="1" displayFolder="01_TY\TRY" measureGroup="Sales" count="0"/>
    <cacheHierarchy uniqueName="[Measures].[TY ISP Sales Value VAT TRY]" caption="TY ISP Sales Value VAT TRY" measure="1" displayFolder="01_TY\TRY" measureGroup="Sales" count="0"/>
    <cacheHierarchy uniqueName="[Measures].[TY ISP Sales Value TRY]" caption="TY ISP Sales Value TRY" measure="1" displayFolder="01_TY\TRY" measureGroup="Sales" count="0"/>
    <cacheHierarchy uniqueName="[Measures].[TY Sales Discount Value VAT TRY]" caption="TY Sales Discount Value VAT TRY" measure="1" displayFolder="01_TY\TRY" measureGroup="Sales" count="0"/>
    <cacheHierarchy uniqueName="[Measures].[TY Sales Discount Value TRY]" caption="TY Sales Discount Value TRY" measure="1" displayFolder="01_TY\TRY" measureGroup="Sales" count="0"/>
    <cacheHierarchy uniqueName="[Measures].[TY Invoice Count]" caption="TY Invoice Count" measure="1" displayFolder="01_TY\_UNIT" measureGroup="Sales" count="0"/>
    <cacheHierarchy uniqueName="[Measures].[TY Return Invoice Count]" caption="TY Return Invoice Count" measure="1" displayFolder="01_TY\_UNIT" measureGroup="Sales" count="0"/>
    <cacheHierarchy uniqueName="[Measures].[TY Gross Invoice Count]" caption="TY Gross Invoice Count" measure="1" displayFolder="01_TY\_UNIT" measureGroup="Sales" count="0"/>
    <cacheHierarchy uniqueName="[Measures].[SalesLastProcessTime]" caption="SalesLastProcessTime" measure="1" displayFolder="00_INFO" measureGroup="Sales" count="0"/>
    <cacheHierarchy uniqueName="[Measures].[TY LFL Gross Invoice Count]" caption="TY LFL Gross Invoice Count" measure="1" displayFolder="02_TYLFL\_UNIT" measureGroup="Sales" count="0"/>
    <cacheHierarchy uniqueName="[Measures].[TY LFL Return Invoice Count]" caption="TY LFL Return Invoice Count" measure="1" displayFolder="02_TYLFL\_UNIT" measureGroup="Sales" count="0"/>
    <cacheHierarchy uniqueName="[Measures].[TY LFL Invoice Count]" caption="TY LFL Invoice Count" measure="1" displayFolder="02_TYLFL\_UNIT" measureGroup="Sales" count="0"/>
    <cacheHierarchy uniqueName="[Measures].[LY Sales Unit]" caption="LY Sales Unit" measure="1" displayFolder="03_LY\_UNIT" measureGroup="Sales" count="0"/>
    <cacheHierarchy uniqueName="[Measures].[LY Sales Value VAT LC]" caption="LY Sales Value VAT LC" measure="1" displayFolder="03_LY\LC" measureGroup="Sales" count="0"/>
    <cacheHierarchy uniqueName="[Measures].[LY Sales Value LC]" caption="LY Sales Value LC" measure="1" displayFolder="03_LY\LC" measureGroup="Sales" count="0"/>
    <cacheHierarchy uniqueName="[Measures].[LY Sales Cost VAT LC]" caption="LY Sales Cost VAT LC" measure="1" displayFolder="03_LY\LC" measureGroup="Sales" count="0"/>
    <cacheHierarchy uniqueName="[Measures].[LY Sales Cost LC]" caption="LY Sales Cost LC" measure="1" displayFolder="03_LY\LC" measureGroup="Sales" count="0"/>
    <cacheHierarchy uniqueName="[Measures].[LY ISP Sales Value VAT LC]" caption="LY ISP Sales Value VAT LC" measure="1" displayFolder="03_LY\LC" measureGroup="Sales" count="0"/>
    <cacheHierarchy uniqueName="[Measures].[LY ISP Sales Value LC]" caption="LY ISP Sales Value LC" measure="1" displayFolder="03_LY\LC" measureGroup="Sales" count="0"/>
    <cacheHierarchy uniqueName="[Measures].[LY Sales Discount Value VAT LC]" caption="LY Sales Discount Value VAT LC" measure="1" displayFolder="03_LY\LC" measureGroup="Sales" count="0"/>
    <cacheHierarchy uniqueName="[Measures].[LY Sales Discount Value LC]" caption="LY Sales Discount Value LC" measure="1" displayFolder="03_LY\LC" measureGroup="Sales" count="0"/>
    <cacheHierarchy uniqueName="[Measures].[LY Invoice Count]" caption="LY Invoice Count" measure="1" displayFolder="03_LY\_UNIT" measureGroup="Sales" count="0"/>
    <cacheHierarchy uniqueName="[Measures].[LY Gross Invoice Count]" caption="LY Gross Invoice Count" measure="1" displayFolder="03_LY\_UNIT" measureGroup="Sales" count="0"/>
    <cacheHierarchy uniqueName="[Measures].[LY Return Invoice Count]" caption="LY Return Invoice Count" measure="1" displayFolder="03_LY\_UNIT" measureGroup="Sales" count="0"/>
    <cacheHierarchy uniqueName="[Measures].[TY LFL Sales Unit]" caption="TY LFL Sales Unit" measure="1" displayFolder="02_TYLFL\_UNIT" measureGroup="Sales" count="0"/>
    <cacheHierarchy uniqueName="[Measures].[TY LFL Sales Value VAT LC]" caption="TY LFL Sales Value VAT LC" measure="1" displayFolder="02_TYLFL\LC" measureGroup="Sales" count="0"/>
    <cacheHierarchy uniqueName="[Measures].[TY LFL Sales Value LC]" caption="TY LFL Sales Value LC" measure="1" displayFolder="02_TYLFL\LC" measureGroup="Sales" count="0"/>
    <cacheHierarchy uniqueName="[Measures].[TY LFL Sales Cost VAT LC]" caption="TY LFL Sales Cost VAT LC" measure="1" displayFolder="02_TYLFL\LC" measureGroup="Sales" count="0"/>
    <cacheHierarchy uniqueName="[Measures].[TY LFL Sales Cost LC]" caption="TY LFL Sales Cost LC" measure="1" displayFolder="02_TYLFL\LC" measureGroup="Sales" count="0"/>
    <cacheHierarchy uniqueName="[Measures].[TY LFL ISP Sales Value VAT LC]" caption="TY LFL ISP Sales Value VAT LC" measure="1" displayFolder="02_TYLFL\LC" measureGroup="Sales" count="0"/>
    <cacheHierarchy uniqueName="[Measures].[TY LFL ISP Sales Value LC]" caption="TY LFL ISP Sales Value LC" measure="1" displayFolder="02_TYLFL\LC" measureGroup="Sales" count="0"/>
    <cacheHierarchy uniqueName="[Measures].[TY LFL Sales Discount Value VAT LC]" caption="TY LFL Sales Discount Value VAT LC" measure="1" displayFolder="02_TYLFL\LC" measureGroup="Sales" count="0"/>
    <cacheHierarchy uniqueName="[Measures].[TY LFL Sales Discount Value LC]" caption="TY LFL Sales Discount Value LC" measure="1" displayFolder="02_TYLFL\LC" measureGroup="Sales" count="0"/>
    <cacheHierarchy uniqueName="[Measures].[TY Sales Value VAT USD]" caption="TY Sales Value VAT USD" measure="1" displayFolder="01_TY\USD" measureGroup="Sales" count="0"/>
    <cacheHierarchy uniqueName="[Measures].[TY Sales Value USD]" caption="TY Sales Value USD" measure="1" displayFolder="01_TY\USD" measureGroup="Sales" count="0"/>
    <cacheHierarchy uniqueName="[Measures].[TY Sales Cost VAT USD]" caption="TY Sales Cost VAT USD" measure="1" displayFolder="01_TY\USD" measureGroup="Sales" count="0"/>
    <cacheHierarchy uniqueName="[Measures].[TY Sales Cost USD]" caption="TY Sales Cost USD" measure="1" displayFolder="01_TY\USD" measureGroup="Sales" count="0"/>
    <cacheHierarchy uniqueName="[Measures].[TY ISP Sales Value VAT USD]" caption="TY ISP Sales Value VAT USD" measure="1" displayFolder="01_TY\USD" measureGroup="Sales" count="0"/>
    <cacheHierarchy uniqueName="[Measures].[TY ISP Sales Value USD]" caption="TY ISP Sales Value USD" measure="1" displayFolder="01_TY\USD" measureGroup="Sales" count="0"/>
    <cacheHierarchy uniqueName="[Measures].[TY Sales Discount Value VAT USD]" caption="TY Sales Discount Value VAT USD" measure="1" displayFolder="01_TY\USD" measureGroup="Sales" count="0"/>
    <cacheHierarchy uniqueName="[Measures].[TY Sales Discount Value USD]" caption="TY Sales Discount Value USD" measure="1" displayFolder="01_TY\USD" measureGroup="Sales" count="0"/>
    <cacheHierarchy uniqueName="[Measures].[TY LFL Sales Value VAT TRY]" caption="TY LFL Sales Value VAT TRY" measure="1" displayFolder="02_TYLFL\TRY" measureGroup="Sales" count="0"/>
    <cacheHierarchy uniqueName="[Measures].[TY LFL Sales Value TRY]" caption="TY LFL Sales Value TRY" measure="1" displayFolder="02_TYLFL\TRY" measureGroup="Sales" count="0"/>
    <cacheHierarchy uniqueName="[Measures].[TY LFL Sales Cost VAT TRY]" caption="TY LFL Sales Cost VAT TRY" measure="1" displayFolder="02_TYLFL\TRY" measureGroup="Sales" count="0"/>
    <cacheHierarchy uniqueName="[Measures].[TY LFL Sales Cost TRY]" caption="TY LFL Sales Cost TRY" measure="1" displayFolder="02_TYLFL\TRY" measureGroup="Sales" count="0"/>
    <cacheHierarchy uniqueName="[Measures].[TY LFL ISP Sales Value VAT TRY]" caption="TY LFL ISP Sales Value VAT TRY" measure="1" displayFolder="02_TYLFL\TRY" measureGroup="Sales" count="0"/>
    <cacheHierarchy uniqueName="[Measures].[TY LFL ISP Sales Value TRY]" caption="TY LFL ISP Sales Value TRY" measure="1" displayFolder="02_TYLFL\TRY" measureGroup="Sales" count="0"/>
    <cacheHierarchy uniqueName="[Measures].[TY LFL Sales Discount Value VAT TRY]" caption="TY LFL Sales Discount Value VAT TRY" measure="1" displayFolder="02_TYLFL\TRY" measureGroup="Sales" count="0"/>
    <cacheHierarchy uniqueName="[Measures].[TY LFL Sales Discount Value TRY]" caption="TY LFL Sales Discount Value TRY" measure="1" displayFolder="02_TYLFL\TRY" measureGroup="Sales" count="0"/>
    <cacheHierarchy uniqueName="[Measures].[TY LFL Sales Value VAT USD]" caption="TY LFL Sales Value VAT USD" measure="1" displayFolder="02_TYLFL\USD" measureGroup="Sales" count="0"/>
    <cacheHierarchy uniqueName="[Measures].[TY LFL Sales Value USD]" caption="TY LFL Sales Value USD" measure="1" displayFolder="02_TYLFL\USD" measureGroup="Sales" count="0"/>
    <cacheHierarchy uniqueName="[Measures].[TY LFL Sales Cost VAT USD]" caption="TY LFL Sales Cost VAT USD" measure="1" displayFolder="02_TYLFL\USD" measureGroup="Sales" count="0"/>
    <cacheHierarchy uniqueName="[Measures].[TY LFL Sales Cost USD]" caption="TY LFL Sales Cost USD" measure="1" displayFolder="02_TYLFL\USD" measureGroup="Sales" count="0"/>
    <cacheHierarchy uniqueName="[Measures].[TY LFL ISP Sales Value VAT USD]" caption="TY LFL ISP Sales Value VAT USD" measure="1" displayFolder="02_TYLFL\USD" measureGroup="Sales" count="0"/>
    <cacheHierarchy uniqueName="[Measures].[TY LFL ISP Sales Value USD]" caption="TY LFL ISP Sales Value USD" measure="1" displayFolder="02_TYLFL\USD" measureGroup="Sales" count="0"/>
    <cacheHierarchy uniqueName="[Measures].[TY LFL Sales Discount Value VAT USD]" caption="TY LFL Sales Discount Value VAT USD" measure="1" displayFolder="02_TYLFL\USD" measureGroup="Sales" count="0"/>
    <cacheHierarchy uniqueName="[Measures].[TY LFL Sales Discount Value USD]" caption="TY LFL Sales Discount Value USD" measure="1" displayFolder="02_TYLFL\USD" measureGroup="Sales" count="0"/>
    <cacheHierarchy uniqueName="[Measures].[LY Sales Value VAT TRY]" caption="LY Sales Value VAT TRY" measure="1" displayFolder="03_LY\TRY" measureGroup="Sales" count="0"/>
    <cacheHierarchy uniqueName="[Measures].[LY Sales Value TRY]" caption="LY Sales Value TRY" measure="1" displayFolder="03_LY\TRY" measureGroup="Sales" count="0"/>
    <cacheHierarchy uniqueName="[Measures].[LY Sales Cost VAT TRY]" caption="LY Sales Cost VAT TRY" measure="1" displayFolder="03_LY\TRY" measureGroup="Sales" count="0"/>
    <cacheHierarchy uniqueName="[Measures].[LY Sales Cost TRY]" caption="LY Sales Cost TRY" measure="1" displayFolder="03_LY\TRY" measureGroup="Sales" count="0"/>
    <cacheHierarchy uniqueName="[Measures].[LY ISP Sales Value VAT TRY]" caption="LY ISP Sales Value VAT TRY" measure="1" displayFolder="03_LY\TRY" measureGroup="Sales" count="0"/>
    <cacheHierarchy uniqueName="[Measures].[LY ISP Sales Value TRY]" caption="LY ISP Sales Value TRY" measure="1" displayFolder="03_LY\TRY" measureGroup="Sales" count="0"/>
    <cacheHierarchy uniqueName="[Measures].[LY Sales Discount Value VAT TRY]" caption="LY Sales Discount Value VAT TRY" measure="1" displayFolder="03_LY\TRY" measureGroup="Sales" count="0"/>
    <cacheHierarchy uniqueName="[Measures].[LY Sales Discount Value TRY]" caption="LY Sales Discount Value TRY" measure="1" displayFolder="03_LY\TRY" measureGroup="Sales" count="0"/>
    <cacheHierarchy uniqueName="[Measures].[LY Sales Value VAT USD]" caption="LY Sales Value VAT USD" measure="1" displayFolder="03_LY\USD" measureGroup="Sales" count="0"/>
    <cacheHierarchy uniqueName="[Measures].[LY Sales Value USD]" caption="LY Sales Value USD" measure="1" displayFolder="03_LY\USD" measureGroup="Sales" count="0"/>
    <cacheHierarchy uniqueName="[Measures].[LY Sales Cost VAT USD]" caption="LY Sales Cost VAT USD" measure="1" displayFolder="03_LY\USD" measureGroup="Sales" count="0"/>
    <cacheHierarchy uniqueName="[Measures].[LY Sales Cost USD]" caption="LY Sales Cost USD" measure="1" displayFolder="03_LY\USD" measureGroup="Sales" count="0"/>
    <cacheHierarchy uniqueName="[Measures].[LY ISP Sales Value VAT USD]" caption="LY ISP Sales Value VAT USD" measure="1" displayFolder="03_LY\USD" measureGroup="Sales" count="0"/>
    <cacheHierarchy uniqueName="[Measures].[LY ISP Sales Value USD]" caption="LY ISP Sales Value USD" measure="1" displayFolder="03_LY\USD" measureGroup="Sales" count="0"/>
    <cacheHierarchy uniqueName="[Measures].[LY Sales Discount Value VAT USD]" caption="LY Sales Discount Value VAT USD" measure="1" displayFolder="03_LY\USD" measureGroup="Sales" count="0"/>
    <cacheHierarchy uniqueName="[Measures].[LY Sales Discount Value USD]" caption="LY Sales Discount Value USD" measure="1" displayFolder="03_LY\USD" measureGroup="Sales" count="0"/>
    <cacheHierarchy uniqueName="[Measures].[LY LFL Sales Unit]" caption="LY LFL Sales Unit" measure="1" displayFolder="04_LYLFL\_UNIT" measureGroup="Sales" count="0"/>
    <cacheHierarchy uniqueName="[Measures].[LY LFL Sales Value VAT LC]" caption="LY LFL Sales Value VAT LC" measure="1" displayFolder="04_LYLFL\LC" measureGroup="Sales" count="0"/>
    <cacheHierarchy uniqueName="[Measures].[LY LFL Sales Value LC]" caption="LY LFL Sales Value LC" measure="1" displayFolder="04_LYLFL\LC" measureGroup="Sales" count="0"/>
    <cacheHierarchy uniqueName="[Measures].[LY LFL Sales Cost VAT LC]" caption="LY LFL Sales Cost VAT LC" measure="1" displayFolder="04_LYLFL\LC" measureGroup="Sales" count="0"/>
    <cacheHierarchy uniqueName="[Measures].[LY LFL Sales Cost LC]" caption="LY LFL Sales Cost LC" measure="1" displayFolder="04_LYLFL\LC" measureGroup="Sales" count="0"/>
    <cacheHierarchy uniqueName="[Measures].[LY LFL ISP Sales Value VAT LC]" caption="LY LFL ISP Sales Value VAT LC" measure="1" displayFolder="04_LYLFL\LC" measureGroup="Sales" count="0"/>
    <cacheHierarchy uniqueName="[Measures].[LY LFL ISP Sales Value LC]" caption="LY LFL ISP Sales Value LC" measure="1" displayFolder="04_LYLFL\LC" measureGroup="Sales" count="0"/>
    <cacheHierarchy uniqueName="[Measures].[LY LFL Sales Discount Value VAT LC]" caption="LY LFL Sales Discount Value VAT LC" measure="1" displayFolder="04_LYLFL\LC" measureGroup="Sales" count="0"/>
    <cacheHierarchy uniqueName="[Measures].[LY LFL Sales Discount Value LC]" caption="LY LFL Sales Discount Value LC" measure="1" displayFolder="04_LYLFL\LC" measureGroup="Sales" count="0"/>
    <cacheHierarchy uniqueName="[Measures].[LY LFL Sales Value VAT TRY]" caption="LY LFL Sales Value VAT TRY" measure="1" displayFolder="04_LYLFL\TRY" measureGroup="Sales" count="0"/>
    <cacheHierarchy uniqueName="[Measures].[LY LFL Sales Value TRY]" caption="LY LFL Sales Value TRY" measure="1" displayFolder="04_LYLFL\TRY" measureGroup="Sales" count="0"/>
    <cacheHierarchy uniqueName="[Measures].[LY LFL Sales Cost VAT TRY]" caption="LY LFL Sales Cost VAT TRY" measure="1" displayFolder="04_LYLFL\TRY" measureGroup="Sales" count="0"/>
    <cacheHierarchy uniqueName="[Measures].[LY LFL Sales Cost TRY]" caption="LY LFL Sales Cost TRY" measure="1" displayFolder="04_LYLFL\TRY" measureGroup="Sales" count="0"/>
    <cacheHierarchy uniqueName="[Measures].[LY LFL ISP Sales Value VAT TRY]" caption="LY LFL ISP Sales Value VAT TRY" measure="1" displayFolder="04_LYLFL\TRY" measureGroup="Sales" count="0"/>
    <cacheHierarchy uniqueName="[Measures].[LY LFL ISP Sales Value TRY]" caption="LY LFL ISP Sales Value TRY" measure="1" displayFolder="04_LYLFL\TRY" measureGroup="Sales" count="0"/>
    <cacheHierarchy uniqueName="[Measures].[LY LFL Sales Discount Value VAT TRY]" caption="LY LFL Sales Discount Value VAT TRY" measure="1" displayFolder="04_LYLFL\TRY" measureGroup="Sales" count="0"/>
    <cacheHierarchy uniqueName="[Measures].[LY LFL Sales Discount Value TRY]" caption="LY LFL Sales Discount Value TRY" measure="1" displayFolder="04_LYLFL\TRY" measureGroup="Sales" count="0"/>
    <cacheHierarchy uniqueName="[Measures].[LY LFL Gross Invoice Count]" caption="LY LFL Gross Invoice Count" measure="1" displayFolder="04_LYLFL\_UNIT" measureGroup="Sales" count="0"/>
    <cacheHierarchy uniqueName="[Measures].[LY LFL Return Invoice Count]" caption="LY LFL Return Invoice Count" measure="1" displayFolder="04_LYLFL\_UNIT" measureGroup="Sales" count="0"/>
    <cacheHierarchy uniqueName="[Measures].[LY LFL Invoice Count]" caption="LY LFL Invoice Count" measure="1" displayFolder="04_LYLFL\_UNIT" measureGroup="Sales" count="0"/>
    <cacheHierarchy uniqueName="[Measures].[LY LFL Sales Value VAT USD]" caption="LY LFL Sales Value VAT USD" measure="1" displayFolder="04_LYLFL\USD" measureGroup="Sales" count="0"/>
    <cacheHierarchy uniqueName="[Measures].[LY LFL Sales Value USD]" caption="LY LFL Sales Value USD" measure="1" displayFolder="04_LYLFL\USD" measureGroup="Sales" count="0"/>
    <cacheHierarchy uniqueName="[Measures].[LY LFL Sales Cost VAT USD]" caption="LY LFL Sales Cost VAT USD" measure="1" displayFolder="04_LYLFL\USD" measureGroup="Sales" count="0"/>
    <cacheHierarchy uniqueName="[Measures].[LY LFL Sales Cost USD]" caption="LY LFL Sales Cost USD" measure="1" displayFolder="04_LYLFL\USD" measureGroup="Sales" count="0"/>
    <cacheHierarchy uniqueName="[Measures].[LY LFL ISP Sales Value VAT USD]" caption="LY LFL ISP Sales Value VAT USD" measure="1" displayFolder="04_LYLFL\USD" measureGroup="Sales" count="0"/>
    <cacheHierarchy uniqueName="[Measures].[LY LFL ISP Sales Value USD]" caption="LY LFL ISP Sales Value USD" measure="1" displayFolder="04_LYLFL\USD" measureGroup="Sales" count="0"/>
    <cacheHierarchy uniqueName="[Measures].[LY LFL Sales Discount Value VAT USD]" caption="LY LFL Sales Discount Value VAT USD" measure="1" displayFolder="04_LYLFL\USD" measureGroup="Sales" count="0"/>
    <cacheHierarchy uniqueName="[Measures].[LY LFL Sales Discount Value USD]" caption="LY LFL Sales Discount Value USD" measure="1" displayFolder="04_LYLFL\USD" measureGroup="Sales" count="0"/>
    <cacheHierarchy uniqueName="[Measures].[MinLflDate]" caption="MinLflDate" measure="1" displayFolder="00_INFO" measureGroup="Sales" count="0"/>
    <cacheHierarchy uniqueName="[Measures].[TY Unit Sales Price LC]" caption="TY Unit Sales Price LC" measure="1" displayFolder="01_TY\LC" measureGroup="Sales" count="0"/>
    <cacheHierarchy uniqueName="[Measures].[TY Unit Cost LC]" caption="TY Unit Cost LC" measure="1" displayFolder="01_TY\LC" measureGroup="Sales" count="0"/>
    <cacheHierarchy uniqueName="[Measures].[TY Unit ISP LC]" caption="TY Unit ISP LC" measure="1" displayFolder="01_TY\LC" measureGroup="Sales" count="0"/>
    <cacheHierarchy uniqueName="[Measures].[LY Unit Sales Price LC]" caption="LY Unit Sales Price LC" measure="1" displayFolder="03_LY\LC" measureGroup="Sales" count="0"/>
    <cacheHierarchy uniqueName="[Measures].[LY Unit Cost LC]" caption="LY Unit Cost LC" measure="1" displayFolder="03_LY\LC" measureGroup="Sales" count="0"/>
    <cacheHierarchy uniqueName="[Measures].[LY Unit ISP LC]" caption="LY Unit ISP LC" measure="1" displayFolder="03_LY\LC" measureGroup="Sales" count="0"/>
    <cacheHierarchy uniqueName="[Measures].[TY LFL Unit Sales Price LC]" caption="TY LFL Unit Sales Price LC" measure="1" displayFolder="02_TYLFL\LC" measureGroup="Sales" count="0"/>
    <cacheHierarchy uniqueName="[Measures].[TY LFL Unit Cost LC]" caption="TY LFL Unit Cost LC" measure="1" displayFolder="02_TYLFL\LC" measureGroup="Sales" count="0"/>
    <cacheHierarchy uniqueName="[Measures].[TY LFL Unit ISP LC]" caption="TY LFL Unit ISP LC" measure="1" displayFolder="02_TYLFL\LC" measureGroup="Sales" count="0"/>
    <cacheHierarchy uniqueName="[Measures].[LY LFL Unit Sales Price LC]" caption="LY LFL Unit Sales Price LC" measure="1" displayFolder="04_LYLFL\LC" measureGroup="Sales" count="0"/>
    <cacheHierarchy uniqueName="[Measures].[LY LFL Unit Cost LC]" caption="LY LFL Unit Cost LC" measure="1" displayFolder="04_LYLFL\LC" measureGroup="Sales" count="0"/>
    <cacheHierarchy uniqueName="[Measures].[LY LFL Unit ISP LC]" caption="LY LFL Unit ISP LC" measure="1" displayFolder="04_LYLFL\LC" measureGroup="Sales" count="0"/>
    <cacheHierarchy uniqueName="[Measures].[TY Unit Sales Price TRY]" caption="TY Unit Sales Price TRY" measure="1" displayFolder="01_TY\TRY" measureGroup="Sales" count="0"/>
    <cacheHierarchy uniqueName="[Measures].[TY Unit Cost TRY]" caption="TY Unit Cost TRY" measure="1" displayFolder="01_TY\TRY" measureGroup="Sales" count="0"/>
    <cacheHierarchy uniqueName="[Measures].[TY Unit ISP TRY]" caption="TY Unit ISP TRY" measure="1" displayFolder="01_TY\TRY" measureGroup="Sales" count="0"/>
    <cacheHierarchy uniqueName="[Measures].[LY Unit Sales Price TRY]" caption="LY Unit Sales Price TRY" measure="1" displayFolder="03_LY\TRY" measureGroup="Sales" count="0"/>
    <cacheHierarchy uniqueName="[Measures].[LY Unit Cost TRY]" caption="LY Unit Cost TRY" measure="1" displayFolder="03_LY\TRY" measureGroup="Sales" count="0"/>
    <cacheHierarchy uniqueName="[Measures].[LY Unit ISP TRY]" caption="LY Unit ISP TRY" measure="1" displayFolder="03_LY\TRY" measureGroup="Sales" count="0"/>
    <cacheHierarchy uniqueName="[Measures].[TY LFL Unit Sales Price TRY]" caption="TY LFL Unit Sales Price TRY" measure="1" displayFolder="02_TYLFL\TRY" measureGroup="Sales" count="0"/>
    <cacheHierarchy uniqueName="[Measures].[TY LFL Unit Cost TRY]" caption="TY LFL Unit Cost TRY" measure="1" displayFolder="02_TYLFL\TRY" measureGroup="Sales" count="0"/>
    <cacheHierarchy uniqueName="[Measures].[TY LFL Unit ISP TRY]" caption="TY LFL Unit ISP TRY" measure="1" displayFolder="02_TYLFL\TRY" measureGroup="Sales" count="0"/>
    <cacheHierarchy uniqueName="[Measures].[LY LFL Unit Sales Price TRY]" caption="LY LFL Unit Sales Price TRY" measure="1" displayFolder="04_LYLFL\TRY" measureGroup="Sales" count="0"/>
    <cacheHierarchy uniqueName="[Measures].[LY LFL Unit Cost TRY]" caption="LY LFL Unit Cost TRY" measure="1" displayFolder="04_LYLFL\TRY" measureGroup="Sales" count="0"/>
    <cacheHierarchy uniqueName="[Measures].[LY LFL Unit ISP TRY]" caption="LY LFL Unit ISP TRY" measure="1" displayFolder="04_LYLFL\TRY" measureGroup="Sales" count="0"/>
    <cacheHierarchy uniqueName="[Measures].[TY Unit Sales Price USD]" caption="TY Unit Sales Price USD" measure="1" displayFolder="01_TY\USD" measureGroup="Sales" count="0"/>
    <cacheHierarchy uniqueName="[Measures].[TY Unit Cost USD]" caption="TY Unit Cost USD" measure="1" displayFolder="01_TY\USD" measureGroup="Sales" count="0"/>
    <cacheHierarchy uniqueName="[Measures].[TY Unit ISP USD]" caption="TY Unit ISP USD" measure="1" displayFolder="01_TY\USD" measureGroup="Sales" count="0"/>
    <cacheHierarchy uniqueName="[Measures].[LY Unit Sales Price USD]" caption="LY Unit Sales Price USD" measure="1" displayFolder="03_LY\USD" measureGroup="Sales" count="0"/>
    <cacheHierarchy uniqueName="[Measures].[LY Unit Cost USD]" caption="LY Unit Cost USD" measure="1" displayFolder="03_LY\USD" measureGroup="Sales" count="0"/>
    <cacheHierarchy uniqueName="[Measures].[LY Unit ISP USD]" caption="LY Unit ISP USD" measure="1" displayFolder="03_LY\USD" measureGroup="Sales" count="0"/>
    <cacheHierarchy uniqueName="[Measures].[TY LFL Unit Sales Price USD]" caption="TY LFL Unit Sales Price USD" measure="1" displayFolder="02_TYLFL\USD" measureGroup="Sales" count="0"/>
    <cacheHierarchy uniqueName="[Measures].[TY LFL Unit Cost USD]" caption="TY LFL Unit Cost USD" measure="1" displayFolder="02_TYLFL\USD" measureGroup="Sales" count="0"/>
    <cacheHierarchy uniqueName="[Measures].[TY LFL Unit ISP USD]" caption="TY LFL Unit ISP USD" measure="1" displayFolder="02_TYLFL\USD" measureGroup="Sales" count="0"/>
    <cacheHierarchy uniqueName="[Measures].[LY LFL Unit Sales Price USD]" caption="LY LFL Unit Sales Price USD" measure="1" displayFolder="04_LYLFL\USD" measureGroup="Sales" count="0"/>
    <cacheHierarchy uniqueName="[Measures].[LY LFL Unit Cost USD]" caption="LY LFL Unit Cost USD" measure="1" displayFolder="04_LYLFL\USD" measureGroup="Sales" count="0"/>
    <cacheHierarchy uniqueName="[Measures].[LY LFL Unit ISP USD]" caption="LY LFL Unit ISP USD" measure="1" displayFolder="04_LYLFL\USD" measureGroup="Sales" count="0"/>
    <cacheHierarchy uniqueName="[Measures].[TY Gross Profit LC]" caption="TY Gross Profit LC" measure="1" displayFolder="01_TY\LC" measureGroup="Sales" count="0"/>
    <cacheHierarchy uniqueName="[Measures].[TY Gross Profit VAT LC]" caption="TY Gross Profit VAT LC" measure="1" displayFolder="01_TY\LC" measureGroup="Sales" count="0"/>
    <cacheHierarchy uniqueName="[Measures].[LY Gross Profit LC]" caption="LY Gross Profit LC" measure="1" displayFolder="03_LY\LC" measureGroup="Sales" count="0"/>
    <cacheHierarchy uniqueName="[Measures].[LY Gross Profit VAT LC]" caption="LY Gross Profit VAT LC" measure="1" displayFolder="03_LY\LC" measureGroup="Sales" count="0"/>
    <cacheHierarchy uniqueName="[Measures].[TY Gross Profit TRY]" caption="TY Gross Profit TRY" measure="1" displayFolder="01_TY\TRY" measureGroup="Sales" count="0"/>
    <cacheHierarchy uniqueName="[Measures].[TY Gross Profit VAT TRY]" caption="TY Gross Profit VAT TRY" measure="1" displayFolder="01_TY\TRY" measureGroup="Sales" count="0"/>
    <cacheHierarchy uniqueName="[Measures].[TY Gross Profit USD]" caption="TY Gross Profit USD" measure="1" displayFolder="01_TY\USD" measureGroup="Sales" count="0"/>
    <cacheHierarchy uniqueName="[Measures].[TY Gross Profit VAT USD]" caption="TY Gross Profit VAT USD" measure="1" displayFolder="01_TY\USD" measureGroup="Sales" count="0"/>
    <cacheHierarchy uniqueName="[Measures].[LY Gross Profit TRY]" caption="LY Gross Profit TRY" measure="1" displayFolder="03_LY\TRY" measureGroup="Sales" count="0"/>
    <cacheHierarchy uniqueName="[Measures].[LY Gross Profit VAT TRY]" caption="LY Gross Profit VAT TRY" measure="1" displayFolder="03_LY\TRY" measureGroup="Sales" count="0"/>
    <cacheHierarchy uniqueName="[Measures].[LY Gross Profit USD]" caption="LY Gross Profit USD" measure="1" displayFolder="03_LY\USD" measureGroup="Sales" count="0"/>
    <cacheHierarchy uniqueName="[Measures].[LY Gross Profit VAT USD]" caption="LY Gross Profit VAT USD" measure="1" displayFolder="03_LY\USD" measureGroup="Sales" count="0"/>
    <cacheHierarchy uniqueName="[Measures].[TY LFL Gross Profit LC]" caption="TY LFL Gross Profit LC" measure="1" displayFolder="02_TYLFL\LC" measureGroup="Sales" count="0"/>
    <cacheHierarchy uniqueName="[Measures].[TY LFL Gross Profit VAT LC]" caption="TY LFL Gross Profit VAT LC" measure="1" displayFolder="02_TYLFL\LC" measureGroup="Sales" count="0"/>
    <cacheHierarchy uniqueName="[Measures].[TY LFL Gross Profit TRY]" caption="TY LFL Gross Profit TRY" measure="1" displayFolder="02_TYLFL\TRY" measureGroup="Sales" count="0"/>
    <cacheHierarchy uniqueName="[Measures].[TY LFL Gross Profit VAT TRY]" caption="TY LFL Gross Profit VAT TRY" measure="1" displayFolder="02_TYLFL\TRY" measureGroup="Sales" count="0"/>
    <cacheHierarchy uniqueName="[Measures].[TY LFL Gross Profit USD]" caption="TY LFL Gross Profit USD" measure="1" displayFolder="02_TYLFL\USD" measureGroup="Sales" count="0"/>
    <cacheHierarchy uniqueName="[Measures].[TY LFL Gross Profit VAT USD]" caption="TY LFL Gross Profit VAT USD" measure="1" displayFolder="02_TYLFL\USD" measureGroup="Sales" count="0"/>
    <cacheHierarchy uniqueName="[Measures].[LY LFL Gross Profit LC]" caption="LY LFL Gross Profit LC" measure="1" displayFolder="04_LYLFL\LC" measureGroup="Sales" count="0"/>
    <cacheHierarchy uniqueName="[Measures].[LY LFL Gross Profit VAT LC]" caption="LY LFL Gross Profit VAT LC" measure="1" displayFolder="04_LYLFL\LC" measureGroup="Sales" count="0"/>
    <cacheHierarchy uniqueName="[Measures].[LY LFL Gross Profit TRY]" caption="LY LFL Gross Profit TRY" measure="1" displayFolder="04_LYLFL\TRY" measureGroup="Sales" count="0"/>
    <cacheHierarchy uniqueName="[Measures].[LY LFL Gross Profit VAT TRY]" caption="LY LFL Gross Profit VAT TRY" measure="1" displayFolder="04_LYLFL\TRY" measureGroup="Sales" count="0"/>
    <cacheHierarchy uniqueName="[Measures].[LY LFL Gross Profit USD]" caption="LY LFL Gross Profit USD" measure="1" displayFolder="04_LYLFL\USD" measureGroup="Sales" count="0"/>
    <cacheHierarchy uniqueName="[Measures].[LY LFL Gross Profit VAT USD]" caption="LY LFL Gross Profit VAT USD" measure="1" displayFolder="04_LYLFL\USD" measureGroup="Sales" count="0"/>
    <cacheHierarchy uniqueName="[Measures].[TY Unit ISP VAT LC]" caption="TY Unit ISP VAT LC" measure="1" displayFolder="01_TY\LC" measureGroup="Sales" count="0"/>
    <cacheHierarchy uniqueName="[Measures].[LY Unit ISP VAT LC]" caption="LY Unit ISP VAT LC" measure="1" displayFolder="03_LY\LC" measureGroup="Sales" count="0"/>
    <cacheHierarchy uniqueName="[Measures].[TY LFL Unit ISP VAT LC]" caption="TY LFL Unit ISP VAT LC" measure="1" displayFolder="02_TYLFL\LC" measureGroup="Sales" count="0"/>
    <cacheHierarchy uniqueName="[Measures].[LY LFL Unit ISP VAT LC]" caption="LY LFL Unit ISP VAT LC" measure="1" displayFolder="02_TYLFL\LC" measureGroup="Sales" count="0"/>
    <cacheHierarchy uniqueName="[Measures].[TY Unit ISP VAT TRY]" caption="TY Unit ISP VAT TRY" measure="1" displayFolder="01_TY\TRY" measureGroup="Sales" count="0"/>
    <cacheHierarchy uniqueName="[Measures].[LY Unit ISP VAT TRY]" caption="LY Unit ISP VAT TRY" measure="1" displayFolder="03_LY\TRY" measureGroup="Sales" count="0"/>
    <cacheHierarchy uniqueName="[Measures].[TY LFL Unit ISP VAT TRY]" caption="TY LFL Unit ISP VAT TRY" measure="1" displayFolder="02_TYLFL\TRY" measureGroup="Sales" count="0"/>
    <cacheHierarchy uniqueName="[Measures].[LY LFL Unit ISP VAT TRY]" caption="LY LFL Unit ISP VAT TRY" measure="1" displayFolder="04_LYLFL\TRY" measureGroup="Sales" count="0"/>
    <cacheHierarchy uniqueName="[Measures].[TY Unit ISP VAT USD]" caption="TY Unit ISP VAT USD" measure="1" displayFolder="01_TY\USD" measureGroup="Sales" count="0"/>
    <cacheHierarchy uniqueName="[Measures].[LY Unit ISP VAT USD]" caption="LY Unit ISP VAT USD" measure="1" displayFolder="03_LY\USD" measureGroup="Sales" count="0"/>
    <cacheHierarchy uniqueName="[Measures].[TY LFL Unit ISP VAT USD]" caption="TY LFL Unit ISP VAT USD" measure="1" displayFolder="02_TYLFL\USD" measureGroup="Sales" count="0"/>
    <cacheHierarchy uniqueName="[Measures].[LY LFL Unit ISP VAT USD]" caption="LY LFL Unit ISP VAT USD" measure="1" displayFolder="04_LYLFL\USD" measureGroup="Sales" count="0"/>
    <cacheHierarchy uniqueName="[Measures].[TY Target Sales Value LC]" caption="TY Target Sales Value LC" measure="1" displayFolder="01_TY\LC" measureGroup="Sales" count="0"/>
    <cacheHierarchy uniqueName="[Measures].[TY Target Sales Value TRY]" caption="TY Target Sales Value TRY" measure="1" displayFolder="01_TY\TRY" measureGroup="Sales" count="0"/>
    <cacheHierarchy uniqueName="[Measures].[TY Target Sales Value USD]" caption="TY Target Sales Value USD" measure="1" displayFolder="01_TY\USD" measureGroup="Sales" count="0"/>
    <cacheHierarchy uniqueName="[Measures].[LY Target Sales Value LC]" caption="LY Target Sales Value LC" measure="1" displayFolder="03_LY\LC" measureGroup="Sales" count="0"/>
    <cacheHierarchy uniqueName="[Measures].[LY Target Sales Value TRY]" caption="LY Target Sales Value TRY" measure="1" displayFolder="03_LY\TRY" measureGroup="Sales" count="0"/>
    <cacheHierarchy uniqueName="[Measures].[LY Target Sales Value USD]" caption="LY Target Sales Value USD" measure="1" displayFolder="03_LY\USD" measureGroup="Sales" count="0"/>
    <cacheHierarchy uniqueName="[Measures].[TY LFL Target Sales Value LC]" caption="TY LFL Target Sales Value LC" measure="1" displayFolder="02_TYLFL\LC" measureGroup="Sales" count="0"/>
    <cacheHierarchy uniqueName="[Measures].[TY LFL Target Sales Value TRY]" caption="TY LFL Target Sales Value TRY" measure="1" displayFolder="02_TYLFL\TRY" measureGroup="Sales" count="0"/>
    <cacheHierarchy uniqueName="[Measures].[TY LFL Target Sales Value USD]" caption="TY LFL Target Sales Value USD" measure="1" displayFolder="02_TYLFL\USD" measureGroup="Sales" count="0"/>
    <cacheHierarchy uniqueName="[Measures].[LY LFL Target Sales Value LC]" caption="LY LFL Target Sales Value LC" measure="1" displayFolder="04_LYLFL\LC" measureGroup="Sales" count="0"/>
    <cacheHierarchy uniqueName="[Measures].[LY LFL Target Sales Value TRY]" caption="LY LFL Target Sales Value TRY" measure="1" displayFolder="04_LYLFL\TRY" measureGroup="Sales" count="0"/>
    <cacheHierarchy uniqueName="[Measures].[LY LFL Target Sales Value USD]" caption="LY LFL Target Sales Value USD" measure="1" displayFolder="04_LYLFL\USD" measureGroup="Sales" count="0"/>
    <cacheHierarchy uniqueName="[Measures].[TY Sales Cost LC Forecast]" caption="TY Sales Cost LC Forecast" measure="1" displayFolder="01_TY\LC" measureGroup="Sales" count="0"/>
    <cacheHierarchy uniqueName="[Measures].[TY Gross Profit LC Forecast]" caption="TY Gross Profit LC Forecast" measure="1" displayFolder="01_TY\LC" measureGroup="Sales" count="0"/>
    <cacheHierarchy uniqueName="[Measures].[TY Gross Marjin LC% Forecast]" caption="TY Gross Marjin LC% Forecast" measure="1" displayFolder="01_TY\LC" measureGroup="Sales" count="0"/>
    <cacheHierarchy uniqueName="[Measures].[TY Sales Unit Dm3]" caption="TY Sales Unit Dm3" measure="1" displayFolder="01_TY\_VOLUME" measureGroup="Sales" count="0"/>
    <cacheHierarchy uniqueName="[Measures].[TY Sales Budget Unit]" caption="TY Sales Budget Unit" measure="1" displayFolder="TY\_UNIT" measureGroup="SalesBudget" count="0"/>
    <cacheHierarchy uniqueName="[Measures].[TY Sales Budget Value LC]" caption="TY Sales Budget Value LC" measure="1" displayFolder="TY\LC" measureGroup="SalesBudget" count="0"/>
    <cacheHierarchy uniqueName="[Measures].[TY Sales Budget Cost LC]" caption="TY Sales Budget Cost LC" measure="1" displayFolder="TY\LC" measureGroup="SalesBudget" count="0"/>
    <cacheHierarchy uniqueName="[Measures].[TY Sales Budget Profit Value LC]" caption="TY Sales Budget Profit Value LC" measure="1" displayFolder="TY\LC" measureGroup="SalesBudget" count="0"/>
    <cacheHierarchy uniqueName="[Measures].[Achieved TY Sales Budget Unit]" caption="Achieved TY Sales Budget Unit" measure="1" displayFolder="TY\_UNIT" measureGroup="SalesBudget" count="0"/>
    <cacheHierarchy uniqueName="[Measures].[Achieved TY Sales Budget Value LC]" caption="Achieved TY Sales Budget Value LC" measure="1" displayFolder="TY\LC" measureGroup="SalesBudget" count="0"/>
    <cacheHierarchy uniqueName="[Measures].[Achieved TY Sales Budget Cost LC]" caption="Achieved TY Sales Budget Cost LC" measure="1" displayFolder="TY\LC" measureGroup="SalesBudget" count="0"/>
    <cacheHierarchy uniqueName="[Measures].[Achieved TY Sales Budget Profit Value LC]" caption="Achieved TY Sales Budget Profit Value LC" measure="1" displayFolder="TY\LC" measureGroup="SalesBudget" count="0"/>
    <cacheHierarchy uniqueName="[Measures].[TY Budget Unit Gap]" caption="TY Budget Unit Gap" measure="1" displayFolder="TY\_UNIT" measureGroup="SalesBudget" count="0"/>
    <cacheHierarchy uniqueName="[Measures].[TY Sales Budget Value LC Gap]" caption="TY Sales Budget Value LC Gap" measure="1" displayFolder="TY\LC" measureGroup="SalesBudget" count="0"/>
    <cacheHierarchy uniqueName="[Measures].[TY Sales Budget Cost LC Gap]" caption="TY Sales Budget Cost LC Gap" measure="1" displayFolder="TY\LC" measureGroup="SalesBudget" count="0"/>
    <cacheHierarchy uniqueName="[Measures].[TY Sales Budget Profit Value LC Gap]" caption="TY Sales Budget Profit Value LC Gap" measure="1" displayFolder="TY\LC" measureGroup="SalesBudget" count="0"/>
    <cacheHierarchy uniqueName="[Measures].[TY Sales Budget Value TRY]" caption="TY Sales Budget Value TRY" measure="1" displayFolder="TY\TRY" measureGroup="SalesBudget" count="0"/>
    <cacheHierarchy uniqueName="[Measures].[TY Sales Budget Cost TRY]" caption="TY Sales Budget Cost TRY" measure="1" displayFolder="TY\TRY" measureGroup="SalesBudget" count="0"/>
    <cacheHierarchy uniqueName="[Measures].[TY Sales Budget Profit Value TRY]" caption="TY Sales Budget Profit Value TRY" measure="1" displayFolder="TY\TRY" measureGroup="SalesBudget" count="0"/>
    <cacheHierarchy uniqueName="[Measures].[TY Sales Budget Value USD]" caption="TY Sales Budget Value USD" measure="1" displayFolder="TY\USD" measureGroup="SalesBudget" count="0"/>
    <cacheHierarchy uniqueName="[Measures].[TY Sales Budget Cost USD]" caption="TY Sales Budget Cost USD" measure="1" displayFolder="TY\USD" measureGroup="SalesBudget" count="0"/>
    <cacheHierarchy uniqueName="[Measures].[Achieved TY Sales Budget Value TRY]" caption="Achieved TY Sales Budget Value TRY" measure="1" displayFolder="TY\TRY" measureGroup="SalesBudget" count="0"/>
    <cacheHierarchy uniqueName="[Measures].[Achieved TY Sales Budget Cost TRY]" caption="Achieved TY Sales Budget Cost TRY" measure="1" displayFolder="TY\TRY" measureGroup="SalesBudget" count="0"/>
    <cacheHierarchy uniqueName="[Measures].[Achieved TY Sales Budget Profit Value TRY]" caption="Achieved TY Sales Budget Profit Value TRY" measure="1" displayFolder="TY\TRY" measureGroup="SalesBudget" count="0"/>
    <cacheHierarchy uniqueName="[Measures].[Achieved TY Sales Budget Value USD]" caption="Achieved TY Sales Budget Value USD" measure="1" displayFolder="TY\USD" measureGroup="SalesBudget" count="0"/>
    <cacheHierarchy uniqueName="[Measures].[TY Sales Budget Profit Value USD]" caption="TY Sales Budget Profit Value USD" measure="1" displayFolder="TY\USD" measureGroup="SalesBudget" count="0"/>
    <cacheHierarchy uniqueName="[Measures].[Achieved TY Sales Budget Cost USD]" caption="Achieved TY Sales Budget Cost USD" measure="1" displayFolder="TY\USD" measureGroup="SalesBudget" count="0"/>
    <cacheHierarchy uniqueName="[Measures].[TY Sales Budget Value TRY Gap]" caption="TY Sales Budget Value TRY Gap" measure="1" displayFolder="TY\TRY" measureGroup="SalesBudget" count="0"/>
    <cacheHierarchy uniqueName="[Measures].[TY Sales Budget Cost TRY Gap]" caption="TY Sales Budget Cost TRY Gap" measure="1" displayFolder="TY\TRY" measureGroup="SalesBudget" count="0"/>
    <cacheHierarchy uniqueName="[Measures].[TY Sales Budget Profit Value TRY Gap]" caption="TY Sales Budget Profit Value TRY Gap" measure="1" displayFolder="TY\TRY" measureGroup="SalesBudget" count="0"/>
    <cacheHierarchy uniqueName="[Measures].[Achieved TY Sales Budget Profit Value USD]" caption="Achieved TY Sales Budget Profit Value USD" measure="1" displayFolder="TY\USD" measureGroup="SalesBudget" count="0"/>
    <cacheHierarchy uniqueName="[Measures].[TY Sales Budget Value USD Gap]" caption="TY Sales Budget Value USD Gap" measure="1" displayFolder="TY\USD" measureGroup="SalesBudget" count="0"/>
    <cacheHierarchy uniqueName="[Measures].[TY Sales Budget Cost USD Gap]" caption="TY Sales Budget Cost USD Gap" measure="1" displayFolder="TY\USD" measureGroup="SalesBudget" count="0"/>
    <cacheHierarchy uniqueName="[Measures].[TY Sales Budget Profit Value USD Gap]" caption="TY Sales Budget Profit Value USD Gap" measure="1" displayFolder="TY\USD" measureGroup="SalesBudget" count="0"/>
    <cacheHierarchy uniqueName="[Measures].[LY Sales Budget Unit]" caption="LY Sales Budget Unit" measure="1" displayFolder="LY\_UNIT" measureGroup="SalesBudget" count="0"/>
    <cacheHierarchy uniqueName="[Measures].[Achieved LY Sales Budget Unit]" caption="Achieved LY Sales Budget Unit" measure="1" displayFolder="LY\_UNIT" measureGroup="SalesBudget" count="0"/>
    <cacheHierarchy uniqueName="[Measures].[LY Budget Unit Gap]" caption="LY Budget Unit Gap" measure="1" displayFolder="LY\_UNIT" measureGroup="SalesBudget" count="0"/>
    <cacheHierarchy uniqueName="[Measures].[LY Sales Budget Value LC]" caption="LY Sales Budget Value LC" measure="1" displayFolder="LY\LC" measureGroup="SalesBudget" count="0"/>
    <cacheHierarchy uniqueName="[Measures].[LY Sales Budget Cost LC]" caption="LY Sales Budget Cost LC" measure="1" displayFolder="LY\LC" measureGroup="SalesBudget" count="0"/>
    <cacheHierarchy uniqueName="[Measures].[LY Sales Budget Profit Value LC]" caption="LY Sales Budget Profit Value LC" measure="1" displayFolder="LY\LC" measureGroup="SalesBudget" count="0"/>
    <cacheHierarchy uniqueName="[Measures].[Achieved LY Sales Budget Value LC]" caption="Achieved LY Sales Budget Value LC" measure="1" displayFolder="LY\LC" measureGroup="SalesBudget" count="0"/>
    <cacheHierarchy uniqueName="[Measures].[Achieved LY Sales Budget Cost LC]" caption="Achieved LY Sales Budget Cost LC" measure="1" displayFolder="LY\LC" measureGroup="SalesBudget" count="0"/>
    <cacheHierarchy uniqueName="[Measures].[Achieved LY Sales Budget Profit Value LC]" caption="Achieved LY Sales Budget Profit Value LC" measure="1" displayFolder="LY\LC" measureGroup="SalesBudget" count="0"/>
    <cacheHierarchy uniqueName="[Measures].[LY Sales Budget Value LC Gap]" caption="LY Sales Budget Value LC Gap" measure="1" displayFolder="LY\LC" measureGroup="SalesBudget" count="0"/>
    <cacheHierarchy uniqueName="[Measures].[LY Sales Budget Cost LC Gap]" caption="LY Sales Budget Cost LC Gap" measure="1" displayFolder="LY\LC" measureGroup="SalesBudget" count="0"/>
    <cacheHierarchy uniqueName="[Measures].[LY Sales Budget Profit Value LC Gap]" caption="LY Sales Budget Profit Value LC Gap" measure="1" displayFolder="LY\LC" measureGroup="SalesBudget" count="0"/>
    <cacheHierarchy uniqueName="[Measures].[LY Sales Budget Value TRY]" caption="LY Sales Budget Value TRY" measure="1" displayFolder="LY\TRY" measureGroup="SalesBudget" count="0"/>
    <cacheHierarchy uniqueName="[Measures].[LY Sales Budget Cost TRY]" caption="LY Sales Budget Cost TRY" measure="1" displayFolder="LY\TRY" measureGroup="SalesBudget" count="0"/>
    <cacheHierarchy uniqueName="[Measures].[LY Sales Budget Profit Value TRY]" caption="LY Sales Budget Profit Value TRY" measure="1" displayFolder="LY\TRY" measureGroup="SalesBudget" count="0"/>
    <cacheHierarchy uniqueName="[Measures].[LY Sales Budget Value USD]" caption="LY Sales Budget Value USD" measure="1" displayFolder="LY\USD" measureGroup="SalesBudget" count="0"/>
    <cacheHierarchy uniqueName="[Measures].[LY Sales Budget Cost USD]" caption="LY Sales Budget Cost USD" measure="1" displayFolder="LY\USD" measureGroup="SalesBudget" count="0"/>
    <cacheHierarchy uniqueName="[Measures].[Achieved LY Sales Budget Value TRY]" caption="Achieved LY Sales Budget Value TRY" measure="1" displayFolder="LY\TRY" measureGroup="SalesBudget" count="0"/>
    <cacheHierarchy uniqueName="[Measures].[Achieved LY Sales Budget Cost TRY]" caption="Achieved LY Sales Budget Cost TRY" measure="1" displayFolder="LY\TRY" measureGroup="SalesBudget" count="0"/>
    <cacheHierarchy uniqueName="[Measures].[Achieved LY Sales Budget Profit Value TRY]" caption="Achieved LY Sales Budget Profit Value TRY" measure="1" displayFolder="LY\TRY" measureGroup="SalesBudget" count="0"/>
    <cacheHierarchy uniqueName="[Measures].[Achieved LY Sales Budget Value USD]" caption="Achieved LY Sales Budget Value USD" measure="1" displayFolder="LY\USD" measureGroup="SalesBudget" count="0"/>
    <cacheHierarchy uniqueName="[Measures].[LY Sales Budget Profit Value USD]" caption="LY Sales Budget Profit Value USD" measure="1" displayFolder="LY\USD" measureGroup="SalesBudget" count="0"/>
    <cacheHierarchy uniqueName="[Measures].[Achieved LY Sales Budget Cost USD]" caption="Achieved LY Sales Budget Cost USD" measure="1" displayFolder="LY\USD" measureGroup="SalesBudget" count="0"/>
    <cacheHierarchy uniqueName="[Measures].[LY Sales Budget Value TRY Gap]" caption="LY Sales Budget Value TRY Gap" measure="1" displayFolder="LY\TRY" measureGroup="SalesBudget" count="0"/>
    <cacheHierarchy uniqueName="[Measures].[LY Sales Budget Cost TRY Gap]" caption="LY Sales Budget Cost TRY Gap" measure="1" displayFolder="LY\TRY" measureGroup="SalesBudget" count="0"/>
    <cacheHierarchy uniqueName="[Measures].[LY Sales Budget Profit Value TRY Gap]" caption="LY Sales Budget Profit Value TRY Gap" measure="1" displayFolder="LY\TRY" measureGroup="SalesBudget" count="0"/>
    <cacheHierarchy uniqueName="[Measures].[Achieved LY Sales Budget Profit Value USD]" caption="Achieved LY Sales Budget Profit Value USD" measure="1" displayFolder="LY\USD" measureGroup="SalesBudget" count="0"/>
    <cacheHierarchy uniqueName="[Measures].[LY Sales Budget Value USD Gap]" caption="LY Sales Budget Value USD Gap" measure="1" displayFolder="LY\USD" measureGroup="SalesBudget" count="0"/>
    <cacheHierarchy uniqueName="[Measures].[LY Sales Budget Cost USD Gap]" caption="LY Sales Budget Cost USD Gap" measure="1" displayFolder="LY\USD" measureGroup="SalesBudget" count="0"/>
    <cacheHierarchy uniqueName="[Measures].[LY Sales Budget Profit Value USD Gap]" caption="LY Sales Budget Profit Value USD Gap" measure="1" displayFolder="LY\USD" measureGroup="SalesBudget" count="0"/>
    <cacheHierarchy uniqueName="[Measures].[TY Sales Budget Gross Marjin TRY%]" caption="TY Sales Budget Gross Marjin TRY%" measure="1" displayFolder="TY\TRY" measureGroup="SalesBudget" count="0"/>
    <cacheHierarchy uniqueName="[Measures].[TY Sales Budget Gross _x0009_Marjin LC%]" caption="TY Sales Budget Gross _x0009_Marjin LC%" measure="1" displayFolder="TY\LC" measureGroup="SalesBudget" count="0"/>
    <cacheHierarchy uniqueName="[Measures].[TY Sales Budget Gross Marjin USD%]" caption="TY Sales Budget Gross Marjin USD%" measure="1" displayFolder="TY\USD" measureGroup="SalesBudget" count="0"/>
    <cacheHierarchy uniqueName="[Measures].[TY Gross Marjin TRY%]" caption="TY Gross Marjin TRY%" measure="1" displayFolder="01_TY\TRY" measureGroup="KPI" count="0"/>
    <cacheHierarchy uniqueName="[Measures].[TY Gross Marjin LC%]" caption="TY Gross Marjin LC%" measure="1" displayFolder="01_TY\LC" measureGroup="KPI" count="0"/>
    <cacheHierarchy uniqueName="[Measures].[TY Gross Marjin USD%]" caption="TY Gross Marjin USD%" measure="1" displayFolder="01_TY\USD" measureGroup="KPI" count="0"/>
    <cacheHierarchy uniqueName="[Measures].[LY Gross Marjin LC%]" caption="LY Gross Marjin LC%" measure="1" displayFolder="03_LY\LC" measureGroup="KPI" count="0"/>
    <cacheHierarchy uniqueName="[Measures].[LY Gross Marjin TRY%]" caption="LY Gross Marjin TRY%" measure="1" displayFolder="03_LY\TRY" measureGroup="KPI" count="0"/>
    <cacheHierarchy uniqueName="[Measures].[LY Gross Marjin USD%]" caption="LY Gross Marjin USD%" measure="1" displayFolder="03_LY\USD" measureGroup="KPI" count="0"/>
    <cacheHierarchy uniqueName="[Measures].[TY LFL Gross Marjin LC%]" caption="TY LFL Gross Marjin LC%" measure="1" displayFolder="02_TYLFL\LC" measureGroup="KPI" count="0"/>
    <cacheHierarchy uniqueName="[Measures].[TY LFL Gross Marjin TRY%]" caption="TY LFL Gross Marjin TRY%" measure="1" displayFolder="02_TYLFL\TRY" measureGroup="KPI" count="0"/>
    <cacheHierarchy uniqueName="[Measures].[TY LFL Gross Marjin USD%]" caption="TY LFL Gross Marjin USD%" measure="1" displayFolder="02_TYLFL\USD" measureGroup="KPI" count="0"/>
    <cacheHierarchy uniqueName="[Measures].[LY LFL Gross Marjin LC%]" caption="LY LFL Gross Marjin LC%" measure="1" displayFolder="04_LYLFL\LC" measureGroup="KPI" count="0"/>
    <cacheHierarchy uniqueName="[Measures].[LY LFL Gross Marjin TRY%]" caption="LY LFL Gross Marjin TRY%" measure="1" displayFolder="04_LYLFL\TRY" measureGroup="KPI" count="0"/>
    <cacheHierarchy uniqueName="[Measures].[LY LFL Gross Marjin USD%]" caption="LY LFL Gross Marjin USD%" measure="1" displayFolder="04_LYLFL\USD" measureGroup="KPI" count="0"/>
    <cacheHierarchy uniqueName="[Measures].[TY Store Back Cover LC]" caption="TY Store Back Cover LC" measure="1" displayFolder="01_TY\LC" measureGroup="KPI" count="0"/>
    <cacheHierarchy uniqueName="[Measures].[TY Store Back Cover Unit]" caption="TY Store Back Cover Unit" measure="1" displayFolder="01_TY\UNIT" measureGroup="KPI" count="0"/>
    <cacheHierarchy uniqueName="[Measures].[TY Store Turnover Unit]" caption="TY Store Turnover Unit" measure="1" displayFolder="01_TY\_UNIT" measureGroup="KPI" count="0"/>
    <cacheHierarchy uniqueName="[Measures].[TY Store Turnover  LC]" caption="TY Store Turnover  LC" measure="1" displayFolder="01_TY\LC" measureGroup="KPI" count="0"/>
    <cacheHierarchy uniqueName="[Measures].[TY Store Turnover TRY]" caption="TY Store Turnover TRY" measure="1" displayFolder="01_TY\TRY" measureGroup="KPI" count="0"/>
    <cacheHierarchy uniqueName="[Measures].[TY Store Turnover USD]" caption="TY Store Turnover USD" measure="1" displayFolder="01_TY\USD" measureGroup="KPI" count="0"/>
    <cacheHierarchy uniqueName="[Measures].[TY Actual MarkDown LC%]" caption="TY Actual MarkDown LC%" measure="1" displayFolder="01_TY\LC" measureGroup="KPI" count="0"/>
    <cacheHierarchy uniqueName="[Measures].[TY Actual MarkDown TRY%]" caption="TY Actual MarkDown TRY%" measure="1" displayFolder="01_TY\TRY" measureGroup="KPI" count="0"/>
    <cacheHierarchy uniqueName="[Measures].[TY Actual MarkDown USD%]" caption="TY Actual MarkDown USD%" measure="1" displayFolder="01_TY\USD" measureGroup="KPI" count="0"/>
    <cacheHierarchy uniqueName="[Measures].[TY Store Back Cover TRY]" caption="TY Store Back Cover TRY" measure="1" displayFolder="01_TY\TRY" measureGroup="KPI" count="0"/>
    <cacheHierarchy uniqueName="[Measures].[TY Store Back Cover USD]" caption="TY Store Back Cover USD" measure="1" displayFolder="01_TY\USD" measureGroup="KPI" count="0"/>
    <cacheHierarchy uniqueName="[Measures].[TY LFL Store Back Cover Unit]" caption="TY LFL Store Back Cover Unit" measure="1" displayFolder="02_TYLFL\_UNIT" measureGroup="KPI" count="0"/>
    <cacheHierarchy uniqueName="[Measures].[LY Store Turnover Unit]" caption="LY Store Turnover Unit" measure="1" displayFolder="03_LY\_UNIT" measureGroup="KPI" count="0"/>
    <cacheHierarchy uniqueName="[Measures].[LY Store Turnover  LC]" caption="LY Store Turnover  LC" measure="1" displayFolder="03_LY\LC" measureGroup="KPI" count="0"/>
    <cacheHierarchy uniqueName="[Measures].[LY Store Turnover TRY]" caption="LY Store Turnover TRY" measure="1" displayFolder="03_LY\TRY" measureGroup="KPI" count="0"/>
    <cacheHierarchy uniqueName="[Measures].[LY Store Turnover USD]" caption="LY Store Turnover USD" measure="1" displayFolder="03_LY\USD" measureGroup="KPI" count="0"/>
    <cacheHierarchy uniqueName="[Measures].[TY LFL Store Turnover Unit]" caption="TY LFL Store Turnover Unit" measure="1" displayFolder="02_TYLFL\_UNIT" measureGroup="KPI" count="0"/>
    <cacheHierarchy uniqueName="[Measures].[TY LFL Store Turnover  LC]" caption="TY LFL Store Turnover  LC" measure="1" displayFolder="02_TYLFL\LC" measureGroup="KPI" count="0"/>
    <cacheHierarchy uniqueName="[Measures].[TY LFL Store Turnover TRY]" caption="TY LFL Store Turnover TRY" measure="1" displayFolder="02_TYLFL\TRY" measureGroup="KPI" count="0"/>
    <cacheHierarchy uniqueName="[Measures].[TY LFL Store Turnover USD]" caption="TY LFL Store Turnover USD" measure="1" displayFolder="02_TYLFL\USD" measureGroup="KPI" count="0"/>
    <cacheHierarchy uniqueName="[Measures].[LY LFL Store Turnover Unit]" caption="LY LFL Store Turnover Unit" measure="1" displayFolder="04_LYLFL\_UNIT" measureGroup="KPI" count="0"/>
    <cacheHierarchy uniqueName="[Measures].[LY LFL Store Turnover  LC]" caption="LY LFL Store Turnover  LC" measure="1" displayFolder="04_LYLFL\LC" measureGroup="KPI" count="0"/>
    <cacheHierarchy uniqueName="[Measures].[LY LFL Store Turnover TRY]" caption="LY LFL Store Turnover TRY" measure="1" displayFolder="04_LYLFL\TRY" measureGroup="KPI" count="0"/>
    <cacheHierarchy uniqueName="[Measures].[LY LFL Store Turnover USD]" caption="LY LFL Store Turnover USD" measure="1" displayFolder="04_LYLFL\USD" measureGroup="KPI" count="0"/>
    <cacheHierarchy uniqueName="[Measures].[TY Actual MarkUp LC]" caption="TY Actual MarkUp LC" measure="1" displayFolder="01_TY\LC" measureGroup="KPI" count="0"/>
    <cacheHierarchy uniqueName="[Measures].[TY Actual MarkUp TRY]" caption="TY Actual MarkUp TRY" measure="1" displayFolder="01_TY\TRY" measureGroup="KPI" count="0"/>
    <cacheHierarchy uniqueName="[Measures].[TY Actual MarkUp USD]" caption="TY Actual MarkUp USD" measure="1" displayFolder="01_TY\USD" measureGroup="KPI" count="0"/>
    <cacheHierarchy uniqueName="[Measures].[LY Actual MarkUp LC]" caption="LY Actual MarkUp LC" measure="1" displayFolder="03_LY\LC" measureGroup="KPI" count="0"/>
    <cacheHierarchy uniqueName="[Measures].[LY Actual MarkUp TRY]" caption="LY Actual MarkUp TRY" measure="1" displayFolder="03_LY\TRY" measureGroup="KPI" count="0"/>
    <cacheHierarchy uniqueName="[Measures].[LY Actual MarkUp USD]" caption="LY Actual MarkUp USD" measure="1" displayFolder="03_LY\USD" measureGroup="KPI" count="0"/>
    <cacheHierarchy uniqueName="[Measures].[TY LFL Actual MarkUp LC]" caption="TY LFL Actual MarkUp LC" measure="1" displayFolder="02_TYLFL\LC" measureGroup="KPI" count="0"/>
    <cacheHierarchy uniqueName="[Measures].[TY LFL Actual MarkUp TRY]" caption="TY LFL Actual MarkUp TRY" measure="1" displayFolder="02_TYLFL\TRY" measureGroup="KPI" count="0"/>
    <cacheHierarchy uniqueName="[Measures].[TY LFL Actual MarkUp USD]" caption="TY LFL Actual MarkUp USD" measure="1" displayFolder="02_TYLFL\USD" measureGroup="KPI" count="0"/>
    <cacheHierarchy uniqueName="[Measures].[LY LFL Actual MarkUp LC]" caption="LY LFL Actual MarkUp LC" measure="1" displayFolder="04_LYLFL\LC" measureGroup="KPI" count="0"/>
    <cacheHierarchy uniqueName="[Measures].[LY LFL Actual MarkUp TRY]" caption="LY LFL Actual MarkUp TRY" measure="1" displayFolder="04_LYLFL\TRY" measureGroup="KPI" count="0"/>
    <cacheHierarchy uniqueName="[Measures].[LY LFL Actual MarkUp USD]" caption="LY LFL Actual MarkUp USD" measure="1" displayFolder="04_LYLFL\USD" measureGroup="KPI" count="0"/>
    <cacheHierarchy uniqueName="[Measures].[LY Store Back Cover Unit]" caption="LY Store Back Cover Unit" measure="1" displayFolder="03_LY\_UNIT" measureGroup="KPI" count="0"/>
    <cacheHierarchy uniqueName="[Measures].[LY LFL Store Back Cover Unit]" caption="LY LFL Store Back Cover Unit" measure="1" displayFolder="04_LYLFL\_UNIT" measureGroup="KPI" count="0"/>
    <cacheHierarchy uniqueName="[Measures].[TY Conversion Rate]" caption="TY Conversion Rate" measure="1" displayFolder="01_TY\_UNIT" measureGroup="KPI" count="0"/>
    <cacheHierarchy uniqueName="[Measures].[LY Conversion Rate]" caption="LY Conversion Rate" measure="1" displayFolder="03_LY\_UNIT" measureGroup="KPI" count="0"/>
    <cacheHierarchy uniqueName="[Measures].[TY LFL Conversion Rate]" caption="TY LFL Conversion Rate" measure="1" displayFolder="02_TYLFL\_UNIT" measureGroup="KPI" count="0"/>
    <cacheHierarchy uniqueName="[Measures].[LY LFL Conversion Rate]" caption="LY LFL Conversion Rate" measure="1" displayFolder="04_LYLFL\_UNIT" measureGroup="KPI" count="0"/>
    <cacheHierarchy uniqueName="[Measures].[TY MerchYearWeekCount]" caption="TY MerchYearWeekCount" measure="1" displayFolder="00_INFO" measureGroup="KPI" count="0"/>
    <cacheHierarchy uniqueName="[Measures].[LY MerchYearWeekCount]" caption="LY MerchYearWeekCount" measure="1" displayFolder="00_INFO" measureGroup="KPI" count="0"/>
    <cacheHierarchy uniqueName="[Measures].[LY Store Back Cover LC]" caption="LY Store Back Cover LC" measure="1" displayFolder="03_LY\LC" measureGroup="KPI" count="0"/>
    <cacheHierarchy uniqueName="[Measures].[LY Store Back Cover TRY]" caption="LY Store Back Cover TRY" measure="1" displayFolder="03_LY\TRY" measureGroup="KPI" count="0"/>
    <cacheHierarchy uniqueName="[Measures].[LY Store Back Cover USD]" caption="LY Store Back Cover USD" measure="1" displayFolder="03_LY\USD" measureGroup="KPI" count="0"/>
    <cacheHierarchy uniqueName="[Measures].[TY LFL Store Back Cover LC]" caption="TY LFL Store Back Cover LC" measure="1" displayFolder="02_TYLFL\LC" measureGroup="KPI" count="0"/>
    <cacheHierarchy uniqueName="[Measures].[TYLFL MerchYearWeekCount]" caption="TYLFL MerchYearWeekCount" measure="1" displayFolder="00_INFO" measureGroup="KPI" count="0"/>
    <cacheHierarchy uniqueName="[Measures].[LYLFL MerchYearWeekCount]" caption="LYLFL MerchYearWeekCount" measure="1" displayFolder="00_INFO" measureGroup="KPI" count="0"/>
    <cacheHierarchy uniqueName="[Measures].[Sales Value TYvsLY LC%]" caption="Sales Value TYvsLY LC%" measure="1" displayFolder="01_TY\LC" measureGroup="KPI" count="0"/>
    <cacheHierarchy uniqueName="[Measures].[Sales Value TYvsLY TRY%]" caption="Sales Value TYvsLY TRY%" measure="1" displayFolder="01_TY\TRY" measureGroup="KPI" count="0"/>
    <cacheHierarchy uniqueName="[Measures].[Sales Value TYvsLY USD%]" caption="Sales Value TYvsLY USD%" measure="1" displayFolder="01_TY\USD" measureGroup="KPI" count="0"/>
    <cacheHierarchy uniqueName="[Measures].[Sales Unit TYvsLY%]" caption="Sales Unit TYvsLY%" measure="1" displayFolder="01_TY\_UNIT" measureGroup="KPI" count="0"/>
    <cacheHierarchy uniqueName="[Measures].[LFL Sales Unit TYvsLY%]" caption="LFL Sales Unit TYvsLY%" measure="1" displayFolder="02_TYLFL\_UNIT" measureGroup="KPI" count="0"/>
    <cacheHierarchy uniqueName="[Measures].[LFL Sales Value TYvsLY LC%]" caption="LFL Sales Value TYvsLY LC%" measure="1" displayFolder="02_TYLFL\LC" measureGroup="KPI" count="0"/>
    <cacheHierarchy uniqueName="[Measures].[LFL Sales Value TYvsLY TRY%]" caption="LFL Sales Value TYvsLY TRY%" measure="1" displayFolder="02_TYLFL\TRY" measureGroup="KPI" count="0"/>
    <cacheHierarchy uniqueName="[Measures].[LFL Sales Value TYvsLY USD%]" caption="LFL Sales Value TYvsLY USD%" measure="1" displayFolder="02_TYLFL\USD" measureGroup="KPI" count="0"/>
    <cacheHierarchy uniqueName="[Measures].[Store Stock Unit TYvsLY%]" caption="Store Stock Unit TYvsLY%" measure="1" displayFolder="01_TY\_UNIT" measureGroup="KPI" count="0"/>
    <cacheHierarchy uniqueName="[Measures].[Store Stock Cost TYvsLY LC%]" caption="Store Stock Cost TYvsLY LC%" measure="1" displayFolder="01_TY\LC" measureGroup="KPI" count="0"/>
    <cacheHierarchy uniqueName="[Measures].[Store Stock Cost TYvsLY TRY%]" caption="Store Stock Cost TYvsLY TRY%" measure="1" displayFolder="01_TY\TRY" measureGroup="KPI" count="0"/>
    <cacheHierarchy uniqueName="[Measures].[Store Stock Cost TYvsLY USD%]" caption="Store Stock Cost TYvsLY USD%" measure="1" displayFolder="01_TY\USD" measureGroup="KPI" count="0"/>
    <cacheHierarchy uniqueName="[Measures].[LFL Store Stock Unit TYvsLY%]" caption="LFL Store Stock Unit TYvsLY%" measure="1" displayFolder="02_TYLFL\_UNIT" measureGroup="KPI" count="0"/>
    <cacheHierarchy uniqueName="[Measures].[LFL Store Stock Cost TYvsLY LC%]" caption="LFL Store Stock Cost TYvsLY LC%" measure="1" displayFolder="02_TYLFL\LC" measureGroup="KPI" count="0"/>
    <cacheHierarchy uniqueName="[Measures].[LFL Stock Cost TYvsLY TRY%]" caption="LFL Stock Cost TYvsLY TRY%" measure="1" displayFolder="02_TYLFL\TRY" measureGroup="KPI" count="0"/>
    <cacheHierarchy uniqueName="[Measures].[LFL Store Stock Cost TYvsLY USD%]" caption="LFL Store Stock Cost TYvsLY USD%" measure="1" displayFolder="02_TYLFL\USD" measureGroup="KPI" count="0"/>
    <cacheHierarchy uniqueName="[Measures].[Unit Sales Price TYvsLY LC%]" caption="Unit Sales Price TYvsLY LC%" measure="1" displayFolder="01_TY\LC" measureGroup="KPI" count="0"/>
    <cacheHierarchy uniqueName="[Measures].[Unit Sales Price TYvsLY TRY%]" caption="Unit Sales Price TYvsLY TRY%" measure="1" displayFolder="01_TY\TRY" measureGroup="KPI" count="0"/>
    <cacheHierarchy uniqueName="[Measures].[Unit Sales Price TYvsLY USD%]" caption="Unit Sales Price TYvsLY USD%" measure="1" displayFolder="01_TY\USD" measureGroup="KPI" count="0"/>
    <cacheHierarchy uniqueName="[Measures].[LFL Unit Sales Price TYvsLY LC%]" caption="LFL Unit Sales Price TYvsLY LC%" measure="1" displayFolder="02_TYLFL\LC" measureGroup="KPI" count="0"/>
    <cacheHierarchy uniqueName="[Measures].[LFL Unit Sales Price TYvsLY TRY%]" caption="LFL Unit Sales Price TYvsLY TRY%" measure="1" displayFolder="02_TYLFL\TRY" measureGroup="KPI" count="0"/>
    <cacheHierarchy uniqueName="[Measures].[LFL Unit Sales Price TYvsLY USD%]" caption="LFL Unit Sales Price TYvsLY USD%" measure="1" displayFolder="02_TYLFL\USD" measureGroup="KPI" count="0"/>
    <cacheHierarchy uniqueName="[Measures].[Unit Cost TYvsLY LC%]" caption="Unit Cost TYvsLY LC%" measure="1" displayFolder="01_TY\LC" measureGroup="KPI" count="0"/>
    <cacheHierarchy uniqueName="[Measures].[Unit Cost TYvsLY TRY%]" caption="Unit Cost TYvsLY TRY%" measure="1" displayFolder="01_TY\TRY" measureGroup="KPI" count="0"/>
    <cacheHierarchy uniqueName="[Measures].[Unit Cost TYvsLY USD%]" caption="Unit Cost TYvsLY USD%" measure="1" displayFolder="01_TY\USD" measureGroup="KPI" count="0"/>
    <cacheHierarchy uniqueName="[Measures].[LFL Unit Cost TYvsLY LC%]" caption="LFL Unit Cost TYvsLY LC%" measure="1" displayFolder="02_TYLFL\LC" measureGroup="KPI" count="0"/>
    <cacheHierarchy uniqueName="[Measures].[LFL Unit Cost TYvsLY TRY%]" caption="LFL Unit Cost TYvsLY TRY%" measure="1" displayFolder="02_TYLFL\TRY" measureGroup="KPI" count="0"/>
    <cacheHierarchy uniqueName="[Measures].[LFL Unit Cost TYvsLY USD%]" caption="LFL Unit Cost TYvsLY USD%" measure="1" displayFolder="02_TYLFL\USD" measureGroup="KPI" count="0"/>
    <cacheHierarchy uniqueName="[Measures].[Unit ISP TYvsLY LC%]" caption="Unit ISP TYvsLY LC%" measure="1" displayFolder="01_TY\LC" measureGroup="KPI" count="0"/>
    <cacheHierarchy uniqueName="[Measures].[Unit ISP TYvsLY TRY%]" caption="Unit ISP TYvsLY TRY%" measure="1" displayFolder="01_TY\TRY" measureGroup="KPI" count="0"/>
    <cacheHierarchy uniqueName="[Measures].[Unit ISP TYvsLY USD%]" caption="Unit ISP TYvsLY USD%" measure="1" displayFolder="01_TY\USD" measureGroup="KPI" count="0"/>
    <cacheHierarchy uniqueName="[Measures].[LFL Unit ISP TYvsLY LC%]" caption="LFL Unit ISP TYvsLY LC%" measure="1" displayFolder="02_TYLFL\LC" measureGroup="KPI" count="0"/>
    <cacheHierarchy uniqueName="[Measures].[LFL Unit ISP TYvsLY TRY%]" caption="LFL Unit ISP TYvsLY TRY%" measure="1" displayFolder="02_TYLFL\TRY" measureGroup="KPI" count="0"/>
    <cacheHierarchy uniqueName="[Measures].[LFL Unit ISP TYvsLY USD%]" caption="LFL Unit ISP TYvsLY USD%" measure="1" displayFolder="02_TYLFL\USD" measureGroup="KPI" count="0"/>
    <cacheHierarchy uniqueName="[Measures].[Store Back Cover Unit TYvsLY%]" caption="Store Back Cover Unit TYvsLY%" measure="1" displayFolder="01_TY\_UNIT" measureGroup="KPI" count="0"/>
    <cacheHierarchy uniqueName="[Measures].[LFL Store Back Cover Unit TYvsLY%]" caption="LFL Store Back Cover Unit TYvsLY%" measure="1" displayFolder="02_TYLFL\_UNIT" measureGroup="KPI" count="0"/>
    <cacheHierarchy uniqueName="[Measures].[Gross Marjin TYvsLY LC%]" caption="Gross Marjin TYvsLY LC%" measure="1" displayFolder="01_TY\LC" measureGroup="KPI" count="0"/>
    <cacheHierarchy uniqueName="[Measures].[Gross Marjin TYvsLY TRY%]" caption="Gross Marjin TYvsLY TRY%" measure="1" displayFolder="01_TY\TRY" measureGroup="KPI" count="0"/>
    <cacheHierarchy uniqueName="[Measures].[Gross Marjin TYvsLY USD%]" caption="Gross Marjin TYvsLY USD%" measure="1" displayFolder="01_TY\USD" measureGroup="KPI" count="0"/>
    <cacheHierarchy uniqueName="[Measures].[LFL Gross Marjin TYvsLY LC%]" caption="LFL Gross Marjin TYvsLY LC%" measure="1" displayFolder="02_TYLFL\LC" measureGroup="KPI" count="0"/>
    <cacheHierarchy uniqueName="[Measures].[LFL Gross Marjin TYvsLY TRY%]" caption="LFL Gross Marjin TYvsLY TRY%" measure="1" displayFolder="02_TYLFL\TRY" measureGroup="KPI" count="0"/>
    <cacheHierarchy uniqueName="[Measures].[LFL Gross Marjin TYvsLY USD%]" caption="LFL Gross Marjin TYvsLY USD%" measure="1" displayFolder="02_TYLFL\USD" measureGroup="KPI" count="0"/>
    <cacheHierarchy uniqueName="[Measures].[Sales Profit TYvsLY LC%]" caption="Sales Profit TYvsLY LC%" measure="1" displayFolder="01_TY\LC" measureGroup="KPI" count="0"/>
    <cacheHierarchy uniqueName="[Measures].[Sales Profit TYvsLY TRY%]" caption="Sales Profit TYvsLY TRY%" measure="1" displayFolder="01_TY\TRY" measureGroup="KPI" count="0"/>
    <cacheHierarchy uniqueName="[Measures].[Sales Profit TYvsLY USD%]" caption="Sales Profit TYvsLY USD%" measure="1" displayFolder="01_TY\USD" measureGroup="KPI" count="0"/>
    <cacheHierarchy uniqueName="[Measures].[LFL Sales Profit TYvsLY LC%]" caption="LFL Sales Profit TYvsLY LC%" measure="1" displayFolder="02_TYLFL\LC" measureGroup="KPI" count="0"/>
    <cacheHierarchy uniqueName="[Measures].[LFL Sales Profit TYvsLY TRY%]" caption="LFL Sales Profit TYvsLY TRY%" measure="1" displayFolder="02_TYLFL\TRY" measureGroup="KPI" count="0"/>
    <cacheHierarchy uniqueName="[Measures].[LFL Sales Profit TYvsLY USD%]" caption="LFL Sales Profit TYvsLY USD%" measure="1" displayFolder="02_TYLFL\USD" measureGroup="KPI" count="0"/>
    <cacheHierarchy uniqueName="[Measures].[TY LFL Store Back Cover TRY]" caption="TY LFL Store Back Cover TRY" measure="1" displayFolder="02_TYLFL\TRY" measureGroup="KPI" count="0"/>
    <cacheHierarchy uniqueName="[Measures].[TY LFL Store Back Cover USD]" caption="TY LFL Store Back Cover USD" measure="1" displayFolder="02_TYLFL\USD" measureGroup="KPI" count="0"/>
    <cacheHierarchy uniqueName="[Measures].[LY LFL Store Back Cover LC]" caption="LY LFL Store Back Cover LC" measure="1" displayFolder="04_LYLFL\LC" measureGroup="KPI" count="0"/>
    <cacheHierarchy uniqueName="[Measures].[LY LFL Store Back Cover TRY]" caption="LY LFL Store Back Cover TRY" measure="1" displayFolder="04_LYLFL\TRY" measureGroup="KPI" count="0"/>
    <cacheHierarchy uniqueName="[Measures].[LY LFL Store Back Cover USD]" caption="LY LFL Store Back Cover USD" measure="1" displayFolder="04_LYLFL\USD" measureGroup="KPI" count="0"/>
    <cacheHierarchy uniqueName="[Measures].[Store Back Cover TYvsLY LC%]" caption="Store Back Cover TYvsLY LC%" measure="1" displayFolder="01_TY\LC" measureGroup="KPI" count="0"/>
    <cacheHierarchy uniqueName="[Measures].[Store Back Cover TYvsLY TRY%]" caption="Store Back Cover TYvsLY TRY%" measure="1" displayFolder="01_TY\TRY" measureGroup="KPI" count="0"/>
    <cacheHierarchy uniqueName="[Measures].[Store Back Cover TYvsLY USD%]" caption="Store Back Cover TYvsLY USD%" measure="1" displayFolder="01_TY\USD" measureGroup="KPI" count="0"/>
    <cacheHierarchy uniqueName="[Measures].[LFL Store Back Cover TYvsLY LC%]" caption="LFL Store Back Cover TYvsLY LC%" measure="1" displayFolder="02_TYLFL\LC" measureGroup="KPI" count="0"/>
    <cacheHierarchy uniqueName="[Measures].[LFL Store Back Cover TYvsLY TRY%]" caption="LFL Store Back Cover TYvsLY TRY%" measure="1" displayFolder="02_TYLFL\TRY" measureGroup="KPI" count="0"/>
    <cacheHierarchy uniqueName="[Measures].[LFL Store Back Cover TYvsLY USD%]" caption="LFL Store Back Cover TYvsLY USD%" measure="1" displayFolder="02_TYLFL\USD" measureGroup="KPI" count="0"/>
    <cacheHierarchy uniqueName="[Measures].[TY GMROII LC]" caption="TY GMROII LC" measure="1" displayFolder="01_TY\LC" measureGroup="KPI" count="0"/>
    <cacheHierarchy uniqueName="[Measures].[TY GMROII TRY]" caption="TY GMROII TRY" measure="1" displayFolder="01_TY\TRY" measureGroup="KPI" count="0"/>
    <cacheHierarchy uniqueName="[Measures].[TY GMROII USD]" caption="TY GMROII USD" measure="1" displayFolder="01_TY\USD" measureGroup="KPI" count="0"/>
    <cacheHierarchy uniqueName="[Measures].[LY GMROII LC]" caption="LY GMROII LC" measure="1" displayFolder="03_LY\LC" measureGroup="KPI" count="0"/>
    <cacheHierarchy uniqueName="[Measures].[LY GMROII TRY]" caption="LY GMROII TRY" measure="1" displayFolder="03_LY\TRY" measureGroup="KPI" count="0"/>
    <cacheHierarchy uniqueName="[Measures].[LY GMROII USD]" caption="LY GMROII USD" measure="1" displayFolder="03_LY\USD" measureGroup="KPI" count="0"/>
    <cacheHierarchy uniqueName="[Measures].[TY LFL GMROII LC]" caption="TY LFL GMROII LC" measure="1" displayFolder="02_TYLFL\LC" measureGroup="KPI" count="0"/>
    <cacheHierarchy uniqueName="[Measures].[TY LFL GMROII TRY]" caption="TY LFL GMROII TRY" measure="1" displayFolder="02_TYLFL\TRY" measureGroup="KPI" count="0"/>
    <cacheHierarchy uniqueName="[Measures].[TY LFL GMROII USD]" caption="TY LFL GMROII USD" measure="1" displayFolder="02_TYLFL\USD" measureGroup="KPI" count="0"/>
    <cacheHierarchy uniqueName="[Measures].[LY LFL GMROII LC]" caption="LY LFL GMROII LC" measure="1" displayFolder="04_LYLFL\LC" measureGroup="KPI" count="0"/>
    <cacheHierarchy uniqueName="[Measures].[LY LFL GMROII TRY]" caption="LY LFL GMROII TRY" measure="1" displayFolder="04_LYLFL\TRY" measureGroup="KPI" count="0"/>
    <cacheHierarchy uniqueName="[Measures].[LY LFL GMROII USD]" caption="LY LFL GMROII USD" measure="1" displayFolder="04_LYLFL\USD" measureGroup="KPI" count="0"/>
    <cacheHierarchy uniqueName="[Measures].[LY Actual MarkDown LC%]" caption="LY Actual MarkDown LC%" measure="1" displayFolder="03_LY\LC" measureGroup="KPI" count="0"/>
    <cacheHierarchy uniqueName="[Measures].[LY Actual MarkDown TRY%]" caption="LY Actual MarkDown TRY%" measure="1" displayFolder="03_LY\TRY" measureGroup="KPI" count="0"/>
    <cacheHierarchy uniqueName="[Measures].[LY Actual MarkDown USD%]" caption="LY Actual MarkDown USD%" measure="1" displayFolder="03_LY\USD" measureGroup="KPI" count="0"/>
    <cacheHierarchy uniqueName="[Measures].[TY LFL Actual MarkDown LC%]" caption="TY LFL Actual MarkDown LC%" measure="1" displayFolder="02_TYLFL\LC" measureGroup="KPI" count="0"/>
    <cacheHierarchy uniqueName="[Measures].[TY LFL Actual MarkDown TRY%]" caption="TY LFL Actual MarkDown TRY%" measure="1" displayFolder="02_TYLFL\TRY" measureGroup="KPI" count="0"/>
    <cacheHierarchy uniqueName="[Measures].[TY LFL Actual MarkDown USD%]" caption="TY LFL Actual MarkDown USD%" measure="1" displayFolder="02_TYLFL\USD" measureGroup="KPI" count="0"/>
    <cacheHierarchy uniqueName="[Measures].[LY LFL Actual MarkDown LC%]" caption="LY LFL Actual MarkDown LC%" measure="1" displayFolder="04_LYLFL\LC" measureGroup="KPI" count="0"/>
    <cacheHierarchy uniqueName="[Measures].[LY LFL Actual MarkDown TRY%]" caption="LY LFL Actual MarkDown TRY%" measure="1" displayFolder="04_LYLFL\TRY" measureGroup="KPI" count="0"/>
    <cacheHierarchy uniqueName="[Measures].[LY LFL Actual MarkDown USD%]" caption="LY LFL Actual MarkDown USD%" measure="1" displayFolder="04_LYLFL\USD" measureGroup="KPI" count="0"/>
    <cacheHierarchy uniqueName="[Measures].[Last 7Days TY Sales Unit]" caption="Last 7Days TY Sales Unit" measure="1" displayFolder="LASTN" measureGroup="KPI" count="0"/>
    <cacheHierarchy uniqueName="[Measures].[Last 7Days TY Sales Value LC]" caption="Last 7Days TY Sales Value LC" measure="1" displayFolder="LASTN" measureGroup="KPI" count="0"/>
    <cacheHierarchy uniqueName="[Measures].[Last 14Days TY Sales Unit]" caption="Last 14Days TY Sales Unit" measure="1" displayFolder="LASTN" measureGroup="KPI" count="0"/>
    <cacheHierarchy uniqueName="[Measures].[Last 14Days TY Sales Value LC]" caption="Last 14Days TY Sales Value LC" measure="1" displayFolder="LASTN" measureGroup="KPI" count="0"/>
    <cacheHierarchy uniqueName="[Measures].[Last 28Days TY Sales Unit]" caption="Last 28Days TY Sales Unit" measure="1" displayFolder="LASTN" measureGroup="KPI" count="0"/>
    <cacheHierarchy uniqueName="[Measures].[Last 28Days TY Sales Value LC]" caption="Last 28Days TY Sales Value LC" measure="1" displayFolder="LASTN" measureGroup="KPI" count="0"/>
    <cacheHierarchy uniqueName="[Measures].[Last 90Days TY Sales Unit]" caption="Last 90Days TY Sales Unit" measure="1" displayFolder="LASTN" measureGroup="KPI" count="0"/>
    <cacheHierarchy uniqueName="[Measures].[Last 90Days TY Sales Value LC]" caption="Last 90Days TY Sales Value LC" measure="1" displayFolder="LASTN" measureGroup="KPI" count="0"/>
    <cacheHierarchy uniqueName="[Measures].[Last 180Days TY Sales Unit]" caption="Last 180Days TY Sales Unit" measure="1" displayFolder="LASTN" measureGroup="KPI" count="0"/>
    <cacheHierarchy uniqueName="[Measures].[Last 180Days TY Sales Value LC]" caption="Last 180Days TY Sales Value LC" measure="1" displayFolder="LASTN" measureGroup="KPI" count="0"/>
    <cacheHierarchy uniqueName="[Measures].[TY UPT]" caption="TY UPT" measure="1" displayFolder="01_TY\_UNIT" measureGroup="KPI" count="0"/>
    <cacheHierarchy uniqueName="[Measures].[TY AOV LC]" caption="TY AOV LC" measure="1" displayFolder="01_TY\LC" measureGroup="KPI" count="0"/>
    <cacheHierarchy uniqueName="[Measures].[TY AOV TRY]" caption="TY AOV TRY" measure="1" displayFolder="01_TY\TRY" measureGroup="KPI" count="0"/>
    <cacheHierarchy uniqueName="[Measures].[TY AOV USD]" caption="TY AOV USD" measure="1" displayFolder="01_TY\USD" measureGroup="KPI" count="0"/>
    <cacheHierarchy uniqueName="[Measures].[LY UPT]" caption="LY UPT" measure="1" displayFolder="03_LY\_UNIT" measureGroup="KPI" count="0"/>
    <cacheHierarchy uniqueName="[Measures].[LY AOV LC]" caption="LY AOV LC" measure="1" displayFolder="03_LY\LC" measureGroup="KPI" count="0"/>
    <cacheHierarchy uniqueName="[Measures].[LY AOV TRY]" caption="LY AOV TRY" measure="1" displayFolder="03_LY\TRY" measureGroup="KPI" count="0"/>
    <cacheHierarchy uniqueName="[Measures].[LY AOV USD]" caption="LY AOV USD" measure="1" displayFolder="03_LY\USD" measureGroup="KPI" count="0"/>
    <cacheHierarchy uniqueName="[Measures].[TY LFL UPT]" caption="TY LFL UPT" measure="1" displayFolder="02_TYLFL\_UNIT" measureGroup="KPI" count="0"/>
    <cacheHierarchy uniqueName="[Measures].[TY LFL AOV LC]" caption="TY LFL AOV LC" measure="1" displayFolder="02_TYLFL\LC" measureGroup="KPI" count="0"/>
    <cacheHierarchy uniqueName="[Measures].[TY LFL AOV TRY]" caption="TY LFL AOV TRY" measure="1" displayFolder="02_TYLFL\TRY" measureGroup="KPI" count="0"/>
    <cacheHierarchy uniqueName="[Measures].[TY LFL AOV USD]" caption="TY LFL AOV USD" measure="1" displayFolder="02_TYLFL\USD" measureGroup="KPI" count="0"/>
    <cacheHierarchy uniqueName="[Measures].[LY LFL UPT]" caption="LY LFL UPT" measure="1" displayFolder="04_LYLFL\_UNIT" measureGroup="KPI" count="0"/>
    <cacheHierarchy uniqueName="[Measures].[LY LFL AOV LC]" caption="LY LFL AOV LC" measure="1" displayFolder="04_LYLFL\LC" measureGroup="KPI" count="0"/>
    <cacheHierarchy uniqueName="[Measures].[LY LFL AOV TRY]" caption="LY LFL AOV TRY" measure="1" displayFolder="04_LYLFL\TRY" measureGroup="KPI" count="0"/>
    <cacheHierarchy uniqueName="[Measures].[LY LFL AOV USD]" caption="LY LFL AOV USD" measure="1" displayFolder="04_LYLFL\USD" measureGroup="KPI" count="0"/>
    <cacheHierarchy uniqueName="[Measures].[TY DayCount]" caption="TY DayCount" measure="1" displayFolder="00_INFO" measureGroup="KPI" count="0"/>
    <cacheHierarchy uniqueName="[Measures].[TY Store Count]" caption="TY Store Count" measure="1" displayFolder="01_TY\_UNIT" measureGroup="KPI" count="0"/>
    <cacheHierarchy uniqueName="[Measures].[LY Store Count]" caption="LY Store Count" measure="1" displayFolder="03_LY\_UNIT" measureGroup="KPI" count="0"/>
    <cacheHierarchy uniqueName="[Measures].[TY LFL Store Count]" caption="TY LFL Store Count" measure="1" displayFolder="02_TYLFL\_UNIT" measureGroup="KPI" count="0"/>
    <cacheHierarchy uniqueName="[Measures].[LY LFL Store Count]" caption="LY LFL Store Count" measure="1" displayFolder="04_LYLFL\_UNIT" measureGroup="KPI" count="0"/>
    <cacheHierarchy uniqueName="[Measures].[Sales Unit TyTWvsTyLW%]" caption="Sales Unit TyTWvsTyLW%" measure="1" displayFolder="TyTWvsTyLW" measureGroup="KPI" count="0"/>
    <cacheHierarchy uniqueName="[Measures].[LFL Sales Unit TyTWvsTyLW%]" caption="LFL Sales Unit TyTWvsTyLW%" measure="1" displayFolder="TyTWvsTyLW" measureGroup="KPI" count="0"/>
    <cacheHierarchy uniqueName="[Measures].[Sales Value TyTWvsTyLW LC%]" caption="Sales Value TyTWvsTyLW LC%" measure="1" displayFolder="TyTWvsTyLW" measureGroup="KPI" count="0"/>
    <cacheHierarchy uniqueName="[Measures].[Sales Value TyTWvsTyLW TRY%]" caption="Sales Value TyTWvsTyLW TRY%" measure="1" displayFolder="TyTWvsTyLW" measureGroup="KPI" count="0"/>
    <cacheHierarchy uniqueName="[Measures].[Sales Value TyTWvsTyLW USD%]" caption="Sales Value TyTWvsTyLW USD%" measure="1" displayFolder="TyTWvsTyLW" measureGroup="KPI" count="0"/>
    <cacheHierarchy uniqueName="[Measures].[LFL Sales Value TyTWvsTyLW LC%]" caption="LFL Sales Value TyTWvsTyLW LC%" measure="1" displayFolder="TyTWvsTyLW" measureGroup="KPI" count="0"/>
    <cacheHierarchy uniqueName="[Measures].[LFL Sales Value TyTWvsTyLW TRY%]" caption="LFL Sales Value TyTWvsTyLW TRY%" measure="1" displayFolder="TyTWvsTyLW" measureGroup="KPI" count="0"/>
    <cacheHierarchy uniqueName="[Measures].[LFL Sales Value TyTWvsTyLW USD%]" caption="LFL Sales Value TyTWvsTyLW USD%" measure="1" displayFolder="TyTWvsTyLW" measureGroup="KPI" count="0"/>
    <cacheHierarchy uniqueName="[Measures].[Store Stock Unit TyTWvsTyLW%]" caption="Store Stock Unit TyTWvsTyLW%" measure="1" displayFolder="TyTWvsTyLW" measureGroup="KPI" count="0"/>
    <cacheHierarchy uniqueName="[Measures].[Store Stock Cost TyTWvsTyLW LC%]" caption="Store Stock Cost TyTWvsTyLW LC%" measure="1" displayFolder="TyTWvsTyLW" measureGroup="KPI" count="0"/>
    <cacheHierarchy uniqueName="[Measures].[Store Stock Cost TyTWvsTyLW TRY%]" caption="Store Stock Cost TyTWvsTyLW TRY%" measure="1" displayFolder="TyTWvsTyLW" measureGroup="KPI" count="0"/>
    <cacheHierarchy uniqueName="[Measures].[Store Stock Cost TyTWvsTyLW USD%]" caption="Store Stock Cost TyTWvsTyLW USD%" measure="1" displayFolder="TyTWvsTyLW" measureGroup="KPI" count="0"/>
    <cacheHierarchy uniqueName="[Measures].[LFL Store Stock Unit TyTWvsTyLW%]" caption="LFL Store Stock Unit TyTWvsTyLW%" measure="1" displayFolder="TyTWvsTyLW" measureGroup="KPI" count="0"/>
    <cacheHierarchy uniqueName="[Measures].[LFL Store Stock Cost TyTWvsTyLW LC%]" caption="LFL Store Stock Cost TyTWvsTyLW LC%" measure="1" displayFolder="TyTWvsTyLW" measureGroup="KPI" count="0"/>
    <cacheHierarchy uniqueName="[Measures].[LFL Store Stock Cost TyTWvsTyLW TRY%]" caption="LFL Store Stock Cost TyTWvsTyLW TRY%" measure="1" displayFolder="TyTWvsTyLW" measureGroup="KPI" count="0"/>
    <cacheHierarchy uniqueName="[Measures].[LFL Store Stock Cost TyTWvsTyLW USD%]" caption="LFL Store Stock Cost TyTWvsTyLW USD%" measure="1" displayFolder="TyTWvsTyLW" measureGroup="KPI" count="0"/>
    <cacheHierarchy uniqueName="[Measures].[Unit Sales Price TyTWvsTyLW LC%]" caption="Unit Sales Price TyTWvsTyLW LC%" measure="1" displayFolder="TyTWvsTyLW" measureGroup="KPI" count="0"/>
    <cacheHierarchy uniqueName="[Measures].[Unit Sales Price TyTWvsTyLW TRY%]" caption="Unit Sales Price TyTWvsTyLW TRY%" measure="1" displayFolder="TyTWvsTyLW" measureGroup="KPI" count="0"/>
    <cacheHierarchy uniqueName="[Measures].[Unit Sales Price TyTWvsTyLW USD%]" caption="Unit Sales Price TyTWvsTyLW USD%" measure="1" displayFolder="TyTWvsTyLW" measureGroup="KPI" count="0"/>
    <cacheHierarchy uniqueName="[Measures].[LFL Unit Sales Price TyTWvsTyLW LC%]" caption="LFL Unit Sales Price TyTWvsTyLW LC%" measure="1" displayFolder="TyTWvsTyLW" measureGroup="KPI" count="0"/>
    <cacheHierarchy uniqueName="[Measures].[LFL Unit Sales Price TyTWvsTyLW TRY%]" caption="LFL Unit Sales Price TyTWvsTyLW TRY%" measure="1" displayFolder="TyTWvsTyLW" measureGroup="KPI" count="0"/>
    <cacheHierarchy uniqueName="[Measures].[LFL Unit Sales Price TyTWvsTyLW USD%]" caption="LFL Unit Sales Price TyTWvsTyLW USD%" measure="1" displayFolder="TyTWvsTyLW" measureGroup="KPI" count="0"/>
    <cacheHierarchy uniqueName="[Measures].[TY DC Inc Back Cover Unit]" caption="TY DC Inc Back Cover Unit" measure="1" displayFolder="01_TY\_UNIT" measureGroup="KPI" count="0"/>
    <cacheHierarchy uniqueName="[Measures].[TY DC Inc Back Cover LC]" caption="TY DC Inc Back Cover LC" measure="1" displayFolder="01_TY\LC" measureGroup="KPI" count="0"/>
    <cacheHierarchy uniqueName="[Measures].[TY DC Inc Back Cover TRY]" caption="TY DC Inc Back Cover TRY" measure="1" displayFolder="01_TY\TRY" measureGroup="KPI" count="0"/>
    <cacheHierarchy uniqueName="[Measures].[TY DC Inc Back Cover USD]" caption="TY DC Inc Back Cover USD" measure="1" displayFolder="01_TY\USD" measureGroup="KPI" count="0"/>
    <cacheHierarchy uniqueName="[Measures].[LY DC Inc Back Cover Unit]" caption="LY DC Inc Back Cover Unit" measure="1" displayFolder="03_LY\_UNIT" measureGroup="KPI" count="0"/>
    <cacheHierarchy uniqueName="[Measures].[LY DC Inc Back Cover LC]" caption="LY DC Inc Back Cover LC" measure="1" displayFolder="03_LY\LC" measureGroup="KPI" count="0"/>
    <cacheHierarchy uniqueName="[Measures].[LY DC Inc Back Cover TRY]" caption="LY DC Inc Back Cover TRY" measure="1" displayFolder="03_LY\TRY" measureGroup="KPI" count="0"/>
    <cacheHierarchy uniqueName="[Measures].[LY DC Inc Back Cover USD]" caption="LY DC Inc Back Cover USD" measure="1" displayFolder="03_LY\USD" measureGroup="KPI" count="0"/>
    <cacheHierarchy uniqueName="[Measures].[DC Inc Back Cover Unit TYvsLY%]" caption="DC Inc Back Cover Unit TYvsLY%" measure="1" displayFolder="01_TY\_UNIT" measureGroup="KPI" count="0"/>
    <cacheHierarchy uniqueName="[Measures].[DC Inc Back Cover TYvsLY LC%]" caption="DC Inc Back Cover TYvsLY LC%" measure="1" displayFolder="01_TY\LC" measureGroup="KPI" count="0"/>
    <cacheHierarchy uniqueName="[Measures].[DC Inc Back Cover TYvsLY TRY%]" caption="DC Inc Back Cover TYvsLY TRY%" measure="1" displayFolder="01_TY\TRY" measureGroup="KPI" count="0"/>
    <cacheHierarchy uniqueName="[Measures].[DC Inc Back Cover TYvsLY USD%]" caption="DC Inc Back Cover TYvsLY USD%" measure="1" displayFolder="01_TY\USD" measureGroup="KPI" count="0"/>
    <cacheHierarchy uniqueName="[Measures].[ShowAll]" caption="ShowAll" measure="1" displayFolder="00_INFO" measureGroup="KPI" count="0"/>
    <cacheHierarchy uniqueName="[Measures].[Store Area m2]" caption="Store Area m2" measure="1" displayFolder="00_INFO" measureGroup="KPI" count="0"/>
    <cacheHierarchy uniqueName="[Measures].[TY Store Total Back Cover Unit]" caption="TY Store Total Back Cover Unit" measure="1" displayFolder="01_TY\UNIT" measureGroup="KPI" count="0"/>
    <cacheHierarchy uniqueName="[Measures].[TY Store Total Back Cover LC]" caption="TY Store Total Back Cover LC" measure="1" displayFolder="01_TY\LC" measureGroup="KPI" count="0"/>
    <cacheHierarchy uniqueName="[Measures].[TY Store Count by Sales]" caption="TY Store Count by Sales" measure="1" displayFolder="01_TY\_UNIT" measureGroup="KPI" count="0"/>
    <cacheHierarchy uniqueName="[Measures].[LY Store Count by Sales]" caption="LY Store Count by Sales" measure="1" displayFolder="03_LY\_UNIT" measureGroup="KPI" count="0"/>
    <cacheHierarchy uniqueName="[Measures].[TY LFL Store Count by Sales]" caption="TY LFL Store Count by Sales" measure="1" displayFolder="02_TYLFL\_UNIT" measureGroup="KPI" count="0"/>
    <cacheHierarchy uniqueName="[Measures].[LY LFL Store Count by Sales]" caption="LY LFL Store Count by Sales" measure="1" displayFolder="04_LYLFL\_UNIT" measureGroup="KPI" count="0"/>
    <cacheHierarchy uniqueName="[Measures].[TY Store Count by Stock]" caption="TY Store Count by Stock" measure="1" displayFolder="01_TY\_UNIT" measureGroup="KPI" count="0"/>
    <cacheHierarchy uniqueName="[Measures].[LY Store Count by Stock]" caption="LY Store Count by Stock" measure="1" displayFolder="03_LY\_UNIT" measureGroup="KPI" count="0"/>
    <cacheHierarchy uniqueName="[Measures].[TY LFL Store Count by Stock]" caption="TY LFL Store Count by Stock" measure="1" displayFolder="02_TYLFL\_UNIT" measureGroup="KPI" count="0"/>
    <cacheHierarchy uniqueName="[Measures].[LY LFL Store Count by Stock]" caption="LY LFL Store Count by Stock" measure="1" displayFolder="04_LYLFL\_UNIT" measureGroup="KPI" count="0"/>
    <cacheHierarchy uniqueName="[Measures].[TY Store Total Back Cover TRY]" caption="TY Store Total Back Cover TRY" measure="1" displayFolder="01_TY\TRY" measureGroup="KPI" count="0"/>
    <cacheHierarchy uniqueName="[Measures].[TY Store Total Back Cover USD]" caption="TY Store Total Back Cover USD" measure="1" displayFolder="01_TY\USD" measureGroup="KPI" count="0"/>
    <cacheHierarchy uniqueName="[Measures].[TY Country Back Cover Unit]" caption="TY Country Back Cover Unit" measure="1" displayFolder="01_TY\UNIT" measureGroup="KPI" count="0"/>
    <cacheHierarchy uniqueName="[Measures].[PO Unit]" caption="PO Unit" measure="1" displayFolder="_UNIT" measureGroup="PurchaseOrder" count="0"/>
    <cacheHierarchy uniqueName="[Measures].[Goods Receipt PO Unit]" caption="Goods Receipt PO Unit" measure="1" displayFolder="_UNIT" measureGroup="PurchaseOrder" count="0"/>
    <cacheHierarchy uniqueName="[Measures].[Pending PO Unit]" caption="Pending PO Unit" measure="1" displayFolder="_UNIT" measureGroup="PurchaseOrder" count="0"/>
    <cacheHierarchy uniqueName="[Measures].[Other Merchant PO Unit]" caption="Other Merchant PO Unit" measure="1" displayFolder="_UNIT" measureGroup="PurchaseOrder" count="0"/>
    <cacheHierarchy uniqueName="[Measures].[Other Merchant Goods Receipt PO Unit]" caption="Other Merchant Goods Receipt PO Unit" measure="1" displayFolder="_UNIT" measureGroup="PurchaseOrder" count="0"/>
    <cacheHierarchy uniqueName="[Measures].[Other Merchant Pending PO Unit]" caption="Other Merchant Pending PO Unit" measure="1" displayFolder="_UNIT" measureGroup="PurchaseOrder" count="0"/>
    <cacheHierarchy uniqueName="[Measures].[Pending PO Unit Runing Total]" caption="Pending PO Unit Runing Total" measure="1" displayFolder="_UNIT" measureGroup="PurchaseOrder" count="0"/>
    <cacheHierarchy uniqueName="[Measures].[Other Merchant Pending PO Unit Runing Total]" caption="Other Merchant Pending PO Unit Runing Total" measure="1" displayFolder="_UNIT" measureGroup="PurchaseOrder" count="0"/>
    <cacheHierarchy uniqueName="[Measures].[PO Unit Year Total]" caption="PO Unit Year Total" measure="1" displayFolder="_UNIT" measureGroup="PurchaseOrder" count="0"/>
    <cacheHierarchy uniqueName="[Measures].[Goods Receipt PO Unit Year Total]" caption="Goods Receipt PO Unit Year Total" measure="1" displayFolder="_UNIT" measureGroup="PurchaseOrder" count="0"/>
    <cacheHierarchy uniqueName="[Measures].[Other Merchant PO Unit Year Total]" caption="Other Merchant PO Unit Year Total" measure="1" displayFolder="_UNIT" measureGroup="PurchaseOrder" count="0"/>
    <cacheHierarchy uniqueName="[Measures].[Other Merchant Goods Receipt PO Unit Year Total]" caption="Other Merchant Goods Receipt PO Unit Year Total" measure="1" displayFolder="_UNIT" measureGroup="PurchaseOrder" count="0"/>
    <cacheHierarchy uniqueName="[Measures].[ALL PO Unit]" caption="ALL PO Unit" measure="1" displayFolder="_UNIT" measureGroup="PurchaseOrder" count="0"/>
    <cacheHierarchy uniqueName="[Measures].[ALL PO Unit Year Total]" caption="ALL PO Unit Year Total" measure="1" displayFolder="_UNIT" measureGroup="PurchaseOrder" count="0"/>
    <cacheHierarchy uniqueName="[Measures].[ALL Pending PO Unit]" caption="ALL Pending PO Unit" measure="1" displayFolder="_UNIT" measureGroup="PurchaseOrder" count="0"/>
    <cacheHierarchy uniqueName="[Measures].[ALL Pending PO Unit Runing Total]" caption="ALL Pending PO Unit Runing Total" measure="1" displayFolder="_UNIT" measureGroup="PurchaseOrder" count="0"/>
    <cacheHierarchy uniqueName="[Measures].[ALL Goods Receipt PO Unit]" caption="ALL Goods Receipt PO Unit" measure="1" displayFolder="_UNIT" measureGroup="PurchaseOrder" count="0"/>
    <cacheHierarchy uniqueName="[Measures].[ALL Goods Receipt PO Unit Year Total]" caption="ALL Goods Receipt PO Unit Year Total" measure="1" displayFolder="_UNIT" measureGroup="PurchaseOrder" count="0"/>
    <cacheHierarchy uniqueName="[Measures].[PO Value LC]" caption="PO Value LC" measure="1" displayFolder="_VALUE" measureGroup="PurchaseOrder" count="0"/>
    <cacheHierarchy uniqueName="[Measures].[PO Value LC Year Total]" caption="PO Value LC Year Total" measure="1" displayFolder="_VALUE" measureGroup="PurchaseOrder" count="0"/>
    <cacheHierarchy uniqueName="[Measures].[Goods Receipt PO Value LC]" caption="Goods Receipt PO Value LC" measure="1" displayFolder="_VALUE" measureGroup="PurchaseOrder" count="0"/>
    <cacheHierarchy uniqueName="[Measures].[Goods Receipt PO Value LC Year Total]" caption="Goods Receipt PO Value LC Year Total" measure="1" displayFolder="_VALUE" measureGroup="PurchaseOrder" count="0"/>
    <cacheHierarchy uniqueName="[Measures].[Pending PO Value LC]" caption="Pending PO Value LC" measure="1" displayFolder="_VALUE" measureGroup="PurchaseOrder" count="0"/>
    <cacheHierarchy uniqueName="[Measures].[Pending PO Value LC Runing Total]" caption="Pending PO Value LC Runing Total" measure="1" displayFolder="_VALUE" measureGroup="PurchaseOrder" count="0"/>
    <cacheHierarchy uniqueName="[Measures].[Other Merchant Goods Receipt PO Value LC]" caption="Other Merchant Goods Receipt PO Value LC" measure="1" displayFolder="_VALUE" measureGroup="PurchaseOrder" count="0"/>
    <cacheHierarchy uniqueName="[Measures].[Other Merchant Goods Receipt PO Value LC Year Total]" caption="Other Merchant Goods Receipt PO Value LC Year Total" measure="1" displayFolder="_VALUE" measureGroup="PurchaseOrder" count="0"/>
    <cacheHierarchy uniqueName="[Measures].[Other Merchant Pending PO Value LC]" caption="Other Merchant Pending PO Value LC" measure="1" displayFolder="_VALUE" measureGroup="PurchaseOrder" count="0"/>
    <cacheHierarchy uniqueName="[Measures].[Other Merchant Pending PO Value LC Runing Total]" caption="Other Merchant Pending PO Value LC Runing Total" measure="1" displayFolder="_VALUE" measureGroup="PurchaseOrder" count="0"/>
    <cacheHierarchy uniqueName="[Measures].[Other Merchant PO Value LC]" caption="Other Merchant PO Value LC" measure="1" displayFolder="_VALUE" measureGroup="PurchaseOrder" count="0"/>
    <cacheHierarchy uniqueName="[Measures].[Other Merchant PO Value LC Year Total]" caption="Other Merchant PO Value LC Year Total" measure="1" displayFolder="_VALUE" measureGroup="PurchaseOrder" count="0"/>
    <cacheHierarchy uniqueName="[Measures].[ALL PO Value LC]" caption="ALL PO Value LC" measure="1" displayFolder="_VALUE" measureGroup="PurchaseOrder" count="0"/>
    <cacheHierarchy uniqueName="[Measures].[ALL PO Value LC Year Total]" caption="ALL PO Value LC Year Total" measure="1" displayFolder="_VALUE" measureGroup="PurchaseOrder" count="0"/>
    <cacheHierarchy uniqueName="[Measures].[ALL Goods Receipt PO Value LC]" caption="ALL Goods Receipt PO Value LC" measure="1" displayFolder="_VALUE" measureGroup="PurchaseOrder" count="0"/>
    <cacheHierarchy uniqueName="[Measures].[ALL Goods Receipt PO Value LC Year Total]" caption="ALL Goods Receipt PO Value LC Year Total" measure="1" displayFolder="_VALUE" measureGroup="PurchaseOrder" count="0"/>
    <cacheHierarchy uniqueName="[Measures].[ALL Pending PO Value LC]" caption="ALL Pending PO Value LC" measure="1" displayFolder="_VALUE" measureGroup="PurchaseOrder" count="0"/>
    <cacheHierarchy uniqueName="[Measures].[ALL Pending PO Value LC Runing Total]" caption="ALL Pending PO Value LC Runing Total" measure="1" displayFolder="_VALUE" measureGroup="PurchaseOrder" count="0"/>
    <cacheHierarchy uniqueName="[Measures].[Pending PO Unit (WholeSale)]" caption="Pending PO Unit (WholeSale)" measure="1" displayFolder="_UNIT" measureGroup="PurchaseOrder" count="0"/>
    <cacheHierarchy uniqueName="[Measures].[Pending PO Value LC (WholeSale)]" caption="Pending PO Value LC (WholeSale)" measure="1" displayFolder="_VALUE" measureGroup="PurchaseOrder" count="0"/>
    <cacheHierarchy uniqueName="[Measures].[Goods Receipt PO Unit (WholeSale)]" caption="Goods Receipt PO Unit (WholeSale)" measure="1" displayFolder="_UNIT" measureGroup="PurchaseOrder" count="0"/>
    <cacheHierarchy uniqueName="[Measures].[Goods Receipt PO Value LC (WholeSale)]" caption="Goods Receipt PO Value LC (WholeSale)" measure="1" displayFolder="_VALUE" measureGroup="PurchaseOrder" count="0"/>
    <cacheHierarchy uniqueName="[Measures].[TY Customer Entry Count]" caption="TY Customer Entry Count" measure="1" displayFolder="01_TY" measureGroup="VisitorHourly" count="0"/>
    <cacheHierarchy uniqueName="[Measures].[LY Customer Entry Count]" caption="LY Customer Entry Count" measure="1" displayFolder="03_LY" measureGroup="VisitorHourly" count="0"/>
    <cacheHierarchy uniqueName="[Measures].[TY LFL Customer Entry Count]" caption="TY LFL Customer Entry Count" measure="1" displayFolder="02_TYLFL" measureGroup="VisitorHourly" count="0"/>
    <cacheHierarchy uniqueName="[Measures].[LY LFL Customer Entry Count]" caption="LY LFL Customer Entry Count" measure="1" displayFolder="04_LYLFL" measureGroup="VisitorHourly" count="0"/>
    <cacheHierarchy uniqueName="[Measures].[Daily Invoice Sale]" caption="Daily Invoice Sale" measure="1" displayFolder="01_SALE" measureGroup="Visitor" count="0"/>
    <cacheHierarchy uniqueName="[Measures].[Daily Invoice Return]" caption="Daily Invoice Return" measure="1" displayFolder="01_SALE" measureGroup="Visitor" count="0"/>
    <cacheHierarchy uniqueName="[Measures].[Net Daily Invoice (Sale-Return)]" caption="Net Daily Invoice (Sale-Return)" measure="1" displayFolder="01_SALE" measureGroup="Visitor" count="0"/>
    <cacheHierarchy uniqueName="[Measures].[Daily Visitor Count]" caption="Daily Visitor Count" measure="1" displayFolder="02_VISITOR" measureGroup="Visitor" count="0"/>
    <cacheHierarchy uniqueName="[Measures].[Net Daily Invoice of Company]" caption="Net Daily Invoice of Company" measure="1" displayFolder="01_SALE" measureGroup="Visitor" count="0"/>
    <cacheHierarchy uniqueName="[Measures].[Daily Visitor Count of Company]" caption="Daily Visitor Count of Company" measure="1" displayFolder="02_VISITOR" measureGroup="Visitor" count="0"/>
    <cacheHierarchy uniqueName="[Measures].[Customer Conversion Rate]" caption="Customer Conversion Rate" measure="1" displayFolder="03_CCR" measureGroup="Visitor" count="0"/>
    <cacheHierarchy uniqueName="[Measures].[Adjusted Customer Conversion Rate]" caption="Adjusted Customer Conversion Rate" measure="1" displayFolder="03_CCR" measureGroup="Visitor" count="0"/>
    <cacheHierarchy uniqueName="[Measures].[Adjusted Visitor Count]" caption="Adjusted Visitor Count" measure="1" displayFolder="02_VISITOR" measureGroup="Visitor" count="0"/>
    <cacheHierarchy uniqueName="[Measures].[TY Avg Capacity Plan Unit]" caption="TY Avg Capacity Plan Unit" measure="1" displayFolder="01_TY\_UNIT" measureGroup="Capacity" count="0"/>
    <cacheHierarchy uniqueName="[Measures].[TY LFL Avg Capacity Plan Unit]" caption="TY LFL Avg Capacity Plan Unit" measure="1" displayFolder="01_TY\_UNIT" measureGroup="Capacity" count="0"/>
    <cacheHierarchy uniqueName="[Measures].[CUR Store Capacity Quantity]" caption="CUR Store Capacity Quantity" measure="1" displayFolder="00_CURRENT\_UNIT" measureGroup="Capacity" count="0"/>
    <cacheHierarchy uniqueName="[Measures].[CUR Backstore Capacity Quantity]" caption="CUR Backstore Capacity Quantity" measure="1" displayFolder="00_CURRENT\_UNIT" measureGroup="Capacity" count="0"/>
    <cacheHierarchy uniqueName="[Measures].[CUR Total Store Capacity Quantity]" caption="CUR Total Store Capacity Quantity" measure="1" displayFolder="00_CURRENT\_UNIT" measureGroup="Capacity" count="0"/>
    <cacheHierarchy uniqueName="[Measures].[CUR Store Capacity dm3]" caption="CUR Store Capacity dm3" measure="1" displayFolder="00_CURRENT\_DM3" measureGroup="Capacity" count="0"/>
    <cacheHierarchy uniqueName="[Measures].[CUR Backstore Capacity dm3]" caption="CUR Backstore Capacity dm3" measure="1" displayFolder="00_CURRENT\_DM3" measureGroup="Capacity" count="0"/>
    <cacheHierarchy uniqueName="[Measures].[CUR Total Store Capacity dm3]" caption="CUR Total Store Capacity dm3" measure="1" displayFolder="00_CURRENT\_DM3" measureGroup="Capacity" count="0"/>
    <cacheHierarchy uniqueName="[Measures].[TY Avg Capacity Plan Cost LC]" caption="TY Avg Capacity Plan Cost LC" measure="1" displayFolder="01_TY\_LC" measureGroup="Capacity" count="0"/>
    <cacheHierarchy uniqueName="[Measures].[TY LFL Avg Capacity Plan Cost LC]" caption="TY LFL Avg Capacity Plan Cost LC" measure="1" displayFolder="01_TY\_LC" measureGroup="Capacity" count="0"/>
    <cacheHierarchy uniqueName="[Measures].[Fiziki Dm3 Doluluk %]" caption="Fiziki Dm3 Doluluk %" measure="1" displayFolder="00_CURRENT\_DM3" measureGroup="Capacity" count="0"/>
    <cacheHierarchy uniqueName="[Measures].[Nihai Dm3 Doluluk %]" caption="Nihai Dm3 Doluluk %" measure="1" displayFolder="00_CURRENT\_DM3" measureGroup="Capacity" count="0"/>
    <cacheHierarchy uniqueName="[Measures].[Fiziki Adet Doluluk %]" caption="Fiziki Adet Doluluk %" measure="1" displayFolder="00_CURRENT\_UNIT" measureGroup="Capacity" count="0"/>
    <cacheHierarchy uniqueName="[Measures].[Nihai Adet Doluluk %]" caption="Nihai Adet Doluluk %" measure="1" displayFolder="00_CURRENT\_UNIT" measureGroup="Capacity" count="0"/>
    <cacheHierarchy uniqueName="[Measures].[BrKar/Dm3]" caption="BrKar/Dm3" measure="1" displayFolder="00_CURRENT\_DM3" measureGroup="Capacity" count="0"/>
    <cacheHierarchy uniqueName="[Measures].[NET Nihai Dm3 Doluluk %]" caption="NET Nihai Dm3 Doluluk %" measure="1" displayFolder="00_CURRENT\_DM3" measureGroup="Capacity" count="0"/>
    <cacheHierarchy uniqueName="[Measures].[Delivery Quantity Outbound from DC to Store]" caption="Delivery Quantity Outbound from DC to Store" measure="1" displayFolder="" measureGroup="Delivery" count="0"/>
    <cacheHierarchy uniqueName="[Measures].[Delivery Quantity Target from DC to Store]" caption="Delivery Quantity Target from DC to Store" measure="1" displayFolder="" measureGroup="Delivery" count="0"/>
    <cacheHierarchy uniqueName="[Measures].[__Default measure]" caption="__Default measure" measure="1" displayFolder="" count="0" hidden="1"/>
    <cacheHierarchy uniqueName="[Measures].[DCStockUnit]" caption="DCStockUnit" measure="1" displayFolder="01_TY\_UNIT" measureGroup="StockDC" count="0" hidden="1"/>
    <cacheHierarchy uniqueName="[Measures].[DCCUSStockUnit]" caption="DCCUSStockUnit" measure="1" displayFolder="01_TY\_UNIT" measureGroup="StockDC" count="0" hidden="1"/>
    <cacheHierarchy uniqueName="[Measures].[DCTRNStockUnit]" caption="DCTRNStockUnit" measure="1" displayFolder="01_TY\_UNIT" measureGroup="StockDC" count="0" hidden="1"/>
    <cacheHierarchy uniqueName="[Measures].[DCStockCostLC]" caption="DCStockCostLC" measure="1" displayFolder="01_TY\LC" measureGroup="StockDC" count="0" hidden="1"/>
    <cacheHierarchy uniqueName="[Measures].[DCTRNStockCostLC]" caption="DCTRNStockCostLC" measure="1" displayFolder="01_TY\LC" measureGroup="StockDC" count="0" hidden="1"/>
    <cacheHierarchy uniqueName="[Measures].[DCCUSStockCostLC]" caption="DCCUSStockCostLC" measure="1" displayFolder="01_TY\LC" measureGroup="StockDC" count="0" hidden="1"/>
    <cacheHierarchy uniqueName="[Measures].[DCStockCostTRY]" caption="DCStockCostTRY" measure="1" displayFolder="01_TY\TRY" measureGroup="StockDC" count="0" hidden="1"/>
    <cacheHierarchy uniqueName="[Measures].[DCTRNStockCostTRY]" caption="DCTRNStockCostTRY" measure="1" displayFolder="01_TY\TRY" measureGroup="StockDC" count="0" hidden="1"/>
    <cacheHierarchy uniqueName="[Measures].[DCCUSStockCostTRY]" caption="DCCUSStockCostTRY" measure="1" displayFolder="01_TY\TRY" measureGroup="StockDC" count="0" hidden="1"/>
    <cacheHierarchy uniqueName="[Measures].[DCStockCostUSD]" caption="DCStockCostUSD" measure="1" displayFolder="01_TY\USD" measureGroup="StockDC" count="0" hidden="1"/>
    <cacheHierarchy uniqueName="[Measures].[DCTRNStockCostUSD]" caption="DCTRNStockCostUSD" measure="1" displayFolder="01_TY\USD" measureGroup="StockDC" count="0" hidden="1"/>
    <cacheHierarchy uniqueName="[Measures].[DCCUSStockCostUSD]" caption="DCCUSStockCostUSD" measure="1" displayFolder="01_TY\USD" measureGroup="StockDC" count="0" hidden="1"/>
    <cacheHierarchy uniqueName="[Measures].[LYDCStockUnit]" caption="LYDCStockUnit" measure="1" displayFolder="02_LY\_UNIT" measureGroup="StockDC" count="0" hidden="1"/>
    <cacheHierarchy uniqueName="[Measures].[LYDCTRNStockUnit]" caption="LYDCTRNStockUnit" measure="1" displayFolder="02_LY\_UNIT" measureGroup="StockDC" count="0" hidden="1"/>
    <cacheHierarchy uniqueName="[Measures].[LYDCCUSStockUnit]" caption="LYDCCUSStockUnit" measure="1" displayFolder="02_LY\_UNIT" measureGroup="StockDC" count="0" hidden="1"/>
    <cacheHierarchy uniqueName="[Measures].[LYDCStockCostLC]" caption="LYDCStockCostLC" measure="1" displayFolder="02_LY\LC" measureGroup="StockDC" count="0" hidden="1"/>
    <cacheHierarchy uniqueName="[Measures].[LYDCTRNStockCostLC]" caption="LYDCTRNStockCostLC" measure="1" displayFolder="02_LY\LC" measureGroup="StockDC" count="0" hidden="1"/>
    <cacheHierarchy uniqueName="[Measures].[LYDCCUSStockCostLC]" caption="LYDCCUSStockCostLC" measure="1" displayFolder="02_LY\LC" measureGroup="StockDC" count="0" hidden="1"/>
    <cacheHierarchy uniqueName="[Measures].[LYDCStockCostTRY]" caption="LYDCStockCostTRY" measure="1" displayFolder="02_LY\TRY" measureGroup="StockDC" count="0" hidden="1"/>
    <cacheHierarchy uniqueName="[Measures].[LYDCTRNStockCostTRY]" caption="LYDCTRNStockCostTRY" measure="1" displayFolder="02_LY\TRY" measureGroup="StockDC" count="0" hidden="1"/>
    <cacheHierarchy uniqueName="[Measures].[LYDCCUSStockCostTRY]" caption="LYDCCUSStockCostTRY" measure="1" displayFolder="02_LY\TRY" measureGroup="StockDC" count="0" hidden="1"/>
    <cacheHierarchy uniqueName="[Measures].[LYDCStockCostUSD]" caption="LYDCStockCostUSD" measure="1" displayFolder="02_LY\USD" measureGroup="StockDC" count="0" hidden="1"/>
    <cacheHierarchy uniqueName="[Measures].[LYDCTRNStockCostUSD]" caption="LYDCTRNStockCostUSD" measure="1" displayFolder="02_LY\USD" measureGroup="StockDC" count="0" hidden="1"/>
    <cacheHierarchy uniqueName="[Measures].[LYDCCUSStockCostUSD]" caption="LYDCCUSStockCostUSD" measure="1" displayFolder="02_LY\USD" measureGroup="StockDC" count="0" hidden="1"/>
    <cacheHierarchy uniqueName="[Measures].[DCOTHStockUnit]" caption="DCOTHStockUnit" measure="1" displayFolder="01_TY\_UNIT" measureGroup="StockDC" count="0" hidden="1"/>
    <cacheHierarchy uniqueName="[Measures].[DCOthStockCostLC]" caption="DCOthStockCostLC" measure="1" displayFolder="01_TY\LC" measureGroup="StockDC" count="0" hidden="1"/>
    <cacheHierarchy uniqueName="[Measures].[DCOTHStockCostTRY]" caption="DCOTHStockCostTRY" measure="1" displayFolder="01_TY\TRY" measureGroup="StockDC" count="0" hidden="1"/>
    <cacheHierarchy uniqueName="[Measures].[DCOTHStockCostUSD]" caption="DCOTHStockCostUSD" measure="1" displayFolder="01_TY\USD" measureGroup="StockDC" count="0" hidden="1"/>
    <cacheHierarchy uniqueName="[Measures].[LYDCOTHStockUnit]" caption="LYDCOTHStockUnit" measure="1" displayFolder="02_LY\_UNIT" measureGroup="StockDC" count="0" hidden="1"/>
    <cacheHierarchy uniqueName="[Measures].[LYDCOTHStockCostLC]" caption="LYDCOTHStockCostLC" measure="1" displayFolder="02_LY\LC" measureGroup="StockDC" count="0" hidden="1"/>
    <cacheHierarchy uniqueName="[Measures].[LYDCOTHStockCostTRY]" caption="LYDCOTHStockCostTRY" measure="1" displayFolder="02_LY\TRY" measureGroup="StockDC" count="0" hidden="1"/>
    <cacheHierarchy uniqueName="[Measures].[LYDCOTHStockCostUSD]" caption="LYDCOTHStockCostUSD" measure="1" displayFolder="02_LY\USD" measureGroup="StockDC" count="0" hidden="1"/>
    <cacheHierarchy uniqueName="[Measures].[SumofStockUnit]" caption="SumofStockUnit" measure="1" displayFolder="01_TY\_UNIT" measureGroup="StockStore" count="0" hidden="1"/>
    <cacheHierarchy uniqueName="[Measures].[SumofTransitStockUnit]" caption="SumofTransitStockUnit" measure="1" displayFolder="01_TY\_UNIT" measureGroup="StockStore" count="0" hidden="1"/>
    <cacheHierarchy uniqueName="[Measures].[StoreStockCostLC]" caption="StoreStockCostLC" measure="1" displayFolder="01_TY\LC" measureGroup="StockStore" count="0" hidden="1"/>
    <cacheHierarchy uniqueName="[Measures].[StoreTransitStockCostLC]" caption="StoreTransitStockCostLC" measure="1" displayFolder="01_TY\LC" measureGroup="StockStore" count="0" hidden="1"/>
    <cacheHierarchy uniqueName="[Measures].[TyLFLSumofStockUnit]" caption="TyLFLSumofStockUnit" measure="1" displayFolder="02_TYLFL\_UNIT" measureGroup="StockStore" count="0" hidden="1"/>
    <cacheHierarchy uniqueName="[Measures].[TyLFLSumofTransitStockUnit]" caption="TyLFLSumofTransitStockUnit" measure="1" displayFolder="02_TYLFL\_UNIT" measureGroup="StockStore" count="0" hidden="1"/>
    <cacheHierarchy uniqueName="[Measures].[TYlfl StoreStockCostLC]" caption="TYlfl StoreStockCostLC" measure="1" displayFolder="02_TYLFL\LC" measureGroup="StockStore" count="0" hidden="1"/>
    <cacheHierarchy uniqueName="[Measures].[TYlfl StoreTransitStockCostLC]" caption="TYlfl StoreTransitStockCostLC" measure="1" displayFolder="02_TYLFL\LC" measureGroup="StockStore" count="0" hidden="1"/>
    <cacheHierarchy uniqueName="[Measures].[StoreStockCostTRY]" caption="StoreStockCostTRY" measure="1" displayFolder="01_TY\TRY" measureGroup="StockStore" count="0" hidden="1"/>
    <cacheHierarchy uniqueName="[Measures].[StoreTransitStockCostTRY]" caption="StoreTransitStockCostTRY" measure="1" displayFolder="01_TY\TRY" measureGroup="StockStore" count="0" hidden="1"/>
    <cacheHierarchy uniqueName="[Measures].[StoreStockCostUSD]" caption="StoreStockCostUSD" measure="1" displayFolder="01_TY\USD" measureGroup="StockStore" count="0" hidden="1"/>
    <cacheHierarchy uniqueName="[Measures].[StoreTransitStockCostUSD]" caption="StoreTransitStockCostUSD" measure="1" displayFolder="01_TY\USD" measureGroup="StockStore" count="0" hidden="1"/>
    <cacheHierarchy uniqueName="[Measures].[TYLFL StoreStockCostTRY]" caption="TYLFL StoreStockCostTRY" measure="1" displayFolder="02_TYLFL\TRY" measureGroup="StockStore" count="0" hidden="1"/>
    <cacheHierarchy uniqueName="[Measures].[TYLFL StoreTransitStockCostTRY]" caption="TYLFL StoreTransitStockCostTRY" measure="1" displayFolder="02_TYLFL\TRY" measureGroup="StockStore" count="0" hidden="1"/>
    <cacheHierarchy uniqueName="[Measures].[TYLFL StoreStockCostUSD]" caption="TYLFL StoreStockCostUSD" measure="1" displayFolder="02_TYLFL\USD" measureGroup="StockStore" count="0" hidden="1"/>
    <cacheHierarchy uniqueName="[Measures].[TYLFL StoreTransitStockCostUSD]" caption="TYLFL StoreTransitStockCostUSD" measure="1" displayFolder="02_TYLFL\USD" measureGroup="StockStore" count="0" hidden="1"/>
    <cacheHierarchy uniqueName="[Measures].[LYSumofStockUnit]" caption="LYSumofStockUnit" measure="1" displayFolder="03_LY\_UNIT" measureGroup="StockStore" count="0" hidden="1"/>
    <cacheHierarchy uniqueName="[Measures].[LYSumofTransitStockUnit]" caption="LYSumofTransitStockUnit" measure="1" displayFolder="03_LY\_UNIT" measureGroup="StockStore" count="0" hidden="1"/>
    <cacheHierarchy uniqueName="[Measures].[LYStoreStockCostLC]" caption="LYStoreStockCostLC" measure="1" displayFolder="03_LY\LC" measureGroup="StockStore" count="0" hidden="1"/>
    <cacheHierarchy uniqueName="[Measures].[LYStoreTransitStockCostLC]" caption="LYStoreTransitStockCostLC" measure="1" displayFolder="03_LY\LC" measureGroup="StockStore" count="0" hidden="1"/>
    <cacheHierarchy uniqueName="[Measures].[LYStoreStockCostTRY]" caption="LYStoreStockCostTRY" measure="1" displayFolder="03_LY\TRY" measureGroup="StockStore" count="0" hidden="1"/>
    <cacheHierarchy uniqueName="[Measures].[LYStoreTransitStockCostTRY]" caption="LYStoreTransitStockCostTRY" measure="1" displayFolder="03_LY\TRY" measureGroup="StockStore" count="0" hidden="1"/>
    <cacheHierarchy uniqueName="[Measures].[LYStoreStockCostUSD]" caption="LYStoreStockCostUSD" measure="1" displayFolder="03_LY\USD" measureGroup="StockStore" count="0" hidden="1"/>
    <cacheHierarchy uniqueName="[Measures].[LYStoreTransitStockCostUSD]" caption="LYStoreTransitStockCostUSD" measure="1" displayFolder="03_LY\USD" measureGroup="StockStore" count="0" hidden="1"/>
    <cacheHierarchy uniqueName="[Measures].[LyLFLSumofStockUnit]" caption="LyLFLSumofStockUnit" measure="1" displayFolder="04_LYLFL\_UNIT" measureGroup="StockStore" count="0" hidden="1"/>
    <cacheHierarchy uniqueName="[Measures].[LyLFLSumofTransitStockUnit]" caption="LyLFLSumofTransitStockUnit" measure="1" displayFolder="04_LYLFL\_UNIT" measureGroup="StockStore" count="0" hidden="1"/>
    <cacheHierarchy uniqueName="[Measures].[LYlfl StoreStockCostLC]" caption="LYlfl StoreStockCostLC" measure="1" displayFolder="04_LYLFL\LC" measureGroup="StockStore" count="0" hidden="1"/>
    <cacheHierarchy uniqueName="[Measures].[LYlfl StoreTransitStockCostLC]" caption="LYlfl StoreTransitStockCostLC" measure="1" displayFolder="04_LYLFL\LC" measureGroup="StockStore" count="0" hidden="1"/>
    <cacheHierarchy uniqueName="[Measures].[LYLFL StoreStockCostTRY]" caption="LYLFL StoreStockCostTRY" measure="1" displayFolder="04_LYLFL\TRY" measureGroup="StockStore" count="0" hidden="1"/>
    <cacheHierarchy uniqueName="[Measures].[LYLFL StoreTransitStockCostTRY]" caption="LYLFL StoreTransitStockCostTRY" measure="1" displayFolder="04_LYLFL\TRY" measureGroup="StockStore" count="0" hidden="1"/>
    <cacheHierarchy uniqueName="[Measures].[LYLFL StoreStockCostUSD]" caption="LYLFL StoreStockCostUSD" measure="1" displayFolder="04_LYLFL\USD" measureGroup="StockStore" count="0" hidden="1"/>
    <cacheHierarchy uniqueName="[Measures].[LYLFL StoreTransitStockCostUSD]" caption="LYLFL StoreTransitStockCostUSD" measure="1" displayFolder="04_LYLFL\USD" measureGroup="StockStore" count="0" hidden="1"/>
    <cacheHierarchy uniqueName="[Measures].[RoEcomStok]" caption="RoEcomStok" measure="1" displayFolder="" measureGroup="StockStore" count="0" hidden="1"/>
    <cacheHierarchy uniqueName="[Measures].[laststokdate]" caption="laststokdate" measure="1" displayFolder="" measureGroup="StockStore" count="0" hidden="1"/>
    <cacheHierarchy uniqueName="[Measures].[SumofOtherStockUnit]" caption="SumofOtherStockUnit" measure="1" displayFolder="" measureGroup="StockStore" count="0" hidden="1"/>
    <cacheHierarchy uniqueName="[Measures].[TyLFLSumofOtherStockUnit]" caption="TyLFLSumofOtherStockUnit" measure="1" displayFolder="" measureGroup="StockStore" count="0" hidden="1"/>
    <cacheHierarchy uniqueName="[Measures].[LYSumofOtherStockUnit]" caption="LYSumofOtherStockUnit" measure="1" displayFolder="" measureGroup="StockStore" count="0" hidden="1"/>
    <cacheHierarchy uniqueName="[Measures].[LyLFLSumofOtherStockUnit]" caption="LyLFLSumofOtherStockUnit" measure="1" displayFolder="" measureGroup="StockStore" count="0" hidden="1"/>
    <cacheHierarchy uniqueName="[Measures].[StoreOtherStockCostTRY]" caption="StoreOtherStockCostTRY" measure="1" displayFolder="" measureGroup="StockStore" count="0" hidden="1"/>
    <cacheHierarchy uniqueName="[Measures].[StoreOtherStockCostLC]" caption="StoreOtherStockCostLC" measure="1" displayFolder="" measureGroup="StockStore" count="0" hidden="1"/>
    <cacheHierarchy uniqueName="[Measures].[StoreOtherStockCostUSD]" caption="StoreOtherStockCostUSD" measure="1" displayFolder="" measureGroup="StockStore" count="0" hidden="1"/>
    <cacheHierarchy uniqueName="[Measures].[Salable Stock Unit]" caption="Salable Stock Unit" measure="1" displayFolder="" measureGroup="StockStore" count="0" hidden="1"/>
    <cacheHierarchy uniqueName="[Measures].[LYStoreOtherStockCostLC]" caption="LYStoreOtherStockCostLC" measure="1" displayFolder="" measureGroup="StockStore" count="0" hidden="1"/>
    <cacheHierarchy uniqueName="[Measures].[LYStoreOtherStockCostTRY]" caption="LYStoreOtherStockCostTRY" measure="1" displayFolder="" measureGroup="StockStore" count="0" hidden="1"/>
    <cacheHierarchy uniqueName="[Measures].[LYStoreOtherStockCostUSD]" caption="LYStoreOtherStockCostUSD" measure="1" displayFolder="" measureGroup="StockStore" count="0" hidden="1"/>
    <cacheHierarchy uniqueName="[Measures].[Copy of CUR Open Transfer Store Stock Unit]" caption="Copy of CUR Open Transfer Store Stock Unit" measure="1" displayFolder="" measureGroup="StockStore" count="0" hidden="1"/>
    <cacheHierarchy uniqueName="[Measures].[SumofStockUnitDm3]" caption="SumofStockUnitDm3" measure="1" displayFolder="" measureGroup="StockStore" count="0" hidden="1"/>
    <cacheHierarchy uniqueName="[Measures].[SumofTransitStockUnitDm3]" caption="SumofTransitStockUnitDm3" measure="1" displayFolder="" measureGroup="StockStore" count="0" hidden="1"/>
    <cacheHierarchy uniqueName="[Measures].[TY CSP Sales Value VAT LC]" caption="TY CSP Sales Value VAT LC" measure="1" displayFolder="01_TY\LC" measureGroup="Sales" count="0" hidden="1"/>
    <cacheHierarchy uniqueName="[Measures].[TY CSP Sales Value LC]" caption="TY CSP Sales Value LC" measure="1" displayFolder="01_TY\LC" measureGroup="Sales" count="0" hidden="1"/>
    <cacheHierarchy uniqueName="[Measures].[TY CSP Sales Value VAT TRY]" caption="TY CSP Sales Value VAT TRY" measure="1" displayFolder="01_TY\TRY" measureGroup="Sales" count="0" hidden="1"/>
    <cacheHierarchy uniqueName="[Measures].[TY CSP Sales Value TRY]" caption="TY CSP Sales Value TRY" measure="1" displayFolder="01_TY\TRY" measureGroup="Sales" count="0" hidden="1"/>
    <cacheHierarchy uniqueName="[Measures].[LY CSP Sales Value VAT LC]" caption="LY CSP Sales Value VAT LC" measure="1" displayFolder="03_LY\LC" measureGroup="Sales" count="0" hidden="1"/>
    <cacheHierarchy uniqueName="[Measures].[LY CSP Sales Value LC]" caption="LY CSP Sales Value LC" measure="1" displayFolder="03_LY\LC" measureGroup="Sales" count="0" hidden="1"/>
    <cacheHierarchy uniqueName="[Measures].[TY LFL CSP Sales Value VAT LC]" caption="TY LFL CSP Sales Value VAT LC" measure="1" displayFolder="02_TYLFL\LC" measureGroup="Sales" count="0" hidden="1"/>
    <cacheHierarchy uniqueName="[Measures].[TY LFL CSP Sales Value LC]" caption="TY LFL CSP Sales Value LC" measure="1" displayFolder="02_TYLFL\LC" measureGroup="Sales" count="0" hidden="1"/>
    <cacheHierarchy uniqueName="[Measures].[TY CSP Sales Value VAT USD]" caption="TY CSP Sales Value VAT USD" measure="1" displayFolder="01_TY\USD" measureGroup="Sales" count="0" hidden="1"/>
    <cacheHierarchy uniqueName="[Measures].[TY CSP Sales Value USD]" caption="TY CSP Sales Value USD" measure="1" displayFolder="01_TY\USD" measureGroup="Sales" count="0" hidden="1"/>
    <cacheHierarchy uniqueName="[Measures].[TY LFL CSP Sales Value VAT TRY]" caption="TY LFL CSP Sales Value VAT TRY" measure="1" displayFolder="02_TYLFL\TRY" measureGroup="Sales" count="0" hidden="1"/>
    <cacheHierarchy uniqueName="[Measures].[TY LFL CSP Sales Value TRY]" caption="TY LFL CSP Sales Value TRY" measure="1" displayFolder="02_TYLFL\TRY" measureGroup="Sales" count="0" hidden="1"/>
    <cacheHierarchy uniqueName="[Measures].[TY LFL CSP Sales Value VAT USD]" caption="TY LFL CSP Sales Value VAT USD" measure="1" displayFolder="02_TYLFL\USD" measureGroup="Sales" count="0" hidden="1"/>
    <cacheHierarchy uniqueName="[Measures].[TY LFL CSP Sales Value USD]" caption="TY LFL CSP Sales Value USD" measure="1" displayFolder="02_TYLFL\USD" measureGroup="Sales" count="0" hidden="1"/>
    <cacheHierarchy uniqueName="[Measures].[LY CSP Sales Value VAT TRY]" caption="LY CSP Sales Value VAT TRY" measure="1" displayFolder="03_LY\TRY" measureGroup="Sales" count="0" hidden="1"/>
    <cacheHierarchy uniqueName="[Measures].[LY CSP Sales Value TRY]" caption="LY CSP Sales Value TRY" measure="1" displayFolder="03_LY\TRY" measureGroup="Sales" count="0" hidden="1"/>
    <cacheHierarchy uniqueName="[Measures].[LY CSP Sales Value VAT USD]" caption="LY CSP Sales Value VAT USD" measure="1" displayFolder="03_LY\USD" measureGroup="Sales" count="0" hidden="1"/>
    <cacheHierarchy uniqueName="[Measures].[LY CSP Sales Value USD]" caption="LY CSP Sales Value USD" measure="1" displayFolder="03_LY\USD" measureGroup="Sales" count="0" hidden="1"/>
    <cacheHierarchy uniqueName="[Measures].[LY LFL CSP Sales Value VAT LC]" caption="LY LFL CSP Sales Value VAT LC" measure="1" displayFolder="04_LYLFL\LC" measureGroup="Sales" count="0" hidden="1"/>
    <cacheHierarchy uniqueName="[Measures].[LY LFL CSP Sales Value LC]" caption="LY LFL CSP Sales Value LC" measure="1" displayFolder="04_LYLFL\LC" measureGroup="Sales" count="0" hidden="1"/>
    <cacheHierarchy uniqueName="[Measures].[LY LFL CSP Sales Value VAT TRY]" caption="LY LFL CSP Sales Value VAT TRY" measure="1" displayFolder="04_LYLFL\TRY" measureGroup="Sales" count="0" hidden="1"/>
    <cacheHierarchy uniqueName="[Measures].[LY LFL CSP Sales Value TRY]" caption="LY LFL CSP Sales Value TRY" measure="1" displayFolder="04_LYLFL\TRY" measureGroup="Sales" count="0" hidden="1"/>
    <cacheHierarchy uniqueName="[Measures].[LY LFL CSP Sales Value VAT USD]" caption="LY LFL CSP Sales Value VAT USD" measure="1" displayFolder="04_LYLFL\USD" measureGroup="Sales" count="0" hidden="1"/>
    <cacheHierarchy uniqueName="[Measures].[LY LFL CSP Sales Value USD]" caption="LY LFL CSP Sales Value USD" measure="1" displayFolder="04_LYLFL\USD" measureGroup="Sales" count="0" hidden="1"/>
    <cacheHierarchy uniqueName="[Measures].[TY Unit CSP LC]" caption="TY Unit CSP LC" measure="1" displayFolder="01_TY\LC" measureGroup="Sales" count="0" hidden="1"/>
    <cacheHierarchy uniqueName="[Measures].[LY Unit CSP LC]" caption="LY Unit CSP LC" measure="1" displayFolder="03_LY\LC" measureGroup="Sales" count="0" hidden="1"/>
    <cacheHierarchy uniqueName="[Measures].[TY LFL Unit CSP LC]" caption="TY LFL Unit CSP LC" measure="1" displayFolder="02_TYLFL\LC" measureGroup="Sales" count="0" hidden="1"/>
    <cacheHierarchy uniqueName="[Measures].[LY LFL Unit CSP LC]" caption="LY LFL Unit CSP LC" measure="1" displayFolder="04_LYLFL\LC" measureGroup="Sales" count="0" hidden="1"/>
    <cacheHierarchy uniqueName="[Measures].[TY Unit CSP TRY]" caption="TY Unit CSP TRY" measure="1" displayFolder="01_TY\TRY" measureGroup="Sales" count="0" hidden="1"/>
    <cacheHierarchy uniqueName="[Measures].[LY Unit CSP TRY]" caption="LY Unit CSP TRY" measure="1" displayFolder="03_LY\TRY" measureGroup="Sales" count="0" hidden="1"/>
    <cacheHierarchy uniqueName="[Measures].[TY LFL Unit CSPTRY]" caption="TY LFL Unit CSPTRY" measure="1" displayFolder="02_TYLFL\TRY" measureGroup="Sales" count="0" hidden="1"/>
    <cacheHierarchy uniqueName="[Measures].[LY LFL Unit CSP TRY]" caption="LY LFL Unit CSP TRY" measure="1" displayFolder="04_LYLFL\TRY" measureGroup="Sales" count="0" hidden="1"/>
    <cacheHierarchy uniqueName="[Measures].[TY Unit CSP USD]" caption="TY Unit CSP USD" measure="1" displayFolder="01_TY\USD" measureGroup="Sales" count="0" hidden="1"/>
    <cacheHierarchy uniqueName="[Measures].[LY Unit CSP USD]" caption="LY Unit CSP USD" measure="1" displayFolder="03_LY\USD" measureGroup="Sales" count="0" hidden="1"/>
    <cacheHierarchy uniqueName="[Measures].[TY LFL Unit CSP USD]" caption="TY LFL Unit CSP USD" measure="1" displayFolder="02_TYLFL\USD" measureGroup="Sales" count="0" hidden="1"/>
    <cacheHierarchy uniqueName="[Measures].[SumofSalesUnitDm3]" caption="SumofSalesUnitDm3" measure="1" displayFolder="" measureGroup="Sales" count="0" hidden="1"/>
    <cacheHierarchy uniqueName="[Measures].[TY Store Cover Unit]" caption="TY Store Cover Unit" measure="1" displayFolder="01_TY\_UNIT" measureGroup="KPI" count="0" hidden="1"/>
    <cacheHierarchy uniqueName="[Measures].[TY Store Cover LC]" caption="TY Store Cover LC" measure="1" displayFolder="01_TY\LC" measureGroup="KPI" count="0" hidden="1"/>
    <cacheHierarchy uniqueName="[Measures].[TY Store Cover TRY]" caption="TY Store Cover TRY" measure="1" displayFolder="01_TY\TRY" measureGroup="KPI" count="0" hidden="1"/>
    <cacheHierarchy uniqueName="[Measures].[TY Store Cover USD]" caption="TY Store Cover USD" measure="1" displayFolder="01_TY\USD" measureGroup="KPI" count="0" hidden="1"/>
    <cacheHierarchy uniqueName="[Measures].[LY Store Cover LC]" caption="LY Store Cover LC" measure="1" displayFolder="03_LY\LC" measureGroup="KPI" count="0" hidden="1"/>
    <cacheHierarchy uniqueName="[Measures].[LY Store Cover TRY]" caption="LY Store Cover TRY" measure="1" displayFolder="03_LY\TRY" measureGroup="KPI" count="0" hidden="1"/>
    <cacheHierarchy uniqueName="[Measures].[LY Store Cover USD]" caption="LY Store Cover USD" measure="1" displayFolder="03_LY\USD" measureGroup="KPI" count="0" hidden="1"/>
    <cacheHierarchy uniqueName="[Measures].[TY LFL Store Cover LC]" caption="TY LFL Store Cover LC" measure="1" displayFolder="02_TYLFL\LC" measureGroup="KPI" count="0" hidden="1"/>
    <cacheHierarchy uniqueName="[Measures].[TY LFL Store Cover TRY]" caption="TY LFL Store Cover TRY" measure="1" displayFolder="02_TYLFL\TRY" measureGroup="KPI" count="0" hidden="1"/>
    <cacheHierarchy uniqueName="[Measures].[TY LFL Store Cover USD]" caption="TY LFL Store Cover USD" measure="1" displayFolder="02_TYLFL\USD" measureGroup="KPI" count="0" hidden="1"/>
    <cacheHierarchy uniqueName="[Measures].[LY LFL Store Cover LC]" caption="LY LFL Store Cover LC" measure="1" displayFolder="04_LYLFL\LC" measureGroup="KPI" count="0" hidden="1"/>
    <cacheHierarchy uniqueName="[Measures].[LY LFL Store Cover TRY]" caption="LY LFL Store Cover TRY" measure="1" displayFolder="04_LYLFL\TRY" measureGroup="KPI" count="0" hidden="1"/>
    <cacheHierarchy uniqueName="[Measures].[LY LFL Store Cover USD]" caption="LY LFL Store Cover USD" measure="1" displayFolder="04_LYLFL\USD" measureGroup="KPI" count="0" hidden="1"/>
    <cacheHierarchy uniqueName="[Measures].[LY Store Cover Unit]" caption="LY Store Cover Unit" measure="1" displayFolder="03_LY\_UNIT" measureGroup="KPI" count="0" hidden="1"/>
    <cacheHierarchy uniqueName="[Measures].[TY LFL Store Cover Unit]" caption="TY LFL Store Cover Unit" measure="1" displayFolder="02_TYLFL\_UNIT" measureGroup="KPI" count="0" hidden="1"/>
    <cacheHierarchy uniqueName="[Measures].[LY LFL Store Cover Unit]" caption="LY LFL Store Cover Unit" measure="1" displayFolder="04_LYLFL\_UNIT" measureGroup="KPI" count="0" hidden="1"/>
    <cacheHierarchy uniqueName="[Measures].[Store Cover Unit TYvsLY%]" caption="Store Cover Unit TYvsLY%" measure="1" displayFolder="01_TY\_UNIT" measureGroup="KPI" count="0" hidden="1"/>
    <cacheHierarchy uniqueName="[Measures].[LFL Store Cover Unit TYvsLY%]" caption="LFL Store Cover Unit TYvsLY%" measure="1" displayFolder="02_TYLFL\_UNIT" measureGroup="KPI" count="0" hidden="1"/>
    <cacheHierarchy uniqueName="[Measures].[TY Country Back Cover Unit TR]" caption="TY Country Back Cover Unit TR" measure="1" displayFolder="" measureGroup="KPI" count="0" hidden="1"/>
    <cacheHierarchy uniqueName="[Measures].[TY Country Back Cover Unit YD]" caption="TY Country Back Cover Unit YD" measure="1" displayFolder="" measureGroup="KPI" count="0" hidden="1"/>
    <cacheHierarchy uniqueName="[Measures].[TY SKU Count by Store Stock]" caption="TY SKU Count by Store Stock" measure="1" displayFolder="01_TY\_UNIT" measureGroup="KPI" count="0" hidden="1"/>
    <cacheHierarchy uniqueName="[Measures].[LY SKU Count by Store Stock]" caption="LY SKU Count by Store Stock" measure="1" displayFolder="03_LY\_UNIT" measureGroup="KPI" count="0" hidden="1"/>
    <cacheHierarchy uniqueName="[Measures].[TY LFL SKU Count by Store Stock]" caption="TY LFL SKU Count by Store Stock" measure="1" displayFolder="02_TYLFL\_UNIT" measureGroup="KPI" count="0" hidden="1"/>
    <cacheHierarchy uniqueName="[Measures].[LY LFL SKU Count by Store Stock]" caption="LY LFL SKU Count by Store Stock" measure="1" displayFolder="04_LYLFL\_UNIT" measureGroup="KPI" count="0" hidden="1"/>
    <cacheHierarchy uniqueName="[Measures].[CUR Store Count by Total Stock]" caption="CUR Store Count by Total Stock" measure="1" displayFolder="01_TY\_UNIT" measureGroup="KPI" count="0" hidden="1"/>
    <cacheHierarchy uniqueName="[Measures].[Last 21Days TY Sales Unit]" caption="Last 21Days TY Sales Unit" measure="1" displayFolder="LASTN" measureGroup="KPI" count="0" hidden="1"/>
    <cacheHierarchy uniqueName="[Measures].[PO Unit Total]" caption="PO Unit Total" measure="1" displayFolder="" measureGroup="PurchaseOrder" count="0" hidden="1"/>
    <cacheHierarchy uniqueName="[Measures].[PO Unit Running Total 30 Days]" caption="PO Unit Running Total 30 Days" measure="1" displayFolder="" measureGroup="PurchaseOrder" count="0" hidden="1"/>
    <cacheHierarchy uniqueName="[Measures].[PO Unit Last 30 Days Total]" caption="PO Unit Last 30 Days Total" measure="1" displayFolder="" measureGroup="PurchaseOrder" count="0" hidden="1"/>
    <cacheHierarchy uniqueName="[Measures].[Goods Receipt PO Unit Base]" caption="Goods Receipt PO Unit Base" measure="1" displayFolder="_UNIT" measureGroup="PurchaseOrder" count="0" hidden="1"/>
    <cacheHierarchy uniqueName="[Measures].[Goods Receipt PO Value LC Base]" caption="Goods Receipt PO Value LC Base" measure="1" displayFolder="_VALUE" measureGroup="PurchaseOrder" count="0" hidden="1"/>
    <cacheHierarchy uniqueName="[Measures].[Goods Receipt PO Value Navlun LC Base]" caption="Goods Receipt PO Value Navlun LC Base" measure="1" displayFolder="" measureGroup="PurchaseOrder" count="0" hidden="1"/>
    <cacheHierarchy uniqueName="[Measures].[Goods Receipt PO Value LC Old]" caption="Goods Receipt PO Value LC Old" measure="1" displayFolder="_VALUE" measureGroup="PurchaseOrder" count="0" hidden="1"/>
    <cacheHierarchy uniqueName="[Measures].[Goods Receipt PO Unit Base (WholeSale)]" caption="Goods Receipt PO Unit Base (WholeSale)" measure="1" displayFolder="" measureGroup="PurchaseOrder" count="0" hidden="1"/>
    <cacheHierarchy uniqueName="[Measures].[Goods Receipt PO Value Navlun LC Base (WholeSale)]" caption="Goods Receipt PO Value Navlun LC Base (WholeSale)" measure="1" displayFolder="" measureGroup="PurchaseOrder" count="0" hidden="1"/>
    <cacheHierarchy uniqueName="[Measures].[TyLFLSumofCapacityPlanUnit]" caption="TyLFLSumofCapacityPlanUnit" measure="1" displayFolder="" measureGroup="Capacity" count="0" hidden="1"/>
    <cacheHierarchy uniqueName="[Measures].[TySumofCapacityPlanUnit]" caption="TySumofCapacityPlanUnit" measure="1" displayFolder="" measureGroup="Capacity" count="0" hidden="1"/>
    <cacheHierarchy uniqueName="[Measures].[CUR Backstore Capacity Area]" caption="CUR Backstore Capacity Area" measure="1" displayFolder="00_CURRENT\_UNIT" measureGroup="Capacity" count="0" hidden="1"/>
    <cacheHierarchy uniqueName="[Measures].[TySumofCapacityPlanCostLC]" caption="TySumofCapacityPlanCostLC" measure="1" displayFolder="" measureGroup="Capacity" count="0" hidden="1"/>
    <cacheHierarchy uniqueName="[Measures].[TyLFLSumofCapacityPlanCostLC]" caption="TyLFLSumofCapacityPlanCostLC" measure="1" displayFolder="" measureGroup="Capacity" count="0" hidden="1"/>
    <cacheHierarchy uniqueName="[Measures].[CUR NET Cumulative Stock DM3]" caption="CUR NET Cumulative Stock DM3" measure="1" displayFolder="" measureGroup="Capacity" count="0" hidden="1"/>
  </cacheHierarchies>
  <kpis count="0"/>
  <extLst>
    <ext xmlns:x14="http://schemas.microsoft.com/office/spreadsheetml/2009/9/main" uri="{725AE2AE-9491-48be-B2B4-4EB974FC3084}">
      <x14:pivotCacheDefinition slicerData="1" pivotCacheId="37219940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EB924D-6D3D-4C53-9720-95DCBBDF7D28}" name="PivotTable1" cacheId="0" applyNumberFormats="0" applyBorderFormats="0" applyFontFormats="0" applyPatternFormats="0" applyAlignmentFormats="0" applyWidthHeightFormats="1" dataCaption="Değerler" updatedVersion="8" minRefreshableVersion="3" subtotalHiddenItems="1" itemPrintTitles="1" createdVersion="8" indent="0" compact="0" compactData="0" gridDropZones="1" multipleFieldFilters="0" chartFormat="2" fieldListSortAscending="1">
  <location ref="A14:AM47" firstHeaderRow="1" firstDataRow="2" firstDataCol="4" rowPageCount="5" colPageCount="1"/>
  <pivotFields count="58">
    <pivotField name="Satış Kanalı" axis="axisPage" compact="0" allDrilled="1" outline="0" subtotalTop="0" showAll="0" defaultAttributeDrillState="1">
      <items count="2">
        <item x="0"/>
        <item t="default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/>
    <pivotField compact="0" outline="0" subtotalTop="0" showAll="0" dataSourceSort="1" defaultSubtotal="0"/>
    <pivotField compact="0" outline="0" subtotalTop="0" showAll="0" dataSourceSort="1" defaultSubtotal="0"/>
    <pivotField compact="0" outline="0" subtotalTop="0" showAll="0" dataSourceSort="1" defaultSubtotal="0"/>
    <pivotField compact="0" allDrilled="1" outline="0" subtotalTop="0" showAll="0" dataSourceSort="1" defaultSubtotal="0"/>
    <pivotField compact="0" outline="0" subtotalTop="0" showAll="0" dataSourceSort="1" defaultSubtotal="0"/>
    <pivotField dataField="1" compact="0" outline="0" subtotalTop="0" showAll="0" defaultSubtotal="0"/>
    <pivotField dataField="1" compact="0" outline="0" subtotalTop="0" showAll="0" defaultSubtotal="0"/>
    <pivotField name="Ana Grup" axis="axisRow" compact="0" allDrilled="1" outline="0" subtotalTop="0" showAll="0" sortType="descending">
      <items count="23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t="default"/>
      </items>
      <autoSortScope>
        <pivotArea dataOnly="0" outline="0" fieldPosition="0">
          <references count="1">
            <reference field="4294967294" count="1" selected="0">
              <x v="8"/>
            </reference>
          </references>
        </pivotArea>
      </autoSortScope>
    </pivotField>
    <pivotField name="Alt Grup" axis="axisRow" compact="0" allDrilled="1" outline="0" subtotalTop="0" showAll="0" sortType="descending" defaultAttributeDrillState="1">
      <items count="1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t="default"/>
      </items>
      <autoSortScope>
        <pivotArea dataOnly="0" outline="0" fieldPosition="0">
          <references count="1">
            <reference field="4294967294" count="1" selected="0">
              <x v="8"/>
            </reference>
          </references>
        </pivotArea>
      </autoSortScope>
    </pivotField>
    <pivotField name="Kalite" compact="0" allDrilled="1" outline="0" subtotalTop="0" showAll="0" sortType="descending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autoSortScope>
        <pivotArea dataOnly="0" outline="0" fieldPosition="0">
          <references count="1">
            <reference field="4294967294" count="1" selected="0">
              <x v="8"/>
            </reference>
          </references>
        </pivotArea>
      </autoSortScope>
    </pivotField>
    <pivotField name="SKU" compact="0" allDrilled="1" outline="0" subtotalTop="0" showAll="0" sortType="descending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  <autoSortScope>
        <pivotArea dataOnly="0" outline="0" fieldPosition="0">
          <references count="1">
            <reference field="4294967294" count="1" selected="0">
              <x v="8"/>
            </reference>
          </references>
        </pivotArea>
      </autoSortScope>
    </pivotField>
    <pivotField compact="0" allDrilled="1" outline="0" subtotalTop="0" showAll="0" dataSourceSort="1" defaultSubtotal="0" defaultAttributeDrillState="1"/>
    <pivotField name="Ülke" axis="axisPage" compact="0" allDrilled="1" outline="0" subtotalTop="0" showAll="0" sortType="descending" defaultAttributeDrillState="1">
      <items count="1"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/>
    <pivotField compact="0" outline="0" subtotalTop="0" showAll="0" dataSourceSort="1" defaultSubtotal="0"/>
    <pivotField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AttributeDrillState="1">
      <items count="5">
        <item s="1" x="0"/>
        <item s="1" x="1"/>
        <item s="1" x="2"/>
        <item s="1" x="3"/>
        <item t="default"/>
      </items>
    </pivotField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4">
    <field x="54"/>
    <field x="55"/>
    <field x="11"/>
    <field x="12"/>
  </rowFields>
  <rowItems count="32">
    <i>
      <x/>
      <x/>
      <x/>
    </i>
    <i r="1">
      <x v="1"/>
      <x v="1"/>
    </i>
    <i r="2">
      <x/>
    </i>
    <i r="1">
      <x v="2"/>
      <x/>
    </i>
    <i r="1">
      <x v="3"/>
      <x/>
    </i>
    <i t="default">
      <x/>
    </i>
    <i>
      <x v="1"/>
      <x v="4"/>
      <x v="2"/>
    </i>
    <i r="1">
      <x v="5"/>
      <x v="3"/>
    </i>
    <i r="1">
      <x v="6"/>
      <x v="2"/>
    </i>
    <i r="1">
      <x v="7"/>
      <x v="5"/>
    </i>
    <i r="2">
      <x v="4"/>
    </i>
    <i t="default">
      <x v="1"/>
    </i>
    <i>
      <x v="2"/>
      <x v="8"/>
      <x v="6"/>
    </i>
    <i r="1">
      <x v="9"/>
      <x v="9"/>
    </i>
    <i r="2">
      <x v="8"/>
    </i>
    <i r="2">
      <x v="10"/>
    </i>
    <i r="2">
      <x v="7"/>
    </i>
    <i t="default">
      <x v="2"/>
    </i>
    <i>
      <x v="3"/>
      <x v="10"/>
      <x v="12"/>
    </i>
    <i r="2">
      <x v="11"/>
    </i>
    <i r="2">
      <x v="14"/>
    </i>
    <i r="2">
      <x v="13"/>
    </i>
    <i r="1">
      <x v="11"/>
      <x v="17"/>
    </i>
    <i r="2">
      <x v="15"/>
    </i>
    <i r="2">
      <x v="16"/>
    </i>
    <i r="2">
      <x v="18"/>
    </i>
    <i r="2">
      <x v="9"/>
    </i>
    <i r="1">
      <x v="12"/>
      <x v="21"/>
    </i>
    <i r="2">
      <x v="20"/>
    </i>
    <i r="2">
      <x v="19"/>
    </i>
    <i t="default">
      <x v="3"/>
    </i>
    <i t="grand">
      <x/>
    </i>
  </rowItems>
  <colFields count="1">
    <field x="-2"/>
  </colFields>
  <colItems count="3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</colItems>
  <pageFields count="5">
    <pageField fld="21" hier="94" name="[Material].[MerchProduct].&amp;[Merch]" cap="Merch"/>
    <pageField fld="22" hier="107" name="[Material].[TextileProduct].[All]" cap="All"/>
    <pageField fld="0" hier="146" name="[SalesChannel].[DistrubitionChannelDesc].&amp;[Perakende Satış]" cap="Perakende Satış"/>
    <pageField fld="16" hier="144" name="[SalesChannel].[CountryName].[All]" cap="All"/>
    <pageField fld="53" hier="9" name="[Calendar].[LastNDays].&amp;[1]" cap="1"/>
  </pageFields>
  <dataFields count="35">
    <dataField fld="10" baseField="0" baseItem="0"/>
    <dataField fld="2" baseField="0" baseItem="0"/>
    <dataField fld="35" baseField="11" baseItem="11" numFmtId="166"/>
    <dataField fld="34" baseField="11" baseItem="11" numFmtId="166"/>
    <dataField fld="9" baseField="0" baseItem="0" numFmtId="3"/>
    <dataField fld="1" baseField="0" baseItem="0"/>
    <dataField fld="26" baseField="11" baseItem="12" numFmtId="166"/>
    <dataField fld="18" baseField="11" baseItem="0" numFmtId="3"/>
    <dataField fld="17" baseField="11" baseItem="11" numFmtId="3"/>
    <dataField fld="30" baseField="11" baseItem="12" numFmtId="166"/>
    <dataField fld="31" baseField="11" baseItem="12" numFmtId="166"/>
    <dataField fld="20" baseField="11" baseItem="0" numFmtId="166"/>
    <dataField fld="19" baseField="11" baseItem="0" numFmtId="166"/>
    <dataField fld="27" baseField="0" baseItem="0"/>
    <dataField fld="23" baseField="11" baseItem="0" numFmtId="4"/>
    <dataField fld="32" baseField="11" baseItem="12" numFmtId="166"/>
    <dataField fld="28" baseField="0" baseItem="0"/>
    <dataField fld="24" baseField="0" baseItem="0"/>
    <dataField fld="33" baseField="11" baseItem="12" numFmtId="166"/>
    <dataField fld="29" baseField="0" baseItem="0"/>
    <dataField fld="25" baseField="11" baseItem="0" numFmtId="168"/>
    <dataField fld="37" baseField="0" baseItem="0"/>
    <dataField fld="36" baseField="0" baseItem="0"/>
    <dataField fld="48" baseField="0" baseItem="0"/>
    <dataField fld="49" baseField="0" baseItem="0"/>
    <dataField fld="39" baseField="0" baseItem="0"/>
    <dataField fld="40" baseField="0" baseItem="0" numFmtId="2"/>
    <dataField fld="38" baseField="0" baseItem="0" numFmtId="2"/>
    <dataField fld="42" baseField="0" baseItem="0"/>
    <dataField fld="41" baseField="0" baseItem="0"/>
    <dataField fld="43" baseField="0" baseItem="0"/>
    <dataField fld="44" baseField="0" baseItem="0"/>
    <dataField fld="45" baseField="0" baseItem="0"/>
    <dataField fld="46" baseField="0" baseItem="0"/>
    <dataField fld="47" baseField="0" baseItem="0"/>
  </dataFields>
  <formats count="142">
    <format dxfId="323">
      <pivotArea field="3" type="button" dataOnly="0" labelOnly="1" outline="0"/>
    </format>
    <format dxfId="322">
      <pivotArea field="4" type="button" dataOnly="0" labelOnly="1" outline="0"/>
    </format>
    <format dxfId="321">
      <pivotArea field="4" type="button" dataOnly="0" labelOnly="1" outline="0"/>
    </format>
    <format dxfId="320">
      <pivotArea field="3" type="button" dataOnly="0" labelOnly="1" outline="0"/>
    </format>
    <format dxfId="319">
      <pivotArea field="4" type="button" dataOnly="0" labelOnly="1" outline="0"/>
    </format>
    <format dxfId="318">
      <pivotArea dataOnly="0" outline="0" fieldPosition="0">
        <references count="1">
          <reference field="4294967294" count="1">
            <x v="5"/>
          </reference>
        </references>
      </pivotArea>
    </format>
    <format dxfId="317">
      <pivotArea outline="0" fieldPosition="0">
        <references count="1">
          <reference field="4294967294" count="1" selected="0">
            <x v="4"/>
          </reference>
        </references>
      </pivotArea>
    </format>
    <format dxfId="316">
      <pivotArea field="3" type="button" dataOnly="0" labelOnly="1" outline="0"/>
    </format>
    <format dxfId="315">
      <pivotArea field="11" type="button" dataOnly="0" labelOnly="1" outline="0" axis="axisRow" fieldPosition="2"/>
    </format>
    <format dxfId="314">
      <pivotArea field="12" type="button" dataOnly="0" labelOnly="1" outline="0" axis="axisRow" fieldPosition="3"/>
    </format>
    <format dxfId="313">
      <pivotArea field="13" type="button" dataOnly="0" labelOnly="1" outline="0"/>
    </format>
    <format dxfId="312">
      <pivotArea field="14" type="button" dataOnly="0" labelOnly="1" outline="0"/>
    </format>
    <format dxfId="311">
      <pivotArea field="11" type="button" dataOnly="0" labelOnly="1" outline="0" axis="axisRow" fieldPosition="2"/>
    </format>
    <format dxfId="310">
      <pivotArea field="12" type="button" dataOnly="0" labelOnly="1" outline="0" axis="axisRow" fieldPosition="3"/>
    </format>
    <format dxfId="309">
      <pivotArea field="13" type="button" dataOnly="0" labelOnly="1" outline="0"/>
    </format>
    <format dxfId="308">
      <pivotArea field="14" type="button" dataOnly="0" labelOnly="1" outline="0"/>
    </format>
    <format dxfId="307">
      <pivotArea field="13" type="button" dataOnly="0" labelOnly="1" outline="0"/>
    </format>
    <format dxfId="306">
      <pivotArea field="14" type="button" dataOnly="0" labelOnly="1" outline="0"/>
    </format>
    <format dxfId="305">
      <pivotArea field="0" type="button" dataOnly="0" labelOnly="1" outline="0" axis="axisPage" fieldPosition="2"/>
    </format>
    <format dxfId="304">
      <pivotArea field="0" type="button" dataOnly="0" labelOnly="1" outline="0" axis="axisPage" fieldPosition="2"/>
    </format>
    <format dxfId="303">
      <pivotArea field="16" type="button" dataOnly="0" labelOnly="1" outline="0" axis="axisPage" fieldPosition="3"/>
    </format>
    <format dxfId="302">
      <pivotArea field="16" type="button" dataOnly="0" labelOnly="1" outline="0" axis="axisPage" fieldPosition="3"/>
    </format>
    <format dxfId="301">
      <pivotArea outline="0" collapsedLevelsAreSubtotals="1" fieldPosition="0"/>
    </format>
    <format dxfId="300">
      <pivotArea field="-2" type="button" dataOnly="0" labelOnly="1" outline="0" axis="axisCol" fieldPosition="0"/>
    </format>
    <format dxfId="299">
      <pivotArea type="topRight" dataOnly="0" labelOnly="1" outline="0" fieldPosition="0"/>
    </format>
    <format dxfId="298">
      <pivotArea dataOnly="0" labelOnly="1" outline="0" fieldPosition="0">
        <references count="1">
          <reference field="4294967294" count="4">
            <x v="0"/>
            <x v="1"/>
            <x v="4"/>
            <x v="5"/>
          </reference>
        </references>
      </pivotArea>
    </format>
    <format dxfId="297">
      <pivotArea outline="0" collapsedLevelsAreSubtotals="1" fieldPosition="0"/>
    </format>
    <format dxfId="296">
      <pivotArea field="-2" type="button" dataOnly="0" labelOnly="1" outline="0" axis="axisCol" fieldPosition="0"/>
    </format>
    <format dxfId="295">
      <pivotArea type="topRight" dataOnly="0" labelOnly="1" outline="0" fieldPosition="0"/>
    </format>
    <format dxfId="294">
      <pivotArea dataOnly="0" labelOnly="1" outline="0" fieldPosition="0">
        <references count="1">
          <reference field="4294967294" count="4">
            <x v="0"/>
            <x v="1"/>
            <x v="4"/>
            <x v="5"/>
          </reference>
        </references>
      </pivotArea>
    </format>
    <format dxfId="29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9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91">
      <pivotArea outline="0" fieldPosition="0">
        <references count="1">
          <reference field="4294967294" count="1">
            <x v="8"/>
          </reference>
        </references>
      </pivotArea>
    </format>
    <format dxfId="290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89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88">
      <pivotArea outline="0" fieldPosition="0">
        <references count="1">
          <reference field="4294967294" count="1">
            <x v="7"/>
          </reference>
        </references>
      </pivotArea>
    </format>
    <format dxfId="287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86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85">
      <pivotArea outline="0" fieldPosition="0">
        <references count="1">
          <reference field="4294967294" count="1">
            <x v="12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82">
      <pivotArea outline="0" fieldPosition="0">
        <references count="1">
          <reference field="4294967294" count="1">
            <x v="11"/>
          </reference>
        </references>
      </pivotArea>
    </format>
    <format dxfId="281">
      <pivotArea outline="0" fieldPosition="0">
        <references count="1">
          <reference field="4294967294" count="1">
            <x v="14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78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20"/>
          </reference>
        </references>
      </pivotArea>
    </format>
    <format dxfId="275">
      <pivotArea dataOnly="0" labelOnly="1" outline="0" fieldPosition="0">
        <references count="1">
          <reference field="4294967294" count="1">
            <x v="20"/>
          </reference>
        </references>
      </pivotArea>
    </format>
    <format dxfId="274">
      <pivotArea outline="0" fieldPosition="0">
        <references count="1">
          <reference field="4294967294" count="1">
            <x v="20"/>
          </reference>
        </references>
      </pivotArea>
    </format>
    <format dxfId="273">
      <pivotArea dataOnly="0" outline="0" fieldPosition="0">
        <references count="1">
          <reference field="4294967294" count="11">
            <x v="0"/>
            <x v="1"/>
            <x v="4"/>
            <x v="5"/>
            <x v="7"/>
            <x v="8"/>
            <x v="11"/>
            <x v="12"/>
            <x v="14"/>
            <x v="17"/>
            <x v="20"/>
          </reference>
        </references>
      </pivotArea>
    </format>
    <format dxfId="27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7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70">
      <pivotArea outline="0" fieldPosition="0">
        <references count="1">
          <reference field="4294967294" count="1">
            <x v="6"/>
          </reference>
        </references>
      </pivotArea>
    </format>
    <format dxfId="269">
      <pivotArea field="11" type="button" dataOnly="0" labelOnly="1" outline="0" axis="axisRow" fieldPosition="2"/>
    </format>
    <format dxfId="268">
      <pivotArea field="0" type="button" dataOnly="0" labelOnly="1" outline="0" axis="axisPage" fieldPosition="2"/>
    </format>
    <format dxfId="267">
      <pivotArea field="16" type="button" dataOnly="0" labelOnly="1" outline="0" axis="axisPage" fieldPosition="3"/>
    </format>
    <format dxfId="266">
      <pivotArea field="12" type="button" dataOnly="0" labelOnly="1" outline="0" axis="axisRow" fieldPosition="3"/>
    </format>
    <format dxfId="265">
      <pivotArea dataOnly="0" labelOnly="1" outline="0" fieldPosition="0">
        <references count="1">
          <reference field="4294967294" count="12">
            <x v="0"/>
            <x v="1"/>
            <x v="4"/>
            <x v="5"/>
            <x v="6"/>
            <x v="7"/>
            <x v="8"/>
            <x v="11"/>
            <x v="12"/>
            <x v="14"/>
            <x v="17"/>
            <x v="20"/>
          </reference>
        </references>
      </pivotArea>
    </format>
    <format dxfId="26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63">
      <pivotArea dataOnly="0" outline="0" fieldPosition="0">
        <references count="1">
          <reference field="4294967294" count="3">
            <x v="4"/>
            <x v="5"/>
            <x v="6"/>
          </reference>
        </references>
      </pivotArea>
    </format>
    <format dxfId="262">
      <pivotArea dataOnly="0" outline="0" fieldPosition="0">
        <references count="1">
          <reference field="4294967294" count="2">
            <x v="7"/>
            <x v="8"/>
          </reference>
        </references>
      </pivotArea>
    </format>
    <format dxfId="261">
      <pivotArea dataOnly="0" outline="0" fieldPosition="0">
        <references count="1">
          <reference field="4294967294" count="2">
            <x v="11"/>
            <x v="12"/>
          </reference>
        </references>
      </pivotArea>
    </format>
    <format dxfId="260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57">
      <pivotArea dataOnly="0" outline="0" fieldPosition="0">
        <references count="1">
          <reference field="4294967294" count="2">
            <x v="13"/>
            <x v="14"/>
          </reference>
        </references>
      </pivotArea>
    </format>
    <format dxfId="256">
      <pivotArea dataOnly="0" labelOnly="1" outline="0" fieldPosition="0">
        <references count="1">
          <reference field="4294967294" count="1">
            <x v="16"/>
          </reference>
        </references>
      </pivotArea>
    </format>
    <format dxfId="255">
      <pivotArea dataOnly="0" labelOnly="1" outline="0" fieldPosition="0">
        <references count="1">
          <reference field="4294967294" count="1">
            <x v="16"/>
          </reference>
        </references>
      </pivotArea>
    </format>
    <format dxfId="254">
      <pivotArea dataOnly="0" labelOnly="1" outline="0" fieldPosition="0">
        <references count="1">
          <reference field="4294967294" count="1">
            <x v="16"/>
          </reference>
        </references>
      </pivotArea>
    </format>
    <format dxfId="253">
      <pivotArea dataOnly="0" outline="0" fieldPosition="0">
        <references count="1">
          <reference field="4294967294" count="2">
            <x v="16"/>
            <x v="17"/>
          </reference>
        </references>
      </pivotArea>
    </format>
    <format dxfId="252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251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250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249">
      <pivotArea dataOnly="0" labelOnly="1" outline="0" fieldPosition="0">
        <references count="1">
          <reference field="4294967294" count="4">
            <x v="9"/>
            <x v="10"/>
            <x v="15"/>
            <x v="18"/>
          </reference>
        </references>
      </pivotArea>
    </format>
    <format dxfId="248">
      <pivotArea dataOnly="0" labelOnly="1" outline="0" fieldPosition="0">
        <references count="1">
          <reference field="4294967294" count="4">
            <x v="9"/>
            <x v="10"/>
            <x v="15"/>
            <x v="18"/>
          </reference>
        </references>
      </pivotArea>
    </format>
    <format dxfId="247">
      <pivotArea dataOnly="0" labelOnly="1" outline="0" fieldPosition="0">
        <references count="1">
          <reference field="4294967294" count="4">
            <x v="9"/>
            <x v="10"/>
            <x v="15"/>
            <x v="18"/>
          </reference>
        </references>
      </pivotArea>
    </format>
    <format dxfId="246">
      <pivotArea outline="0" fieldPosition="0">
        <references count="1">
          <reference field="4294967294" count="1">
            <x v="9"/>
          </reference>
        </references>
      </pivotArea>
    </format>
    <format dxfId="245">
      <pivotArea outline="0" fieldPosition="0">
        <references count="1">
          <reference field="4294967294" count="1">
            <x v="10"/>
          </reference>
        </references>
      </pivotArea>
    </format>
    <format dxfId="244">
      <pivotArea outline="0" fieldPosition="0">
        <references count="1">
          <reference field="4294967294" count="1">
            <x v="15"/>
          </reference>
        </references>
      </pivotArea>
    </format>
    <format dxfId="243">
      <pivotArea outline="0" fieldPosition="0">
        <references count="1">
          <reference field="4294967294" count="1">
            <x v="18"/>
          </reference>
        </references>
      </pivotArea>
    </format>
    <format dxfId="242">
      <pivotArea dataOnly="0" outline="0" fieldPosition="0">
        <references count="1">
          <reference field="4294967294" count="15">
            <x v="0"/>
            <x v="1"/>
            <x v="4"/>
            <x v="5"/>
            <x v="6"/>
            <x v="7"/>
            <x v="8"/>
            <x v="11"/>
            <x v="12"/>
            <x v="13"/>
            <x v="14"/>
            <x v="16"/>
            <x v="17"/>
            <x v="19"/>
            <x v="20"/>
          </reference>
        </references>
      </pivotArea>
    </format>
    <format dxfId="24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40">
      <pivotArea dataOnly="0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239">
      <pivotArea dataOnly="0" outline="0" fieldPosition="0">
        <references count="1">
          <reference field="4294967294" count="1">
            <x v="10"/>
          </reference>
        </references>
      </pivotArea>
    </format>
    <format dxfId="238">
      <pivotArea dataOnly="0" outline="0" fieldPosition="0">
        <references count="1">
          <reference field="4294967294" count="2">
            <x v="11"/>
            <x v="12"/>
          </reference>
        </references>
      </pivotArea>
    </format>
    <format dxfId="237">
      <pivotArea dataOnly="0" outline="0" fieldPosition="0">
        <references count="1">
          <reference field="4294967294" count="3">
            <x v="13"/>
            <x v="14"/>
            <x v="15"/>
          </reference>
        </references>
      </pivotArea>
    </format>
    <format dxfId="236">
      <pivotArea dataOnly="0" outline="0" fieldPosition="0">
        <references count="1">
          <reference field="4294967294" count="3">
            <x v="16"/>
            <x v="17"/>
            <x v="18"/>
          </reference>
        </references>
      </pivotArea>
    </format>
    <format dxfId="235">
      <pivotArea dataOnly="0" outline="0" fieldPosition="0">
        <references count="1">
          <reference field="4294967294" count="2">
            <x v="19"/>
            <x v="20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31">
      <pivotArea outline="0" fieldPosition="0">
        <references count="1">
          <reference field="4294967294" count="1">
            <x v="3"/>
          </reference>
        </references>
      </pivotArea>
    </format>
    <format dxfId="230">
      <pivotArea dataOnly="0" outline="0" fieldPosition="0">
        <references count="1">
          <reference field="4294967294" count="20">
            <x v="0"/>
            <x v="1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22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2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2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26">
      <pivotArea outline="0" fieldPosition="0">
        <references count="1">
          <reference field="4294967294" count="1">
            <x v="2"/>
          </reference>
        </references>
      </pivotArea>
    </format>
    <format dxfId="225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4">
      <pivotArea dataOnly="0" outline="0" fieldPosition="0">
        <references count="1">
          <reference field="4294967294" count="3">
            <x v="4"/>
            <x v="5"/>
            <x v="6"/>
          </reference>
        </references>
      </pivotArea>
    </format>
    <format dxfId="223">
      <pivotArea dataOnly="0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222">
      <pivotArea dataOnly="0" outline="0" fieldPosition="0">
        <references count="1">
          <reference field="4294967294" count="1">
            <x v="10"/>
          </reference>
        </references>
      </pivotArea>
    </format>
    <format dxfId="221">
      <pivotArea dataOnly="0" outline="0" fieldPosition="0">
        <references count="1">
          <reference field="4294967294" count="2">
            <x v="11"/>
            <x v="12"/>
          </reference>
        </references>
      </pivotArea>
    </format>
    <format dxfId="220">
      <pivotArea dataOnly="0" outline="0" fieldPosition="0">
        <references count="1">
          <reference field="4294967294" count="3">
            <x v="13"/>
            <x v="14"/>
            <x v="15"/>
          </reference>
        </references>
      </pivotArea>
    </format>
    <format dxfId="219">
      <pivotArea dataOnly="0" outline="0" fieldPosition="0">
        <references count="1">
          <reference field="4294967294" count="3">
            <x v="16"/>
            <x v="17"/>
            <x v="18"/>
          </reference>
        </references>
      </pivotArea>
    </format>
    <format dxfId="218">
      <pivotArea dataOnly="0" outline="0" fieldPosition="0">
        <references count="1">
          <reference field="4294967294" count="2">
            <x v="19"/>
            <x v="20"/>
          </reference>
        </references>
      </pivotArea>
    </format>
    <format dxfId="217">
      <pivotArea dataOnly="0" labelOnly="1" outline="0" fieldPosition="0">
        <references count="1">
          <reference field="4294967294" count="5">
            <x v="21"/>
            <x v="22"/>
            <x v="25"/>
            <x v="26"/>
            <x v="27"/>
          </reference>
        </references>
      </pivotArea>
    </format>
    <format dxfId="216">
      <pivotArea dataOnly="0" labelOnly="1" outline="0" fieldPosition="0">
        <references count="1">
          <reference field="4294967294" count="5">
            <x v="21"/>
            <x v="22"/>
            <x v="25"/>
            <x v="26"/>
            <x v="27"/>
          </reference>
        </references>
      </pivotArea>
    </format>
    <format dxfId="215">
      <pivotArea dataOnly="0" labelOnly="1" outline="0" fieldPosition="0">
        <references count="1">
          <reference field="4294967294" count="5">
            <x v="21"/>
            <x v="22"/>
            <x v="25"/>
            <x v="26"/>
            <x v="27"/>
          </reference>
        </references>
      </pivotArea>
    </format>
    <format dxfId="214">
      <pivotArea dataOnly="0" outline="0" fieldPosition="0">
        <references count="1">
          <reference field="4294967294" count="2">
            <x v="21"/>
            <x v="22"/>
          </reference>
        </references>
      </pivotArea>
    </format>
    <format dxfId="213">
      <pivotArea dataOnly="0" outline="0" fieldPosition="0">
        <references count="1">
          <reference field="4294967294" count="1">
            <x v="25"/>
          </reference>
        </references>
      </pivotArea>
    </format>
    <format dxfId="212">
      <pivotArea dataOnly="0" outline="0" fieldPosition="0">
        <references count="1">
          <reference field="4294967294" count="2">
            <x v="26"/>
            <x v="27"/>
          </reference>
        </references>
      </pivotArea>
    </format>
    <format dxfId="211">
      <pivotArea dataOnly="0" labelOnly="1" outline="0" fieldPosition="0">
        <references count="1">
          <reference field="4294967294" count="1">
            <x v="29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29"/>
          </reference>
        </references>
      </pivotArea>
    </format>
    <format dxfId="209">
      <pivotArea dataOnly="0" labelOnly="1" outline="0" fieldPosition="0">
        <references count="1">
          <reference field="4294967294" count="1">
            <x v="29"/>
          </reference>
        </references>
      </pivotArea>
    </format>
    <format dxfId="208">
      <pivotArea dataOnly="0" outline="0" fieldPosition="0">
        <references count="1">
          <reference field="4294967294" count="1">
            <x v="29"/>
          </reference>
        </references>
      </pivotArea>
    </format>
    <format dxfId="207">
      <pivotArea dataOnly="0" outline="0" fieldPosition="0">
        <references count="1">
          <reference field="4294967294" count="2">
            <x v="26"/>
            <x v="27"/>
          </reference>
        </references>
      </pivotArea>
    </format>
    <format dxfId="206">
      <pivotArea dataOnly="0" labelOnly="1" outline="0" fieldPosition="0">
        <references count="1">
          <reference field="4294967294" count="1">
            <x v="28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28"/>
          </reference>
        </references>
      </pivotArea>
    </format>
    <format dxfId="204">
      <pivotArea dataOnly="0" labelOnly="1" outline="0" fieldPosition="0">
        <references count="1">
          <reference field="4294967294" count="1">
            <x v="28"/>
          </reference>
        </references>
      </pivotArea>
    </format>
    <format dxfId="203">
      <pivotArea dataOnly="0" outline="0" fieldPosition="0">
        <references count="1">
          <reference field="4294967294" count="2">
            <x v="28"/>
            <x v="29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30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30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30"/>
          </reference>
        </references>
      </pivotArea>
    </format>
    <format dxfId="199">
      <pivotArea dataOnly="0" labelOnly="1" outline="0" fieldPosition="0">
        <references count="1">
          <reference field="4294967294" count="1">
            <x v="31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31"/>
          </reference>
        </references>
      </pivotArea>
    </format>
    <format dxfId="197">
      <pivotArea dataOnly="0" labelOnly="1" outline="0" fieldPosition="0">
        <references count="1">
          <reference field="4294967294" count="1">
            <x v="31"/>
          </reference>
        </references>
      </pivotArea>
    </format>
    <format dxfId="196">
      <pivotArea dataOnly="0" outline="0" fieldPosition="0">
        <references count="1">
          <reference field="4294967294" count="2">
            <x v="30"/>
            <x v="31"/>
          </reference>
        </references>
      </pivotArea>
    </format>
    <format dxfId="195">
      <pivotArea dataOnly="0" labelOnly="1" outline="0" fieldPosition="0">
        <references count="1">
          <reference field="4294967294" count="3">
            <x v="32"/>
            <x v="33"/>
            <x v="34"/>
          </reference>
        </references>
      </pivotArea>
    </format>
    <format dxfId="194">
      <pivotArea dataOnly="0" labelOnly="1" outline="0" fieldPosition="0">
        <references count="1">
          <reference field="4294967294" count="3">
            <x v="32"/>
            <x v="33"/>
            <x v="34"/>
          </reference>
        </references>
      </pivotArea>
    </format>
    <format dxfId="193">
      <pivotArea dataOnly="0" labelOnly="1" outline="0" fieldPosition="0">
        <references count="1">
          <reference field="4294967294" count="3">
            <x v="32"/>
            <x v="33"/>
            <x v="34"/>
          </reference>
        </references>
      </pivotArea>
    </format>
    <format dxfId="192">
      <pivotArea dataOnly="0" outline="0" fieldPosition="0">
        <references count="1">
          <reference field="4294967294" count="3">
            <x v="32"/>
            <x v="33"/>
            <x v="34"/>
          </reference>
        </references>
      </pivotArea>
    </format>
    <format dxfId="191">
      <pivotArea dataOnly="0" labelOnly="1" outline="0" fieldPosition="0">
        <references count="1">
          <reference field="4294967294" count="2">
            <x v="23"/>
            <x v="24"/>
          </reference>
        </references>
      </pivotArea>
    </format>
    <format dxfId="190">
      <pivotArea outline="0" fieldPosition="0">
        <references count="1">
          <reference field="4294967294" count="2" selected="0">
            <x v="26"/>
            <x v="27"/>
          </reference>
        </references>
      </pivotArea>
    </format>
    <format dxfId="189">
      <pivotArea dataOnly="0" outline="0" fieldPosition="0">
        <references count="1">
          <reference field="4294967294" count="3">
            <x v="32"/>
            <x v="33"/>
            <x v="34"/>
          </reference>
        </references>
      </pivotArea>
    </format>
    <format dxfId="188">
      <pivotArea dataOnly="0" outline="0" fieldPosition="0">
        <references count="1">
          <reference field="4294967294" count="1">
            <x v="2"/>
          </reference>
        </references>
      </pivotArea>
    </format>
    <format dxfId="187">
      <pivotArea dataOnly="0" outline="0" fieldPosition="0">
        <references count="1">
          <reference field="4294967294" count="1">
            <x v="12"/>
          </reference>
        </references>
      </pivotArea>
    </format>
    <format dxfId="186">
      <pivotArea dataOnly="0" outline="0" fieldPosition="0">
        <references count="1">
          <reference field="4294967294" count="2">
            <x v="6"/>
            <x v="9"/>
          </reference>
        </references>
      </pivotArea>
    </format>
    <format dxfId="185">
      <pivotArea dataOnly="0" outline="0" fieldPosition="0">
        <references count="1">
          <reference field="4294967294" count="1">
            <x v="20"/>
          </reference>
        </references>
      </pivotArea>
    </format>
    <format dxfId="184">
      <pivotArea dataOnly="0" outline="0" fieldPosition="0">
        <references count="1">
          <reference field="4294967294" count="1">
            <x v="15"/>
          </reference>
        </references>
      </pivotArea>
    </format>
    <format dxfId="183">
      <pivotArea dataOnly="0" outline="0" fieldPosition="0">
        <references count="1">
          <reference field="4294967294" count="1">
            <x v="18"/>
          </reference>
        </references>
      </pivotArea>
    </format>
    <format dxfId="182">
      <pivotArea dataOnly="0" outline="0" fieldPosition="0">
        <references count="1">
          <reference field="4294967294" count="1">
            <x v="10"/>
          </reference>
        </references>
      </pivotArea>
    </format>
  </formats>
  <pivotHierarchies count="1490">
    <pivotHierarchy/>
    <pivotHierarchy/>
    <pivotHierarchy/>
    <pivotHierarchy/>
    <pivotHierarchy/>
    <pivotHierarchy/>
    <pivotHierarchy multipleItemSelectionAllowed="1">
      <members count="1" level="1">
        <member name="[Calendar].[H_Merch].[MerchYear].&amp;[2023]"/>
      </members>
    </pivotHierarchy>
    <pivotHierarchy/>
    <pivotHierarchy/>
    <pivotHierarchy multipleItemSelectionAllowed="1">
      <members count="7" level="1">
        <member name="[Calendar].[LastNDays].&amp;[1]"/>
        <member name="[Calendar].[LastNDays].&amp;[2]"/>
        <member name="[Calendar].[LastNDays].&amp;[3]"/>
        <member name="[Calendar].[LastNDays].&amp;[4]"/>
        <member name="[Calendar].[LastNDays].&amp;[5]"/>
        <member name="[Calendar].[LastNDays].&amp;[6]"/>
        <member name="[Calendar].[LastNDays].&amp;[7]"/>
      </members>
    </pivotHierarchy>
    <pivotHierarchy multipleItemSelectionAllowed="1"/>
    <pivotHierarchy/>
    <pivotHierarchy multipleItemSelectionAllowed="1"/>
    <pivotHierarchy multipleItemSelectionAllowed="1">
      <members count="1" level="1">
        <member name="[Calendar].[MerchYear].&amp;[2025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4" level="1">
        <member name="[Material].[H_MainGroup].[MainGroupDesc].&amp;[Pike]"/>
        <member name="[Material].[H_MainGroup].[MainGroupDesc].&amp;[Banyo]"/>
        <member name="[Material].[H_MainGroup].[MainGroupDesc].&amp;[Havlu]"/>
        <member name="[Material].[H_MainGroup].[MainGroupDesc].&amp;[Salon]"/>
        <member name="[Material].[H_MainGroup].[MainGroupDesc].&amp;[Yatak]"/>
        <member name="[Material].[H_MainGroup].[MainGroupDesc].&amp;[Bornoz]"/>
        <member name="[Material].[H_MainGroup].[MainGroupDesc].&amp;[Mutfak]"/>
        <member name="[Material].[H_MainGroup].[MainGroupDesc].&amp;[Yastık]"/>
        <member name="[Material].[H_MainGroup].[MainGroupDesc].&amp;[Yorgan]"/>
        <member name="[Material].[H_MainGroup].[MainGroupDesc].&amp;[Mobilya]"/>
        <member name="[Material].[H_MainGroup].[MainGroupDesc].&amp;[Pişirme]"/>
        <member name="[Material].[H_MainGroup].[MainGroupDesc].&amp;[Aksesuar]"/>
        <member name="[Material].[H_MainGroup].[MainGroupDesc].&amp;[Kozmetik]"/>
        <member name="[Material].[H_MainGroup].[MainGroupDesc].&amp;[Nevresim]"/>
        <member name="[Material].[H_MainGroup].[MainGroupDesc].&amp;[Battaniye]"/>
        <member name="[Material].[H_MainGroup].[MainGroupDesc].&amp;[Ev Giysisi]"/>
        <member name="[Material].[H_MainGroup].[MainGroupDesc].&amp;[Hazır Perde]"/>
        <member name="[Material].[H_MainGroup].[MainGroupDesc].&amp;[Masa Örtüsü]"/>
        <member name="[Material].[H_MainGroup].[MainGroupDesc].&amp;[Bebe - Çocuk]"/>
        <member name="[Material].[H_MainGroup].[MainGroupDesc].&amp;[Halı - Kilim]"/>
        <member name="[Material].[H_MainGroup].[MainGroupDesc].&amp;[Yatak Örtüsü]"/>
        <member name="[Material].[H_MainGroup].[MainGroupDesc].&amp;[Mobilya Satış]"/>
        <member name="[Material].[H_MainGroup].[MainGroupDesc].&amp;[White Collection]"/>
        <member name="[Material].[H_MainGroup].[MainGroupDesc].&amp;[Küçük Elektrikli Ev Aletleri]"/>
      </members>
    </pivotHierarchy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SalesChannel].[DistrubitionChannelDesc].&amp;[Perakende Satış]"/>
      </members>
    </pivotHierarchy>
    <pivotHierarchy/>
    <pivotHierarchy multipleItemSelectionAllowed="1">
      <members count="1" level="2">
        <member name="[SalesChannel].[H_SalesChannel].[SalesOrgType].&amp;[İştirak].&amp;[TÜRKİY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EHM Taslak" showRowHeaders="1" showColHeaders="1" showRowStripes="0" showColStripes="0" showLastColumn="1"/>
  <rowHierarchiesUsage count="4">
    <rowHierarchyUsage hierarchyUsage="49"/>
    <rowHierarchyUsage hierarchyUsage="109"/>
    <rowHierarchyUsage hierarchyUsage="71"/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E8805-9F3D-4D30-AFFF-C162ECFBFBB9}" name="PivotTable1" cacheId="9" applyNumberFormats="0" applyBorderFormats="0" applyFontFormats="0" applyPatternFormats="0" applyAlignmentFormats="0" applyWidthHeightFormats="1" dataCaption="Değerler" updatedVersion="8" minRefreshableVersion="3" subtotalHiddenItems="1" itemPrintTitles="1" createdVersion="8" indent="0" compact="0" compactData="0" gridDropZones="1" multipleFieldFilters="0" chartFormat="2" fieldListSortAscending="1">
  <location ref="A13:AF646" firstHeaderRow="1" firstDataRow="2" firstDataCol="2" rowPageCount="10" colPageCount="1"/>
  <pivotFields count="48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AttributeDrillState="1">
      <items count="2">
        <item s="1"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sortType="descending">
      <items count="22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t="default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sortType="descending" defaultSubtotal="0">
      <items count="6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AttributeDrillState="1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sortType="descending" defaultSubtotal="0" defaultAttributeDrillState="1"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ataSourceSort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0"/>
    <field x="11"/>
  </rowFields>
  <rowItems count="632">
    <i>
      <x v="15"/>
      <x v="535"/>
    </i>
    <i r="1">
      <x v="541"/>
    </i>
    <i r="1">
      <x v="503"/>
    </i>
    <i r="1">
      <x v="494"/>
    </i>
    <i r="1">
      <x v="525"/>
    </i>
    <i r="1">
      <x v="496"/>
    </i>
    <i r="1">
      <x v="490"/>
    </i>
    <i r="1">
      <x v="521"/>
    </i>
    <i r="1">
      <x v="527"/>
    </i>
    <i r="1">
      <x v="476"/>
    </i>
    <i r="1">
      <x v="546"/>
    </i>
    <i r="1">
      <x v="481"/>
    </i>
    <i r="1">
      <x v="538"/>
    </i>
    <i r="1">
      <x v="491"/>
    </i>
    <i r="1">
      <x v="512"/>
    </i>
    <i r="1">
      <x v="501"/>
    </i>
    <i r="1">
      <x v="486"/>
    </i>
    <i r="1">
      <x v="511"/>
    </i>
    <i r="1">
      <x v="528"/>
    </i>
    <i r="1">
      <x v="530"/>
    </i>
    <i r="1">
      <x v="526"/>
    </i>
    <i r="1">
      <x v="507"/>
    </i>
    <i r="1">
      <x v="509"/>
    </i>
    <i r="1">
      <x v="485"/>
    </i>
    <i r="1">
      <x v="505"/>
    </i>
    <i r="1">
      <x v="510"/>
    </i>
    <i r="1">
      <x v="504"/>
    </i>
    <i r="1">
      <x v="542"/>
    </i>
    <i r="1">
      <x v="536"/>
    </i>
    <i r="1">
      <x v="513"/>
    </i>
    <i r="1">
      <x v="489"/>
    </i>
    <i r="1">
      <x v="534"/>
    </i>
    <i r="1">
      <x v="529"/>
    </i>
    <i r="1">
      <x v="545"/>
    </i>
    <i r="1">
      <x v="479"/>
    </i>
    <i r="1">
      <x v="547"/>
    </i>
    <i r="1">
      <x v="498"/>
    </i>
    <i r="1">
      <x v="480"/>
    </i>
    <i r="1">
      <x v="506"/>
    </i>
    <i r="1">
      <x v="520"/>
    </i>
    <i r="1">
      <x v="515"/>
    </i>
    <i r="1">
      <x v="539"/>
    </i>
    <i r="1">
      <x v="483"/>
    </i>
    <i r="1">
      <x v="517"/>
    </i>
    <i r="1">
      <x v="543"/>
    </i>
    <i r="1">
      <x v="518"/>
    </i>
    <i r="1">
      <x v="533"/>
    </i>
    <i r="1">
      <x v="519"/>
    </i>
    <i r="1">
      <x v="537"/>
    </i>
    <i r="1">
      <x v="477"/>
    </i>
    <i r="1">
      <x v="492"/>
    </i>
    <i r="1">
      <x v="487"/>
    </i>
    <i r="1">
      <x v="514"/>
    </i>
    <i r="1">
      <x v="522"/>
    </i>
    <i r="1">
      <x v="532"/>
    </i>
    <i r="1">
      <x v="523"/>
    </i>
    <i r="1">
      <x v="500"/>
    </i>
    <i r="1">
      <x v="524"/>
    </i>
    <i r="1">
      <x v="502"/>
    </i>
    <i r="1">
      <x v="488"/>
    </i>
    <i r="1">
      <x v="478"/>
    </i>
    <i r="1">
      <x v="482"/>
    </i>
    <i r="1">
      <x v="540"/>
    </i>
    <i r="1">
      <x v="497"/>
    </i>
    <i r="1">
      <x v="484"/>
    </i>
    <i r="1">
      <x v="495"/>
    </i>
    <i r="1">
      <x v="544"/>
    </i>
    <i r="1">
      <x v="499"/>
    </i>
    <i r="1">
      <x v="493"/>
    </i>
    <i r="1">
      <x v="508"/>
    </i>
    <i r="1">
      <x v="516"/>
    </i>
    <i r="1">
      <x v="531"/>
    </i>
    <i t="default">
      <x v="15"/>
    </i>
    <i>
      <x v="14"/>
      <x v="467"/>
    </i>
    <i r="1">
      <x v="469"/>
    </i>
    <i r="1">
      <x v="455"/>
    </i>
    <i r="1">
      <x v="458"/>
    </i>
    <i r="1">
      <x v="459"/>
    </i>
    <i r="1">
      <x v="465"/>
    </i>
    <i r="1">
      <x v="466"/>
    </i>
    <i r="1">
      <x v="475"/>
    </i>
    <i r="1">
      <x v="461"/>
    </i>
    <i r="1">
      <x v="460"/>
    </i>
    <i r="1">
      <x v="471"/>
    </i>
    <i r="1">
      <x v="456"/>
    </i>
    <i r="1">
      <x v="473"/>
    </i>
    <i r="1">
      <x v="470"/>
    </i>
    <i r="1">
      <x v="462"/>
    </i>
    <i r="1">
      <x v="472"/>
    </i>
    <i r="1">
      <x v="474"/>
    </i>
    <i r="1">
      <x v="464"/>
    </i>
    <i r="1">
      <x v="463"/>
    </i>
    <i r="1">
      <x v="457"/>
    </i>
    <i r="1">
      <x v="468"/>
    </i>
    <i t="default">
      <x v="14"/>
    </i>
    <i>
      <x v="10"/>
      <x v="333"/>
    </i>
    <i r="1">
      <x v="332"/>
    </i>
    <i r="1">
      <x v="331"/>
    </i>
    <i r="1">
      <x v="324"/>
    </i>
    <i r="1">
      <x v="328"/>
    </i>
    <i r="1">
      <x v="322"/>
    </i>
    <i r="1">
      <x v="325"/>
    </i>
    <i r="1">
      <x v="329"/>
    </i>
    <i r="1">
      <x v="326"/>
    </i>
    <i r="1">
      <x v="323"/>
    </i>
    <i r="1">
      <x v="330"/>
    </i>
    <i r="1">
      <x v="327"/>
    </i>
    <i t="default">
      <x v="10"/>
    </i>
    <i>
      <x/>
      <x v="23"/>
    </i>
    <i r="1">
      <x v="111"/>
    </i>
    <i r="1">
      <x v="103"/>
    </i>
    <i r="1">
      <x v="8"/>
    </i>
    <i r="1">
      <x v="96"/>
    </i>
    <i r="1">
      <x v="93"/>
    </i>
    <i r="1">
      <x v="37"/>
    </i>
    <i r="1">
      <x v="69"/>
    </i>
    <i r="1">
      <x v="21"/>
    </i>
    <i r="1">
      <x/>
    </i>
    <i r="1">
      <x v="34"/>
    </i>
    <i r="1">
      <x v="85"/>
    </i>
    <i r="1">
      <x v="30"/>
    </i>
    <i r="1">
      <x v="29"/>
    </i>
    <i r="1">
      <x v="28"/>
    </i>
    <i r="1">
      <x v="79"/>
    </i>
    <i r="1">
      <x v="36"/>
    </i>
    <i r="1">
      <x v="88"/>
    </i>
    <i r="1">
      <x v="16"/>
    </i>
    <i r="1">
      <x v="38"/>
    </i>
    <i r="1">
      <x v="31"/>
    </i>
    <i r="1">
      <x v="9"/>
    </i>
    <i r="1">
      <x v="4"/>
    </i>
    <i r="1">
      <x v="64"/>
    </i>
    <i r="1">
      <x v="7"/>
    </i>
    <i r="1">
      <x v="75"/>
    </i>
    <i r="1">
      <x v="50"/>
    </i>
    <i r="1">
      <x v="44"/>
    </i>
    <i r="1">
      <x v="73"/>
    </i>
    <i r="1">
      <x v="94"/>
    </i>
    <i r="1">
      <x v="58"/>
    </i>
    <i r="1">
      <x v="76"/>
    </i>
    <i r="1">
      <x v="74"/>
    </i>
    <i r="1">
      <x v="1"/>
    </i>
    <i r="1">
      <x v="86"/>
    </i>
    <i r="1">
      <x v="52"/>
    </i>
    <i r="1">
      <x v="35"/>
    </i>
    <i r="1">
      <x v="57"/>
    </i>
    <i r="1">
      <x v="6"/>
    </i>
    <i r="1">
      <x v="90"/>
    </i>
    <i r="1">
      <x v="42"/>
    </i>
    <i r="1">
      <x v="80"/>
    </i>
    <i r="1">
      <x v="32"/>
    </i>
    <i r="1">
      <x v="82"/>
    </i>
    <i r="1">
      <x v="112"/>
    </i>
    <i r="1">
      <x v="98"/>
    </i>
    <i r="1">
      <x v="39"/>
    </i>
    <i r="1">
      <x v="109"/>
    </i>
    <i r="1">
      <x v="53"/>
    </i>
    <i r="1">
      <x v="54"/>
    </i>
    <i r="1">
      <x v="105"/>
    </i>
    <i r="1">
      <x v="45"/>
    </i>
    <i r="1">
      <x v="113"/>
    </i>
    <i r="1">
      <x v="26"/>
    </i>
    <i r="1">
      <x v="70"/>
    </i>
    <i r="1">
      <x v="71"/>
    </i>
    <i r="1">
      <x v="87"/>
    </i>
    <i r="1">
      <x v="106"/>
    </i>
    <i r="1">
      <x v="17"/>
    </i>
    <i r="1">
      <x v="12"/>
    </i>
    <i r="1">
      <x v="83"/>
    </i>
    <i r="1">
      <x v="18"/>
    </i>
    <i r="1">
      <x v="27"/>
    </i>
    <i r="1">
      <x v="59"/>
    </i>
    <i r="1">
      <x v="102"/>
    </i>
    <i r="1">
      <x v="60"/>
    </i>
    <i r="1">
      <x v="110"/>
    </i>
    <i r="1">
      <x v="61"/>
    </i>
    <i r="1">
      <x v="24"/>
    </i>
    <i r="1">
      <x v="62"/>
    </i>
    <i r="1">
      <x v="89"/>
    </i>
    <i r="1">
      <x v="63"/>
    </i>
    <i r="1">
      <x v="3"/>
    </i>
    <i r="1">
      <x v="19"/>
    </i>
    <i r="1">
      <x v="100"/>
    </i>
    <i r="1">
      <x v="65"/>
    </i>
    <i r="1">
      <x v="104"/>
    </i>
    <i r="1">
      <x v="66"/>
    </i>
    <i r="1">
      <x v="108"/>
    </i>
    <i r="1">
      <x v="67"/>
    </i>
    <i r="1">
      <x v="48"/>
    </i>
    <i r="1">
      <x v="68"/>
    </i>
    <i r="1">
      <x v="84"/>
    </i>
    <i r="1">
      <x v="20"/>
    </i>
    <i r="1">
      <x v="14"/>
    </i>
    <i r="1">
      <x v="55"/>
    </i>
    <i r="1">
      <x v="25"/>
    </i>
    <i r="1">
      <x v="5"/>
    </i>
    <i r="1">
      <x v="56"/>
    </i>
    <i r="1">
      <x v="91"/>
    </i>
    <i r="1">
      <x v="49"/>
    </i>
    <i r="1">
      <x v="92"/>
    </i>
    <i r="1">
      <x v="72"/>
    </i>
    <i r="1">
      <x v="95"/>
    </i>
    <i r="1">
      <x v="11"/>
    </i>
    <i r="1">
      <x v="97"/>
    </i>
    <i r="1">
      <x v="41"/>
    </i>
    <i r="1">
      <x v="99"/>
    </i>
    <i r="1">
      <x v="22"/>
    </i>
    <i r="1">
      <x v="101"/>
    </i>
    <i r="1">
      <x v="13"/>
    </i>
    <i r="1">
      <x v="15"/>
    </i>
    <i r="1">
      <x v="116"/>
    </i>
    <i r="1">
      <x v="51"/>
    </i>
    <i r="1">
      <x v="78"/>
    </i>
    <i r="1">
      <x v="107"/>
    </i>
    <i r="1">
      <x v="46"/>
    </i>
    <i r="1">
      <x v="33"/>
    </i>
    <i r="1">
      <x v="114"/>
    </i>
    <i r="1">
      <x v="10"/>
    </i>
    <i r="1">
      <x v="47"/>
    </i>
    <i r="1">
      <x v="43"/>
    </i>
    <i r="1">
      <x v="2"/>
    </i>
    <i r="1">
      <x v="115"/>
    </i>
    <i r="1">
      <x v="40"/>
    </i>
    <i r="1">
      <x v="81"/>
    </i>
    <i r="1">
      <x v="77"/>
    </i>
    <i t="default">
      <x/>
    </i>
    <i>
      <x v="12"/>
      <x v="356"/>
    </i>
    <i r="1">
      <x v="355"/>
    </i>
    <i r="1">
      <x v="353"/>
    </i>
    <i r="1">
      <x v="340"/>
    </i>
    <i r="1">
      <x v="343"/>
    </i>
    <i r="1">
      <x v="349"/>
    </i>
    <i r="1">
      <x v="354"/>
    </i>
    <i r="1">
      <x v="351"/>
    </i>
    <i r="1">
      <x v="339"/>
    </i>
    <i r="1">
      <x v="341"/>
    </i>
    <i r="1">
      <x v="350"/>
    </i>
    <i r="1">
      <x v="352"/>
    </i>
    <i r="1">
      <x v="342"/>
    </i>
    <i r="1">
      <x v="347"/>
    </i>
    <i r="1">
      <x v="346"/>
    </i>
    <i r="1">
      <x v="358"/>
    </i>
    <i r="1">
      <x v="357"/>
    </i>
    <i r="1">
      <x v="344"/>
    </i>
    <i r="1">
      <x v="345"/>
    </i>
    <i r="1">
      <x v="348"/>
    </i>
    <i t="default">
      <x v="12"/>
    </i>
    <i>
      <x v="16"/>
      <x v="561"/>
    </i>
    <i r="1">
      <x v="551"/>
    </i>
    <i r="1">
      <x v="554"/>
    </i>
    <i r="1">
      <x v="548"/>
    </i>
    <i r="1">
      <x v="550"/>
    </i>
    <i r="1">
      <x v="549"/>
    </i>
    <i r="1">
      <x v="557"/>
    </i>
    <i r="1">
      <x v="558"/>
    </i>
    <i r="1">
      <x v="559"/>
    </i>
    <i r="1">
      <x v="560"/>
    </i>
    <i r="1">
      <x v="552"/>
    </i>
    <i r="1">
      <x v="553"/>
    </i>
    <i r="1">
      <x v="555"/>
    </i>
    <i r="1">
      <x v="556"/>
    </i>
    <i t="default">
      <x v="16"/>
    </i>
    <i>
      <x v="7"/>
      <x v="200"/>
    </i>
    <i r="1">
      <x v="214"/>
    </i>
    <i r="1">
      <x v="220"/>
    </i>
    <i r="1">
      <x v="209"/>
    </i>
    <i r="1">
      <x v="218"/>
    </i>
    <i r="1">
      <x v="211"/>
    </i>
    <i r="1">
      <x v="207"/>
    </i>
    <i r="1">
      <x v="210"/>
    </i>
    <i r="1">
      <x v="206"/>
    </i>
    <i r="1">
      <x v="201"/>
    </i>
    <i r="1">
      <x v="204"/>
    </i>
    <i r="1">
      <x v="217"/>
    </i>
    <i r="1">
      <x v="202"/>
    </i>
    <i r="1">
      <x v="203"/>
    </i>
    <i r="1">
      <x v="222"/>
    </i>
    <i r="1">
      <x v="205"/>
    </i>
    <i r="1">
      <x v="199"/>
    </i>
    <i r="1">
      <x v="219"/>
    </i>
    <i r="1">
      <x v="215"/>
    </i>
    <i r="1">
      <x v="216"/>
    </i>
    <i r="1">
      <x v="212"/>
    </i>
    <i r="1">
      <x v="221"/>
    </i>
    <i r="1">
      <x v="213"/>
    </i>
    <i r="1">
      <x v="208"/>
    </i>
    <i t="default">
      <x v="7"/>
    </i>
    <i>
      <x v="8"/>
      <x v="228"/>
    </i>
    <i r="1">
      <x v="239"/>
    </i>
    <i r="1">
      <x v="246"/>
    </i>
    <i r="1">
      <x v="238"/>
    </i>
    <i r="1">
      <x v="242"/>
    </i>
    <i r="1">
      <x v="248"/>
    </i>
    <i r="1">
      <x v="247"/>
    </i>
    <i r="1">
      <x v="232"/>
    </i>
    <i r="1">
      <x v="225"/>
    </i>
    <i r="1">
      <x v="235"/>
    </i>
    <i r="1">
      <x v="237"/>
    </i>
    <i r="1">
      <x v="256"/>
    </i>
    <i r="1">
      <x v="223"/>
    </i>
    <i r="1">
      <x v="251"/>
    </i>
    <i r="1">
      <x v="255"/>
    </i>
    <i r="1">
      <x v="240"/>
    </i>
    <i r="1">
      <x v="259"/>
    </i>
    <i r="1">
      <x v="245"/>
    </i>
    <i r="1">
      <x v="233"/>
    </i>
    <i r="1">
      <x v="231"/>
    </i>
    <i r="1">
      <x v="226"/>
    </i>
    <i r="1">
      <x v="258"/>
    </i>
    <i r="1">
      <x v="252"/>
    </i>
    <i r="1">
      <x v="250"/>
    </i>
    <i r="1">
      <x v="254"/>
    </i>
    <i r="1">
      <x v="224"/>
    </i>
    <i r="1">
      <x v="236"/>
    </i>
    <i r="1">
      <x v="229"/>
    </i>
    <i r="1">
      <x v="253"/>
    </i>
    <i r="1">
      <x v="244"/>
    </i>
    <i r="1">
      <x v="243"/>
    </i>
    <i r="1">
      <x v="249"/>
    </i>
    <i r="1">
      <x v="257"/>
    </i>
    <i r="1">
      <x v="234"/>
    </i>
    <i r="1">
      <x v="230"/>
    </i>
    <i r="1">
      <x v="227"/>
    </i>
    <i r="1">
      <x v="241"/>
    </i>
    <i t="default">
      <x v="8"/>
    </i>
    <i>
      <x v="3"/>
      <x v="129"/>
    </i>
    <i r="1">
      <x v="131"/>
    </i>
    <i r="1">
      <x v="130"/>
    </i>
    <i r="1">
      <x v="127"/>
    </i>
    <i r="1">
      <x v="125"/>
    </i>
    <i r="1">
      <x v="128"/>
    </i>
    <i r="1">
      <x v="126"/>
    </i>
    <i r="1">
      <x v="124"/>
    </i>
    <i t="default">
      <x v="3"/>
    </i>
    <i>
      <x v="9"/>
      <x v="266"/>
    </i>
    <i r="1">
      <x v="319"/>
    </i>
    <i r="1">
      <x v="296"/>
    </i>
    <i r="1">
      <x v="285"/>
    </i>
    <i r="1">
      <x v="310"/>
    </i>
    <i r="1">
      <x v="318"/>
    </i>
    <i r="1">
      <x v="306"/>
    </i>
    <i r="1">
      <x v="288"/>
    </i>
    <i r="1">
      <x v="272"/>
    </i>
    <i r="1">
      <x v="271"/>
    </i>
    <i r="1">
      <x v="270"/>
    </i>
    <i r="1">
      <x v="295"/>
    </i>
    <i r="1">
      <x v="279"/>
    </i>
    <i r="1">
      <x v="320"/>
    </i>
    <i r="1">
      <x v="268"/>
    </i>
    <i r="1">
      <x v="294"/>
    </i>
    <i r="1">
      <x v="276"/>
    </i>
    <i r="1">
      <x v="301"/>
    </i>
    <i r="1">
      <x v="304"/>
    </i>
    <i r="1">
      <x v="298"/>
    </i>
    <i r="1">
      <x v="315"/>
    </i>
    <i r="1">
      <x v="313"/>
    </i>
    <i r="1">
      <x v="297"/>
    </i>
    <i r="1">
      <x v="307"/>
    </i>
    <i r="1">
      <x v="280"/>
    </i>
    <i r="1">
      <x v="302"/>
    </i>
    <i r="1">
      <x v="316"/>
    </i>
    <i r="1">
      <x v="286"/>
    </i>
    <i r="1">
      <x v="311"/>
    </i>
    <i r="1">
      <x v="299"/>
    </i>
    <i r="1">
      <x v="260"/>
    </i>
    <i r="1">
      <x v="281"/>
    </i>
    <i r="1">
      <x v="314"/>
    </i>
    <i r="1">
      <x v="283"/>
    </i>
    <i r="1">
      <x v="292"/>
    </i>
    <i r="1">
      <x v="264"/>
    </i>
    <i r="1">
      <x v="293"/>
    </i>
    <i r="1">
      <x v="308"/>
    </i>
    <i r="1">
      <x v="265"/>
    </i>
    <i r="1">
      <x v="312"/>
    </i>
    <i r="1">
      <x v="273"/>
    </i>
    <i r="1">
      <x v="287"/>
    </i>
    <i r="1">
      <x v="274"/>
    </i>
    <i r="1">
      <x v="321"/>
    </i>
    <i r="1">
      <x v="275"/>
    </i>
    <i r="1">
      <x v="282"/>
    </i>
    <i r="1">
      <x v="261"/>
    </i>
    <i r="1">
      <x v="309"/>
    </i>
    <i r="1">
      <x v="277"/>
    </i>
    <i r="1">
      <x v="284"/>
    </i>
    <i r="1">
      <x v="300"/>
    </i>
    <i r="1">
      <x v="269"/>
    </i>
    <i r="1">
      <x v="278"/>
    </i>
    <i r="1">
      <x v="263"/>
    </i>
    <i r="1">
      <x v="267"/>
    </i>
    <i r="1">
      <x v="317"/>
    </i>
    <i r="1">
      <x v="303"/>
    </i>
    <i r="1">
      <x v="289"/>
    </i>
    <i r="1">
      <x v="262"/>
    </i>
    <i r="1">
      <x v="291"/>
    </i>
    <i r="1">
      <x v="305"/>
    </i>
    <i r="1">
      <x v="290"/>
    </i>
    <i t="default">
      <x v="9"/>
    </i>
    <i>
      <x v="6"/>
      <x v="197"/>
    </i>
    <i r="1">
      <x v="185"/>
    </i>
    <i r="1">
      <x v="175"/>
    </i>
    <i r="1">
      <x v="189"/>
    </i>
    <i r="1">
      <x v="174"/>
    </i>
    <i r="1">
      <x v="194"/>
    </i>
    <i r="1">
      <x v="187"/>
    </i>
    <i r="1">
      <x v="186"/>
    </i>
    <i r="1">
      <x v="183"/>
    </i>
    <i r="1">
      <x v="176"/>
    </i>
    <i r="1">
      <x v="190"/>
    </i>
    <i r="1">
      <x v="177"/>
    </i>
    <i r="1">
      <x v="198"/>
    </i>
    <i r="1">
      <x v="196"/>
    </i>
    <i r="1">
      <x v="195"/>
    </i>
    <i r="1">
      <x v="192"/>
    </i>
    <i r="1">
      <x v="180"/>
    </i>
    <i r="1">
      <x v="193"/>
    </i>
    <i r="1">
      <x v="178"/>
    </i>
    <i r="1">
      <x v="188"/>
    </i>
    <i r="1">
      <x v="179"/>
    </i>
    <i r="1">
      <x v="181"/>
    </i>
    <i r="1">
      <x v="182"/>
    </i>
    <i r="1">
      <x v="184"/>
    </i>
    <i r="1">
      <x v="191"/>
    </i>
    <i t="default">
      <x v="6"/>
    </i>
    <i>
      <x v="2"/>
      <x v="120"/>
    </i>
    <i r="1">
      <x v="123"/>
    </i>
    <i r="1">
      <x v="121"/>
    </i>
    <i r="1">
      <x v="122"/>
    </i>
    <i t="default">
      <x v="2"/>
    </i>
    <i>
      <x v="20"/>
      <x v="609"/>
    </i>
    <i r="1">
      <x v="601"/>
    </i>
    <i r="1">
      <x v="606"/>
    </i>
    <i r="1">
      <x v="605"/>
    </i>
    <i r="1">
      <x v="604"/>
    </i>
    <i r="1">
      <x v="602"/>
    </i>
    <i r="1">
      <x v="603"/>
    </i>
    <i r="1">
      <x v="608"/>
    </i>
    <i r="1">
      <x v="607"/>
    </i>
    <i t="default">
      <x v="20"/>
    </i>
    <i>
      <x v="17"/>
      <x v="570"/>
    </i>
    <i r="1">
      <x v="562"/>
    </i>
    <i r="1">
      <x v="569"/>
    </i>
    <i r="1">
      <x v="563"/>
    </i>
    <i r="1">
      <x v="564"/>
    </i>
    <i r="1">
      <x v="571"/>
    </i>
    <i r="1">
      <x v="567"/>
    </i>
    <i r="1">
      <x v="568"/>
    </i>
    <i r="1">
      <x v="565"/>
    </i>
    <i r="1">
      <x v="566"/>
    </i>
    <i t="default">
      <x v="17"/>
    </i>
    <i>
      <x v="18"/>
      <x v="575"/>
    </i>
    <i r="1">
      <x v="577"/>
    </i>
    <i r="1">
      <x v="576"/>
    </i>
    <i r="1">
      <x v="573"/>
    </i>
    <i r="1">
      <x v="572"/>
    </i>
    <i r="1">
      <x v="574"/>
    </i>
    <i t="default">
      <x v="18"/>
    </i>
    <i>
      <x v="13"/>
      <x v="414"/>
    </i>
    <i r="1">
      <x v="418"/>
    </i>
    <i r="1">
      <x v="451"/>
    </i>
    <i r="1">
      <x v="437"/>
    </i>
    <i r="1">
      <x v="433"/>
    </i>
    <i r="1">
      <x v="399"/>
    </i>
    <i r="1">
      <x v="381"/>
    </i>
    <i r="1">
      <x v="407"/>
    </i>
    <i r="1">
      <x v="395"/>
    </i>
    <i r="1">
      <x v="423"/>
    </i>
    <i r="1">
      <x v="440"/>
    </i>
    <i r="1">
      <x v="436"/>
    </i>
    <i r="1">
      <x v="404"/>
    </i>
    <i r="1">
      <x v="427"/>
    </i>
    <i r="1">
      <x v="424"/>
    </i>
    <i r="1">
      <x v="432"/>
    </i>
    <i r="1">
      <x v="378"/>
    </i>
    <i r="1">
      <x v="446"/>
    </i>
    <i r="1">
      <x v="443"/>
    </i>
    <i r="1">
      <x v="361"/>
    </i>
    <i r="1">
      <x v="454"/>
    </i>
    <i r="1">
      <x v="408"/>
    </i>
    <i r="1">
      <x v="425"/>
    </i>
    <i r="1">
      <x v="426"/>
    </i>
    <i r="1">
      <x v="429"/>
    </i>
    <i r="1">
      <x v="375"/>
    </i>
    <i r="1">
      <x v="441"/>
    </i>
    <i r="1">
      <x v="392"/>
    </i>
    <i r="1">
      <x v="435"/>
    </i>
    <i r="1">
      <x v="417"/>
    </i>
    <i r="1">
      <x v="367"/>
    </i>
    <i r="1">
      <x v="391"/>
    </i>
    <i r="1">
      <x v="364"/>
    </i>
    <i r="1">
      <x v="442"/>
    </i>
    <i r="1">
      <x v="379"/>
    </i>
    <i r="1">
      <x v="450"/>
    </i>
    <i r="1">
      <x v="419"/>
    </i>
    <i r="1">
      <x v="439"/>
    </i>
    <i r="1">
      <x v="406"/>
    </i>
    <i r="1">
      <x v="398"/>
    </i>
    <i r="1">
      <x v="431"/>
    </i>
    <i r="1">
      <x v="447"/>
    </i>
    <i r="1">
      <x v="389"/>
    </i>
    <i r="1">
      <x v="400"/>
    </i>
    <i r="1">
      <x v="382"/>
    </i>
    <i r="1">
      <x v="401"/>
    </i>
    <i r="1">
      <x v="386"/>
    </i>
    <i r="1">
      <x v="402"/>
    </i>
    <i r="1">
      <x v="393"/>
    </i>
    <i r="1">
      <x v="403"/>
    </i>
    <i r="1">
      <x v="396"/>
    </i>
    <i r="1">
      <x v="371"/>
    </i>
    <i r="1">
      <x v="383"/>
    </i>
    <i r="1">
      <x v="405"/>
    </i>
    <i r="1">
      <x v="385"/>
    </i>
    <i r="1">
      <x v="359"/>
    </i>
    <i r="1">
      <x v="388"/>
    </i>
    <i r="1">
      <x v="372"/>
    </i>
    <i r="1">
      <x v="362"/>
    </i>
    <i r="1">
      <x v="373"/>
    </i>
    <i r="1">
      <x v="445"/>
    </i>
    <i r="1">
      <x v="409"/>
    </i>
    <i r="1">
      <x v="449"/>
    </i>
    <i r="1">
      <x v="410"/>
    </i>
    <i r="1">
      <x v="370"/>
    </i>
    <i r="1">
      <x v="397"/>
    </i>
    <i r="1">
      <x v="411"/>
    </i>
    <i r="1">
      <x v="428"/>
    </i>
    <i r="1">
      <x v="412"/>
    </i>
    <i r="1">
      <x v="430"/>
    </i>
    <i r="1">
      <x v="413"/>
    </i>
    <i r="1">
      <x v="384"/>
    </i>
    <i r="1">
      <x v="374"/>
    </i>
    <i r="1">
      <x v="434"/>
    </i>
    <i r="1">
      <x v="415"/>
    </i>
    <i r="1">
      <x v="387"/>
    </i>
    <i r="1">
      <x v="416"/>
    </i>
    <i r="1">
      <x v="438"/>
    </i>
    <i r="1">
      <x v="363"/>
    </i>
    <i r="1">
      <x v="390"/>
    </i>
    <i r="1">
      <x v="376"/>
    </i>
    <i r="1">
      <x v="368"/>
    </i>
    <i r="1">
      <x v="377"/>
    </i>
    <i r="1">
      <x v="444"/>
    </i>
    <i r="1">
      <x v="420"/>
    </i>
    <i r="1">
      <x v="394"/>
    </i>
    <i r="1">
      <x v="421"/>
    </i>
    <i r="1">
      <x v="448"/>
    </i>
    <i r="1">
      <x v="422"/>
    </i>
    <i r="1">
      <x v="369"/>
    </i>
    <i r="1">
      <x v="360"/>
    </i>
    <i r="1">
      <x v="452"/>
    </i>
    <i r="1">
      <x v="365"/>
    </i>
    <i r="1">
      <x v="380"/>
    </i>
    <i r="1">
      <x v="366"/>
    </i>
    <i r="1">
      <x v="453"/>
    </i>
    <i t="default">
      <x v="13"/>
    </i>
    <i>
      <x v="1"/>
      <x v="118"/>
    </i>
    <i r="1">
      <x v="117"/>
    </i>
    <i r="1">
      <x v="119"/>
    </i>
    <i t="default">
      <x v="1"/>
    </i>
    <i>
      <x v="4"/>
      <x v="155"/>
    </i>
    <i r="1">
      <x v="137"/>
    </i>
    <i r="1">
      <x v="142"/>
    </i>
    <i r="1">
      <x v="135"/>
    </i>
    <i r="1">
      <x v="140"/>
    </i>
    <i r="1">
      <x v="157"/>
    </i>
    <i r="1">
      <x v="156"/>
    </i>
    <i r="1">
      <x v="148"/>
    </i>
    <i r="1">
      <x v="136"/>
    </i>
    <i r="1">
      <x v="153"/>
    </i>
    <i r="1">
      <x v="133"/>
    </i>
    <i r="1">
      <x v="143"/>
    </i>
    <i r="1">
      <x v="146"/>
    </i>
    <i r="1">
      <x v="145"/>
    </i>
    <i r="1">
      <x v="134"/>
    </i>
    <i r="1">
      <x v="152"/>
    </i>
    <i r="1">
      <x v="147"/>
    </i>
    <i r="1">
      <x v="141"/>
    </i>
    <i r="1">
      <x v="139"/>
    </i>
    <i r="1">
      <x v="149"/>
    </i>
    <i r="1">
      <x v="151"/>
    </i>
    <i r="1">
      <x v="132"/>
    </i>
    <i r="1">
      <x v="144"/>
    </i>
    <i r="1">
      <x v="150"/>
    </i>
    <i r="1">
      <x v="158"/>
    </i>
    <i r="1">
      <x v="154"/>
    </i>
    <i r="1">
      <x v="138"/>
    </i>
    <i t="default">
      <x v="4"/>
    </i>
    <i>
      <x v="5"/>
      <x v="172"/>
    </i>
    <i r="1">
      <x v="173"/>
    </i>
    <i r="1">
      <x v="160"/>
    </i>
    <i r="1">
      <x v="166"/>
    </i>
    <i r="1">
      <x v="163"/>
    </i>
    <i r="1">
      <x v="167"/>
    </i>
    <i r="1">
      <x v="168"/>
    </i>
    <i r="1">
      <x v="169"/>
    </i>
    <i r="1">
      <x v="165"/>
    </i>
    <i r="1">
      <x v="159"/>
    </i>
    <i r="1">
      <x v="164"/>
    </i>
    <i r="1">
      <x v="161"/>
    </i>
    <i r="1">
      <x v="162"/>
    </i>
    <i r="1">
      <x v="170"/>
    </i>
    <i r="1">
      <x v="171"/>
    </i>
    <i t="default">
      <x v="5"/>
    </i>
    <i>
      <x v="11"/>
      <x v="338"/>
    </i>
    <i r="1">
      <x v="336"/>
    </i>
    <i r="1">
      <x v="334"/>
    </i>
    <i r="1">
      <x v="335"/>
    </i>
    <i r="1">
      <x v="337"/>
    </i>
    <i t="default">
      <x v="11"/>
    </i>
    <i>
      <x v="19"/>
      <x v="579"/>
    </i>
    <i r="1">
      <x v="594"/>
    </i>
    <i r="1">
      <x v="598"/>
    </i>
    <i r="1">
      <x v="590"/>
    </i>
    <i r="1">
      <x v="592"/>
    </i>
    <i r="1">
      <x v="580"/>
    </i>
    <i r="1">
      <x v="596"/>
    </i>
    <i r="1">
      <x v="582"/>
    </i>
    <i r="1">
      <x v="600"/>
    </i>
    <i r="1">
      <x v="583"/>
    </i>
    <i r="1">
      <x v="591"/>
    </i>
    <i r="1">
      <x v="584"/>
    </i>
    <i r="1">
      <x v="593"/>
    </i>
    <i r="1">
      <x v="585"/>
    </i>
    <i r="1">
      <x v="595"/>
    </i>
    <i r="1">
      <x v="586"/>
    </i>
    <i r="1">
      <x v="597"/>
    </i>
    <i r="1">
      <x v="587"/>
    </i>
    <i r="1">
      <x v="599"/>
    </i>
    <i r="1">
      <x v="588"/>
    </i>
    <i r="1">
      <x v="578"/>
    </i>
    <i r="1">
      <x v="589"/>
    </i>
    <i r="1">
      <x v="581"/>
    </i>
    <i t="default">
      <x v="19"/>
    </i>
    <i t="grand">
      <x/>
    </i>
  </rowItems>
  <colFields count="1">
    <field x="-2"/>
  </colFields>
  <colItems count="3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</colItems>
  <pageFields count="10">
    <pageField fld="37" hier="100" name="[Material].[MerchProduct].&amp;[Merch]" cap="Merch"/>
    <pageField fld="13" hier="16" name="[Calendar].[MerchYearMonth].[All]" cap="All"/>
    <pageField fld="33" hier="142" name="[SalesChannel].[H_SalesChannel].[SalesOrgType].&amp;[İştirak].&amp;[TÜRKİYE]" cap="TÜRKİYE"/>
    <pageField fld="9" hier="165" name="[Store].[LocationCountry].[All]" cap="All"/>
    <pageField fld="0" hier="148" name="[SalesChannel].[SalesOrgType].&amp;[İştirak]" cap="İştirak"/>
    <pageField fld="1" hier="140" name="[SalesChannel].[DistrubitionChannelDesc].&amp;[Perakende Satış]" cap="Perakende Satış"/>
    <pageField fld="5" hier="6" name="[Calendar].[H_Merch].[MerchYear].&amp;[2026]" cap="2026"/>
    <pageField fld="32" hier="81" name="[Material].[MaterialDesc].[All]" cap="All"/>
    <pageField fld="43" hier="11" name="[Calendar].[LastNWeeks].[All]" cap="All"/>
    <pageField fld="44" hier="9" name="[Calendar].[LastNDays].&amp;[1]" cap="1"/>
  </pageFields>
  <dataFields count="30">
    <dataField fld="12" baseField="0" baseItem="0"/>
    <dataField fld="14" baseField="0" baseItem="0"/>
    <dataField fld="2" baseField="0" baseItem="0"/>
    <dataField fld="15" baseField="0" baseItem="0" numFmtId="3"/>
    <dataField fld="3" baseField="0" baseItem="0" numFmtId="3"/>
    <dataField fld="16" baseField="0" baseItem="0" numFmtId="3"/>
    <dataField fld="26" baseField="0" baseItem="0"/>
    <dataField fld="27" baseField="0" baseItem="0"/>
    <dataField fld="4" baseField="0" baseItem="0"/>
    <dataField fld="17" baseField="0" baseItem="0"/>
    <dataField fld="22" baseField="0" baseItem="0"/>
    <dataField fld="23" baseField="0" baseItem="0"/>
    <dataField fld="18" baseField="0" baseItem="0"/>
    <dataField fld="19" baseField="0" baseItem="0"/>
    <dataField fld="24" baseField="0" baseItem="0"/>
    <dataField fld="25" baseField="0" baseItem="0"/>
    <dataField fld="20" baseField="0" baseItem="0"/>
    <dataField fld="21" baseField="0" baseItem="0"/>
    <dataField fld="28" baseField="0" baseItem="0"/>
    <dataField fld="29" baseField="0" baseItem="0"/>
    <dataField fld="30" baseField="0" baseItem="0"/>
    <dataField fld="31" baseField="0" baseItem="0"/>
    <dataField fld="38" baseField="0" baseItem="0"/>
    <dataField fld="39" baseField="0" baseItem="0"/>
    <dataField fld="40" baseField="0" baseItem="0"/>
    <dataField fld="41" baseField="0" baseItem="0"/>
    <dataField fld="42" baseField="0" baseItem="0"/>
    <dataField fld="45" baseField="0" baseItem="0"/>
    <dataField fld="46" baseField="0" baseItem="0"/>
    <dataField fld="47" baseField="0" baseItem="0"/>
  </dataFields>
  <formats count="44">
    <format dxfId="367">
      <pivotArea field="5" type="button" dataOnly="0" labelOnly="1" outline="0" axis="axisPage" fieldPosition="6"/>
    </format>
    <format dxfId="366">
      <pivotArea field="6" type="button" dataOnly="0" labelOnly="1" outline="0"/>
    </format>
    <format dxfId="365">
      <pivotArea dataOnly="0" labelOnly="1" outline="0" fieldPosition="0">
        <references count="1">
          <reference field="4294967294" count="3">
            <x v="2"/>
            <x v="4"/>
            <x v="8"/>
          </reference>
        </references>
      </pivotArea>
    </format>
    <format dxfId="364">
      <pivotArea field="5" type="button" dataOnly="0" labelOnly="1" outline="0" axis="axisPage" fieldPosition="6"/>
    </format>
    <format dxfId="363">
      <pivotArea field="6" type="button" dataOnly="0" labelOnly="1" outline="0"/>
    </format>
    <format dxfId="362">
      <pivotArea dataOnly="0" labelOnly="1" outline="0" fieldPosition="0">
        <references count="1">
          <reference field="4294967294" count="3">
            <x v="2"/>
            <x v="4"/>
            <x v="8"/>
          </reference>
        </references>
      </pivotArea>
    </format>
    <format dxfId="361">
      <pivotArea field="5" type="button" dataOnly="0" labelOnly="1" outline="0" axis="axisPage" fieldPosition="6"/>
    </format>
    <format dxfId="360">
      <pivotArea field="6" type="button" dataOnly="0" labelOnly="1" outline="0"/>
    </format>
    <format dxfId="359">
      <pivotArea dataOnly="0" labelOnly="1" outline="0" fieldPosition="0">
        <references count="1">
          <reference field="4294967294" count="3">
            <x v="2"/>
            <x v="4"/>
            <x v="8"/>
          </reference>
        </references>
      </pivotArea>
    </format>
    <format dxfId="358">
      <pivotArea outline="0" fieldPosition="0">
        <references count="1">
          <reference field="4294967294" count="1" selected="0">
            <x v="4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4">
      <pivotArea dataOnly="0" outline="0" fieldPosition="0">
        <references count="1">
          <reference field="4294967294" count="1">
            <x v="2"/>
          </reference>
        </references>
      </pivotArea>
    </format>
    <format dxfId="353">
      <pivotArea dataOnly="0" outline="0" fieldPosition="0">
        <references count="1">
          <reference field="13" count="0" defaultSubtotal="1"/>
        </references>
      </pivotArea>
    </format>
    <format dxfId="352">
      <pivotArea dataOnly="0" labelOnly="1" outline="0" fieldPosition="0">
        <references count="1">
          <reference field="4294967294" count="6">
            <x v="1"/>
            <x v="3"/>
            <x v="5"/>
            <x v="9"/>
            <x v="12"/>
            <x v="13"/>
          </reference>
        </references>
      </pivotArea>
    </format>
    <format dxfId="351">
      <pivotArea dataOnly="0" labelOnly="1" outline="0" fieldPosition="0">
        <references count="1">
          <reference field="4294967294" count="6">
            <x v="1"/>
            <x v="3"/>
            <x v="5"/>
            <x v="9"/>
            <x v="12"/>
            <x v="13"/>
          </reference>
        </references>
      </pivotArea>
    </format>
    <format dxfId="350">
      <pivotArea dataOnly="0" labelOnly="1" outline="0" fieldPosition="0">
        <references count="1">
          <reference field="4294967294" count="6">
            <x v="1"/>
            <x v="3"/>
            <x v="5"/>
            <x v="9"/>
            <x v="12"/>
            <x v="13"/>
          </reference>
        </references>
      </pivotArea>
    </format>
    <format dxfId="349">
      <pivotArea field="13" type="button" dataOnly="0" labelOnly="1" outline="0" axis="axisPage" fieldPosition="1"/>
    </format>
    <format dxfId="348">
      <pivotArea field="13" type="button" dataOnly="0" labelOnly="1" outline="0" axis="axisPage" fieldPosition="1"/>
    </format>
    <format dxfId="347">
      <pivotArea field="13" type="button" dataOnly="0" labelOnly="1" outline="0" axis="axisPage" fieldPosition="1"/>
    </format>
    <format dxfId="346">
      <pivotArea outline="0" fieldPosition="0">
        <references count="1">
          <reference field="4294967294" count="1" selected="0">
            <x v="3"/>
          </reference>
        </references>
      </pivotArea>
    </format>
    <format dxfId="345">
      <pivotArea outline="0" fieldPosition="0">
        <references count="1">
          <reference field="4294967294" count="1" selected="0">
            <x v="5"/>
          </reference>
        </references>
      </pivotArea>
    </format>
    <format dxfId="344">
      <pivotArea dataOnly="0" labelOnly="1" outline="0" fieldPosition="0">
        <references count="1">
          <reference field="4294967294" count="2">
            <x v="16"/>
            <x v="17"/>
          </reference>
        </references>
      </pivotArea>
    </format>
    <format dxfId="343">
      <pivotArea dataOnly="0" labelOnly="1" outline="0" fieldPosition="0">
        <references count="1">
          <reference field="4294967294" count="2">
            <x v="16"/>
            <x v="17"/>
          </reference>
        </references>
      </pivotArea>
    </format>
    <format dxfId="342">
      <pivotArea dataOnly="0" labelOnly="1" outline="0" fieldPosition="0">
        <references count="1">
          <reference field="4294967294" count="2">
            <x v="16"/>
            <x v="17"/>
          </reference>
        </references>
      </pivotArea>
    </format>
    <format dxfId="341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40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39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3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3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3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35">
      <pivotArea dataOnly="0" labelOnly="1" outline="0" fieldPosition="0">
        <references count="1">
          <reference field="4294967294" count="2">
            <x v="14"/>
            <x v="15"/>
          </reference>
        </references>
      </pivotArea>
    </format>
    <format dxfId="334">
      <pivotArea dataOnly="0" labelOnly="1" outline="0" fieldPosition="0">
        <references count="1">
          <reference field="4294967294" count="2">
            <x v="14"/>
            <x v="15"/>
          </reference>
        </references>
      </pivotArea>
    </format>
    <format dxfId="333">
      <pivotArea dataOnly="0" labelOnly="1" outline="0" fieldPosition="0">
        <references count="1">
          <reference field="4294967294" count="2">
            <x v="14"/>
            <x v="15"/>
          </reference>
        </references>
      </pivotArea>
    </format>
    <format dxfId="332">
      <pivotArea dataOnly="0" outline="0" fieldPosition="0">
        <references count="1">
          <reference field="4294967294" count="1">
            <x v="4"/>
          </reference>
        </references>
      </pivotArea>
    </format>
    <format dxfId="331">
      <pivotArea dataOnly="0" outline="0" fieldPosition="0">
        <references count="1">
          <reference field="10" count="0" defaultSubtotal="1"/>
        </references>
      </pivotArea>
    </format>
    <format dxfId="330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329">
      <pivotArea dataOnly="0" labelOnly="1" outline="0" fieldPosition="0">
        <references count="1">
          <reference field="4294967294" count="4">
            <x v="18"/>
            <x v="19"/>
            <x v="20"/>
            <x v="21"/>
          </reference>
        </references>
      </pivotArea>
    </format>
    <format dxfId="328">
      <pivotArea dataOnly="0" outline="0" fieldPosition="0">
        <references count="1">
          <reference field="4294967294" count="2">
            <x v="6"/>
            <x v="7"/>
          </reference>
        </references>
      </pivotArea>
    </format>
    <format dxfId="327">
      <pivotArea dataOnly="0" labelOnly="1" outline="0" fieldPosition="0">
        <references count="1">
          <reference field="4294967294" count="5">
            <x v="22"/>
            <x v="23"/>
            <x v="24"/>
            <x v="25"/>
            <x v="26"/>
          </reference>
        </references>
      </pivotArea>
    </format>
    <format dxfId="326">
      <pivotArea dataOnly="0" labelOnly="1" outline="0" fieldPosition="0">
        <references count="1">
          <reference field="4294967294" count="3">
            <x v="27"/>
            <x v="28"/>
            <x v="29"/>
          </reference>
        </references>
      </pivotArea>
    </format>
    <format dxfId="325">
      <pivotArea dataOnly="0" labelOnly="1" outline="0" fieldPosition="0">
        <references count="1">
          <reference field="4294967294" count="3">
            <x v="27"/>
            <x v="28"/>
            <x v="29"/>
          </reference>
        </references>
      </pivotArea>
    </format>
    <format dxfId="324">
      <pivotArea dataOnly="0" labelOnly="1" outline="0" fieldPosition="0">
        <references count="1">
          <reference field="4294967294" count="3">
            <x v="27"/>
            <x v="28"/>
            <x v="29"/>
          </reference>
        </references>
      </pivotArea>
    </format>
  </formats>
  <pivotHierarchies count="1569">
    <pivotHierarchy/>
    <pivotHierarchy/>
    <pivotHierarchy/>
    <pivotHierarchy/>
    <pivotHierarchy/>
    <pivotHierarchy/>
    <pivotHierarchy multipleItemSelectionAllowed="1">
      <members count="1" level="1">
        <member name="[Calendar].[H_Merch].[MerchYear].&amp;[2026]"/>
      </members>
    </pivotHierarchy>
    <pivotHierarchy/>
    <pivotHierarchy/>
    <pivotHierarchy multipleItemSelectionAllowed="1">
      <members count="7" level="1">
        <member name="[Calendar].[LastNDays].&amp;[1]"/>
        <member name="[Calendar].[LastNDays].&amp;[2]"/>
        <member name="[Calendar].[LastNDays].&amp;[3]"/>
        <member name="[Calendar].[LastNDays].&amp;[4]"/>
        <member name="[Calendar].[LastNDays].&amp;[5]"/>
        <member name="[Calendar].[LastNDays].&amp;[6]"/>
        <member name="[Calendar].[LastNDays].&amp;[7]"/>
      </members>
    </pivotHierarchy>
    <pivotHierarchy/>
    <pivotHierarchy/>
    <pivotHierarchy multipleItemSelectionAllowed="1"/>
    <pivotHierarchy/>
    <pivotHierarchy multipleItemSelectionAllowed="1"/>
    <pivotHierarchy multipleItemSelectionAllowed="1">
      <members count="1" level="1">
        <member name="[Calendar].[MerchYear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2">
        <member name="[SalesChannel].[H_SalesChannel].[SalesOrgType].&amp;[İştirak].&amp;[TÜRKİY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88471-CC6A-41D6-A56D-C3652BAE30EF}" name="PivotTable2" cacheId="2" applyNumberFormats="0" applyBorderFormats="0" applyFontFormats="0" applyPatternFormats="0" applyAlignmentFormats="0" applyWidthHeightFormats="1" dataCaption="Değerler" updatedVersion="8" minRefreshableVersion="3" subtotalHiddenItems="1" colGrandTotals="0" itemPrintTitles="1" mergeItem="1" createdVersion="8" indent="0" compact="0" compactData="0" gridDropZones="1" multipleFieldFilters="0" chartFormat="2" fieldListSortAscending="1">
  <location ref="A63:AA87" firstHeaderRow="1" firstDataRow="3" firstDataCol="1" rowPageCount="6" colPageCount="1"/>
  <pivotFields count="25"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allDrilled="1" outline="0" subtotalTop="0" showAll="0" dataSourceSort="1" defaultSubtotal="0" defaultAttributeDrillState="1">
      <items count="2">
        <item x="0"/>
        <item x="1"/>
      </items>
    </pivotField>
    <pivotField axis="axisRow" compact="0" allDrilled="1" outline="0" subtotalTop="0" showAll="0" dataSourceSort="1" defaultSubtotal="0">
      <items count="23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x="21"/>
        <item x="22"/>
      </items>
    </pivotField>
    <pivotField axis="axisRow" compact="0" outline="0" subtotalTop="0" showAll="0" sortType="descending" defaultSubtotal="0">
      <autoSortScope>
        <pivotArea dataOnly="0" outline="0" fieldPosition="0">
          <references count="2">
            <reference field="4294967294" count="1" selected="0">
              <x v="6"/>
            </reference>
            <reference field="1" count="1" selected="0">
              <x v="1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AttributeDrillState="1">
      <items count="1">
        <item t="default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1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2">
    <field x="1"/>
    <field x="-2"/>
  </colFields>
  <colItems count="26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r="1" i="7">
      <x v="7"/>
    </i>
    <i r="1" i="8">
      <x v="8"/>
    </i>
    <i r="1" i="9">
      <x v="9"/>
    </i>
    <i r="1" i="10">
      <x v="10"/>
    </i>
    <i r="1" i="11">
      <x v="11"/>
    </i>
    <i r="1" i="12">
      <x v="12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r="1" i="7">
      <x v="7"/>
    </i>
    <i r="1" i="8">
      <x v="8"/>
    </i>
    <i r="1" i="9">
      <x v="9"/>
    </i>
    <i r="1" i="10">
      <x v="10"/>
    </i>
    <i r="1" i="11">
      <x v="11"/>
    </i>
    <i r="1" i="12">
      <x v="12"/>
    </i>
  </colItems>
  <pageFields count="6">
    <pageField fld="20" hier="100" name="[Material].[MerchProduct].&amp;[Merch]" cap="Merch"/>
    <pageField fld="19" hier="138" name="[SalesChannel].[CountryName].&amp;[TÜRKİYE]" cap="TÜRKİYE"/>
    <pageField fld="0" hier="148" name="[SalesChannel].[SalesOrgType].&amp;[İştirak]" cap="İştirak"/>
    <pageField fld="6" hier="6" name="[Calendar].[H_Merch].[MerchYearMonthName].&amp;[2025-Mart]" cap="2025-Mart"/>
    <pageField fld="10" hier="14" name="[Calendar].[MerchWeek].[All]" cap="All"/>
    <pageField fld="14" hier="75" name="[Material].[MainGroupDesc].[All]" cap="All"/>
  </pageFields>
  <dataFields count="13">
    <dataField name="TY Avg Store Stock Unit %" fld="4" baseField="14" baseItem="0" numFmtId="10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Y Sales Unit %" fld="2" baseField="14" baseItem="0" numFmtId="10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Y Sales Value LC %" fld="3" baseField="14" baseItem="0" numFmtId="10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Y Gross Profit LC2" fld="15" showDataAs="percentOfCol" baseField="0" baseItem="0" numFmtId="10">
      <extLst>
        <ext xmlns:x14="http://schemas.microsoft.com/office/spreadsheetml/2009/9/main" uri="{E15A36E0-9728-4e99-A89B-3F7291B0FE68}">
          <x14:dataField sourceField="15" uniqueName="[__Xl2].[Measures].[TY Gross Profit LC]"/>
        </ext>
      </extLst>
    </dataField>
    <dataField name="TY Avg Store Stock Unit" fld="21" baseField="0" baseItem="0">
      <extLst>
        <ext xmlns:x14="http://schemas.microsoft.com/office/spreadsheetml/2009/9/main" uri="{E15A36E0-9728-4e99-A89B-3F7291B0FE68}">
          <x14:dataField sourceField="4" uniqueName="[__Xl2].[Measures].[TY Avg Store Stock Unit]"/>
        </ext>
      </extLst>
    </dataField>
    <dataField name="TY Sales Unit" fld="22" baseField="0" baseItem="0">
      <extLst>
        <ext xmlns:x14="http://schemas.microsoft.com/office/spreadsheetml/2009/9/main" uri="{E15A36E0-9728-4e99-A89B-3F7291B0FE68}">
          <x14:dataField sourceField="2" uniqueName="[__Xl2].[Measures].[TY Sales Unit]"/>
        </ext>
      </extLst>
    </dataField>
    <dataField name="TY Sales Value LC" fld="23" baseField="0" baseItem="0">
      <extLst>
        <ext xmlns:x14="http://schemas.microsoft.com/office/spreadsheetml/2009/9/main" uri="{E15A36E0-9728-4e99-A89B-3F7291B0FE68}">
          <x14:dataField sourceField="3" uniqueName="[__Xl2].[Measures].[TY Sales Value LC]"/>
        </ext>
      </extLst>
    </dataField>
    <dataField fld="24" baseField="11" baseItem="0" numFmtId="3">
      <extLst>
        <ext xmlns:x14="http://schemas.microsoft.com/office/spreadsheetml/2009/9/main" uri="{E15A36E0-9728-4e99-A89B-3F7291B0FE68}">
          <x14:dataField sourceField="15"/>
        </ext>
      </extLst>
    </dataField>
    <dataField fld="5" baseField="0" baseItem="0"/>
    <dataField fld="13" baseField="0" baseItem="0"/>
    <dataField fld="16" baseField="0" baseItem="0"/>
    <dataField fld="17" baseField="0" baseItem="0"/>
    <dataField fld="18" baseField="0" baseItem="0"/>
  </dataFields>
  <formats count="62">
    <format dxfId="105">
      <pivotArea field="6" type="button" dataOnly="0" labelOnly="1" outline="0" axis="axisPage" fieldPosition="3"/>
    </format>
    <format dxfId="104">
      <pivotArea field="7" type="button" dataOnly="0" labelOnly="1" outline="0"/>
    </format>
    <format dxfId="103">
      <pivotArea dataOnly="0" labelOnly="1" outline="0" fieldPosition="0">
        <references count="1">
          <reference field="4294967294" count="4">
            <x v="0"/>
            <x v="1"/>
            <x v="2"/>
            <x v="8"/>
          </reference>
        </references>
      </pivotArea>
    </format>
    <format dxfId="102">
      <pivotArea field="6" type="button" dataOnly="0" labelOnly="1" outline="0" axis="axisPage" fieldPosition="3"/>
    </format>
    <format dxfId="101">
      <pivotArea field="7" type="button" dataOnly="0" labelOnly="1" outline="0"/>
    </format>
    <format dxfId="100">
      <pivotArea dataOnly="0" labelOnly="1" outline="0" fieldPosition="0">
        <references count="1">
          <reference field="4294967294" count="4">
            <x v="0"/>
            <x v="1"/>
            <x v="2"/>
            <x v="8"/>
          </reference>
        </references>
      </pivotArea>
    </format>
    <format dxfId="99">
      <pivotArea field="6" type="button" dataOnly="0" labelOnly="1" outline="0" axis="axisPage" fieldPosition="3"/>
    </format>
    <format dxfId="98">
      <pivotArea field="7" type="button" dataOnly="0" labelOnly="1" outline="0"/>
    </format>
    <format dxfId="97">
      <pivotArea dataOnly="0" labelOnly="1" outline="0" fieldPosition="0">
        <references count="1">
          <reference field="4294967294" count="4">
            <x v="0"/>
            <x v="1"/>
            <x v="2"/>
            <x v="8"/>
          </reference>
        </references>
      </pivotArea>
    </format>
    <format dxfId="96">
      <pivotArea outline="0" fieldPosition="0">
        <references count="1">
          <reference field="4294967294" count="1" selected="0">
            <x v="2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94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92">
      <pivotArea dataOnly="0" outline="0" fieldPosition="0">
        <references count="1">
          <reference field="4294967294" count="1">
            <x v="1"/>
          </reference>
        </references>
      </pivotArea>
    </format>
    <format dxfId="91">
      <pivotArea dataOnly="0" outline="0" fieldPosition="0">
        <references count="1">
          <reference field="14" count="0" defaultSubtotal="1"/>
        </references>
      </pivotArea>
    </format>
    <format dxfId="90">
      <pivotArea field="10" type="button" dataOnly="0" labelOnly="1" outline="0" axis="axisPage" fieldPosition="4"/>
    </format>
    <format dxfId="89">
      <pivotArea field="10" type="button" dataOnly="0" labelOnly="1" outline="0" axis="axisPage" fieldPosition="4"/>
    </format>
    <format dxfId="88">
      <pivotArea field="10" type="button" dataOnly="0" labelOnly="1" outline="0" axis="axisPage" fieldPosition="4"/>
    </format>
    <format dxfId="87">
      <pivotArea field="14" type="button" dataOnly="0" labelOnly="1" outline="0" axis="axisPage" fieldPosition="5"/>
    </format>
    <format dxfId="86">
      <pivotArea field="14" type="button" dataOnly="0" labelOnly="1" outline="0" axis="axisPage" fieldPosition="5"/>
    </format>
    <format dxfId="85">
      <pivotArea field="14" type="button" dataOnly="0" labelOnly="1" outline="0" axis="axisPage" fieldPosition="5"/>
    </format>
    <format dxfId="84">
      <pivotArea outline="0" fieldPosition="0">
        <references count="2">
          <reference field="4294967294" count="1" selected="0">
            <x v="2"/>
          </reference>
          <reference field="10" count="1" selected="0">
            <x v="1"/>
          </reference>
        </references>
      </pivotArea>
    </format>
    <format dxfId="83">
      <pivotArea outline="0" fieldPosition="0">
        <references count="1">
          <reference field="4294967294" count="1">
            <x v="2"/>
          </reference>
        </references>
      </pivotArea>
    </format>
    <format dxfId="82">
      <pivotArea outline="0" fieldPosition="0">
        <references count="1">
          <reference field="4294967294" count="1">
            <x v="0"/>
          </reference>
        </references>
      </pivotArea>
    </format>
    <format dxfId="81">
      <pivotArea outline="0" fieldPosition="0">
        <references count="1">
          <reference field="4294967294" count="1">
            <x v="1"/>
          </reference>
        </references>
      </pivotArea>
    </format>
    <format dxfId="80">
      <pivotArea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format>
    <format dxfId="79">
      <pivotArea dataOnly="0" labelOnly="1" outline="0" fieldPosition="0">
        <references count="2">
          <reference field="4294967294" count="1">
            <x v="4"/>
          </reference>
          <reference field="10" count="1" selected="0">
            <x v="1"/>
          </reference>
        </references>
      </pivotArea>
    </format>
    <format dxfId="78">
      <pivotArea dataOnly="0" labelOnly="1" outline="0" fieldPosition="0">
        <references count="2">
          <reference field="4294967294" count="1">
            <x v="4"/>
          </reference>
          <reference field="10" count="1" selected="0">
            <x v="1"/>
          </reference>
        </references>
      </pivotArea>
    </format>
    <format dxfId="77">
      <pivotArea dataOnly="0" labelOnly="1" outline="0" fieldPosition="0">
        <references count="2">
          <reference field="4294967294" count="1">
            <x v="4"/>
          </reference>
          <reference field="10" count="1" selected="0">
            <x v="1"/>
          </reference>
        </references>
      </pivotArea>
    </format>
    <format dxfId="76">
      <pivotArea dataOnly="0" labelOnly="1" outline="0" fieldPosition="0">
        <references count="2">
          <reference field="4294967294" count="1">
            <x v="5"/>
          </reference>
          <reference field="10" count="1" selected="0">
            <x v="1"/>
          </reference>
        </references>
      </pivotArea>
    </format>
    <format dxfId="75">
      <pivotArea dataOnly="0" labelOnly="1" outline="0" fieldPosition="0">
        <references count="2">
          <reference field="4294967294" count="1">
            <x v="5"/>
          </reference>
          <reference field="10" count="1" selected="0">
            <x v="1"/>
          </reference>
        </references>
      </pivotArea>
    </format>
    <format dxfId="74">
      <pivotArea dataOnly="0" labelOnly="1" outline="0" fieldPosition="0">
        <references count="2">
          <reference field="4294967294" count="1">
            <x v="5"/>
          </reference>
          <reference field="10" count="1" selected="0">
            <x v="1"/>
          </reference>
        </references>
      </pivotArea>
    </format>
    <format dxfId="73">
      <pivotArea dataOnly="0" labelOnly="1" outline="0" fieldPosition="0">
        <references count="2">
          <reference field="4294967294" count="2">
            <x v="4"/>
            <x v="5"/>
          </reference>
          <reference field="10" count="1" selected="0">
            <x v="0"/>
          </reference>
        </references>
      </pivotArea>
    </format>
    <format dxfId="72">
      <pivotArea dataOnly="0" labelOnly="1" outline="0" fieldPosition="0">
        <references count="2">
          <reference field="4294967294" count="2">
            <x v="4"/>
            <x v="5"/>
          </reference>
          <reference field="10" count="1" selected="0">
            <x v="0"/>
          </reference>
        </references>
      </pivotArea>
    </format>
    <format dxfId="71">
      <pivotArea dataOnly="0" labelOnly="1" outline="0" fieldPosition="0">
        <references count="2">
          <reference field="4294967294" count="2">
            <x v="4"/>
            <x v="5"/>
          </reference>
          <reference field="10" count="1" selected="0">
            <x v="0"/>
          </reference>
        </references>
      </pivotArea>
    </format>
    <format dxfId="70">
      <pivotArea dataOnly="0" labelOnly="1" outline="0" fieldPosition="0">
        <references count="2">
          <reference field="4294967294" count="1">
            <x v="6"/>
          </reference>
          <reference field="10" count="1" selected="0">
            <x v="1"/>
          </reference>
        </references>
      </pivotArea>
    </format>
    <format dxfId="69">
      <pivotArea dataOnly="0" labelOnly="1" outline="0" fieldPosition="0">
        <references count="2">
          <reference field="4294967294" count="1">
            <x v="6"/>
          </reference>
          <reference field="10" count="1" selected="0">
            <x v="1"/>
          </reference>
        </references>
      </pivotArea>
    </format>
    <format dxfId="68">
      <pivotArea dataOnly="0" labelOnly="1" outline="0" fieldPosition="0">
        <references count="2">
          <reference field="4294967294" count="1">
            <x v="6"/>
          </reference>
          <reference field="10" count="1" selected="0">
            <x v="1"/>
          </reference>
        </references>
      </pivotArea>
    </format>
    <format dxfId="67">
      <pivotArea dataOnly="0" labelOnly="1" outline="0" fieldPosition="0">
        <references count="2">
          <reference field="4294967294" count="1">
            <x v="6"/>
          </reference>
          <reference field="10" count="1" selected="0">
            <x v="0"/>
          </reference>
        </references>
      </pivotArea>
    </format>
    <format dxfId="66">
      <pivotArea dataOnly="0" outline="0" fieldPosition="0">
        <references count="1">
          <reference field="4294967294" count="3">
            <x v="4"/>
            <x v="5"/>
            <x v="6"/>
          </reference>
        </references>
      </pivotArea>
    </format>
    <format dxfId="65">
      <pivotArea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4" count="0" selected="0"/>
        </references>
      </pivotArea>
    </format>
    <format dxfId="64">
      <pivotArea outline="0" fieldPosition="0">
        <references count="3">
          <reference field="4294967294" count="1" selected="0">
            <x v="1"/>
          </reference>
          <reference field="10" count="1" selected="0">
            <x v="1"/>
          </reference>
          <reference field="14" count="0" selected="0"/>
        </references>
      </pivotArea>
    </format>
    <format dxfId="63">
      <pivotArea outline="0" fieldPosition="0">
        <references count="3">
          <reference field="4294967294" count="1" selected="0">
            <x v="2"/>
          </reference>
          <reference field="10" count="1" selected="0">
            <x v="0"/>
          </reference>
          <reference field="14" count="0" selected="0"/>
        </references>
      </pivotArea>
    </format>
    <format dxfId="62">
      <pivotArea outline="0" fieldPosition="0">
        <references count="3">
          <reference field="4294967294" count="1" selected="0">
            <x v="1"/>
          </reference>
          <reference field="10" count="1" selected="0">
            <x v="0"/>
          </reference>
          <reference field="14" count="0" selected="0"/>
        </references>
      </pivotArea>
    </format>
    <format dxfId="61">
      <pivotArea dataOnly="0" labelOnly="1" outline="0" fieldPosition="0">
        <references count="2">
          <reference field="4294967294" count="3">
            <x v="4"/>
            <x v="5"/>
            <x v="6"/>
          </reference>
          <reference field="1" count="1" selected="0">
            <x v="0"/>
          </reference>
        </references>
      </pivotArea>
    </format>
    <format dxfId="60">
      <pivotArea dataOnly="0" labelOnly="1" outline="0" fieldPosition="0">
        <references count="2">
          <reference field="4294967294" count="3">
            <x v="4"/>
            <x v="5"/>
            <x v="6"/>
          </reference>
          <reference field="1" count="1" selected="0">
            <x v="0"/>
          </reference>
        </references>
      </pivotArea>
    </format>
    <format dxfId="59">
      <pivotArea dataOnly="0" labelOnly="1" outline="0" fieldPosition="0">
        <references count="2">
          <reference field="4294967294" count="3">
            <x v="4"/>
            <x v="5"/>
            <x v="6"/>
          </reference>
          <reference field="1" count="1" selected="0">
            <x v="1"/>
          </reference>
        </references>
      </pivotArea>
    </format>
    <format dxfId="58">
      <pivotArea dataOnly="0" labelOnly="1" outline="0" fieldPosition="0">
        <references count="2">
          <reference field="4294967294" count="3">
            <x v="4"/>
            <x v="5"/>
            <x v="6"/>
          </reference>
          <reference field="1" count="1" selected="0">
            <x v="1"/>
          </reference>
        </references>
      </pivotArea>
    </format>
    <format dxfId="57">
      <pivotArea dataOnly="0" labelOnly="1" outline="0" fieldPosition="0">
        <references count="2">
          <reference field="4294967294" count="3">
            <x v="4"/>
            <x v="5"/>
            <x v="6"/>
          </reference>
          <reference field="1" count="1" selected="0">
            <x v="1"/>
          </reference>
        </references>
      </pivotArea>
    </format>
    <format dxfId="56">
      <pivotArea dataOnly="0" labelOnly="1" outline="0" fieldPosition="0">
        <references count="2">
          <reference field="4294967294" count="3">
            <x v="4"/>
            <x v="5"/>
            <x v="6"/>
          </reference>
          <reference field="1" count="1" selected="0">
            <x v="0"/>
          </reference>
        </references>
      </pivotArea>
    </format>
    <format dxfId="55">
      <pivotArea dataOnly="0" outline="0" fieldPosition="0">
        <references count="1">
          <reference field="1" count="1">
            <x v="1"/>
          </reference>
        </references>
      </pivotArea>
    </format>
    <format dxfId="54">
      <pivotArea dataOnly="0" labelOnly="1" outline="0" fieldPosition="0">
        <references count="2">
          <reference field="4294967294" count="8">
            <x v="0"/>
            <x v="1"/>
            <x v="2"/>
            <x v="4"/>
            <x v="5"/>
            <x v="6"/>
            <x v="8"/>
            <x v="9"/>
          </reference>
          <reference field="1" count="1" selected="0">
            <x v="1"/>
          </reference>
        </references>
      </pivotArea>
    </format>
    <format dxfId="53">
      <pivotArea dataOnly="0" outline="0" fieldPosition="0">
        <references count="1">
          <reference field="1" count="1">
            <x v="0"/>
          </reference>
        </references>
      </pivotArea>
    </format>
    <format dxfId="52">
      <pivotArea dataOnly="0" labelOnly="1" outline="0" fieldPosition="0">
        <references count="2">
          <reference field="4294967294" count="8">
            <x v="0"/>
            <x v="1"/>
            <x v="2"/>
            <x v="4"/>
            <x v="5"/>
            <x v="6"/>
            <x v="8"/>
            <x v="9"/>
          </reference>
          <reference field="1" count="1" selected="0">
            <x v="0"/>
          </reference>
        </references>
      </pivotArea>
    </format>
    <format dxfId="51">
      <pivotArea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0"/>
          </reference>
        </references>
      </pivotArea>
    </format>
    <format dxfId="50">
      <pivotArea field="11" type="button" dataOnly="0" labelOnly="1" outline="0" axis="axisRow" fieldPosition="0"/>
    </format>
    <format dxfId="49">
      <pivotArea field="11" type="button" dataOnly="0" labelOnly="1" outline="0" axis="axisRow" fieldPosition="0"/>
    </format>
    <format dxfId="48">
      <pivotArea dataOnly="0" labelOnly="1" outline="0" fieldPosition="0">
        <references count="1">
          <reference field="11" count="0"/>
        </references>
      </pivotArea>
    </format>
    <format dxfId="47">
      <pivotArea field="11" type="button" dataOnly="0" labelOnly="1" outline="0" axis="axisRow" fieldPosition="0"/>
    </format>
    <format dxfId="46">
      <pivotArea dataOnly="0" grandRow="1" outline="0" fieldPosition="0"/>
    </format>
    <format dxfId="45">
      <pivotArea outline="0" fieldPosition="0">
        <references count="1">
          <reference field="4294967294" count="1">
            <x v="3"/>
          </reference>
        </references>
      </pivotArea>
    </format>
    <format dxfId="44">
      <pivotArea outline="0" fieldPosition="0">
        <references count="1">
          <reference field="4294967294" count="1">
            <x v="7"/>
          </reference>
        </references>
      </pivotArea>
    </format>
  </formats>
  <conditionalFormats count="7">
    <conditionalFormat priority="34">
      <pivotAreas count="1">
        <pivotArea type="data" outline="0" collapsedLevelsAreSubtotals="1" fieldPosition="0">
          <references count="3">
            <reference field="4294967294" count="1" selected="0">
              <x v="2"/>
            </reference>
            <reference field="1" count="1" selected="0">
              <x v="0"/>
            </reference>
            <reference field="11" count="16" selected="0">
              <x v="0"/>
              <x v="1"/>
              <x v="2"/>
              <x v="5"/>
              <x v="6"/>
              <x v="8"/>
              <x v="9"/>
              <x v="10"/>
              <x v="11"/>
              <x v="12"/>
              <x v="13"/>
              <x v="17"/>
              <x v="18"/>
              <x v="20"/>
              <x v="21"/>
              <x v="22"/>
            </reference>
          </references>
        </pivotArea>
      </pivotAreas>
    </conditionalFormat>
    <conditionalFormat priority="33">
      <pivotAreas count="1">
        <pivotArea type="data" outline="0" collapsedLevelsAreSubtotals="1" fieldPosition="0">
          <references count="3">
            <reference field="4294967294" count="1" selected="0">
              <x v="1"/>
            </reference>
            <reference field="1" count="1" selected="0">
              <x v="0"/>
            </reference>
            <reference field="11" count="16" selected="0">
              <x v="0"/>
              <x v="1"/>
              <x v="2"/>
              <x v="5"/>
              <x v="6"/>
              <x v="8"/>
              <x v="9"/>
              <x v="10"/>
              <x v="11"/>
              <x v="12"/>
              <x v="13"/>
              <x v="17"/>
              <x v="18"/>
              <x v="20"/>
              <x v="21"/>
              <x v="22"/>
            </reference>
          </references>
        </pivotArea>
      </pivotAreas>
    </conditionalFormat>
    <conditionalFormat priority="32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1" count="1" selected="0">
              <x v="0"/>
            </reference>
            <reference field="11" count="16" selected="0">
              <x v="0"/>
              <x v="1"/>
              <x v="2"/>
              <x v="5"/>
              <x v="6"/>
              <x v="8"/>
              <x v="9"/>
              <x v="10"/>
              <x v="11"/>
              <x v="12"/>
              <x v="13"/>
              <x v="17"/>
              <x v="18"/>
              <x v="20"/>
              <x v="21"/>
              <x v="2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3">
            <reference field="4294967294" count="1" selected="0">
              <x v="2"/>
            </reference>
            <reference field="1" count="1" selected="0">
              <x v="1"/>
            </reference>
            <reference field="11" count="16" selected="0">
              <x v="0"/>
              <x v="1"/>
              <x v="2"/>
              <x v="5"/>
              <x v="6"/>
              <x v="8"/>
              <x v="9"/>
              <x v="10"/>
              <x v="11"/>
              <x v="12"/>
              <x v="13"/>
              <x v="17"/>
              <x v="18"/>
              <x v="20"/>
              <x v="21"/>
              <x v="22"/>
            </reference>
          </references>
        </pivotArea>
      </pivotAreas>
    </conditionalFormat>
    <conditionalFormat priority="30">
      <pivotAreas count="1">
        <pivotArea type="data" outline="0" collapsedLevelsAreSubtotals="1" fieldPosition="0">
          <references count="3">
            <reference field="4294967294" count="1" selected="0">
              <x v="1"/>
            </reference>
            <reference field="1" count="1" selected="0">
              <x v="1"/>
            </reference>
            <reference field="11" count="16" selected="0">
              <x v="0"/>
              <x v="1"/>
              <x v="2"/>
              <x v="5"/>
              <x v="6"/>
              <x v="8"/>
              <x v="9"/>
              <x v="10"/>
              <x v="11"/>
              <x v="12"/>
              <x v="13"/>
              <x v="17"/>
              <x v="18"/>
              <x v="20"/>
              <x v="21"/>
              <x v="22"/>
            </reference>
          </references>
        </pivotArea>
      </pivotAreas>
    </conditionalFormat>
    <conditionalFormat priority="29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1" count="1" selected="0">
              <x v="1"/>
            </reference>
            <reference field="11" count="16" selected="0">
              <x v="0"/>
              <x v="1"/>
              <x v="2"/>
              <x v="5"/>
              <x v="6"/>
              <x v="8"/>
              <x v="9"/>
              <x v="10"/>
              <x v="11"/>
              <x v="12"/>
              <x v="13"/>
              <x v="17"/>
              <x v="18"/>
              <x v="20"/>
              <x v="21"/>
              <x v="22"/>
            </reference>
          </references>
        </pivotArea>
      </pivotAreas>
    </conditionalFormat>
    <conditionalFormat priority="24">
      <pivotAreas count="1">
        <pivotArea outline="0" fieldPosition="0">
          <references count="1">
            <reference field="4294967294" count="1">
              <x v="3"/>
            </reference>
          </references>
        </pivotArea>
      </pivotAreas>
    </conditionalFormat>
  </conditionalFormats>
  <pivotHierarchies count="157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Y Avg Store Stock Unit 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Y Sales Unit %"/>
    <pivotHierarchy dragToRow="0" dragToCol="0" dragToPage="0" dragToData="1"/>
    <pivotHierarchy dragToRow="0" dragToCol="0" dragToPage="0" dragToData="1" caption="TY Sales Value LC 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69"/>
  </rowHierarchiesUsage>
  <colHierarchiesUsage count="2">
    <colHierarchyUsage hierarchyUsage="14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07DCC6-0D18-46CD-8344-5C9009763927}" name="PivotTable1" cacheId="3" applyNumberFormats="0" applyBorderFormats="0" applyFontFormats="0" applyPatternFormats="0" applyAlignmentFormats="0" applyWidthHeightFormats="1" dataCaption="Değerler" updatedVersion="8" minRefreshableVersion="3" subtotalHiddenItems="1" rowGrandTotals="0" itemPrintTitles="1" createdVersion="8" indent="0" compact="0" compactData="0" gridDropZones="1" multipleFieldFilters="0" chartFormat="2" fieldListSortAscending="1">
  <location ref="A13:M31" firstHeaderRow="1" firstDataRow="2" firstDataCol="3" rowPageCount="8" colPageCount="1"/>
  <pivotFields count="29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AttributeDrillState="1">
      <items count="4">
        <item x="0"/>
        <item x="1"/>
        <item x="2"/>
        <item t="default"/>
      </items>
    </pivotField>
    <pivotField axis="axisPage" compact="0" allDrilled="1" outline="0" subtotalTop="0" showAll="0" dataSourceSort="1" defaultSubtotal="0"/>
    <pivotField axis="axisPage" compact="0" outline="0" subtotalTop="0" showAll="0" dataSourceSort="1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/>
    <pivotField compact="0" outline="0" subtotalTop="0" showAll="0" dataSourceSort="1" defaultSubtotal="0"/>
    <pivotField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3">
    <field x="12"/>
    <field x="24"/>
    <field x="23"/>
  </rowFields>
  <rowItems count="17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t="default">
      <x/>
    </i>
    <i>
      <x v="1"/>
      <x v="6"/>
      <x v="6"/>
    </i>
    <i r="1">
      <x v="7"/>
      <x/>
    </i>
    <i r="1">
      <x v="8"/>
      <x v="1"/>
    </i>
    <i r="1">
      <x v="9"/>
      <x v="2"/>
    </i>
    <i r="1">
      <x v="10"/>
      <x v="3"/>
    </i>
    <i r="1">
      <x v="11"/>
      <x v="4"/>
    </i>
    <i r="1">
      <x v="12"/>
      <x v="5"/>
    </i>
    <i t="default">
      <x v="1"/>
    </i>
    <i>
      <x v="2"/>
      <x v="13"/>
      <x v="6"/>
    </i>
    <i t="default">
      <x v="2"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8">
    <pageField fld="27" hier="138" name="[SalesChannel].[CountryName].&amp;[TÜRKİYE]" cap="TÜRKİYE"/>
    <pageField fld="1" hier="140" name="[SalesChannel].[DistrubitionChannelDesc].&amp;[Perakende Satış]" cap="Perakende Satış"/>
    <pageField fld="0" hier="148" name="[SalesChannel].[SalesOrgType].&amp;[İştirak]" cap="İştirak"/>
    <pageField fld="26" hier="100" name="[Material].[MerchProduct].&amp;[Merch]" cap="Merch"/>
    <pageField fld="13" hier="69" name="[Material].[H_MainGroup].[All]" cap="All"/>
    <pageField fld="11" hier="165" name="[Store].[LocationCountry].[All]" cap="All"/>
    <pageField fld="7" hier="6" name="[Calendar].[H_Merch].[All]" cap="All"/>
    <pageField fld="22" hier="9" name="[Calendar].[LastNDays].&amp;[0]" cap="0"/>
  </pageFields>
  <dataFields count="10">
    <dataField fld="15" baseField="0" baseItem="0"/>
    <dataField fld="16" baseField="0" baseItem="0"/>
    <dataField fld="17" baseField="0" baseItem="0"/>
    <dataField fld="2" baseField="0" baseItem="0"/>
    <dataField fld="3" baseField="0" baseItem="0" numFmtId="3"/>
    <dataField fld="4" baseField="0" baseItem="0" numFmtId="3"/>
    <dataField fld="5" baseField="0" baseItem="0"/>
    <dataField fld="6" baseField="0" baseItem="0"/>
    <dataField fld="18" baseField="0" baseItem="0"/>
    <dataField fld="25" baseField="0" baseItem="0"/>
  </dataFields>
  <formats count="25">
    <format dxfId="130">
      <pivotArea field="7" type="button" dataOnly="0" labelOnly="1" outline="0" axis="axisPage" fieldPosition="6"/>
    </format>
    <format dxfId="129">
      <pivotArea field="8" type="button" dataOnly="0" labelOnly="1" outline="0"/>
    </format>
    <format dxfId="128">
      <pivotArea dataOnly="0" labelOnly="1" outline="0" fieldPosition="0">
        <references count="1">
          <reference field="4294967294" count="5">
            <x v="3"/>
            <x v="4"/>
            <x v="5"/>
            <x v="6"/>
            <x v="7"/>
          </reference>
        </references>
      </pivotArea>
    </format>
    <format dxfId="127">
      <pivotArea field="7" type="button" dataOnly="0" labelOnly="1" outline="0" axis="axisPage" fieldPosition="6"/>
    </format>
    <format dxfId="126">
      <pivotArea field="8" type="button" dataOnly="0" labelOnly="1" outline="0"/>
    </format>
    <format dxfId="125">
      <pivotArea dataOnly="0" labelOnly="1" outline="0" fieldPosition="0">
        <references count="1">
          <reference field="4294967294" count="5">
            <x v="3"/>
            <x v="4"/>
            <x v="5"/>
            <x v="6"/>
            <x v="7"/>
          </reference>
        </references>
      </pivotArea>
    </format>
    <format dxfId="124">
      <pivotArea field="7" type="button" dataOnly="0" labelOnly="1" outline="0" axis="axisPage" fieldPosition="6"/>
    </format>
    <format dxfId="123">
      <pivotArea field="8" type="button" dataOnly="0" labelOnly="1" outline="0"/>
    </format>
    <format dxfId="122">
      <pivotArea dataOnly="0" labelOnly="1" outline="0" fieldPosition="0">
        <references count="1">
          <reference field="4294967294" count="5">
            <x v="3"/>
            <x v="4"/>
            <x v="5"/>
            <x v="6"/>
            <x v="7"/>
          </reference>
        </references>
      </pivotArea>
    </format>
    <format dxfId="121">
      <pivotArea outline="0" fieldPosition="0">
        <references count="1">
          <reference field="4294967294" count="1" selected="0">
            <x v="4"/>
          </reference>
        </references>
      </pivotArea>
    </format>
    <format dxfId="120">
      <pivotArea outline="0" fieldPosition="0">
        <references count="1">
          <reference field="4294967294" count="1" selected="0">
            <x v="5"/>
          </reference>
        </references>
      </pivotArea>
    </format>
    <format dxfId="11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0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08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07">
      <pivotArea dataOnly="0" outline="0" fieldPosition="0">
        <references count="1">
          <reference field="4294967294" count="1">
            <x v="3"/>
          </reference>
        </references>
      </pivotArea>
    </format>
    <format dxfId="106">
      <pivotArea dataOnly="0" labelOnly="1" outline="0" fieldPosition="0">
        <references count="1">
          <reference field="4294967294" count="1">
            <x v="9"/>
          </reference>
        </references>
      </pivotArea>
    </format>
  </formats>
  <pivotHierarchies count="1569">
    <pivotHierarchy/>
    <pivotHierarchy/>
    <pivotHierarchy/>
    <pivotHierarchy/>
    <pivotHierarchy/>
    <pivotHierarchy/>
    <pivotHierarchy multipleItemSelectionAllowed="1"/>
    <pivotHierarchy/>
    <pivotHierarchy/>
    <pivotHierarchy multipleItemSelectionAllowed="1">
      <members count="15" level="1">
        <member name="[Calendar].[LastNDays].&amp;[0]"/>
        <member name="[Calendar].[LastNDays].&amp;[1]"/>
        <member name="[Calendar].[LastNDays].&amp;[2]"/>
        <member name="[Calendar].[LastNDays].&amp;[3]"/>
        <member name="[Calendar].[LastNDays].&amp;[4]"/>
        <member name="[Calendar].[LastNDays].&amp;[5]"/>
        <member name="[Calendar].[LastNDays].&amp;[6]"/>
        <member name="[Calendar].[LastNDays].&amp;[7]"/>
        <member name="[Calendar].[LastNDays].&amp;[8]"/>
        <member name="[Calendar].[LastNDays].&amp;[9]"/>
        <member name="[Calendar].[LastNDays].&amp;[10]"/>
        <member name="[Calendar].[LastNDays].&amp;[11]"/>
        <member name="[Calendar].[LastNDays].&amp;[12]"/>
        <member name="[Calendar].[LastNDays].&amp;[13]"/>
        <member name="[Calendar].[LastNDays].&amp;[14]"/>
      </members>
    </pivotHierarchy>
    <pivotHierarchy/>
    <pivotHierarchy/>
    <pivotHierarchy multipleItemSelectionAllowed="1"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2">
        <member name="[SalesChannel].[H_SalesChannel].[SalesOrgType].&amp;[İştirak].&amp;[TÜRKİY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14"/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FD4FCF-855D-4E19-AB85-04516E293851}" name="PivotTable3" cacheId="1" applyNumberFormats="0" applyBorderFormats="0" applyFontFormats="0" applyPatternFormats="0" applyAlignmentFormats="0" applyWidthHeightFormats="1" dataCaption="Değerler" updatedVersion="8" minRefreshableVersion="3" subtotalHiddenItems="1" colGrandTotals="0" itemPrintTitles="1" mergeItem="1" createdVersion="8" indent="0" compact="0" compactData="0" gridDropZones="1" multipleFieldFilters="0" chartFormat="2" fieldListSortAscending="1">
  <location ref="A183:O209" firstHeaderRow="1" firstDataRow="3" firstDataCol="3" rowPageCount="5" colPageCount="1"/>
  <pivotFields count="17"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>
      <items count="7">
        <item c="1" x="0"/>
        <item c="1" x="1"/>
        <item c="1" x="2" d="1"/>
        <item c="1" x="3"/>
        <item c="1" x="4"/>
        <item c="1" x="5"/>
        <item t="default"/>
      </items>
    </pivotField>
    <pivotField axis="axisRow" compact="0" outline="0" subtotalTop="0" showAll="0" dataSourceSort="1">
      <items count="13">
        <item c="1" x="0"/>
        <item c="1" x="1"/>
        <item c="1" x="2"/>
        <item c="1" x="3" d="1"/>
        <item c="1" x="4"/>
        <item c="1" x="5"/>
        <item c="1" x="6"/>
        <item c="1" x="7"/>
        <item c="1" x="8"/>
        <item c="1" x="9"/>
        <item c="1" x="10"/>
        <item c="1" x="11"/>
        <item t="default"/>
      </items>
    </pivotField>
    <pivotField axis="axisRow" compact="0" outline="0" subtotalTop="0" showAll="0" dataSourceSort="1" defaultSubtotal="0">
      <items count="5">
        <item c="1" x="0"/>
        <item c="1" x="1"/>
        <item c="1" x="2"/>
        <item c="1" x="3"/>
        <item c="1" x="4"/>
      </items>
    </pivotField>
    <pivotField axis="axisRow" compact="0" outline="0" subtotalTop="0" showAll="0" dataSourceSort="1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>
      <items count="2">
        <item x="0"/>
        <item x="1"/>
      </items>
    </pivotField>
    <pivotField axis="axisPage" compact="0" allDrilled="1" outline="0" subtotalTop="0" showAll="0" dataSourceSort="1" defaultSubtotal="0">
      <items count="19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s="1" c="1" x="9"/>
        <item s="1" c="1" x="10"/>
        <item s="1" c="1" x="11"/>
        <item s="1" c="1" x="12"/>
        <item s="1" c="1" x="13"/>
        <item s="1" c="1" x="14"/>
        <item s="1" c="1" x="15"/>
        <item s="1" c="1" x="16"/>
        <item s="1" c="1" x="17"/>
        <item s="1" c="1" x="18"/>
      </items>
    </pivotField>
    <pivotField axis="axisPage" compact="0" outline="0" subtotalTop="0" showAll="0" dataSourceSort="1" defaultSubtotal="0"/>
    <pivotField dataField="1" compact="0" outline="0" subtotalTop="0" showAll="0" defaultSubtotal="0"/>
    <pivotField axis="axisPage" compact="0" allDrilled="1" outline="0" subtotalTop="0" showAll="0" dataSourceSort="1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t="default"/>
      </items>
    </pivotField>
    <pivotField dataField="1" compact="0" outline="0" subtotalTop="0" showAll="0" defaultSubtotal="0"/>
  </pivotFields>
  <rowFields count="3">
    <field x="6"/>
    <field x="7"/>
    <field x="8"/>
  </rowFields>
  <rowItems count="24">
    <i>
      <x/>
    </i>
    <i>
      <x v="1"/>
    </i>
    <i>
      <x v="2"/>
      <x/>
    </i>
    <i r="1">
      <x v="1"/>
    </i>
    <i r="1">
      <x v="2"/>
    </i>
    <i r="1">
      <x v="3"/>
      <x/>
    </i>
    <i r="2">
      <x v="1"/>
    </i>
    <i r="2">
      <x v="2"/>
    </i>
    <i r="2">
      <x v="3"/>
    </i>
    <i r="2">
      <x v="4"/>
    </i>
    <i t="default"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2"/>
    </i>
    <i>
      <x v="3"/>
    </i>
    <i>
      <x v="4"/>
    </i>
    <i>
      <x v="5"/>
    </i>
    <i t="grand">
      <x/>
    </i>
  </rowItems>
  <colFields count="2">
    <field x="1"/>
    <field x="-2"/>
  </colFields>
  <colItems count="12">
    <i>
      <x/>
      <x/>
    </i>
    <i r="1" i="1">
      <x v="1"/>
    </i>
    <i r="1" i="2">
      <x v="2"/>
    </i>
    <i r="1" i="3">
      <x v="3"/>
    </i>
    <i r="1" i="4">
      <x v="4"/>
    </i>
    <i r="1" i="5">
      <x v="5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</colItems>
  <pageFields count="5">
    <pageField fld="11" hier="14" name="[Calendar].[MerchWeek].[All]" cap="All"/>
    <pageField fld="12" hier="69" name="[Material].[H_MainGroup].[All]" cap="All"/>
    <pageField fld="10" hier="165" name="[Store].[LocationCountry].&amp;[TR]" cap="TR"/>
    <pageField fld="0" hier="148" name="[SalesChannel].[SalesOrgType].&amp;[İştirak]" cap="İştirak"/>
    <pageField fld="15" hier="75" name="[Material].[MainGroupDesc].[All]" cap="All"/>
  </pageFields>
  <dataFields count="6">
    <dataField name="TY Avg Store Stock Unit" fld="4" baseField="0" baseItem="0"/>
    <dataField name="TY Sales Unit" fld="2" baseField="0" baseItem="0"/>
    <dataField name="TY Sales Value LC" fld="3" baseField="0" baseItem="0"/>
    <dataField fld="16" baseField="12" baseItem="0" numFmtId="3"/>
    <dataField fld="5" baseField="0" baseItem="0"/>
    <dataField fld="14" baseField="0" baseItem="0"/>
  </dataFields>
  <formats count="51">
    <format dxfId="181">
      <pivotArea field="6" type="button" dataOnly="0" labelOnly="1" outline="0" axis="axisRow" fieldPosition="0"/>
    </format>
    <format dxfId="180">
      <pivotArea field="7" type="button" dataOnly="0" labelOnly="1" outline="0" axis="axisRow" fieldPosition="1"/>
    </format>
    <format dxfId="17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78">
      <pivotArea field="6" type="button" dataOnly="0" labelOnly="1" outline="0" axis="axisRow" fieldPosition="0"/>
    </format>
    <format dxfId="177">
      <pivotArea field="7" type="button" dataOnly="0" labelOnly="1" outline="0" axis="axisRow" fieldPosition="1"/>
    </format>
    <format dxfId="17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75">
      <pivotArea field="6" type="button" dataOnly="0" labelOnly="1" outline="0" axis="axisRow" fieldPosition="0"/>
    </format>
    <format dxfId="174">
      <pivotArea field="7" type="button" dataOnly="0" labelOnly="1" outline="0" axis="axisRow" fieldPosition="1"/>
    </format>
    <format dxfId="17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9">
      <pivotArea dataOnly="0" outline="0" fieldPosition="0">
        <references count="1">
          <reference field="15" count="0" defaultSubtotal="1"/>
        </references>
      </pivotArea>
    </format>
    <format dxfId="168">
      <pivotArea field="11" type="button" dataOnly="0" labelOnly="1" outline="0" axis="axisPage" fieldPosition="0"/>
    </format>
    <format dxfId="167">
      <pivotArea field="11" type="button" dataOnly="0" labelOnly="1" outline="0" axis="axisPage" fieldPosition="0"/>
    </format>
    <format dxfId="166">
      <pivotArea field="11" type="button" dataOnly="0" labelOnly="1" outline="0" axis="axisPage" fieldPosition="0"/>
    </format>
    <format dxfId="165">
      <pivotArea field="15" type="button" dataOnly="0" labelOnly="1" outline="0" axis="axisPage" fieldPosition="4"/>
    </format>
    <format dxfId="164">
      <pivotArea field="15" type="button" dataOnly="0" labelOnly="1" outline="0" axis="axisPage" fieldPosition="4"/>
    </format>
    <format dxfId="163">
      <pivotArea field="15" type="button" dataOnly="0" labelOnly="1" outline="0" axis="axisPage" fieldPosition="4"/>
    </format>
    <format dxfId="162">
      <pivotArea dataOnly="0" labelOnly="1" outline="0" fieldPosition="0">
        <references count="2">
          <reference field="4294967294" count="1">
            <x v="0"/>
          </reference>
          <reference field="11" count="1" selected="0">
            <x v="1"/>
          </reference>
        </references>
      </pivotArea>
    </format>
    <format dxfId="161">
      <pivotArea dataOnly="0" labelOnly="1" outline="0" fieldPosition="0">
        <references count="2">
          <reference field="4294967294" count="1">
            <x v="0"/>
          </reference>
          <reference field="11" count="1" selected="0">
            <x v="1"/>
          </reference>
        </references>
      </pivotArea>
    </format>
    <format dxfId="160">
      <pivotArea dataOnly="0" labelOnly="1" outline="0" fieldPosition="0">
        <references count="2">
          <reference field="4294967294" count="1">
            <x v="0"/>
          </reference>
          <reference field="11" count="1" selected="0">
            <x v="1"/>
          </reference>
        </references>
      </pivotArea>
    </format>
    <format dxfId="159">
      <pivotArea dataOnly="0" labelOnly="1" outline="0" fieldPosition="0">
        <references count="2">
          <reference field="4294967294" count="1">
            <x v="1"/>
          </reference>
          <reference field="11" count="1" selected="0">
            <x v="1"/>
          </reference>
        </references>
      </pivotArea>
    </format>
    <format dxfId="158">
      <pivotArea dataOnly="0" labelOnly="1" outline="0" fieldPosition="0">
        <references count="2">
          <reference field="4294967294" count="1">
            <x v="1"/>
          </reference>
          <reference field="11" count="1" selected="0">
            <x v="1"/>
          </reference>
        </references>
      </pivotArea>
    </format>
    <format dxfId="157">
      <pivotArea dataOnly="0" labelOnly="1" outline="0" fieldPosition="0">
        <references count="2">
          <reference field="4294967294" count="1">
            <x v="1"/>
          </reference>
          <reference field="11" count="1" selected="0">
            <x v="1"/>
          </reference>
        </references>
      </pivotArea>
    </format>
    <format dxfId="156">
      <pivotArea dataOnly="0" labelOnly="1" outline="0" fieldPosition="0">
        <references count="2">
          <reference field="4294967294" count="2">
            <x v="0"/>
            <x v="1"/>
          </reference>
          <reference field="11" count="1" selected="0">
            <x v="0"/>
          </reference>
        </references>
      </pivotArea>
    </format>
    <format dxfId="155">
      <pivotArea dataOnly="0" labelOnly="1" outline="0" fieldPosition="0">
        <references count="2">
          <reference field="4294967294" count="2">
            <x v="0"/>
            <x v="1"/>
          </reference>
          <reference field="11" count="1" selected="0">
            <x v="0"/>
          </reference>
        </references>
      </pivotArea>
    </format>
    <format dxfId="154">
      <pivotArea dataOnly="0" labelOnly="1" outline="0" fieldPosition="0">
        <references count="2">
          <reference field="4294967294" count="2">
            <x v="0"/>
            <x v="1"/>
          </reference>
          <reference field="11" count="1" selected="0">
            <x v="0"/>
          </reference>
        </references>
      </pivotArea>
    </format>
    <format dxfId="153">
      <pivotArea dataOnly="0" labelOnly="1" outline="0" fieldPosition="0">
        <references count="2">
          <reference field="4294967294" count="1">
            <x v="2"/>
          </reference>
          <reference field="11" count="1" selected="0">
            <x v="1"/>
          </reference>
        </references>
      </pivotArea>
    </format>
    <format dxfId="152">
      <pivotArea dataOnly="0" labelOnly="1" outline="0" fieldPosition="0">
        <references count="2">
          <reference field="4294967294" count="1">
            <x v="2"/>
          </reference>
          <reference field="11" count="1" selected="0">
            <x v="1"/>
          </reference>
        </references>
      </pivotArea>
    </format>
    <format dxfId="151">
      <pivotArea dataOnly="0" labelOnly="1" outline="0" fieldPosition="0">
        <references count="2">
          <reference field="4294967294" count="1">
            <x v="2"/>
          </reference>
          <reference field="11" count="1" selected="0">
            <x v="1"/>
          </reference>
        </references>
      </pivotArea>
    </format>
    <format dxfId="150">
      <pivotArea dataOnly="0" labelOnly="1" outline="0" fieldPosition="0">
        <references count="2">
          <reference field="4294967294" count="1">
            <x v="2"/>
          </reference>
          <reference field="11" count="1" selected="0">
            <x v="0"/>
          </reference>
        </references>
      </pivotArea>
    </format>
    <format dxfId="149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2">
      <pivotArea dataOnly="0" outline="0" fieldPosition="0">
        <references count="1">
          <reference field="1" count="1">
            <x v="1"/>
          </reference>
        </references>
      </pivotArea>
    </format>
    <format dxfId="141">
      <pivotArea dataOnly="0" labelOnly="1" outline="0" fieldPosition="0">
        <references count="2">
          <reference field="4294967294" count="5">
            <x v="0"/>
            <x v="1"/>
            <x v="2"/>
            <x v="4"/>
            <x v="5"/>
          </reference>
          <reference field="1" count="1" selected="0">
            <x v="1"/>
          </reference>
        </references>
      </pivotArea>
    </format>
    <format dxfId="140">
      <pivotArea dataOnly="0" outline="0" fieldPosition="0">
        <references count="1">
          <reference field="1" count="1">
            <x v="0"/>
          </reference>
        </references>
      </pivotArea>
    </format>
    <format dxfId="139">
      <pivotArea dataOnly="0" labelOnly="1" outline="0" fieldPosition="0">
        <references count="2">
          <reference field="4294967294" count="5">
            <x v="0"/>
            <x v="1"/>
            <x v="2"/>
            <x v="4"/>
            <x v="5"/>
          </reference>
          <reference field="1" count="1" selected="0">
            <x v="0"/>
          </reference>
        </references>
      </pivotArea>
    </format>
    <format dxfId="138">
      <pivotArea field="12" type="button" dataOnly="0" labelOnly="1" outline="0" axis="axisPage" fieldPosition="1"/>
    </format>
    <format dxfId="137">
      <pivotArea field="12" type="button" dataOnly="0" labelOnly="1" outline="0" axis="axisPage" fieldPosition="1"/>
    </format>
    <format dxfId="136">
      <pivotArea dataOnly="0" labelOnly="1" outline="0" fieldPosition="0">
        <references count="1">
          <reference field="12" count="0"/>
        </references>
      </pivotArea>
    </format>
    <format dxfId="135">
      <pivotArea field="12" type="button" dataOnly="0" labelOnly="1" outline="0" axis="axisPage" fieldPosition="1"/>
    </format>
    <format dxfId="134">
      <pivotArea dataOnly="0" grandRow="1" outline="0" fieldPosition="0"/>
    </format>
    <format dxfId="133">
      <pivotArea outline="0" fieldPosition="0">
        <references count="1">
          <reference field="4294967294" count="1">
            <x v="3"/>
          </reference>
        </references>
      </pivotArea>
    </format>
    <format dxfId="132">
      <pivotArea dataOnly="0" outline="0" fieldPosition="0">
        <references count="1">
          <reference field="7" count="0" defaultSubtotal="1"/>
        </references>
      </pivotArea>
    </format>
    <format dxfId="131">
      <pivotArea dataOnly="0" outline="0" fieldPosition="0">
        <references count="1">
          <reference field="6" count="0" defaultSubtotal="1"/>
        </references>
      </pivotArea>
    </format>
  </formats>
  <pivotHierarchies count="156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4" level="1">
        <member name=""/>
        <member name=""/>
        <member name=""/>
        <member name=""/>
        <member name="[Material].[H_MainGroup].[MainGroupDesc].&amp;[Yatak]"/>
        <member name=""/>
        <member name=""/>
        <member name=""/>
        <member name=""/>
        <member name="[Material].[H_MainGroup].[MainGroupDesc].&amp;[Mobilya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Material].[H_MainGroup].[MainGroupDesc].&amp;[White Collection]"/>
        <member name="[Material].[H_MainGroup].[MainGroupDesc].&amp;[Küçük Elektrikli Ev Aletleri]"/>
      </members>
    </pivotHierarchy>
    <pivotHierarchy/>
    <pivotHierarchy/>
    <pivotHierarchy/>
    <pivotHierarchy/>
    <pivotHierarchy/>
    <pivotHierarchy multipleItemSelectionAllowed="1">
      <members count="32" level="1">
        <member name=""/>
        <member name="[Material].[MainGroupDesc].&amp;[#NA]"/>
        <member name="[Material].[MainGroupDesc].&amp;[EBA]"/>
        <member name="[Material].[MainGroupDesc].&amp;[Cafe]"/>
        <member name=""/>
        <member name=""/>
        <member name=""/>
        <member name=""/>
        <member name="[Material].[MainGroupDesc].&amp;[Yatak]"/>
        <member name=""/>
        <member name=""/>
        <member name=""/>
        <member name=""/>
        <member name="[Material].[MainGroupDesc].&amp;[Mobilya]"/>
        <member name=""/>
        <member name=""/>
        <member name=""/>
        <member name=""/>
        <member name="[Material].[MainGroupDesc].&amp;[Planlama]"/>
        <member name=""/>
        <member name="[Material].[MainGroupDesc].&amp;[Pazarlama]"/>
        <member name=""/>
        <member name="[Material].[MainGroupDesc].&amp;[Yarı Mamul]"/>
        <member name="[Material].[MainGroupDesc].&amp;[Entegrasyon]"/>
        <member name=""/>
        <member name=""/>
        <member name=""/>
        <member name=""/>
        <member name=""/>
        <member name="[Material].[MainGroupDesc].&amp;[Bilgi Sistemleri]"/>
        <member name="[Material].[MainGroupDesc].&amp;[İnsan Kaynakları]"/>
        <member name="[Material].[MainGroupDesc].&amp;[Mağaza Yatırım ve Proj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Store].[LocationCountry].&amp;[TR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Y Avg Store Stock Unit 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Y Sales Unit %"/>
    <pivotHierarchy dragToRow="0" dragToCol="0" dragToPage="0" dragToData="1"/>
    <pivotHierarchy dragToRow="0" dragToCol="0" dragToPage="0" dragToData="1" caption="TY Sales Value LC 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2">
    <colHierarchyUsage hierarchyUsage="14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H_SalesChannel3" xr10:uid="{058DA068-76D2-4857-8211-391F1BDB8BAA}" sourceName="[SalesChannel].[H_SalesChannel]">
  <pivotTables>
    <pivotTable tabId="1" name="PivotTable1"/>
  </pivotTables>
  <data>
    <olap pivotCacheId="166042810">
      <levels count="4">
        <level uniqueName="[SalesChannel].[H_SalesChannel].[(All)]" sourceCaption="(All)" count="0"/>
        <level uniqueName="[SalesChannel].[H_SalesChannel].[SalesOrgType]" sourceCaption="SalesOrgType" count="0"/>
        <level uniqueName="[SalesChannel].[H_SalesChannel].[CountryName]" sourceCaption="CountryName" count="34">
          <ranges>
            <range startItem="0">
              <i n="[SalesChannel].[H_SalesChannel].[SalesOrgType].&amp;[İştirak].&amp;[BULGARİSTAN]" c="BULGARİSTAN">
                <p n="[SalesChannel].[H_SalesChannel].[SalesOrgType].&amp;[İştirak]"/>
              </i>
              <i n="[SalesChannel].[H_SalesChannel].[SalesOrgType].&amp;[İştirak].&amp;[BAHREYN]" c="BAHREYN">
                <p n="[SalesChannel].[H_SalesChannel].[SalesOrgType].&amp;[İştirak]"/>
              </i>
              <i n="[SalesChannel].[H_SalesChannel].[SalesOrgType].&amp;[İştirak].&amp;[YUNANİSTAN  ]" c="YUNANİSTAN  ">
                <p n="[SalesChannel].[H_SalesChannel].[SalesOrgType].&amp;[İştirak]"/>
              </i>
              <i n="[SalesChannel].[H_SalesChannel].[SalesOrgType].&amp;[İştirak].&amp;[IRAK]" c="IRAK">
                <p n="[SalesChannel].[H_SalesChannel].[SalesOrgType].&amp;[İştirak]"/>
              </i>
              <i n="[SalesChannel].[H_SalesChannel].[SalesOrgType].&amp;[İştirak].&amp;[İRAN ]" c="İRAN ">
                <p n="[SalesChannel].[H_SalesChannel].[SalesOrgType].&amp;[İştirak]"/>
              </i>
              <i n="[SalesChannel].[H_SalesChannel].[SalesOrgType].&amp;[İştirak].&amp;[ÜRDÜN]" c="ÜRDÜN">
                <p n="[SalesChannel].[H_SalesChannel].[SalesOrgType].&amp;[İştirak]"/>
              </i>
              <i n="[SalesChannel].[H_SalesChannel].[SalesOrgType].&amp;[İştirak].&amp;[KAZAKİSTAN]" c="KAZAKİSTAN">
                <p n="[SalesChannel].[H_SalesChannel].[SalesOrgType].&amp;[İştirak]"/>
              </i>
              <i n="[SalesChannel].[H_SalesChannel].[SalesOrgType].&amp;[İştirak].&amp;[FAS]" c="FAS">
                <p n="[SalesChannel].[H_SalesChannel].[SalesOrgType].&amp;[İştirak]"/>
              </i>
              <i n="[SalesChannel].[H_SalesChannel].[SalesOrgType].&amp;[İştirak].&amp;[HOLLANDA  ]" c="HOLLANDA  ">
                <p n="[SalesChannel].[H_SalesChannel].[SalesOrgType].&amp;[İştirak]"/>
              </i>
              <i n="[SalesChannel].[H_SalesChannel].[SalesOrgType].&amp;[İştirak].&amp;[POLONYA]" c="POLONYA">
                <p n="[SalesChannel].[H_SalesChannel].[SalesOrgType].&amp;[İştirak]"/>
              </i>
              <i n="[SalesChannel].[H_SalesChannel].[SalesOrgType].&amp;[İştirak].&amp;[ROMANYA]" c="ROMANYA">
                <p n="[SalesChannel].[H_SalesChannel].[SalesOrgType].&amp;[İştirak]"/>
              </i>
              <i n="[SalesChannel].[H_SalesChannel].[SalesOrgType].&amp;[İştirak].&amp;[SIRBİSTAN]" c="SIRBİSTAN">
                <p n="[SalesChannel].[H_SalesChannel].[SalesOrgType].&amp;[İştirak]"/>
              </i>
              <i n="[SalesChannel].[H_SalesChannel].[SalesOrgType].&amp;[İştirak].&amp;[SUUDİ ARABİSTAN]" c="SUUDİ ARABİSTAN">
                <p n="[SalesChannel].[H_SalesChannel].[SalesOrgType].&amp;[İştirak]"/>
              </i>
              <i n="[SalesChannel].[H_SalesChannel].[SalesOrgType].&amp;[İştirak].&amp;[TÜRKİYE]" c="TÜRKİYE">
                <p n="[SalesChannel].[H_SalesChannel].[SalesOrgType].&amp;[İştirak]"/>
              </i>
              <i n="[SalesChannel].[H_SalesChannel].[SalesOrgType].&amp;[İştirak].&amp;[UKRAYNA]" c="UKRAYNA">
                <p n="[SalesChannel].[H_SalesChannel].[SalesOrgType].&amp;[İştirak]"/>
              </i>
              <i n="[SalesChannel].[H_SalesChannel].[SalesOrgType].&amp;[Franchise].&amp;[BİRLEŞİK ARAP EMİRLİKLERİ]" c="BİRLEŞİK ARAP EMİRLİKLERİ">
                <p n="[SalesChannel].[H_SalesChannel].[SalesOrgType].&amp;[Franchise]"/>
              </i>
              <i n="[SalesChannel].[H_SalesChannel].[SalesOrgType].&amp;[Franchise].&amp;[AZERBAYCAN]" c="AZERBAYCAN">
                <p n="[SalesChannel].[H_SalesChannel].[SalesOrgType].&amp;[Franchise]"/>
              </i>
              <i n="[SalesChannel].[H_SalesChannel].[SalesOrgType].&amp;[Franchise].&amp;[BOSNA HERSEK]" c="BOSNA HERSEK">
                <p n="[SalesChannel].[H_SalesChannel].[SalesOrgType].&amp;[Franchise]"/>
              </i>
              <i n="[SalesChannel].[H_SalesChannel].[SalesOrgType].&amp;[Franchise].&amp;[BELÇİKA]" c="BELÇİKA">
                <p n="[SalesChannel].[H_SalesChannel].[SalesOrgType].&amp;[Franchise]"/>
              </i>
              <i n="[SalesChannel].[H_SalesChannel].[SalesOrgType].&amp;[Franchise].&amp;[İSVİÇRE  ]" c="İSVİÇRE  ">
                <p n="[SalesChannel].[H_SalesChannel].[SalesOrgType].&amp;[Franchise]"/>
              </i>
              <i n="[SalesChannel].[H_SalesChannel].[SalesOrgType].&amp;[Franchise].&amp;[KIBRIS]" c="KIBRIS">
                <p n="[SalesChannel].[H_SalesChannel].[SalesOrgType].&amp;[Franchise]"/>
              </i>
              <i n="[SalesChannel].[H_SalesChannel].[SalesOrgType].&amp;[Franchise].&amp;[ALMANYA  ]" c="ALMANYA  ">
                <p n="[SalesChannel].[H_SalesChannel].[SalesOrgType].&amp;[Franchise]"/>
              </i>
              <i n="[SalesChannel].[H_SalesChannel].[SalesOrgType].&amp;[Franchise].&amp;[GABON  ]" c="GABON  ">
                <p n="[SalesChannel].[H_SalesChannel].[SalesOrgType].&amp;[Franchise]"/>
              </i>
              <i n="[SalesChannel].[H_SalesChannel].[SalesOrgType].&amp;[Franchise].&amp;[GÜRCİSTAN  ]" c="GÜRCİSTAN  ">
                <p n="[SalesChannel].[H_SalesChannel].[SalesOrgType].&amp;[Franchise]"/>
              </i>
              <i n="[SalesChannel].[H_SalesChannel].[SalesOrgType].&amp;[Franchise].&amp;[KIRGIZİSTAN]" c="KIRGIZİSTAN">
                <p n="[SalesChannel].[H_SalesChannel].[SalesOrgType].&amp;[Franchise]"/>
              </i>
              <i n="[SalesChannel].[H_SalesChannel].[SalesOrgType].&amp;[Franchise].&amp;[KUVEYT]" c="KUVEYT">
                <p n="[SalesChannel].[H_SalesChannel].[SalesOrgType].&amp;[Franchise]"/>
              </i>
              <i n="[SalesChannel].[H_SalesChannel].[SalesOrgType].&amp;[Franchise].&amp;[LİBYA]" c="LİBYA">
                <p n="[SalesChannel].[H_SalesChannel].[SalesOrgType].&amp;[Franchise]"/>
              </i>
              <i n="[SalesChannel].[H_SalesChannel].[SalesOrgType].&amp;[Franchise].&amp;[MOĞOLİSTAN]" c="MOĞOLİSTAN">
                <p n="[SalesChannel].[H_SalesChannel].[SalesOrgType].&amp;[Franchise]"/>
              </i>
              <i n="[SalesChannel].[H_SalesChannel].[SalesOrgType].&amp;[Franchise].&amp;[KATAR]" c="KATAR">
                <p n="[SalesChannel].[H_SalesChannel].[SalesOrgType].&amp;[Franchise]"/>
              </i>
              <i n="[SalesChannel].[H_SalesChannel].[SalesOrgType].&amp;[Franchise].&amp;[TÜRKMENİSTAN  ]" c="TÜRKMENİSTAN  ">
                <p n="[SalesChannel].[H_SalesChannel].[SalesOrgType].&amp;[Franchise]"/>
              </i>
              <i n="[SalesChannel].[H_SalesChannel].[SalesOrgType].&amp;[Franchise].&amp;[ÖZBEKİSTAN]" c="ÖZBEKİSTAN">
                <p n="[SalesChannel].[H_SalesChannel].[SalesOrgType].&amp;[Franchise]"/>
              </i>
              <i n="[SalesChannel].[H_SalesChannel].[SalesOrgType].&amp;[Franchise].&amp;[KOSOVA]" c="KOSOVA">
                <p n="[SalesChannel].[H_SalesChannel].[SalesOrgType].&amp;[Franchise]"/>
              </i>
              <i n="[SalesChannel].[H_SalesChannel].[SalesOrgType].&amp;[#NA].&amp;[#NA]" c="#NA" nd="1">
                <p n="[SalesChannel].[H_SalesChannel].[SalesOrgType].&amp;[#NA]"/>
              </i>
              <i n="[SalesChannel].[H_SalesChannel].[SalesOrgType].&amp;.&amp;" c="" nd="1">
                <p n="[SalesChannel].[H_SalesChannel].[SalesOrgType].&amp;"/>
              </i>
            </range>
          </ranges>
        </level>
        <level uniqueName="[SalesChannel].[H_SalesChannel].[DistrubitionChannelDesc]" sourceCaption="DistrubitionChannelDesc" count="0"/>
      </levels>
      <selections count="1">
        <selection n="[SalesChannel].[H_SalesChannel].[SalesOrgType].&amp;[İştirak].&amp;[TÜRKİYE]">
          <p n="[SalesChannel].[H_SalesChannel].[SalesOrgType].&amp;[İştirak]"/>
        </selection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alesChannel].[H_SalesChannel].[CountryName]" count="2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DistrubitionChannelDesc3" xr10:uid="{27F58A4E-919C-4E45-A962-D012809B3100}" sourceName="[SalesChannel].[DistrubitionChannelDesc]">
  <pivotTables>
    <pivotTable tabId="1" name="PivotTable1"/>
  </pivotTables>
  <data>
    <olap pivotCacheId="166042810">
      <levels count="2">
        <level uniqueName="[SalesChannel].[DistrubitionChannelDesc].[(All)]" sourceCaption="(All)" count="0"/>
        <level uniqueName="[SalesChannel].[DistrubitionChannelDesc].[DistrubitionChannelDesc]" sourceCaption="DistrubitionChannelDesc" count="5">
          <ranges>
            <range startItem="0">
              <i n="[SalesChannel].[DistrubitionChannelDesc].&amp;[E - Ticaret]" c="E - Ticaret"/>
              <i n="[SalesChannel].[DistrubitionChannelDesc].&amp;[Perakende Satış]" c="Perakende Satış"/>
              <i n="[SalesChannel].[DistrubitionChannelDesc].&amp;[Toptan Satış]" c="Toptan Satış"/>
              <i n="[SalesChannel].[DistrubitionChannelDesc].&amp;[#NA]" c="#NA" nd="1"/>
              <i n="[SalesChannel].[DistrubitionChannelDesc].&amp;" c="" nd="1"/>
            </range>
          </ranges>
        </level>
      </levels>
      <selections count="1">
        <selection n="[SalesChannel].[DistrubitionChannelDesc].&amp;[Perakende Satış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alesChannel].[DistrubitionChannelDesc].[DistrubitionChannelDesc]" count="2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MerchMonth4" xr10:uid="{6B413A51-FF62-4969-B617-2DCE8193D6CD}" sourceName="[Calendar].[MerchMonth]">
  <pivotTables>
    <pivotTable tabId="1" name="PivotTable1"/>
  </pivotTables>
  <data>
    <olap pivotCacheId="166042810">
      <levels count="2">
        <level uniqueName="[Calendar].[MerchMonth].[(All)]" sourceCaption="(All)" count="0"/>
        <level uniqueName="[Calendar].[MerchMonth].[MerchMonth]" sourceCaption="MerchMonth" count="13">
          <ranges>
            <range startItem="0">
              <i n="[Calendar].[MerchMonth].&amp;[4]" c="4"/>
              <i n="[Calendar].[MerchMonth].&amp;[1]" c="1" nd="1"/>
              <i n="[Calendar].[MerchMonth].&amp;[2]" c="2" nd="1"/>
              <i n="[Calendar].[MerchMonth].&amp;[3]" c="3" nd="1"/>
              <i n="[Calendar].[MerchMonth].&amp;[5]" c="5" nd="1"/>
              <i n="[Calendar].[MerchMonth].&amp;[6]" c="6" nd="1"/>
              <i n="[Calendar].[MerchMonth].&amp;[7]" c="7" nd="1"/>
              <i n="[Calendar].[MerchMonth].&amp;[8]" c="8" nd="1"/>
              <i n="[Calendar].[MerchMonth].&amp;[9]" c="9" nd="1"/>
              <i n="[Calendar].[MerchMonth].&amp;[10]" c="10" nd="1"/>
              <i n="[Calendar].[MerchMonth].&amp;[11]" c="11" nd="1"/>
              <i n="[Calendar].[MerchMonth].&amp;[12]" c="12" nd="1"/>
              <i n="[Calendar].[MerchMonth].&amp;" c="" nd="1"/>
            </range>
          </ranges>
        </level>
      </levels>
      <selections count="1">
        <selection n="[Calendar].[MerchMonth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lendar].[MerchMonth].[MerchMonth]" count="12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MerchWeek4" xr10:uid="{6932076E-1D80-478B-8350-E8D848BF3F7B}" sourceName="[Calendar].[MerchWeek]">
  <pivotTables>
    <pivotTable tabId="1" name="PivotTable1"/>
  </pivotTables>
  <data>
    <olap pivotCacheId="166042810">
      <levels count="2">
        <level uniqueName="[Calendar].[MerchWeek].[(All)]" sourceCaption="(All)" count="0"/>
        <level uniqueName="[Calendar].[MerchWeek].[MerchWeek]" sourceCaption="MerchWeek" count="54">
          <ranges>
            <range startItem="0">
              <i n="[Calendar].[MerchWeek].&amp;[15]" c="15"/>
              <i n="[Calendar].[MerchWeek].&amp;[1]" c="1" nd="1"/>
              <i n="[Calendar].[MerchWeek].&amp;[2]" c="2" nd="1"/>
              <i n="[Calendar].[MerchWeek].&amp;[3]" c="3" nd="1"/>
              <i n="[Calendar].[MerchWeek].&amp;[4]" c="4" nd="1"/>
              <i n="[Calendar].[MerchWeek].&amp;[5]" c="5" nd="1"/>
              <i n="[Calendar].[MerchWeek].&amp;[6]" c="6" nd="1"/>
              <i n="[Calendar].[MerchWeek].&amp;[7]" c="7" nd="1"/>
              <i n="[Calendar].[MerchWeek].&amp;[8]" c="8" nd="1"/>
              <i n="[Calendar].[MerchWeek].&amp;[9]" c="9" nd="1"/>
              <i n="[Calendar].[MerchWeek].&amp;[10]" c="10" nd="1"/>
              <i n="[Calendar].[MerchWeek].&amp;[11]" c="11" nd="1"/>
              <i n="[Calendar].[MerchWeek].&amp;[12]" c="12" nd="1"/>
              <i n="[Calendar].[MerchWeek].&amp;[13]" c="13" nd="1"/>
              <i n="[Calendar].[MerchWeek].&amp;[14]" c="14" nd="1"/>
              <i n="[Calendar].[MerchWeek].&amp;[16]" c="16" nd="1"/>
              <i n="[Calendar].[MerchWeek].&amp;[17]" c="17" nd="1"/>
              <i n="[Calendar].[MerchWeek].&amp;[18]" c="18" nd="1"/>
              <i n="[Calendar].[MerchWeek].&amp;[19]" c="19" nd="1"/>
              <i n="[Calendar].[MerchWeek].&amp;[20]" c="20" nd="1"/>
              <i n="[Calendar].[MerchWeek].&amp;[21]" c="21" nd="1"/>
              <i n="[Calendar].[MerchWeek].&amp;[22]" c="22" nd="1"/>
              <i n="[Calendar].[MerchWeek].&amp;[23]" c="23" nd="1"/>
              <i n="[Calendar].[MerchWeek].&amp;[24]" c="24" nd="1"/>
              <i n="[Calendar].[MerchWeek].&amp;[25]" c="25" nd="1"/>
              <i n="[Calendar].[MerchWeek].&amp;[26]" c="26" nd="1"/>
              <i n="[Calendar].[MerchWeek].&amp;[27]" c="27" nd="1"/>
              <i n="[Calendar].[MerchWeek].&amp;[28]" c="28" nd="1"/>
              <i n="[Calendar].[MerchWeek].&amp;[29]" c="29" nd="1"/>
              <i n="[Calendar].[MerchWeek].&amp;[30]" c="30" nd="1"/>
              <i n="[Calendar].[MerchWeek].&amp;[31]" c="31" nd="1"/>
              <i n="[Calendar].[MerchWeek].&amp;[32]" c="32" nd="1"/>
              <i n="[Calendar].[MerchWeek].&amp;[33]" c="33" nd="1"/>
              <i n="[Calendar].[MerchWeek].&amp;[34]" c="34" nd="1"/>
              <i n="[Calendar].[MerchWeek].&amp;[35]" c="35" nd="1"/>
              <i n="[Calendar].[MerchWeek].&amp;[36]" c="36" nd="1"/>
              <i n="[Calendar].[MerchWeek].&amp;[37]" c="37" nd="1"/>
              <i n="[Calendar].[MerchWeek].&amp;[38]" c="38" nd="1"/>
              <i n="[Calendar].[MerchWeek].&amp;[39]" c="39" nd="1"/>
              <i n="[Calendar].[MerchWeek].&amp;[40]" c="40" nd="1"/>
              <i n="[Calendar].[MerchWeek].&amp;[41]" c="41" nd="1"/>
              <i n="[Calendar].[MerchWeek].&amp;[42]" c="42" nd="1"/>
              <i n="[Calendar].[MerchWeek].&amp;[43]" c="43" nd="1"/>
              <i n="[Calendar].[MerchWeek].&amp;[44]" c="44" nd="1"/>
              <i n="[Calendar].[MerchWeek].&amp;[45]" c="45" nd="1"/>
              <i n="[Calendar].[MerchWeek].&amp;[46]" c="46" nd="1"/>
              <i n="[Calendar].[MerchWeek].&amp;[47]" c="47" nd="1"/>
              <i n="[Calendar].[MerchWeek].&amp;[48]" c="48" nd="1"/>
              <i n="[Calendar].[MerchWeek].&amp;[49]" c="49" nd="1"/>
              <i n="[Calendar].[MerchWeek].&amp;[50]" c="50" nd="1"/>
              <i n="[Calendar].[MerchWeek].&amp;[51]" c="51" nd="1"/>
              <i n="[Calendar].[MerchWeek].&amp;[52]" c="52" nd="1"/>
              <i n="[Calendar].[MerchWeek].&amp;[53]" c="53" nd="1"/>
              <i n="[Calendar].[MerchWeek].&amp;" c="" nd="1"/>
            </range>
          </ranges>
        </level>
      </levels>
      <selections count="1">
        <selection n="[Calendar].[MerchWeek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lendar].[MerchWeek].[MerchWeek]" count="53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MerchYear3" xr10:uid="{912BA79D-6948-4704-8AB0-CE745440DA35}" sourceName="[Calendar].[MerchYear]">
  <pivotTables>
    <pivotTable tabId="1" name="PivotTable1"/>
  </pivotTables>
  <data>
    <olap pivotCacheId="166042810">
      <levels count="2">
        <level uniqueName="[Calendar].[MerchYear].[(All)]" sourceCaption="(All)" count="0"/>
        <level uniqueName="[Calendar].[MerchYear].[MerchYear]" sourceCaption="MerchYear" count="8">
          <ranges>
            <range startItem="0">
              <i n="[Calendar].[MerchYear].&amp;[2025]" c="2025"/>
              <i n="[Calendar].[MerchYear].&amp;[2021]" c="2021" nd="1"/>
              <i n="[Calendar].[MerchYear].&amp;[2022]" c="2022" nd="1"/>
              <i n="[Calendar].[MerchYear].&amp;[2023]" c="2023" nd="1"/>
              <i n="[Calendar].[MerchYear].&amp;[2024]" c="2024" nd="1"/>
              <i n="[Calendar].[MerchYear].&amp;[2026]" c="2026" nd="1"/>
              <i n="[Calendar].[MerchYear].&amp;[2027]" c="2027" nd="1"/>
              <i n="[Calendar].[MerchYear].&amp;" c="" nd="1"/>
            </range>
          </ranges>
        </level>
      </levels>
      <selections count="1">
        <selection n="[Calendar].[MerchYear].&amp;[2025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lendar].[MerchYear].[MerchYear]" count="7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MainGroupDesc3" xr10:uid="{6EBC5F0D-BF0F-4E60-9925-13ABDA29DD9D}" sourceName="[Material].[MainGroupDesc]">
  <pivotTables>
    <pivotTable tabId="1" name="PivotTable1"/>
  </pivotTables>
  <data>
    <olap pivotCacheId="166042810">
      <levels count="2">
        <level uniqueName="[Material].[MainGroupDesc].[(All)]" sourceCaption="(All)" count="0"/>
        <level uniqueName="[Material].[MainGroupDesc].[MainGroupDesc]" sourceCaption="MainGroupDesc" count="38">
          <ranges>
            <range startItem="0">
              <i n="[Material].[MainGroupDesc].&amp;[Aksesuar]" c="Aksesuar"/>
              <i n="[Material].[MainGroupDesc].&amp;[Banyo]" c="Banyo"/>
              <i n="[Material].[MainGroupDesc].&amp;[Battaniye]" c="Battaniye"/>
              <i n="[Material].[MainGroupDesc].&amp;[Bornoz]" c="Bornoz"/>
              <i n="[Material].[MainGroupDesc].&amp;[Çarşaf]" c="Çarşaf"/>
              <i n="[Material].[MainGroupDesc].&amp;[Ev Giysisi]" c="Ev Giysisi"/>
              <i n="[Material].[MainGroupDesc].&amp;[Halı - Kilim]" c="Halı - Kilim"/>
              <i n="[Material].[MainGroupDesc].&amp;[Havlu]" c="Havlu"/>
              <i n="[Material].[MainGroupDesc].&amp;[KEA]" c="KEA"/>
              <i n="[Material].[MainGroupDesc].&amp;[Kozmetik]" c="Kozmetik"/>
              <i n="[Material].[MainGroupDesc].&amp;[Mutfak]" c="Mutfak"/>
              <i n="[Material].[MainGroupDesc].&amp;[Nevresim]" c="Nevresim"/>
              <i n="[Material].[MainGroupDesc].&amp;[Pike]" c="Pike"/>
              <i n="[Material].[MainGroupDesc].&amp;[Pişirme]" c="Pişirme"/>
              <i n="[Material].[MainGroupDesc].&amp;[Salon]" c="Salon"/>
              <i n="[Material].[MainGroupDesc].&amp;[Sofra]" c="Sofra"/>
              <i n="[Material].[MainGroupDesc].&amp;[Sofra Takımları]" c="Sofra Takımları"/>
              <i n="[Material].[MainGroupDesc].&amp;[White Collection]" c="White Collection"/>
              <i n="[Material].[MainGroupDesc].&amp;[Yastık]" c="Yastık"/>
              <i n="[Material].[MainGroupDesc].&amp;[Yatak Örtüsü]" c="Yatak Örtüsü"/>
              <i n="[Material].[MainGroupDesc].&amp;[YEDEK PARÇA]" c="YEDEK PARÇA"/>
              <i n="[Material].[MainGroupDesc].&amp;[Yorgan]" c="Yorgan"/>
              <i n="[Material].[MainGroupDesc].&amp;[#NA]" c="#NA" nd="1"/>
              <i n="[Material].[MainGroupDesc].&amp;[Bilgi Sistemleri]" c="Bilgi Sistemleri" nd="1"/>
              <i n="[Material].[MainGroupDesc].&amp;[Cafe]" c="Cafe" nd="1"/>
              <i n="[Material].[MainGroupDesc].&amp;[EBA]" c="EBA" nd="1"/>
              <i n="[Material].[MainGroupDesc].&amp;[Entegrasyon]" c="Entegrasyon" nd="1"/>
              <i n="[Material].[MainGroupDesc].&amp;[Hazır Perde]" c="Hazır Perde" nd="1"/>
              <i n="[Material].[MainGroupDesc].&amp;[İnsan Kaynakları]" c="İnsan Kaynakları" nd="1"/>
              <i n="[Material].[MainGroupDesc].&amp;[Küçük Elektrikli Ev Aletleri]" c="Küçük Elektrikli Ev Aletleri" nd="1"/>
              <i n="[Material].[MainGroupDesc].&amp;[Mağaza Yatırım ve Proje]" c="Mağaza Yatırım ve Proje" nd="1"/>
              <i n="[Material].[MainGroupDesc].&amp;[Mobilya]" c="Mobilya" nd="1"/>
              <i n="[Material].[MainGroupDesc].&amp;[Mobilya Satış]" c="Mobilya Satış" nd="1"/>
              <i n="[Material].[MainGroupDesc].&amp;[Pazarlama]" c="Pazarlama" nd="1"/>
              <i n="[Material].[MainGroupDesc].&amp;[Planlama]" c="Planlama" nd="1"/>
              <i n="[Material].[MainGroupDesc].&amp;[Yarı Mamul]" c="Yarı Mamul" nd="1"/>
              <i n="[Material].[MainGroupDesc].&amp;[Yatak]" c="Yatak" nd="1"/>
              <i n="[Material].[MainGroupDesc].&amp;" c="" nd="1"/>
            </range>
          </ranges>
        </level>
      </levels>
      <selections count="1">
        <selection n="[Material].[MainGroupDesc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aterial].[MainGroupDesc].[MainGroupDesc]" count="16"/>
      </x15:slicerCacheHideItemsWithNoData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H_Merch" xr10:uid="{5D11EBD5-ABBA-4BF0-8240-733DC63A5389}" sourceName="[Calendar].[H_Merch]">
  <pivotTables>
    <pivotTable tabId="3" name="PivotTable1"/>
  </pivotTables>
  <data>
    <olap pivotCacheId="372199404">
      <levels count="5">
        <level uniqueName="[Calendar].[H_Merch].[(All)]" sourceCaption="(All)" count="0"/>
        <level uniqueName="[Calendar].[H_Merch].[MerchYear]" sourceCaption="MerchYear" count="0"/>
        <level uniqueName="[Calendar].[H_Merch].[MerchYearMonthName]" sourceCaption="MerchYearMonthName" count="0"/>
        <level uniqueName="[Calendar].[H_Merch].[MerchYearWeek]" sourceCaption="MerchYearWeek" count="0"/>
        <level uniqueName="[Calendar].[H_Merch].[Date]" sourceCaption="Date" count="2558">
          <ranges>
            <range startItem="0">
              <i n="[Calendar].[H_Merch].[Date].&amp;[2026-01-27T00:00:00]" c="27.01.2026">
                <p n="[Calendar].[H_Merch].[MerchYearWeek].&amp;[202605]"/>
                <p n="[Calendar].[H_Merch].[MerchYearMonthName].&amp;[2026-Ocak]"/>
                <p n="[Calendar].[H_Merch].[MerchYear].&amp;[2026]"/>
              </i>
              <i n="[Calendar].[H_Merch].[Date].&amp;[2026-01-28T00:00:00]" c="28.01.2026">
                <p n="[Calendar].[H_Merch].[MerchYearWeek].&amp;[202605]"/>
                <p n="[Calendar].[H_Merch].[MerchYearMonthName].&amp;[2026-Ocak]"/>
                <p n="[Calendar].[H_Merch].[MerchYear].&amp;[2026]"/>
              </i>
              <i n="[Calendar].[H_Merch].[Date].&amp;[2026-01-29T00:00:00]" c="29.01.2026">
                <p n="[Calendar].[H_Merch].[MerchYearWeek].&amp;[202605]"/>
                <p n="[Calendar].[H_Merch].[MerchYearMonthName].&amp;[2026-Ocak]"/>
                <p n="[Calendar].[H_Merch].[MerchYear].&amp;[2026]"/>
              </i>
              <i n="[Calendar].[H_Merch].[Date].&amp;[2026-01-30T00:00:00]" c="30.01.2026">
                <p n="[Calendar].[H_Merch].[MerchYearWeek].&amp;[202605]"/>
                <p n="[Calendar].[H_Merch].[MerchYearMonthName].&amp;[2026-Ocak]"/>
                <p n="[Calendar].[H_Merch].[MerchYear].&amp;[2026]"/>
              </i>
              <i n="[Calendar].[H_Merch].[Date].&amp;[2026-01-31T00:00:00]" c="31.01.2026">
                <p n="[Calendar].[H_Merch].[MerchYearWeek].&amp;[202605]"/>
                <p n="[Calendar].[H_Merch].[MerchYearMonthName].&amp;[2026-Ocak]"/>
                <p n="[Calendar].[H_Merch].[MerchYear].&amp;[2026]"/>
              </i>
              <i n="[Calendar].[H_Merch].[Date].&amp;[2026-02-01T00:00:00]" c="1.02.2026">
                <p n="[Calendar].[H_Merch].[MerchYearWeek].&amp;[202605]"/>
                <p n="[Calendar].[H_Merch].[MerchYearMonthName].&amp;[2026-Ocak]"/>
                <p n="[Calendar].[H_Merch].[MerchYear].&amp;[2026]"/>
              </i>
              <i n="[Calendar].[H_Merch].[Date].&amp;[2026-02-02T00:00:00]" c="2.02.2026">
                <p n="[Calendar].[H_Merch].[MerchYearWeek].&amp;[202606]"/>
                <p n="[Calendar].[H_Merch].[MerchYearMonthName].&amp;[2026-Şubat]"/>
                <p n="[Calendar].[H_Merch].[MerchYear].&amp;[2026]"/>
              </i>
              <i n="[Calendar].[H_Merch].[Date].&amp;[2026-02-03T00:00:00]" c="3.02.2026">
                <p n="[Calendar].[H_Merch].[MerchYearWeek].&amp;[202606]"/>
                <p n="[Calendar].[H_Merch].[MerchYearMonthName].&amp;[2026-Şubat]"/>
                <p n="[Calendar].[H_Merch].[MerchYear].&amp;[2026]"/>
              </i>
              <i n="[Calendar].[H_Merch].[Date].&amp;[2026-02-04T00:00:00]" c="4.02.2026">
                <p n="[Calendar].[H_Merch].[MerchYearWeek].&amp;[202606]"/>
                <p n="[Calendar].[H_Merch].[MerchYearMonthName].&amp;[2026-Şubat]"/>
                <p n="[Calendar].[H_Merch].[MerchYear].&amp;[2026]"/>
              </i>
              <i n="[Calendar].[H_Merch].[Date].&amp;[2026-02-05T00:00:00]" c="5.02.2026">
                <p n="[Calendar].[H_Merch].[MerchYearWeek].&amp;[202606]"/>
                <p n="[Calendar].[H_Merch].[MerchYearMonthName].&amp;[2026-Şubat]"/>
                <p n="[Calendar].[H_Merch].[MerchYear].&amp;[2026]"/>
              </i>
              <i n="[Calendar].[H_Merch].[Date].&amp;[2026-02-06T00:00:00]" c="6.02.2026">
                <p n="[Calendar].[H_Merch].[MerchYearWeek].&amp;[202606]"/>
                <p n="[Calendar].[H_Merch].[MerchYearMonthName].&amp;[2026-Şubat]"/>
                <p n="[Calendar].[H_Merch].[MerchYear].&amp;[2026]"/>
              </i>
              <i n="[Calendar].[H_Merch].[Date].&amp;[2026-02-07T00:00:00]" c="7.02.2026">
                <p n="[Calendar].[H_Merch].[MerchYearWeek].&amp;[202606]"/>
                <p n="[Calendar].[H_Merch].[MerchYearMonthName].&amp;[2026-Şubat]"/>
                <p n="[Calendar].[H_Merch].[MerchYear].&amp;[2026]"/>
              </i>
              <i n="[Calendar].[H_Merch].[Date].&amp;[2026-02-08T00:00:00]" c="8.02.2026">
                <p n="[Calendar].[H_Merch].[MerchYearWeek].&amp;[202606]"/>
                <p n="[Calendar].[H_Merch].[MerchYearMonthName].&amp;[2026-Şubat]"/>
                <p n="[Calendar].[H_Merch].[MerchYear].&amp;[2026]"/>
              </i>
              <i n="[Calendar].[H_Merch].[Date].&amp;[2026-02-09T00:00:00]" c="9.02.2026">
                <p n="[Calendar].[H_Merch].[MerchYearWeek].&amp;[202607]"/>
                <p n="[Calendar].[H_Merch].[MerchYearMonthName].&amp;[2026-Şubat]"/>
                <p n="[Calendar].[H_Merch].[MerchYear].&amp;[2026]"/>
              </i>
              <i n="[Calendar].[H_Merch].[Date].&amp;[2020-12-31T00:00:00]" c="31.12.2020" nd="1">
                <p n="[Calendar].[H_Merch].[MerchYearWeek].&amp;[202101]"/>
                <p n="[Calendar].[H_Merch].[MerchYearMonthName].&amp;[2021-Ocak]"/>
                <p n="[Calendar].[H_Merch].[MerchYear].&amp;[2021]"/>
              </i>
              <i n="[Calendar].[H_Merch].[Date].&amp;[2021-01-01T00:00:00]" c="1.01.2021" nd="1">
                <p n="[Calendar].[H_Merch].[MerchYearWeek].&amp;[202101]"/>
                <p n="[Calendar].[H_Merch].[MerchYearMonthName].&amp;[2021-Ocak]"/>
                <p n="[Calendar].[H_Merch].[MerchYear].&amp;[2021]"/>
              </i>
              <i n="[Calendar].[H_Merch].[Date].&amp;[2021-01-02T00:00:00]" c="2.01.2021" nd="1">
                <p n="[Calendar].[H_Merch].[MerchYearWeek].&amp;[202101]"/>
                <p n="[Calendar].[H_Merch].[MerchYearMonthName].&amp;[2021-Ocak]"/>
                <p n="[Calendar].[H_Merch].[MerchYear].&amp;[2021]"/>
              </i>
              <i n="[Calendar].[H_Merch].[Date].&amp;[2021-01-03T00:00:00]" c="3.01.2021" nd="1">
                <p n="[Calendar].[H_Merch].[MerchYearWeek].&amp;[202101]"/>
                <p n="[Calendar].[H_Merch].[MerchYearMonthName].&amp;[2021-Ocak]"/>
                <p n="[Calendar].[H_Merch].[MerchYear].&amp;[2021]"/>
              </i>
              <i n="[Calendar].[H_Merch].[Date].&amp;[2021-01-04T00:00:00]" c="4.01.2021" nd="1">
                <p n="[Calendar].[H_Merch].[MerchYearWeek].&amp;[202102]"/>
                <p n="[Calendar].[H_Merch].[MerchYearMonthName].&amp;[2021-Ocak]"/>
                <p n="[Calendar].[H_Merch].[MerchYear].&amp;[2021]"/>
              </i>
              <i n="[Calendar].[H_Merch].[Date].&amp;[2021-01-05T00:00:00]" c="5.01.2021" nd="1">
                <p n="[Calendar].[H_Merch].[MerchYearWeek].&amp;[202102]"/>
                <p n="[Calendar].[H_Merch].[MerchYearMonthName].&amp;[2021-Ocak]"/>
                <p n="[Calendar].[H_Merch].[MerchYear].&amp;[2021]"/>
              </i>
              <i n="[Calendar].[H_Merch].[Date].&amp;[2021-01-06T00:00:00]" c="6.01.2021" nd="1">
                <p n="[Calendar].[H_Merch].[MerchYearWeek].&amp;[202102]"/>
                <p n="[Calendar].[H_Merch].[MerchYearMonthName].&amp;[2021-Ocak]"/>
                <p n="[Calendar].[H_Merch].[MerchYear].&amp;[2021]"/>
              </i>
              <i n="[Calendar].[H_Merch].[Date].&amp;[2021-01-07T00:00:00]" c="7.01.2021" nd="1">
                <p n="[Calendar].[H_Merch].[MerchYearWeek].&amp;[202102]"/>
                <p n="[Calendar].[H_Merch].[MerchYearMonthName].&amp;[2021-Ocak]"/>
                <p n="[Calendar].[H_Merch].[MerchYear].&amp;[2021]"/>
              </i>
              <i n="[Calendar].[H_Merch].[Date].&amp;[2021-01-08T00:00:00]" c="8.01.2021" nd="1">
                <p n="[Calendar].[H_Merch].[MerchYearWeek].&amp;[202102]"/>
                <p n="[Calendar].[H_Merch].[MerchYearMonthName].&amp;[2021-Ocak]"/>
                <p n="[Calendar].[H_Merch].[MerchYear].&amp;[2021]"/>
              </i>
              <i n="[Calendar].[H_Merch].[Date].&amp;[2021-01-09T00:00:00]" c="9.01.2021" nd="1">
                <p n="[Calendar].[H_Merch].[MerchYearWeek].&amp;[202102]"/>
                <p n="[Calendar].[H_Merch].[MerchYearMonthName].&amp;[2021-Ocak]"/>
                <p n="[Calendar].[H_Merch].[MerchYear].&amp;[2021]"/>
              </i>
              <i n="[Calendar].[H_Merch].[Date].&amp;[2021-01-10T00:00:00]" c="10.01.2021" nd="1">
                <p n="[Calendar].[H_Merch].[MerchYearWeek].&amp;[202102]"/>
                <p n="[Calendar].[H_Merch].[MerchYearMonthName].&amp;[2021-Ocak]"/>
                <p n="[Calendar].[H_Merch].[MerchYear].&amp;[2021]"/>
              </i>
              <i n="[Calendar].[H_Merch].[Date].&amp;[2021-01-11T00:00:00]" c="11.01.2021" nd="1">
                <p n="[Calendar].[H_Merch].[MerchYearWeek].&amp;[202103]"/>
                <p n="[Calendar].[H_Merch].[MerchYearMonthName].&amp;[2021-Ocak]"/>
                <p n="[Calendar].[H_Merch].[MerchYear].&amp;[2021]"/>
              </i>
              <i n="[Calendar].[H_Merch].[Date].&amp;[2021-01-12T00:00:00]" c="12.01.2021" nd="1">
                <p n="[Calendar].[H_Merch].[MerchYearWeek].&amp;[202103]"/>
                <p n="[Calendar].[H_Merch].[MerchYearMonthName].&amp;[2021-Ocak]"/>
                <p n="[Calendar].[H_Merch].[MerchYear].&amp;[2021]"/>
              </i>
              <i n="[Calendar].[H_Merch].[Date].&amp;[2021-01-13T00:00:00]" c="13.01.2021" nd="1">
                <p n="[Calendar].[H_Merch].[MerchYearWeek].&amp;[202103]"/>
                <p n="[Calendar].[H_Merch].[MerchYearMonthName].&amp;[2021-Ocak]"/>
                <p n="[Calendar].[H_Merch].[MerchYear].&amp;[2021]"/>
              </i>
              <i n="[Calendar].[H_Merch].[Date].&amp;[2021-01-14T00:00:00]" c="14.01.2021" nd="1">
                <p n="[Calendar].[H_Merch].[MerchYearWeek].&amp;[202103]"/>
                <p n="[Calendar].[H_Merch].[MerchYearMonthName].&amp;[2021-Ocak]"/>
                <p n="[Calendar].[H_Merch].[MerchYear].&amp;[2021]"/>
              </i>
              <i n="[Calendar].[H_Merch].[Date].&amp;[2021-01-15T00:00:00]" c="15.01.2021" nd="1">
                <p n="[Calendar].[H_Merch].[MerchYearWeek].&amp;[202103]"/>
                <p n="[Calendar].[H_Merch].[MerchYearMonthName].&amp;[2021-Ocak]"/>
                <p n="[Calendar].[H_Merch].[MerchYear].&amp;[2021]"/>
              </i>
              <i n="[Calendar].[H_Merch].[Date].&amp;[2021-01-16T00:00:00]" c="16.01.2021" nd="1">
                <p n="[Calendar].[H_Merch].[MerchYearWeek].&amp;[202103]"/>
                <p n="[Calendar].[H_Merch].[MerchYearMonthName].&amp;[2021-Ocak]"/>
                <p n="[Calendar].[H_Merch].[MerchYear].&amp;[2021]"/>
              </i>
              <i n="[Calendar].[H_Merch].[Date].&amp;[2021-01-17T00:00:00]" c="17.01.2021" nd="1">
                <p n="[Calendar].[H_Merch].[MerchYearWeek].&amp;[202103]"/>
                <p n="[Calendar].[H_Merch].[MerchYearMonthName].&amp;[2021-Ocak]"/>
                <p n="[Calendar].[H_Merch].[MerchYear].&amp;[2021]"/>
              </i>
              <i n="[Calendar].[H_Merch].[Date].&amp;[2021-01-18T00:00:00]" c="18.01.2021" nd="1">
                <p n="[Calendar].[H_Merch].[MerchYearWeek].&amp;[202104]"/>
                <p n="[Calendar].[H_Merch].[MerchYearMonthName].&amp;[2021-Ocak]"/>
                <p n="[Calendar].[H_Merch].[MerchYear].&amp;[2021]"/>
              </i>
              <i n="[Calendar].[H_Merch].[Date].&amp;[2021-01-19T00:00:00]" c="19.01.2021" nd="1">
                <p n="[Calendar].[H_Merch].[MerchYearWeek].&amp;[202104]"/>
                <p n="[Calendar].[H_Merch].[MerchYearMonthName].&amp;[2021-Ocak]"/>
                <p n="[Calendar].[H_Merch].[MerchYear].&amp;[2021]"/>
              </i>
              <i n="[Calendar].[H_Merch].[Date].&amp;[2021-01-20T00:00:00]" c="20.01.2021" nd="1">
                <p n="[Calendar].[H_Merch].[MerchYearWeek].&amp;[202104]"/>
                <p n="[Calendar].[H_Merch].[MerchYearMonthName].&amp;[2021-Ocak]"/>
                <p n="[Calendar].[H_Merch].[MerchYear].&amp;[2021]"/>
              </i>
              <i n="[Calendar].[H_Merch].[Date].&amp;[2021-01-21T00:00:00]" c="21.01.2021" nd="1">
                <p n="[Calendar].[H_Merch].[MerchYearWeek].&amp;[202104]"/>
                <p n="[Calendar].[H_Merch].[MerchYearMonthName].&amp;[2021-Ocak]"/>
                <p n="[Calendar].[H_Merch].[MerchYear].&amp;[2021]"/>
              </i>
              <i n="[Calendar].[H_Merch].[Date].&amp;[2021-01-22T00:00:00]" c="22.01.2021" nd="1">
                <p n="[Calendar].[H_Merch].[MerchYearWeek].&amp;[202104]"/>
                <p n="[Calendar].[H_Merch].[MerchYearMonthName].&amp;[2021-Ocak]"/>
                <p n="[Calendar].[H_Merch].[MerchYear].&amp;[2021]"/>
              </i>
              <i n="[Calendar].[H_Merch].[Date].&amp;[2021-01-23T00:00:00]" c="23.01.2021" nd="1">
                <p n="[Calendar].[H_Merch].[MerchYearWeek].&amp;[202104]"/>
                <p n="[Calendar].[H_Merch].[MerchYearMonthName].&amp;[2021-Ocak]"/>
                <p n="[Calendar].[H_Merch].[MerchYear].&amp;[2021]"/>
              </i>
              <i n="[Calendar].[H_Merch].[Date].&amp;[2021-01-24T00:00:00]" c="24.01.2021" nd="1">
                <p n="[Calendar].[H_Merch].[MerchYearWeek].&amp;[202104]"/>
                <p n="[Calendar].[H_Merch].[MerchYearMonthName].&amp;[2021-Ocak]"/>
                <p n="[Calendar].[H_Merch].[MerchYear].&amp;[2021]"/>
              </i>
              <i n="[Calendar].[H_Merch].[Date].&amp;[2021-01-25T00:00:00]" c="25.01.2021" nd="1">
                <p n="[Calendar].[H_Merch].[MerchYearWeek].&amp;[202105]"/>
                <p n="[Calendar].[H_Merch].[MerchYearMonthName].&amp;[2021-Ocak]"/>
                <p n="[Calendar].[H_Merch].[MerchYear].&amp;[2021]"/>
              </i>
              <i n="[Calendar].[H_Merch].[Date].&amp;[2021-01-26T00:00:00]" c="26.01.2021" nd="1">
                <p n="[Calendar].[H_Merch].[MerchYearWeek].&amp;[202105]"/>
                <p n="[Calendar].[H_Merch].[MerchYearMonthName].&amp;[2021-Ocak]"/>
                <p n="[Calendar].[H_Merch].[MerchYear].&amp;[2021]"/>
              </i>
              <i n="[Calendar].[H_Merch].[Date].&amp;[2021-01-27T00:00:00]" c="27.01.2021" nd="1">
                <p n="[Calendar].[H_Merch].[MerchYearWeek].&amp;[202105]"/>
                <p n="[Calendar].[H_Merch].[MerchYearMonthName].&amp;[2021-Ocak]"/>
                <p n="[Calendar].[H_Merch].[MerchYear].&amp;[2021]"/>
              </i>
              <i n="[Calendar].[H_Merch].[Date].&amp;[2021-01-28T00:00:00]" c="28.01.2021" nd="1">
                <p n="[Calendar].[H_Merch].[MerchYearWeek].&amp;[202105]"/>
                <p n="[Calendar].[H_Merch].[MerchYearMonthName].&amp;[2021-Ocak]"/>
                <p n="[Calendar].[H_Merch].[MerchYear].&amp;[2021]"/>
              </i>
              <i n="[Calendar].[H_Merch].[Date].&amp;[2021-01-29T00:00:00]" c="29.01.2021" nd="1">
                <p n="[Calendar].[H_Merch].[MerchYearWeek].&amp;[202105]"/>
                <p n="[Calendar].[H_Merch].[MerchYearMonthName].&amp;[2021-Ocak]"/>
                <p n="[Calendar].[H_Merch].[MerchYear].&amp;[2021]"/>
              </i>
              <i n="[Calendar].[H_Merch].[Date].&amp;[2021-01-30T00:00:00]" c="30.01.2021" nd="1">
                <p n="[Calendar].[H_Merch].[MerchYearWeek].&amp;[202105]"/>
                <p n="[Calendar].[H_Merch].[MerchYearMonthName].&amp;[2021-Ocak]"/>
                <p n="[Calendar].[H_Merch].[MerchYear].&amp;[2021]"/>
              </i>
              <i n="[Calendar].[H_Merch].[Date].&amp;[2021-01-31T00:00:00]" c="31.01.2021" nd="1">
                <p n="[Calendar].[H_Merch].[MerchYearWeek].&amp;[202105]"/>
                <p n="[Calendar].[H_Merch].[MerchYearMonthName].&amp;[2021-Ocak]"/>
                <p n="[Calendar].[H_Merch].[MerchYear].&amp;[2021]"/>
              </i>
              <i n="[Calendar].[H_Merch].[Date].&amp;[2021-02-01T00:00:00]" c="1.02.2021" nd="1">
                <p n="[Calendar].[H_Merch].[MerchYearWeek].&amp;[202106]"/>
                <p n="[Calendar].[H_Merch].[MerchYearMonthName].&amp;[2021-Şubat]"/>
                <p n="[Calendar].[H_Merch].[MerchYear].&amp;[2021]"/>
              </i>
              <i n="[Calendar].[H_Merch].[Date].&amp;[2021-02-02T00:00:00]" c="2.02.2021" nd="1">
                <p n="[Calendar].[H_Merch].[MerchYearWeek].&amp;[202106]"/>
                <p n="[Calendar].[H_Merch].[MerchYearMonthName].&amp;[2021-Şubat]"/>
                <p n="[Calendar].[H_Merch].[MerchYear].&amp;[2021]"/>
              </i>
              <i n="[Calendar].[H_Merch].[Date].&amp;[2021-02-03T00:00:00]" c="3.02.2021" nd="1">
                <p n="[Calendar].[H_Merch].[MerchYearWeek].&amp;[202106]"/>
                <p n="[Calendar].[H_Merch].[MerchYearMonthName].&amp;[2021-Şubat]"/>
                <p n="[Calendar].[H_Merch].[MerchYear].&amp;[2021]"/>
              </i>
              <i n="[Calendar].[H_Merch].[Date].&amp;[2021-02-04T00:00:00]" c="4.02.2021" nd="1">
                <p n="[Calendar].[H_Merch].[MerchYearWeek].&amp;[202106]"/>
                <p n="[Calendar].[H_Merch].[MerchYearMonthName].&amp;[2021-Şubat]"/>
                <p n="[Calendar].[H_Merch].[MerchYear].&amp;[2021]"/>
              </i>
              <i n="[Calendar].[H_Merch].[Date].&amp;[2021-02-05T00:00:00]" c="5.02.2021" nd="1">
                <p n="[Calendar].[H_Merch].[MerchYearWeek].&amp;[202106]"/>
                <p n="[Calendar].[H_Merch].[MerchYearMonthName].&amp;[2021-Şubat]"/>
                <p n="[Calendar].[H_Merch].[MerchYear].&amp;[2021]"/>
              </i>
              <i n="[Calendar].[H_Merch].[Date].&amp;[2021-02-06T00:00:00]" c="6.02.2021" nd="1">
                <p n="[Calendar].[H_Merch].[MerchYearWeek].&amp;[202106]"/>
                <p n="[Calendar].[H_Merch].[MerchYearMonthName].&amp;[2021-Şubat]"/>
                <p n="[Calendar].[H_Merch].[MerchYear].&amp;[2021]"/>
              </i>
              <i n="[Calendar].[H_Merch].[Date].&amp;[2021-02-07T00:00:00]" c="7.02.2021" nd="1">
                <p n="[Calendar].[H_Merch].[MerchYearWeek].&amp;[202106]"/>
                <p n="[Calendar].[H_Merch].[MerchYearMonthName].&amp;[2021-Şubat]"/>
                <p n="[Calendar].[H_Merch].[MerchYear].&amp;[2021]"/>
              </i>
              <i n="[Calendar].[H_Merch].[Date].&amp;[2021-02-08T00:00:00]" c="8.02.2021" nd="1">
                <p n="[Calendar].[H_Merch].[MerchYearWeek].&amp;[202107]"/>
                <p n="[Calendar].[H_Merch].[MerchYearMonthName].&amp;[2021-Şubat]"/>
                <p n="[Calendar].[H_Merch].[MerchYear].&amp;[2021]"/>
              </i>
              <i n="[Calendar].[H_Merch].[Date].&amp;[2021-02-09T00:00:00]" c="9.02.2021" nd="1">
                <p n="[Calendar].[H_Merch].[MerchYearWeek].&amp;[202107]"/>
                <p n="[Calendar].[H_Merch].[MerchYearMonthName].&amp;[2021-Şubat]"/>
                <p n="[Calendar].[H_Merch].[MerchYear].&amp;[2021]"/>
              </i>
              <i n="[Calendar].[H_Merch].[Date].&amp;[2021-02-10T00:00:00]" c="10.02.2021" nd="1">
                <p n="[Calendar].[H_Merch].[MerchYearWeek].&amp;[202107]"/>
                <p n="[Calendar].[H_Merch].[MerchYearMonthName].&amp;[2021-Şubat]"/>
                <p n="[Calendar].[H_Merch].[MerchYear].&amp;[2021]"/>
              </i>
              <i n="[Calendar].[H_Merch].[Date].&amp;[2021-02-11T00:00:00]" c="11.02.2021" nd="1">
                <p n="[Calendar].[H_Merch].[MerchYearWeek].&amp;[202107]"/>
                <p n="[Calendar].[H_Merch].[MerchYearMonthName].&amp;[2021-Şubat]"/>
                <p n="[Calendar].[H_Merch].[MerchYear].&amp;[2021]"/>
              </i>
              <i n="[Calendar].[H_Merch].[Date].&amp;[2021-02-12T00:00:00]" c="12.02.2021" nd="1">
                <p n="[Calendar].[H_Merch].[MerchYearWeek].&amp;[202107]"/>
                <p n="[Calendar].[H_Merch].[MerchYearMonthName].&amp;[2021-Şubat]"/>
                <p n="[Calendar].[H_Merch].[MerchYear].&amp;[2021]"/>
              </i>
              <i n="[Calendar].[H_Merch].[Date].&amp;[2021-02-13T00:00:00]" c="13.02.2021" nd="1">
                <p n="[Calendar].[H_Merch].[MerchYearWeek].&amp;[202107]"/>
                <p n="[Calendar].[H_Merch].[MerchYearMonthName].&amp;[2021-Şubat]"/>
                <p n="[Calendar].[H_Merch].[MerchYear].&amp;[2021]"/>
              </i>
              <i n="[Calendar].[H_Merch].[Date].&amp;[2021-02-14T00:00:00]" c="14.02.2021" nd="1">
                <p n="[Calendar].[H_Merch].[MerchYearWeek].&amp;[202107]"/>
                <p n="[Calendar].[H_Merch].[MerchYearMonthName].&amp;[2021-Şubat]"/>
                <p n="[Calendar].[H_Merch].[MerchYear].&amp;[2021]"/>
              </i>
              <i n="[Calendar].[H_Merch].[Date].&amp;[2021-02-15T00:00:00]" c="15.02.2021" nd="1">
                <p n="[Calendar].[H_Merch].[MerchYearWeek].&amp;[202108]"/>
                <p n="[Calendar].[H_Merch].[MerchYearMonthName].&amp;[2021-Şubat]"/>
                <p n="[Calendar].[H_Merch].[MerchYear].&amp;[2021]"/>
              </i>
              <i n="[Calendar].[H_Merch].[Date].&amp;[2021-02-16T00:00:00]" c="16.02.2021" nd="1">
                <p n="[Calendar].[H_Merch].[MerchYearWeek].&amp;[202108]"/>
                <p n="[Calendar].[H_Merch].[MerchYearMonthName].&amp;[2021-Şubat]"/>
                <p n="[Calendar].[H_Merch].[MerchYear].&amp;[2021]"/>
              </i>
              <i n="[Calendar].[H_Merch].[Date].&amp;[2021-02-17T00:00:00]" c="17.02.2021" nd="1">
                <p n="[Calendar].[H_Merch].[MerchYearWeek].&amp;[202108]"/>
                <p n="[Calendar].[H_Merch].[MerchYearMonthName].&amp;[2021-Şubat]"/>
                <p n="[Calendar].[H_Merch].[MerchYear].&amp;[2021]"/>
              </i>
              <i n="[Calendar].[H_Merch].[Date].&amp;[2021-02-18T00:00:00]" c="18.02.2021" nd="1">
                <p n="[Calendar].[H_Merch].[MerchYearWeek].&amp;[202108]"/>
                <p n="[Calendar].[H_Merch].[MerchYearMonthName].&amp;[2021-Şubat]"/>
                <p n="[Calendar].[H_Merch].[MerchYear].&amp;[2021]"/>
              </i>
              <i n="[Calendar].[H_Merch].[Date].&amp;[2021-02-19T00:00:00]" c="19.02.2021" nd="1">
                <p n="[Calendar].[H_Merch].[MerchYearWeek].&amp;[202108]"/>
                <p n="[Calendar].[H_Merch].[MerchYearMonthName].&amp;[2021-Şubat]"/>
                <p n="[Calendar].[H_Merch].[MerchYear].&amp;[2021]"/>
              </i>
              <i n="[Calendar].[H_Merch].[Date].&amp;[2021-02-20T00:00:00]" c="20.02.2021" nd="1">
                <p n="[Calendar].[H_Merch].[MerchYearWeek].&amp;[202108]"/>
                <p n="[Calendar].[H_Merch].[MerchYearMonthName].&amp;[2021-Şubat]"/>
                <p n="[Calendar].[H_Merch].[MerchYear].&amp;[2021]"/>
              </i>
              <i n="[Calendar].[H_Merch].[Date].&amp;[2021-02-21T00:00:00]" c="21.02.2021" nd="1">
                <p n="[Calendar].[H_Merch].[MerchYearWeek].&amp;[202108]"/>
                <p n="[Calendar].[H_Merch].[MerchYearMonthName].&amp;[2021-Şubat]"/>
                <p n="[Calendar].[H_Merch].[MerchYear].&amp;[2021]"/>
              </i>
              <i n="[Calendar].[H_Merch].[Date].&amp;[2021-02-22T00:00:00]" c="22.02.2021" nd="1">
                <p n="[Calendar].[H_Merch].[MerchYearWeek].&amp;[202109]"/>
                <p n="[Calendar].[H_Merch].[MerchYearMonthName].&amp;[2021-Şubat]"/>
                <p n="[Calendar].[H_Merch].[MerchYear].&amp;[2021]"/>
              </i>
              <i n="[Calendar].[H_Merch].[Date].&amp;[2021-02-23T00:00:00]" c="23.02.2021" nd="1">
                <p n="[Calendar].[H_Merch].[MerchYearWeek].&amp;[202109]"/>
                <p n="[Calendar].[H_Merch].[MerchYearMonthName].&amp;[2021-Şubat]"/>
                <p n="[Calendar].[H_Merch].[MerchYear].&amp;[2021]"/>
              </i>
              <i n="[Calendar].[H_Merch].[Date].&amp;[2021-02-24T00:00:00]" c="24.02.2021" nd="1">
                <p n="[Calendar].[H_Merch].[MerchYearWeek].&amp;[202109]"/>
                <p n="[Calendar].[H_Merch].[MerchYearMonthName].&amp;[2021-Şubat]"/>
                <p n="[Calendar].[H_Merch].[MerchYear].&amp;[2021]"/>
              </i>
              <i n="[Calendar].[H_Merch].[Date].&amp;[2021-02-25T00:00:00]" c="25.02.2021" nd="1">
                <p n="[Calendar].[H_Merch].[MerchYearWeek].&amp;[202109]"/>
                <p n="[Calendar].[H_Merch].[MerchYearMonthName].&amp;[2021-Şubat]"/>
                <p n="[Calendar].[H_Merch].[MerchYear].&amp;[2021]"/>
              </i>
              <i n="[Calendar].[H_Merch].[Date].&amp;[2021-02-26T00:00:00]" c="26.02.2021" nd="1">
                <p n="[Calendar].[H_Merch].[MerchYearWeek].&amp;[202109]"/>
                <p n="[Calendar].[H_Merch].[MerchYearMonthName].&amp;[2021-Şubat]"/>
                <p n="[Calendar].[H_Merch].[MerchYear].&amp;[2021]"/>
              </i>
              <i n="[Calendar].[H_Merch].[Date].&amp;[2021-02-27T00:00:00]" c="27.02.2021" nd="1">
                <p n="[Calendar].[H_Merch].[MerchYearWeek].&amp;[202109]"/>
                <p n="[Calendar].[H_Merch].[MerchYearMonthName].&amp;[2021-Şubat]"/>
                <p n="[Calendar].[H_Merch].[MerchYear].&amp;[2021]"/>
              </i>
              <i n="[Calendar].[H_Merch].[Date].&amp;[2021-02-28T00:00:00]" c="28.02.2021" nd="1">
                <p n="[Calendar].[H_Merch].[MerchYearWeek].&amp;[202109]"/>
                <p n="[Calendar].[H_Merch].[MerchYearMonthName].&amp;[2021-Şubat]"/>
                <p n="[Calendar].[H_Merch].[MerchYear].&amp;[2021]"/>
              </i>
              <i n="[Calendar].[H_Merch].[Date].&amp;[2021-03-01T00:00:00]" c="1.03.2021" nd="1">
                <p n="[Calendar].[H_Merch].[MerchYearWeek].&amp;[202110]"/>
                <p n="[Calendar].[H_Merch].[MerchYearMonthName].&amp;[2021-Mart]"/>
                <p n="[Calendar].[H_Merch].[MerchYear].&amp;[2021]"/>
              </i>
              <i n="[Calendar].[H_Merch].[Date].&amp;[2021-03-02T00:00:00]" c="2.03.2021" nd="1">
                <p n="[Calendar].[H_Merch].[MerchYearWeek].&amp;[202110]"/>
                <p n="[Calendar].[H_Merch].[MerchYearMonthName].&amp;[2021-Mart]"/>
                <p n="[Calendar].[H_Merch].[MerchYear].&amp;[2021]"/>
              </i>
              <i n="[Calendar].[H_Merch].[Date].&amp;[2021-03-03T00:00:00]" c="3.03.2021" nd="1">
                <p n="[Calendar].[H_Merch].[MerchYearWeek].&amp;[202110]"/>
                <p n="[Calendar].[H_Merch].[MerchYearMonthName].&amp;[2021-Mart]"/>
                <p n="[Calendar].[H_Merch].[MerchYear].&amp;[2021]"/>
              </i>
              <i n="[Calendar].[H_Merch].[Date].&amp;[2021-03-04T00:00:00]" c="4.03.2021" nd="1">
                <p n="[Calendar].[H_Merch].[MerchYearWeek].&amp;[202110]"/>
                <p n="[Calendar].[H_Merch].[MerchYearMonthName].&amp;[2021-Mart]"/>
                <p n="[Calendar].[H_Merch].[MerchYear].&amp;[2021]"/>
              </i>
              <i n="[Calendar].[H_Merch].[Date].&amp;[2021-03-05T00:00:00]" c="5.03.2021" nd="1">
                <p n="[Calendar].[H_Merch].[MerchYearWeek].&amp;[202110]"/>
                <p n="[Calendar].[H_Merch].[MerchYearMonthName].&amp;[2021-Mart]"/>
                <p n="[Calendar].[H_Merch].[MerchYear].&amp;[2021]"/>
              </i>
              <i n="[Calendar].[H_Merch].[Date].&amp;[2021-03-06T00:00:00]" c="6.03.2021" nd="1">
                <p n="[Calendar].[H_Merch].[MerchYearWeek].&amp;[202110]"/>
                <p n="[Calendar].[H_Merch].[MerchYearMonthName].&amp;[2021-Mart]"/>
                <p n="[Calendar].[H_Merch].[MerchYear].&amp;[2021]"/>
              </i>
              <i n="[Calendar].[H_Merch].[Date].&amp;[2021-03-07T00:00:00]" c="7.03.2021" nd="1">
                <p n="[Calendar].[H_Merch].[MerchYearWeek].&amp;[202110]"/>
                <p n="[Calendar].[H_Merch].[MerchYearMonthName].&amp;[2021-Mart]"/>
                <p n="[Calendar].[H_Merch].[MerchYear].&amp;[2021]"/>
              </i>
              <i n="[Calendar].[H_Merch].[Date].&amp;[2021-03-08T00:00:00]" c="8.03.2021" nd="1">
                <p n="[Calendar].[H_Merch].[MerchYearWeek].&amp;[202111]"/>
                <p n="[Calendar].[H_Merch].[MerchYearMonthName].&amp;[2021-Mart]"/>
                <p n="[Calendar].[H_Merch].[MerchYear].&amp;[2021]"/>
              </i>
              <i n="[Calendar].[H_Merch].[Date].&amp;[2021-03-09T00:00:00]" c="9.03.2021" nd="1">
                <p n="[Calendar].[H_Merch].[MerchYearWeek].&amp;[202111]"/>
                <p n="[Calendar].[H_Merch].[MerchYearMonthName].&amp;[2021-Mart]"/>
                <p n="[Calendar].[H_Merch].[MerchYear].&amp;[2021]"/>
              </i>
              <i n="[Calendar].[H_Merch].[Date].&amp;[2021-03-10T00:00:00]" c="10.03.2021" nd="1">
                <p n="[Calendar].[H_Merch].[MerchYearWeek].&amp;[202111]"/>
                <p n="[Calendar].[H_Merch].[MerchYearMonthName].&amp;[2021-Mart]"/>
                <p n="[Calendar].[H_Merch].[MerchYear].&amp;[2021]"/>
              </i>
              <i n="[Calendar].[H_Merch].[Date].&amp;[2021-03-11T00:00:00]" c="11.03.2021" nd="1">
                <p n="[Calendar].[H_Merch].[MerchYearWeek].&amp;[202111]"/>
                <p n="[Calendar].[H_Merch].[MerchYearMonthName].&amp;[2021-Mart]"/>
                <p n="[Calendar].[H_Merch].[MerchYear].&amp;[2021]"/>
              </i>
              <i n="[Calendar].[H_Merch].[Date].&amp;[2021-03-12T00:00:00]" c="12.03.2021" nd="1">
                <p n="[Calendar].[H_Merch].[MerchYearWeek].&amp;[202111]"/>
                <p n="[Calendar].[H_Merch].[MerchYearMonthName].&amp;[2021-Mart]"/>
                <p n="[Calendar].[H_Merch].[MerchYear].&amp;[2021]"/>
              </i>
              <i n="[Calendar].[H_Merch].[Date].&amp;[2021-03-13T00:00:00]" c="13.03.2021" nd="1">
                <p n="[Calendar].[H_Merch].[MerchYearWeek].&amp;[202111]"/>
                <p n="[Calendar].[H_Merch].[MerchYearMonthName].&amp;[2021-Mart]"/>
                <p n="[Calendar].[H_Merch].[MerchYear].&amp;[2021]"/>
              </i>
              <i n="[Calendar].[H_Merch].[Date].&amp;[2021-03-14T00:00:00]" c="14.03.2021" nd="1">
                <p n="[Calendar].[H_Merch].[MerchYearWeek].&amp;[202111]"/>
                <p n="[Calendar].[H_Merch].[MerchYearMonthName].&amp;[2021-Mart]"/>
                <p n="[Calendar].[H_Merch].[MerchYear].&amp;[2021]"/>
              </i>
              <i n="[Calendar].[H_Merch].[Date].&amp;[2021-03-15T00:00:00]" c="15.03.2021" nd="1">
                <p n="[Calendar].[H_Merch].[MerchYearWeek].&amp;[202112]"/>
                <p n="[Calendar].[H_Merch].[MerchYearMonthName].&amp;[2021-Mart]"/>
                <p n="[Calendar].[H_Merch].[MerchYear].&amp;[2021]"/>
              </i>
              <i n="[Calendar].[H_Merch].[Date].&amp;[2021-03-16T00:00:00]" c="16.03.2021" nd="1">
                <p n="[Calendar].[H_Merch].[MerchYearWeek].&amp;[202112]"/>
                <p n="[Calendar].[H_Merch].[MerchYearMonthName].&amp;[2021-Mart]"/>
                <p n="[Calendar].[H_Merch].[MerchYear].&amp;[2021]"/>
              </i>
              <i n="[Calendar].[H_Merch].[Date].&amp;[2021-03-17T00:00:00]" c="17.03.2021" nd="1">
                <p n="[Calendar].[H_Merch].[MerchYearWeek].&amp;[202112]"/>
                <p n="[Calendar].[H_Merch].[MerchYearMonthName].&amp;[2021-Mart]"/>
                <p n="[Calendar].[H_Merch].[MerchYear].&amp;[2021]"/>
              </i>
              <i n="[Calendar].[H_Merch].[Date].&amp;[2021-03-18T00:00:00]" c="18.03.2021" nd="1">
                <p n="[Calendar].[H_Merch].[MerchYearWeek].&amp;[202112]"/>
                <p n="[Calendar].[H_Merch].[MerchYearMonthName].&amp;[2021-Mart]"/>
                <p n="[Calendar].[H_Merch].[MerchYear].&amp;[2021]"/>
              </i>
              <i n="[Calendar].[H_Merch].[Date].&amp;[2021-03-19T00:00:00]" c="19.03.2021" nd="1">
                <p n="[Calendar].[H_Merch].[MerchYearWeek].&amp;[202112]"/>
                <p n="[Calendar].[H_Merch].[MerchYearMonthName].&amp;[2021-Mart]"/>
                <p n="[Calendar].[H_Merch].[MerchYear].&amp;[2021]"/>
              </i>
              <i n="[Calendar].[H_Merch].[Date].&amp;[2021-03-20T00:00:00]" c="20.03.2021" nd="1">
                <p n="[Calendar].[H_Merch].[MerchYearWeek].&amp;[202112]"/>
                <p n="[Calendar].[H_Merch].[MerchYearMonthName].&amp;[2021-Mart]"/>
                <p n="[Calendar].[H_Merch].[MerchYear].&amp;[2021]"/>
              </i>
              <i n="[Calendar].[H_Merch].[Date].&amp;[2021-03-21T00:00:00]" c="21.03.2021" nd="1">
                <p n="[Calendar].[H_Merch].[MerchYearWeek].&amp;[202112]"/>
                <p n="[Calendar].[H_Merch].[MerchYearMonthName].&amp;[2021-Mart]"/>
                <p n="[Calendar].[H_Merch].[MerchYear].&amp;[2021]"/>
              </i>
              <i n="[Calendar].[H_Merch].[Date].&amp;[2021-03-22T00:00:00]" c="22.03.2021" nd="1">
                <p n="[Calendar].[H_Merch].[MerchYearWeek].&amp;[202113]"/>
                <p n="[Calendar].[H_Merch].[MerchYearMonthName].&amp;[2021-Mart]"/>
                <p n="[Calendar].[H_Merch].[MerchYear].&amp;[2021]"/>
              </i>
              <i n="[Calendar].[H_Merch].[Date].&amp;[2021-03-23T00:00:00]" c="23.03.2021" nd="1">
                <p n="[Calendar].[H_Merch].[MerchYearWeek].&amp;[202113]"/>
                <p n="[Calendar].[H_Merch].[MerchYearMonthName].&amp;[2021-Mart]"/>
                <p n="[Calendar].[H_Merch].[MerchYear].&amp;[2021]"/>
              </i>
              <i n="[Calendar].[H_Merch].[Date].&amp;[2021-03-24T00:00:00]" c="24.03.2021" nd="1">
                <p n="[Calendar].[H_Merch].[MerchYearWeek].&amp;[202113]"/>
                <p n="[Calendar].[H_Merch].[MerchYearMonthName].&amp;[2021-Mart]"/>
                <p n="[Calendar].[H_Merch].[MerchYear].&amp;[2021]"/>
              </i>
              <i n="[Calendar].[H_Merch].[Date].&amp;[2021-03-25T00:00:00]" c="25.03.2021" nd="1">
                <p n="[Calendar].[H_Merch].[MerchYearWeek].&amp;[202113]"/>
                <p n="[Calendar].[H_Merch].[MerchYearMonthName].&amp;[2021-Mart]"/>
                <p n="[Calendar].[H_Merch].[MerchYear].&amp;[2021]"/>
              </i>
              <i n="[Calendar].[H_Merch].[Date].&amp;[2021-03-26T00:00:00]" c="26.03.2021" nd="1">
                <p n="[Calendar].[H_Merch].[MerchYearWeek].&amp;[202113]"/>
                <p n="[Calendar].[H_Merch].[MerchYearMonthName].&amp;[2021-Mart]"/>
                <p n="[Calendar].[H_Merch].[MerchYear].&amp;[2021]"/>
              </i>
              <i n="[Calendar].[H_Merch].[Date].&amp;[2021-03-27T00:00:00]" c="27.03.2021" nd="1">
                <p n="[Calendar].[H_Merch].[MerchYearWeek].&amp;[202113]"/>
                <p n="[Calendar].[H_Merch].[MerchYearMonthName].&amp;[2021-Mart]"/>
                <p n="[Calendar].[H_Merch].[MerchYear].&amp;[2021]"/>
              </i>
              <i n="[Calendar].[H_Merch].[Date].&amp;[2021-03-28T00:00:00]" c="28.03.2021" nd="1">
                <p n="[Calendar].[H_Merch].[MerchYearWeek].&amp;[202113]"/>
                <p n="[Calendar].[H_Merch].[MerchYearMonthName].&amp;[2021-Mart]"/>
                <p n="[Calendar].[H_Merch].[MerchYear].&amp;[2021]"/>
              </i>
              <i n="[Calendar].[H_Merch].[Date].&amp;[2021-03-29T00:00:00]" c="29.03.2021" nd="1">
                <p n="[Calendar].[H_Merch].[MerchYearWeek].&amp;[202114]"/>
                <p n="[Calendar].[H_Merch].[MerchYearMonthName].&amp;[2021-Nisan]"/>
                <p n="[Calendar].[H_Merch].[MerchYear].&amp;[2021]"/>
              </i>
              <i n="[Calendar].[H_Merch].[Date].&amp;[2021-03-30T00:00:00]" c="30.03.2021" nd="1">
                <p n="[Calendar].[H_Merch].[MerchYearWeek].&amp;[202114]"/>
                <p n="[Calendar].[H_Merch].[MerchYearMonthName].&amp;[2021-Nisan]"/>
                <p n="[Calendar].[H_Merch].[MerchYear].&amp;[2021]"/>
              </i>
              <i n="[Calendar].[H_Merch].[Date].&amp;[2021-03-31T00:00:00]" c="31.03.2021" nd="1">
                <p n="[Calendar].[H_Merch].[MerchYearWeek].&amp;[202114]"/>
                <p n="[Calendar].[H_Merch].[MerchYearMonthName].&amp;[2021-Nisan]"/>
                <p n="[Calendar].[H_Merch].[MerchYear].&amp;[2021]"/>
              </i>
              <i n="[Calendar].[H_Merch].[Date].&amp;[2021-04-01T00:00:00]" c="1.04.2021" nd="1">
                <p n="[Calendar].[H_Merch].[MerchYearWeek].&amp;[202114]"/>
                <p n="[Calendar].[H_Merch].[MerchYearMonthName].&amp;[2021-Nisan]"/>
                <p n="[Calendar].[H_Merch].[MerchYear].&amp;[2021]"/>
              </i>
              <i n="[Calendar].[H_Merch].[Date].&amp;[2021-04-02T00:00:00]" c="2.04.2021" nd="1">
                <p n="[Calendar].[H_Merch].[MerchYearWeek].&amp;[202114]"/>
                <p n="[Calendar].[H_Merch].[MerchYearMonthName].&amp;[2021-Nisan]"/>
                <p n="[Calendar].[H_Merch].[MerchYear].&amp;[2021]"/>
              </i>
              <i n="[Calendar].[H_Merch].[Date].&amp;[2021-04-03T00:00:00]" c="3.04.2021" nd="1">
                <p n="[Calendar].[H_Merch].[MerchYearWeek].&amp;[202114]"/>
                <p n="[Calendar].[H_Merch].[MerchYearMonthName].&amp;[2021-Nisan]"/>
                <p n="[Calendar].[H_Merch].[MerchYear].&amp;[2021]"/>
              </i>
              <i n="[Calendar].[H_Merch].[Date].&amp;[2021-04-04T00:00:00]" c="4.04.2021" nd="1">
                <p n="[Calendar].[H_Merch].[MerchYearWeek].&amp;[202114]"/>
                <p n="[Calendar].[H_Merch].[MerchYearMonthName].&amp;[2021-Nisan]"/>
                <p n="[Calendar].[H_Merch].[MerchYear].&amp;[2021]"/>
              </i>
              <i n="[Calendar].[H_Merch].[Date].&amp;[2021-04-05T00:00:00]" c="5.04.2021" nd="1">
                <p n="[Calendar].[H_Merch].[MerchYearWeek].&amp;[202115]"/>
                <p n="[Calendar].[H_Merch].[MerchYearMonthName].&amp;[2021-Nisan]"/>
                <p n="[Calendar].[H_Merch].[MerchYear].&amp;[2021]"/>
              </i>
              <i n="[Calendar].[H_Merch].[Date].&amp;[2021-04-06T00:00:00]" c="6.04.2021" nd="1">
                <p n="[Calendar].[H_Merch].[MerchYearWeek].&amp;[202115]"/>
                <p n="[Calendar].[H_Merch].[MerchYearMonthName].&amp;[2021-Nisan]"/>
                <p n="[Calendar].[H_Merch].[MerchYear].&amp;[2021]"/>
              </i>
              <i n="[Calendar].[H_Merch].[Date].&amp;[2021-04-07T00:00:00]" c="7.04.2021" nd="1">
                <p n="[Calendar].[H_Merch].[MerchYearWeek].&amp;[202115]"/>
                <p n="[Calendar].[H_Merch].[MerchYearMonthName].&amp;[2021-Nisan]"/>
                <p n="[Calendar].[H_Merch].[MerchYear].&amp;[2021]"/>
              </i>
              <i n="[Calendar].[H_Merch].[Date].&amp;[2021-04-08T00:00:00]" c="8.04.2021" nd="1">
                <p n="[Calendar].[H_Merch].[MerchYearWeek].&amp;[202115]"/>
                <p n="[Calendar].[H_Merch].[MerchYearMonthName].&amp;[2021-Nisan]"/>
                <p n="[Calendar].[H_Merch].[MerchYear].&amp;[2021]"/>
              </i>
              <i n="[Calendar].[H_Merch].[Date].&amp;[2021-04-09T00:00:00]" c="9.04.2021" nd="1">
                <p n="[Calendar].[H_Merch].[MerchYearWeek].&amp;[202115]"/>
                <p n="[Calendar].[H_Merch].[MerchYearMonthName].&amp;[2021-Nisan]"/>
                <p n="[Calendar].[H_Merch].[MerchYear].&amp;[2021]"/>
              </i>
              <i n="[Calendar].[H_Merch].[Date].&amp;[2021-04-10T00:00:00]" c="10.04.2021" nd="1">
                <p n="[Calendar].[H_Merch].[MerchYearWeek].&amp;[202115]"/>
                <p n="[Calendar].[H_Merch].[MerchYearMonthName].&amp;[2021-Nisan]"/>
                <p n="[Calendar].[H_Merch].[MerchYear].&amp;[2021]"/>
              </i>
              <i n="[Calendar].[H_Merch].[Date].&amp;[2021-04-11T00:00:00]" c="11.04.2021" nd="1">
                <p n="[Calendar].[H_Merch].[MerchYearWeek].&amp;[202115]"/>
                <p n="[Calendar].[H_Merch].[MerchYearMonthName].&amp;[2021-Nisan]"/>
                <p n="[Calendar].[H_Merch].[MerchYear].&amp;[2021]"/>
              </i>
              <i n="[Calendar].[H_Merch].[Date].&amp;[2021-04-12T00:00:00]" c="12.04.2021" nd="1">
                <p n="[Calendar].[H_Merch].[MerchYearWeek].&amp;[202116]"/>
                <p n="[Calendar].[H_Merch].[MerchYearMonthName].&amp;[2021-Nisan]"/>
                <p n="[Calendar].[H_Merch].[MerchYear].&amp;[2021]"/>
              </i>
              <i n="[Calendar].[H_Merch].[Date].&amp;[2021-04-13T00:00:00]" c="13.04.2021" nd="1">
                <p n="[Calendar].[H_Merch].[MerchYearWeek].&amp;[202116]"/>
                <p n="[Calendar].[H_Merch].[MerchYearMonthName].&amp;[2021-Nisan]"/>
                <p n="[Calendar].[H_Merch].[MerchYear].&amp;[2021]"/>
              </i>
              <i n="[Calendar].[H_Merch].[Date].&amp;[2021-04-14T00:00:00]" c="14.04.2021" nd="1">
                <p n="[Calendar].[H_Merch].[MerchYearWeek].&amp;[202116]"/>
                <p n="[Calendar].[H_Merch].[MerchYearMonthName].&amp;[2021-Nisan]"/>
                <p n="[Calendar].[H_Merch].[MerchYear].&amp;[2021]"/>
              </i>
              <i n="[Calendar].[H_Merch].[Date].&amp;[2021-04-15T00:00:00]" c="15.04.2021" nd="1">
                <p n="[Calendar].[H_Merch].[MerchYearWeek].&amp;[202116]"/>
                <p n="[Calendar].[H_Merch].[MerchYearMonthName].&amp;[2021-Nisan]"/>
                <p n="[Calendar].[H_Merch].[MerchYear].&amp;[2021]"/>
              </i>
              <i n="[Calendar].[H_Merch].[Date].&amp;[2021-04-16T00:00:00]" c="16.04.2021" nd="1">
                <p n="[Calendar].[H_Merch].[MerchYearWeek].&amp;[202116]"/>
                <p n="[Calendar].[H_Merch].[MerchYearMonthName].&amp;[2021-Nisan]"/>
                <p n="[Calendar].[H_Merch].[MerchYear].&amp;[2021]"/>
              </i>
              <i n="[Calendar].[H_Merch].[Date].&amp;[2021-04-17T00:00:00]" c="17.04.2021" nd="1">
                <p n="[Calendar].[H_Merch].[MerchYearWeek].&amp;[202116]"/>
                <p n="[Calendar].[H_Merch].[MerchYearMonthName].&amp;[2021-Nisan]"/>
                <p n="[Calendar].[H_Merch].[MerchYear].&amp;[2021]"/>
              </i>
              <i n="[Calendar].[H_Merch].[Date].&amp;[2021-04-18T00:00:00]" c="18.04.2021" nd="1">
                <p n="[Calendar].[H_Merch].[MerchYearWeek].&amp;[202116]"/>
                <p n="[Calendar].[H_Merch].[MerchYearMonthName].&amp;[2021-Nisan]"/>
                <p n="[Calendar].[H_Merch].[MerchYear].&amp;[2021]"/>
              </i>
              <i n="[Calendar].[H_Merch].[Date].&amp;[2021-04-19T00:00:00]" c="19.04.2021" nd="1">
                <p n="[Calendar].[H_Merch].[MerchYearWeek].&amp;[202117]"/>
                <p n="[Calendar].[H_Merch].[MerchYearMonthName].&amp;[2021-Nisan]"/>
                <p n="[Calendar].[H_Merch].[MerchYear].&amp;[2021]"/>
              </i>
              <i n="[Calendar].[H_Merch].[Date].&amp;[2021-04-20T00:00:00]" c="20.04.2021" nd="1">
                <p n="[Calendar].[H_Merch].[MerchYearWeek].&amp;[202117]"/>
                <p n="[Calendar].[H_Merch].[MerchYearMonthName].&amp;[2021-Nisan]"/>
                <p n="[Calendar].[H_Merch].[MerchYear].&amp;[2021]"/>
              </i>
              <i n="[Calendar].[H_Merch].[Date].&amp;[2021-04-21T00:00:00]" c="21.04.2021" nd="1">
                <p n="[Calendar].[H_Merch].[MerchYearWeek].&amp;[202117]"/>
                <p n="[Calendar].[H_Merch].[MerchYearMonthName].&amp;[2021-Nisan]"/>
                <p n="[Calendar].[H_Merch].[MerchYear].&amp;[2021]"/>
              </i>
              <i n="[Calendar].[H_Merch].[Date].&amp;[2021-04-22T00:00:00]" c="22.04.2021" nd="1">
                <p n="[Calendar].[H_Merch].[MerchYearWeek].&amp;[202117]"/>
                <p n="[Calendar].[H_Merch].[MerchYearMonthName].&amp;[2021-Nisan]"/>
                <p n="[Calendar].[H_Merch].[MerchYear].&amp;[2021]"/>
              </i>
              <i n="[Calendar].[H_Merch].[Date].&amp;[2021-04-23T00:00:00]" c="23.04.2021" nd="1">
                <p n="[Calendar].[H_Merch].[MerchYearWeek].&amp;[202117]"/>
                <p n="[Calendar].[H_Merch].[MerchYearMonthName].&amp;[2021-Nisan]"/>
                <p n="[Calendar].[H_Merch].[MerchYear].&amp;[2021]"/>
              </i>
              <i n="[Calendar].[H_Merch].[Date].&amp;[2021-04-24T00:00:00]" c="24.04.2021" nd="1">
                <p n="[Calendar].[H_Merch].[MerchYearWeek].&amp;[202117]"/>
                <p n="[Calendar].[H_Merch].[MerchYearMonthName].&amp;[2021-Nisan]"/>
                <p n="[Calendar].[H_Merch].[MerchYear].&amp;[2021]"/>
              </i>
              <i n="[Calendar].[H_Merch].[Date].&amp;[2021-04-25T00:00:00]" c="25.04.2021" nd="1">
                <p n="[Calendar].[H_Merch].[MerchYearWeek].&amp;[202117]"/>
                <p n="[Calendar].[H_Merch].[MerchYearMonthName].&amp;[2021-Nisan]"/>
                <p n="[Calendar].[H_Merch].[MerchYear].&amp;[2021]"/>
              </i>
              <i n="[Calendar].[H_Merch].[Date].&amp;[2021-04-26T00:00:00]" c="26.04.2021" nd="1">
                <p n="[Calendar].[H_Merch].[MerchYearWeek].&amp;[202118]"/>
                <p n="[Calendar].[H_Merch].[MerchYearMonthName].&amp;[2021-Nisan]"/>
                <p n="[Calendar].[H_Merch].[MerchYear].&amp;[2021]"/>
              </i>
              <i n="[Calendar].[H_Merch].[Date].&amp;[2021-04-27T00:00:00]" c="27.04.2021" nd="1">
                <p n="[Calendar].[H_Merch].[MerchYearWeek].&amp;[202118]"/>
                <p n="[Calendar].[H_Merch].[MerchYearMonthName].&amp;[2021-Nisan]"/>
                <p n="[Calendar].[H_Merch].[MerchYear].&amp;[2021]"/>
              </i>
              <i n="[Calendar].[H_Merch].[Date].&amp;[2021-04-28T00:00:00]" c="28.04.2021" nd="1">
                <p n="[Calendar].[H_Merch].[MerchYearWeek].&amp;[202118]"/>
                <p n="[Calendar].[H_Merch].[MerchYearMonthName].&amp;[2021-Nisan]"/>
                <p n="[Calendar].[H_Merch].[MerchYear].&amp;[2021]"/>
              </i>
              <i n="[Calendar].[H_Merch].[Date].&amp;[2021-04-29T00:00:00]" c="29.04.2021" nd="1">
                <p n="[Calendar].[H_Merch].[MerchYearWeek].&amp;[202118]"/>
                <p n="[Calendar].[H_Merch].[MerchYearMonthName].&amp;[2021-Nisan]"/>
                <p n="[Calendar].[H_Merch].[MerchYear].&amp;[2021]"/>
              </i>
              <i n="[Calendar].[H_Merch].[Date].&amp;[2021-04-30T00:00:00]" c="30.04.2021" nd="1">
                <p n="[Calendar].[H_Merch].[MerchYearWeek].&amp;[202118]"/>
                <p n="[Calendar].[H_Merch].[MerchYearMonthName].&amp;[2021-Nisan]"/>
                <p n="[Calendar].[H_Merch].[MerchYear].&amp;[2021]"/>
              </i>
              <i n="[Calendar].[H_Merch].[Date].&amp;[2021-05-01T00:00:00]" c="1.05.2021" nd="1">
                <p n="[Calendar].[H_Merch].[MerchYearWeek].&amp;[202118]"/>
                <p n="[Calendar].[H_Merch].[MerchYearMonthName].&amp;[2021-Nisan]"/>
                <p n="[Calendar].[H_Merch].[MerchYear].&amp;[2021]"/>
              </i>
              <i n="[Calendar].[H_Merch].[Date].&amp;[2021-05-02T00:00:00]" c="2.05.2021" nd="1">
                <p n="[Calendar].[H_Merch].[MerchYearWeek].&amp;[202118]"/>
                <p n="[Calendar].[H_Merch].[MerchYearMonthName].&amp;[2021-Nisan]"/>
                <p n="[Calendar].[H_Merch].[MerchYear].&amp;[2021]"/>
              </i>
              <i n="[Calendar].[H_Merch].[Date].&amp;[2021-05-03T00:00:00]" c="3.05.2021" nd="1">
                <p n="[Calendar].[H_Merch].[MerchYearWeek].&amp;[202119]"/>
                <p n="[Calendar].[H_Merch].[MerchYearMonthName].&amp;[2021-Mayıs]"/>
                <p n="[Calendar].[H_Merch].[MerchYear].&amp;[2021]"/>
              </i>
              <i n="[Calendar].[H_Merch].[Date].&amp;[2021-05-04T00:00:00]" c="4.05.2021" nd="1">
                <p n="[Calendar].[H_Merch].[MerchYearWeek].&amp;[202119]"/>
                <p n="[Calendar].[H_Merch].[MerchYearMonthName].&amp;[2021-Mayıs]"/>
                <p n="[Calendar].[H_Merch].[MerchYear].&amp;[2021]"/>
              </i>
              <i n="[Calendar].[H_Merch].[Date].&amp;[2021-05-05T00:00:00]" c="5.05.2021" nd="1">
                <p n="[Calendar].[H_Merch].[MerchYearWeek].&amp;[202119]"/>
                <p n="[Calendar].[H_Merch].[MerchYearMonthName].&amp;[2021-Mayıs]"/>
                <p n="[Calendar].[H_Merch].[MerchYear].&amp;[2021]"/>
              </i>
              <i n="[Calendar].[H_Merch].[Date].&amp;[2021-05-06T00:00:00]" c="6.05.2021" nd="1">
                <p n="[Calendar].[H_Merch].[MerchYearWeek].&amp;[202119]"/>
                <p n="[Calendar].[H_Merch].[MerchYearMonthName].&amp;[2021-Mayıs]"/>
                <p n="[Calendar].[H_Merch].[MerchYear].&amp;[2021]"/>
              </i>
              <i n="[Calendar].[H_Merch].[Date].&amp;[2021-05-07T00:00:00]" c="7.05.2021" nd="1">
                <p n="[Calendar].[H_Merch].[MerchYearWeek].&amp;[202119]"/>
                <p n="[Calendar].[H_Merch].[MerchYearMonthName].&amp;[2021-Mayıs]"/>
                <p n="[Calendar].[H_Merch].[MerchYear].&amp;[2021]"/>
              </i>
              <i n="[Calendar].[H_Merch].[Date].&amp;[2021-05-08T00:00:00]" c="8.05.2021" nd="1">
                <p n="[Calendar].[H_Merch].[MerchYearWeek].&amp;[202119]"/>
                <p n="[Calendar].[H_Merch].[MerchYearMonthName].&amp;[2021-Mayıs]"/>
                <p n="[Calendar].[H_Merch].[MerchYear].&amp;[2021]"/>
              </i>
              <i n="[Calendar].[H_Merch].[Date].&amp;[2021-05-09T00:00:00]" c="9.05.2021" nd="1">
                <p n="[Calendar].[H_Merch].[MerchYearWeek].&amp;[202119]"/>
                <p n="[Calendar].[H_Merch].[MerchYearMonthName].&amp;[2021-Mayıs]"/>
                <p n="[Calendar].[H_Merch].[MerchYear].&amp;[2021]"/>
              </i>
              <i n="[Calendar].[H_Merch].[Date].&amp;[2021-05-10T00:00:00]" c="10.05.2021" nd="1">
                <p n="[Calendar].[H_Merch].[MerchYearWeek].&amp;[202120]"/>
                <p n="[Calendar].[H_Merch].[MerchYearMonthName].&amp;[2021-Mayıs]"/>
                <p n="[Calendar].[H_Merch].[MerchYear].&amp;[2021]"/>
              </i>
              <i n="[Calendar].[H_Merch].[Date].&amp;[2021-05-11T00:00:00]" c="11.05.2021" nd="1">
                <p n="[Calendar].[H_Merch].[MerchYearWeek].&amp;[202120]"/>
                <p n="[Calendar].[H_Merch].[MerchYearMonthName].&amp;[2021-Mayıs]"/>
                <p n="[Calendar].[H_Merch].[MerchYear].&amp;[2021]"/>
              </i>
              <i n="[Calendar].[H_Merch].[Date].&amp;[2021-05-12T00:00:00]" c="12.05.2021" nd="1">
                <p n="[Calendar].[H_Merch].[MerchYearWeek].&amp;[202120]"/>
                <p n="[Calendar].[H_Merch].[MerchYearMonthName].&amp;[2021-Mayıs]"/>
                <p n="[Calendar].[H_Merch].[MerchYear].&amp;[2021]"/>
              </i>
              <i n="[Calendar].[H_Merch].[Date].&amp;[2021-05-13T00:00:00]" c="13.05.2021" nd="1">
                <p n="[Calendar].[H_Merch].[MerchYearWeek].&amp;[202120]"/>
                <p n="[Calendar].[H_Merch].[MerchYearMonthName].&amp;[2021-Mayıs]"/>
                <p n="[Calendar].[H_Merch].[MerchYear].&amp;[2021]"/>
              </i>
              <i n="[Calendar].[H_Merch].[Date].&amp;[2021-05-14T00:00:00]" c="14.05.2021" nd="1">
                <p n="[Calendar].[H_Merch].[MerchYearWeek].&amp;[202120]"/>
                <p n="[Calendar].[H_Merch].[MerchYearMonthName].&amp;[2021-Mayıs]"/>
                <p n="[Calendar].[H_Merch].[MerchYear].&amp;[2021]"/>
              </i>
              <i n="[Calendar].[H_Merch].[Date].&amp;[2021-05-15T00:00:00]" c="15.05.2021" nd="1">
                <p n="[Calendar].[H_Merch].[MerchYearWeek].&amp;[202120]"/>
                <p n="[Calendar].[H_Merch].[MerchYearMonthName].&amp;[2021-Mayıs]"/>
                <p n="[Calendar].[H_Merch].[MerchYear].&amp;[2021]"/>
              </i>
              <i n="[Calendar].[H_Merch].[Date].&amp;[2021-05-16T00:00:00]" c="16.05.2021" nd="1">
                <p n="[Calendar].[H_Merch].[MerchYearWeek].&amp;[202120]"/>
                <p n="[Calendar].[H_Merch].[MerchYearMonthName].&amp;[2021-Mayıs]"/>
                <p n="[Calendar].[H_Merch].[MerchYear].&amp;[2021]"/>
              </i>
              <i n="[Calendar].[H_Merch].[Date].&amp;[2021-05-17T00:00:00]" c="17.05.2021" nd="1">
                <p n="[Calendar].[H_Merch].[MerchYearWeek].&amp;[202121]"/>
                <p n="[Calendar].[H_Merch].[MerchYearMonthName].&amp;[2021-Mayıs]"/>
                <p n="[Calendar].[H_Merch].[MerchYear].&amp;[2021]"/>
              </i>
              <i n="[Calendar].[H_Merch].[Date].&amp;[2021-05-18T00:00:00]" c="18.05.2021" nd="1">
                <p n="[Calendar].[H_Merch].[MerchYearWeek].&amp;[202121]"/>
                <p n="[Calendar].[H_Merch].[MerchYearMonthName].&amp;[2021-Mayıs]"/>
                <p n="[Calendar].[H_Merch].[MerchYear].&amp;[2021]"/>
              </i>
              <i n="[Calendar].[H_Merch].[Date].&amp;[2021-05-19T00:00:00]" c="19.05.2021" nd="1">
                <p n="[Calendar].[H_Merch].[MerchYearWeek].&amp;[202121]"/>
                <p n="[Calendar].[H_Merch].[MerchYearMonthName].&amp;[2021-Mayıs]"/>
                <p n="[Calendar].[H_Merch].[MerchYear].&amp;[2021]"/>
              </i>
              <i n="[Calendar].[H_Merch].[Date].&amp;[2021-05-20T00:00:00]" c="20.05.2021" nd="1">
                <p n="[Calendar].[H_Merch].[MerchYearWeek].&amp;[202121]"/>
                <p n="[Calendar].[H_Merch].[MerchYearMonthName].&amp;[2021-Mayıs]"/>
                <p n="[Calendar].[H_Merch].[MerchYear].&amp;[2021]"/>
              </i>
              <i n="[Calendar].[H_Merch].[Date].&amp;[2021-05-21T00:00:00]" c="21.05.2021" nd="1">
                <p n="[Calendar].[H_Merch].[MerchYearWeek].&amp;[202121]"/>
                <p n="[Calendar].[H_Merch].[MerchYearMonthName].&amp;[2021-Mayıs]"/>
                <p n="[Calendar].[H_Merch].[MerchYear].&amp;[2021]"/>
              </i>
              <i n="[Calendar].[H_Merch].[Date].&amp;[2021-05-22T00:00:00]" c="22.05.2021" nd="1">
                <p n="[Calendar].[H_Merch].[MerchYearWeek].&amp;[202121]"/>
                <p n="[Calendar].[H_Merch].[MerchYearMonthName].&amp;[2021-Mayıs]"/>
                <p n="[Calendar].[H_Merch].[MerchYear].&amp;[2021]"/>
              </i>
              <i n="[Calendar].[H_Merch].[Date].&amp;[2021-05-23T00:00:00]" c="23.05.2021" nd="1">
                <p n="[Calendar].[H_Merch].[MerchYearWeek].&amp;[202121]"/>
                <p n="[Calendar].[H_Merch].[MerchYearMonthName].&amp;[2021-Mayıs]"/>
                <p n="[Calendar].[H_Merch].[MerchYear].&amp;[2021]"/>
              </i>
              <i n="[Calendar].[H_Merch].[Date].&amp;[2021-05-24T00:00:00]" c="24.05.2021" nd="1">
                <p n="[Calendar].[H_Merch].[MerchYearWeek].&amp;[202122]"/>
                <p n="[Calendar].[H_Merch].[MerchYearMonthName].&amp;[2021-Mayıs]"/>
                <p n="[Calendar].[H_Merch].[MerchYear].&amp;[2021]"/>
              </i>
              <i n="[Calendar].[H_Merch].[Date].&amp;[2021-05-25T00:00:00]" c="25.05.2021" nd="1">
                <p n="[Calendar].[H_Merch].[MerchYearWeek].&amp;[202122]"/>
                <p n="[Calendar].[H_Merch].[MerchYearMonthName].&amp;[2021-Mayıs]"/>
                <p n="[Calendar].[H_Merch].[MerchYear].&amp;[2021]"/>
              </i>
              <i n="[Calendar].[H_Merch].[Date].&amp;[2021-05-26T00:00:00]" c="26.05.2021" nd="1">
                <p n="[Calendar].[H_Merch].[MerchYearWeek].&amp;[202122]"/>
                <p n="[Calendar].[H_Merch].[MerchYearMonthName].&amp;[2021-Mayıs]"/>
                <p n="[Calendar].[H_Merch].[MerchYear].&amp;[2021]"/>
              </i>
              <i n="[Calendar].[H_Merch].[Date].&amp;[2021-05-27T00:00:00]" c="27.05.2021" nd="1">
                <p n="[Calendar].[H_Merch].[MerchYearWeek].&amp;[202122]"/>
                <p n="[Calendar].[H_Merch].[MerchYearMonthName].&amp;[2021-Mayıs]"/>
                <p n="[Calendar].[H_Merch].[MerchYear].&amp;[2021]"/>
              </i>
              <i n="[Calendar].[H_Merch].[Date].&amp;[2021-05-28T00:00:00]" c="28.05.2021" nd="1">
                <p n="[Calendar].[H_Merch].[MerchYearWeek].&amp;[202122]"/>
                <p n="[Calendar].[H_Merch].[MerchYearMonthName].&amp;[2021-Mayıs]"/>
                <p n="[Calendar].[H_Merch].[MerchYear].&amp;[2021]"/>
              </i>
              <i n="[Calendar].[H_Merch].[Date].&amp;[2021-05-29T00:00:00]" c="29.05.2021" nd="1">
                <p n="[Calendar].[H_Merch].[MerchYearWeek].&amp;[202122]"/>
                <p n="[Calendar].[H_Merch].[MerchYearMonthName].&amp;[2021-Mayıs]"/>
                <p n="[Calendar].[H_Merch].[MerchYear].&amp;[2021]"/>
              </i>
              <i n="[Calendar].[H_Merch].[Date].&amp;[2021-05-30T00:00:00]" c="30.05.2021" nd="1">
                <p n="[Calendar].[H_Merch].[MerchYearWeek].&amp;[202122]"/>
                <p n="[Calendar].[H_Merch].[MerchYearMonthName].&amp;[2021-Mayıs]"/>
                <p n="[Calendar].[H_Merch].[MerchYear].&amp;[2021]"/>
              </i>
              <i n="[Calendar].[H_Merch].[Date].&amp;[2021-05-31T00:00:00]" c="31.05.2021" nd="1">
                <p n="[Calendar].[H_Merch].[MerchYearWeek].&amp;[202123]"/>
                <p n="[Calendar].[H_Merch].[MerchYearMonthName].&amp;[2021-Haziran]"/>
                <p n="[Calendar].[H_Merch].[MerchYear].&amp;[2021]"/>
              </i>
              <i n="[Calendar].[H_Merch].[Date].&amp;[2021-06-01T00:00:00]" c="1.06.2021" nd="1">
                <p n="[Calendar].[H_Merch].[MerchYearWeek].&amp;[202123]"/>
                <p n="[Calendar].[H_Merch].[MerchYearMonthName].&amp;[2021-Haziran]"/>
                <p n="[Calendar].[H_Merch].[MerchYear].&amp;[2021]"/>
              </i>
              <i n="[Calendar].[H_Merch].[Date].&amp;[2021-06-02T00:00:00]" c="2.06.2021" nd="1">
                <p n="[Calendar].[H_Merch].[MerchYearWeek].&amp;[202123]"/>
                <p n="[Calendar].[H_Merch].[MerchYearMonthName].&amp;[2021-Haziran]"/>
                <p n="[Calendar].[H_Merch].[MerchYear].&amp;[2021]"/>
              </i>
              <i n="[Calendar].[H_Merch].[Date].&amp;[2021-06-03T00:00:00]" c="3.06.2021" nd="1">
                <p n="[Calendar].[H_Merch].[MerchYearWeek].&amp;[202123]"/>
                <p n="[Calendar].[H_Merch].[MerchYearMonthName].&amp;[2021-Haziran]"/>
                <p n="[Calendar].[H_Merch].[MerchYear].&amp;[2021]"/>
              </i>
              <i n="[Calendar].[H_Merch].[Date].&amp;[2021-06-04T00:00:00]" c="4.06.2021" nd="1">
                <p n="[Calendar].[H_Merch].[MerchYearWeek].&amp;[202123]"/>
                <p n="[Calendar].[H_Merch].[MerchYearMonthName].&amp;[2021-Haziran]"/>
                <p n="[Calendar].[H_Merch].[MerchYear].&amp;[2021]"/>
              </i>
              <i n="[Calendar].[H_Merch].[Date].&amp;[2021-06-05T00:00:00]" c="5.06.2021" nd="1">
                <p n="[Calendar].[H_Merch].[MerchYearWeek].&amp;[202123]"/>
                <p n="[Calendar].[H_Merch].[MerchYearMonthName].&amp;[2021-Haziran]"/>
                <p n="[Calendar].[H_Merch].[MerchYear].&amp;[2021]"/>
              </i>
              <i n="[Calendar].[H_Merch].[Date].&amp;[2021-06-06T00:00:00]" c="6.06.2021" nd="1">
                <p n="[Calendar].[H_Merch].[MerchYearWeek].&amp;[202123]"/>
                <p n="[Calendar].[H_Merch].[MerchYearMonthName].&amp;[2021-Haziran]"/>
                <p n="[Calendar].[H_Merch].[MerchYear].&amp;[2021]"/>
              </i>
              <i n="[Calendar].[H_Merch].[Date].&amp;[2021-06-07T00:00:00]" c="7.06.2021" nd="1">
                <p n="[Calendar].[H_Merch].[MerchYearWeek].&amp;[202124]"/>
                <p n="[Calendar].[H_Merch].[MerchYearMonthName].&amp;[2021-Haziran]"/>
                <p n="[Calendar].[H_Merch].[MerchYear].&amp;[2021]"/>
              </i>
              <i n="[Calendar].[H_Merch].[Date].&amp;[2021-06-08T00:00:00]" c="8.06.2021" nd="1">
                <p n="[Calendar].[H_Merch].[MerchYearWeek].&amp;[202124]"/>
                <p n="[Calendar].[H_Merch].[MerchYearMonthName].&amp;[2021-Haziran]"/>
                <p n="[Calendar].[H_Merch].[MerchYear].&amp;[2021]"/>
              </i>
              <i n="[Calendar].[H_Merch].[Date].&amp;[2021-06-09T00:00:00]" c="9.06.2021" nd="1">
                <p n="[Calendar].[H_Merch].[MerchYearWeek].&amp;[202124]"/>
                <p n="[Calendar].[H_Merch].[MerchYearMonthName].&amp;[2021-Haziran]"/>
                <p n="[Calendar].[H_Merch].[MerchYear].&amp;[2021]"/>
              </i>
              <i n="[Calendar].[H_Merch].[Date].&amp;[2021-06-10T00:00:00]" c="10.06.2021" nd="1">
                <p n="[Calendar].[H_Merch].[MerchYearWeek].&amp;[202124]"/>
                <p n="[Calendar].[H_Merch].[MerchYearMonthName].&amp;[2021-Haziran]"/>
                <p n="[Calendar].[H_Merch].[MerchYear].&amp;[2021]"/>
              </i>
              <i n="[Calendar].[H_Merch].[Date].&amp;[2021-06-11T00:00:00]" c="11.06.2021" nd="1">
                <p n="[Calendar].[H_Merch].[MerchYearWeek].&amp;[202124]"/>
                <p n="[Calendar].[H_Merch].[MerchYearMonthName].&amp;[2021-Haziran]"/>
                <p n="[Calendar].[H_Merch].[MerchYear].&amp;[2021]"/>
              </i>
              <i n="[Calendar].[H_Merch].[Date].&amp;[2021-06-12T00:00:00]" c="12.06.2021" nd="1">
                <p n="[Calendar].[H_Merch].[MerchYearWeek].&amp;[202124]"/>
                <p n="[Calendar].[H_Merch].[MerchYearMonthName].&amp;[2021-Haziran]"/>
                <p n="[Calendar].[H_Merch].[MerchYear].&amp;[2021]"/>
              </i>
              <i n="[Calendar].[H_Merch].[Date].&amp;[2021-06-13T00:00:00]" c="13.06.2021" nd="1">
                <p n="[Calendar].[H_Merch].[MerchYearWeek].&amp;[202124]"/>
                <p n="[Calendar].[H_Merch].[MerchYearMonthName].&amp;[2021-Haziran]"/>
                <p n="[Calendar].[H_Merch].[MerchYear].&amp;[2021]"/>
              </i>
              <i n="[Calendar].[H_Merch].[Date].&amp;[2021-06-14T00:00:00]" c="14.06.2021" nd="1">
                <p n="[Calendar].[H_Merch].[MerchYearWeek].&amp;[202125]"/>
                <p n="[Calendar].[H_Merch].[MerchYearMonthName].&amp;[2021-Haziran]"/>
                <p n="[Calendar].[H_Merch].[MerchYear].&amp;[2021]"/>
              </i>
              <i n="[Calendar].[H_Merch].[Date].&amp;[2021-06-15T00:00:00]" c="15.06.2021" nd="1">
                <p n="[Calendar].[H_Merch].[MerchYearWeek].&amp;[202125]"/>
                <p n="[Calendar].[H_Merch].[MerchYearMonthName].&amp;[2021-Haziran]"/>
                <p n="[Calendar].[H_Merch].[MerchYear].&amp;[2021]"/>
              </i>
              <i n="[Calendar].[H_Merch].[Date].&amp;[2021-06-16T00:00:00]" c="16.06.2021" nd="1">
                <p n="[Calendar].[H_Merch].[MerchYearWeek].&amp;[202125]"/>
                <p n="[Calendar].[H_Merch].[MerchYearMonthName].&amp;[2021-Haziran]"/>
                <p n="[Calendar].[H_Merch].[MerchYear].&amp;[2021]"/>
              </i>
              <i n="[Calendar].[H_Merch].[Date].&amp;[2021-06-17T00:00:00]" c="17.06.2021" nd="1">
                <p n="[Calendar].[H_Merch].[MerchYearWeek].&amp;[202125]"/>
                <p n="[Calendar].[H_Merch].[MerchYearMonthName].&amp;[2021-Haziran]"/>
                <p n="[Calendar].[H_Merch].[MerchYear].&amp;[2021]"/>
              </i>
              <i n="[Calendar].[H_Merch].[Date].&amp;[2021-06-18T00:00:00]" c="18.06.2021" nd="1">
                <p n="[Calendar].[H_Merch].[MerchYearWeek].&amp;[202125]"/>
                <p n="[Calendar].[H_Merch].[MerchYearMonthName].&amp;[2021-Haziran]"/>
                <p n="[Calendar].[H_Merch].[MerchYear].&amp;[2021]"/>
              </i>
              <i n="[Calendar].[H_Merch].[Date].&amp;[2021-06-19T00:00:00]" c="19.06.2021" nd="1">
                <p n="[Calendar].[H_Merch].[MerchYearWeek].&amp;[202125]"/>
                <p n="[Calendar].[H_Merch].[MerchYearMonthName].&amp;[2021-Haziran]"/>
                <p n="[Calendar].[H_Merch].[MerchYear].&amp;[2021]"/>
              </i>
              <i n="[Calendar].[H_Merch].[Date].&amp;[2021-06-20T00:00:00]" c="20.06.2021" nd="1">
                <p n="[Calendar].[H_Merch].[MerchYearWeek].&amp;[202125]"/>
                <p n="[Calendar].[H_Merch].[MerchYearMonthName].&amp;[2021-Haziran]"/>
                <p n="[Calendar].[H_Merch].[MerchYear].&amp;[2021]"/>
              </i>
              <i n="[Calendar].[H_Merch].[Date].&amp;[2021-06-21T00:00:00]" c="21.06.2021" nd="1">
                <p n="[Calendar].[H_Merch].[MerchYearWeek].&amp;[202126]"/>
                <p n="[Calendar].[H_Merch].[MerchYearMonthName].&amp;[2021-Haziran]"/>
                <p n="[Calendar].[H_Merch].[MerchYear].&amp;[2021]"/>
              </i>
              <i n="[Calendar].[H_Merch].[Date].&amp;[2021-06-22T00:00:00]" c="22.06.2021" nd="1">
                <p n="[Calendar].[H_Merch].[MerchYearWeek].&amp;[202126]"/>
                <p n="[Calendar].[H_Merch].[MerchYearMonthName].&amp;[2021-Haziran]"/>
                <p n="[Calendar].[H_Merch].[MerchYear].&amp;[2021]"/>
              </i>
              <i n="[Calendar].[H_Merch].[Date].&amp;[2021-06-23T00:00:00]" c="23.06.2021" nd="1">
                <p n="[Calendar].[H_Merch].[MerchYearWeek].&amp;[202126]"/>
                <p n="[Calendar].[H_Merch].[MerchYearMonthName].&amp;[2021-Haziran]"/>
                <p n="[Calendar].[H_Merch].[MerchYear].&amp;[2021]"/>
              </i>
              <i n="[Calendar].[H_Merch].[Date].&amp;[2021-06-24T00:00:00]" c="24.06.2021" nd="1">
                <p n="[Calendar].[H_Merch].[MerchYearWeek].&amp;[202126]"/>
                <p n="[Calendar].[H_Merch].[MerchYearMonthName].&amp;[2021-Haziran]"/>
                <p n="[Calendar].[H_Merch].[MerchYear].&amp;[2021]"/>
              </i>
              <i n="[Calendar].[H_Merch].[Date].&amp;[2021-06-25T00:00:00]" c="25.06.2021" nd="1">
                <p n="[Calendar].[H_Merch].[MerchYearWeek].&amp;[202126]"/>
                <p n="[Calendar].[H_Merch].[MerchYearMonthName].&amp;[2021-Haziran]"/>
                <p n="[Calendar].[H_Merch].[MerchYear].&amp;[2021]"/>
              </i>
              <i n="[Calendar].[H_Merch].[Date].&amp;[2021-06-26T00:00:00]" c="26.06.2021" nd="1">
                <p n="[Calendar].[H_Merch].[MerchYearWeek].&amp;[202126]"/>
                <p n="[Calendar].[H_Merch].[MerchYearMonthName].&amp;[2021-Haziran]"/>
                <p n="[Calendar].[H_Merch].[MerchYear].&amp;[2021]"/>
              </i>
              <i n="[Calendar].[H_Merch].[Date].&amp;[2021-06-27T00:00:00]" c="27.06.2021" nd="1">
                <p n="[Calendar].[H_Merch].[MerchYearWeek].&amp;[202126]"/>
                <p n="[Calendar].[H_Merch].[MerchYearMonthName].&amp;[2021-Haziran]"/>
                <p n="[Calendar].[H_Merch].[MerchYear].&amp;[2021]"/>
              </i>
              <i n="[Calendar].[H_Merch].[Date].&amp;[2021-06-28T00:00:00]" c="28.06.2021" nd="1">
                <p n="[Calendar].[H_Merch].[MerchYearWeek].&amp;[202127]"/>
                <p n="[Calendar].[H_Merch].[MerchYearMonthName].&amp;[2021-Temmuz]"/>
                <p n="[Calendar].[H_Merch].[MerchYear].&amp;[2021]"/>
              </i>
              <i n="[Calendar].[H_Merch].[Date].&amp;[2021-06-29T00:00:00]" c="29.06.2021" nd="1">
                <p n="[Calendar].[H_Merch].[MerchYearWeek].&amp;[202127]"/>
                <p n="[Calendar].[H_Merch].[MerchYearMonthName].&amp;[2021-Temmuz]"/>
                <p n="[Calendar].[H_Merch].[MerchYear].&amp;[2021]"/>
              </i>
              <i n="[Calendar].[H_Merch].[Date].&amp;[2021-06-30T00:00:00]" c="30.06.2021" nd="1">
                <p n="[Calendar].[H_Merch].[MerchYearWeek].&amp;[202127]"/>
                <p n="[Calendar].[H_Merch].[MerchYearMonthName].&amp;[2021-Temmuz]"/>
                <p n="[Calendar].[H_Merch].[MerchYear].&amp;[2021]"/>
              </i>
              <i n="[Calendar].[H_Merch].[Date].&amp;[2021-07-01T00:00:00]" c="1.07.2021" nd="1">
                <p n="[Calendar].[H_Merch].[MerchYearWeek].&amp;[202127]"/>
                <p n="[Calendar].[H_Merch].[MerchYearMonthName].&amp;[2021-Temmuz]"/>
                <p n="[Calendar].[H_Merch].[MerchYear].&amp;[2021]"/>
              </i>
              <i n="[Calendar].[H_Merch].[Date].&amp;[2021-07-02T00:00:00]" c="2.07.2021" nd="1">
                <p n="[Calendar].[H_Merch].[MerchYearWeek].&amp;[202127]"/>
                <p n="[Calendar].[H_Merch].[MerchYearMonthName].&amp;[2021-Temmuz]"/>
                <p n="[Calendar].[H_Merch].[MerchYear].&amp;[2021]"/>
              </i>
              <i n="[Calendar].[H_Merch].[Date].&amp;[2021-07-03T00:00:00]" c="3.07.2021" nd="1">
                <p n="[Calendar].[H_Merch].[MerchYearWeek].&amp;[202127]"/>
                <p n="[Calendar].[H_Merch].[MerchYearMonthName].&amp;[2021-Temmuz]"/>
                <p n="[Calendar].[H_Merch].[MerchYear].&amp;[2021]"/>
              </i>
              <i n="[Calendar].[H_Merch].[Date].&amp;[2021-07-04T00:00:00]" c="4.07.2021" nd="1">
                <p n="[Calendar].[H_Merch].[MerchYearWeek].&amp;[202127]"/>
                <p n="[Calendar].[H_Merch].[MerchYearMonthName].&amp;[2021-Temmuz]"/>
                <p n="[Calendar].[H_Merch].[MerchYear].&amp;[2021]"/>
              </i>
              <i n="[Calendar].[H_Merch].[Date].&amp;[2021-07-05T00:00:00]" c="5.07.2021" nd="1">
                <p n="[Calendar].[H_Merch].[MerchYearWeek].&amp;[202128]"/>
                <p n="[Calendar].[H_Merch].[MerchYearMonthName].&amp;[2021-Temmuz]"/>
                <p n="[Calendar].[H_Merch].[MerchYear].&amp;[2021]"/>
              </i>
              <i n="[Calendar].[H_Merch].[Date].&amp;[2021-07-06T00:00:00]" c="6.07.2021" nd="1">
                <p n="[Calendar].[H_Merch].[MerchYearWeek].&amp;[202128]"/>
                <p n="[Calendar].[H_Merch].[MerchYearMonthName].&amp;[2021-Temmuz]"/>
                <p n="[Calendar].[H_Merch].[MerchYear].&amp;[2021]"/>
              </i>
              <i n="[Calendar].[H_Merch].[Date].&amp;[2021-07-07T00:00:00]" c="7.07.2021" nd="1">
                <p n="[Calendar].[H_Merch].[MerchYearWeek].&amp;[202128]"/>
                <p n="[Calendar].[H_Merch].[MerchYearMonthName].&amp;[2021-Temmuz]"/>
                <p n="[Calendar].[H_Merch].[MerchYear].&amp;[2021]"/>
              </i>
              <i n="[Calendar].[H_Merch].[Date].&amp;[2021-07-08T00:00:00]" c="8.07.2021" nd="1">
                <p n="[Calendar].[H_Merch].[MerchYearWeek].&amp;[202128]"/>
                <p n="[Calendar].[H_Merch].[MerchYearMonthName].&amp;[2021-Temmuz]"/>
                <p n="[Calendar].[H_Merch].[MerchYear].&amp;[2021]"/>
              </i>
              <i n="[Calendar].[H_Merch].[Date].&amp;[2021-07-09T00:00:00]" c="9.07.2021" nd="1">
                <p n="[Calendar].[H_Merch].[MerchYearWeek].&amp;[202128]"/>
                <p n="[Calendar].[H_Merch].[MerchYearMonthName].&amp;[2021-Temmuz]"/>
                <p n="[Calendar].[H_Merch].[MerchYear].&amp;[2021]"/>
              </i>
              <i n="[Calendar].[H_Merch].[Date].&amp;[2021-07-10T00:00:00]" c="10.07.2021" nd="1">
                <p n="[Calendar].[H_Merch].[MerchYearWeek].&amp;[202128]"/>
                <p n="[Calendar].[H_Merch].[MerchYearMonthName].&amp;[2021-Temmuz]"/>
                <p n="[Calendar].[H_Merch].[MerchYear].&amp;[2021]"/>
              </i>
              <i n="[Calendar].[H_Merch].[Date].&amp;[2021-07-11T00:00:00]" c="11.07.2021" nd="1">
                <p n="[Calendar].[H_Merch].[MerchYearWeek].&amp;[202128]"/>
                <p n="[Calendar].[H_Merch].[MerchYearMonthName].&amp;[2021-Temmuz]"/>
                <p n="[Calendar].[H_Merch].[MerchYear].&amp;[2021]"/>
              </i>
              <i n="[Calendar].[H_Merch].[Date].&amp;[2021-07-12T00:00:00]" c="12.07.2021" nd="1">
                <p n="[Calendar].[H_Merch].[MerchYearWeek].&amp;[202129]"/>
                <p n="[Calendar].[H_Merch].[MerchYearMonthName].&amp;[2021-Temmuz]"/>
                <p n="[Calendar].[H_Merch].[MerchYear].&amp;[2021]"/>
              </i>
              <i n="[Calendar].[H_Merch].[Date].&amp;[2021-07-13T00:00:00]" c="13.07.2021" nd="1">
                <p n="[Calendar].[H_Merch].[MerchYearWeek].&amp;[202129]"/>
                <p n="[Calendar].[H_Merch].[MerchYearMonthName].&amp;[2021-Temmuz]"/>
                <p n="[Calendar].[H_Merch].[MerchYear].&amp;[2021]"/>
              </i>
              <i n="[Calendar].[H_Merch].[Date].&amp;[2021-07-14T00:00:00]" c="14.07.2021" nd="1">
                <p n="[Calendar].[H_Merch].[MerchYearWeek].&amp;[202129]"/>
                <p n="[Calendar].[H_Merch].[MerchYearMonthName].&amp;[2021-Temmuz]"/>
                <p n="[Calendar].[H_Merch].[MerchYear].&amp;[2021]"/>
              </i>
              <i n="[Calendar].[H_Merch].[Date].&amp;[2021-07-15T00:00:00]" c="15.07.2021" nd="1">
                <p n="[Calendar].[H_Merch].[MerchYearWeek].&amp;[202129]"/>
                <p n="[Calendar].[H_Merch].[MerchYearMonthName].&amp;[2021-Temmuz]"/>
                <p n="[Calendar].[H_Merch].[MerchYear].&amp;[2021]"/>
              </i>
              <i n="[Calendar].[H_Merch].[Date].&amp;[2021-07-16T00:00:00]" c="16.07.2021" nd="1">
                <p n="[Calendar].[H_Merch].[MerchYearWeek].&amp;[202129]"/>
                <p n="[Calendar].[H_Merch].[MerchYearMonthName].&amp;[2021-Temmuz]"/>
                <p n="[Calendar].[H_Merch].[MerchYear].&amp;[2021]"/>
              </i>
              <i n="[Calendar].[H_Merch].[Date].&amp;[2021-07-17T00:00:00]" c="17.07.2021" nd="1">
                <p n="[Calendar].[H_Merch].[MerchYearWeek].&amp;[202129]"/>
                <p n="[Calendar].[H_Merch].[MerchYearMonthName].&amp;[2021-Temmuz]"/>
                <p n="[Calendar].[H_Merch].[MerchYear].&amp;[2021]"/>
              </i>
              <i n="[Calendar].[H_Merch].[Date].&amp;[2021-07-18T00:00:00]" c="18.07.2021" nd="1">
                <p n="[Calendar].[H_Merch].[MerchYearWeek].&amp;[202129]"/>
                <p n="[Calendar].[H_Merch].[MerchYearMonthName].&amp;[2021-Temmuz]"/>
                <p n="[Calendar].[H_Merch].[MerchYear].&amp;[2021]"/>
              </i>
              <i n="[Calendar].[H_Merch].[Date].&amp;[2021-07-19T00:00:00]" c="19.07.2021" nd="1">
                <p n="[Calendar].[H_Merch].[MerchYearWeek].&amp;[202130]"/>
                <p n="[Calendar].[H_Merch].[MerchYearMonthName].&amp;[2021-Temmuz]"/>
                <p n="[Calendar].[H_Merch].[MerchYear].&amp;[2021]"/>
              </i>
              <i n="[Calendar].[H_Merch].[Date].&amp;[2021-07-20T00:00:00]" c="20.07.2021" nd="1">
                <p n="[Calendar].[H_Merch].[MerchYearWeek].&amp;[202130]"/>
                <p n="[Calendar].[H_Merch].[MerchYearMonthName].&amp;[2021-Temmuz]"/>
                <p n="[Calendar].[H_Merch].[MerchYear].&amp;[2021]"/>
              </i>
              <i n="[Calendar].[H_Merch].[Date].&amp;[2021-07-21T00:00:00]" c="21.07.2021" nd="1">
                <p n="[Calendar].[H_Merch].[MerchYearWeek].&amp;[202130]"/>
                <p n="[Calendar].[H_Merch].[MerchYearMonthName].&amp;[2021-Temmuz]"/>
                <p n="[Calendar].[H_Merch].[MerchYear].&amp;[2021]"/>
              </i>
              <i n="[Calendar].[H_Merch].[Date].&amp;[2021-07-22T00:00:00]" c="22.07.2021" nd="1">
                <p n="[Calendar].[H_Merch].[MerchYearWeek].&amp;[202130]"/>
                <p n="[Calendar].[H_Merch].[MerchYearMonthName].&amp;[2021-Temmuz]"/>
                <p n="[Calendar].[H_Merch].[MerchYear].&amp;[2021]"/>
              </i>
              <i n="[Calendar].[H_Merch].[Date].&amp;[2021-07-23T00:00:00]" c="23.07.2021" nd="1">
                <p n="[Calendar].[H_Merch].[MerchYearWeek].&amp;[202130]"/>
                <p n="[Calendar].[H_Merch].[MerchYearMonthName].&amp;[2021-Temmuz]"/>
                <p n="[Calendar].[H_Merch].[MerchYear].&amp;[2021]"/>
              </i>
              <i n="[Calendar].[H_Merch].[Date].&amp;[2021-07-24T00:00:00]" c="24.07.2021" nd="1">
                <p n="[Calendar].[H_Merch].[MerchYearWeek].&amp;[202130]"/>
                <p n="[Calendar].[H_Merch].[MerchYearMonthName].&amp;[2021-Temmuz]"/>
                <p n="[Calendar].[H_Merch].[MerchYear].&amp;[2021]"/>
              </i>
              <i n="[Calendar].[H_Merch].[Date].&amp;[2021-07-25T00:00:00]" c="25.07.2021" nd="1">
                <p n="[Calendar].[H_Merch].[MerchYearWeek].&amp;[202130]"/>
                <p n="[Calendar].[H_Merch].[MerchYearMonthName].&amp;[2021-Temmuz]"/>
                <p n="[Calendar].[H_Merch].[MerchYear].&amp;[2021]"/>
              </i>
              <i n="[Calendar].[H_Merch].[Date].&amp;[2021-07-26T00:00:00]" c="26.07.2021" nd="1">
                <p n="[Calendar].[H_Merch].[MerchYearWeek].&amp;[202131]"/>
                <p n="[Calendar].[H_Merch].[MerchYearMonthName].&amp;[2021-Temmuz]"/>
                <p n="[Calendar].[H_Merch].[MerchYear].&amp;[2021]"/>
              </i>
              <i n="[Calendar].[H_Merch].[Date].&amp;[2021-07-27T00:00:00]" c="27.07.2021" nd="1">
                <p n="[Calendar].[H_Merch].[MerchYearWeek].&amp;[202131]"/>
                <p n="[Calendar].[H_Merch].[MerchYearMonthName].&amp;[2021-Temmuz]"/>
                <p n="[Calendar].[H_Merch].[MerchYear].&amp;[2021]"/>
              </i>
              <i n="[Calendar].[H_Merch].[Date].&amp;[2021-07-28T00:00:00]" c="28.07.2021" nd="1">
                <p n="[Calendar].[H_Merch].[MerchYearWeek].&amp;[202131]"/>
                <p n="[Calendar].[H_Merch].[MerchYearMonthName].&amp;[2021-Temmuz]"/>
                <p n="[Calendar].[H_Merch].[MerchYear].&amp;[2021]"/>
              </i>
              <i n="[Calendar].[H_Merch].[Date].&amp;[2021-07-29T00:00:00]" c="29.07.2021" nd="1">
                <p n="[Calendar].[H_Merch].[MerchYearWeek].&amp;[202131]"/>
                <p n="[Calendar].[H_Merch].[MerchYearMonthName].&amp;[2021-Temmuz]"/>
                <p n="[Calendar].[H_Merch].[MerchYear].&amp;[2021]"/>
              </i>
              <i n="[Calendar].[H_Merch].[Date].&amp;[2021-07-30T00:00:00]" c="30.07.2021" nd="1">
                <p n="[Calendar].[H_Merch].[MerchYearWeek].&amp;[202131]"/>
                <p n="[Calendar].[H_Merch].[MerchYearMonthName].&amp;[2021-Temmuz]"/>
                <p n="[Calendar].[H_Merch].[MerchYear].&amp;[2021]"/>
              </i>
              <i n="[Calendar].[H_Merch].[Date].&amp;[2021-07-31T00:00:00]" c="31.07.2021" nd="1">
                <p n="[Calendar].[H_Merch].[MerchYearWeek].&amp;[202131]"/>
                <p n="[Calendar].[H_Merch].[MerchYearMonthName].&amp;[2021-Temmuz]"/>
                <p n="[Calendar].[H_Merch].[MerchYear].&amp;[2021]"/>
              </i>
              <i n="[Calendar].[H_Merch].[Date].&amp;[2021-08-01T00:00:00]" c="1.08.2021" nd="1">
                <p n="[Calendar].[H_Merch].[MerchYearWeek].&amp;[202131]"/>
                <p n="[Calendar].[H_Merch].[MerchYearMonthName].&amp;[2021-Temmuz]"/>
                <p n="[Calendar].[H_Merch].[MerchYear].&amp;[2021]"/>
              </i>
              <i n="[Calendar].[H_Merch].[Date].&amp;[2021-08-02T00:00:00]" c="2.08.2021" nd="1">
                <p n="[Calendar].[H_Merch].[MerchYearWeek].&amp;[202132]"/>
                <p n="[Calendar].[H_Merch].[MerchYearMonthName].&amp;[2021-Ağustos]"/>
                <p n="[Calendar].[H_Merch].[MerchYear].&amp;[2021]"/>
              </i>
              <i n="[Calendar].[H_Merch].[Date].&amp;[2021-08-03T00:00:00]" c="3.08.2021" nd="1">
                <p n="[Calendar].[H_Merch].[MerchYearWeek].&amp;[202132]"/>
                <p n="[Calendar].[H_Merch].[MerchYearMonthName].&amp;[2021-Ağustos]"/>
                <p n="[Calendar].[H_Merch].[MerchYear].&amp;[2021]"/>
              </i>
              <i n="[Calendar].[H_Merch].[Date].&amp;[2021-08-04T00:00:00]" c="4.08.2021" nd="1">
                <p n="[Calendar].[H_Merch].[MerchYearWeek].&amp;[202132]"/>
                <p n="[Calendar].[H_Merch].[MerchYearMonthName].&amp;[2021-Ağustos]"/>
                <p n="[Calendar].[H_Merch].[MerchYear].&amp;[2021]"/>
              </i>
              <i n="[Calendar].[H_Merch].[Date].&amp;[2021-08-05T00:00:00]" c="5.08.2021" nd="1">
                <p n="[Calendar].[H_Merch].[MerchYearWeek].&amp;[202132]"/>
                <p n="[Calendar].[H_Merch].[MerchYearMonthName].&amp;[2021-Ağustos]"/>
                <p n="[Calendar].[H_Merch].[MerchYear].&amp;[2021]"/>
              </i>
              <i n="[Calendar].[H_Merch].[Date].&amp;[2021-08-06T00:00:00]" c="6.08.2021" nd="1">
                <p n="[Calendar].[H_Merch].[MerchYearWeek].&amp;[202132]"/>
                <p n="[Calendar].[H_Merch].[MerchYearMonthName].&amp;[2021-Ağustos]"/>
                <p n="[Calendar].[H_Merch].[MerchYear].&amp;[2021]"/>
              </i>
              <i n="[Calendar].[H_Merch].[Date].&amp;[2021-08-07T00:00:00]" c="7.08.2021" nd="1">
                <p n="[Calendar].[H_Merch].[MerchYearWeek].&amp;[202132]"/>
                <p n="[Calendar].[H_Merch].[MerchYearMonthName].&amp;[2021-Ağustos]"/>
                <p n="[Calendar].[H_Merch].[MerchYear].&amp;[2021]"/>
              </i>
              <i n="[Calendar].[H_Merch].[Date].&amp;[2021-08-08T00:00:00]" c="8.08.2021" nd="1">
                <p n="[Calendar].[H_Merch].[MerchYearWeek].&amp;[202132]"/>
                <p n="[Calendar].[H_Merch].[MerchYearMonthName].&amp;[2021-Ağustos]"/>
                <p n="[Calendar].[H_Merch].[MerchYear].&amp;[2021]"/>
              </i>
              <i n="[Calendar].[H_Merch].[Date].&amp;[2021-08-09T00:00:00]" c="9.08.2021" nd="1">
                <p n="[Calendar].[H_Merch].[MerchYearWeek].&amp;[202133]"/>
                <p n="[Calendar].[H_Merch].[MerchYearMonthName].&amp;[2021-Ağustos]"/>
                <p n="[Calendar].[H_Merch].[MerchYear].&amp;[2021]"/>
              </i>
              <i n="[Calendar].[H_Merch].[Date].&amp;[2021-08-10T00:00:00]" c="10.08.2021" nd="1">
                <p n="[Calendar].[H_Merch].[MerchYearWeek].&amp;[202133]"/>
                <p n="[Calendar].[H_Merch].[MerchYearMonthName].&amp;[2021-Ağustos]"/>
                <p n="[Calendar].[H_Merch].[MerchYear].&amp;[2021]"/>
              </i>
              <i n="[Calendar].[H_Merch].[Date].&amp;[2021-08-11T00:00:00]" c="11.08.2021" nd="1">
                <p n="[Calendar].[H_Merch].[MerchYearWeek].&amp;[202133]"/>
                <p n="[Calendar].[H_Merch].[MerchYearMonthName].&amp;[2021-Ağustos]"/>
                <p n="[Calendar].[H_Merch].[MerchYear].&amp;[2021]"/>
              </i>
              <i n="[Calendar].[H_Merch].[Date].&amp;[2021-08-12T00:00:00]" c="12.08.2021" nd="1">
                <p n="[Calendar].[H_Merch].[MerchYearWeek].&amp;[202133]"/>
                <p n="[Calendar].[H_Merch].[MerchYearMonthName].&amp;[2021-Ağustos]"/>
                <p n="[Calendar].[H_Merch].[MerchYear].&amp;[2021]"/>
              </i>
              <i n="[Calendar].[H_Merch].[Date].&amp;[2021-08-13T00:00:00]" c="13.08.2021" nd="1">
                <p n="[Calendar].[H_Merch].[MerchYearWeek].&amp;[202133]"/>
                <p n="[Calendar].[H_Merch].[MerchYearMonthName].&amp;[2021-Ağustos]"/>
                <p n="[Calendar].[H_Merch].[MerchYear].&amp;[2021]"/>
              </i>
              <i n="[Calendar].[H_Merch].[Date].&amp;[2021-08-14T00:00:00]" c="14.08.2021" nd="1">
                <p n="[Calendar].[H_Merch].[MerchYearWeek].&amp;[202133]"/>
                <p n="[Calendar].[H_Merch].[MerchYearMonthName].&amp;[2021-Ağustos]"/>
                <p n="[Calendar].[H_Merch].[MerchYear].&amp;[2021]"/>
              </i>
              <i n="[Calendar].[H_Merch].[Date].&amp;[2021-08-15T00:00:00]" c="15.08.2021" nd="1">
                <p n="[Calendar].[H_Merch].[MerchYearWeek].&amp;[202133]"/>
                <p n="[Calendar].[H_Merch].[MerchYearMonthName].&amp;[2021-Ağustos]"/>
                <p n="[Calendar].[H_Merch].[MerchYear].&amp;[2021]"/>
              </i>
              <i n="[Calendar].[H_Merch].[Date].&amp;[2021-08-16T00:00:00]" c="16.08.2021" nd="1">
                <p n="[Calendar].[H_Merch].[MerchYearWeek].&amp;[202134]"/>
                <p n="[Calendar].[H_Merch].[MerchYearMonthName].&amp;[2021-Ağustos]"/>
                <p n="[Calendar].[H_Merch].[MerchYear].&amp;[2021]"/>
              </i>
              <i n="[Calendar].[H_Merch].[Date].&amp;[2021-08-17T00:00:00]" c="17.08.2021" nd="1">
                <p n="[Calendar].[H_Merch].[MerchYearWeek].&amp;[202134]"/>
                <p n="[Calendar].[H_Merch].[MerchYearMonthName].&amp;[2021-Ağustos]"/>
                <p n="[Calendar].[H_Merch].[MerchYear].&amp;[2021]"/>
              </i>
              <i n="[Calendar].[H_Merch].[Date].&amp;[2021-08-18T00:00:00]" c="18.08.2021" nd="1">
                <p n="[Calendar].[H_Merch].[MerchYearWeek].&amp;[202134]"/>
                <p n="[Calendar].[H_Merch].[MerchYearMonthName].&amp;[2021-Ağustos]"/>
                <p n="[Calendar].[H_Merch].[MerchYear].&amp;[2021]"/>
              </i>
              <i n="[Calendar].[H_Merch].[Date].&amp;[2021-08-19T00:00:00]" c="19.08.2021" nd="1">
                <p n="[Calendar].[H_Merch].[MerchYearWeek].&amp;[202134]"/>
                <p n="[Calendar].[H_Merch].[MerchYearMonthName].&amp;[2021-Ağustos]"/>
                <p n="[Calendar].[H_Merch].[MerchYear].&amp;[2021]"/>
              </i>
              <i n="[Calendar].[H_Merch].[Date].&amp;[2021-08-20T00:00:00]" c="20.08.2021" nd="1">
                <p n="[Calendar].[H_Merch].[MerchYearWeek].&amp;[202134]"/>
                <p n="[Calendar].[H_Merch].[MerchYearMonthName].&amp;[2021-Ağustos]"/>
                <p n="[Calendar].[H_Merch].[MerchYear].&amp;[2021]"/>
              </i>
              <i n="[Calendar].[H_Merch].[Date].&amp;[2021-08-21T00:00:00]" c="21.08.2021" nd="1">
                <p n="[Calendar].[H_Merch].[MerchYearWeek].&amp;[202134]"/>
                <p n="[Calendar].[H_Merch].[MerchYearMonthName].&amp;[2021-Ağustos]"/>
                <p n="[Calendar].[H_Merch].[MerchYear].&amp;[2021]"/>
              </i>
              <i n="[Calendar].[H_Merch].[Date].&amp;[2021-08-22T00:00:00]" c="22.08.2021" nd="1">
                <p n="[Calendar].[H_Merch].[MerchYearWeek].&amp;[202134]"/>
                <p n="[Calendar].[H_Merch].[MerchYearMonthName].&amp;[2021-Ağustos]"/>
                <p n="[Calendar].[H_Merch].[MerchYear].&amp;[2021]"/>
              </i>
              <i n="[Calendar].[H_Merch].[Date].&amp;[2021-08-23T00:00:00]" c="23.08.2021" nd="1">
                <p n="[Calendar].[H_Merch].[MerchYearWeek].&amp;[202135]"/>
                <p n="[Calendar].[H_Merch].[MerchYearMonthName].&amp;[2021-Ağustos]"/>
                <p n="[Calendar].[H_Merch].[MerchYear].&amp;[2021]"/>
              </i>
              <i n="[Calendar].[H_Merch].[Date].&amp;[2021-08-24T00:00:00]" c="24.08.2021" nd="1">
                <p n="[Calendar].[H_Merch].[MerchYearWeek].&amp;[202135]"/>
                <p n="[Calendar].[H_Merch].[MerchYearMonthName].&amp;[2021-Ağustos]"/>
                <p n="[Calendar].[H_Merch].[MerchYear].&amp;[2021]"/>
              </i>
              <i n="[Calendar].[H_Merch].[Date].&amp;[2021-08-25T00:00:00]" c="25.08.2021" nd="1">
                <p n="[Calendar].[H_Merch].[MerchYearWeek].&amp;[202135]"/>
                <p n="[Calendar].[H_Merch].[MerchYearMonthName].&amp;[2021-Ağustos]"/>
                <p n="[Calendar].[H_Merch].[MerchYear].&amp;[2021]"/>
              </i>
              <i n="[Calendar].[H_Merch].[Date].&amp;[2021-08-26T00:00:00]" c="26.08.2021" nd="1">
                <p n="[Calendar].[H_Merch].[MerchYearWeek].&amp;[202135]"/>
                <p n="[Calendar].[H_Merch].[MerchYearMonthName].&amp;[2021-Ağustos]"/>
                <p n="[Calendar].[H_Merch].[MerchYear].&amp;[2021]"/>
              </i>
              <i n="[Calendar].[H_Merch].[Date].&amp;[2021-08-27T00:00:00]" c="27.08.2021" nd="1">
                <p n="[Calendar].[H_Merch].[MerchYearWeek].&amp;[202135]"/>
                <p n="[Calendar].[H_Merch].[MerchYearMonthName].&amp;[2021-Ağustos]"/>
                <p n="[Calendar].[H_Merch].[MerchYear].&amp;[2021]"/>
              </i>
              <i n="[Calendar].[H_Merch].[Date].&amp;[2021-08-28T00:00:00]" c="28.08.2021" nd="1">
                <p n="[Calendar].[H_Merch].[MerchYearWeek].&amp;[202135]"/>
                <p n="[Calendar].[H_Merch].[MerchYearMonthName].&amp;[2021-Ağustos]"/>
                <p n="[Calendar].[H_Merch].[MerchYear].&amp;[2021]"/>
              </i>
              <i n="[Calendar].[H_Merch].[Date].&amp;[2021-08-29T00:00:00]" c="29.08.2021" nd="1">
                <p n="[Calendar].[H_Merch].[MerchYearWeek].&amp;[202135]"/>
                <p n="[Calendar].[H_Merch].[MerchYearMonthName].&amp;[2021-Ağustos]"/>
                <p n="[Calendar].[H_Merch].[MerchYear].&amp;[2021]"/>
              </i>
              <i n="[Calendar].[H_Merch].[Date].&amp;[2021-08-30T00:00:00]" c="30.08.2021" nd="1">
                <p n="[Calendar].[H_Merch].[MerchYearWeek].&amp;[202136]"/>
                <p n="[Calendar].[H_Merch].[MerchYearMonthName].&amp;[2021-Eylül]"/>
                <p n="[Calendar].[H_Merch].[MerchYear].&amp;[2021]"/>
              </i>
              <i n="[Calendar].[H_Merch].[Date].&amp;[2021-08-31T00:00:00]" c="31.08.2021" nd="1">
                <p n="[Calendar].[H_Merch].[MerchYearWeek].&amp;[202136]"/>
                <p n="[Calendar].[H_Merch].[MerchYearMonthName].&amp;[2021-Eylül]"/>
                <p n="[Calendar].[H_Merch].[MerchYear].&amp;[2021]"/>
              </i>
              <i n="[Calendar].[H_Merch].[Date].&amp;[2021-09-01T00:00:00]" c="1.09.2021" nd="1">
                <p n="[Calendar].[H_Merch].[MerchYearWeek].&amp;[202136]"/>
                <p n="[Calendar].[H_Merch].[MerchYearMonthName].&amp;[2021-Eylül]"/>
                <p n="[Calendar].[H_Merch].[MerchYear].&amp;[2021]"/>
              </i>
              <i n="[Calendar].[H_Merch].[Date].&amp;[2021-09-02T00:00:00]" c="2.09.2021" nd="1">
                <p n="[Calendar].[H_Merch].[MerchYearWeek].&amp;[202136]"/>
                <p n="[Calendar].[H_Merch].[MerchYearMonthName].&amp;[2021-Eylül]"/>
                <p n="[Calendar].[H_Merch].[MerchYear].&amp;[2021]"/>
              </i>
              <i n="[Calendar].[H_Merch].[Date].&amp;[2021-09-03T00:00:00]" c="3.09.2021" nd="1">
                <p n="[Calendar].[H_Merch].[MerchYearWeek].&amp;[202136]"/>
                <p n="[Calendar].[H_Merch].[MerchYearMonthName].&amp;[2021-Eylül]"/>
                <p n="[Calendar].[H_Merch].[MerchYear].&amp;[2021]"/>
              </i>
              <i n="[Calendar].[H_Merch].[Date].&amp;[2021-09-04T00:00:00]" c="4.09.2021" nd="1">
                <p n="[Calendar].[H_Merch].[MerchYearWeek].&amp;[202136]"/>
                <p n="[Calendar].[H_Merch].[MerchYearMonthName].&amp;[2021-Eylül]"/>
                <p n="[Calendar].[H_Merch].[MerchYear].&amp;[2021]"/>
              </i>
              <i n="[Calendar].[H_Merch].[Date].&amp;[2021-09-05T00:00:00]" c="5.09.2021" nd="1">
                <p n="[Calendar].[H_Merch].[MerchYearWeek].&amp;[202136]"/>
                <p n="[Calendar].[H_Merch].[MerchYearMonthName].&amp;[2021-Eylül]"/>
                <p n="[Calendar].[H_Merch].[MerchYear].&amp;[2021]"/>
              </i>
              <i n="[Calendar].[H_Merch].[Date].&amp;[2021-09-06T00:00:00]" c="6.09.2021" nd="1">
                <p n="[Calendar].[H_Merch].[MerchYearWeek].&amp;[202137]"/>
                <p n="[Calendar].[H_Merch].[MerchYearMonthName].&amp;[2021-Eylül]"/>
                <p n="[Calendar].[H_Merch].[MerchYear].&amp;[2021]"/>
              </i>
              <i n="[Calendar].[H_Merch].[Date].&amp;[2021-09-07T00:00:00]" c="7.09.2021" nd="1">
                <p n="[Calendar].[H_Merch].[MerchYearWeek].&amp;[202137]"/>
                <p n="[Calendar].[H_Merch].[MerchYearMonthName].&amp;[2021-Eylül]"/>
                <p n="[Calendar].[H_Merch].[MerchYear].&amp;[2021]"/>
              </i>
              <i n="[Calendar].[H_Merch].[Date].&amp;[2021-09-08T00:00:00]" c="8.09.2021" nd="1">
                <p n="[Calendar].[H_Merch].[MerchYearWeek].&amp;[202137]"/>
                <p n="[Calendar].[H_Merch].[MerchYearMonthName].&amp;[2021-Eylül]"/>
                <p n="[Calendar].[H_Merch].[MerchYear].&amp;[2021]"/>
              </i>
              <i n="[Calendar].[H_Merch].[Date].&amp;[2021-09-09T00:00:00]" c="9.09.2021" nd="1">
                <p n="[Calendar].[H_Merch].[MerchYearWeek].&amp;[202137]"/>
                <p n="[Calendar].[H_Merch].[MerchYearMonthName].&amp;[2021-Eylül]"/>
                <p n="[Calendar].[H_Merch].[MerchYear].&amp;[2021]"/>
              </i>
              <i n="[Calendar].[H_Merch].[Date].&amp;[2021-09-10T00:00:00]" c="10.09.2021" nd="1">
                <p n="[Calendar].[H_Merch].[MerchYearWeek].&amp;[202137]"/>
                <p n="[Calendar].[H_Merch].[MerchYearMonthName].&amp;[2021-Eylül]"/>
                <p n="[Calendar].[H_Merch].[MerchYear].&amp;[2021]"/>
              </i>
              <i n="[Calendar].[H_Merch].[Date].&amp;[2021-09-11T00:00:00]" c="11.09.2021" nd="1">
                <p n="[Calendar].[H_Merch].[MerchYearWeek].&amp;[202137]"/>
                <p n="[Calendar].[H_Merch].[MerchYearMonthName].&amp;[2021-Eylül]"/>
                <p n="[Calendar].[H_Merch].[MerchYear].&amp;[2021]"/>
              </i>
              <i n="[Calendar].[H_Merch].[Date].&amp;[2021-09-12T00:00:00]" c="12.09.2021" nd="1">
                <p n="[Calendar].[H_Merch].[MerchYearWeek].&amp;[202137]"/>
                <p n="[Calendar].[H_Merch].[MerchYearMonthName].&amp;[2021-Eylül]"/>
                <p n="[Calendar].[H_Merch].[MerchYear].&amp;[2021]"/>
              </i>
              <i n="[Calendar].[H_Merch].[Date].&amp;[2021-09-13T00:00:00]" c="13.09.2021" nd="1">
                <p n="[Calendar].[H_Merch].[MerchYearWeek].&amp;[202138]"/>
                <p n="[Calendar].[H_Merch].[MerchYearMonthName].&amp;[2021-Eylül]"/>
                <p n="[Calendar].[H_Merch].[MerchYear].&amp;[2021]"/>
              </i>
              <i n="[Calendar].[H_Merch].[Date].&amp;[2021-09-14T00:00:00]" c="14.09.2021" nd="1">
                <p n="[Calendar].[H_Merch].[MerchYearWeek].&amp;[202138]"/>
                <p n="[Calendar].[H_Merch].[MerchYearMonthName].&amp;[2021-Eylül]"/>
                <p n="[Calendar].[H_Merch].[MerchYear].&amp;[2021]"/>
              </i>
              <i n="[Calendar].[H_Merch].[Date].&amp;[2021-09-15T00:00:00]" c="15.09.2021" nd="1">
                <p n="[Calendar].[H_Merch].[MerchYearWeek].&amp;[202138]"/>
                <p n="[Calendar].[H_Merch].[MerchYearMonthName].&amp;[2021-Eylül]"/>
                <p n="[Calendar].[H_Merch].[MerchYear].&amp;[2021]"/>
              </i>
              <i n="[Calendar].[H_Merch].[Date].&amp;[2021-09-16T00:00:00]" c="16.09.2021" nd="1">
                <p n="[Calendar].[H_Merch].[MerchYearWeek].&amp;[202138]"/>
                <p n="[Calendar].[H_Merch].[MerchYearMonthName].&amp;[2021-Eylül]"/>
                <p n="[Calendar].[H_Merch].[MerchYear].&amp;[2021]"/>
              </i>
              <i n="[Calendar].[H_Merch].[Date].&amp;[2021-09-17T00:00:00]" c="17.09.2021" nd="1">
                <p n="[Calendar].[H_Merch].[MerchYearWeek].&amp;[202138]"/>
                <p n="[Calendar].[H_Merch].[MerchYearMonthName].&amp;[2021-Eylül]"/>
                <p n="[Calendar].[H_Merch].[MerchYear].&amp;[2021]"/>
              </i>
              <i n="[Calendar].[H_Merch].[Date].&amp;[2021-09-18T00:00:00]" c="18.09.2021" nd="1">
                <p n="[Calendar].[H_Merch].[MerchYearWeek].&amp;[202138]"/>
                <p n="[Calendar].[H_Merch].[MerchYearMonthName].&amp;[2021-Eylül]"/>
                <p n="[Calendar].[H_Merch].[MerchYear].&amp;[2021]"/>
              </i>
              <i n="[Calendar].[H_Merch].[Date].&amp;[2021-09-19T00:00:00]" c="19.09.2021" nd="1">
                <p n="[Calendar].[H_Merch].[MerchYearWeek].&amp;[202138]"/>
                <p n="[Calendar].[H_Merch].[MerchYearMonthName].&amp;[2021-Eylül]"/>
                <p n="[Calendar].[H_Merch].[MerchYear].&amp;[2021]"/>
              </i>
              <i n="[Calendar].[H_Merch].[Date].&amp;[2021-09-20T00:00:00]" c="20.09.2021" nd="1">
                <p n="[Calendar].[H_Merch].[MerchYearWeek].&amp;[202139]"/>
                <p n="[Calendar].[H_Merch].[MerchYearMonthName].&amp;[2021-Eylül]"/>
                <p n="[Calendar].[H_Merch].[MerchYear].&amp;[2021]"/>
              </i>
              <i n="[Calendar].[H_Merch].[Date].&amp;[2021-09-21T00:00:00]" c="21.09.2021" nd="1">
                <p n="[Calendar].[H_Merch].[MerchYearWeek].&amp;[202139]"/>
                <p n="[Calendar].[H_Merch].[MerchYearMonthName].&amp;[2021-Eylül]"/>
                <p n="[Calendar].[H_Merch].[MerchYear].&amp;[2021]"/>
              </i>
              <i n="[Calendar].[H_Merch].[Date].&amp;[2021-09-22T00:00:00]" c="22.09.2021" nd="1">
                <p n="[Calendar].[H_Merch].[MerchYearWeek].&amp;[202139]"/>
                <p n="[Calendar].[H_Merch].[MerchYearMonthName].&amp;[2021-Eylül]"/>
                <p n="[Calendar].[H_Merch].[MerchYear].&amp;[2021]"/>
              </i>
              <i n="[Calendar].[H_Merch].[Date].&amp;[2021-09-23T00:00:00]" c="23.09.2021" nd="1">
                <p n="[Calendar].[H_Merch].[MerchYearWeek].&amp;[202139]"/>
                <p n="[Calendar].[H_Merch].[MerchYearMonthName].&amp;[2021-Eylül]"/>
                <p n="[Calendar].[H_Merch].[MerchYear].&amp;[2021]"/>
              </i>
              <i n="[Calendar].[H_Merch].[Date].&amp;[2021-09-24T00:00:00]" c="24.09.2021" nd="1">
                <p n="[Calendar].[H_Merch].[MerchYearWeek].&amp;[202139]"/>
                <p n="[Calendar].[H_Merch].[MerchYearMonthName].&amp;[2021-Eylül]"/>
                <p n="[Calendar].[H_Merch].[MerchYear].&amp;[2021]"/>
              </i>
              <i n="[Calendar].[H_Merch].[Date].&amp;[2021-09-25T00:00:00]" c="25.09.2021" nd="1">
                <p n="[Calendar].[H_Merch].[MerchYearWeek].&amp;[202139]"/>
                <p n="[Calendar].[H_Merch].[MerchYearMonthName].&amp;[2021-Eylül]"/>
                <p n="[Calendar].[H_Merch].[MerchYear].&amp;[2021]"/>
              </i>
              <i n="[Calendar].[H_Merch].[Date].&amp;[2021-09-26T00:00:00]" c="26.09.2021" nd="1">
                <p n="[Calendar].[H_Merch].[MerchYearWeek].&amp;[202139]"/>
                <p n="[Calendar].[H_Merch].[MerchYearMonthName].&amp;[2021-Eylül]"/>
                <p n="[Calendar].[H_Merch].[MerchYear].&amp;[2021]"/>
              </i>
              <i n="[Calendar].[H_Merch].[Date].&amp;[2021-09-27T00:00:00]" c="27.09.2021" nd="1">
                <p n="[Calendar].[H_Merch].[MerchYearWeek].&amp;[202140]"/>
                <p n="[Calendar].[H_Merch].[MerchYearMonthName].&amp;[2021-Ekim]"/>
                <p n="[Calendar].[H_Merch].[MerchYear].&amp;[2021]"/>
              </i>
              <i n="[Calendar].[H_Merch].[Date].&amp;[2021-09-28T00:00:00]" c="28.09.2021" nd="1">
                <p n="[Calendar].[H_Merch].[MerchYearWeek].&amp;[202140]"/>
                <p n="[Calendar].[H_Merch].[MerchYearMonthName].&amp;[2021-Ekim]"/>
                <p n="[Calendar].[H_Merch].[MerchYear].&amp;[2021]"/>
              </i>
              <i n="[Calendar].[H_Merch].[Date].&amp;[2021-09-29T00:00:00]" c="29.09.2021" nd="1">
                <p n="[Calendar].[H_Merch].[MerchYearWeek].&amp;[202140]"/>
                <p n="[Calendar].[H_Merch].[MerchYearMonthName].&amp;[2021-Ekim]"/>
                <p n="[Calendar].[H_Merch].[MerchYear].&amp;[2021]"/>
              </i>
              <i n="[Calendar].[H_Merch].[Date].&amp;[2021-09-30T00:00:00]" c="30.09.2021" nd="1">
                <p n="[Calendar].[H_Merch].[MerchYearWeek].&amp;[202140]"/>
                <p n="[Calendar].[H_Merch].[MerchYearMonthName].&amp;[2021-Ekim]"/>
                <p n="[Calendar].[H_Merch].[MerchYear].&amp;[2021]"/>
              </i>
              <i n="[Calendar].[H_Merch].[Date].&amp;[2021-10-01T00:00:00]" c="1.10.2021" nd="1">
                <p n="[Calendar].[H_Merch].[MerchYearWeek].&amp;[202140]"/>
                <p n="[Calendar].[H_Merch].[MerchYearMonthName].&amp;[2021-Ekim]"/>
                <p n="[Calendar].[H_Merch].[MerchYear].&amp;[2021]"/>
              </i>
              <i n="[Calendar].[H_Merch].[Date].&amp;[2021-10-02T00:00:00]" c="2.10.2021" nd="1">
                <p n="[Calendar].[H_Merch].[MerchYearWeek].&amp;[202140]"/>
                <p n="[Calendar].[H_Merch].[MerchYearMonthName].&amp;[2021-Ekim]"/>
                <p n="[Calendar].[H_Merch].[MerchYear].&amp;[2021]"/>
              </i>
              <i n="[Calendar].[H_Merch].[Date].&amp;[2021-10-03T00:00:00]" c="3.10.2021" nd="1">
                <p n="[Calendar].[H_Merch].[MerchYearWeek].&amp;[202140]"/>
                <p n="[Calendar].[H_Merch].[MerchYearMonthName].&amp;[2021-Ekim]"/>
                <p n="[Calendar].[H_Merch].[MerchYear].&amp;[2021]"/>
              </i>
              <i n="[Calendar].[H_Merch].[Date].&amp;[2021-10-04T00:00:00]" c="4.10.2021" nd="1">
                <p n="[Calendar].[H_Merch].[MerchYearWeek].&amp;[202141]"/>
                <p n="[Calendar].[H_Merch].[MerchYearMonthName].&amp;[2021-Ekim]"/>
                <p n="[Calendar].[H_Merch].[MerchYear].&amp;[2021]"/>
              </i>
              <i n="[Calendar].[H_Merch].[Date].&amp;[2021-10-05T00:00:00]" c="5.10.2021" nd="1">
                <p n="[Calendar].[H_Merch].[MerchYearWeek].&amp;[202141]"/>
                <p n="[Calendar].[H_Merch].[MerchYearMonthName].&amp;[2021-Ekim]"/>
                <p n="[Calendar].[H_Merch].[MerchYear].&amp;[2021]"/>
              </i>
              <i n="[Calendar].[H_Merch].[Date].&amp;[2021-10-06T00:00:00]" c="6.10.2021" nd="1">
                <p n="[Calendar].[H_Merch].[MerchYearWeek].&amp;[202141]"/>
                <p n="[Calendar].[H_Merch].[MerchYearMonthName].&amp;[2021-Ekim]"/>
                <p n="[Calendar].[H_Merch].[MerchYear].&amp;[2021]"/>
              </i>
              <i n="[Calendar].[H_Merch].[Date].&amp;[2021-10-07T00:00:00]" c="7.10.2021" nd="1">
                <p n="[Calendar].[H_Merch].[MerchYearWeek].&amp;[202141]"/>
                <p n="[Calendar].[H_Merch].[MerchYearMonthName].&amp;[2021-Ekim]"/>
                <p n="[Calendar].[H_Merch].[MerchYear].&amp;[2021]"/>
              </i>
              <i n="[Calendar].[H_Merch].[Date].&amp;[2021-10-08T00:00:00]" c="8.10.2021" nd="1">
                <p n="[Calendar].[H_Merch].[MerchYearWeek].&amp;[202141]"/>
                <p n="[Calendar].[H_Merch].[MerchYearMonthName].&amp;[2021-Ekim]"/>
                <p n="[Calendar].[H_Merch].[MerchYear].&amp;[2021]"/>
              </i>
              <i n="[Calendar].[H_Merch].[Date].&amp;[2021-10-09T00:00:00]" c="9.10.2021" nd="1">
                <p n="[Calendar].[H_Merch].[MerchYearWeek].&amp;[202141]"/>
                <p n="[Calendar].[H_Merch].[MerchYearMonthName].&amp;[2021-Ekim]"/>
                <p n="[Calendar].[H_Merch].[MerchYear].&amp;[2021]"/>
              </i>
              <i n="[Calendar].[H_Merch].[Date].&amp;[2021-10-10T00:00:00]" c="10.10.2021" nd="1">
                <p n="[Calendar].[H_Merch].[MerchYearWeek].&amp;[202141]"/>
                <p n="[Calendar].[H_Merch].[MerchYearMonthName].&amp;[2021-Ekim]"/>
                <p n="[Calendar].[H_Merch].[MerchYear].&amp;[2021]"/>
              </i>
              <i n="[Calendar].[H_Merch].[Date].&amp;[2021-10-11T00:00:00]" c="11.10.2021" nd="1">
                <p n="[Calendar].[H_Merch].[MerchYearWeek].&amp;[202142]"/>
                <p n="[Calendar].[H_Merch].[MerchYearMonthName].&amp;[2021-Ekim]"/>
                <p n="[Calendar].[H_Merch].[MerchYear].&amp;[2021]"/>
              </i>
              <i n="[Calendar].[H_Merch].[Date].&amp;[2021-10-12T00:00:00]" c="12.10.2021" nd="1">
                <p n="[Calendar].[H_Merch].[MerchYearWeek].&amp;[202142]"/>
                <p n="[Calendar].[H_Merch].[MerchYearMonthName].&amp;[2021-Ekim]"/>
                <p n="[Calendar].[H_Merch].[MerchYear].&amp;[2021]"/>
              </i>
              <i n="[Calendar].[H_Merch].[Date].&amp;[2021-10-13T00:00:00]" c="13.10.2021" nd="1">
                <p n="[Calendar].[H_Merch].[MerchYearWeek].&amp;[202142]"/>
                <p n="[Calendar].[H_Merch].[MerchYearMonthName].&amp;[2021-Ekim]"/>
                <p n="[Calendar].[H_Merch].[MerchYear].&amp;[2021]"/>
              </i>
              <i n="[Calendar].[H_Merch].[Date].&amp;[2021-10-14T00:00:00]" c="14.10.2021" nd="1">
                <p n="[Calendar].[H_Merch].[MerchYearWeek].&amp;[202142]"/>
                <p n="[Calendar].[H_Merch].[MerchYearMonthName].&amp;[2021-Ekim]"/>
                <p n="[Calendar].[H_Merch].[MerchYear].&amp;[2021]"/>
              </i>
              <i n="[Calendar].[H_Merch].[Date].&amp;[2021-10-15T00:00:00]" c="15.10.2021" nd="1">
                <p n="[Calendar].[H_Merch].[MerchYearWeek].&amp;[202142]"/>
                <p n="[Calendar].[H_Merch].[MerchYearMonthName].&amp;[2021-Ekim]"/>
                <p n="[Calendar].[H_Merch].[MerchYear].&amp;[2021]"/>
              </i>
              <i n="[Calendar].[H_Merch].[Date].&amp;[2021-10-16T00:00:00]" c="16.10.2021" nd="1">
                <p n="[Calendar].[H_Merch].[MerchYearWeek].&amp;[202142]"/>
                <p n="[Calendar].[H_Merch].[MerchYearMonthName].&amp;[2021-Ekim]"/>
                <p n="[Calendar].[H_Merch].[MerchYear].&amp;[2021]"/>
              </i>
              <i n="[Calendar].[H_Merch].[Date].&amp;[2021-10-17T00:00:00]" c="17.10.2021" nd="1">
                <p n="[Calendar].[H_Merch].[MerchYearWeek].&amp;[202142]"/>
                <p n="[Calendar].[H_Merch].[MerchYearMonthName].&amp;[2021-Ekim]"/>
                <p n="[Calendar].[H_Merch].[MerchYear].&amp;[2021]"/>
              </i>
              <i n="[Calendar].[H_Merch].[Date].&amp;[2021-10-18T00:00:00]" c="18.10.2021" nd="1">
                <p n="[Calendar].[H_Merch].[MerchYearWeek].&amp;[202143]"/>
                <p n="[Calendar].[H_Merch].[MerchYearMonthName].&amp;[2021-Ekim]"/>
                <p n="[Calendar].[H_Merch].[MerchYear].&amp;[2021]"/>
              </i>
              <i n="[Calendar].[H_Merch].[Date].&amp;[2021-10-19T00:00:00]" c="19.10.2021" nd="1">
                <p n="[Calendar].[H_Merch].[MerchYearWeek].&amp;[202143]"/>
                <p n="[Calendar].[H_Merch].[MerchYearMonthName].&amp;[2021-Ekim]"/>
                <p n="[Calendar].[H_Merch].[MerchYear].&amp;[2021]"/>
              </i>
              <i n="[Calendar].[H_Merch].[Date].&amp;[2021-10-20T00:00:00]" c="20.10.2021" nd="1">
                <p n="[Calendar].[H_Merch].[MerchYearWeek].&amp;[202143]"/>
                <p n="[Calendar].[H_Merch].[MerchYearMonthName].&amp;[2021-Ekim]"/>
                <p n="[Calendar].[H_Merch].[MerchYear].&amp;[2021]"/>
              </i>
              <i n="[Calendar].[H_Merch].[Date].&amp;[2021-10-21T00:00:00]" c="21.10.2021" nd="1">
                <p n="[Calendar].[H_Merch].[MerchYearWeek].&amp;[202143]"/>
                <p n="[Calendar].[H_Merch].[MerchYearMonthName].&amp;[2021-Ekim]"/>
                <p n="[Calendar].[H_Merch].[MerchYear].&amp;[2021]"/>
              </i>
              <i n="[Calendar].[H_Merch].[Date].&amp;[2021-10-22T00:00:00]" c="22.10.2021" nd="1">
                <p n="[Calendar].[H_Merch].[MerchYearWeek].&amp;[202143]"/>
                <p n="[Calendar].[H_Merch].[MerchYearMonthName].&amp;[2021-Ekim]"/>
                <p n="[Calendar].[H_Merch].[MerchYear].&amp;[2021]"/>
              </i>
              <i n="[Calendar].[H_Merch].[Date].&amp;[2021-10-23T00:00:00]" c="23.10.2021" nd="1">
                <p n="[Calendar].[H_Merch].[MerchYearWeek].&amp;[202143]"/>
                <p n="[Calendar].[H_Merch].[MerchYearMonthName].&amp;[2021-Ekim]"/>
                <p n="[Calendar].[H_Merch].[MerchYear].&amp;[2021]"/>
              </i>
              <i n="[Calendar].[H_Merch].[Date].&amp;[2021-10-24T00:00:00]" c="24.10.2021" nd="1">
                <p n="[Calendar].[H_Merch].[MerchYearWeek].&amp;[202143]"/>
                <p n="[Calendar].[H_Merch].[MerchYearMonthName].&amp;[2021-Ekim]"/>
                <p n="[Calendar].[H_Merch].[MerchYear].&amp;[2021]"/>
              </i>
              <i n="[Calendar].[H_Merch].[Date].&amp;[2021-10-25T00:00:00]" c="25.10.2021" nd="1">
                <p n="[Calendar].[H_Merch].[MerchYearWeek].&amp;[202144]"/>
                <p n="[Calendar].[H_Merch].[MerchYearMonthName].&amp;[2021-Ekim]"/>
                <p n="[Calendar].[H_Merch].[MerchYear].&amp;[2021]"/>
              </i>
              <i n="[Calendar].[H_Merch].[Date].&amp;[2021-10-26T00:00:00]" c="26.10.2021" nd="1">
                <p n="[Calendar].[H_Merch].[MerchYearWeek].&amp;[202144]"/>
                <p n="[Calendar].[H_Merch].[MerchYearMonthName].&amp;[2021-Ekim]"/>
                <p n="[Calendar].[H_Merch].[MerchYear].&amp;[2021]"/>
              </i>
              <i n="[Calendar].[H_Merch].[Date].&amp;[2021-10-27T00:00:00]" c="27.10.2021" nd="1">
                <p n="[Calendar].[H_Merch].[MerchYearWeek].&amp;[202144]"/>
                <p n="[Calendar].[H_Merch].[MerchYearMonthName].&amp;[2021-Ekim]"/>
                <p n="[Calendar].[H_Merch].[MerchYear].&amp;[2021]"/>
              </i>
              <i n="[Calendar].[H_Merch].[Date].&amp;[2021-10-28T00:00:00]" c="28.10.2021" nd="1">
                <p n="[Calendar].[H_Merch].[MerchYearWeek].&amp;[202144]"/>
                <p n="[Calendar].[H_Merch].[MerchYearMonthName].&amp;[2021-Ekim]"/>
                <p n="[Calendar].[H_Merch].[MerchYear].&amp;[2021]"/>
              </i>
              <i n="[Calendar].[H_Merch].[Date].&amp;[2021-10-29T00:00:00]" c="29.10.2021" nd="1">
                <p n="[Calendar].[H_Merch].[MerchYearWeek].&amp;[202144]"/>
                <p n="[Calendar].[H_Merch].[MerchYearMonthName].&amp;[2021-Ekim]"/>
                <p n="[Calendar].[H_Merch].[MerchYear].&amp;[2021]"/>
              </i>
              <i n="[Calendar].[H_Merch].[Date].&amp;[2021-10-30T00:00:00]" c="30.10.2021" nd="1">
                <p n="[Calendar].[H_Merch].[MerchYearWeek].&amp;[202144]"/>
                <p n="[Calendar].[H_Merch].[MerchYearMonthName].&amp;[2021-Ekim]"/>
                <p n="[Calendar].[H_Merch].[MerchYear].&amp;[2021]"/>
              </i>
              <i n="[Calendar].[H_Merch].[Date].&amp;[2021-10-31T00:00:00]" c="31.10.2021" nd="1">
                <p n="[Calendar].[H_Merch].[MerchYearWeek].&amp;[202144]"/>
                <p n="[Calendar].[H_Merch].[MerchYearMonthName].&amp;[2021-Ekim]"/>
                <p n="[Calendar].[H_Merch].[MerchYear].&amp;[2021]"/>
              </i>
              <i n="[Calendar].[H_Merch].[Date].&amp;[2021-11-01T00:00:00]" c="1.11.2021" nd="1">
                <p n="[Calendar].[H_Merch].[MerchYearWeek].&amp;[202145]"/>
                <p n="[Calendar].[H_Merch].[MerchYearMonthName].&amp;[2021-Kasım]"/>
                <p n="[Calendar].[H_Merch].[MerchYear].&amp;[2021]"/>
              </i>
              <i n="[Calendar].[H_Merch].[Date].&amp;[2021-11-02T00:00:00]" c="2.11.2021" nd="1">
                <p n="[Calendar].[H_Merch].[MerchYearWeek].&amp;[202145]"/>
                <p n="[Calendar].[H_Merch].[MerchYearMonthName].&amp;[2021-Kasım]"/>
                <p n="[Calendar].[H_Merch].[MerchYear].&amp;[2021]"/>
              </i>
              <i n="[Calendar].[H_Merch].[Date].&amp;[2021-11-03T00:00:00]" c="3.11.2021" nd="1">
                <p n="[Calendar].[H_Merch].[MerchYearWeek].&amp;[202145]"/>
                <p n="[Calendar].[H_Merch].[MerchYearMonthName].&amp;[2021-Kasım]"/>
                <p n="[Calendar].[H_Merch].[MerchYear].&amp;[2021]"/>
              </i>
              <i n="[Calendar].[H_Merch].[Date].&amp;[2021-11-04T00:00:00]" c="4.11.2021" nd="1">
                <p n="[Calendar].[H_Merch].[MerchYearWeek].&amp;[202145]"/>
                <p n="[Calendar].[H_Merch].[MerchYearMonthName].&amp;[2021-Kasım]"/>
                <p n="[Calendar].[H_Merch].[MerchYear].&amp;[2021]"/>
              </i>
              <i n="[Calendar].[H_Merch].[Date].&amp;[2021-11-05T00:00:00]" c="5.11.2021" nd="1">
                <p n="[Calendar].[H_Merch].[MerchYearWeek].&amp;[202145]"/>
                <p n="[Calendar].[H_Merch].[MerchYearMonthName].&amp;[2021-Kasım]"/>
                <p n="[Calendar].[H_Merch].[MerchYear].&amp;[2021]"/>
              </i>
              <i n="[Calendar].[H_Merch].[Date].&amp;[2021-11-06T00:00:00]" c="6.11.2021" nd="1">
                <p n="[Calendar].[H_Merch].[MerchYearWeek].&amp;[202145]"/>
                <p n="[Calendar].[H_Merch].[MerchYearMonthName].&amp;[2021-Kasım]"/>
                <p n="[Calendar].[H_Merch].[MerchYear].&amp;[2021]"/>
              </i>
              <i n="[Calendar].[H_Merch].[Date].&amp;[2021-11-07T00:00:00]" c="7.11.2021" nd="1">
                <p n="[Calendar].[H_Merch].[MerchYearWeek].&amp;[202145]"/>
                <p n="[Calendar].[H_Merch].[MerchYearMonthName].&amp;[2021-Kasım]"/>
                <p n="[Calendar].[H_Merch].[MerchYear].&amp;[2021]"/>
              </i>
              <i n="[Calendar].[H_Merch].[Date].&amp;[2021-11-08T00:00:00]" c="8.11.2021" nd="1">
                <p n="[Calendar].[H_Merch].[MerchYearWeek].&amp;[202146]"/>
                <p n="[Calendar].[H_Merch].[MerchYearMonthName].&amp;[2021-Kasım]"/>
                <p n="[Calendar].[H_Merch].[MerchYear].&amp;[2021]"/>
              </i>
              <i n="[Calendar].[H_Merch].[Date].&amp;[2021-11-09T00:00:00]" c="9.11.2021" nd="1">
                <p n="[Calendar].[H_Merch].[MerchYearWeek].&amp;[202146]"/>
                <p n="[Calendar].[H_Merch].[MerchYearMonthName].&amp;[2021-Kasım]"/>
                <p n="[Calendar].[H_Merch].[MerchYear].&amp;[2021]"/>
              </i>
              <i n="[Calendar].[H_Merch].[Date].&amp;[2021-11-10T00:00:00]" c="10.11.2021" nd="1">
                <p n="[Calendar].[H_Merch].[MerchYearWeek].&amp;[202146]"/>
                <p n="[Calendar].[H_Merch].[MerchYearMonthName].&amp;[2021-Kasım]"/>
                <p n="[Calendar].[H_Merch].[MerchYear].&amp;[2021]"/>
              </i>
              <i n="[Calendar].[H_Merch].[Date].&amp;[2021-11-11T00:00:00]" c="11.11.2021" nd="1">
                <p n="[Calendar].[H_Merch].[MerchYearWeek].&amp;[202146]"/>
                <p n="[Calendar].[H_Merch].[MerchYearMonthName].&amp;[2021-Kasım]"/>
                <p n="[Calendar].[H_Merch].[MerchYear].&amp;[2021]"/>
              </i>
              <i n="[Calendar].[H_Merch].[Date].&amp;[2021-11-12T00:00:00]" c="12.11.2021" nd="1">
                <p n="[Calendar].[H_Merch].[MerchYearWeek].&amp;[202146]"/>
                <p n="[Calendar].[H_Merch].[MerchYearMonthName].&amp;[2021-Kasım]"/>
                <p n="[Calendar].[H_Merch].[MerchYear].&amp;[2021]"/>
              </i>
              <i n="[Calendar].[H_Merch].[Date].&amp;[2021-11-13T00:00:00]" c="13.11.2021" nd="1">
                <p n="[Calendar].[H_Merch].[MerchYearWeek].&amp;[202146]"/>
                <p n="[Calendar].[H_Merch].[MerchYearMonthName].&amp;[2021-Kasım]"/>
                <p n="[Calendar].[H_Merch].[MerchYear].&amp;[2021]"/>
              </i>
              <i n="[Calendar].[H_Merch].[Date].&amp;[2021-11-14T00:00:00]" c="14.11.2021" nd="1">
                <p n="[Calendar].[H_Merch].[MerchYearWeek].&amp;[202146]"/>
                <p n="[Calendar].[H_Merch].[MerchYearMonthName].&amp;[2021-Kasım]"/>
                <p n="[Calendar].[H_Merch].[MerchYear].&amp;[2021]"/>
              </i>
              <i n="[Calendar].[H_Merch].[Date].&amp;[2021-11-15T00:00:00]" c="15.11.2021" nd="1">
                <p n="[Calendar].[H_Merch].[MerchYearWeek].&amp;[202147]"/>
                <p n="[Calendar].[H_Merch].[MerchYearMonthName].&amp;[2021-Kasım]"/>
                <p n="[Calendar].[H_Merch].[MerchYear].&amp;[2021]"/>
              </i>
              <i n="[Calendar].[H_Merch].[Date].&amp;[2021-11-16T00:00:00]" c="16.11.2021" nd="1">
                <p n="[Calendar].[H_Merch].[MerchYearWeek].&amp;[202147]"/>
                <p n="[Calendar].[H_Merch].[MerchYearMonthName].&amp;[2021-Kasım]"/>
                <p n="[Calendar].[H_Merch].[MerchYear].&amp;[2021]"/>
              </i>
              <i n="[Calendar].[H_Merch].[Date].&amp;[2021-11-17T00:00:00]" c="17.11.2021" nd="1">
                <p n="[Calendar].[H_Merch].[MerchYearWeek].&amp;[202147]"/>
                <p n="[Calendar].[H_Merch].[MerchYearMonthName].&amp;[2021-Kasım]"/>
                <p n="[Calendar].[H_Merch].[MerchYear].&amp;[2021]"/>
              </i>
              <i n="[Calendar].[H_Merch].[Date].&amp;[2021-11-18T00:00:00]" c="18.11.2021" nd="1">
                <p n="[Calendar].[H_Merch].[MerchYearWeek].&amp;[202147]"/>
                <p n="[Calendar].[H_Merch].[MerchYearMonthName].&amp;[2021-Kasım]"/>
                <p n="[Calendar].[H_Merch].[MerchYear].&amp;[2021]"/>
              </i>
              <i n="[Calendar].[H_Merch].[Date].&amp;[2021-11-19T00:00:00]" c="19.11.2021" nd="1">
                <p n="[Calendar].[H_Merch].[MerchYearWeek].&amp;[202147]"/>
                <p n="[Calendar].[H_Merch].[MerchYearMonthName].&amp;[2021-Kasım]"/>
                <p n="[Calendar].[H_Merch].[MerchYear].&amp;[2021]"/>
              </i>
              <i n="[Calendar].[H_Merch].[Date].&amp;[2021-11-20T00:00:00]" c="20.11.2021" nd="1">
                <p n="[Calendar].[H_Merch].[MerchYearWeek].&amp;[202147]"/>
                <p n="[Calendar].[H_Merch].[MerchYearMonthName].&amp;[2021-Kasım]"/>
                <p n="[Calendar].[H_Merch].[MerchYear].&amp;[2021]"/>
              </i>
              <i n="[Calendar].[H_Merch].[Date].&amp;[2021-11-21T00:00:00]" c="21.11.2021" nd="1">
                <p n="[Calendar].[H_Merch].[MerchYearWeek].&amp;[202147]"/>
                <p n="[Calendar].[H_Merch].[MerchYearMonthName].&amp;[2021-Kasım]"/>
                <p n="[Calendar].[H_Merch].[MerchYear].&amp;[2021]"/>
              </i>
              <i n="[Calendar].[H_Merch].[Date].&amp;[2021-11-22T00:00:00]" c="22.11.2021" nd="1">
                <p n="[Calendar].[H_Merch].[MerchYearWeek].&amp;[202148]"/>
                <p n="[Calendar].[H_Merch].[MerchYearMonthName].&amp;[2021-Kasım]"/>
                <p n="[Calendar].[H_Merch].[MerchYear].&amp;[2021]"/>
              </i>
              <i n="[Calendar].[H_Merch].[Date].&amp;[2021-11-23T00:00:00]" c="23.11.2021" nd="1">
                <p n="[Calendar].[H_Merch].[MerchYearWeek].&amp;[202148]"/>
                <p n="[Calendar].[H_Merch].[MerchYearMonthName].&amp;[2021-Kasım]"/>
                <p n="[Calendar].[H_Merch].[MerchYear].&amp;[2021]"/>
              </i>
              <i n="[Calendar].[H_Merch].[Date].&amp;[2021-11-24T00:00:00]" c="24.11.2021" nd="1">
                <p n="[Calendar].[H_Merch].[MerchYearWeek].&amp;[202148]"/>
                <p n="[Calendar].[H_Merch].[MerchYearMonthName].&amp;[2021-Kasım]"/>
                <p n="[Calendar].[H_Merch].[MerchYear].&amp;[2021]"/>
              </i>
              <i n="[Calendar].[H_Merch].[Date].&amp;[2021-11-25T00:00:00]" c="25.11.2021" nd="1">
                <p n="[Calendar].[H_Merch].[MerchYearWeek].&amp;[202148]"/>
                <p n="[Calendar].[H_Merch].[MerchYearMonthName].&amp;[2021-Kasım]"/>
                <p n="[Calendar].[H_Merch].[MerchYear].&amp;[2021]"/>
              </i>
              <i n="[Calendar].[H_Merch].[Date].&amp;[2021-11-26T00:00:00]" c="26.11.2021" nd="1">
                <p n="[Calendar].[H_Merch].[MerchYearWeek].&amp;[202148]"/>
                <p n="[Calendar].[H_Merch].[MerchYearMonthName].&amp;[2021-Kasım]"/>
                <p n="[Calendar].[H_Merch].[MerchYear].&amp;[2021]"/>
              </i>
              <i n="[Calendar].[H_Merch].[Date].&amp;[2021-11-27T00:00:00]" c="27.11.2021" nd="1">
                <p n="[Calendar].[H_Merch].[MerchYearWeek].&amp;[202148]"/>
                <p n="[Calendar].[H_Merch].[MerchYearMonthName].&amp;[2021-Kasım]"/>
                <p n="[Calendar].[H_Merch].[MerchYear].&amp;[2021]"/>
              </i>
              <i n="[Calendar].[H_Merch].[Date].&amp;[2021-11-28T00:00:00]" c="28.11.2021" nd="1">
                <p n="[Calendar].[H_Merch].[MerchYearWeek].&amp;[202148]"/>
                <p n="[Calendar].[H_Merch].[MerchYearMonthName].&amp;[2021-Kasım]"/>
                <p n="[Calendar].[H_Merch].[MerchYear].&amp;[2021]"/>
              </i>
              <i n="[Calendar].[H_Merch].[Date].&amp;[2021-11-29T00:00:00]" c="29.11.2021" nd="1">
                <p n="[Calendar].[H_Merch].[MerchYearWeek].&amp;[202149]"/>
                <p n="[Calendar].[H_Merch].[MerchYearMonthName].&amp;[2021-Aralık]"/>
                <p n="[Calendar].[H_Merch].[MerchYear].&amp;[2021]"/>
              </i>
              <i n="[Calendar].[H_Merch].[Date].&amp;[2021-11-30T00:00:00]" c="30.11.2021" nd="1">
                <p n="[Calendar].[H_Merch].[MerchYearWeek].&amp;[202149]"/>
                <p n="[Calendar].[H_Merch].[MerchYearMonthName].&amp;[2021-Aralık]"/>
                <p n="[Calendar].[H_Merch].[MerchYear].&amp;[2021]"/>
              </i>
              <i n="[Calendar].[H_Merch].[Date].&amp;[2021-12-01T00:00:00]" c="1.12.2021" nd="1">
                <p n="[Calendar].[H_Merch].[MerchYearWeek].&amp;[202149]"/>
                <p n="[Calendar].[H_Merch].[MerchYearMonthName].&amp;[2021-Aralık]"/>
                <p n="[Calendar].[H_Merch].[MerchYear].&amp;[2021]"/>
              </i>
              <i n="[Calendar].[H_Merch].[Date].&amp;[2021-12-02T00:00:00]" c="2.12.2021" nd="1">
                <p n="[Calendar].[H_Merch].[MerchYearWeek].&amp;[202149]"/>
                <p n="[Calendar].[H_Merch].[MerchYearMonthName].&amp;[2021-Aralık]"/>
                <p n="[Calendar].[H_Merch].[MerchYear].&amp;[2021]"/>
              </i>
              <i n="[Calendar].[H_Merch].[Date].&amp;[2021-12-03T00:00:00]" c="3.12.2021" nd="1">
                <p n="[Calendar].[H_Merch].[MerchYearWeek].&amp;[202149]"/>
                <p n="[Calendar].[H_Merch].[MerchYearMonthName].&amp;[2021-Aralık]"/>
                <p n="[Calendar].[H_Merch].[MerchYear].&amp;[2021]"/>
              </i>
              <i n="[Calendar].[H_Merch].[Date].&amp;[2021-12-04T00:00:00]" c="4.12.2021" nd="1">
                <p n="[Calendar].[H_Merch].[MerchYearWeek].&amp;[202149]"/>
                <p n="[Calendar].[H_Merch].[MerchYearMonthName].&amp;[2021-Aralık]"/>
                <p n="[Calendar].[H_Merch].[MerchYear].&amp;[2021]"/>
              </i>
              <i n="[Calendar].[H_Merch].[Date].&amp;[2021-12-05T00:00:00]" c="5.12.2021" nd="1">
                <p n="[Calendar].[H_Merch].[MerchYearWeek].&amp;[202149]"/>
                <p n="[Calendar].[H_Merch].[MerchYearMonthName].&amp;[2021-Aralık]"/>
                <p n="[Calendar].[H_Merch].[MerchYear].&amp;[2021]"/>
              </i>
              <i n="[Calendar].[H_Merch].[Date].&amp;[2021-12-06T00:00:00]" c="6.12.2021" nd="1">
                <p n="[Calendar].[H_Merch].[MerchYearWeek].&amp;[202150]"/>
                <p n="[Calendar].[H_Merch].[MerchYearMonthName].&amp;[2021-Aralık]"/>
                <p n="[Calendar].[H_Merch].[MerchYear].&amp;[2021]"/>
              </i>
              <i n="[Calendar].[H_Merch].[Date].&amp;[2021-12-07T00:00:00]" c="7.12.2021" nd="1">
                <p n="[Calendar].[H_Merch].[MerchYearWeek].&amp;[202150]"/>
                <p n="[Calendar].[H_Merch].[MerchYearMonthName].&amp;[2021-Aralık]"/>
                <p n="[Calendar].[H_Merch].[MerchYear].&amp;[2021]"/>
              </i>
              <i n="[Calendar].[H_Merch].[Date].&amp;[2021-12-08T00:00:00]" c="8.12.2021" nd="1">
                <p n="[Calendar].[H_Merch].[MerchYearWeek].&amp;[202150]"/>
                <p n="[Calendar].[H_Merch].[MerchYearMonthName].&amp;[2021-Aralık]"/>
                <p n="[Calendar].[H_Merch].[MerchYear].&amp;[2021]"/>
              </i>
              <i n="[Calendar].[H_Merch].[Date].&amp;[2021-12-09T00:00:00]" c="9.12.2021" nd="1">
                <p n="[Calendar].[H_Merch].[MerchYearWeek].&amp;[202150]"/>
                <p n="[Calendar].[H_Merch].[MerchYearMonthName].&amp;[2021-Aralık]"/>
                <p n="[Calendar].[H_Merch].[MerchYear].&amp;[2021]"/>
              </i>
              <i n="[Calendar].[H_Merch].[Date].&amp;[2021-12-10T00:00:00]" c="10.12.2021" nd="1">
                <p n="[Calendar].[H_Merch].[MerchYearWeek].&amp;[202150]"/>
                <p n="[Calendar].[H_Merch].[MerchYearMonthName].&amp;[2021-Aralık]"/>
                <p n="[Calendar].[H_Merch].[MerchYear].&amp;[2021]"/>
              </i>
              <i n="[Calendar].[H_Merch].[Date].&amp;[2021-12-11T00:00:00]" c="11.12.2021" nd="1">
                <p n="[Calendar].[H_Merch].[MerchYearWeek].&amp;[202150]"/>
                <p n="[Calendar].[H_Merch].[MerchYearMonthName].&amp;[2021-Aralık]"/>
                <p n="[Calendar].[H_Merch].[MerchYear].&amp;[2021]"/>
              </i>
              <i n="[Calendar].[H_Merch].[Date].&amp;[2021-12-12T00:00:00]" c="12.12.2021" nd="1">
                <p n="[Calendar].[H_Merch].[MerchYearWeek].&amp;[202150]"/>
                <p n="[Calendar].[H_Merch].[MerchYearMonthName].&amp;[2021-Aralık]"/>
                <p n="[Calendar].[H_Merch].[MerchYear].&amp;[2021]"/>
              </i>
              <i n="[Calendar].[H_Merch].[Date].&amp;[2021-12-13T00:00:00]" c="13.12.2021" nd="1">
                <p n="[Calendar].[H_Merch].[MerchYearWeek].&amp;[202151]"/>
                <p n="[Calendar].[H_Merch].[MerchYearMonthName].&amp;[2021-Aralık]"/>
                <p n="[Calendar].[H_Merch].[MerchYear].&amp;[2021]"/>
              </i>
              <i n="[Calendar].[H_Merch].[Date].&amp;[2021-12-14T00:00:00]" c="14.12.2021" nd="1">
                <p n="[Calendar].[H_Merch].[MerchYearWeek].&amp;[202151]"/>
                <p n="[Calendar].[H_Merch].[MerchYearMonthName].&amp;[2021-Aralık]"/>
                <p n="[Calendar].[H_Merch].[MerchYear].&amp;[2021]"/>
              </i>
              <i n="[Calendar].[H_Merch].[Date].&amp;[2021-12-15T00:00:00]" c="15.12.2021" nd="1">
                <p n="[Calendar].[H_Merch].[MerchYearWeek].&amp;[202151]"/>
                <p n="[Calendar].[H_Merch].[MerchYearMonthName].&amp;[2021-Aralık]"/>
                <p n="[Calendar].[H_Merch].[MerchYear].&amp;[2021]"/>
              </i>
              <i n="[Calendar].[H_Merch].[Date].&amp;[2021-12-16T00:00:00]" c="16.12.2021" nd="1">
                <p n="[Calendar].[H_Merch].[MerchYearWeek].&amp;[202151]"/>
                <p n="[Calendar].[H_Merch].[MerchYearMonthName].&amp;[2021-Aralık]"/>
                <p n="[Calendar].[H_Merch].[MerchYear].&amp;[2021]"/>
              </i>
              <i n="[Calendar].[H_Merch].[Date].&amp;[2021-12-17T00:00:00]" c="17.12.2021" nd="1">
                <p n="[Calendar].[H_Merch].[MerchYearWeek].&amp;[202151]"/>
                <p n="[Calendar].[H_Merch].[MerchYearMonthName].&amp;[2021-Aralık]"/>
                <p n="[Calendar].[H_Merch].[MerchYear].&amp;[2021]"/>
              </i>
              <i n="[Calendar].[H_Merch].[Date].&amp;[2021-12-18T00:00:00]" c="18.12.2021" nd="1">
                <p n="[Calendar].[H_Merch].[MerchYearWeek].&amp;[202151]"/>
                <p n="[Calendar].[H_Merch].[MerchYearMonthName].&amp;[2021-Aralık]"/>
                <p n="[Calendar].[H_Merch].[MerchYear].&amp;[2021]"/>
              </i>
              <i n="[Calendar].[H_Merch].[Date].&amp;[2021-12-19T00:00:00]" c="19.12.2021" nd="1">
                <p n="[Calendar].[H_Merch].[MerchYearWeek].&amp;[202151]"/>
                <p n="[Calendar].[H_Merch].[MerchYearMonthName].&amp;[2021-Aralık]"/>
                <p n="[Calendar].[H_Merch].[MerchYear].&amp;[2021]"/>
              </i>
              <i n="[Calendar].[H_Merch].[Date].&amp;[2021-12-20T00:00:00]" c="20.12.2021" nd="1">
                <p n="[Calendar].[H_Merch].[MerchYearWeek].&amp;[202152]"/>
                <p n="[Calendar].[H_Merch].[MerchYearMonthName].&amp;[2021-Aralık]"/>
                <p n="[Calendar].[H_Merch].[MerchYear].&amp;[2021]"/>
              </i>
              <i n="[Calendar].[H_Merch].[Date].&amp;[2021-12-21T00:00:00]" c="21.12.2021" nd="1">
                <p n="[Calendar].[H_Merch].[MerchYearWeek].&amp;[202152]"/>
                <p n="[Calendar].[H_Merch].[MerchYearMonthName].&amp;[2021-Aralık]"/>
                <p n="[Calendar].[H_Merch].[MerchYear].&amp;[2021]"/>
              </i>
              <i n="[Calendar].[H_Merch].[Date].&amp;[2021-12-22T00:00:00]" c="22.12.2021" nd="1">
                <p n="[Calendar].[H_Merch].[MerchYearWeek].&amp;[202152]"/>
                <p n="[Calendar].[H_Merch].[MerchYearMonthName].&amp;[2021-Aralık]"/>
                <p n="[Calendar].[H_Merch].[MerchYear].&amp;[2021]"/>
              </i>
              <i n="[Calendar].[H_Merch].[Date].&amp;[2021-12-23T00:00:00]" c="23.12.2021" nd="1">
                <p n="[Calendar].[H_Merch].[MerchYearWeek].&amp;[202152]"/>
                <p n="[Calendar].[H_Merch].[MerchYearMonthName].&amp;[2021-Aralık]"/>
                <p n="[Calendar].[H_Merch].[MerchYear].&amp;[2021]"/>
              </i>
              <i n="[Calendar].[H_Merch].[Date].&amp;[2021-12-24T00:00:00]" c="24.12.2021" nd="1">
                <p n="[Calendar].[H_Merch].[MerchYearWeek].&amp;[202152]"/>
                <p n="[Calendar].[H_Merch].[MerchYearMonthName].&amp;[2021-Aralık]"/>
                <p n="[Calendar].[H_Merch].[MerchYear].&amp;[2021]"/>
              </i>
              <i n="[Calendar].[H_Merch].[Date].&amp;[2021-12-25T00:00:00]" c="25.12.2021" nd="1">
                <p n="[Calendar].[H_Merch].[MerchYearWeek].&amp;[202152]"/>
                <p n="[Calendar].[H_Merch].[MerchYearMonthName].&amp;[2021-Aralık]"/>
                <p n="[Calendar].[H_Merch].[MerchYear].&amp;[2021]"/>
              </i>
              <i n="[Calendar].[H_Merch].[Date].&amp;[2021-12-26T00:00:00]" c="26.12.2021" nd="1">
                <p n="[Calendar].[H_Merch].[MerchYearWeek].&amp;[202152]"/>
                <p n="[Calendar].[H_Merch].[MerchYearMonthName].&amp;[2021-Aralık]"/>
                <p n="[Calendar].[H_Merch].[MerchYear].&amp;[2021]"/>
              </i>
              <i n="[Calendar].[H_Merch].[Date].&amp;[2021-12-27T00:00:00]" c="27.12.2021" nd="1">
                <p n="[Calendar].[H_Merch].[MerchYearWeek].&amp;[202201]"/>
                <p n="[Calendar].[H_Merch].[MerchYearMonthName].&amp;[2022-Ocak]"/>
                <p n="[Calendar].[H_Merch].[MerchYear].&amp;[2022]"/>
              </i>
              <i n="[Calendar].[H_Merch].[Date].&amp;[2021-12-28T00:00:00]" c="28.12.2021" nd="1">
                <p n="[Calendar].[H_Merch].[MerchYearWeek].&amp;[202201]"/>
                <p n="[Calendar].[H_Merch].[MerchYearMonthName].&amp;[2022-Ocak]"/>
                <p n="[Calendar].[H_Merch].[MerchYear].&amp;[2022]"/>
              </i>
              <i n="[Calendar].[H_Merch].[Date].&amp;[2021-12-29T00:00:00]" c="29.12.2021" nd="1">
                <p n="[Calendar].[H_Merch].[MerchYearWeek].&amp;[202201]"/>
                <p n="[Calendar].[H_Merch].[MerchYearMonthName].&amp;[2022-Ocak]"/>
                <p n="[Calendar].[H_Merch].[MerchYear].&amp;[2022]"/>
              </i>
              <i n="[Calendar].[H_Merch].[Date].&amp;[2021-12-30T00:00:00]" c="30.12.2021" nd="1">
                <p n="[Calendar].[H_Merch].[MerchYearWeek].&amp;[202201]"/>
                <p n="[Calendar].[H_Merch].[MerchYearMonthName].&amp;[2022-Ocak]"/>
                <p n="[Calendar].[H_Merch].[MerchYear].&amp;[2022]"/>
              </i>
              <i n="[Calendar].[H_Merch].[Date].&amp;[2021-12-31T00:00:00]" c="31.12.2021" nd="1">
                <p n="[Calendar].[H_Merch].[MerchYearWeek].&amp;[202201]"/>
                <p n="[Calendar].[H_Merch].[MerchYearMonthName].&amp;[2022-Ocak]"/>
                <p n="[Calendar].[H_Merch].[MerchYear].&amp;[2022]"/>
              </i>
              <i n="[Calendar].[H_Merch].[Date].&amp;[2022-01-01T00:00:00]" c="1.01.2022" nd="1">
                <p n="[Calendar].[H_Merch].[MerchYearWeek].&amp;[202201]"/>
                <p n="[Calendar].[H_Merch].[MerchYearMonthName].&amp;[2022-Ocak]"/>
                <p n="[Calendar].[H_Merch].[MerchYear].&amp;[2022]"/>
              </i>
              <i n="[Calendar].[H_Merch].[Date].&amp;[2022-01-02T00:00:00]" c="2.01.2022" nd="1">
                <p n="[Calendar].[H_Merch].[MerchYearWeek].&amp;[202201]"/>
                <p n="[Calendar].[H_Merch].[MerchYearMonthName].&amp;[2022-Ocak]"/>
                <p n="[Calendar].[H_Merch].[MerchYear].&amp;[2022]"/>
              </i>
              <i n="[Calendar].[H_Merch].[Date].&amp;[2022-01-03T00:00:00]" c="3.01.2022" nd="1">
                <p n="[Calendar].[H_Merch].[MerchYearWeek].&amp;[202202]"/>
                <p n="[Calendar].[H_Merch].[MerchYearMonthName].&amp;[2022-Ocak]"/>
                <p n="[Calendar].[H_Merch].[MerchYear].&amp;[2022]"/>
              </i>
              <i n="[Calendar].[H_Merch].[Date].&amp;[2022-01-04T00:00:00]" c="4.01.2022" nd="1">
                <p n="[Calendar].[H_Merch].[MerchYearWeek].&amp;[202202]"/>
                <p n="[Calendar].[H_Merch].[MerchYearMonthName].&amp;[2022-Ocak]"/>
                <p n="[Calendar].[H_Merch].[MerchYear].&amp;[2022]"/>
              </i>
              <i n="[Calendar].[H_Merch].[Date].&amp;[2022-01-05T00:00:00]" c="5.01.2022" nd="1">
                <p n="[Calendar].[H_Merch].[MerchYearWeek].&amp;[202202]"/>
                <p n="[Calendar].[H_Merch].[MerchYearMonthName].&amp;[2022-Ocak]"/>
                <p n="[Calendar].[H_Merch].[MerchYear].&amp;[2022]"/>
              </i>
              <i n="[Calendar].[H_Merch].[Date].&amp;[2022-01-06T00:00:00]" c="6.01.2022" nd="1">
                <p n="[Calendar].[H_Merch].[MerchYearWeek].&amp;[202202]"/>
                <p n="[Calendar].[H_Merch].[MerchYearMonthName].&amp;[2022-Ocak]"/>
                <p n="[Calendar].[H_Merch].[MerchYear].&amp;[2022]"/>
              </i>
              <i n="[Calendar].[H_Merch].[Date].&amp;[2022-01-07T00:00:00]" c="7.01.2022" nd="1">
                <p n="[Calendar].[H_Merch].[MerchYearWeek].&amp;[202202]"/>
                <p n="[Calendar].[H_Merch].[MerchYearMonthName].&amp;[2022-Ocak]"/>
                <p n="[Calendar].[H_Merch].[MerchYear].&amp;[2022]"/>
              </i>
              <i n="[Calendar].[H_Merch].[Date].&amp;[2022-01-08T00:00:00]" c="8.01.2022" nd="1">
                <p n="[Calendar].[H_Merch].[MerchYearWeek].&amp;[202202]"/>
                <p n="[Calendar].[H_Merch].[MerchYearMonthName].&amp;[2022-Ocak]"/>
                <p n="[Calendar].[H_Merch].[MerchYear].&amp;[2022]"/>
              </i>
              <i n="[Calendar].[H_Merch].[Date].&amp;[2022-01-09T00:00:00]" c="9.01.2022" nd="1">
                <p n="[Calendar].[H_Merch].[MerchYearWeek].&amp;[202202]"/>
                <p n="[Calendar].[H_Merch].[MerchYearMonthName].&amp;[2022-Ocak]"/>
                <p n="[Calendar].[H_Merch].[MerchYear].&amp;[2022]"/>
              </i>
              <i n="[Calendar].[H_Merch].[Date].&amp;[2022-01-10T00:00:00]" c="10.01.2022" nd="1">
                <p n="[Calendar].[H_Merch].[MerchYearWeek].&amp;[202203]"/>
                <p n="[Calendar].[H_Merch].[MerchYearMonthName].&amp;[2022-Ocak]"/>
                <p n="[Calendar].[H_Merch].[MerchYear].&amp;[2022]"/>
              </i>
              <i n="[Calendar].[H_Merch].[Date].&amp;[2022-01-11T00:00:00]" c="11.01.2022" nd="1">
                <p n="[Calendar].[H_Merch].[MerchYearWeek].&amp;[202203]"/>
                <p n="[Calendar].[H_Merch].[MerchYearMonthName].&amp;[2022-Ocak]"/>
                <p n="[Calendar].[H_Merch].[MerchYear].&amp;[2022]"/>
              </i>
              <i n="[Calendar].[H_Merch].[Date].&amp;[2022-01-12T00:00:00]" c="12.01.2022" nd="1">
                <p n="[Calendar].[H_Merch].[MerchYearWeek].&amp;[202203]"/>
                <p n="[Calendar].[H_Merch].[MerchYearMonthName].&amp;[2022-Ocak]"/>
                <p n="[Calendar].[H_Merch].[MerchYear].&amp;[2022]"/>
              </i>
              <i n="[Calendar].[H_Merch].[Date].&amp;[2022-01-13T00:00:00]" c="13.01.2022" nd="1">
                <p n="[Calendar].[H_Merch].[MerchYearWeek].&amp;[202203]"/>
                <p n="[Calendar].[H_Merch].[MerchYearMonthName].&amp;[2022-Ocak]"/>
                <p n="[Calendar].[H_Merch].[MerchYear].&amp;[2022]"/>
              </i>
              <i n="[Calendar].[H_Merch].[Date].&amp;[2022-01-14T00:00:00]" c="14.01.2022" nd="1">
                <p n="[Calendar].[H_Merch].[MerchYearWeek].&amp;[202203]"/>
                <p n="[Calendar].[H_Merch].[MerchYearMonthName].&amp;[2022-Ocak]"/>
                <p n="[Calendar].[H_Merch].[MerchYear].&amp;[2022]"/>
              </i>
              <i n="[Calendar].[H_Merch].[Date].&amp;[2022-01-15T00:00:00]" c="15.01.2022" nd="1">
                <p n="[Calendar].[H_Merch].[MerchYearWeek].&amp;[202203]"/>
                <p n="[Calendar].[H_Merch].[MerchYearMonthName].&amp;[2022-Ocak]"/>
                <p n="[Calendar].[H_Merch].[MerchYear].&amp;[2022]"/>
              </i>
              <i n="[Calendar].[H_Merch].[Date].&amp;[2022-01-16T00:00:00]" c="16.01.2022" nd="1">
                <p n="[Calendar].[H_Merch].[MerchYearWeek].&amp;[202203]"/>
                <p n="[Calendar].[H_Merch].[MerchYearMonthName].&amp;[2022-Ocak]"/>
                <p n="[Calendar].[H_Merch].[MerchYear].&amp;[2022]"/>
              </i>
              <i n="[Calendar].[H_Merch].[Date].&amp;[2022-01-17T00:00:00]" c="17.01.2022" nd="1">
                <p n="[Calendar].[H_Merch].[MerchYearWeek].&amp;[202204]"/>
                <p n="[Calendar].[H_Merch].[MerchYearMonthName].&amp;[2022-Ocak]"/>
                <p n="[Calendar].[H_Merch].[MerchYear].&amp;[2022]"/>
              </i>
              <i n="[Calendar].[H_Merch].[Date].&amp;[2022-01-18T00:00:00]" c="18.01.2022" nd="1">
                <p n="[Calendar].[H_Merch].[MerchYearWeek].&amp;[202204]"/>
                <p n="[Calendar].[H_Merch].[MerchYearMonthName].&amp;[2022-Ocak]"/>
                <p n="[Calendar].[H_Merch].[MerchYear].&amp;[2022]"/>
              </i>
              <i n="[Calendar].[H_Merch].[Date].&amp;[2022-01-19T00:00:00]" c="19.01.2022" nd="1">
                <p n="[Calendar].[H_Merch].[MerchYearWeek].&amp;[202204]"/>
                <p n="[Calendar].[H_Merch].[MerchYearMonthName].&amp;[2022-Ocak]"/>
                <p n="[Calendar].[H_Merch].[MerchYear].&amp;[2022]"/>
              </i>
              <i n="[Calendar].[H_Merch].[Date].&amp;[2022-01-20T00:00:00]" c="20.01.2022" nd="1">
                <p n="[Calendar].[H_Merch].[MerchYearWeek].&amp;[202204]"/>
                <p n="[Calendar].[H_Merch].[MerchYearMonthName].&amp;[2022-Ocak]"/>
                <p n="[Calendar].[H_Merch].[MerchYear].&amp;[2022]"/>
              </i>
              <i n="[Calendar].[H_Merch].[Date].&amp;[2022-01-21T00:00:00]" c="21.01.2022" nd="1">
                <p n="[Calendar].[H_Merch].[MerchYearWeek].&amp;[202204]"/>
                <p n="[Calendar].[H_Merch].[MerchYearMonthName].&amp;[2022-Ocak]"/>
                <p n="[Calendar].[H_Merch].[MerchYear].&amp;[2022]"/>
              </i>
              <i n="[Calendar].[H_Merch].[Date].&amp;[2022-01-22T00:00:00]" c="22.01.2022" nd="1">
                <p n="[Calendar].[H_Merch].[MerchYearWeek].&amp;[202204]"/>
                <p n="[Calendar].[H_Merch].[MerchYearMonthName].&amp;[2022-Ocak]"/>
                <p n="[Calendar].[H_Merch].[MerchYear].&amp;[2022]"/>
              </i>
              <i n="[Calendar].[H_Merch].[Date].&amp;[2022-01-23T00:00:00]" c="23.01.2022" nd="1">
                <p n="[Calendar].[H_Merch].[MerchYearWeek].&amp;[202204]"/>
                <p n="[Calendar].[H_Merch].[MerchYearMonthName].&amp;[2022-Ocak]"/>
                <p n="[Calendar].[H_Merch].[MerchYear].&amp;[2022]"/>
              </i>
              <i n="[Calendar].[H_Merch].[Date].&amp;[2022-01-24T00:00:00]" c="24.01.2022" nd="1">
                <p n="[Calendar].[H_Merch].[MerchYearWeek].&amp;[202205]"/>
                <p n="[Calendar].[H_Merch].[MerchYearMonthName].&amp;[2022-Ocak]"/>
                <p n="[Calendar].[H_Merch].[MerchYear].&amp;[2022]"/>
              </i>
              <i n="[Calendar].[H_Merch].[Date].&amp;[2022-01-25T00:00:00]" c="25.01.2022" nd="1">
                <p n="[Calendar].[H_Merch].[MerchYearWeek].&amp;[202205]"/>
                <p n="[Calendar].[H_Merch].[MerchYearMonthName].&amp;[2022-Ocak]"/>
                <p n="[Calendar].[H_Merch].[MerchYear].&amp;[2022]"/>
              </i>
              <i n="[Calendar].[H_Merch].[Date].&amp;[2022-01-26T00:00:00]" c="26.01.2022" nd="1">
                <p n="[Calendar].[H_Merch].[MerchYearWeek].&amp;[202205]"/>
                <p n="[Calendar].[H_Merch].[MerchYearMonthName].&amp;[2022-Ocak]"/>
                <p n="[Calendar].[H_Merch].[MerchYear].&amp;[2022]"/>
              </i>
              <i n="[Calendar].[H_Merch].[Date].&amp;[2022-01-27T00:00:00]" c="27.01.2022" nd="1">
                <p n="[Calendar].[H_Merch].[MerchYearWeek].&amp;[202205]"/>
                <p n="[Calendar].[H_Merch].[MerchYearMonthName].&amp;[2022-Ocak]"/>
                <p n="[Calendar].[H_Merch].[MerchYear].&amp;[2022]"/>
              </i>
              <i n="[Calendar].[H_Merch].[Date].&amp;[2022-01-28T00:00:00]" c="28.01.2022" nd="1">
                <p n="[Calendar].[H_Merch].[MerchYearWeek].&amp;[202205]"/>
                <p n="[Calendar].[H_Merch].[MerchYearMonthName].&amp;[2022-Ocak]"/>
                <p n="[Calendar].[H_Merch].[MerchYear].&amp;[2022]"/>
              </i>
              <i n="[Calendar].[H_Merch].[Date].&amp;[2022-01-29T00:00:00]" c="29.01.2022" nd="1">
                <p n="[Calendar].[H_Merch].[MerchYearWeek].&amp;[202205]"/>
                <p n="[Calendar].[H_Merch].[MerchYearMonthName].&amp;[2022-Ocak]"/>
                <p n="[Calendar].[H_Merch].[MerchYear].&amp;[2022]"/>
              </i>
              <i n="[Calendar].[H_Merch].[Date].&amp;[2022-01-30T00:00:00]" c="30.01.2022" nd="1">
                <p n="[Calendar].[H_Merch].[MerchYearWeek].&amp;[202205]"/>
                <p n="[Calendar].[H_Merch].[MerchYearMonthName].&amp;[2022-Ocak]"/>
                <p n="[Calendar].[H_Merch].[MerchYear].&amp;[2022]"/>
              </i>
              <i n="[Calendar].[H_Merch].[Date].&amp;[2022-01-31T00:00:00]" c="31.01.2022" nd="1">
                <p n="[Calendar].[H_Merch].[MerchYearWeek].&amp;[202206]"/>
                <p n="[Calendar].[H_Merch].[MerchYearMonthName].&amp;[2022-Şubat]"/>
                <p n="[Calendar].[H_Merch].[MerchYear].&amp;[2022]"/>
              </i>
              <i n="[Calendar].[H_Merch].[Date].&amp;[2022-02-01T00:00:00]" c="1.02.2022" nd="1">
                <p n="[Calendar].[H_Merch].[MerchYearWeek].&amp;[202206]"/>
                <p n="[Calendar].[H_Merch].[MerchYearMonthName].&amp;[2022-Şubat]"/>
                <p n="[Calendar].[H_Merch].[MerchYear].&amp;[2022]"/>
              </i>
              <i n="[Calendar].[H_Merch].[Date].&amp;[2022-02-02T00:00:00]" c="2.02.2022" nd="1">
                <p n="[Calendar].[H_Merch].[MerchYearWeek].&amp;[202206]"/>
                <p n="[Calendar].[H_Merch].[MerchYearMonthName].&amp;[2022-Şubat]"/>
                <p n="[Calendar].[H_Merch].[MerchYear].&amp;[2022]"/>
              </i>
              <i n="[Calendar].[H_Merch].[Date].&amp;[2022-02-03T00:00:00]" c="3.02.2022" nd="1">
                <p n="[Calendar].[H_Merch].[MerchYearWeek].&amp;[202206]"/>
                <p n="[Calendar].[H_Merch].[MerchYearMonthName].&amp;[2022-Şubat]"/>
                <p n="[Calendar].[H_Merch].[MerchYear].&amp;[2022]"/>
              </i>
              <i n="[Calendar].[H_Merch].[Date].&amp;[2022-02-04T00:00:00]" c="4.02.2022" nd="1">
                <p n="[Calendar].[H_Merch].[MerchYearWeek].&amp;[202206]"/>
                <p n="[Calendar].[H_Merch].[MerchYearMonthName].&amp;[2022-Şubat]"/>
                <p n="[Calendar].[H_Merch].[MerchYear].&amp;[2022]"/>
              </i>
              <i n="[Calendar].[H_Merch].[Date].&amp;[2022-02-05T00:00:00]" c="5.02.2022" nd="1">
                <p n="[Calendar].[H_Merch].[MerchYearWeek].&amp;[202206]"/>
                <p n="[Calendar].[H_Merch].[MerchYearMonthName].&amp;[2022-Şubat]"/>
                <p n="[Calendar].[H_Merch].[MerchYear].&amp;[2022]"/>
              </i>
              <i n="[Calendar].[H_Merch].[Date].&amp;[2022-02-06T00:00:00]" c="6.02.2022" nd="1">
                <p n="[Calendar].[H_Merch].[MerchYearWeek].&amp;[202206]"/>
                <p n="[Calendar].[H_Merch].[MerchYearMonthName].&amp;[2022-Şubat]"/>
                <p n="[Calendar].[H_Merch].[MerchYear].&amp;[2022]"/>
              </i>
              <i n="[Calendar].[H_Merch].[Date].&amp;[2022-02-07T00:00:00]" c="7.02.2022" nd="1">
                <p n="[Calendar].[H_Merch].[MerchYearWeek].&amp;[202207]"/>
                <p n="[Calendar].[H_Merch].[MerchYearMonthName].&amp;[2022-Şubat]"/>
                <p n="[Calendar].[H_Merch].[MerchYear].&amp;[2022]"/>
              </i>
              <i n="[Calendar].[H_Merch].[Date].&amp;[2022-02-08T00:00:00]" c="8.02.2022" nd="1">
                <p n="[Calendar].[H_Merch].[MerchYearWeek].&amp;[202207]"/>
                <p n="[Calendar].[H_Merch].[MerchYearMonthName].&amp;[2022-Şubat]"/>
                <p n="[Calendar].[H_Merch].[MerchYear].&amp;[2022]"/>
              </i>
              <i n="[Calendar].[H_Merch].[Date].&amp;[2022-02-09T00:00:00]" c="9.02.2022" nd="1">
                <p n="[Calendar].[H_Merch].[MerchYearWeek].&amp;[202207]"/>
                <p n="[Calendar].[H_Merch].[MerchYearMonthName].&amp;[2022-Şubat]"/>
                <p n="[Calendar].[H_Merch].[MerchYear].&amp;[2022]"/>
              </i>
              <i n="[Calendar].[H_Merch].[Date].&amp;[2022-02-10T00:00:00]" c="10.02.2022" nd="1">
                <p n="[Calendar].[H_Merch].[MerchYearWeek].&amp;[202207]"/>
                <p n="[Calendar].[H_Merch].[MerchYearMonthName].&amp;[2022-Şubat]"/>
                <p n="[Calendar].[H_Merch].[MerchYear].&amp;[2022]"/>
              </i>
              <i n="[Calendar].[H_Merch].[Date].&amp;[2022-02-11T00:00:00]" c="11.02.2022" nd="1">
                <p n="[Calendar].[H_Merch].[MerchYearWeek].&amp;[202207]"/>
                <p n="[Calendar].[H_Merch].[MerchYearMonthName].&amp;[2022-Şubat]"/>
                <p n="[Calendar].[H_Merch].[MerchYear].&amp;[2022]"/>
              </i>
              <i n="[Calendar].[H_Merch].[Date].&amp;[2022-02-12T00:00:00]" c="12.02.2022" nd="1">
                <p n="[Calendar].[H_Merch].[MerchYearWeek].&amp;[202207]"/>
                <p n="[Calendar].[H_Merch].[MerchYearMonthName].&amp;[2022-Şubat]"/>
                <p n="[Calendar].[H_Merch].[MerchYear].&amp;[2022]"/>
              </i>
              <i n="[Calendar].[H_Merch].[Date].&amp;[2022-02-13T00:00:00]" c="13.02.2022" nd="1">
                <p n="[Calendar].[H_Merch].[MerchYearWeek].&amp;[202207]"/>
                <p n="[Calendar].[H_Merch].[MerchYearMonthName].&amp;[2022-Şubat]"/>
                <p n="[Calendar].[H_Merch].[MerchYear].&amp;[2022]"/>
              </i>
              <i n="[Calendar].[H_Merch].[Date].&amp;[2022-02-14T00:00:00]" c="14.02.2022" nd="1">
                <p n="[Calendar].[H_Merch].[MerchYearWeek].&amp;[202208]"/>
                <p n="[Calendar].[H_Merch].[MerchYearMonthName].&amp;[2022-Şubat]"/>
                <p n="[Calendar].[H_Merch].[MerchYear].&amp;[2022]"/>
              </i>
              <i n="[Calendar].[H_Merch].[Date].&amp;[2022-02-15T00:00:00]" c="15.02.2022" nd="1">
                <p n="[Calendar].[H_Merch].[MerchYearWeek].&amp;[202208]"/>
                <p n="[Calendar].[H_Merch].[MerchYearMonthName].&amp;[2022-Şubat]"/>
                <p n="[Calendar].[H_Merch].[MerchYear].&amp;[2022]"/>
              </i>
              <i n="[Calendar].[H_Merch].[Date].&amp;[2022-02-16T00:00:00]" c="16.02.2022" nd="1">
                <p n="[Calendar].[H_Merch].[MerchYearWeek].&amp;[202208]"/>
                <p n="[Calendar].[H_Merch].[MerchYearMonthName].&amp;[2022-Şubat]"/>
                <p n="[Calendar].[H_Merch].[MerchYear].&amp;[2022]"/>
              </i>
              <i n="[Calendar].[H_Merch].[Date].&amp;[2022-02-17T00:00:00]" c="17.02.2022" nd="1">
                <p n="[Calendar].[H_Merch].[MerchYearWeek].&amp;[202208]"/>
                <p n="[Calendar].[H_Merch].[MerchYearMonthName].&amp;[2022-Şubat]"/>
                <p n="[Calendar].[H_Merch].[MerchYear].&amp;[2022]"/>
              </i>
              <i n="[Calendar].[H_Merch].[Date].&amp;[2022-02-18T00:00:00]" c="18.02.2022" nd="1">
                <p n="[Calendar].[H_Merch].[MerchYearWeek].&amp;[202208]"/>
                <p n="[Calendar].[H_Merch].[MerchYearMonthName].&amp;[2022-Şubat]"/>
                <p n="[Calendar].[H_Merch].[MerchYear].&amp;[2022]"/>
              </i>
              <i n="[Calendar].[H_Merch].[Date].&amp;[2022-02-19T00:00:00]" c="19.02.2022" nd="1">
                <p n="[Calendar].[H_Merch].[MerchYearWeek].&amp;[202208]"/>
                <p n="[Calendar].[H_Merch].[MerchYearMonthName].&amp;[2022-Şubat]"/>
                <p n="[Calendar].[H_Merch].[MerchYear].&amp;[2022]"/>
              </i>
              <i n="[Calendar].[H_Merch].[Date].&amp;[2022-02-20T00:00:00]" c="20.02.2022" nd="1">
                <p n="[Calendar].[H_Merch].[MerchYearWeek].&amp;[202208]"/>
                <p n="[Calendar].[H_Merch].[MerchYearMonthName].&amp;[2022-Şubat]"/>
                <p n="[Calendar].[H_Merch].[MerchYear].&amp;[2022]"/>
              </i>
              <i n="[Calendar].[H_Merch].[Date].&amp;[2022-02-21T00:00:00]" c="21.02.2022" nd="1">
                <p n="[Calendar].[H_Merch].[MerchYearWeek].&amp;[202209]"/>
                <p n="[Calendar].[H_Merch].[MerchYearMonthName].&amp;[2022-Şubat]"/>
                <p n="[Calendar].[H_Merch].[MerchYear].&amp;[2022]"/>
              </i>
              <i n="[Calendar].[H_Merch].[Date].&amp;[2022-02-22T00:00:00]" c="22.02.2022" nd="1">
                <p n="[Calendar].[H_Merch].[MerchYearWeek].&amp;[202209]"/>
                <p n="[Calendar].[H_Merch].[MerchYearMonthName].&amp;[2022-Şubat]"/>
                <p n="[Calendar].[H_Merch].[MerchYear].&amp;[2022]"/>
              </i>
              <i n="[Calendar].[H_Merch].[Date].&amp;[2022-02-23T00:00:00]" c="23.02.2022" nd="1">
                <p n="[Calendar].[H_Merch].[MerchYearWeek].&amp;[202209]"/>
                <p n="[Calendar].[H_Merch].[MerchYearMonthName].&amp;[2022-Şubat]"/>
                <p n="[Calendar].[H_Merch].[MerchYear].&amp;[2022]"/>
              </i>
              <i n="[Calendar].[H_Merch].[Date].&amp;[2022-02-24T00:00:00]" c="24.02.2022" nd="1">
                <p n="[Calendar].[H_Merch].[MerchYearWeek].&amp;[202209]"/>
                <p n="[Calendar].[H_Merch].[MerchYearMonthName].&amp;[2022-Şubat]"/>
                <p n="[Calendar].[H_Merch].[MerchYear].&amp;[2022]"/>
              </i>
              <i n="[Calendar].[H_Merch].[Date].&amp;[2022-02-25T00:00:00]" c="25.02.2022" nd="1">
                <p n="[Calendar].[H_Merch].[MerchYearWeek].&amp;[202209]"/>
                <p n="[Calendar].[H_Merch].[MerchYearMonthName].&amp;[2022-Şubat]"/>
                <p n="[Calendar].[H_Merch].[MerchYear].&amp;[2022]"/>
              </i>
              <i n="[Calendar].[H_Merch].[Date].&amp;[2022-02-26T00:00:00]" c="26.02.2022" nd="1">
                <p n="[Calendar].[H_Merch].[MerchYearWeek].&amp;[202209]"/>
                <p n="[Calendar].[H_Merch].[MerchYearMonthName].&amp;[2022-Şubat]"/>
                <p n="[Calendar].[H_Merch].[MerchYear].&amp;[2022]"/>
              </i>
              <i n="[Calendar].[H_Merch].[Date].&amp;[2022-02-27T00:00:00]" c="27.02.2022" nd="1">
                <p n="[Calendar].[H_Merch].[MerchYearWeek].&amp;[202209]"/>
                <p n="[Calendar].[H_Merch].[MerchYearMonthName].&amp;[2022-Şubat]"/>
                <p n="[Calendar].[H_Merch].[MerchYear].&amp;[2022]"/>
              </i>
              <i n="[Calendar].[H_Merch].[Date].&amp;[2022-02-28T00:00:00]" c="28.02.2022" nd="1">
                <p n="[Calendar].[H_Merch].[MerchYearWeek].&amp;[202210]"/>
                <p n="[Calendar].[H_Merch].[MerchYearMonthName].&amp;[2022-Mart]"/>
                <p n="[Calendar].[H_Merch].[MerchYear].&amp;[2022]"/>
              </i>
              <i n="[Calendar].[H_Merch].[Date].&amp;[2022-03-01T00:00:00]" c="1.03.2022" nd="1">
                <p n="[Calendar].[H_Merch].[MerchYearWeek].&amp;[202210]"/>
                <p n="[Calendar].[H_Merch].[MerchYearMonthName].&amp;[2022-Mart]"/>
                <p n="[Calendar].[H_Merch].[MerchYear].&amp;[2022]"/>
              </i>
              <i n="[Calendar].[H_Merch].[Date].&amp;[2022-03-02T00:00:00]" c="2.03.2022" nd="1">
                <p n="[Calendar].[H_Merch].[MerchYearWeek].&amp;[202210]"/>
                <p n="[Calendar].[H_Merch].[MerchYearMonthName].&amp;[2022-Mart]"/>
                <p n="[Calendar].[H_Merch].[MerchYear].&amp;[2022]"/>
              </i>
              <i n="[Calendar].[H_Merch].[Date].&amp;[2022-03-03T00:00:00]" c="3.03.2022" nd="1">
                <p n="[Calendar].[H_Merch].[MerchYearWeek].&amp;[202210]"/>
                <p n="[Calendar].[H_Merch].[MerchYearMonthName].&amp;[2022-Mart]"/>
                <p n="[Calendar].[H_Merch].[MerchYear].&amp;[2022]"/>
              </i>
              <i n="[Calendar].[H_Merch].[Date].&amp;[2022-03-04T00:00:00]" c="4.03.2022" nd="1">
                <p n="[Calendar].[H_Merch].[MerchYearWeek].&amp;[202210]"/>
                <p n="[Calendar].[H_Merch].[MerchYearMonthName].&amp;[2022-Mart]"/>
                <p n="[Calendar].[H_Merch].[MerchYear].&amp;[2022]"/>
              </i>
              <i n="[Calendar].[H_Merch].[Date].&amp;[2022-03-05T00:00:00]" c="5.03.2022" nd="1">
                <p n="[Calendar].[H_Merch].[MerchYearWeek].&amp;[202210]"/>
                <p n="[Calendar].[H_Merch].[MerchYearMonthName].&amp;[2022-Mart]"/>
                <p n="[Calendar].[H_Merch].[MerchYear].&amp;[2022]"/>
              </i>
              <i n="[Calendar].[H_Merch].[Date].&amp;[2022-03-06T00:00:00]" c="6.03.2022" nd="1">
                <p n="[Calendar].[H_Merch].[MerchYearWeek].&amp;[202210]"/>
                <p n="[Calendar].[H_Merch].[MerchYearMonthName].&amp;[2022-Mart]"/>
                <p n="[Calendar].[H_Merch].[MerchYear].&amp;[2022]"/>
              </i>
              <i n="[Calendar].[H_Merch].[Date].&amp;[2022-03-07T00:00:00]" c="7.03.2022" nd="1">
                <p n="[Calendar].[H_Merch].[MerchYearWeek].&amp;[202211]"/>
                <p n="[Calendar].[H_Merch].[MerchYearMonthName].&amp;[2022-Mart]"/>
                <p n="[Calendar].[H_Merch].[MerchYear].&amp;[2022]"/>
              </i>
              <i n="[Calendar].[H_Merch].[Date].&amp;[2022-03-08T00:00:00]" c="8.03.2022" nd="1">
                <p n="[Calendar].[H_Merch].[MerchYearWeek].&amp;[202211]"/>
                <p n="[Calendar].[H_Merch].[MerchYearMonthName].&amp;[2022-Mart]"/>
                <p n="[Calendar].[H_Merch].[MerchYear].&amp;[2022]"/>
              </i>
              <i n="[Calendar].[H_Merch].[Date].&amp;[2022-03-09T00:00:00]" c="9.03.2022" nd="1">
                <p n="[Calendar].[H_Merch].[MerchYearWeek].&amp;[202211]"/>
                <p n="[Calendar].[H_Merch].[MerchYearMonthName].&amp;[2022-Mart]"/>
                <p n="[Calendar].[H_Merch].[MerchYear].&amp;[2022]"/>
              </i>
              <i n="[Calendar].[H_Merch].[Date].&amp;[2022-03-10T00:00:00]" c="10.03.2022" nd="1">
                <p n="[Calendar].[H_Merch].[MerchYearWeek].&amp;[202211]"/>
                <p n="[Calendar].[H_Merch].[MerchYearMonthName].&amp;[2022-Mart]"/>
                <p n="[Calendar].[H_Merch].[MerchYear].&amp;[2022]"/>
              </i>
              <i n="[Calendar].[H_Merch].[Date].&amp;[2022-03-11T00:00:00]" c="11.03.2022" nd="1">
                <p n="[Calendar].[H_Merch].[MerchYearWeek].&amp;[202211]"/>
                <p n="[Calendar].[H_Merch].[MerchYearMonthName].&amp;[2022-Mart]"/>
                <p n="[Calendar].[H_Merch].[MerchYear].&amp;[2022]"/>
              </i>
              <i n="[Calendar].[H_Merch].[Date].&amp;[2022-03-12T00:00:00]" c="12.03.2022" nd="1">
                <p n="[Calendar].[H_Merch].[MerchYearWeek].&amp;[202211]"/>
                <p n="[Calendar].[H_Merch].[MerchYearMonthName].&amp;[2022-Mart]"/>
                <p n="[Calendar].[H_Merch].[MerchYear].&amp;[2022]"/>
              </i>
              <i n="[Calendar].[H_Merch].[Date].&amp;[2022-03-13T00:00:00]" c="13.03.2022" nd="1">
                <p n="[Calendar].[H_Merch].[MerchYearWeek].&amp;[202211]"/>
                <p n="[Calendar].[H_Merch].[MerchYearMonthName].&amp;[2022-Mart]"/>
                <p n="[Calendar].[H_Merch].[MerchYear].&amp;[2022]"/>
              </i>
              <i n="[Calendar].[H_Merch].[Date].&amp;[2022-03-14T00:00:00]" c="14.03.2022" nd="1">
                <p n="[Calendar].[H_Merch].[MerchYearWeek].&amp;[202212]"/>
                <p n="[Calendar].[H_Merch].[MerchYearMonthName].&amp;[2022-Mart]"/>
                <p n="[Calendar].[H_Merch].[MerchYear].&amp;[2022]"/>
              </i>
              <i n="[Calendar].[H_Merch].[Date].&amp;[2022-03-15T00:00:00]" c="15.03.2022" nd="1">
                <p n="[Calendar].[H_Merch].[MerchYearWeek].&amp;[202212]"/>
                <p n="[Calendar].[H_Merch].[MerchYearMonthName].&amp;[2022-Mart]"/>
                <p n="[Calendar].[H_Merch].[MerchYear].&amp;[2022]"/>
              </i>
              <i n="[Calendar].[H_Merch].[Date].&amp;[2022-03-16T00:00:00]" c="16.03.2022" nd="1">
                <p n="[Calendar].[H_Merch].[MerchYearWeek].&amp;[202212]"/>
                <p n="[Calendar].[H_Merch].[MerchYearMonthName].&amp;[2022-Mart]"/>
                <p n="[Calendar].[H_Merch].[MerchYear].&amp;[2022]"/>
              </i>
              <i n="[Calendar].[H_Merch].[Date].&amp;[2022-03-17T00:00:00]" c="17.03.2022" nd="1">
                <p n="[Calendar].[H_Merch].[MerchYearWeek].&amp;[202212]"/>
                <p n="[Calendar].[H_Merch].[MerchYearMonthName].&amp;[2022-Mart]"/>
                <p n="[Calendar].[H_Merch].[MerchYear].&amp;[2022]"/>
              </i>
              <i n="[Calendar].[H_Merch].[Date].&amp;[2022-03-18T00:00:00]" c="18.03.2022" nd="1">
                <p n="[Calendar].[H_Merch].[MerchYearWeek].&amp;[202212]"/>
                <p n="[Calendar].[H_Merch].[MerchYearMonthName].&amp;[2022-Mart]"/>
                <p n="[Calendar].[H_Merch].[MerchYear].&amp;[2022]"/>
              </i>
              <i n="[Calendar].[H_Merch].[Date].&amp;[2022-03-19T00:00:00]" c="19.03.2022" nd="1">
                <p n="[Calendar].[H_Merch].[MerchYearWeek].&amp;[202212]"/>
                <p n="[Calendar].[H_Merch].[MerchYearMonthName].&amp;[2022-Mart]"/>
                <p n="[Calendar].[H_Merch].[MerchYear].&amp;[2022]"/>
              </i>
              <i n="[Calendar].[H_Merch].[Date].&amp;[2022-03-20T00:00:00]" c="20.03.2022" nd="1">
                <p n="[Calendar].[H_Merch].[MerchYearWeek].&amp;[202212]"/>
                <p n="[Calendar].[H_Merch].[MerchYearMonthName].&amp;[2022-Mart]"/>
                <p n="[Calendar].[H_Merch].[MerchYear].&amp;[2022]"/>
              </i>
              <i n="[Calendar].[H_Merch].[Date].&amp;[2022-03-21T00:00:00]" c="21.03.2022" nd="1">
                <p n="[Calendar].[H_Merch].[MerchYearWeek].&amp;[202213]"/>
                <p n="[Calendar].[H_Merch].[MerchYearMonthName].&amp;[2022-Mart]"/>
                <p n="[Calendar].[H_Merch].[MerchYear].&amp;[2022]"/>
              </i>
              <i n="[Calendar].[H_Merch].[Date].&amp;[2022-03-22T00:00:00]" c="22.03.2022" nd="1">
                <p n="[Calendar].[H_Merch].[MerchYearWeek].&amp;[202213]"/>
                <p n="[Calendar].[H_Merch].[MerchYearMonthName].&amp;[2022-Mart]"/>
                <p n="[Calendar].[H_Merch].[MerchYear].&amp;[2022]"/>
              </i>
              <i n="[Calendar].[H_Merch].[Date].&amp;[2022-03-23T00:00:00]" c="23.03.2022" nd="1">
                <p n="[Calendar].[H_Merch].[MerchYearWeek].&amp;[202213]"/>
                <p n="[Calendar].[H_Merch].[MerchYearMonthName].&amp;[2022-Mart]"/>
                <p n="[Calendar].[H_Merch].[MerchYear].&amp;[2022]"/>
              </i>
              <i n="[Calendar].[H_Merch].[Date].&amp;[2022-03-24T00:00:00]" c="24.03.2022" nd="1">
                <p n="[Calendar].[H_Merch].[MerchYearWeek].&amp;[202213]"/>
                <p n="[Calendar].[H_Merch].[MerchYearMonthName].&amp;[2022-Mart]"/>
                <p n="[Calendar].[H_Merch].[MerchYear].&amp;[2022]"/>
              </i>
              <i n="[Calendar].[H_Merch].[Date].&amp;[2022-03-25T00:00:00]" c="25.03.2022" nd="1">
                <p n="[Calendar].[H_Merch].[MerchYearWeek].&amp;[202213]"/>
                <p n="[Calendar].[H_Merch].[MerchYearMonthName].&amp;[2022-Mart]"/>
                <p n="[Calendar].[H_Merch].[MerchYear].&amp;[2022]"/>
              </i>
              <i n="[Calendar].[H_Merch].[Date].&amp;[2022-03-26T00:00:00]" c="26.03.2022" nd="1">
                <p n="[Calendar].[H_Merch].[MerchYearWeek].&amp;[202213]"/>
                <p n="[Calendar].[H_Merch].[MerchYearMonthName].&amp;[2022-Mart]"/>
                <p n="[Calendar].[H_Merch].[MerchYear].&amp;[2022]"/>
              </i>
              <i n="[Calendar].[H_Merch].[Date].&amp;[2022-03-27T00:00:00]" c="27.03.2022" nd="1">
                <p n="[Calendar].[H_Merch].[MerchYearWeek].&amp;[202213]"/>
                <p n="[Calendar].[H_Merch].[MerchYearMonthName].&amp;[2022-Mart]"/>
                <p n="[Calendar].[H_Merch].[MerchYear].&amp;[2022]"/>
              </i>
              <i n="[Calendar].[H_Merch].[Date].&amp;[2022-03-28T00:00:00]" c="28.03.2022" nd="1">
                <p n="[Calendar].[H_Merch].[MerchYearWeek].&amp;[202214]"/>
                <p n="[Calendar].[H_Merch].[MerchYearMonthName].&amp;[2022-Nisan]"/>
                <p n="[Calendar].[H_Merch].[MerchYear].&amp;[2022]"/>
              </i>
              <i n="[Calendar].[H_Merch].[Date].&amp;[2022-03-29T00:00:00]" c="29.03.2022" nd="1">
                <p n="[Calendar].[H_Merch].[MerchYearWeek].&amp;[202214]"/>
                <p n="[Calendar].[H_Merch].[MerchYearMonthName].&amp;[2022-Nisan]"/>
                <p n="[Calendar].[H_Merch].[MerchYear].&amp;[2022]"/>
              </i>
              <i n="[Calendar].[H_Merch].[Date].&amp;[2022-03-30T00:00:00]" c="30.03.2022" nd="1">
                <p n="[Calendar].[H_Merch].[MerchYearWeek].&amp;[202214]"/>
                <p n="[Calendar].[H_Merch].[MerchYearMonthName].&amp;[2022-Nisan]"/>
                <p n="[Calendar].[H_Merch].[MerchYear].&amp;[2022]"/>
              </i>
              <i n="[Calendar].[H_Merch].[Date].&amp;[2022-03-31T00:00:00]" c="31.03.2022" nd="1">
                <p n="[Calendar].[H_Merch].[MerchYearWeek].&amp;[202214]"/>
                <p n="[Calendar].[H_Merch].[MerchYearMonthName].&amp;[2022-Nisan]"/>
                <p n="[Calendar].[H_Merch].[MerchYear].&amp;[2022]"/>
              </i>
              <i n="[Calendar].[H_Merch].[Date].&amp;[2022-04-01T00:00:00]" c="1.04.2022" nd="1">
                <p n="[Calendar].[H_Merch].[MerchYearWeek].&amp;[202214]"/>
                <p n="[Calendar].[H_Merch].[MerchYearMonthName].&amp;[2022-Nisan]"/>
                <p n="[Calendar].[H_Merch].[MerchYear].&amp;[2022]"/>
              </i>
              <i n="[Calendar].[H_Merch].[Date].&amp;[2022-04-02T00:00:00]" c="2.04.2022" nd="1">
                <p n="[Calendar].[H_Merch].[MerchYearWeek].&amp;[202214]"/>
                <p n="[Calendar].[H_Merch].[MerchYearMonthName].&amp;[2022-Nisan]"/>
                <p n="[Calendar].[H_Merch].[MerchYear].&amp;[2022]"/>
              </i>
              <i n="[Calendar].[H_Merch].[Date].&amp;[2022-04-03T00:00:00]" c="3.04.2022" nd="1">
                <p n="[Calendar].[H_Merch].[MerchYearWeek].&amp;[202214]"/>
                <p n="[Calendar].[H_Merch].[MerchYearMonthName].&amp;[2022-Nisan]"/>
                <p n="[Calendar].[H_Merch].[MerchYear].&amp;[2022]"/>
              </i>
              <i n="[Calendar].[H_Merch].[Date].&amp;[2022-04-04T00:00:00]" c="4.04.2022" nd="1">
                <p n="[Calendar].[H_Merch].[MerchYearWeek].&amp;[202215]"/>
                <p n="[Calendar].[H_Merch].[MerchYearMonthName].&amp;[2022-Nisan]"/>
                <p n="[Calendar].[H_Merch].[MerchYear].&amp;[2022]"/>
              </i>
              <i n="[Calendar].[H_Merch].[Date].&amp;[2022-04-05T00:00:00]" c="5.04.2022" nd="1">
                <p n="[Calendar].[H_Merch].[MerchYearWeek].&amp;[202215]"/>
                <p n="[Calendar].[H_Merch].[MerchYearMonthName].&amp;[2022-Nisan]"/>
                <p n="[Calendar].[H_Merch].[MerchYear].&amp;[2022]"/>
              </i>
              <i n="[Calendar].[H_Merch].[Date].&amp;[2022-04-06T00:00:00]" c="6.04.2022" nd="1">
                <p n="[Calendar].[H_Merch].[MerchYearWeek].&amp;[202215]"/>
                <p n="[Calendar].[H_Merch].[MerchYearMonthName].&amp;[2022-Nisan]"/>
                <p n="[Calendar].[H_Merch].[MerchYear].&amp;[2022]"/>
              </i>
              <i n="[Calendar].[H_Merch].[Date].&amp;[2022-04-07T00:00:00]" c="7.04.2022" nd="1">
                <p n="[Calendar].[H_Merch].[MerchYearWeek].&amp;[202215]"/>
                <p n="[Calendar].[H_Merch].[MerchYearMonthName].&amp;[2022-Nisan]"/>
                <p n="[Calendar].[H_Merch].[MerchYear].&amp;[2022]"/>
              </i>
              <i n="[Calendar].[H_Merch].[Date].&amp;[2022-04-08T00:00:00]" c="8.04.2022" nd="1">
                <p n="[Calendar].[H_Merch].[MerchYearWeek].&amp;[202215]"/>
                <p n="[Calendar].[H_Merch].[MerchYearMonthName].&amp;[2022-Nisan]"/>
                <p n="[Calendar].[H_Merch].[MerchYear].&amp;[2022]"/>
              </i>
              <i n="[Calendar].[H_Merch].[Date].&amp;[2022-04-09T00:00:00]" c="9.04.2022" nd="1">
                <p n="[Calendar].[H_Merch].[MerchYearWeek].&amp;[202215]"/>
                <p n="[Calendar].[H_Merch].[MerchYearMonthName].&amp;[2022-Nisan]"/>
                <p n="[Calendar].[H_Merch].[MerchYear].&amp;[2022]"/>
              </i>
              <i n="[Calendar].[H_Merch].[Date].&amp;[2022-04-10T00:00:00]" c="10.04.2022" nd="1">
                <p n="[Calendar].[H_Merch].[MerchYearWeek].&amp;[202215]"/>
                <p n="[Calendar].[H_Merch].[MerchYearMonthName].&amp;[2022-Nisan]"/>
                <p n="[Calendar].[H_Merch].[MerchYear].&amp;[2022]"/>
              </i>
              <i n="[Calendar].[H_Merch].[Date].&amp;[2022-04-11T00:00:00]" c="11.04.2022" nd="1">
                <p n="[Calendar].[H_Merch].[MerchYearWeek].&amp;[202216]"/>
                <p n="[Calendar].[H_Merch].[MerchYearMonthName].&amp;[2022-Nisan]"/>
                <p n="[Calendar].[H_Merch].[MerchYear].&amp;[2022]"/>
              </i>
              <i n="[Calendar].[H_Merch].[Date].&amp;[2022-04-12T00:00:00]" c="12.04.2022" nd="1">
                <p n="[Calendar].[H_Merch].[MerchYearWeek].&amp;[202216]"/>
                <p n="[Calendar].[H_Merch].[MerchYearMonthName].&amp;[2022-Nisan]"/>
                <p n="[Calendar].[H_Merch].[MerchYear].&amp;[2022]"/>
              </i>
              <i n="[Calendar].[H_Merch].[Date].&amp;[2022-04-13T00:00:00]" c="13.04.2022" nd="1">
                <p n="[Calendar].[H_Merch].[MerchYearWeek].&amp;[202216]"/>
                <p n="[Calendar].[H_Merch].[MerchYearMonthName].&amp;[2022-Nisan]"/>
                <p n="[Calendar].[H_Merch].[MerchYear].&amp;[2022]"/>
              </i>
              <i n="[Calendar].[H_Merch].[Date].&amp;[2022-04-14T00:00:00]" c="14.04.2022" nd="1">
                <p n="[Calendar].[H_Merch].[MerchYearWeek].&amp;[202216]"/>
                <p n="[Calendar].[H_Merch].[MerchYearMonthName].&amp;[2022-Nisan]"/>
                <p n="[Calendar].[H_Merch].[MerchYear].&amp;[2022]"/>
              </i>
              <i n="[Calendar].[H_Merch].[Date].&amp;[2022-04-15T00:00:00]" c="15.04.2022" nd="1">
                <p n="[Calendar].[H_Merch].[MerchYearWeek].&amp;[202216]"/>
                <p n="[Calendar].[H_Merch].[MerchYearMonthName].&amp;[2022-Nisan]"/>
                <p n="[Calendar].[H_Merch].[MerchYear].&amp;[2022]"/>
              </i>
              <i n="[Calendar].[H_Merch].[Date].&amp;[2022-04-16T00:00:00]" c="16.04.2022" nd="1">
                <p n="[Calendar].[H_Merch].[MerchYearWeek].&amp;[202216]"/>
                <p n="[Calendar].[H_Merch].[MerchYearMonthName].&amp;[2022-Nisan]"/>
                <p n="[Calendar].[H_Merch].[MerchYear].&amp;[2022]"/>
              </i>
              <i n="[Calendar].[H_Merch].[Date].&amp;[2022-04-17T00:00:00]" c="17.04.2022" nd="1">
                <p n="[Calendar].[H_Merch].[MerchYearWeek].&amp;[202216]"/>
                <p n="[Calendar].[H_Merch].[MerchYearMonthName].&amp;[2022-Nisan]"/>
                <p n="[Calendar].[H_Merch].[MerchYear].&amp;[2022]"/>
              </i>
              <i n="[Calendar].[H_Merch].[Date].&amp;[2022-04-18T00:00:00]" c="18.04.2022" nd="1">
                <p n="[Calendar].[H_Merch].[MerchYearWeek].&amp;[202217]"/>
                <p n="[Calendar].[H_Merch].[MerchYearMonthName].&amp;[2022-Nisan]"/>
                <p n="[Calendar].[H_Merch].[MerchYear].&amp;[2022]"/>
              </i>
              <i n="[Calendar].[H_Merch].[Date].&amp;[2022-04-19T00:00:00]" c="19.04.2022" nd="1">
                <p n="[Calendar].[H_Merch].[MerchYearWeek].&amp;[202217]"/>
                <p n="[Calendar].[H_Merch].[MerchYearMonthName].&amp;[2022-Nisan]"/>
                <p n="[Calendar].[H_Merch].[MerchYear].&amp;[2022]"/>
              </i>
              <i n="[Calendar].[H_Merch].[Date].&amp;[2022-04-20T00:00:00]" c="20.04.2022" nd="1">
                <p n="[Calendar].[H_Merch].[MerchYearWeek].&amp;[202217]"/>
                <p n="[Calendar].[H_Merch].[MerchYearMonthName].&amp;[2022-Nisan]"/>
                <p n="[Calendar].[H_Merch].[MerchYear].&amp;[2022]"/>
              </i>
              <i n="[Calendar].[H_Merch].[Date].&amp;[2022-04-21T00:00:00]" c="21.04.2022" nd="1">
                <p n="[Calendar].[H_Merch].[MerchYearWeek].&amp;[202217]"/>
                <p n="[Calendar].[H_Merch].[MerchYearMonthName].&amp;[2022-Nisan]"/>
                <p n="[Calendar].[H_Merch].[MerchYear].&amp;[2022]"/>
              </i>
              <i n="[Calendar].[H_Merch].[Date].&amp;[2022-04-22T00:00:00]" c="22.04.2022" nd="1">
                <p n="[Calendar].[H_Merch].[MerchYearWeek].&amp;[202217]"/>
                <p n="[Calendar].[H_Merch].[MerchYearMonthName].&amp;[2022-Nisan]"/>
                <p n="[Calendar].[H_Merch].[MerchYear].&amp;[2022]"/>
              </i>
              <i n="[Calendar].[H_Merch].[Date].&amp;[2022-04-23T00:00:00]" c="23.04.2022" nd="1">
                <p n="[Calendar].[H_Merch].[MerchYearWeek].&amp;[202217]"/>
                <p n="[Calendar].[H_Merch].[MerchYearMonthName].&amp;[2022-Nisan]"/>
                <p n="[Calendar].[H_Merch].[MerchYear].&amp;[2022]"/>
              </i>
              <i n="[Calendar].[H_Merch].[Date].&amp;[2022-04-24T00:00:00]" c="24.04.2022" nd="1">
                <p n="[Calendar].[H_Merch].[MerchYearWeek].&amp;[202217]"/>
                <p n="[Calendar].[H_Merch].[MerchYearMonthName].&amp;[2022-Nisan]"/>
                <p n="[Calendar].[H_Merch].[MerchYear].&amp;[2022]"/>
              </i>
              <i n="[Calendar].[H_Merch].[Date].&amp;[2022-04-25T00:00:00]" c="25.04.2022" nd="1">
                <p n="[Calendar].[H_Merch].[MerchYearWeek].&amp;[202218]"/>
                <p n="[Calendar].[H_Merch].[MerchYearMonthName].&amp;[2022-Nisan]"/>
                <p n="[Calendar].[H_Merch].[MerchYear].&amp;[2022]"/>
              </i>
              <i n="[Calendar].[H_Merch].[Date].&amp;[2022-04-26T00:00:00]" c="26.04.2022" nd="1">
                <p n="[Calendar].[H_Merch].[MerchYearWeek].&amp;[202218]"/>
                <p n="[Calendar].[H_Merch].[MerchYearMonthName].&amp;[2022-Nisan]"/>
                <p n="[Calendar].[H_Merch].[MerchYear].&amp;[2022]"/>
              </i>
              <i n="[Calendar].[H_Merch].[Date].&amp;[2022-04-27T00:00:00]" c="27.04.2022" nd="1">
                <p n="[Calendar].[H_Merch].[MerchYearWeek].&amp;[202218]"/>
                <p n="[Calendar].[H_Merch].[MerchYearMonthName].&amp;[2022-Nisan]"/>
                <p n="[Calendar].[H_Merch].[MerchYear].&amp;[2022]"/>
              </i>
              <i n="[Calendar].[H_Merch].[Date].&amp;[2022-04-28T00:00:00]" c="28.04.2022" nd="1">
                <p n="[Calendar].[H_Merch].[MerchYearWeek].&amp;[202218]"/>
                <p n="[Calendar].[H_Merch].[MerchYearMonthName].&amp;[2022-Nisan]"/>
                <p n="[Calendar].[H_Merch].[MerchYear].&amp;[2022]"/>
              </i>
              <i n="[Calendar].[H_Merch].[Date].&amp;[2022-04-29T00:00:00]" c="29.04.2022" nd="1">
                <p n="[Calendar].[H_Merch].[MerchYearWeek].&amp;[202218]"/>
                <p n="[Calendar].[H_Merch].[MerchYearMonthName].&amp;[2022-Nisan]"/>
                <p n="[Calendar].[H_Merch].[MerchYear].&amp;[2022]"/>
              </i>
              <i n="[Calendar].[H_Merch].[Date].&amp;[2022-04-30T00:00:00]" c="30.04.2022" nd="1">
                <p n="[Calendar].[H_Merch].[MerchYearWeek].&amp;[202218]"/>
                <p n="[Calendar].[H_Merch].[MerchYearMonthName].&amp;[2022-Nisan]"/>
                <p n="[Calendar].[H_Merch].[MerchYear].&amp;[2022]"/>
              </i>
              <i n="[Calendar].[H_Merch].[Date].&amp;[2022-05-01T00:00:00]" c="1.05.2022" nd="1">
                <p n="[Calendar].[H_Merch].[MerchYearWeek].&amp;[202218]"/>
                <p n="[Calendar].[H_Merch].[MerchYearMonthName].&amp;[2022-Nisan]"/>
                <p n="[Calendar].[H_Merch].[MerchYear].&amp;[2022]"/>
              </i>
              <i n="[Calendar].[H_Merch].[Date].&amp;[2022-05-02T00:00:00]" c="2.05.2022" nd="1">
                <p n="[Calendar].[H_Merch].[MerchYearWeek].&amp;[202219]"/>
                <p n="[Calendar].[H_Merch].[MerchYearMonthName].&amp;[2022-Mayıs]"/>
                <p n="[Calendar].[H_Merch].[MerchYear].&amp;[2022]"/>
              </i>
              <i n="[Calendar].[H_Merch].[Date].&amp;[2022-05-03T00:00:00]" c="3.05.2022" nd="1">
                <p n="[Calendar].[H_Merch].[MerchYearWeek].&amp;[202219]"/>
                <p n="[Calendar].[H_Merch].[MerchYearMonthName].&amp;[2022-Mayıs]"/>
                <p n="[Calendar].[H_Merch].[MerchYear].&amp;[2022]"/>
              </i>
              <i n="[Calendar].[H_Merch].[Date].&amp;[2022-05-04T00:00:00]" c="4.05.2022" nd="1">
                <p n="[Calendar].[H_Merch].[MerchYearWeek].&amp;[202219]"/>
                <p n="[Calendar].[H_Merch].[MerchYearMonthName].&amp;[2022-Mayıs]"/>
                <p n="[Calendar].[H_Merch].[MerchYear].&amp;[2022]"/>
              </i>
              <i n="[Calendar].[H_Merch].[Date].&amp;[2022-05-05T00:00:00]" c="5.05.2022" nd="1">
                <p n="[Calendar].[H_Merch].[MerchYearWeek].&amp;[202219]"/>
                <p n="[Calendar].[H_Merch].[MerchYearMonthName].&amp;[2022-Mayıs]"/>
                <p n="[Calendar].[H_Merch].[MerchYear].&amp;[2022]"/>
              </i>
              <i n="[Calendar].[H_Merch].[Date].&amp;[2022-05-06T00:00:00]" c="6.05.2022" nd="1">
                <p n="[Calendar].[H_Merch].[MerchYearWeek].&amp;[202219]"/>
                <p n="[Calendar].[H_Merch].[MerchYearMonthName].&amp;[2022-Mayıs]"/>
                <p n="[Calendar].[H_Merch].[MerchYear].&amp;[2022]"/>
              </i>
              <i n="[Calendar].[H_Merch].[Date].&amp;[2022-05-07T00:00:00]" c="7.05.2022" nd="1">
                <p n="[Calendar].[H_Merch].[MerchYearWeek].&amp;[202219]"/>
                <p n="[Calendar].[H_Merch].[MerchYearMonthName].&amp;[2022-Mayıs]"/>
                <p n="[Calendar].[H_Merch].[MerchYear].&amp;[2022]"/>
              </i>
              <i n="[Calendar].[H_Merch].[Date].&amp;[2022-05-08T00:00:00]" c="8.05.2022" nd="1">
                <p n="[Calendar].[H_Merch].[MerchYearWeek].&amp;[202219]"/>
                <p n="[Calendar].[H_Merch].[MerchYearMonthName].&amp;[2022-Mayıs]"/>
                <p n="[Calendar].[H_Merch].[MerchYear].&amp;[2022]"/>
              </i>
              <i n="[Calendar].[H_Merch].[Date].&amp;[2022-05-09T00:00:00]" c="9.05.2022" nd="1">
                <p n="[Calendar].[H_Merch].[MerchYearWeek].&amp;[202220]"/>
                <p n="[Calendar].[H_Merch].[MerchYearMonthName].&amp;[2022-Mayıs]"/>
                <p n="[Calendar].[H_Merch].[MerchYear].&amp;[2022]"/>
              </i>
              <i n="[Calendar].[H_Merch].[Date].&amp;[2022-05-10T00:00:00]" c="10.05.2022" nd="1">
                <p n="[Calendar].[H_Merch].[MerchYearWeek].&amp;[202220]"/>
                <p n="[Calendar].[H_Merch].[MerchYearMonthName].&amp;[2022-Mayıs]"/>
                <p n="[Calendar].[H_Merch].[MerchYear].&amp;[2022]"/>
              </i>
              <i n="[Calendar].[H_Merch].[Date].&amp;[2022-05-11T00:00:00]" c="11.05.2022" nd="1">
                <p n="[Calendar].[H_Merch].[MerchYearWeek].&amp;[202220]"/>
                <p n="[Calendar].[H_Merch].[MerchYearMonthName].&amp;[2022-Mayıs]"/>
                <p n="[Calendar].[H_Merch].[MerchYear].&amp;[2022]"/>
              </i>
              <i n="[Calendar].[H_Merch].[Date].&amp;[2022-05-12T00:00:00]" c="12.05.2022" nd="1">
                <p n="[Calendar].[H_Merch].[MerchYearWeek].&amp;[202220]"/>
                <p n="[Calendar].[H_Merch].[MerchYearMonthName].&amp;[2022-Mayıs]"/>
                <p n="[Calendar].[H_Merch].[MerchYear].&amp;[2022]"/>
              </i>
              <i n="[Calendar].[H_Merch].[Date].&amp;[2022-05-13T00:00:00]" c="13.05.2022" nd="1">
                <p n="[Calendar].[H_Merch].[MerchYearWeek].&amp;[202220]"/>
                <p n="[Calendar].[H_Merch].[MerchYearMonthName].&amp;[2022-Mayıs]"/>
                <p n="[Calendar].[H_Merch].[MerchYear].&amp;[2022]"/>
              </i>
              <i n="[Calendar].[H_Merch].[Date].&amp;[2022-05-14T00:00:00]" c="14.05.2022" nd="1">
                <p n="[Calendar].[H_Merch].[MerchYearWeek].&amp;[202220]"/>
                <p n="[Calendar].[H_Merch].[MerchYearMonthName].&amp;[2022-Mayıs]"/>
                <p n="[Calendar].[H_Merch].[MerchYear].&amp;[2022]"/>
              </i>
              <i n="[Calendar].[H_Merch].[Date].&amp;[2022-05-15T00:00:00]" c="15.05.2022" nd="1">
                <p n="[Calendar].[H_Merch].[MerchYearWeek].&amp;[202220]"/>
                <p n="[Calendar].[H_Merch].[MerchYearMonthName].&amp;[2022-Mayıs]"/>
                <p n="[Calendar].[H_Merch].[MerchYear].&amp;[2022]"/>
              </i>
              <i n="[Calendar].[H_Merch].[Date].&amp;[2022-05-16T00:00:00]" c="16.05.2022" nd="1">
                <p n="[Calendar].[H_Merch].[MerchYearWeek].&amp;[202221]"/>
                <p n="[Calendar].[H_Merch].[MerchYearMonthName].&amp;[2022-Mayıs]"/>
                <p n="[Calendar].[H_Merch].[MerchYear].&amp;[2022]"/>
              </i>
              <i n="[Calendar].[H_Merch].[Date].&amp;[2022-05-17T00:00:00]" c="17.05.2022" nd="1">
                <p n="[Calendar].[H_Merch].[MerchYearWeek].&amp;[202221]"/>
                <p n="[Calendar].[H_Merch].[MerchYearMonthName].&amp;[2022-Mayıs]"/>
                <p n="[Calendar].[H_Merch].[MerchYear].&amp;[2022]"/>
              </i>
              <i n="[Calendar].[H_Merch].[Date].&amp;[2022-05-18T00:00:00]" c="18.05.2022" nd="1">
                <p n="[Calendar].[H_Merch].[MerchYearWeek].&amp;[202221]"/>
                <p n="[Calendar].[H_Merch].[MerchYearMonthName].&amp;[2022-Mayıs]"/>
                <p n="[Calendar].[H_Merch].[MerchYear].&amp;[2022]"/>
              </i>
              <i n="[Calendar].[H_Merch].[Date].&amp;[2022-05-19T00:00:00]" c="19.05.2022" nd="1">
                <p n="[Calendar].[H_Merch].[MerchYearWeek].&amp;[202221]"/>
                <p n="[Calendar].[H_Merch].[MerchYearMonthName].&amp;[2022-Mayıs]"/>
                <p n="[Calendar].[H_Merch].[MerchYear].&amp;[2022]"/>
              </i>
              <i n="[Calendar].[H_Merch].[Date].&amp;[2022-05-20T00:00:00]" c="20.05.2022" nd="1">
                <p n="[Calendar].[H_Merch].[MerchYearWeek].&amp;[202221]"/>
                <p n="[Calendar].[H_Merch].[MerchYearMonthName].&amp;[2022-Mayıs]"/>
                <p n="[Calendar].[H_Merch].[MerchYear].&amp;[2022]"/>
              </i>
              <i n="[Calendar].[H_Merch].[Date].&amp;[2022-05-21T00:00:00]" c="21.05.2022" nd="1">
                <p n="[Calendar].[H_Merch].[MerchYearWeek].&amp;[202221]"/>
                <p n="[Calendar].[H_Merch].[MerchYearMonthName].&amp;[2022-Mayıs]"/>
                <p n="[Calendar].[H_Merch].[MerchYear].&amp;[2022]"/>
              </i>
              <i n="[Calendar].[H_Merch].[Date].&amp;[2022-05-22T00:00:00]" c="22.05.2022" nd="1">
                <p n="[Calendar].[H_Merch].[MerchYearWeek].&amp;[202221]"/>
                <p n="[Calendar].[H_Merch].[MerchYearMonthName].&amp;[2022-Mayıs]"/>
                <p n="[Calendar].[H_Merch].[MerchYear].&amp;[2022]"/>
              </i>
              <i n="[Calendar].[H_Merch].[Date].&amp;[2022-05-23T00:00:00]" c="23.05.2022" nd="1">
                <p n="[Calendar].[H_Merch].[MerchYearWeek].&amp;[202222]"/>
                <p n="[Calendar].[H_Merch].[MerchYearMonthName].&amp;[2022-Mayıs]"/>
                <p n="[Calendar].[H_Merch].[MerchYear].&amp;[2022]"/>
              </i>
              <i n="[Calendar].[H_Merch].[Date].&amp;[2022-05-24T00:00:00]" c="24.05.2022" nd="1">
                <p n="[Calendar].[H_Merch].[MerchYearWeek].&amp;[202222]"/>
                <p n="[Calendar].[H_Merch].[MerchYearMonthName].&amp;[2022-Mayıs]"/>
                <p n="[Calendar].[H_Merch].[MerchYear].&amp;[2022]"/>
              </i>
              <i n="[Calendar].[H_Merch].[Date].&amp;[2022-05-25T00:00:00]" c="25.05.2022" nd="1">
                <p n="[Calendar].[H_Merch].[MerchYearWeek].&amp;[202222]"/>
                <p n="[Calendar].[H_Merch].[MerchYearMonthName].&amp;[2022-Mayıs]"/>
                <p n="[Calendar].[H_Merch].[MerchYear].&amp;[2022]"/>
              </i>
              <i n="[Calendar].[H_Merch].[Date].&amp;[2022-05-26T00:00:00]" c="26.05.2022" nd="1">
                <p n="[Calendar].[H_Merch].[MerchYearWeek].&amp;[202222]"/>
                <p n="[Calendar].[H_Merch].[MerchYearMonthName].&amp;[2022-Mayıs]"/>
                <p n="[Calendar].[H_Merch].[MerchYear].&amp;[2022]"/>
              </i>
              <i n="[Calendar].[H_Merch].[Date].&amp;[2022-05-27T00:00:00]" c="27.05.2022" nd="1">
                <p n="[Calendar].[H_Merch].[MerchYearWeek].&amp;[202222]"/>
                <p n="[Calendar].[H_Merch].[MerchYearMonthName].&amp;[2022-Mayıs]"/>
                <p n="[Calendar].[H_Merch].[MerchYear].&amp;[2022]"/>
              </i>
              <i n="[Calendar].[H_Merch].[Date].&amp;[2022-05-28T00:00:00]" c="28.05.2022" nd="1">
                <p n="[Calendar].[H_Merch].[MerchYearWeek].&amp;[202222]"/>
                <p n="[Calendar].[H_Merch].[MerchYearMonthName].&amp;[2022-Mayıs]"/>
                <p n="[Calendar].[H_Merch].[MerchYear].&amp;[2022]"/>
              </i>
              <i n="[Calendar].[H_Merch].[Date].&amp;[2022-05-29T00:00:00]" c="29.05.2022" nd="1">
                <p n="[Calendar].[H_Merch].[MerchYearWeek].&amp;[202222]"/>
                <p n="[Calendar].[H_Merch].[MerchYearMonthName].&amp;[2022-Mayıs]"/>
                <p n="[Calendar].[H_Merch].[MerchYear].&amp;[2022]"/>
              </i>
              <i n="[Calendar].[H_Merch].[Date].&amp;[2022-05-30T00:00:00]" c="30.05.2022" nd="1">
                <p n="[Calendar].[H_Merch].[MerchYearWeek].&amp;[202223]"/>
                <p n="[Calendar].[H_Merch].[MerchYearMonthName].&amp;[2022-Haziran]"/>
                <p n="[Calendar].[H_Merch].[MerchYear].&amp;[2022]"/>
              </i>
              <i n="[Calendar].[H_Merch].[Date].&amp;[2022-05-31T00:00:00]" c="31.05.2022" nd="1">
                <p n="[Calendar].[H_Merch].[MerchYearWeek].&amp;[202223]"/>
                <p n="[Calendar].[H_Merch].[MerchYearMonthName].&amp;[2022-Haziran]"/>
                <p n="[Calendar].[H_Merch].[MerchYear].&amp;[2022]"/>
              </i>
              <i n="[Calendar].[H_Merch].[Date].&amp;[2022-06-01T00:00:00]" c="1.06.2022" nd="1">
                <p n="[Calendar].[H_Merch].[MerchYearWeek].&amp;[202223]"/>
                <p n="[Calendar].[H_Merch].[MerchYearMonthName].&amp;[2022-Haziran]"/>
                <p n="[Calendar].[H_Merch].[MerchYear].&amp;[2022]"/>
              </i>
              <i n="[Calendar].[H_Merch].[Date].&amp;[2022-06-02T00:00:00]" c="2.06.2022" nd="1">
                <p n="[Calendar].[H_Merch].[MerchYearWeek].&amp;[202223]"/>
                <p n="[Calendar].[H_Merch].[MerchYearMonthName].&amp;[2022-Haziran]"/>
                <p n="[Calendar].[H_Merch].[MerchYear].&amp;[2022]"/>
              </i>
              <i n="[Calendar].[H_Merch].[Date].&amp;[2022-06-03T00:00:00]" c="3.06.2022" nd="1">
                <p n="[Calendar].[H_Merch].[MerchYearWeek].&amp;[202223]"/>
                <p n="[Calendar].[H_Merch].[MerchYearMonthName].&amp;[2022-Haziran]"/>
                <p n="[Calendar].[H_Merch].[MerchYear].&amp;[2022]"/>
              </i>
              <i n="[Calendar].[H_Merch].[Date].&amp;[2022-06-04T00:00:00]" c="4.06.2022" nd="1">
                <p n="[Calendar].[H_Merch].[MerchYearWeek].&amp;[202223]"/>
                <p n="[Calendar].[H_Merch].[MerchYearMonthName].&amp;[2022-Haziran]"/>
                <p n="[Calendar].[H_Merch].[MerchYear].&amp;[2022]"/>
              </i>
              <i n="[Calendar].[H_Merch].[Date].&amp;[2022-06-05T00:00:00]" c="5.06.2022" nd="1">
                <p n="[Calendar].[H_Merch].[MerchYearWeek].&amp;[202223]"/>
                <p n="[Calendar].[H_Merch].[MerchYearMonthName].&amp;[2022-Haziran]"/>
                <p n="[Calendar].[H_Merch].[MerchYear].&amp;[2022]"/>
              </i>
              <i n="[Calendar].[H_Merch].[Date].&amp;[2022-06-06T00:00:00]" c="6.06.2022" nd="1">
                <p n="[Calendar].[H_Merch].[MerchYearWeek].&amp;[202224]"/>
                <p n="[Calendar].[H_Merch].[MerchYearMonthName].&amp;[2022-Haziran]"/>
                <p n="[Calendar].[H_Merch].[MerchYear].&amp;[2022]"/>
              </i>
              <i n="[Calendar].[H_Merch].[Date].&amp;[2022-06-07T00:00:00]" c="7.06.2022" nd="1">
                <p n="[Calendar].[H_Merch].[MerchYearWeek].&amp;[202224]"/>
                <p n="[Calendar].[H_Merch].[MerchYearMonthName].&amp;[2022-Haziran]"/>
                <p n="[Calendar].[H_Merch].[MerchYear].&amp;[2022]"/>
              </i>
              <i n="[Calendar].[H_Merch].[Date].&amp;[2022-06-08T00:00:00]" c="8.06.2022" nd="1">
                <p n="[Calendar].[H_Merch].[MerchYearWeek].&amp;[202224]"/>
                <p n="[Calendar].[H_Merch].[MerchYearMonthName].&amp;[2022-Haziran]"/>
                <p n="[Calendar].[H_Merch].[MerchYear].&amp;[2022]"/>
              </i>
              <i n="[Calendar].[H_Merch].[Date].&amp;[2022-06-09T00:00:00]" c="9.06.2022" nd="1">
                <p n="[Calendar].[H_Merch].[MerchYearWeek].&amp;[202224]"/>
                <p n="[Calendar].[H_Merch].[MerchYearMonthName].&amp;[2022-Haziran]"/>
                <p n="[Calendar].[H_Merch].[MerchYear].&amp;[2022]"/>
              </i>
              <i n="[Calendar].[H_Merch].[Date].&amp;[2022-06-10T00:00:00]" c="10.06.2022" nd="1">
                <p n="[Calendar].[H_Merch].[MerchYearWeek].&amp;[202224]"/>
                <p n="[Calendar].[H_Merch].[MerchYearMonthName].&amp;[2022-Haziran]"/>
                <p n="[Calendar].[H_Merch].[MerchYear].&amp;[2022]"/>
              </i>
              <i n="[Calendar].[H_Merch].[Date].&amp;[2022-06-11T00:00:00]" c="11.06.2022" nd="1">
                <p n="[Calendar].[H_Merch].[MerchYearWeek].&amp;[202224]"/>
                <p n="[Calendar].[H_Merch].[MerchYearMonthName].&amp;[2022-Haziran]"/>
                <p n="[Calendar].[H_Merch].[MerchYear].&amp;[2022]"/>
              </i>
              <i n="[Calendar].[H_Merch].[Date].&amp;[2022-06-12T00:00:00]" c="12.06.2022" nd="1">
                <p n="[Calendar].[H_Merch].[MerchYearWeek].&amp;[202224]"/>
                <p n="[Calendar].[H_Merch].[MerchYearMonthName].&amp;[2022-Haziran]"/>
                <p n="[Calendar].[H_Merch].[MerchYear].&amp;[2022]"/>
              </i>
              <i n="[Calendar].[H_Merch].[Date].&amp;[2022-06-13T00:00:00]" c="13.06.2022" nd="1">
                <p n="[Calendar].[H_Merch].[MerchYearWeek].&amp;[202225]"/>
                <p n="[Calendar].[H_Merch].[MerchYearMonthName].&amp;[2022-Haziran]"/>
                <p n="[Calendar].[H_Merch].[MerchYear].&amp;[2022]"/>
              </i>
              <i n="[Calendar].[H_Merch].[Date].&amp;[2022-06-14T00:00:00]" c="14.06.2022" nd="1">
                <p n="[Calendar].[H_Merch].[MerchYearWeek].&amp;[202225]"/>
                <p n="[Calendar].[H_Merch].[MerchYearMonthName].&amp;[2022-Haziran]"/>
                <p n="[Calendar].[H_Merch].[MerchYear].&amp;[2022]"/>
              </i>
              <i n="[Calendar].[H_Merch].[Date].&amp;[2022-06-15T00:00:00]" c="15.06.2022" nd="1">
                <p n="[Calendar].[H_Merch].[MerchYearWeek].&amp;[202225]"/>
                <p n="[Calendar].[H_Merch].[MerchYearMonthName].&amp;[2022-Haziran]"/>
                <p n="[Calendar].[H_Merch].[MerchYear].&amp;[2022]"/>
              </i>
              <i n="[Calendar].[H_Merch].[Date].&amp;[2022-06-16T00:00:00]" c="16.06.2022" nd="1">
                <p n="[Calendar].[H_Merch].[MerchYearWeek].&amp;[202225]"/>
                <p n="[Calendar].[H_Merch].[MerchYearMonthName].&amp;[2022-Haziran]"/>
                <p n="[Calendar].[H_Merch].[MerchYear].&amp;[2022]"/>
              </i>
              <i n="[Calendar].[H_Merch].[Date].&amp;[2022-06-17T00:00:00]" c="17.06.2022" nd="1">
                <p n="[Calendar].[H_Merch].[MerchYearWeek].&amp;[202225]"/>
                <p n="[Calendar].[H_Merch].[MerchYearMonthName].&amp;[2022-Haziran]"/>
                <p n="[Calendar].[H_Merch].[MerchYear].&amp;[2022]"/>
              </i>
              <i n="[Calendar].[H_Merch].[Date].&amp;[2022-06-18T00:00:00]" c="18.06.2022" nd="1">
                <p n="[Calendar].[H_Merch].[MerchYearWeek].&amp;[202225]"/>
                <p n="[Calendar].[H_Merch].[MerchYearMonthName].&amp;[2022-Haziran]"/>
                <p n="[Calendar].[H_Merch].[MerchYear].&amp;[2022]"/>
              </i>
              <i n="[Calendar].[H_Merch].[Date].&amp;[2022-06-19T00:00:00]" c="19.06.2022" nd="1">
                <p n="[Calendar].[H_Merch].[MerchYearWeek].&amp;[202225]"/>
                <p n="[Calendar].[H_Merch].[MerchYearMonthName].&amp;[2022-Haziran]"/>
                <p n="[Calendar].[H_Merch].[MerchYear].&amp;[2022]"/>
              </i>
              <i n="[Calendar].[H_Merch].[Date].&amp;[2022-06-20T00:00:00]" c="20.06.2022" nd="1">
                <p n="[Calendar].[H_Merch].[MerchYearWeek].&amp;[202226]"/>
                <p n="[Calendar].[H_Merch].[MerchYearMonthName].&amp;[2022-Haziran]"/>
                <p n="[Calendar].[H_Merch].[MerchYear].&amp;[2022]"/>
              </i>
              <i n="[Calendar].[H_Merch].[Date].&amp;[2022-06-21T00:00:00]" c="21.06.2022" nd="1">
                <p n="[Calendar].[H_Merch].[MerchYearWeek].&amp;[202226]"/>
                <p n="[Calendar].[H_Merch].[MerchYearMonthName].&amp;[2022-Haziran]"/>
                <p n="[Calendar].[H_Merch].[MerchYear].&amp;[2022]"/>
              </i>
              <i n="[Calendar].[H_Merch].[Date].&amp;[2022-06-22T00:00:00]" c="22.06.2022" nd="1">
                <p n="[Calendar].[H_Merch].[MerchYearWeek].&amp;[202226]"/>
                <p n="[Calendar].[H_Merch].[MerchYearMonthName].&amp;[2022-Haziran]"/>
                <p n="[Calendar].[H_Merch].[MerchYear].&amp;[2022]"/>
              </i>
              <i n="[Calendar].[H_Merch].[Date].&amp;[2022-06-23T00:00:00]" c="23.06.2022" nd="1">
                <p n="[Calendar].[H_Merch].[MerchYearWeek].&amp;[202226]"/>
                <p n="[Calendar].[H_Merch].[MerchYearMonthName].&amp;[2022-Haziran]"/>
                <p n="[Calendar].[H_Merch].[MerchYear].&amp;[2022]"/>
              </i>
              <i n="[Calendar].[H_Merch].[Date].&amp;[2022-06-24T00:00:00]" c="24.06.2022" nd="1">
                <p n="[Calendar].[H_Merch].[MerchYearWeek].&amp;[202226]"/>
                <p n="[Calendar].[H_Merch].[MerchYearMonthName].&amp;[2022-Haziran]"/>
                <p n="[Calendar].[H_Merch].[MerchYear].&amp;[2022]"/>
              </i>
              <i n="[Calendar].[H_Merch].[Date].&amp;[2022-06-25T00:00:00]" c="25.06.2022" nd="1">
                <p n="[Calendar].[H_Merch].[MerchYearWeek].&amp;[202226]"/>
                <p n="[Calendar].[H_Merch].[MerchYearMonthName].&amp;[2022-Haziran]"/>
                <p n="[Calendar].[H_Merch].[MerchYear].&amp;[2022]"/>
              </i>
              <i n="[Calendar].[H_Merch].[Date].&amp;[2022-06-26T00:00:00]" c="26.06.2022" nd="1">
                <p n="[Calendar].[H_Merch].[MerchYearWeek].&amp;[202226]"/>
                <p n="[Calendar].[H_Merch].[MerchYearMonthName].&amp;[2022-Haziran]"/>
                <p n="[Calendar].[H_Merch].[MerchYear].&amp;[2022]"/>
              </i>
              <i n="[Calendar].[H_Merch].[Date].&amp;[2022-06-27T00:00:00]" c="27.06.2022" nd="1">
                <p n="[Calendar].[H_Merch].[MerchYearWeek].&amp;[202227]"/>
                <p n="[Calendar].[H_Merch].[MerchYearMonthName].&amp;[2022-Temmuz]"/>
                <p n="[Calendar].[H_Merch].[MerchYear].&amp;[2022]"/>
              </i>
              <i n="[Calendar].[H_Merch].[Date].&amp;[2022-06-28T00:00:00]" c="28.06.2022" nd="1">
                <p n="[Calendar].[H_Merch].[MerchYearWeek].&amp;[202227]"/>
                <p n="[Calendar].[H_Merch].[MerchYearMonthName].&amp;[2022-Temmuz]"/>
                <p n="[Calendar].[H_Merch].[MerchYear].&amp;[2022]"/>
              </i>
              <i n="[Calendar].[H_Merch].[Date].&amp;[2022-06-29T00:00:00]" c="29.06.2022" nd="1">
                <p n="[Calendar].[H_Merch].[MerchYearWeek].&amp;[202227]"/>
                <p n="[Calendar].[H_Merch].[MerchYearMonthName].&amp;[2022-Temmuz]"/>
                <p n="[Calendar].[H_Merch].[MerchYear].&amp;[2022]"/>
              </i>
              <i n="[Calendar].[H_Merch].[Date].&amp;[2022-06-30T00:00:00]" c="30.06.2022" nd="1">
                <p n="[Calendar].[H_Merch].[MerchYearWeek].&amp;[202227]"/>
                <p n="[Calendar].[H_Merch].[MerchYearMonthName].&amp;[2022-Temmuz]"/>
                <p n="[Calendar].[H_Merch].[MerchYear].&amp;[2022]"/>
              </i>
              <i n="[Calendar].[H_Merch].[Date].&amp;[2022-07-01T00:00:00]" c="1.07.2022" nd="1">
                <p n="[Calendar].[H_Merch].[MerchYearWeek].&amp;[202227]"/>
                <p n="[Calendar].[H_Merch].[MerchYearMonthName].&amp;[2022-Temmuz]"/>
                <p n="[Calendar].[H_Merch].[MerchYear].&amp;[2022]"/>
              </i>
              <i n="[Calendar].[H_Merch].[Date].&amp;[2022-07-02T00:00:00]" c="2.07.2022" nd="1">
                <p n="[Calendar].[H_Merch].[MerchYearWeek].&amp;[202227]"/>
                <p n="[Calendar].[H_Merch].[MerchYearMonthName].&amp;[2022-Temmuz]"/>
                <p n="[Calendar].[H_Merch].[MerchYear].&amp;[2022]"/>
              </i>
              <i n="[Calendar].[H_Merch].[Date].&amp;[2022-07-03T00:00:00]" c="3.07.2022" nd="1">
                <p n="[Calendar].[H_Merch].[MerchYearWeek].&amp;[202227]"/>
                <p n="[Calendar].[H_Merch].[MerchYearMonthName].&amp;[2022-Temmuz]"/>
                <p n="[Calendar].[H_Merch].[MerchYear].&amp;[2022]"/>
              </i>
              <i n="[Calendar].[H_Merch].[Date].&amp;[2022-07-04T00:00:00]" c="4.07.2022" nd="1">
                <p n="[Calendar].[H_Merch].[MerchYearWeek].&amp;[202228]"/>
                <p n="[Calendar].[H_Merch].[MerchYearMonthName].&amp;[2022-Temmuz]"/>
                <p n="[Calendar].[H_Merch].[MerchYear].&amp;[2022]"/>
              </i>
              <i n="[Calendar].[H_Merch].[Date].&amp;[2022-07-05T00:00:00]" c="5.07.2022" nd="1">
                <p n="[Calendar].[H_Merch].[MerchYearWeek].&amp;[202228]"/>
                <p n="[Calendar].[H_Merch].[MerchYearMonthName].&amp;[2022-Temmuz]"/>
                <p n="[Calendar].[H_Merch].[MerchYear].&amp;[2022]"/>
              </i>
              <i n="[Calendar].[H_Merch].[Date].&amp;[2022-07-06T00:00:00]" c="6.07.2022" nd="1">
                <p n="[Calendar].[H_Merch].[MerchYearWeek].&amp;[202228]"/>
                <p n="[Calendar].[H_Merch].[MerchYearMonthName].&amp;[2022-Temmuz]"/>
                <p n="[Calendar].[H_Merch].[MerchYear].&amp;[2022]"/>
              </i>
              <i n="[Calendar].[H_Merch].[Date].&amp;[2022-07-07T00:00:00]" c="7.07.2022" nd="1">
                <p n="[Calendar].[H_Merch].[MerchYearWeek].&amp;[202228]"/>
                <p n="[Calendar].[H_Merch].[MerchYearMonthName].&amp;[2022-Temmuz]"/>
                <p n="[Calendar].[H_Merch].[MerchYear].&amp;[2022]"/>
              </i>
              <i n="[Calendar].[H_Merch].[Date].&amp;[2022-07-08T00:00:00]" c="8.07.2022" nd="1">
                <p n="[Calendar].[H_Merch].[MerchYearWeek].&amp;[202228]"/>
                <p n="[Calendar].[H_Merch].[MerchYearMonthName].&amp;[2022-Temmuz]"/>
                <p n="[Calendar].[H_Merch].[MerchYear].&amp;[2022]"/>
              </i>
              <i n="[Calendar].[H_Merch].[Date].&amp;[2022-07-09T00:00:00]" c="9.07.2022" nd="1">
                <p n="[Calendar].[H_Merch].[MerchYearWeek].&amp;[202228]"/>
                <p n="[Calendar].[H_Merch].[MerchYearMonthName].&amp;[2022-Temmuz]"/>
                <p n="[Calendar].[H_Merch].[MerchYear].&amp;[2022]"/>
              </i>
              <i n="[Calendar].[H_Merch].[Date].&amp;[2022-07-10T00:00:00]" c="10.07.2022" nd="1">
                <p n="[Calendar].[H_Merch].[MerchYearWeek].&amp;[202228]"/>
                <p n="[Calendar].[H_Merch].[MerchYearMonthName].&amp;[2022-Temmuz]"/>
                <p n="[Calendar].[H_Merch].[MerchYear].&amp;[2022]"/>
              </i>
              <i n="[Calendar].[H_Merch].[Date].&amp;[2022-07-11T00:00:00]" c="11.07.2022" nd="1">
                <p n="[Calendar].[H_Merch].[MerchYearWeek].&amp;[202229]"/>
                <p n="[Calendar].[H_Merch].[MerchYearMonthName].&amp;[2022-Temmuz]"/>
                <p n="[Calendar].[H_Merch].[MerchYear].&amp;[2022]"/>
              </i>
              <i n="[Calendar].[H_Merch].[Date].&amp;[2022-07-12T00:00:00]" c="12.07.2022" nd="1">
                <p n="[Calendar].[H_Merch].[MerchYearWeek].&amp;[202229]"/>
                <p n="[Calendar].[H_Merch].[MerchYearMonthName].&amp;[2022-Temmuz]"/>
                <p n="[Calendar].[H_Merch].[MerchYear].&amp;[2022]"/>
              </i>
              <i n="[Calendar].[H_Merch].[Date].&amp;[2022-07-13T00:00:00]" c="13.07.2022" nd="1">
                <p n="[Calendar].[H_Merch].[MerchYearWeek].&amp;[202229]"/>
                <p n="[Calendar].[H_Merch].[MerchYearMonthName].&amp;[2022-Temmuz]"/>
                <p n="[Calendar].[H_Merch].[MerchYear].&amp;[2022]"/>
              </i>
              <i n="[Calendar].[H_Merch].[Date].&amp;[2022-07-14T00:00:00]" c="14.07.2022" nd="1">
                <p n="[Calendar].[H_Merch].[MerchYearWeek].&amp;[202229]"/>
                <p n="[Calendar].[H_Merch].[MerchYearMonthName].&amp;[2022-Temmuz]"/>
                <p n="[Calendar].[H_Merch].[MerchYear].&amp;[2022]"/>
              </i>
              <i n="[Calendar].[H_Merch].[Date].&amp;[2022-07-15T00:00:00]" c="15.07.2022" nd="1">
                <p n="[Calendar].[H_Merch].[MerchYearWeek].&amp;[202229]"/>
                <p n="[Calendar].[H_Merch].[MerchYearMonthName].&amp;[2022-Temmuz]"/>
                <p n="[Calendar].[H_Merch].[MerchYear].&amp;[2022]"/>
              </i>
              <i n="[Calendar].[H_Merch].[Date].&amp;[2022-07-16T00:00:00]" c="16.07.2022" nd="1">
                <p n="[Calendar].[H_Merch].[MerchYearWeek].&amp;[202229]"/>
                <p n="[Calendar].[H_Merch].[MerchYearMonthName].&amp;[2022-Temmuz]"/>
                <p n="[Calendar].[H_Merch].[MerchYear].&amp;[2022]"/>
              </i>
              <i n="[Calendar].[H_Merch].[Date].&amp;[2022-07-17T00:00:00]" c="17.07.2022" nd="1">
                <p n="[Calendar].[H_Merch].[MerchYearWeek].&amp;[202229]"/>
                <p n="[Calendar].[H_Merch].[MerchYearMonthName].&amp;[2022-Temmuz]"/>
                <p n="[Calendar].[H_Merch].[MerchYear].&amp;[2022]"/>
              </i>
              <i n="[Calendar].[H_Merch].[Date].&amp;[2022-07-18T00:00:00]" c="18.07.2022" nd="1">
                <p n="[Calendar].[H_Merch].[MerchYearWeek].&amp;[202230]"/>
                <p n="[Calendar].[H_Merch].[MerchYearMonthName].&amp;[2022-Temmuz]"/>
                <p n="[Calendar].[H_Merch].[MerchYear].&amp;[2022]"/>
              </i>
              <i n="[Calendar].[H_Merch].[Date].&amp;[2022-07-19T00:00:00]" c="19.07.2022" nd="1">
                <p n="[Calendar].[H_Merch].[MerchYearWeek].&amp;[202230]"/>
                <p n="[Calendar].[H_Merch].[MerchYearMonthName].&amp;[2022-Temmuz]"/>
                <p n="[Calendar].[H_Merch].[MerchYear].&amp;[2022]"/>
              </i>
              <i n="[Calendar].[H_Merch].[Date].&amp;[2022-07-20T00:00:00]" c="20.07.2022" nd="1">
                <p n="[Calendar].[H_Merch].[MerchYearWeek].&amp;[202230]"/>
                <p n="[Calendar].[H_Merch].[MerchYearMonthName].&amp;[2022-Temmuz]"/>
                <p n="[Calendar].[H_Merch].[MerchYear].&amp;[2022]"/>
              </i>
              <i n="[Calendar].[H_Merch].[Date].&amp;[2022-07-21T00:00:00]" c="21.07.2022" nd="1">
                <p n="[Calendar].[H_Merch].[MerchYearWeek].&amp;[202230]"/>
                <p n="[Calendar].[H_Merch].[MerchYearMonthName].&amp;[2022-Temmuz]"/>
                <p n="[Calendar].[H_Merch].[MerchYear].&amp;[2022]"/>
              </i>
              <i n="[Calendar].[H_Merch].[Date].&amp;[2022-07-22T00:00:00]" c="22.07.2022" nd="1">
                <p n="[Calendar].[H_Merch].[MerchYearWeek].&amp;[202230]"/>
                <p n="[Calendar].[H_Merch].[MerchYearMonthName].&amp;[2022-Temmuz]"/>
                <p n="[Calendar].[H_Merch].[MerchYear].&amp;[2022]"/>
              </i>
              <i n="[Calendar].[H_Merch].[Date].&amp;[2022-07-23T00:00:00]" c="23.07.2022" nd="1">
                <p n="[Calendar].[H_Merch].[MerchYearWeek].&amp;[202230]"/>
                <p n="[Calendar].[H_Merch].[MerchYearMonthName].&amp;[2022-Temmuz]"/>
                <p n="[Calendar].[H_Merch].[MerchYear].&amp;[2022]"/>
              </i>
              <i n="[Calendar].[H_Merch].[Date].&amp;[2022-07-24T00:00:00]" c="24.07.2022" nd="1">
                <p n="[Calendar].[H_Merch].[MerchYearWeek].&amp;[202230]"/>
                <p n="[Calendar].[H_Merch].[MerchYearMonthName].&amp;[2022-Temmuz]"/>
                <p n="[Calendar].[H_Merch].[MerchYear].&amp;[2022]"/>
              </i>
              <i n="[Calendar].[H_Merch].[Date].&amp;[2022-07-25T00:00:00]" c="25.07.2022" nd="1">
                <p n="[Calendar].[H_Merch].[MerchYearWeek].&amp;[202231]"/>
                <p n="[Calendar].[H_Merch].[MerchYearMonthName].&amp;[2022-Temmuz]"/>
                <p n="[Calendar].[H_Merch].[MerchYear].&amp;[2022]"/>
              </i>
              <i n="[Calendar].[H_Merch].[Date].&amp;[2022-07-26T00:00:00]" c="26.07.2022" nd="1">
                <p n="[Calendar].[H_Merch].[MerchYearWeek].&amp;[202231]"/>
                <p n="[Calendar].[H_Merch].[MerchYearMonthName].&amp;[2022-Temmuz]"/>
                <p n="[Calendar].[H_Merch].[MerchYear].&amp;[2022]"/>
              </i>
              <i n="[Calendar].[H_Merch].[Date].&amp;[2022-07-27T00:00:00]" c="27.07.2022" nd="1">
                <p n="[Calendar].[H_Merch].[MerchYearWeek].&amp;[202231]"/>
                <p n="[Calendar].[H_Merch].[MerchYearMonthName].&amp;[2022-Temmuz]"/>
                <p n="[Calendar].[H_Merch].[MerchYear].&amp;[2022]"/>
              </i>
              <i n="[Calendar].[H_Merch].[Date].&amp;[2022-07-28T00:00:00]" c="28.07.2022" nd="1">
                <p n="[Calendar].[H_Merch].[MerchYearWeek].&amp;[202231]"/>
                <p n="[Calendar].[H_Merch].[MerchYearMonthName].&amp;[2022-Temmuz]"/>
                <p n="[Calendar].[H_Merch].[MerchYear].&amp;[2022]"/>
              </i>
              <i n="[Calendar].[H_Merch].[Date].&amp;[2022-07-29T00:00:00]" c="29.07.2022" nd="1">
                <p n="[Calendar].[H_Merch].[MerchYearWeek].&amp;[202231]"/>
                <p n="[Calendar].[H_Merch].[MerchYearMonthName].&amp;[2022-Temmuz]"/>
                <p n="[Calendar].[H_Merch].[MerchYear].&amp;[2022]"/>
              </i>
              <i n="[Calendar].[H_Merch].[Date].&amp;[2022-07-30T00:00:00]" c="30.07.2022" nd="1">
                <p n="[Calendar].[H_Merch].[MerchYearWeek].&amp;[202231]"/>
                <p n="[Calendar].[H_Merch].[MerchYearMonthName].&amp;[2022-Temmuz]"/>
                <p n="[Calendar].[H_Merch].[MerchYear].&amp;[2022]"/>
              </i>
              <i n="[Calendar].[H_Merch].[Date].&amp;[2022-07-31T00:00:00]" c="31.07.2022" nd="1">
                <p n="[Calendar].[H_Merch].[MerchYearWeek].&amp;[202231]"/>
                <p n="[Calendar].[H_Merch].[MerchYearMonthName].&amp;[2022-Temmuz]"/>
                <p n="[Calendar].[H_Merch].[MerchYear].&amp;[2022]"/>
              </i>
              <i n="[Calendar].[H_Merch].[Date].&amp;[2022-08-01T00:00:00]" c="1.08.2022" nd="1">
                <p n="[Calendar].[H_Merch].[MerchYearWeek].&amp;[202232]"/>
                <p n="[Calendar].[H_Merch].[MerchYearMonthName].&amp;[2022-Ağustos]"/>
                <p n="[Calendar].[H_Merch].[MerchYear].&amp;[2022]"/>
              </i>
              <i n="[Calendar].[H_Merch].[Date].&amp;[2022-08-02T00:00:00]" c="2.08.2022" nd="1">
                <p n="[Calendar].[H_Merch].[MerchYearWeek].&amp;[202232]"/>
                <p n="[Calendar].[H_Merch].[MerchYearMonthName].&amp;[2022-Ağustos]"/>
                <p n="[Calendar].[H_Merch].[MerchYear].&amp;[2022]"/>
              </i>
              <i n="[Calendar].[H_Merch].[Date].&amp;[2022-08-03T00:00:00]" c="3.08.2022" nd="1">
                <p n="[Calendar].[H_Merch].[MerchYearWeek].&amp;[202232]"/>
                <p n="[Calendar].[H_Merch].[MerchYearMonthName].&amp;[2022-Ağustos]"/>
                <p n="[Calendar].[H_Merch].[MerchYear].&amp;[2022]"/>
              </i>
              <i n="[Calendar].[H_Merch].[Date].&amp;[2022-08-04T00:00:00]" c="4.08.2022" nd="1">
                <p n="[Calendar].[H_Merch].[MerchYearWeek].&amp;[202232]"/>
                <p n="[Calendar].[H_Merch].[MerchYearMonthName].&amp;[2022-Ağustos]"/>
                <p n="[Calendar].[H_Merch].[MerchYear].&amp;[2022]"/>
              </i>
              <i n="[Calendar].[H_Merch].[Date].&amp;[2022-08-05T00:00:00]" c="5.08.2022" nd="1">
                <p n="[Calendar].[H_Merch].[MerchYearWeek].&amp;[202232]"/>
                <p n="[Calendar].[H_Merch].[MerchYearMonthName].&amp;[2022-Ağustos]"/>
                <p n="[Calendar].[H_Merch].[MerchYear].&amp;[2022]"/>
              </i>
              <i n="[Calendar].[H_Merch].[Date].&amp;[2022-08-06T00:00:00]" c="6.08.2022" nd="1">
                <p n="[Calendar].[H_Merch].[MerchYearWeek].&amp;[202232]"/>
                <p n="[Calendar].[H_Merch].[MerchYearMonthName].&amp;[2022-Ağustos]"/>
                <p n="[Calendar].[H_Merch].[MerchYear].&amp;[2022]"/>
              </i>
              <i n="[Calendar].[H_Merch].[Date].&amp;[2022-08-07T00:00:00]" c="7.08.2022" nd="1">
                <p n="[Calendar].[H_Merch].[MerchYearWeek].&amp;[202232]"/>
                <p n="[Calendar].[H_Merch].[MerchYearMonthName].&amp;[2022-Ağustos]"/>
                <p n="[Calendar].[H_Merch].[MerchYear].&amp;[2022]"/>
              </i>
              <i n="[Calendar].[H_Merch].[Date].&amp;[2022-08-08T00:00:00]" c="8.08.2022" nd="1">
                <p n="[Calendar].[H_Merch].[MerchYearWeek].&amp;[202233]"/>
                <p n="[Calendar].[H_Merch].[MerchYearMonthName].&amp;[2022-Ağustos]"/>
                <p n="[Calendar].[H_Merch].[MerchYear].&amp;[2022]"/>
              </i>
              <i n="[Calendar].[H_Merch].[Date].&amp;[2022-08-09T00:00:00]" c="9.08.2022" nd="1">
                <p n="[Calendar].[H_Merch].[MerchYearWeek].&amp;[202233]"/>
                <p n="[Calendar].[H_Merch].[MerchYearMonthName].&amp;[2022-Ağustos]"/>
                <p n="[Calendar].[H_Merch].[MerchYear].&amp;[2022]"/>
              </i>
              <i n="[Calendar].[H_Merch].[Date].&amp;[2022-08-10T00:00:00]" c="10.08.2022" nd="1">
                <p n="[Calendar].[H_Merch].[MerchYearWeek].&amp;[202233]"/>
                <p n="[Calendar].[H_Merch].[MerchYearMonthName].&amp;[2022-Ağustos]"/>
                <p n="[Calendar].[H_Merch].[MerchYear].&amp;[2022]"/>
              </i>
              <i n="[Calendar].[H_Merch].[Date].&amp;[2022-08-11T00:00:00]" c="11.08.2022" nd="1">
                <p n="[Calendar].[H_Merch].[MerchYearWeek].&amp;[202233]"/>
                <p n="[Calendar].[H_Merch].[MerchYearMonthName].&amp;[2022-Ağustos]"/>
                <p n="[Calendar].[H_Merch].[MerchYear].&amp;[2022]"/>
              </i>
              <i n="[Calendar].[H_Merch].[Date].&amp;[2022-08-12T00:00:00]" c="12.08.2022" nd="1">
                <p n="[Calendar].[H_Merch].[MerchYearWeek].&amp;[202233]"/>
                <p n="[Calendar].[H_Merch].[MerchYearMonthName].&amp;[2022-Ağustos]"/>
                <p n="[Calendar].[H_Merch].[MerchYear].&amp;[2022]"/>
              </i>
              <i n="[Calendar].[H_Merch].[Date].&amp;[2022-08-13T00:00:00]" c="13.08.2022" nd="1">
                <p n="[Calendar].[H_Merch].[MerchYearWeek].&amp;[202233]"/>
                <p n="[Calendar].[H_Merch].[MerchYearMonthName].&amp;[2022-Ağustos]"/>
                <p n="[Calendar].[H_Merch].[MerchYear].&amp;[2022]"/>
              </i>
              <i n="[Calendar].[H_Merch].[Date].&amp;[2022-08-14T00:00:00]" c="14.08.2022" nd="1">
                <p n="[Calendar].[H_Merch].[MerchYearWeek].&amp;[202233]"/>
                <p n="[Calendar].[H_Merch].[MerchYearMonthName].&amp;[2022-Ağustos]"/>
                <p n="[Calendar].[H_Merch].[MerchYear].&amp;[2022]"/>
              </i>
              <i n="[Calendar].[H_Merch].[Date].&amp;[2022-08-15T00:00:00]" c="15.08.2022" nd="1">
                <p n="[Calendar].[H_Merch].[MerchYearWeek].&amp;[202234]"/>
                <p n="[Calendar].[H_Merch].[MerchYearMonthName].&amp;[2022-Ağustos]"/>
                <p n="[Calendar].[H_Merch].[MerchYear].&amp;[2022]"/>
              </i>
              <i n="[Calendar].[H_Merch].[Date].&amp;[2022-08-16T00:00:00]" c="16.08.2022" nd="1">
                <p n="[Calendar].[H_Merch].[MerchYearWeek].&amp;[202234]"/>
                <p n="[Calendar].[H_Merch].[MerchYearMonthName].&amp;[2022-Ağustos]"/>
                <p n="[Calendar].[H_Merch].[MerchYear].&amp;[2022]"/>
              </i>
              <i n="[Calendar].[H_Merch].[Date].&amp;[2022-08-17T00:00:00]" c="17.08.2022" nd="1">
                <p n="[Calendar].[H_Merch].[MerchYearWeek].&amp;[202234]"/>
                <p n="[Calendar].[H_Merch].[MerchYearMonthName].&amp;[2022-Ağustos]"/>
                <p n="[Calendar].[H_Merch].[MerchYear].&amp;[2022]"/>
              </i>
              <i n="[Calendar].[H_Merch].[Date].&amp;[2022-08-18T00:00:00]" c="18.08.2022" nd="1">
                <p n="[Calendar].[H_Merch].[MerchYearWeek].&amp;[202234]"/>
                <p n="[Calendar].[H_Merch].[MerchYearMonthName].&amp;[2022-Ağustos]"/>
                <p n="[Calendar].[H_Merch].[MerchYear].&amp;[2022]"/>
              </i>
              <i n="[Calendar].[H_Merch].[Date].&amp;[2022-08-19T00:00:00]" c="19.08.2022" nd="1">
                <p n="[Calendar].[H_Merch].[MerchYearWeek].&amp;[202234]"/>
                <p n="[Calendar].[H_Merch].[MerchYearMonthName].&amp;[2022-Ağustos]"/>
                <p n="[Calendar].[H_Merch].[MerchYear].&amp;[2022]"/>
              </i>
              <i n="[Calendar].[H_Merch].[Date].&amp;[2022-08-20T00:00:00]" c="20.08.2022" nd="1">
                <p n="[Calendar].[H_Merch].[MerchYearWeek].&amp;[202234]"/>
                <p n="[Calendar].[H_Merch].[MerchYearMonthName].&amp;[2022-Ağustos]"/>
                <p n="[Calendar].[H_Merch].[MerchYear].&amp;[2022]"/>
              </i>
              <i n="[Calendar].[H_Merch].[Date].&amp;[2022-08-21T00:00:00]" c="21.08.2022" nd="1">
                <p n="[Calendar].[H_Merch].[MerchYearWeek].&amp;[202234]"/>
                <p n="[Calendar].[H_Merch].[MerchYearMonthName].&amp;[2022-Ağustos]"/>
                <p n="[Calendar].[H_Merch].[MerchYear].&amp;[2022]"/>
              </i>
              <i n="[Calendar].[H_Merch].[Date].&amp;[2022-08-22T00:00:00]" c="22.08.2022" nd="1">
                <p n="[Calendar].[H_Merch].[MerchYearWeek].&amp;[202235]"/>
                <p n="[Calendar].[H_Merch].[MerchYearMonthName].&amp;[2022-Ağustos]"/>
                <p n="[Calendar].[H_Merch].[MerchYear].&amp;[2022]"/>
              </i>
              <i n="[Calendar].[H_Merch].[Date].&amp;[2022-08-23T00:00:00]" c="23.08.2022" nd="1">
                <p n="[Calendar].[H_Merch].[MerchYearWeek].&amp;[202235]"/>
                <p n="[Calendar].[H_Merch].[MerchYearMonthName].&amp;[2022-Ağustos]"/>
                <p n="[Calendar].[H_Merch].[MerchYear].&amp;[2022]"/>
              </i>
              <i n="[Calendar].[H_Merch].[Date].&amp;[2022-08-24T00:00:00]" c="24.08.2022" nd="1">
                <p n="[Calendar].[H_Merch].[MerchYearWeek].&amp;[202235]"/>
                <p n="[Calendar].[H_Merch].[MerchYearMonthName].&amp;[2022-Ağustos]"/>
                <p n="[Calendar].[H_Merch].[MerchYear].&amp;[2022]"/>
              </i>
              <i n="[Calendar].[H_Merch].[Date].&amp;[2022-08-25T00:00:00]" c="25.08.2022" nd="1">
                <p n="[Calendar].[H_Merch].[MerchYearWeek].&amp;[202235]"/>
                <p n="[Calendar].[H_Merch].[MerchYearMonthName].&amp;[2022-Ağustos]"/>
                <p n="[Calendar].[H_Merch].[MerchYear].&amp;[2022]"/>
              </i>
              <i n="[Calendar].[H_Merch].[Date].&amp;[2022-08-26T00:00:00]" c="26.08.2022" nd="1">
                <p n="[Calendar].[H_Merch].[MerchYearWeek].&amp;[202235]"/>
                <p n="[Calendar].[H_Merch].[MerchYearMonthName].&amp;[2022-Ağustos]"/>
                <p n="[Calendar].[H_Merch].[MerchYear].&amp;[2022]"/>
              </i>
              <i n="[Calendar].[H_Merch].[Date].&amp;[2022-08-27T00:00:00]" c="27.08.2022" nd="1">
                <p n="[Calendar].[H_Merch].[MerchYearWeek].&amp;[202235]"/>
                <p n="[Calendar].[H_Merch].[MerchYearMonthName].&amp;[2022-Ağustos]"/>
                <p n="[Calendar].[H_Merch].[MerchYear].&amp;[2022]"/>
              </i>
              <i n="[Calendar].[H_Merch].[Date].&amp;[2022-08-28T00:00:00]" c="28.08.2022" nd="1">
                <p n="[Calendar].[H_Merch].[MerchYearWeek].&amp;[202235]"/>
                <p n="[Calendar].[H_Merch].[MerchYearMonthName].&amp;[2022-Ağustos]"/>
                <p n="[Calendar].[H_Merch].[MerchYear].&amp;[2022]"/>
              </i>
              <i n="[Calendar].[H_Merch].[Date].&amp;[2022-08-29T00:00:00]" c="29.08.2022" nd="1">
                <p n="[Calendar].[H_Merch].[MerchYearWeek].&amp;[202236]"/>
                <p n="[Calendar].[H_Merch].[MerchYearMonthName].&amp;[2022-Eylül]"/>
                <p n="[Calendar].[H_Merch].[MerchYear].&amp;[2022]"/>
              </i>
              <i n="[Calendar].[H_Merch].[Date].&amp;[2022-08-30T00:00:00]" c="30.08.2022" nd="1">
                <p n="[Calendar].[H_Merch].[MerchYearWeek].&amp;[202236]"/>
                <p n="[Calendar].[H_Merch].[MerchYearMonthName].&amp;[2022-Eylül]"/>
                <p n="[Calendar].[H_Merch].[MerchYear].&amp;[2022]"/>
              </i>
              <i n="[Calendar].[H_Merch].[Date].&amp;[2022-08-31T00:00:00]" c="31.08.2022" nd="1">
                <p n="[Calendar].[H_Merch].[MerchYearWeek].&amp;[202236]"/>
                <p n="[Calendar].[H_Merch].[MerchYearMonthName].&amp;[2022-Eylül]"/>
                <p n="[Calendar].[H_Merch].[MerchYear].&amp;[2022]"/>
              </i>
              <i n="[Calendar].[H_Merch].[Date].&amp;[2022-09-01T00:00:00]" c="1.09.2022" nd="1">
                <p n="[Calendar].[H_Merch].[MerchYearWeek].&amp;[202236]"/>
                <p n="[Calendar].[H_Merch].[MerchYearMonthName].&amp;[2022-Eylül]"/>
                <p n="[Calendar].[H_Merch].[MerchYear].&amp;[2022]"/>
              </i>
              <i n="[Calendar].[H_Merch].[Date].&amp;[2022-09-02T00:00:00]" c="2.09.2022" nd="1">
                <p n="[Calendar].[H_Merch].[MerchYearWeek].&amp;[202236]"/>
                <p n="[Calendar].[H_Merch].[MerchYearMonthName].&amp;[2022-Eylül]"/>
                <p n="[Calendar].[H_Merch].[MerchYear].&amp;[2022]"/>
              </i>
              <i n="[Calendar].[H_Merch].[Date].&amp;[2022-09-03T00:00:00]" c="3.09.2022" nd="1">
                <p n="[Calendar].[H_Merch].[MerchYearWeek].&amp;[202236]"/>
                <p n="[Calendar].[H_Merch].[MerchYearMonthName].&amp;[2022-Eylül]"/>
                <p n="[Calendar].[H_Merch].[MerchYear].&amp;[2022]"/>
              </i>
              <i n="[Calendar].[H_Merch].[Date].&amp;[2022-09-04T00:00:00]" c="4.09.2022" nd="1">
                <p n="[Calendar].[H_Merch].[MerchYearWeek].&amp;[202236]"/>
                <p n="[Calendar].[H_Merch].[MerchYearMonthName].&amp;[2022-Eylül]"/>
                <p n="[Calendar].[H_Merch].[MerchYear].&amp;[2022]"/>
              </i>
              <i n="[Calendar].[H_Merch].[Date].&amp;[2022-09-05T00:00:00]" c="5.09.2022" nd="1">
                <p n="[Calendar].[H_Merch].[MerchYearWeek].&amp;[202237]"/>
                <p n="[Calendar].[H_Merch].[MerchYearMonthName].&amp;[2022-Eylül]"/>
                <p n="[Calendar].[H_Merch].[MerchYear].&amp;[2022]"/>
              </i>
              <i n="[Calendar].[H_Merch].[Date].&amp;[2022-09-06T00:00:00]" c="6.09.2022" nd="1">
                <p n="[Calendar].[H_Merch].[MerchYearWeek].&amp;[202237]"/>
                <p n="[Calendar].[H_Merch].[MerchYearMonthName].&amp;[2022-Eylül]"/>
                <p n="[Calendar].[H_Merch].[MerchYear].&amp;[2022]"/>
              </i>
              <i n="[Calendar].[H_Merch].[Date].&amp;[2022-09-07T00:00:00]" c="7.09.2022" nd="1">
                <p n="[Calendar].[H_Merch].[MerchYearWeek].&amp;[202237]"/>
                <p n="[Calendar].[H_Merch].[MerchYearMonthName].&amp;[2022-Eylül]"/>
                <p n="[Calendar].[H_Merch].[MerchYear].&amp;[2022]"/>
              </i>
              <i n="[Calendar].[H_Merch].[Date].&amp;[2022-09-08T00:00:00]" c="8.09.2022" nd="1">
                <p n="[Calendar].[H_Merch].[MerchYearWeek].&amp;[202237]"/>
                <p n="[Calendar].[H_Merch].[MerchYearMonthName].&amp;[2022-Eylül]"/>
                <p n="[Calendar].[H_Merch].[MerchYear].&amp;[2022]"/>
              </i>
              <i n="[Calendar].[H_Merch].[Date].&amp;[2022-09-09T00:00:00]" c="9.09.2022" nd="1">
                <p n="[Calendar].[H_Merch].[MerchYearWeek].&amp;[202237]"/>
                <p n="[Calendar].[H_Merch].[MerchYearMonthName].&amp;[2022-Eylül]"/>
                <p n="[Calendar].[H_Merch].[MerchYear].&amp;[2022]"/>
              </i>
              <i n="[Calendar].[H_Merch].[Date].&amp;[2022-09-10T00:00:00]" c="10.09.2022" nd="1">
                <p n="[Calendar].[H_Merch].[MerchYearWeek].&amp;[202237]"/>
                <p n="[Calendar].[H_Merch].[MerchYearMonthName].&amp;[2022-Eylül]"/>
                <p n="[Calendar].[H_Merch].[MerchYear].&amp;[2022]"/>
              </i>
              <i n="[Calendar].[H_Merch].[Date].&amp;[2022-09-11T00:00:00]" c="11.09.2022" nd="1">
                <p n="[Calendar].[H_Merch].[MerchYearWeek].&amp;[202237]"/>
                <p n="[Calendar].[H_Merch].[MerchYearMonthName].&amp;[2022-Eylül]"/>
                <p n="[Calendar].[H_Merch].[MerchYear].&amp;[2022]"/>
              </i>
              <i n="[Calendar].[H_Merch].[Date].&amp;[2022-09-12T00:00:00]" c="12.09.2022" nd="1">
                <p n="[Calendar].[H_Merch].[MerchYearWeek].&amp;[202238]"/>
                <p n="[Calendar].[H_Merch].[MerchYearMonthName].&amp;[2022-Eylül]"/>
                <p n="[Calendar].[H_Merch].[MerchYear].&amp;[2022]"/>
              </i>
              <i n="[Calendar].[H_Merch].[Date].&amp;[2022-09-13T00:00:00]" c="13.09.2022" nd="1">
                <p n="[Calendar].[H_Merch].[MerchYearWeek].&amp;[202238]"/>
                <p n="[Calendar].[H_Merch].[MerchYearMonthName].&amp;[2022-Eylül]"/>
                <p n="[Calendar].[H_Merch].[MerchYear].&amp;[2022]"/>
              </i>
              <i n="[Calendar].[H_Merch].[Date].&amp;[2022-09-14T00:00:00]" c="14.09.2022" nd="1">
                <p n="[Calendar].[H_Merch].[MerchYearWeek].&amp;[202238]"/>
                <p n="[Calendar].[H_Merch].[MerchYearMonthName].&amp;[2022-Eylül]"/>
                <p n="[Calendar].[H_Merch].[MerchYear].&amp;[2022]"/>
              </i>
              <i n="[Calendar].[H_Merch].[Date].&amp;[2022-09-15T00:00:00]" c="15.09.2022" nd="1">
                <p n="[Calendar].[H_Merch].[MerchYearWeek].&amp;[202238]"/>
                <p n="[Calendar].[H_Merch].[MerchYearMonthName].&amp;[2022-Eylül]"/>
                <p n="[Calendar].[H_Merch].[MerchYear].&amp;[2022]"/>
              </i>
              <i n="[Calendar].[H_Merch].[Date].&amp;[2022-09-16T00:00:00]" c="16.09.2022" nd="1">
                <p n="[Calendar].[H_Merch].[MerchYearWeek].&amp;[202238]"/>
                <p n="[Calendar].[H_Merch].[MerchYearMonthName].&amp;[2022-Eylül]"/>
                <p n="[Calendar].[H_Merch].[MerchYear].&amp;[2022]"/>
              </i>
              <i n="[Calendar].[H_Merch].[Date].&amp;[2022-09-17T00:00:00]" c="17.09.2022" nd="1">
                <p n="[Calendar].[H_Merch].[MerchYearWeek].&amp;[202238]"/>
                <p n="[Calendar].[H_Merch].[MerchYearMonthName].&amp;[2022-Eylül]"/>
                <p n="[Calendar].[H_Merch].[MerchYear].&amp;[2022]"/>
              </i>
              <i n="[Calendar].[H_Merch].[Date].&amp;[2022-09-18T00:00:00]" c="18.09.2022" nd="1">
                <p n="[Calendar].[H_Merch].[MerchYearWeek].&amp;[202238]"/>
                <p n="[Calendar].[H_Merch].[MerchYearMonthName].&amp;[2022-Eylül]"/>
                <p n="[Calendar].[H_Merch].[MerchYear].&amp;[2022]"/>
              </i>
              <i n="[Calendar].[H_Merch].[Date].&amp;[2022-09-19T00:00:00]" c="19.09.2022" nd="1">
                <p n="[Calendar].[H_Merch].[MerchYearWeek].&amp;[202239]"/>
                <p n="[Calendar].[H_Merch].[MerchYearMonthName].&amp;[2022-Eylül]"/>
                <p n="[Calendar].[H_Merch].[MerchYear].&amp;[2022]"/>
              </i>
              <i n="[Calendar].[H_Merch].[Date].&amp;[2022-09-20T00:00:00]" c="20.09.2022" nd="1">
                <p n="[Calendar].[H_Merch].[MerchYearWeek].&amp;[202239]"/>
                <p n="[Calendar].[H_Merch].[MerchYearMonthName].&amp;[2022-Eylül]"/>
                <p n="[Calendar].[H_Merch].[MerchYear].&amp;[2022]"/>
              </i>
              <i n="[Calendar].[H_Merch].[Date].&amp;[2022-09-21T00:00:00]" c="21.09.2022" nd="1">
                <p n="[Calendar].[H_Merch].[MerchYearWeek].&amp;[202239]"/>
                <p n="[Calendar].[H_Merch].[MerchYearMonthName].&amp;[2022-Eylül]"/>
                <p n="[Calendar].[H_Merch].[MerchYear].&amp;[2022]"/>
              </i>
              <i n="[Calendar].[H_Merch].[Date].&amp;[2022-09-22T00:00:00]" c="22.09.2022" nd="1">
                <p n="[Calendar].[H_Merch].[MerchYearWeek].&amp;[202239]"/>
                <p n="[Calendar].[H_Merch].[MerchYearMonthName].&amp;[2022-Eylül]"/>
                <p n="[Calendar].[H_Merch].[MerchYear].&amp;[2022]"/>
              </i>
              <i n="[Calendar].[H_Merch].[Date].&amp;[2022-09-23T00:00:00]" c="23.09.2022" nd="1">
                <p n="[Calendar].[H_Merch].[MerchYearWeek].&amp;[202239]"/>
                <p n="[Calendar].[H_Merch].[MerchYearMonthName].&amp;[2022-Eylül]"/>
                <p n="[Calendar].[H_Merch].[MerchYear].&amp;[2022]"/>
              </i>
              <i n="[Calendar].[H_Merch].[Date].&amp;[2022-09-24T00:00:00]" c="24.09.2022" nd="1">
                <p n="[Calendar].[H_Merch].[MerchYearWeek].&amp;[202239]"/>
                <p n="[Calendar].[H_Merch].[MerchYearMonthName].&amp;[2022-Eylül]"/>
                <p n="[Calendar].[H_Merch].[MerchYear].&amp;[2022]"/>
              </i>
              <i n="[Calendar].[H_Merch].[Date].&amp;[2022-09-25T00:00:00]" c="25.09.2022" nd="1">
                <p n="[Calendar].[H_Merch].[MerchYearWeek].&amp;[202239]"/>
                <p n="[Calendar].[H_Merch].[MerchYearMonthName].&amp;[2022-Eylül]"/>
                <p n="[Calendar].[H_Merch].[MerchYear].&amp;[2022]"/>
              </i>
              <i n="[Calendar].[H_Merch].[Date].&amp;[2022-09-26T00:00:00]" c="26.09.2022" nd="1">
                <p n="[Calendar].[H_Merch].[MerchYearWeek].&amp;[202240]"/>
                <p n="[Calendar].[H_Merch].[MerchYearMonthName].&amp;[2022-Ekim]"/>
                <p n="[Calendar].[H_Merch].[MerchYear].&amp;[2022]"/>
              </i>
              <i n="[Calendar].[H_Merch].[Date].&amp;[2022-09-27T00:00:00]" c="27.09.2022" nd="1">
                <p n="[Calendar].[H_Merch].[MerchYearWeek].&amp;[202240]"/>
                <p n="[Calendar].[H_Merch].[MerchYearMonthName].&amp;[2022-Ekim]"/>
                <p n="[Calendar].[H_Merch].[MerchYear].&amp;[2022]"/>
              </i>
              <i n="[Calendar].[H_Merch].[Date].&amp;[2022-09-28T00:00:00]" c="28.09.2022" nd="1">
                <p n="[Calendar].[H_Merch].[MerchYearWeek].&amp;[202240]"/>
                <p n="[Calendar].[H_Merch].[MerchYearMonthName].&amp;[2022-Ekim]"/>
                <p n="[Calendar].[H_Merch].[MerchYear].&amp;[2022]"/>
              </i>
              <i n="[Calendar].[H_Merch].[Date].&amp;[2022-09-29T00:00:00]" c="29.09.2022" nd="1">
                <p n="[Calendar].[H_Merch].[MerchYearWeek].&amp;[202240]"/>
                <p n="[Calendar].[H_Merch].[MerchYearMonthName].&amp;[2022-Ekim]"/>
                <p n="[Calendar].[H_Merch].[MerchYear].&amp;[2022]"/>
              </i>
              <i n="[Calendar].[H_Merch].[Date].&amp;[2022-09-30T00:00:00]" c="30.09.2022" nd="1">
                <p n="[Calendar].[H_Merch].[MerchYearWeek].&amp;[202240]"/>
                <p n="[Calendar].[H_Merch].[MerchYearMonthName].&amp;[2022-Ekim]"/>
                <p n="[Calendar].[H_Merch].[MerchYear].&amp;[2022]"/>
              </i>
              <i n="[Calendar].[H_Merch].[Date].&amp;[2022-10-01T00:00:00]" c="1.10.2022" nd="1">
                <p n="[Calendar].[H_Merch].[MerchYearWeek].&amp;[202240]"/>
                <p n="[Calendar].[H_Merch].[MerchYearMonthName].&amp;[2022-Ekim]"/>
                <p n="[Calendar].[H_Merch].[MerchYear].&amp;[2022]"/>
              </i>
              <i n="[Calendar].[H_Merch].[Date].&amp;[2022-10-02T00:00:00]" c="2.10.2022" nd="1">
                <p n="[Calendar].[H_Merch].[MerchYearWeek].&amp;[202240]"/>
                <p n="[Calendar].[H_Merch].[MerchYearMonthName].&amp;[2022-Ekim]"/>
                <p n="[Calendar].[H_Merch].[MerchYear].&amp;[2022]"/>
              </i>
              <i n="[Calendar].[H_Merch].[Date].&amp;[2022-10-03T00:00:00]" c="3.10.2022" nd="1">
                <p n="[Calendar].[H_Merch].[MerchYearWeek].&amp;[202241]"/>
                <p n="[Calendar].[H_Merch].[MerchYearMonthName].&amp;[2022-Ekim]"/>
                <p n="[Calendar].[H_Merch].[MerchYear].&amp;[2022]"/>
              </i>
              <i n="[Calendar].[H_Merch].[Date].&amp;[2022-10-04T00:00:00]" c="4.10.2022" nd="1">
                <p n="[Calendar].[H_Merch].[MerchYearWeek].&amp;[202241]"/>
                <p n="[Calendar].[H_Merch].[MerchYearMonthName].&amp;[2022-Ekim]"/>
                <p n="[Calendar].[H_Merch].[MerchYear].&amp;[2022]"/>
              </i>
              <i n="[Calendar].[H_Merch].[Date].&amp;[2022-10-05T00:00:00]" c="5.10.2022" nd="1">
                <p n="[Calendar].[H_Merch].[MerchYearWeek].&amp;[202241]"/>
                <p n="[Calendar].[H_Merch].[MerchYearMonthName].&amp;[2022-Ekim]"/>
                <p n="[Calendar].[H_Merch].[MerchYear].&amp;[2022]"/>
              </i>
              <i n="[Calendar].[H_Merch].[Date].&amp;[2022-10-06T00:00:00]" c="6.10.2022" nd="1">
                <p n="[Calendar].[H_Merch].[MerchYearWeek].&amp;[202241]"/>
                <p n="[Calendar].[H_Merch].[MerchYearMonthName].&amp;[2022-Ekim]"/>
                <p n="[Calendar].[H_Merch].[MerchYear].&amp;[2022]"/>
              </i>
              <i n="[Calendar].[H_Merch].[Date].&amp;[2022-10-07T00:00:00]" c="7.10.2022" nd="1">
                <p n="[Calendar].[H_Merch].[MerchYearWeek].&amp;[202241]"/>
                <p n="[Calendar].[H_Merch].[MerchYearMonthName].&amp;[2022-Ekim]"/>
                <p n="[Calendar].[H_Merch].[MerchYear].&amp;[2022]"/>
              </i>
              <i n="[Calendar].[H_Merch].[Date].&amp;[2022-10-08T00:00:00]" c="8.10.2022" nd="1">
                <p n="[Calendar].[H_Merch].[MerchYearWeek].&amp;[202241]"/>
                <p n="[Calendar].[H_Merch].[MerchYearMonthName].&amp;[2022-Ekim]"/>
                <p n="[Calendar].[H_Merch].[MerchYear].&amp;[2022]"/>
              </i>
              <i n="[Calendar].[H_Merch].[Date].&amp;[2022-10-09T00:00:00]" c="9.10.2022" nd="1">
                <p n="[Calendar].[H_Merch].[MerchYearWeek].&amp;[202241]"/>
                <p n="[Calendar].[H_Merch].[MerchYearMonthName].&amp;[2022-Ekim]"/>
                <p n="[Calendar].[H_Merch].[MerchYear].&amp;[2022]"/>
              </i>
              <i n="[Calendar].[H_Merch].[Date].&amp;[2022-10-10T00:00:00]" c="10.10.2022" nd="1">
                <p n="[Calendar].[H_Merch].[MerchYearWeek].&amp;[202242]"/>
                <p n="[Calendar].[H_Merch].[MerchYearMonthName].&amp;[2022-Ekim]"/>
                <p n="[Calendar].[H_Merch].[MerchYear].&amp;[2022]"/>
              </i>
              <i n="[Calendar].[H_Merch].[Date].&amp;[2022-10-11T00:00:00]" c="11.10.2022" nd="1">
                <p n="[Calendar].[H_Merch].[MerchYearWeek].&amp;[202242]"/>
                <p n="[Calendar].[H_Merch].[MerchYearMonthName].&amp;[2022-Ekim]"/>
                <p n="[Calendar].[H_Merch].[MerchYear].&amp;[2022]"/>
              </i>
              <i n="[Calendar].[H_Merch].[Date].&amp;[2022-10-12T00:00:00]" c="12.10.2022" nd="1">
                <p n="[Calendar].[H_Merch].[MerchYearWeek].&amp;[202242]"/>
                <p n="[Calendar].[H_Merch].[MerchYearMonthName].&amp;[2022-Ekim]"/>
                <p n="[Calendar].[H_Merch].[MerchYear].&amp;[2022]"/>
              </i>
              <i n="[Calendar].[H_Merch].[Date].&amp;[2022-10-13T00:00:00]" c="13.10.2022" nd="1">
                <p n="[Calendar].[H_Merch].[MerchYearWeek].&amp;[202242]"/>
                <p n="[Calendar].[H_Merch].[MerchYearMonthName].&amp;[2022-Ekim]"/>
                <p n="[Calendar].[H_Merch].[MerchYear].&amp;[2022]"/>
              </i>
              <i n="[Calendar].[H_Merch].[Date].&amp;[2022-10-14T00:00:00]" c="14.10.2022" nd="1">
                <p n="[Calendar].[H_Merch].[MerchYearWeek].&amp;[202242]"/>
                <p n="[Calendar].[H_Merch].[MerchYearMonthName].&amp;[2022-Ekim]"/>
                <p n="[Calendar].[H_Merch].[MerchYear].&amp;[2022]"/>
              </i>
              <i n="[Calendar].[H_Merch].[Date].&amp;[2022-10-15T00:00:00]" c="15.10.2022" nd="1">
                <p n="[Calendar].[H_Merch].[MerchYearWeek].&amp;[202242]"/>
                <p n="[Calendar].[H_Merch].[MerchYearMonthName].&amp;[2022-Ekim]"/>
                <p n="[Calendar].[H_Merch].[MerchYear].&amp;[2022]"/>
              </i>
              <i n="[Calendar].[H_Merch].[Date].&amp;[2022-10-16T00:00:00]" c="16.10.2022" nd="1">
                <p n="[Calendar].[H_Merch].[MerchYearWeek].&amp;[202242]"/>
                <p n="[Calendar].[H_Merch].[MerchYearMonthName].&amp;[2022-Ekim]"/>
                <p n="[Calendar].[H_Merch].[MerchYear].&amp;[2022]"/>
              </i>
              <i n="[Calendar].[H_Merch].[Date].&amp;[2022-10-17T00:00:00]" c="17.10.2022" nd="1">
                <p n="[Calendar].[H_Merch].[MerchYearWeek].&amp;[202243]"/>
                <p n="[Calendar].[H_Merch].[MerchYearMonthName].&amp;[2022-Ekim]"/>
                <p n="[Calendar].[H_Merch].[MerchYear].&amp;[2022]"/>
              </i>
              <i n="[Calendar].[H_Merch].[Date].&amp;[2022-10-18T00:00:00]" c="18.10.2022" nd="1">
                <p n="[Calendar].[H_Merch].[MerchYearWeek].&amp;[202243]"/>
                <p n="[Calendar].[H_Merch].[MerchYearMonthName].&amp;[2022-Ekim]"/>
                <p n="[Calendar].[H_Merch].[MerchYear].&amp;[2022]"/>
              </i>
              <i n="[Calendar].[H_Merch].[Date].&amp;[2022-10-19T00:00:00]" c="19.10.2022" nd="1">
                <p n="[Calendar].[H_Merch].[MerchYearWeek].&amp;[202243]"/>
                <p n="[Calendar].[H_Merch].[MerchYearMonthName].&amp;[2022-Ekim]"/>
                <p n="[Calendar].[H_Merch].[MerchYear].&amp;[2022]"/>
              </i>
              <i n="[Calendar].[H_Merch].[Date].&amp;[2022-10-20T00:00:00]" c="20.10.2022" nd="1">
                <p n="[Calendar].[H_Merch].[MerchYearWeek].&amp;[202243]"/>
                <p n="[Calendar].[H_Merch].[MerchYearMonthName].&amp;[2022-Ekim]"/>
                <p n="[Calendar].[H_Merch].[MerchYear].&amp;[2022]"/>
              </i>
              <i n="[Calendar].[H_Merch].[Date].&amp;[2022-10-21T00:00:00]" c="21.10.2022" nd="1">
                <p n="[Calendar].[H_Merch].[MerchYearWeek].&amp;[202243]"/>
                <p n="[Calendar].[H_Merch].[MerchYearMonthName].&amp;[2022-Ekim]"/>
                <p n="[Calendar].[H_Merch].[MerchYear].&amp;[2022]"/>
              </i>
              <i n="[Calendar].[H_Merch].[Date].&amp;[2022-10-22T00:00:00]" c="22.10.2022" nd="1">
                <p n="[Calendar].[H_Merch].[MerchYearWeek].&amp;[202243]"/>
                <p n="[Calendar].[H_Merch].[MerchYearMonthName].&amp;[2022-Ekim]"/>
                <p n="[Calendar].[H_Merch].[MerchYear].&amp;[2022]"/>
              </i>
              <i n="[Calendar].[H_Merch].[Date].&amp;[2022-10-23T00:00:00]" c="23.10.2022" nd="1">
                <p n="[Calendar].[H_Merch].[MerchYearWeek].&amp;[202243]"/>
                <p n="[Calendar].[H_Merch].[MerchYearMonthName].&amp;[2022-Ekim]"/>
                <p n="[Calendar].[H_Merch].[MerchYear].&amp;[2022]"/>
              </i>
              <i n="[Calendar].[H_Merch].[Date].&amp;[2022-10-24T00:00:00]" c="24.10.2022" nd="1">
                <p n="[Calendar].[H_Merch].[MerchYearWeek].&amp;[202244]"/>
                <p n="[Calendar].[H_Merch].[MerchYearMonthName].&amp;[2022-Ekim]"/>
                <p n="[Calendar].[H_Merch].[MerchYear].&amp;[2022]"/>
              </i>
              <i n="[Calendar].[H_Merch].[Date].&amp;[2022-10-25T00:00:00]" c="25.10.2022" nd="1">
                <p n="[Calendar].[H_Merch].[MerchYearWeek].&amp;[202244]"/>
                <p n="[Calendar].[H_Merch].[MerchYearMonthName].&amp;[2022-Ekim]"/>
                <p n="[Calendar].[H_Merch].[MerchYear].&amp;[2022]"/>
              </i>
              <i n="[Calendar].[H_Merch].[Date].&amp;[2022-10-26T00:00:00]" c="26.10.2022" nd="1">
                <p n="[Calendar].[H_Merch].[MerchYearWeek].&amp;[202244]"/>
                <p n="[Calendar].[H_Merch].[MerchYearMonthName].&amp;[2022-Ekim]"/>
                <p n="[Calendar].[H_Merch].[MerchYear].&amp;[2022]"/>
              </i>
              <i n="[Calendar].[H_Merch].[Date].&amp;[2022-10-27T00:00:00]" c="27.10.2022" nd="1">
                <p n="[Calendar].[H_Merch].[MerchYearWeek].&amp;[202244]"/>
                <p n="[Calendar].[H_Merch].[MerchYearMonthName].&amp;[2022-Ekim]"/>
                <p n="[Calendar].[H_Merch].[MerchYear].&amp;[2022]"/>
              </i>
              <i n="[Calendar].[H_Merch].[Date].&amp;[2022-10-28T00:00:00]" c="28.10.2022" nd="1">
                <p n="[Calendar].[H_Merch].[MerchYearWeek].&amp;[202244]"/>
                <p n="[Calendar].[H_Merch].[MerchYearMonthName].&amp;[2022-Ekim]"/>
                <p n="[Calendar].[H_Merch].[MerchYear].&amp;[2022]"/>
              </i>
              <i n="[Calendar].[H_Merch].[Date].&amp;[2022-10-29T00:00:00]" c="29.10.2022" nd="1">
                <p n="[Calendar].[H_Merch].[MerchYearWeek].&amp;[202244]"/>
                <p n="[Calendar].[H_Merch].[MerchYearMonthName].&amp;[2022-Ekim]"/>
                <p n="[Calendar].[H_Merch].[MerchYear].&amp;[2022]"/>
              </i>
              <i n="[Calendar].[H_Merch].[Date].&amp;[2022-10-30T00:00:00]" c="30.10.2022" nd="1">
                <p n="[Calendar].[H_Merch].[MerchYearWeek].&amp;[202244]"/>
                <p n="[Calendar].[H_Merch].[MerchYearMonthName].&amp;[2022-Ekim]"/>
                <p n="[Calendar].[H_Merch].[MerchYear].&amp;[2022]"/>
              </i>
              <i n="[Calendar].[H_Merch].[Date].&amp;[2022-10-31T00:00:00]" c="31.10.2022" nd="1">
                <p n="[Calendar].[H_Merch].[MerchYearWeek].&amp;[202245]"/>
                <p n="[Calendar].[H_Merch].[MerchYearMonthName].&amp;[2022-Kasım]"/>
                <p n="[Calendar].[H_Merch].[MerchYear].&amp;[2022]"/>
              </i>
              <i n="[Calendar].[H_Merch].[Date].&amp;[2022-11-01T00:00:00]" c="1.11.2022" nd="1">
                <p n="[Calendar].[H_Merch].[MerchYearWeek].&amp;[202245]"/>
                <p n="[Calendar].[H_Merch].[MerchYearMonthName].&amp;[2022-Kasım]"/>
                <p n="[Calendar].[H_Merch].[MerchYear].&amp;[2022]"/>
              </i>
              <i n="[Calendar].[H_Merch].[Date].&amp;[2022-11-02T00:00:00]" c="2.11.2022" nd="1">
                <p n="[Calendar].[H_Merch].[MerchYearWeek].&amp;[202245]"/>
                <p n="[Calendar].[H_Merch].[MerchYearMonthName].&amp;[2022-Kasım]"/>
                <p n="[Calendar].[H_Merch].[MerchYear].&amp;[2022]"/>
              </i>
              <i n="[Calendar].[H_Merch].[Date].&amp;[2022-11-03T00:00:00]" c="3.11.2022" nd="1">
                <p n="[Calendar].[H_Merch].[MerchYearWeek].&amp;[202245]"/>
                <p n="[Calendar].[H_Merch].[MerchYearMonthName].&amp;[2022-Kasım]"/>
                <p n="[Calendar].[H_Merch].[MerchYear].&amp;[2022]"/>
              </i>
              <i n="[Calendar].[H_Merch].[Date].&amp;[2022-11-04T00:00:00]" c="4.11.2022" nd="1">
                <p n="[Calendar].[H_Merch].[MerchYearWeek].&amp;[202245]"/>
                <p n="[Calendar].[H_Merch].[MerchYearMonthName].&amp;[2022-Kasım]"/>
                <p n="[Calendar].[H_Merch].[MerchYear].&amp;[2022]"/>
              </i>
              <i n="[Calendar].[H_Merch].[Date].&amp;[2022-11-05T00:00:00]" c="5.11.2022" nd="1">
                <p n="[Calendar].[H_Merch].[MerchYearWeek].&amp;[202245]"/>
                <p n="[Calendar].[H_Merch].[MerchYearMonthName].&amp;[2022-Kasım]"/>
                <p n="[Calendar].[H_Merch].[MerchYear].&amp;[2022]"/>
              </i>
              <i n="[Calendar].[H_Merch].[Date].&amp;[2022-11-06T00:00:00]" c="6.11.2022" nd="1">
                <p n="[Calendar].[H_Merch].[MerchYearWeek].&amp;[202245]"/>
                <p n="[Calendar].[H_Merch].[MerchYearMonthName].&amp;[2022-Kasım]"/>
                <p n="[Calendar].[H_Merch].[MerchYear].&amp;[2022]"/>
              </i>
              <i n="[Calendar].[H_Merch].[Date].&amp;[2022-11-07T00:00:00]" c="7.11.2022" nd="1">
                <p n="[Calendar].[H_Merch].[MerchYearWeek].&amp;[202246]"/>
                <p n="[Calendar].[H_Merch].[MerchYearMonthName].&amp;[2022-Kasım]"/>
                <p n="[Calendar].[H_Merch].[MerchYear].&amp;[2022]"/>
              </i>
              <i n="[Calendar].[H_Merch].[Date].&amp;[2022-11-08T00:00:00]" c="8.11.2022" nd="1">
                <p n="[Calendar].[H_Merch].[MerchYearWeek].&amp;[202246]"/>
                <p n="[Calendar].[H_Merch].[MerchYearMonthName].&amp;[2022-Kasım]"/>
                <p n="[Calendar].[H_Merch].[MerchYear].&amp;[2022]"/>
              </i>
              <i n="[Calendar].[H_Merch].[Date].&amp;[2022-11-09T00:00:00]" c="9.11.2022" nd="1">
                <p n="[Calendar].[H_Merch].[MerchYearWeek].&amp;[202246]"/>
                <p n="[Calendar].[H_Merch].[MerchYearMonthName].&amp;[2022-Kasım]"/>
                <p n="[Calendar].[H_Merch].[MerchYear].&amp;[2022]"/>
              </i>
              <i n="[Calendar].[H_Merch].[Date].&amp;[2022-11-10T00:00:00]" c="10.11.2022" nd="1">
                <p n="[Calendar].[H_Merch].[MerchYearWeek].&amp;[202246]"/>
                <p n="[Calendar].[H_Merch].[MerchYearMonthName].&amp;[2022-Kasım]"/>
                <p n="[Calendar].[H_Merch].[MerchYear].&amp;[2022]"/>
              </i>
              <i n="[Calendar].[H_Merch].[Date].&amp;[2022-11-11T00:00:00]" c="11.11.2022" nd="1">
                <p n="[Calendar].[H_Merch].[MerchYearWeek].&amp;[202246]"/>
                <p n="[Calendar].[H_Merch].[MerchYearMonthName].&amp;[2022-Kasım]"/>
                <p n="[Calendar].[H_Merch].[MerchYear].&amp;[2022]"/>
              </i>
              <i n="[Calendar].[H_Merch].[Date].&amp;[2022-11-12T00:00:00]" c="12.11.2022" nd="1">
                <p n="[Calendar].[H_Merch].[MerchYearWeek].&amp;[202246]"/>
                <p n="[Calendar].[H_Merch].[MerchYearMonthName].&amp;[2022-Kasım]"/>
                <p n="[Calendar].[H_Merch].[MerchYear].&amp;[2022]"/>
              </i>
              <i n="[Calendar].[H_Merch].[Date].&amp;[2022-11-13T00:00:00]" c="13.11.2022" nd="1">
                <p n="[Calendar].[H_Merch].[MerchYearWeek].&amp;[202246]"/>
                <p n="[Calendar].[H_Merch].[MerchYearMonthName].&amp;[2022-Kasım]"/>
                <p n="[Calendar].[H_Merch].[MerchYear].&amp;[2022]"/>
              </i>
              <i n="[Calendar].[H_Merch].[Date].&amp;[2022-11-14T00:00:00]" c="14.11.2022" nd="1">
                <p n="[Calendar].[H_Merch].[MerchYearWeek].&amp;[202247]"/>
                <p n="[Calendar].[H_Merch].[MerchYearMonthName].&amp;[2022-Kasım]"/>
                <p n="[Calendar].[H_Merch].[MerchYear].&amp;[2022]"/>
              </i>
              <i n="[Calendar].[H_Merch].[Date].&amp;[2022-11-15T00:00:00]" c="15.11.2022" nd="1">
                <p n="[Calendar].[H_Merch].[MerchYearWeek].&amp;[202247]"/>
                <p n="[Calendar].[H_Merch].[MerchYearMonthName].&amp;[2022-Kasım]"/>
                <p n="[Calendar].[H_Merch].[MerchYear].&amp;[2022]"/>
              </i>
              <i n="[Calendar].[H_Merch].[Date].&amp;[2022-11-16T00:00:00]" c="16.11.2022" nd="1">
                <p n="[Calendar].[H_Merch].[MerchYearWeek].&amp;[202247]"/>
                <p n="[Calendar].[H_Merch].[MerchYearMonthName].&amp;[2022-Kasım]"/>
                <p n="[Calendar].[H_Merch].[MerchYear].&amp;[2022]"/>
              </i>
              <i n="[Calendar].[H_Merch].[Date].&amp;[2022-11-17T00:00:00]" c="17.11.2022" nd="1">
                <p n="[Calendar].[H_Merch].[MerchYearWeek].&amp;[202247]"/>
                <p n="[Calendar].[H_Merch].[MerchYearMonthName].&amp;[2022-Kasım]"/>
                <p n="[Calendar].[H_Merch].[MerchYear].&amp;[2022]"/>
              </i>
              <i n="[Calendar].[H_Merch].[Date].&amp;[2022-11-18T00:00:00]" c="18.11.2022" nd="1">
                <p n="[Calendar].[H_Merch].[MerchYearWeek].&amp;[202247]"/>
                <p n="[Calendar].[H_Merch].[MerchYearMonthName].&amp;[2022-Kasım]"/>
                <p n="[Calendar].[H_Merch].[MerchYear].&amp;[2022]"/>
              </i>
              <i n="[Calendar].[H_Merch].[Date].&amp;[2022-11-19T00:00:00]" c="19.11.2022" nd="1">
                <p n="[Calendar].[H_Merch].[MerchYearWeek].&amp;[202247]"/>
                <p n="[Calendar].[H_Merch].[MerchYearMonthName].&amp;[2022-Kasım]"/>
                <p n="[Calendar].[H_Merch].[MerchYear].&amp;[2022]"/>
              </i>
              <i n="[Calendar].[H_Merch].[Date].&amp;[2022-11-20T00:00:00]" c="20.11.2022" nd="1">
                <p n="[Calendar].[H_Merch].[MerchYearWeek].&amp;[202247]"/>
                <p n="[Calendar].[H_Merch].[MerchYearMonthName].&amp;[2022-Kasım]"/>
                <p n="[Calendar].[H_Merch].[MerchYear].&amp;[2022]"/>
              </i>
              <i n="[Calendar].[H_Merch].[Date].&amp;[2022-11-21T00:00:00]" c="21.11.2022" nd="1">
                <p n="[Calendar].[H_Merch].[MerchYearWeek].&amp;[202248]"/>
                <p n="[Calendar].[H_Merch].[MerchYearMonthName].&amp;[2022-Kasım]"/>
                <p n="[Calendar].[H_Merch].[MerchYear].&amp;[2022]"/>
              </i>
              <i n="[Calendar].[H_Merch].[Date].&amp;[2022-11-22T00:00:00]" c="22.11.2022" nd="1">
                <p n="[Calendar].[H_Merch].[MerchYearWeek].&amp;[202248]"/>
                <p n="[Calendar].[H_Merch].[MerchYearMonthName].&amp;[2022-Kasım]"/>
                <p n="[Calendar].[H_Merch].[MerchYear].&amp;[2022]"/>
              </i>
              <i n="[Calendar].[H_Merch].[Date].&amp;[2022-11-23T00:00:00]" c="23.11.2022" nd="1">
                <p n="[Calendar].[H_Merch].[MerchYearWeek].&amp;[202248]"/>
                <p n="[Calendar].[H_Merch].[MerchYearMonthName].&amp;[2022-Kasım]"/>
                <p n="[Calendar].[H_Merch].[MerchYear].&amp;[2022]"/>
              </i>
              <i n="[Calendar].[H_Merch].[Date].&amp;[2022-11-24T00:00:00]" c="24.11.2022" nd="1">
                <p n="[Calendar].[H_Merch].[MerchYearWeek].&amp;[202248]"/>
                <p n="[Calendar].[H_Merch].[MerchYearMonthName].&amp;[2022-Kasım]"/>
                <p n="[Calendar].[H_Merch].[MerchYear].&amp;[2022]"/>
              </i>
              <i n="[Calendar].[H_Merch].[Date].&amp;[2022-11-25T00:00:00]" c="25.11.2022" nd="1">
                <p n="[Calendar].[H_Merch].[MerchYearWeek].&amp;[202248]"/>
                <p n="[Calendar].[H_Merch].[MerchYearMonthName].&amp;[2022-Kasım]"/>
                <p n="[Calendar].[H_Merch].[MerchYear].&amp;[2022]"/>
              </i>
              <i n="[Calendar].[H_Merch].[Date].&amp;[2022-11-26T00:00:00]" c="26.11.2022" nd="1">
                <p n="[Calendar].[H_Merch].[MerchYearWeek].&amp;[202248]"/>
                <p n="[Calendar].[H_Merch].[MerchYearMonthName].&amp;[2022-Kasım]"/>
                <p n="[Calendar].[H_Merch].[MerchYear].&amp;[2022]"/>
              </i>
              <i n="[Calendar].[H_Merch].[Date].&amp;[2022-11-27T00:00:00]" c="27.11.2022" nd="1">
                <p n="[Calendar].[H_Merch].[MerchYearWeek].&amp;[202248]"/>
                <p n="[Calendar].[H_Merch].[MerchYearMonthName].&amp;[2022-Kasım]"/>
                <p n="[Calendar].[H_Merch].[MerchYear].&amp;[2022]"/>
              </i>
              <i n="[Calendar].[H_Merch].[Date].&amp;[2022-11-28T00:00:00]" c="28.11.2022" nd="1">
                <p n="[Calendar].[H_Merch].[MerchYearWeek].&amp;[202249]"/>
                <p n="[Calendar].[H_Merch].[MerchYearMonthName].&amp;[2022-Aralık]"/>
                <p n="[Calendar].[H_Merch].[MerchYear].&amp;[2022]"/>
              </i>
              <i n="[Calendar].[H_Merch].[Date].&amp;[2022-11-29T00:00:00]" c="29.11.2022" nd="1">
                <p n="[Calendar].[H_Merch].[MerchYearWeek].&amp;[202249]"/>
                <p n="[Calendar].[H_Merch].[MerchYearMonthName].&amp;[2022-Aralık]"/>
                <p n="[Calendar].[H_Merch].[MerchYear].&amp;[2022]"/>
              </i>
              <i n="[Calendar].[H_Merch].[Date].&amp;[2022-11-30T00:00:00]" c="30.11.2022" nd="1">
                <p n="[Calendar].[H_Merch].[MerchYearWeek].&amp;[202249]"/>
                <p n="[Calendar].[H_Merch].[MerchYearMonthName].&amp;[2022-Aralık]"/>
                <p n="[Calendar].[H_Merch].[MerchYear].&amp;[2022]"/>
              </i>
              <i n="[Calendar].[H_Merch].[Date].&amp;[2022-12-01T00:00:00]" c="1.12.2022" nd="1">
                <p n="[Calendar].[H_Merch].[MerchYearWeek].&amp;[202249]"/>
                <p n="[Calendar].[H_Merch].[MerchYearMonthName].&amp;[2022-Aralık]"/>
                <p n="[Calendar].[H_Merch].[MerchYear].&amp;[2022]"/>
              </i>
              <i n="[Calendar].[H_Merch].[Date].&amp;[2022-12-02T00:00:00]" c="2.12.2022" nd="1">
                <p n="[Calendar].[H_Merch].[MerchYearWeek].&amp;[202249]"/>
                <p n="[Calendar].[H_Merch].[MerchYearMonthName].&amp;[2022-Aralık]"/>
                <p n="[Calendar].[H_Merch].[MerchYear].&amp;[2022]"/>
              </i>
              <i n="[Calendar].[H_Merch].[Date].&amp;[2022-12-03T00:00:00]" c="3.12.2022" nd="1">
                <p n="[Calendar].[H_Merch].[MerchYearWeek].&amp;[202249]"/>
                <p n="[Calendar].[H_Merch].[MerchYearMonthName].&amp;[2022-Aralık]"/>
                <p n="[Calendar].[H_Merch].[MerchYear].&amp;[2022]"/>
              </i>
              <i n="[Calendar].[H_Merch].[Date].&amp;[2022-12-04T00:00:00]" c="4.12.2022" nd="1">
                <p n="[Calendar].[H_Merch].[MerchYearWeek].&amp;[202249]"/>
                <p n="[Calendar].[H_Merch].[MerchYearMonthName].&amp;[2022-Aralık]"/>
                <p n="[Calendar].[H_Merch].[MerchYear].&amp;[2022]"/>
              </i>
              <i n="[Calendar].[H_Merch].[Date].&amp;[2022-12-05T00:00:00]" c="5.12.2022" nd="1">
                <p n="[Calendar].[H_Merch].[MerchYearWeek].&amp;[202250]"/>
                <p n="[Calendar].[H_Merch].[MerchYearMonthName].&amp;[2022-Aralık]"/>
                <p n="[Calendar].[H_Merch].[MerchYear].&amp;[2022]"/>
              </i>
              <i n="[Calendar].[H_Merch].[Date].&amp;[2022-12-06T00:00:00]" c="6.12.2022" nd="1">
                <p n="[Calendar].[H_Merch].[MerchYearWeek].&amp;[202250]"/>
                <p n="[Calendar].[H_Merch].[MerchYearMonthName].&amp;[2022-Aralık]"/>
                <p n="[Calendar].[H_Merch].[MerchYear].&amp;[2022]"/>
              </i>
              <i n="[Calendar].[H_Merch].[Date].&amp;[2022-12-07T00:00:00]" c="7.12.2022" nd="1">
                <p n="[Calendar].[H_Merch].[MerchYearWeek].&amp;[202250]"/>
                <p n="[Calendar].[H_Merch].[MerchYearMonthName].&amp;[2022-Aralık]"/>
                <p n="[Calendar].[H_Merch].[MerchYear].&amp;[2022]"/>
              </i>
              <i n="[Calendar].[H_Merch].[Date].&amp;[2022-12-08T00:00:00]" c="8.12.2022" nd="1">
                <p n="[Calendar].[H_Merch].[MerchYearWeek].&amp;[202250]"/>
                <p n="[Calendar].[H_Merch].[MerchYearMonthName].&amp;[2022-Aralık]"/>
                <p n="[Calendar].[H_Merch].[MerchYear].&amp;[2022]"/>
              </i>
              <i n="[Calendar].[H_Merch].[Date].&amp;[2022-12-09T00:00:00]" c="9.12.2022" nd="1">
                <p n="[Calendar].[H_Merch].[MerchYearWeek].&amp;[202250]"/>
                <p n="[Calendar].[H_Merch].[MerchYearMonthName].&amp;[2022-Aralık]"/>
                <p n="[Calendar].[H_Merch].[MerchYear].&amp;[2022]"/>
              </i>
              <i n="[Calendar].[H_Merch].[Date].&amp;[2022-12-10T00:00:00]" c="10.12.2022" nd="1">
                <p n="[Calendar].[H_Merch].[MerchYearWeek].&amp;[202250]"/>
                <p n="[Calendar].[H_Merch].[MerchYearMonthName].&amp;[2022-Aralık]"/>
                <p n="[Calendar].[H_Merch].[MerchYear].&amp;[2022]"/>
              </i>
              <i n="[Calendar].[H_Merch].[Date].&amp;[2022-12-11T00:00:00]" c="11.12.2022" nd="1">
                <p n="[Calendar].[H_Merch].[MerchYearWeek].&amp;[202250]"/>
                <p n="[Calendar].[H_Merch].[MerchYearMonthName].&amp;[2022-Aralık]"/>
                <p n="[Calendar].[H_Merch].[MerchYear].&amp;[2022]"/>
              </i>
              <i n="[Calendar].[H_Merch].[Date].&amp;[2022-12-12T00:00:00]" c="12.12.2022" nd="1">
                <p n="[Calendar].[H_Merch].[MerchYearWeek].&amp;[202251]"/>
                <p n="[Calendar].[H_Merch].[MerchYearMonthName].&amp;[2022-Aralık]"/>
                <p n="[Calendar].[H_Merch].[MerchYear].&amp;[2022]"/>
              </i>
              <i n="[Calendar].[H_Merch].[Date].&amp;[2022-12-13T00:00:00]" c="13.12.2022" nd="1">
                <p n="[Calendar].[H_Merch].[MerchYearWeek].&amp;[202251]"/>
                <p n="[Calendar].[H_Merch].[MerchYearMonthName].&amp;[2022-Aralık]"/>
                <p n="[Calendar].[H_Merch].[MerchYear].&amp;[2022]"/>
              </i>
              <i n="[Calendar].[H_Merch].[Date].&amp;[2022-12-14T00:00:00]" c="14.12.2022" nd="1">
                <p n="[Calendar].[H_Merch].[MerchYearWeek].&amp;[202251]"/>
                <p n="[Calendar].[H_Merch].[MerchYearMonthName].&amp;[2022-Aralık]"/>
                <p n="[Calendar].[H_Merch].[MerchYear].&amp;[2022]"/>
              </i>
              <i n="[Calendar].[H_Merch].[Date].&amp;[2022-12-15T00:00:00]" c="15.12.2022" nd="1">
                <p n="[Calendar].[H_Merch].[MerchYearWeek].&amp;[202251]"/>
                <p n="[Calendar].[H_Merch].[MerchYearMonthName].&amp;[2022-Aralık]"/>
                <p n="[Calendar].[H_Merch].[MerchYear].&amp;[2022]"/>
              </i>
              <i n="[Calendar].[H_Merch].[Date].&amp;[2022-12-16T00:00:00]" c="16.12.2022" nd="1">
                <p n="[Calendar].[H_Merch].[MerchYearWeek].&amp;[202251]"/>
                <p n="[Calendar].[H_Merch].[MerchYearMonthName].&amp;[2022-Aralık]"/>
                <p n="[Calendar].[H_Merch].[MerchYear].&amp;[2022]"/>
              </i>
              <i n="[Calendar].[H_Merch].[Date].&amp;[2022-12-17T00:00:00]" c="17.12.2022" nd="1">
                <p n="[Calendar].[H_Merch].[MerchYearWeek].&amp;[202251]"/>
                <p n="[Calendar].[H_Merch].[MerchYearMonthName].&amp;[2022-Aralık]"/>
                <p n="[Calendar].[H_Merch].[MerchYear].&amp;[2022]"/>
              </i>
              <i n="[Calendar].[H_Merch].[Date].&amp;[2022-12-18T00:00:00]" c="18.12.2022" nd="1">
                <p n="[Calendar].[H_Merch].[MerchYearWeek].&amp;[202251]"/>
                <p n="[Calendar].[H_Merch].[MerchYearMonthName].&amp;[2022-Aralık]"/>
                <p n="[Calendar].[H_Merch].[MerchYear].&amp;[2022]"/>
              </i>
              <i n="[Calendar].[H_Merch].[Date].&amp;[2022-12-19T00:00:00]" c="19.12.2022" nd="1">
                <p n="[Calendar].[H_Merch].[MerchYearWeek].&amp;[202252]"/>
                <p n="[Calendar].[H_Merch].[MerchYearMonthName].&amp;[2022-Aralık]"/>
                <p n="[Calendar].[H_Merch].[MerchYear].&amp;[2022]"/>
              </i>
              <i n="[Calendar].[H_Merch].[Date].&amp;[2022-12-20T00:00:00]" c="20.12.2022" nd="1">
                <p n="[Calendar].[H_Merch].[MerchYearWeek].&amp;[202252]"/>
                <p n="[Calendar].[H_Merch].[MerchYearMonthName].&amp;[2022-Aralık]"/>
                <p n="[Calendar].[H_Merch].[MerchYear].&amp;[2022]"/>
              </i>
              <i n="[Calendar].[H_Merch].[Date].&amp;[2022-12-21T00:00:00]" c="21.12.2022" nd="1">
                <p n="[Calendar].[H_Merch].[MerchYearWeek].&amp;[202252]"/>
                <p n="[Calendar].[H_Merch].[MerchYearMonthName].&amp;[2022-Aralık]"/>
                <p n="[Calendar].[H_Merch].[MerchYear].&amp;[2022]"/>
              </i>
              <i n="[Calendar].[H_Merch].[Date].&amp;[2022-12-22T00:00:00]" c="22.12.2022" nd="1">
                <p n="[Calendar].[H_Merch].[MerchYearWeek].&amp;[202252]"/>
                <p n="[Calendar].[H_Merch].[MerchYearMonthName].&amp;[2022-Aralık]"/>
                <p n="[Calendar].[H_Merch].[MerchYear].&amp;[2022]"/>
              </i>
              <i n="[Calendar].[H_Merch].[Date].&amp;[2022-12-23T00:00:00]" c="23.12.2022" nd="1">
                <p n="[Calendar].[H_Merch].[MerchYearWeek].&amp;[202252]"/>
                <p n="[Calendar].[H_Merch].[MerchYearMonthName].&amp;[2022-Aralık]"/>
                <p n="[Calendar].[H_Merch].[MerchYear].&amp;[2022]"/>
              </i>
              <i n="[Calendar].[H_Merch].[Date].&amp;[2022-12-24T00:00:00]" c="24.12.2022" nd="1">
                <p n="[Calendar].[H_Merch].[MerchYearWeek].&amp;[202252]"/>
                <p n="[Calendar].[H_Merch].[MerchYearMonthName].&amp;[2022-Aralık]"/>
                <p n="[Calendar].[H_Merch].[MerchYear].&amp;[2022]"/>
              </i>
              <i n="[Calendar].[H_Merch].[Date].&amp;[2022-12-25T00:00:00]" c="25.12.2022" nd="1">
                <p n="[Calendar].[H_Merch].[MerchYearWeek].&amp;[202252]"/>
                <p n="[Calendar].[H_Merch].[MerchYearMonthName].&amp;[2022-Aralık]"/>
                <p n="[Calendar].[H_Merch].[MerchYear].&amp;[2022]"/>
              </i>
              <i n="[Calendar].[H_Merch].[Date].&amp;[2022-12-26T00:00:00]" c="26.12.2022" nd="1">
                <p n="[Calendar].[H_Merch].[MerchYearWeek].&amp;[202301]"/>
                <p n="[Calendar].[H_Merch].[MerchYearMonthName].&amp;[2023-Ocak]"/>
                <p n="[Calendar].[H_Merch].[MerchYear].&amp;[2023]"/>
              </i>
              <i n="[Calendar].[H_Merch].[Date].&amp;[2022-12-27T00:00:00]" c="27.12.2022" nd="1">
                <p n="[Calendar].[H_Merch].[MerchYearWeek].&amp;[202301]"/>
                <p n="[Calendar].[H_Merch].[MerchYearMonthName].&amp;[2023-Ocak]"/>
                <p n="[Calendar].[H_Merch].[MerchYear].&amp;[2023]"/>
              </i>
              <i n="[Calendar].[H_Merch].[Date].&amp;[2022-12-28T00:00:00]" c="28.12.2022" nd="1">
                <p n="[Calendar].[H_Merch].[MerchYearWeek].&amp;[202301]"/>
                <p n="[Calendar].[H_Merch].[MerchYearMonthName].&amp;[2023-Ocak]"/>
                <p n="[Calendar].[H_Merch].[MerchYear].&amp;[2023]"/>
              </i>
              <i n="[Calendar].[H_Merch].[Date].&amp;[2022-12-29T00:00:00]" c="29.12.2022" nd="1">
                <p n="[Calendar].[H_Merch].[MerchYearWeek].&amp;[202301]"/>
                <p n="[Calendar].[H_Merch].[MerchYearMonthName].&amp;[2023-Ocak]"/>
                <p n="[Calendar].[H_Merch].[MerchYear].&amp;[2023]"/>
              </i>
              <i n="[Calendar].[H_Merch].[Date].&amp;[2022-12-30T00:00:00]" c="30.12.2022" nd="1">
                <p n="[Calendar].[H_Merch].[MerchYearWeek].&amp;[202301]"/>
                <p n="[Calendar].[H_Merch].[MerchYearMonthName].&amp;[2023-Ocak]"/>
                <p n="[Calendar].[H_Merch].[MerchYear].&amp;[2023]"/>
              </i>
              <i n="[Calendar].[H_Merch].[Date].&amp;[2022-12-31T00:00:00]" c="31.12.2022" nd="1">
                <p n="[Calendar].[H_Merch].[MerchYearWeek].&amp;[202301]"/>
                <p n="[Calendar].[H_Merch].[MerchYearMonthName].&amp;[2023-Ocak]"/>
                <p n="[Calendar].[H_Merch].[MerchYear].&amp;[2023]"/>
              </i>
              <i n="[Calendar].[H_Merch].[Date].&amp;[2023-01-01T00:00:00]" c="1.01.2023" nd="1">
                <p n="[Calendar].[H_Merch].[MerchYearWeek].&amp;[202301]"/>
                <p n="[Calendar].[H_Merch].[MerchYearMonthName].&amp;[2023-Ocak]"/>
                <p n="[Calendar].[H_Merch].[MerchYear].&amp;[2023]"/>
              </i>
              <i n="[Calendar].[H_Merch].[Date].&amp;[2023-01-02T00:00:00]" c="2.01.2023" nd="1">
                <p n="[Calendar].[H_Merch].[MerchYearWeek].&amp;[202302]"/>
                <p n="[Calendar].[H_Merch].[MerchYearMonthName].&amp;[2023-Ocak]"/>
                <p n="[Calendar].[H_Merch].[MerchYear].&amp;[2023]"/>
              </i>
              <i n="[Calendar].[H_Merch].[Date].&amp;[2023-01-03T00:00:00]" c="3.01.2023" nd="1">
                <p n="[Calendar].[H_Merch].[MerchYearWeek].&amp;[202302]"/>
                <p n="[Calendar].[H_Merch].[MerchYearMonthName].&amp;[2023-Ocak]"/>
                <p n="[Calendar].[H_Merch].[MerchYear].&amp;[2023]"/>
              </i>
              <i n="[Calendar].[H_Merch].[Date].&amp;[2023-01-04T00:00:00]" c="4.01.2023" nd="1">
                <p n="[Calendar].[H_Merch].[MerchYearWeek].&amp;[202302]"/>
                <p n="[Calendar].[H_Merch].[MerchYearMonthName].&amp;[2023-Ocak]"/>
                <p n="[Calendar].[H_Merch].[MerchYear].&amp;[2023]"/>
              </i>
              <i n="[Calendar].[H_Merch].[Date].&amp;[2023-01-05T00:00:00]" c="5.01.2023" nd="1">
                <p n="[Calendar].[H_Merch].[MerchYearWeek].&amp;[202302]"/>
                <p n="[Calendar].[H_Merch].[MerchYearMonthName].&amp;[2023-Ocak]"/>
                <p n="[Calendar].[H_Merch].[MerchYear].&amp;[2023]"/>
              </i>
              <i n="[Calendar].[H_Merch].[Date].&amp;[2023-01-06T00:00:00]" c="6.01.2023" nd="1">
                <p n="[Calendar].[H_Merch].[MerchYearWeek].&amp;[202302]"/>
                <p n="[Calendar].[H_Merch].[MerchYearMonthName].&amp;[2023-Ocak]"/>
                <p n="[Calendar].[H_Merch].[MerchYear].&amp;[2023]"/>
              </i>
              <i n="[Calendar].[H_Merch].[Date].&amp;[2023-01-07T00:00:00]" c="7.01.2023" nd="1">
                <p n="[Calendar].[H_Merch].[MerchYearWeek].&amp;[202302]"/>
                <p n="[Calendar].[H_Merch].[MerchYearMonthName].&amp;[2023-Ocak]"/>
                <p n="[Calendar].[H_Merch].[MerchYear].&amp;[2023]"/>
              </i>
              <i n="[Calendar].[H_Merch].[Date].&amp;[2023-01-08T00:00:00]" c="8.01.2023" nd="1">
                <p n="[Calendar].[H_Merch].[MerchYearWeek].&amp;[202302]"/>
                <p n="[Calendar].[H_Merch].[MerchYearMonthName].&amp;[2023-Ocak]"/>
                <p n="[Calendar].[H_Merch].[MerchYear].&amp;[2023]"/>
              </i>
              <i n="[Calendar].[H_Merch].[Date].&amp;[2023-01-09T00:00:00]" c="9.01.2023" nd="1">
                <p n="[Calendar].[H_Merch].[MerchYearWeek].&amp;[202303]"/>
                <p n="[Calendar].[H_Merch].[MerchYearMonthName].&amp;[2023-Ocak]"/>
                <p n="[Calendar].[H_Merch].[MerchYear].&amp;[2023]"/>
              </i>
              <i n="[Calendar].[H_Merch].[Date].&amp;[2023-01-10T00:00:00]" c="10.01.2023" nd="1">
                <p n="[Calendar].[H_Merch].[MerchYearWeek].&amp;[202303]"/>
                <p n="[Calendar].[H_Merch].[MerchYearMonthName].&amp;[2023-Ocak]"/>
                <p n="[Calendar].[H_Merch].[MerchYear].&amp;[2023]"/>
              </i>
              <i n="[Calendar].[H_Merch].[Date].&amp;[2023-01-11T00:00:00]" c="11.01.2023" nd="1">
                <p n="[Calendar].[H_Merch].[MerchYearWeek].&amp;[202303]"/>
                <p n="[Calendar].[H_Merch].[MerchYearMonthName].&amp;[2023-Ocak]"/>
                <p n="[Calendar].[H_Merch].[MerchYear].&amp;[2023]"/>
              </i>
              <i n="[Calendar].[H_Merch].[Date].&amp;[2023-01-12T00:00:00]" c="12.01.2023" nd="1">
                <p n="[Calendar].[H_Merch].[MerchYearWeek].&amp;[202303]"/>
                <p n="[Calendar].[H_Merch].[MerchYearMonthName].&amp;[2023-Ocak]"/>
                <p n="[Calendar].[H_Merch].[MerchYear].&amp;[2023]"/>
              </i>
              <i n="[Calendar].[H_Merch].[Date].&amp;[2023-01-13T00:00:00]" c="13.01.2023" nd="1">
                <p n="[Calendar].[H_Merch].[MerchYearWeek].&amp;[202303]"/>
                <p n="[Calendar].[H_Merch].[MerchYearMonthName].&amp;[2023-Ocak]"/>
                <p n="[Calendar].[H_Merch].[MerchYear].&amp;[2023]"/>
              </i>
              <i n="[Calendar].[H_Merch].[Date].&amp;[2023-01-14T00:00:00]" c="14.01.2023" nd="1">
                <p n="[Calendar].[H_Merch].[MerchYearWeek].&amp;[202303]"/>
                <p n="[Calendar].[H_Merch].[MerchYearMonthName].&amp;[2023-Ocak]"/>
                <p n="[Calendar].[H_Merch].[MerchYear].&amp;[2023]"/>
              </i>
              <i n="[Calendar].[H_Merch].[Date].&amp;[2023-01-15T00:00:00]" c="15.01.2023" nd="1">
                <p n="[Calendar].[H_Merch].[MerchYearWeek].&amp;[202303]"/>
                <p n="[Calendar].[H_Merch].[MerchYearMonthName].&amp;[2023-Ocak]"/>
                <p n="[Calendar].[H_Merch].[MerchYear].&amp;[2023]"/>
              </i>
              <i n="[Calendar].[H_Merch].[Date].&amp;[2023-01-16T00:00:00]" c="16.01.2023" nd="1">
                <p n="[Calendar].[H_Merch].[MerchYearWeek].&amp;[202304]"/>
                <p n="[Calendar].[H_Merch].[MerchYearMonthName].&amp;[2023-Ocak]"/>
                <p n="[Calendar].[H_Merch].[MerchYear].&amp;[2023]"/>
              </i>
              <i n="[Calendar].[H_Merch].[Date].&amp;[2023-01-17T00:00:00]" c="17.01.2023" nd="1">
                <p n="[Calendar].[H_Merch].[MerchYearWeek].&amp;[202304]"/>
                <p n="[Calendar].[H_Merch].[MerchYearMonthName].&amp;[2023-Ocak]"/>
                <p n="[Calendar].[H_Merch].[MerchYear].&amp;[2023]"/>
              </i>
              <i n="[Calendar].[H_Merch].[Date].&amp;[2023-01-18T00:00:00]" c="18.01.2023" nd="1">
                <p n="[Calendar].[H_Merch].[MerchYearWeek].&amp;[202304]"/>
                <p n="[Calendar].[H_Merch].[MerchYearMonthName].&amp;[2023-Ocak]"/>
                <p n="[Calendar].[H_Merch].[MerchYear].&amp;[2023]"/>
              </i>
              <i n="[Calendar].[H_Merch].[Date].&amp;[2023-01-19T00:00:00]" c="19.01.2023" nd="1">
                <p n="[Calendar].[H_Merch].[MerchYearWeek].&amp;[202304]"/>
                <p n="[Calendar].[H_Merch].[MerchYearMonthName].&amp;[2023-Ocak]"/>
                <p n="[Calendar].[H_Merch].[MerchYear].&amp;[2023]"/>
              </i>
              <i n="[Calendar].[H_Merch].[Date].&amp;[2023-01-20T00:00:00]" c="20.01.2023" nd="1">
                <p n="[Calendar].[H_Merch].[MerchYearWeek].&amp;[202304]"/>
                <p n="[Calendar].[H_Merch].[MerchYearMonthName].&amp;[2023-Ocak]"/>
                <p n="[Calendar].[H_Merch].[MerchYear].&amp;[2023]"/>
              </i>
              <i n="[Calendar].[H_Merch].[Date].&amp;[2023-01-21T00:00:00]" c="21.01.2023" nd="1">
                <p n="[Calendar].[H_Merch].[MerchYearWeek].&amp;[202304]"/>
                <p n="[Calendar].[H_Merch].[MerchYearMonthName].&amp;[2023-Ocak]"/>
                <p n="[Calendar].[H_Merch].[MerchYear].&amp;[2023]"/>
              </i>
              <i n="[Calendar].[H_Merch].[Date].&amp;[2023-01-22T00:00:00]" c="22.01.2023" nd="1">
                <p n="[Calendar].[H_Merch].[MerchYearWeek].&amp;[202304]"/>
                <p n="[Calendar].[H_Merch].[MerchYearMonthName].&amp;[2023-Ocak]"/>
                <p n="[Calendar].[H_Merch].[MerchYear].&amp;[2023]"/>
              </i>
              <i n="[Calendar].[H_Merch].[Date].&amp;[2023-01-23T00:00:00]" c="23.01.2023" nd="1">
                <p n="[Calendar].[H_Merch].[MerchYearWeek].&amp;[202305]"/>
                <p n="[Calendar].[H_Merch].[MerchYearMonthName].&amp;[2023-Ocak]"/>
                <p n="[Calendar].[H_Merch].[MerchYear].&amp;[2023]"/>
              </i>
              <i n="[Calendar].[H_Merch].[Date].&amp;[2023-01-24T00:00:00]" c="24.01.2023" nd="1">
                <p n="[Calendar].[H_Merch].[MerchYearWeek].&amp;[202305]"/>
                <p n="[Calendar].[H_Merch].[MerchYearMonthName].&amp;[2023-Ocak]"/>
                <p n="[Calendar].[H_Merch].[MerchYear].&amp;[2023]"/>
              </i>
              <i n="[Calendar].[H_Merch].[Date].&amp;[2023-01-25T00:00:00]" c="25.01.2023" nd="1">
                <p n="[Calendar].[H_Merch].[MerchYearWeek].&amp;[202305]"/>
                <p n="[Calendar].[H_Merch].[MerchYearMonthName].&amp;[2023-Ocak]"/>
                <p n="[Calendar].[H_Merch].[MerchYear].&amp;[2023]"/>
              </i>
              <i n="[Calendar].[H_Merch].[Date].&amp;[2023-01-26T00:00:00]" c="26.01.2023" nd="1">
                <p n="[Calendar].[H_Merch].[MerchYearWeek].&amp;[202305]"/>
                <p n="[Calendar].[H_Merch].[MerchYearMonthName].&amp;[2023-Ocak]"/>
                <p n="[Calendar].[H_Merch].[MerchYear].&amp;[2023]"/>
              </i>
              <i n="[Calendar].[H_Merch].[Date].&amp;[2023-01-27T00:00:00]" c="27.01.2023" nd="1">
                <p n="[Calendar].[H_Merch].[MerchYearWeek].&amp;[202305]"/>
                <p n="[Calendar].[H_Merch].[MerchYearMonthName].&amp;[2023-Ocak]"/>
                <p n="[Calendar].[H_Merch].[MerchYear].&amp;[2023]"/>
              </i>
              <i n="[Calendar].[H_Merch].[Date].&amp;[2023-01-28T00:00:00]" c="28.01.2023" nd="1">
                <p n="[Calendar].[H_Merch].[MerchYearWeek].&amp;[202305]"/>
                <p n="[Calendar].[H_Merch].[MerchYearMonthName].&amp;[2023-Ocak]"/>
                <p n="[Calendar].[H_Merch].[MerchYear].&amp;[2023]"/>
              </i>
              <i n="[Calendar].[H_Merch].[Date].&amp;[2023-01-29T00:00:00]" c="29.01.2023" nd="1">
                <p n="[Calendar].[H_Merch].[MerchYearWeek].&amp;[202305]"/>
                <p n="[Calendar].[H_Merch].[MerchYearMonthName].&amp;[2023-Ocak]"/>
                <p n="[Calendar].[H_Merch].[MerchYear].&amp;[2023]"/>
              </i>
              <i n="[Calendar].[H_Merch].[Date].&amp;[2023-01-30T00:00:00]" c="30.01.2023" nd="1">
                <p n="[Calendar].[H_Merch].[MerchYearWeek].&amp;[202306]"/>
                <p n="[Calendar].[H_Merch].[MerchYearMonthName].&amp;[2023-Şubat]"/>
                <p n="[Calendar].[H_Merch].[MerchYear].&amp;[2023]"/>
              </i>
              <i n="[Calendar].[H_Merch].[Date].&amp;[2023-01-31T00:00:00]" c="31.01.2023" nd="1">
                <p n="[Calendar].[H_Merch].[MerchYearWeek].&amp;[202306]"/>
                <p n="[Calendar].[H_Merch].[MerchYearMonthName].&amp;[2023-Şubat]"/>
                <p n="[Calendar].[H_Merch].[MerchYear].&amp;[2023]"/>
              </i>
              <i n="[Calendar].[H_Merch].[Date].&amp;[2023-02-01T00:00:00]" c="1.02.2023" nd="1">
                <p n="[Calendar].[H_Merch].[MerchYearWeek].&amp;[202306]"/>
                <p n="[Calendar].[H_Merch].[MerchYearMonthName].&amp;[2023-Şubat]"/>
                <p n="[Calendar].[H_Merch].[MerchYear].&amp;[2023]"/>
              </i>
              <i n="[Calendar].[H_Merch].[Date].&amp;[2023-02-02T00:00:00]" c="2.02.2023" nd="1">
                <p n="[Calendar].[H_Merch].[MerchYearWeek].&amp;[202306]"/>
                <p n="[Calendar].[H_Merch].[MerchYearMonthName].&amp;[2023-Şubat]"/>
                <p n="[Calendar].[H_Merch].[MerchYear].&amp;[2023]"/>
              </i>
              <i n="[Calendar].[H_Merch].[Date].&amp;[2023-02-03T00:00:00]" c="3.02.2023" nd="1">
                <p n="[Calendar].[H_Merch].[MerchYearWeek].&amp;[202306]"/>
                <p n="[Calendar].[H_Merch].[MerchYearMonthName].&amp;[2023-Şubat]"/>
                <p n="[Calendar].[H_Merch].[MerchYear].&amp;[2023]"/>
              </i>
              <i n="[Calendar].[H_Merch].[Date].&amp;[2023-02-04T00:00:00]" c="4.02.2023" nd="1">
                <p n="[Calendar].[H_Merch].[MerchYearWeek].&amp;[202306]"/>
                <p n="[Calendar].[H_Merch].[MerchYearMonthName].&amp;[2023-Şubat]"/>
                <p n="[Calendar].[H_Merch].[MerchYear].&amp;[2023]"/>
              </i>
              <i n="[Calendar].[H_Merch].[Date].&amp;[2023-02-05T00:00:00]" c="5.02.2023" nd="1">
                <p n="[Calendar].[H_Merch].[MerchYearWeek].&amp;[202306]"/>
                <p n="[Calendar].[H_Merch].[MerchYearMonthName].&amp;[2023-Şubat]"/>
                <p n="[Calendar].[H_Merch].[MerchYear].&amp;[2023]"/>
              </i>
              <i n="[Calendar].[H_Merch].[Date].&amp;[2023-02-06T00:00:00]" c="6.02.2023" nd="1">
                <p n="[Calendar].[H_Merch].[MerchYearWeek].&amp;[202307]"/>
                <p n="[Calendar].[H_Merch].[MerchYearMonthName].&amp;[2023-Şubat]"/>
                <p n="[Calendar].[H_Merch].[MerchYear].&amp;[2023]"/>
              </i>
              <i n="[Calendar].[H_Merch].[Date].&amp;[2023-02-07T00:00:00]" c="7.02.2023" nd="1">
                <p n="[Calendar].[H_Merch].[MerchYearWeek].&amp;[202307]"/>
                <p n="[Calendar].[H_Merch].[MerchYearMonthName].&amp;[2023-Şubat]"/>
                <p n="[Calendar].[H_Merch].[MerchYear].&amp;[2023]"/>
              </i>
              <i n="[Calendar].[H_Merch].[Date].&amp;[2023-02-08T00:00:00]" c="8.02.2023" nd="1">
                <p n="[Calendar].[H_Merch].[MerchYearWeek].&amp;[202307]"/>
                <p n="[Calendar].[H_Merch].[MerchYearMonthName].&amp;[2023-Şubat]"/>
                <p n="[Calendar].[H_Merch].[MerchYear].&amp;[2023]"/>
              </i>
              <i n="[Calendar].[H_Merch].[Date].&amp;[2023-02-09T00:00:00]" c="9.02.2023" nd="1">
                <p n="[Calendar].[H_Merch].[MerchYearWeek].&amp;[202307]"/>
                <p n="[Calendar].[H_Merch].[MerchYearMonthName].&amp;[2023-Şubat]"/>
                <p n="[Calendar].[H_Merch].[MerchYear].&amp;[2023]"/>
              </i>
              <i n="[Calendar].[H_Merch].[Date].&amp;[2023-02-10T00:00:00]" c="10.02.2023" nd="1">
                <p n="[Calendar].[H_Merch].[MerchYearWeek].&amp;[202307]"/>
                <p n="[Calendar].[H_Merch].[MerchYearMonthName].&amp;[2023-Şubat]"/>
                <p n="[Calendar].[H_Merch].[MerchYear].&amp;[2023]"/>
              </i>
              <i n="[Calendar].[H_Merch].[Date].&amp;[2023-02-11T00:00:00]" c="11.02.2023" nd="1">
                <p n="[Calendar].[H_Merch].[MerchYearWeek].&amp;[202307]"/>
                <p n="[Calendar].[H_Merch].[MerchYearMonthName].&amp;[2023-Şubat]"/>
                <p n="[Calendar].[H_Merch].[MerchYear].&amp;[2023]"/>
              </i>
              <i n="[Calendar].[H_Merch].[Date].&amp;[2023-02-12T00:00:00]" c="12.02.2023" nd="1">
                <p n="[Calendar].[H_Merch].[MerchYearWeek].&amp;[202307]"/>
                <p n="[Calendar].[H_Merch].[MerchYearMonthName].&amp;[2023-Şubat]"/>
                <p n="[Calendar].[H_Merch].[MerchYear].&amp;[2023]"/>
              </i>
              <i n="[Calendar].[H_Merch].[Date].&amp;[2023-02-13T00:00:00]" c="13.02.2023" nd="1">
                <p n="[Calendar].[H_Merch].[MerchYearWeek].&amp;[202308]"/>
                <p n="[Calendar].[H_Merch].[MerchYearMonthName].&amp;[2023-Şubat]"/>
                <p n="[Calendar].[H_Merch].[MerchYear].&amp;[2023]"/>
              </i>
              <i n="[Calendar].[H_Merch].[Date].&amp;[2023-02-14T00:00:00]" c="14.02.2023" nd="1">
                <p n="[Calendar].[H_Merch].[MerchYearWeek].&amp;[202308]"/>
                <p n="[Calendar].[H_Merch].[MerchYearMonthName].&amp;[2023-Şubat]"/>
                <p n="[Calendar].[H_Merch].[MerchYear].&amp;[2023]"/>
              </i>
              <i n="[Calendar].[H_Merch].[Date].&amp;[2023-02-15T00:00:00]" c="15.02.2023" nd="1">
                <p n="[Calendar].[H_Merch].[MerchYearWeek].&amp;[202308]"/>
                <p n="[Calendar].[H_Merch].[MerchYearMonthName].&amp;[2023-Şubat]"/>
                <p n="[Calendar].[H_Merch].[MerchYear].&amp;[2023]"/>
              </i>
              <i n="[Calendar].[H_Merch].[Date].&amp;[2023-02-16T00:00:00]" c="16.02.2023" nd="1">
                <p n="[Calendar].[H_Merch].[MerchYearWeek].&amp;[202308]"/>
                <p n="[Calendar].[H_Merch].[MerchYearMonthName].&amp;[2023-Şubat]"/>
                <p n="[Calendar].[H_Merch].[MerchYear].&amp;[2023]"/>
              </i>
              <i n="[Calendar].[H_Merch].[Date].&amp;[2023-02-17T00:00:00]" c="17.02.2023" nd="1">
                <p n="[Calendar].[H_Merch].[MerchYearWeek].&amp;[202308]"/>
                <p n="[Calendar].[H_Merch].[MerchYearMonthName].&amp;[2023-Şubat]"/>
                <p n="[Calendar].[H_Merch].[MerchYear].&amp;[2023]"/>
              </i>
              <i n="[Calendar].[H_Merch].[Date].&amp;[2023-02-18T00:00:00]" c="18.02.2023" nd="1">
                <p n="[Calendar].[H_Merch].[MerchYearWeek].&amp;[202308]"/>
                <p n="[Calendar].[H_Merch].[MerchYearMonthName].&amp;[2023-Şubat]"/>
                <p n="[Calendar].[H_Merch].[MerchYear].&amp;[2023]"/>
              </i>
              <i n="[Calendar].[H_Merch].[Date].&amp;[2023-02-19T00:00:00]" c="19.02.2023" nd="1">
                <p n="[Calendar].[H_Merch].[MerchYearWeek].&amp;[202308]"/>
                <p n="[Calendar].[H_Merch].[MerchYearMonthName].&amp;[2023-Şubat]"/>
                <p n="[Calendar].[H_Merch].[MerchYear].&amp;[2023]"/>
              </i>
              <i n="[Calendar].[H_Merch].[Date].&amp;[2023-02-20T00:00:00]" c="20.02.2023" nd="1">
                <p n="[Calendar].[H_Merch].[MerchYearWeek].&amp;[202309]"/>
                <p n="[Calendar].[H_Merch].[MerchYearMonthName].&amp;[2023-Şubat]"/>
                <p n="[Calendar].[H_Merch].[MerchYear].&amp;[2023]"/>
              </i>
              <i n="[Calendar].[H_Merch].[Date].&amp;[2023-02-21T00:00:00]" c="21.02.2023" nd="1">
                <p n="[Calendar].[H_Merch].[MerchYearWeek].&amp;[202309]"/>
                <p n="[Calendar].[H_Merch].[MerchYearMonthName].&amp;[2023-Şubat]"/>
                <p n="[Calendar].[H_Merch].[MerchYear].&amp;[2023]"/>
              </i>
              <i n="[Calendar].[H_Merch].[Date].&amp;[2023-02-22T00:00:00]" c="22.02.2023" nd="1">
                <p n="[Calendar].[H_Merch].[MerchYearWeek].&amp;[202309]"/>
                <p n="[Calendar].[H_Merch].[MerchYearMonthName].&amp;[2023-Şubat]"/>
                <p n="[Calendar].[H_Merch].[MerchYear].&amp;[2023]"/>
              </i>
              <i n="[Calendar].[H_Merch].[Date].&amp;[2023-02-23T00:00:00]" c="23.02.2023" nd="1">
                <p n="[Calendar].[H_Merch].[MerchYearWeek].&amp;[202309]"/>
                <p n="[Calendar].[H_Merch].[MerchYearMonthName].&amp;[2023-Şubat]"/>
                <p n="[Calendar].[H_Merch].[MerchYear].&amp;[2023]"/>
              </i>
              <i n="[Calendar].[H_Merch].[Date].&amp;[2023-02-24T00:00:00]" c="24.02.2023" nd="1">
                <p n="[Calendar].[H_Merch].[MerchYearWeek].&amp;[202309]"/>
                <p n="[Calendar].[H_Merch].[MerchYearMonthName].&amp;[2023-Şubat]"/>
                <p n="[Calendar].[H_Merch].[MerchYear].&amp;[2023]"/>
              </i>
              <i n="[Calendar].[H_Merch].[Date].&amp;[2023-02-25T00:00:00]" c="25.02.2023" nd="1">
                <p n="[Calendar].[H_Merch].[MerchYearWeek].&amp;[202309]"/>
                <p n="[Calendar].[H_Merch].[MerchYearMonthName].&amp;[2023-Şubat]"/>
                <p n="[Calendar].[H_Merch].[MerchYear].&amp;[2023]"/>
              </i>
              <i n="[Calendar].[H_Merch].[Date].&amp;[2023-02-26T00:00:00]" c="26.02.2023" nd="1">
                <p n="[Calendar].[H_Merch].[MerchYearWeek].&amp;[202309]"/>
                <p n="[Calendar].[H_Merch].[MerchYearMonthName].&amp;[2023-Şubat]"/>
                <p n="[Calendar].[H_Merch].[MerchYear].&amp;[2023]"/>
              </i>
              <i n="[Calendar].[H_Merch].[Date].&amp;[2023-02-27T00:00:00]" c="27.02.2023" nd="1">
                <p n="[Calendar].[H_Merch].[MerchYearWeek].&amp;[202310]"/>
                <p n="[Calendar].[H_Merch].[MerchYearMonthName].&amp;[2023-Mart]"/>
                <p n="[Calendar].[H_Merch].[MerchYear].&amp;[2023]"/>
              </i>
              <i n="[Calendar].[H_Merch].[Date].&amp;[2023-02-28T00:00:00]" c="28.02.2023" nd="1">
                <p n="[Calendar].[H_Merch].[MerchYearWeek].&amp;[202310]"/>
                <p n="[Calendar].[H_Merch].[MerchYearMonthName].&amp;[2023-Mart]"/>
                <p n="[Calendar].[H_Merch].[MerchYear].&amp;[2023]"/>
              </i>
              <i n="[Calendar].[H_Merch].[Date].&amp;[2023-03-01T00:00:00]" c="1.03.2023" nd="1">
                <p n="[Calendar].[H_Merch].[MerchYearWeek].&amp;[202310]"/>
                <p n="[Calendar].[H_Merch].[MerchYearMonthName].&amp;[2023-Mart]"/>
                <p n="[Calendar].[H_Merch].[MerchYear].&amp;[2023]"/>
              </i>
              <i n="[Calendar].[H_Merch].[Date].&amp;[2023-03-02T00:00:00]" c="2.03.2023" nd="1">
                <p n="[Calendar].[H_Merch].[MerchYearWeek].&amp;[202310]"/>
                <p n="[Calendar].[H_Merch].[MerchYearMonthName].&amp;[2023-Mart]"/>
                <p n="[Calendar].[H_Merch].[MerchYear].&amp;[2023]"/>
              </i>
              <i n="[Calendar].[H_Merch].[Date].&amp;[2023-03-03T00:00:00]" c="3.03.2023" nd="1">
                <p n="[Calendar].[H_Merch].[MerchYearWeek].&amp;[202310]"/>
                <p n="[Calendar].[H_Merch].[MerchYearMonthName].&amp;[2023-Mart]"/>
                <p n="[Calendar].[H_Merch].[MerchYear].&amp;[2023]"/>
              </i>
              <i n="[Calendar].[H_Merch].[Date].&amp;[2023-03-04T00:00:00]" c="4.03.2023" nd="1">
                <p n="[Calendar].[H_Merch].[MerchYearWeek].&amp;[202310]"/>
                <p n="[Calendar].[H_Merch].[MerchYearMonthName].&amp;[2023-Mart]"/>
                <p n="[Calendar].[H_Merch].[MerchYear].&amp;[2023]"/>
              </i>
              <i n="[Calendar].[H_Merch].[Date].&amp;[2023-03-05T00:00:00]" c="5.03.2023" nd="1">
                <p n="[Calendar].[H_Merch].[MerchYearWeek].&amp;[202310]"/>
                <p n="[Calendar].[H_Merch].[MerchYearMonthName].&amp;[2023-Mart]"/>
                <p n="[Calendar].[H_Merch].[MerchYear].&amp;[2023]"/>
              </i>
              <i n="[Calendar].[H_Merch].[Date].&amp;[2023-03-06T00:00:00]" c="6.03.2023" nd="1">
                <p n="[Calendar].[H_Merch].[MerchYearWeek].&amp;[202311]"/>
                <p n="[Calendar].[H_Merch].[MerchYearMonthName].&amp;[2023-Mart]"/>
                <p n="[Calendar].[H_Merch].[MerchYear].&amp;[2023]"/>
              </i>
              <i n="[Calendar].[H_Merch].[Date].&amp;[2023-03-07T00:00:00]" c="7.03.2023" nd="1">
                <p n="[Calendar].[H_Merch].[MerchYearWeek].&amp;[202311]"/>
                <p n="[Calendar].[H_Merch].[MerchYearMonthName].&amp;[2023-Mart]"/>
                <p n="[Calendar].[H_Merch].[MerchYear].&amp;[2023]"/>
              </i>
              <i n="[Calendar].[H_Merch].[Date].&amp;[2023-03-08T00:00:00]" c="8.03.2023" nd="1">
                <p n="[Calendar].[H_Merch].[MerchYearWeek].&amp;[202311]"/>
                <p n="[Calendar].[H_Merch].[MerchYearMonthName].&amp;[2023-Mart]"/>
                <p n="[Calendar].[H_Merch].[MerchYear].&amp;[2023]"/>
              </i>
              <i n="[Calendar].[H_Merch].[Date].&amp;[2023-03-09T00:00:00]" c="9.03.2023" nd="1">
                <p n="[Calendar].[H_Merch].[MerchYearWeek].&amp;[202311]"/>
                <p n="[Calendar].[H_Merch].[MerchYearMonthName].&amp;[2023-Mart]"/>
                <p n="[Calendar].[H_Merch].[MerchYear].&amp;[2023]"/>
              </i>
              <i n="[Calendar].[H_Merch].[Date].&amp;[2023-03-10T00:00:00]" c="10.03.2023" nd="1">
                <p n="[Calendar].[H_Merch].[MerchYearWeek].&amp;[202311]"/>
                <p n="[Calendar].[H_Merch].[MerchYearMonthName].&amp;[2023-Mart]"/>
                <p n="[Calendar].[H_Merch].[MerchYear].&amp;[2023]"/>
              </i>
              <i n="[Calendar].[H_Merch].[Date].&amp;[2023-03-11T00:00:00]" c="11.03.2023" nd="1">
                <p n="[Calendar].[H_Merch].[MerchYearWeek].&amp;[202311]"/>
                <p n="[Calendar].[H_Merch].[MerchYearMonthName].&amp;[2023-Mart]"/>
                <p n="[Calendar].[H_Merch].[MerchYear].&amp;[2023]"/>
              </i>
              <i n="[Calendar].[H_Merch].[Date].&amp;[2023-03-12T00:00:00]" c="12.03.2023" nd="1">
                <p n="[Calendar].[H_Merch].[MerchYearWeek].&amp;[202311]"/>
                <p n="[Calendar].[H_Merch].[MerchYearMonthName].&amp;[2023-Mart]"/>
                <p n="[Calendar].[H_Merch].[MerchYear].&amp;[2023]"/>
              </i>
              <i n="[Calendar].[H_Merch].[Date].&amp;[2023-03-13T00:00:00]" c="13.03.2023" nd="1">
                <p n="[Calendar].[H_Merch].[MerchYearWeek].&amp;[202312]"/>
                <p n="[Calendar].[H_Merch].[MerchYearMonthName].&amp;[2023-Mart]"/>
                <p n="[Calendar].[H_Merch].[MerchYear].&amp;[2023]"/>
              </i>
              <i n="[Calendar].[H_Merch].[Date].&amp;[2023-03-14T00:00:00]" c="14.03.2023" nd="1">
                <p n="[Calendar].[H_Merch].[MerchYearWeek].&amp;[202312]"/>
                <p n="[Calendar].[H_Merch].[MerchYearMonthName].&amp;[2023-Mart]"/>
                <p n="[Calendar].[H_Merch].[MerchYear].&amp;[2023]"/>
              </i>
              <i n="[Calendar].[H_Merch].[Date].&amp;[2023-03-15T00:00:00]" c="15.03.2023" nd="1">
                <p n="[Calendar].[H_Merch].[MerchYearWeek].&amp;[202312]"/>
                <p n="[Calendar].[H_Merch].[MerchYearMonthName].&amp;[2023-Mart]"/>
                <p n="[Calendar].[H_Merch].[MerchYear].&amp;[2023]"/>
              </i>
              <i n="[Calendar].[H_Merch].[Date].&amp;[2023-03-16T00:00:00]" c="16.03.2023" nd="1">
                <p n="[Calendar].[H_Merch].[MerchYearWeek].&amp;[202312]"/>
                <p n="[Calendar].[H_Merch].[MerchYearMonthName].&amp;[2023-Mart]"/>
                <p n="[Calendar].[H_Merch].[MerchYear].&amp;[2023]"/>
              </i>
              <i n="[Calendar].[H_Merch].[Date].&amp;[2023-03-17T00:00:00]" c="17.03.2023" nd="1">
                <p n="[Calendar].[H_Merch].[MerchYearWeek].&amp;[202312]"/>
                <p n="[Calendar].[H_Merch].[MerchYearMonthName].&amp;[2023-Mart]"/>
                <p n="[Calendar].[H_Merch].[MerchYear].&amp;[2023]"/>
              </i>
              <i n="[Calendar].[H_Merch].[Date].&amp;[2023-03-18T00:00:00]" c="18.03.2023" nd="1">
                <p n="[Calendar].[H_Merch].[MerchYearWeek].&amp;[202312]"/>
                <p n="[Calendar].[H_Merch].[MerchYearMonthName].&amp;[2023-Mart]"/>
                <p n="[Calendar].[H_Merch].[MerchYear].&amp;[2023]"/>
              </i>
              <i n="[Calendar].[H_Merch].[Date].&amp;[2023-03-19T00:00:00]" c="19.03.2023" nd="1">
                <p n="[Calendar].[H_Merch].[MerchYearWeek].&amp;[202312]"/>
                <p n="[Calendar].[H_Merch].[MerchYearMonthName].&amp;[2023-Mart]"/>
                <p n="[Calendar].[H_Merch].[MerchYear].&amp;[2023]"/>
              </i>
              <i n="[Calendar].[H_Merch].[Date].&amp;[2023-03-20T00:00:00]" c="20.03.2023" nd="1">
                <p n="[Calendar].[H_Merch].[MerchYearWeek].&amp;[202313]"/>
                <p n="[Calendar].[H_Merch].[MerchYearMonthName].&amp;[2023-Mart]"/>
                <p n="[Calendar].[H_Merch].[MerchYear].&amp;[2023]"/>
              </i>
              <i n="[Calendar].[H_Merch].[Date].&amp;[2023-03-21T00:00:00]" c="21.03.2023" nd="1">
                <p n="[Calendar].[H_Merch].[MerchYearWeek].&amp;[202313]"/>
                <p n="[Calendar].[H_Merch].[MerchYearMonthName].&amp;[2023-Mart]"/>
                <p n="[Calendar].[H_Merch].[MerchYear].&amp;[2023]"/>
              </i>
              <i n="[Calendar].[H_Merch].[Date].&amp;[2023-03-22T00:00:00]" c="22.03.2023" nd="1">
                <p n="[Calendar].[H_Merch].[MerchYearWeek].&amp;[202313]"/>
                <p n="[Calendar].[H_Merch].[MerchYearMonthName].&amp;[2023-Mart]"/>
                <p n="[Calendar].[H_Merch].[MerchYear].&amp;[2023]"/>
              </i>
              <i n="[Calendar].[H_Merch].[Date].&amp;[2023-03-23T00:00:00]" c="23.03.2023" nd="1">
                <p n="[Calendar].[H_Merch].[MerchYearWeek].&amp;[202313]"/>
                <p n="[Calendar].[H_Merch].[MerchYearMonthName].&amp;[2023-Mart]"/>
                <p n="[Calendar].[H_Merch].[MerchYear].&amp;[2023]"/>
              </i>
              <i n="[Calendar].[H_Merch].[Date].&amp;[2023-03-24T00:00:00]" c="24.03.2023" nd="1">
                <p n="[Calendar].[H_Merch].[MerchYearWeek].&amp;[202313]"/>
                <p n="[Calendar].[H_Merch].[MerchYearMonthName].&amp;[2023-Mart]"/>
                <p n="[Calendar].[H_Merch].[MerchYear].&amp;[2023]"/>
              </i>
              <i n="[Calendar].[H_Merch].[Date].&amp;[2023-03-25T00:00:00]" c="25.03.2023" nd="1">
                <p n="[Calendar].[H_Merch].[MerchYearWeek].&amp;[202313]"/>
                <p n="[Calendar].[H_Merch].[MerchYearMonthName].&amp;[2023-Mart]"/>
                <p n="[Calendar].[H_Merch].[MerchYear].&amp;[2023]"/>
              </i>
              <i n="[Calendar].[H_Merch].[Date].&amp;[2023-03-26T00:00:00]" c="26.03.2023" nd="1">
                <p n="[Calendar].[H_Merch].[MerchYearWeek].&amp;[202313]"/>
                <p n="[Calendar].[H_Merch].[MerchYearMonthName].&amp;[2023-Mart]"/>
                <p n="[Calendar].[H_Merch].[MerchYear].&amp;[2023]"/>
              </i>
              <i n="[Calendar].[H_Merch].[Date].&amp;[2023-03-27T00:00:00]" c="27.03.2023" nd="1">
                <p n="[Calendar].[H_Merch].[MerchYearWeek].&amp;[202314]"/>
                <p n="[Calendar].[H_Merch].[MerchYearMonthName].&amp;[2023-Nisan]"/>
                <p n="[Calendar].[H_Merch].[MerchYear].&amp;[2023]"/>
              </i>
              <i n="[Calendar].[H_Merch].[Date].&amp;[2023-03-28T00:00:00]" c="28.03.2023" nd="1">
                <p n="[Calendar].[H_Merch].[MerchYearWeek].&amp;[202314]"/>
                <p n="[Calendar].[H_Merch].[MerchYearMonthName].&amp;[2023-Nisan]"/>
                <p n="[Calendar].[H_Merch].[MerchYear].&amp;[2023]"/>
              </i>
              <i n="[Calendar].[H_Merch].[Date].&amp;[2023-03-29T00:00:00]" c="29.03.2023" nd="1">
                <p n="[Calendar].[H_Merch].[MerchYearWeek].&amp;[202314]"/>
                <p n="[Calendar].[H_Merch].[MerchYearMonthName].&amp;[2023-Nisan]"/>
                <p n="[Calendar].[H_Merch].[MerchYear].&amp;[2023]"/>
              </i>
              <i n="[Calendar].[H_Merch].[Date].&amp;[2023-03-30T00:00:00]" c="30.03.2023" nd="1">
                <p n="[Calendar].[H_Merch].[MerchYearWeek].&amp;[202314]"/>
                <p n="[Calendar].[H_Merch].[MerchYearMonthName].&amp;[2023-Nisan]"/>
                <p n="[Calendar].[H_Merch].[MerchYear].&amp;[2023]"/>
              </i>
              <i n="[Calendar].[H_Merch].[Date].&amp;[2023-03-31T00:00:00]" c="31.03.2023" nd="1">
                <p n="[Calendar].[H_Merch].[MerchYearWeek].&amp;[202314]"/>
                <p n="[Calendar].[H_Merch].[MerchYearMonthName].&amp;[2023-Nisan]"/>
                <p n="[Calendar].[H_Merch].[MerchYear].&amp;[2023]"/>
              </i>
              <i n="[Calendar].[H_Merch].[Date].&amp;[2023-04-01T00:00:00]" c="1.04.2023" nd="1">
                <p n="[Calendar].[H_Merch].[MerchYearWeek].&amp;[202314]"/>
                <p n="[Calendar].[H_Merch].[MerchYearMonthName].&amp;[2023-Nisan]"/>
                <p n="[Calendar].[H_Merch].[MerchYear].&amp;[2023]"/>
              </i>
              <i n="[Calendar].[H_Merch].[Date].&amp;[2023-04-02T00:00:00]" c="2.04.2023" nd="1">
                <p n="[Calendar].[H_Merch].[MerchYearWeek].&amp;[202314]"/>
                <p n="[Calendar].[H_Merch].[MerchYearMonthName].&amp;[2023-Nisan]"/>
                <p n="[Calendar].[H_Merch].[MerchYear].&amp;[2023]"/>
              </i>
              <i n="[Calendar].[H_Merch].[Date].&amp;[2023-04-03T00:00:00]" c="3.04.2023" nd="1">
                <p n="[Calendar].[H_Merch].[MerchYearWeek].&amp;[202315]"/>
                <p n="[Calendar].[H_Merch].[MerchYearMonthName].&amp;[2023-Nisan]"/>
                <p n="[Calendar].[H_Merch].[MerchYear].&amp;[2023]"/>
              </i>
              <i n="[Calendar].[H_Merch].[Date].&amp;[2023-04-04T00:00:00]" c="4.04.2023" nd="1">
                <p n="[Calendar].[H_Merch].[MerchYearWeek].&amp;[202315]"/>
                <p n="[Calendar].[H_Merch].[MerchYearMonthName].&amp;[2023-Nisan]"/>
                <p n="[Calendar].[H_Merch].[MerchYear].&amp;[2023]"/>
              </i>
              <i n="[Calendar].[H_Merch].[Date].&amp;[2023-04-05T00:00:00]" c="5.04.2023" nd="1">
                <p n="[Calendar].[H_Merch].[MerchYearWeek].&amp;[202315]"/>
                <p n="[Calendar].[H_Merch].[MerchYearMonthName].&amp;[2023-Nisan]"/>
                <p n="[Calendar].[H_Merch].[MerchYear].&amp;[2023]"/>
              </i>
              <i n="[Calendar].[H_Merch].[Date].&amp;[2023-04-06T00:00:00]" c="6.04.2023" nd="1">
                <p n="[Calendar].[H_Merch].[MerchYearWeek].&amp;[202315]"/>
                <p n="[Calendar].[H_Merch].[MerchYearMonthName].&amp;[2023-Nisan]"/>
                <p n="[Calendar].[H_Merch].[MerchYear].&amp;[2023]"/>
              </i>
              <i n="[Calendar].[H_Merch].[Date].&amp;[2023-04-07T00:00:00]" c="7.04.2023" nd="1">
                <p n="[Calendar].[H_Merch].[MerchYearWeek].&amp;[202315]"/>
                <p n="[Calendar].[H_Merch].[MerchYearMonthName].&amp;[2023-Nisan]"/>
                <p n="[Calendar].[H_Merch].[MerchYear].&amp;[2023]"/>
              </i>
              <i n="[Calendar].[H_Merch].[Date].&amp;[2023-04-08T00:00:00]" c="8.04.2023" nd="1">
                <p n="[Calendar].[H_Merch].[MerchYearWeek].&amp;[202315]"/>
                <p n="[Calendar].[H_Merch].[MerchYearMonthName].&amp;[2023-Nisan]"/>
                <p n="[Calendar].[H_Merch].[MerchYear].&amp;[2023]"/>
              </i>
              <i n="[Calendar].[H_Merch].[Date].&amp;[2023-04-09T00:00:00]" c="9.04.2023" nd="1">
                <p n="[Calendar].[H_Merch].[MerchYearWeek].&amp;[202315]"/>
                <p n="[Calendar].[H_Merch].[MerchYearMonthName].&amp;[2023-Nisan]"/>
                <p n="[Calendar].[H_Merch].[MerchYear].&amp;[2023]"/>
              </i>
              <i n="[Calendar].[H_Merch].[Date].&amp;[2023-04-10T00:00:00]" c="10.04.2023" nd="1">
                <p n="[Calendar].[H_Merch].[MerchYearWeek].&amp;[202316]"/>
                <p n="[Calendar].[H_Merch].[MerchYearMonthName].&amp;[2023-Nisan]"/>
                <p n="[Calendar].[H_Merch].[MerchYear].&amp;[2023]"/>
              </i>
              <i n="[Calendar].[H_Merch].[Date].&amp;[2023-04-11T00:00:00]" c="11.04.2023" nd="1">
                <p n="[Calendar].[H_Merch].[MerchYearWeek].&amp;[202316]"/>
                <p n="[Calendar].[H_Merch].[MerchYearMonthName].&amp;[2023-Nisan]"/>
                <p n="[Calendar].[H_Merch].[MerchYear].&amp;[2023]"/>
              </i>
              <i n="[Calendar].[H_Merch].[Date].&amp;[2023-04-12T00:00:00]" c="12.04.2023" nd="1">
                <p n="[Calendar].[H_Merch].[MerchYearWeek].&amp;[202316]"/>
                <p n="[Calendar].[H_Merch].[MerchYearMonthName].&amp;[2023-Nisan]"/>
                <p n="[Calendar].[H_Merch].[MerchYear].&amp;[2023]"/>
              </i>
              <i n="[Calendar].[H_Merch].[Date].&amp;[2023-04-13T00:00:00]" c="13.04.2023" nd="1">
                <p n="[Calendar].[H_Merch].[MerchYearWeek].&amp;[202316]"/>
                <p n="[Calendar].[H_Merch].[MerchYearMonthName].&amp;[2023-Nisan]"/>
                <p n="[Calendar].[H_Merch].[MerchYear].&amp;[2023]"/>
              </i>
              <i n="[Calendar].[H_Merch].[Date].&amp;[2023-04-14T00:00:00]" c="14.04.2023" nd="1">
                <p n="[Calendar].[H_Merch].[MerchYearWeek].&amp;[202316]"/>
                <p n="[Calendar].[H_Merch].[MerchYearMonthName].&amp;[2023-Nisan]"/>
                <p n="[Calendar].[H_Merch].[MerchYear].&amp;[2023]"/>
              </i>
              <i n="[Calendar].[H_Merch].[Date].&amp;[2023-04-15T00:00:00]" c="15.04.2023" nd="1">
                <p n="[Calendar].[H_Merch].[MerchYearWeek].&amp;[202316]"/>
                <p n="[Calendar].[H_Merch].[MerchYearMonthName].&amp;[2023-Nisan]"/>
                <p n="[Calendar].[H_Merch].[MerchYear].&amp;[2023]"/>
              </i>
              <i n="[Calendar].[H_Merch].[Date].&amp;[2023-04-16T00:00:00]" c="16.04.2023" nd="1">
                <p n="[Calendar].[H_Merch].[MerchYearWeek].&amp;[202316]"/>
                <p n="[Calendar].[H_Merch].[MerchYearMonthName].&amp;[2023-Nisan]"/>
                <p n="[Calendar].[H_Merch].[MerchYear].&amp;[2023]"/>
              </i>
              <i n="[Calendar].[H_Merch].[Date].&amp;[2023-04-17T00:00:00]" c="17.04.2023" nd="1">
                <p n="[Calendar].[H_Merch].[MerchYearWeek].&amp;[202317]"/>
                <p n="[Calendar].[H_Merch].[MerchYearMonthName].&amp;[2023-Nisan]"/>
                <p n="[Calendar].[H_Merch].[MerchYear].&amp;[2023]"/>
              </i>
              <i n="[Calendar].[H_Merch].[Date].&amp;[2023-04-18T00:00:00]" c="18.04.2023" nd="1">
                <p n="[Calendar].[H_Merch].[MerchYearWeek].&amp;[202317]"/>
                <p n="[Calendar].[H_Merch].[MerchYearMonthName].&amp;[2023-Nisan]"/>
                <p n="[Calendar].[H_Merch].[MerchYear].&amp;[2023]"/>
              </i>
              <i n="[Calendar].[H_Merch].[Date].&amp;[2023-04-19T00:00:00]" c="19.04.2023" nd="1">
                <p n="[Calendar].[H_Merch].[MerchYearWeek].&amp;[202317]"/>
                <p n="[Calendar].[H_Merch].[MerchYearMonthName].&amp;[2023-Nisan]"/>
                <p n="[Calendar].[H_Merch].[MerchYear].&amp;[2023]"/>
              </i>
              <i n="[Calendar].[H_Merch].[Date].&amp;[2023-04-20T00:00:00]" c="20.04.2023" nd="1">
                <p n="[Calendar].[H_Merch].[MerchYearWeek].&amp;[202317]"/>
                <p n="[Calendar].[H_Merch].[MerchYearMonthName].&amp;[2023-Nisan]"/>
                <p n="[Calendar].[H_Merch].[MerchYear].&amp;[2023]"/>
              </i>
              <i n="[Calendar].[H_Merch].[Date].&amp;[2023-04-21T00:00:00]" c="21.04.2023" nd="1">
                <p n="[Calendar].[H_Merch].[MerchYearWeek].&amp;[202317]"/>
                <p n="[Calendar].[H_Merch].[MerchYearMonthName].&amp;[2023-Nisan]"/>
                <p n="[Calendar].[H_Merch].[MerchYear].&amp;[2023]"/>
              </i>
              <i n="[Calendar].[H_Merch].[Date].&amp;[2023-04-22T00:00:00]" c="22.04.2023" nd="1">
                <p n="[Calendar].[H_Merch].[MerchYearWeek].&amp;[202317]"/>
                <p n="[Calendar].[H_Merch].[MerchYearMonthName].&amp;[2023-Nisan]"/>
                <p n="[Calendar].[H_Merch].[MerchYear].&amp;[2023]"/>
              </i>
              <i n="[Calendar].[H_Merch].[Date].&amp;[2023-04-23T00:00:00]" c="23.04.2023" nd="1">
                <p n="[Calendar].[H_Merch].[MerchYearWeek].&amp;[202317]"/>
                <p n="[Calendar].[H_Merch].[MerchYearMonthName].&amp;[2023-Nisan]"/>
                <p n="[Calendar].[H_Merch].[MerchYear].&amp;[2023]"/>
              </i>
              <i n="[Calendar].[H_Merch].[Date].&amp;[2023-04-24T00:00:00]" c="24.04.2023" nd="1">
                <p n="[Calendar].[H_Merch].[MerchYearWeek].&amp;[202318]"/>
                <p n="[Calendar].[H_Merch].[MerchYearMonthName].&amp;[2023-Nisan]"/>
                <p n="[Calendar].[H_Merch].[MerchYear].&amp;[2023]"/>
              </i>
              <i n="[Calendar].[H_Merch].[Date].&amp;[2023-04-25T00:00:00]" c="25.04.2023" nd="1">
                <p n="[Calendar].[H_Merch].[MerchYearWeek].&amp;[202318]"/>
                <p n="[Calendar].[H_Merch].[MerchYearMonthName].&amp;[2023-Nisan]"/>
                <p n="[Calendar].[H_Merch].[MerchYear].&amp;[2023]"/>
              </i>
              <i n="[Calendar].[H_Merch].[Date].&amp;[2023-04-26T00:00:00]" c="26.04.2023" nd="1">
                <p n="[Calendar].[H_Merch].[MerchYearWeek].&amp;[202318]"/>
                <p n="[Calendar].[H_Merch].[MerchYearMonthName].&amp;[2023-Nisan]"/>
                <p n="[Calendar].[H_Merch].[MerchYear].&amp;[2023]"/>
              </i>
              <i n="[Calendar].[H_Merch].[Date].&amp;[2023-04-27T00:00:00]" c="27.04.2023" nd="1">
                <p n="[Calendar].[H_Merch].[MerchYearWeek].&amp;[202318]"/>
                <p n="[Calendar].[H_Merch].[MerchYearMonthName].&amp;[2023-Nisan]"/>
                <p n="[Calendar].[H_Merch].[MerchYear].&amp;[2023]"/>
              </i>
              <i n="[Calendar].[H_Merch].[Date].&amp;[2023-04-28T00:00:00]" c="28.04.2023" nd="1">
                <p n="[Calendar].[H_Merch].[MerchYearWeek].&amp;[202318]"/>
                <p n="[Calendar].[H_Merch].[MerchYearMonthName].&amp;[2023-Nisan]"/>
                <p n="[Calendar].[H_Merch].[MerchYear].&amp;[2023]"/>
              </i>
              <i n="[Calendar].[H_Merch].[Date].&amp;[2023-04-29T00:00:00]" c="29.04.2023" nd="1">
                <p n="[Calendar].[H_Merch].[MerchYearWeek].&amp;[202318]"/>
                <p n="[Calendar].[H_Merch].[MerchYearMonthName].&amp;[2023-Nisan]"/>
                <p n="[Calendar].[H_Merch].[MerchYear].&amp;[2023]"/>
              </i>
              <i n="[Calendar].[H_Merch].[Date].&amp;[2023-04-30T00:00:00]" c="30.04.2023" nd="1">
                <p n="[Calendar].[H_Merch].[MerchYearWeek].&amp;[202318]"/>
                <p n="[Calendar].[H_Merch].[MerchYearMonthName].&amp;[2023-Nisan]"/>
                <p n="[Calendar].[H_Merch].[MerchYear].&amp;[2023]"/>
              </i>
              <i n="[Calendar].[H_Merch].[Date].&amp;[2023-05-01T00:00:00]" c="1.05.2023" nd="1">
                <p n="[Calendar].[H_Merch].[MerchYearWeek].&amp;[202319]"/>
                <p n="[Calendar].[H_Merch].[MerchYearMonthName].&amp;[2023-Mayıs]"/>
                <p n="[Calendar].[H_Merch].[MerchYear].&amp;[2023]"/>
              </i>
              <i n="[Calendar].[H_Merch].[Date].&amp;[2023-05-02T00:00:00]" c="2.05.2023" nd="1">
                <p n="[Calendar].[H_Merch].[MerchYearWeek].&amp;[202319]"/>
                <p n="[Calendar].[H_Merch].[MerchYearMonthName].&amp;[2023-Mayıs]"/>
                <p n="[Calendar].[H_Merch].[MerchYear].&amp;[2023]"/>
              </i>
              <i n="[Calendar].[H_Merch].[Date].&amp;[2023-05-03T00:00:00]" c="3.05.2023" nd="1">
                <p n="[Calendar].[H_Merch].[MerchYearWeek].&amp;[202319]"/>
                <p n="[Calendar].[H_Merch].[MerchYearMonthName].&amp;[2023-Mayıs]"/>
                <p n="[Calendar].[H_Merch].[MerchYear].&amp;[2023]"/>
              </i>
              <i n="[Calendar].[H_Merch].[Date].&amp;[2023-05-04T00:00:00]" c="4.05.2023" nd="1">
                <p n="[Calendar].[H_Merch].[MerchYearWeek].&amp;[202319]"/>
                <p n="[Calendar].[H_Merch].[MerchYearMonthName].&amp;[2023-Mayıs]"/>
                <p n="[Calendar].[H_Merch].[MerchYear].&amp;[2023]"/>
              </i>
              <i n="[Calendar].[H_Merch].[Date].&amp;[2023-05-05T00:00:00]" c="5.05.2023" nd="1">
                <p n="[Calendar].[H_Merch].[MerchYearWeek].&amp;[202319]"/>
                <p n="[Calendar].[H_Merch].[MerchYearMonthName].&amp;[2023-Mayıs]"/>
                <p n="[Calendar].[H_Merch].[MerchYear].&amp;[2023]"/>
              </i>
              <i n="[Calendar].[H_Merch].[Date].&amp;[2023-05-06T00:00:00]" c="6.05.2023" nd="1">
                <p n="[Calendar].[H_Merch].[MerchYearWeek].&amp;[202319]"/>
                <p n="[Calendar].[H_Merch].[MerchYearMonthName].&amp;[2023-Mayıs]"/>
                <p n="[Calendar].[H_Merch].[MerchYear].&amp;[2023]"/>
              </i>
              <i n="[Calendar].[H_Merch].[Date].&amp;[2023-05-07T00:00:00]" c="7.05.2023" nd="1">
                <p n="[Calendar].[H_Merch].[MerchYearWeek].&amp;[202319]"/>
                <p n="[Calendar].[H_Merch].[MerchYearMonthName].&amp;[2023-Mayıs]"/>
                <p n="[Calendar].[H_Merch].[MerchYear].&amp;[2023]"/>
              </i>
              <i n="[Calendar].[H_Merch].[Date].&amp;[2023-05-08T00:00:00]" c="8.05.2023" nd="1">
                <p n="[Calendar].[H_Merch].[MerchYearWeek].&amp;[202320]"/>
                <p n="[Calendar].[H_Merch].[MerchYearMonthName].&amp;[2023-Mayıs]"/>
                <p n="[Calendar].[H_Merch].[MerchYear].&amp;[2023]"/>
              </i>
              <i n="[Calendar].[H_Merch].[Date].&amp;[2023-05-09T00:00:00]" c="9.05.2023" nd="1">
                <p n="[Calendar].[H_Merch].[MerchYearWeek].&amp;[202320]"/>
                <p n="[Calendar].[H_Merch].[MerchYearMonthName].&amp;[2023-Mayıs]"/>
                <p n="[Calendar].[H_Merch].[MerchYear].&amp;[2023]"/>
              </i>
              <i n="[Calendar].[H_Merch].[Date].&amp;[2023-05-10T00:00:00]" c="10.05.2023" nd="1">
                <p n="[Calendar].[H_Merch].[MerchYearWeek].&amp;[202320]"/>
                <p n="[Calendar].[H_Merch].[MerchYearMonthName].&amp;[2023-Mayıs]"/>
                <p n="[Calendar].[H_Merch].[MerchYear].&amp;[2023]"/>
              </i>
              <i n="[Calendar].[H_Merch].[Date].&amp;[2023-05-11T00:00:00]" c="11.05.2023" nd="1">
                <p n="[Calendar].[H_Merch].[MerchYearWeek].&amp;[202320]"/>
                <p n="[Calendar].[H_Merch].[MerchYearMonthName].&amp;[2023-Mayıs]"/>
                <p n="[Calendar].[H_Merch].[MerchYear].&amp;[2023]"/>
              </i>
              <i n="[Calendar].[H_Merch].[Date].&amp;[2023-05-12T00:00:00]" c="12.05.2023" nd="1">
                <p n="[Calendar].[H_Merch].[MerchYearWeek].&amp;[202320]"/>
                <p n="[Calendar].[H_Merch].[MerchYearMonthName].&amp;[2023-Mayıs]"/>
                <p n="[Calendar].[H_Merch].[MerchYear].&amp;[2023]"/>
              </i>
              <i n="[Calendar].[H_Merch].[Date].&amp;[2023-05-13T00:00:00]" c="13.05.2023" nd="1">
                <p n="[Calendar].[H_Merch].[MerchYearWeek].&amp;[202320]"/>
                <p n="[Calendar].[H_Merch].[MerchYearMonthName].&amp;[2023-Mayıs]"/>
                <p n="[Calendar].[H_Merch].[MerchYear].&amp;[2023]"/>
              </i>
              <i n="[Calendar].[H_Merch].[Date].&amp;[2023-05-14T00:00:00]" c="14.05.2023" nd="1">
                <p n="[Calendar].[H_Merch].[MerchYearWeek].&amp;[202320]"/>
                <p n="[Calendar].[H_Merch].[MerchYearMonthName].&amp;[2023-Mayıs]"/>
                <p n="[Calendar].[H_Merch].[MerchYear].&amp;[2023]"/>
              </i>
              <i n="[Calendar].[H_Merch].[Date].&amp;[2023-05-15T00:00:00]" c="15.05.2023" nd="1">
                <p n="[Calendar].[H_Merch].[MerchYearWeek].&amp;[202321]"/>
                <p n="[Calendar].[H_Merch].[MerchYearMonthName].&amp;[2023-Mayıs]"/>
                <p n="[Calendar].[H_Merch].[MerchYear].&amp;[2023]"/>
              </i>
              <i n="[Calendar].[H_Merch].[Date].&amp;[2023-05-16T00:00:00]" c="16.05.2023" nd="1">
                <p n="[Calendar].[H_Merch].[MerchYearWeek].&amp;[202321]"/>
                <p n="[Calendar].[H_Merch].[MerchYearMonthName].&amp;[2023-Mayıs]"/>
                <p n="[Calendar].[H_Merch].[MerchYear].&amp;[2023]"/>
              </i>
              <i n="[Calendar].[H_Merch].[Date].&amp;[2023-05-17T00:00:00]" c="17.05.2023" nd="1">
                <p n="[Calendar].[H_Merch].[MerchYearWeek].&amp;[202321]"/>
                <p n="[Calendar].[H_Merch].[MerchYearMonthName].&amp;[2023-Mayıs]"/>
                <p n="[Calendar].[H_Merch].[MerchYear].&amp;[2023]"/>
              </i>
              <i n="[Calendar].[H_Merch].[Date].&amp;[2023-05-18T00:00:00]" c="18.05.2023" nd="1">
                <p n="[Calendar].[H_Merch].[MerchYearWeek].&amp;[202321]"/>
                <p n="[Calendar].[H_Merch].[MerchYearMonthName].&amp;[2023-Mayıs]"/>
                <p n="[Calendar].[H_Merch].[MerchYear].&amp;[2023]"/>
              </i>
              <i n="[Calendar].[H_Merch].[Date].&amp;[2023-05-19T00:00:00]" c="19.05.2023" nd="1">
                <p n="[Calendar].[H_Merch].[MerchYearWeek].&amp;[202321]"/>
                <p n="[Calendar].[H_Merch].[MerchYearMonthName].&amp;[2023-Mayıs]"/>
                <p n="[Calendar].[H_Merch].[MerchYear].&amp;[2023]"/>
              </i>
              <i n="[Calendar].[H_Merch].[Date].&amp;[2023-05-20T00:00:00]" c="20.05.2023" nd="1">
                <p n="[Calendar].[H_Merch].[MerchYearWeek].&amp;[202321]"/>
                <p n="[Calendar].[H_Merch].[MerchYearMonthName].&amp;[2023-Mayıs]"/>
                <p n="[Calendar].[H_Merch].[MerchYear].&amp;[2023]"/>
              </i>
              <i n="[Calendar].[H_Merch].[Date].&amp;[2023-05-21T00:00:00]" c="21.05.2023" nd="1">
                <p n="[Calendar].[H_Merch].[MerchYearWeek].&amp;[202321]"/>
                <p n="[Calendar].[H_Merch].[MerchYearMonthName].&amp;[2023-Mayıs]"/>
                <p n="[Calendar].[H_Merch].[MerchYear].&amp;[2023]"/>
              </i>
              <i n="[Calendar].[H_Merch].[Date].&amp;[2023-05-22T00:00:00]" c="22.05.2023" nd="1">
                <p n="[Calendar].[H_Merch].[MerchYearWeek].&amp;[202322]"/>
                <p n="[Calendar].[H_Merch].[MerchYearMonthName].&amp;[2023-Mayıs]"/>
                <p n="[Calendar].[H_Merch].[MerchYear].&amp;[2023]"/>
              </i>
              <i n="[Calendar].[H_Merch].[Date].&amp;[2023-05-23T00:00:00]" c="23.05.2023" nd="1">
                <p n="[Calendar].[H_Merch].[MerchYearWeek].&amp;[202322]"/>
                <p n="[Calendar].[H_Merch].[MerchYearMonthName].&amp;[2023-Mayıs]"/>
                <p n="[Calendar].[H_Merch].[MerchYear].&amp;[2023]"/>
              </i>
              <i n="[Calendar].[H_Merch].[Date].&amp;[2023-05-24T00:00:00]" c="24.05.2023" nd="1">
                <p n="[Calendar].[H_Merch].[MerchYearWeek].&amp;[202322]"/>
                <p n="[Calendar].[H_Merch].[MerchYearMonthName].&amp;[2023-Mayıs]"/>
                <p n="[Calendar].[H_Merch].[MerchYear].&amp;[2023]"/>
              </i>
              <i n="[Calendar].[H_Merch].[Date].&amp;[2023-05-25T00:00:00]" c="25.05.2023" nd="1">
                <p n="[Calendar].[H_Merch].[MerchYearWeek].&amp;[202322]"/>
                <p n="[Calendar].[H_Merch].[MerchYearMonthName].&amp;[2023-Mayıs]"/>
                <p n="[Calendar].[H_Merch].[MerchYear].&amp;[2023]"/>
              </i>
              <i n="[Calendar].[H_Merch].[Date].&amp;[2023-05-26T00:00:00]" c="26.05.2023" nd="1">
                <p n="[Calendar].[H_Merch].[MerchYearWeek].&amp;[202322]"/>
                <p n="[Calendar].[H_Merch].[MerchYearMonthName].&amp;[2023-Mayıs]"/>
                <p n="[Calendar].[H_Merch].[MerchYear].&amp;[2023]"/>
              </i>
              <i n="[Calendar].[H_Merch].[Date].&amp;[2023-05-27T00:00:00]" c="27.05.2023" nd="1">
                <p n="[Calendar].[H_Merch].[MerchYearWeek].&amp;[202322]"/>
                <p n="[Calendar].[H_Merch].[MerchYearMonthName].&amp;[2023-Mayıs]"/>
                <p n="[Calendar].[H_Merch].[MerchYear].&amp;[2023]"/>
              </i>
              <i n="[Calendar].[H_Merch].[Date].&amp;[2023-05-28T00:00:00]" c="28.05.2023" nd="1">
                <p n="[Calendar].[H_Merch].[MerchYearWeek].&amp;[202322]"/>
                <p n="[Calendar].[H_Merch].[MerchYearMonthName].&amp;[2023-Mayıs]"/>
                <p n="[Calendar].[H_Merch].[MerchYear].&amp;[2023]"/>
              </i>
              <i n="[Calendar].[H_Merch].[Date].&amp;[2023-05-29T00:00:00]" c="29.05.2023" nd="1">
                <p n="[Calendar].[H_Merch].[MerchYearWeek].&amp;[202323]"/>
                <p n="[Calendar].[H_Merch].[MerchYearMonthName].&amp;[2023-Haziran]"/>
                <p n="[Calendar].[H_Merch].[MerchYear].&amp;[2023]"/>
              </i>
              <i n="[Calendar].[H_Merch].[Date].&amp;[2023-05-30T00:00:00]" c="30.05.2023" nd="1">
                <p n="[Calendar].[H_Merch].[MerchYearWeek].&amp;[202323]"/>
                <p n="[Calendar].[H_Merch].[MerchYearMonthName].&amp;[2023-Haziran]"/>
                <p n="[Calendar].[H_Merch].[MerchYear].&amp;[2023]"/>
              </i>
              <i n="[Calendar].[H_Merch].[Date].&amp;[2023-05-31T00:00:00]" c="31.05.2023" nd="1">
                <p n="[Calendar].[H_Merch].[MerchYearWeek].&amp;[202323]"/>
                <p n="[Calendar].[H_Merch].[MerchYearMonthName].&amp;[2023-Haziran]"/>
                <p n="[Calendar].[H_Merch].[MerchYear].&amp;[2023]"/>
              </i>
              <i n="[Calendar].[H_Merch].[Date].&amp;[2023-06-01T00:00:00]" c="1.06.2023" nd="1">
                <p n="[Calendar].[H_Merch].[MerchYearWeek].&amp;[202323]"/>
                <p n="[Calendar].[H_Merch].[MerchYearMonthName].&amp;[2023-Haziran]"/>
                <p n="[Calendar].[H_Merch].[MerchYear].&amp;[2023]"/>
              </i>
              <i n="[Calendar].[H_Merch].[Date].&amp;[2023-06-02T00:00:00]" c="2.06.2023" nd="1">
                <p n="[Calendar].[H_Merch].[MerchYearWeek].&amp;[202323]"/>
                <p n="[Calendar].[H_Merch].[MerchYearMonthName].&amp;[2023-Haziran]"/>
                <p n="[Calendar].[H_Merch].[MerchYear].&amp;[2023]"/>
              </i>
              <i n="[Calendar].[H_Merch].[Date].&amp;[2023-06-03T00:00:00]" c="3.06.2023" nd="1">
                <p n="[Calendar].[H_Merch].[MerchYearWeek].&amp;[202323]"/>
                <p n="[Calendar].[H_Merch].[MerchYearMonthName].&amp;[2023-Haziran]"/>
                <p n="[Calendar].[H_Merch].[MerchYear].&amp;[2023]"/>
              </i>
              <i n="[Calendar].[H_Merch].[Date].&amp;[2023-06-04T00:00:00]" c="4.06.2023" nd="1">
                <p n="[Calendar].[H_Merch].[MerchYearWeek].&amp;[202323]"/>
                <p n="[Calendar].[H_Merch].[MerchYearMonthName].&amp;[2023-Haziran]"/>
                <p n="[Calendar].[H_Merch].[MerchYear].&amp;[2023]"/>
              </i>
              <i n="[Calendar].[H_Merch].[Date].&amp;[2023-06-05T00:00:00]" c="5.06.2023" nd="1">
                <p n="[Calendar].[H_Merch].[MerchYearWeek].&amp;[202324]"/>
                <p n="[Calendar].[H_Merch].[MerchYearMonthName].&amp;[2023-Haziran]"/>
                <p n="[Calendar].[H_Merch].[MerchYear].&amp;[2023]"/>
              </i>
              <i n="[Calendar].[H_Merch].[Date].&amp;[2023-06-06T00:00:00]" c="6.06.2023" nd="1">
                <p n="[Calendar].[H_Merch].[MerchYearWeek].&amp;[202324]"/>
                <p n="[Calendar].[H_Merch].[MerchYearMonthName].&amp;[2023-Haziran]"/>
                <p n="[Calendar].[H_Merch].[MerchYear].&amp;[2023]"/>
              </i>
              <i n="[Calendar].[H_Merch].[Date].&amp;[2023-06-07T00:00:00]" c="7.06.2023" nd="1">
                <p n="[Calendar].[H_Merch].[MerchYearWeek].&amp;[202324]"/>
                <p n="[Calendar].[H_Merch].[MerchYearMonthName].&amp;[2023-Haziran]"/>
                <p n="[Calendar].[H_Merch].[MerchYear].&amp;[2023]"/>
              </i>
              <i n="[Calendar].[H_Merch].[Date].&amp;[2023-06-08T00:00:00]" c="8.06.2023" nd="1">
                <p n="[Calendar].[H_Merch].[MerchYearWeek].&amp;[202324]"/>
                <p n="[Calendar].[H_Merch].[MerchYearMonthName].&amp;[2023-Haziran]"/>
                <p n="[Calendar].[H_Merch].[MerchYear].&amp;[2023]"/>
              </i>
              <i n="[Calendar].[H_Merch].[Date].&amp;[2023-06-09T00:00:00]" c="9.06.2023" nd="1">
                <p n="[Calendar].[H_Merch].[MerchYearWeek].&amp;[202324]"/>
                <p n="[Calendar].[H_Merch].[MerchYearMonthName].&amp;[2023-Haziran]"/>
                <p n="[Calendar].[H_Merch].[MerchYear].&amp;[2023]"/>
              </i>
              <i n="[Calendar].[H_Merch].[Date].&amp;[2023-06-10T00:00:00]" c="10.06.2023" nd="1">
                <p n="[Calendar].[H_Merch].[MerchYearWeek].&amp;[202324]"/>
                <p n="[Calendar].[H_Merch].[MerchYearMonthName].&amp;[2023-Haziran]"/>
                <p n="[Calendar].[H_Merch].[MerchYear].&amp;[2023]"/>
              </i>
              <i n="[Calendar].[H_Merch].[Date].&amp;[2023-06-11T00:00:00]" c="11.06.2023" nd="1">
                <p n="[Calendar].[H_Merch].[MerchYearWeek].&amp;[202324]"/>
                <p n="[Calendar].[H_Merch].[MerchYearMonthName].&amp;[2023-Haziran]"/>
                <p n="[Calendar].[H_Merch].[MerchYear].&amp;[2023]"/>
              </i>
              <i n="[Calendar].[H_Merch].[Date].&amp;[2023-06-12T00:00:00]" c="12.06.2023" nd="1">
                <p n="[Calendar].[H_Merch].[MerchYearWeek].&amp;[202325]"/>
                <p n="[Calendar].[H_Merch].[MerchYearMonthName].&amp;[2023-Haziran]"/>
                <p n="[Calendar].[H_Merch].[MerchYear].&amp;[2023]"/>
              </i>
              <i n="[Calendar].[H_Merch].[Date].&amp;[2023-06-13T00:00:00]" c="13.06.2023" nd="1">
                <p n="[Calendar].[H_Merch].[MerchYearWeek].&amp;[202325]"/>
                <p n="[Calendar].[H_Merch].[MerchYearMonthName].&amp;[2023-Haziran]"/>
                <p n="[Calendar].[H_Merch].[MerchYear].&amp;[2023]"/>
              </i>
              <i n="[Calendar].[H_Merch].[Date].&amp;[2023-06-14T00:00:00]" c="14.06.2023" nd="1">
                <p n="[Calendar].[H_Merch].[MerchYearWeek].&amp;[202325]"/>
                <p n="[Calendar].[H_Merch].[MerchYearMonthName].&amp;[2023-Haziran]"/>
                <p n="[Calendar].[H_Merch].[MerchYear].&amp;[2023]"/>
              </i>
              <i n="[Calendar].[H_Merch].[Date].&amp;[2023-06-15T00:00:00]" c="15.06.2023" nd="1">
                <p n="[Calendar].[H_Merch].[MerchYearWeek].&amp;[202325]"/>
                <p n="[Calendar].[H_Merch].[MerchYearMonthName].&amp;[2023-Haziran]"/>
                <p n="[Calendar].[H_Merch].[MerchYear].&amp;[2023]"/>
              </i>
              <i n="[Calendar].[H_Merch].[Date].&amp;[2023-06-16T00:00:00]" c="16.06.2023" nd="1">
                <p n="[Calendar].[H_Merch].[MerchYearWeek].&amp;[202325]"/>
                <p n="[Calendar].[H_Merch].[MerchYearMonthName].&amp;[2023-Haziran]"/>
                <p n="[Calendar].[H_Merch].[MerchYear].&amp;[2023]"/>
              </i>
              <i n="[Calendar].[H_Merch].[Date].&amp;[2023-06-17T00:00:00]" c="17.06.2023" nd="1">
                <p n="[Calendar].[H_Merch].[MerchYearWeek].&amp;[202325]"/>
                <p n="[Calendar].[H_Merch].[MerchYearMonthName].&amp;[2023-Haziran]"/>
                <p n="[Calendar].[H_Merch].[MerchYear].&amp;[2023]"/>
              </i>
              <i n="[Calendar].[H_Merch].[Date].&amp;[2023-06-18T00:00:00]" c="18.06.2023" nd="1">
                <p n="[Calendar].[H_Merch].[MerchYearWeek].&amp;[202325]"/>
                <p n="[Calendar].[H_Merch].[MerchYearMonthName].&amp;[2023-Haziran]"/>
                <p n="[Calendar].[H_Merch].[MerchYear].&amp;[2023]"/>
              </i>
              <i n="[Calendar].[H_Merch].[Date].&amp;[2023-06-19T00:00:00]" c="19.06.2023" nd="1">
                <p n="[Calendar].[H_Merch].[MerchYearWeek].&amp;[202326]"/>
                <p n="[Calendar].[H_Merch].[MerchYearMonthName].&amp;[2023-Haziran]"/>
                <p n="[Calendar].[H_Merch].[MerchYear].&amp;[2023]"/>
              </i>
              <i n="[Calendar].[H_Merch].[Date].&amp;[2023-06-20T00:00:00]" c="20.06.2023" nd="1">
                <p n="[Calendar].[H_Merch].[MerchYearWeek].&amp;[202326]"/>
                <p n="[Calendar].[H_Merch].[MerchYearMonthName].&amp;[2023-Haziran]"/>
                <p n="[Calendar].[H_Merch].[MerchYear].&amp;[2023]"/>
              </i>
              <i n="[Calendar].[H_Merch].[Date].&amp;[2023-06-21T00:00:00]" c="21.06.2023" nd="1">
                <p n="[Calendar].[H_Merch].[MerchYearWeek].&amp;[202326]"/>
                <p n="[Calendar].[H_Merch].[MerchYearMonthName].&amp;[2023-Haziran]"/>
                <p n="[Calendar].[H_Merch].[MerchYear].&amp;[2023]"/>
              </i>
              <i n="[Calendar].[H_Merch].[Date].&amp;[2023-06-22T00:00:00]" c="22.06.2023" nd="1">
                <p n="[Calendar].[H_Merch].[MerchYearWeek].&amp;[202326]"/>
                <p n="[Calendar].[H_Merch].[MerchYearMonthName].&amp;[2023-Haziran]"/>
                <p n="[Calendar].[H_Merch].[MerchYear].&amp;[2023]"/>
              </i>
              <i n="[Calendar].[H_Merch].[Date].&amp;[2023-06-23T00:00:00]" c="23.06.2023" nd="1">
                <p n="[Calendar].[H_Merch].[MerchYearWeek].&amp;[202326]"/>
                <p n="[Calendar].[H_Merch].[MerchYearMonthName].&amp;[2023-Haziran]"/>
                <p n="[Calendar].[H_Merch].[MerchYear].&amp;[2023]"/>
              </i>
              <i n="[Calendar].[H_Merch].[Date].&amp;[2023-06-24T00:00:00]" c="24.06.2023" nd="1">
                <p n="[Calendar].[H_Merch].[MerchYearWeek].&amp;[202326]"/>
                <p n="[Calendar].[H_Merch].[MerchYearMonthName].&amp;[2023-Haziran]"/>
                <p n="[Calendar].[H_Merch].[MerchYear].&amp;[2023]"/>
              </i>
              <i n="[Calendar].[H_Merch].[Date].&amp;[2023-06-25T00:00:00]" c="25.06.2023" nd="1">
                <p n="[Calendar].[H_Merch].[MerchYearWeek].&amp;[202326]"/>
                <p n="[Calendar].[H_Merch].[MerchYearMonthName].&amp;[2023-Haziran]"/>
                <p n="[Calendar].[H_Merch].[MerchYear].&amp;[2023]"/>
              </i>
              <i n="[Calendar].[H_Merch].[Date].&amp;[2023-06-26T00:00:00]" c="26.06.2023" nd="1">
                <p n="[Calendar].[H_Merch].[MerchYearWeek].&amp;[202327]"/>
                <p n="[Calendar].[H_Merch].[MerchYearMonthName].&amp;[2023-Temmuz]"/>
                <p n="[Calendar].[H_Merch].[MerchYear].&amp;[2023]"/>
              </i>
              <i n="[Calendar].[H_Merch].[Date].&amp;[2023-06-27T00:00:00]" c="27.06.2023" nd="1">
                <p n="[Calendar].[H_Merch].[MerchYearWeek].&amp;[202327]"/>
                <p n="[Calendar].[H_Merch].[MerchYearMonthName].&amp;[2023-Temmuz]"/>
                <p n="[Calendar].[H_Merch].[MerchYear].&amp;[2023]"/>
              </i>
              <i n="[Calendar].[H_Merch].[Date].&amp;[2023-06-28T00:00:00]" c="28.06.2023" nd="1">
                <p n="[Calendar].[H_Merch].[MerchYearWeek].&amp;[202327]"/>
                <p n="[Calendar].[H_Merch].[MerchYearMonthName].&amp;[2023-Temmuz]"/>
                <p n="[Calendar].[H_Merch].[MerchYear].&amp;[2023]"/>
              </i>
              <i n="[Calendar].[H_Merch].[Date].&amp;[2023-06-29T00:00:00]" c="29.06.2023" nd="1">
                <p n="[Calendar].[H_Merch].[MerchYearWeek].&amp;[202327]"/>
                <p n="[Calendar].[H_Merch].[MerchYearMonthName].&amp;[2023-Temmuz]"/>
                <p n="[Calendar].[H_Merch].[MerchYear].&amp;[2023]"/>
              </i>
              <i n="[Calendar].[H_Merch].[Date].&amp;[2023-06-30T00:00:00]" c="30.06.2023" nd="1">
                <p n="[Calendar].[H_Merch].[MerchYearWeek].&amp;[202327]"/>
                <p n="[Calendar].[H_Merch].[MerchYearMonthName].&amp;[2023-Temmuz]"/>
                <p n="[Calendar].[H_Merch].[MerchYear].&amp;[2023]"/>
              </i>
              <i n="[Calendar].[H_Merch].[Date].&amp;[2023-07-01T00:00:00]" c="1.07.2023" nd="1">
                <p n="[Calendar].[H_Merch].[MerchYearWeek].&amp;[202327]"/>
                <p n="[Calendar].[H_Merch].[MerchYearMonthName].&amp;[2023-Temmuz]"/>
                <p n="[Calendar].[H_Merch].[MerchYear].&amp;[2023]"/>
              </i>
              <i n="[Calendar].[H_Merch].[Date].&amp;[2023-07-02T00:00:00]" c="2.07.2023" nd="1">
                <p n="[Calendar].[H_Merch].[MerchYearWeek].&amp;[202327]"/>
                <p n="[Calendar].[H_Merch].[MerchYearMonthName].&amp;[2023-Temmuz]"/>
                <p n="[Calendar].[H_Merch].[MerchYear].&amp;[2023]"/>
              </i>
              <i n="[Calendar].[H_Merch].[Date].&amp;[2023-07-03T00:00:00]" c="3.07.2023" nd="1">
                <p n="[Calendar].[H_Merch].[MerchYearWeek].&amp;[202328]"/>
                <p n="[Calendar].[H_Merch].[MerchYearMonthName].&amp;[2023-Temmuz]"/>
                <p n="[Calendar].[H_Merch].[MerchYear].&amp;[2023]"/>
              </i>
              <i n="[Calendar].[H_Merch].[Date].&amp;[2023-07-04T00:00:00]" c="4.07.2023" nd="1">
                <p n="[Calendar].[H_Merch].[MerchYearWeek].&amp;[202328]"/>
                <p n="[Calendar].[H_Merch].[MerchYearMonthName].&amp;[2023-Temmuz]"/>
                <p n="[Calendar].[H_Merch].[MerchYear].&amp;[2023]"/>
              </i>
              <i n="[Calendar].[H_Merch].[Date].&amp;[2023-07-05T00:00:00]" c="5.07.2023" nd="1">
                <p n="[Calendar].[H_Merch].[MerchYearWeek].&amp;[202328]"/>
                <p n="[Calendar].[H_Merch].[MerchYearMonthName].&amp;[2023-Temmuz]"/>
                <p n="[Calendar].[H_Merch].[MerchYear].&amp;[2023]"/>
              </i>
              <i n="[Calendar].[H_Merch].[Date].&amp;[2023-07-06T00:00:00]" c="6.07.2023" nd="1">
                <p n="[Calendar].[H_Merch].[MerchYearWeek].&amp;[202328]"/>
                <p n="[Calendar].[H_Merch].[MerchYearMonthName].&amp;[2023-Temmuz]"/>
                <p n="[Calendar].[H_Merch].[MerchYear].&amp;[2023]"/>
              </i>
              <i n="[Calendar].[H_Merch].[Date].&amp;[2023-07-07T00:00:00]" c="7.07.2023" nd="1">
                <p n="[Calendar].[H_Merch].[MerchYearWeek].&amp;[202328]"/>
                <p n="[Calendar].[H_Merch].[MerchYearMonthName].&amp;[2023-Temmuz]"/>
                <p n="[Calendar].[H_Merch].[MerchYear].&amp;[2023]"/>
              </i>
              <i n="[Calendar].[H_Merch].[Date].&amp;[2023-07-08T00:00:00]" c="8.07.2023" nd="1">
                <p n="[Calendar].[H_Merch].[MerchYearWeek].&amp;[202328]"/>
                <p n="[Calendar].[H_Merch].[MerchYearMonthName].&amp;[2023-Temmuz]"/>
                <p n="[Calendar].[H_Merch].[MerchYear].&amp;[2023]"/>
              </i>
              <i n="[Calendar].[H_Merch].[Date].&amp;[2023-07-09T00:00:00]" c="9.07.2023" nd="1">
                <p n="[Calendar].[H_Merch].[MerchYearWeek].&amp;[202328]"/>
                <p n="[Calendar].[H_Merch].[MerchYearMonthName].&amp;[2023-Temmuz]"/>
                <p n="[Calendar].[H_Merch].[MerchYear].&amp;[2023]"/>
              </i>
              <i n="[Calendar].[H_Merch].[Date].&amp;[2023-07-10T00:00:00]" c="10.07.2023" nd="1">
                <p n="[Calendar].[H_Merch].[MerchYearWeek].&amp;[202329]"/>
                <p n="[Calendar].[H_Merch].[MerchYearMonthName].&amp;[2023-Temmuz]"/>
                <p n="[Calendar].[H_Merch].[MerchYear].&amp;[2023]"/>
              </i>
              <i n="[Calendar].[H_Merch].[Date].&amp;[2023-07-11T00:00:00]" c="11.07.2023" nd="1">
                <p n="[Calendar].[H_Merch].[MerchYearWeek].&amp;[202329]"/>
                <p n="[Calendar].[H_Merch].[MerchYearMonthName].&amp;[2023-Temmuz]"/>
                <p n="[Calendar].[H_Merch].[MerchYear].&amp;[2023]"/>
              </i>
              <i n="[Calendar].[H_Merch].[Date].&amp;[2023-07-12T00:00:00]" c="12.07.2023" nd="1">
                <p n="[Calendar].[H_Merch].[MerchYearWeek].&amp;[202329]"/>
                <p n="[Calendar].[H_Merch].[MerchYearMonthName].&amp;[2023-Temmuz]"/>
                <p n="[Calendar].[H_Merch].[MerchYear].&amp;[2023]"/>
              </i>
              <i n="[Calendar].[H_Merch].[Date].&amp;[2023-07-13T00:00:00]" c="13.07.2023" nd="1">
                <p n="[Calendar].[H_Merch].[MerchYearWeek].&amp;[202329]"/>
                <p n="[Calendar].[H_Merch].[MerchYearMonthName].&amp;[2023-Temmuz]"/>
                <p n="[Calendar].[H_Merch].[MerchYear].&amp;[2023]"/>
              </i>
              <i n="[Calendar].[H_Merch].[Date].&amp;[2023-07-14T00:00:00]" c="14.07.2023" nd="1">
                <p n="[Calendar].[H_Merch].[MerchYearWeek].&amp;[202329]"/>
                <p n="[Calendar].[H_Merch].[MerchYearMonthName].&amp;[2023-Temmuz]"/>
                <p n="[Calendar].[H_Merch].[MerchYear].&amp;[2023]"/>
              </i>
              <i n="[Calendar].[H_Merch].[Date].&amp;[2023-07-15T00:00:00]" c="15.07.2023" nd="1">
                <p n="[Calendar].[H_Merch].[MerchYearWeek].&amp;[202329]"/>
                <p n="[Calendar].[H_Merch].[MerchYearMonthName].&amp;[2023-Temmuz]"/>
                <p n="[Calendar].[H_Merch].[MerchYear].&amp;[2023]"/>
              </i>
              <i n="[Calendar].[H_Merch].[Date].&amp;[2023-07-16T00:00:00]" c="16.07.2023" nd="1">
                <p n="[Calendar].[H_Merch].[MerchYearWeek].&amp;[202329]"/>
                <p n="[Calendar].[H_Merch].[MerchYearMonthName].&amp;[2023-Temmuz]"/>
                <p n="[Calendar].[H_Merch].[MerchYear].&amp;[2023]"/>
              </i>
              <i n="[Calendar].[H_Merch].[Date].&amp;[2023-07-17T00:00:00]" c="17.07.2023" nd="1">
                <p n="[Calendar].[H_Merch].[MerchYearWeek].&amp;[202330]"/>
                <p n="[Calendar].[H_Merch].[MerchYearMonthName].&amp;[2023-Temmuz]"/>
                <p n="[Calendar].[H_Merch].[MerchYear].&amp;[2023]"/>
              </i>
              <i n="[Calendar].[H_Merch].[Date].&amp;[2023-07-18T00:00:00]" c="18.07.2023" nd="1">
                <p n="[Calendar].[H_Merch].[MerchYearWeek].&amp;[202330]"/>
                <p n="[Calendar].[H_Merch].[MerchYearMonthName].&amp;[2023-Temmuz]"/>
                <p n="[Calendar].[H_Merch].[MerchYear].&amp;[2023]"/>
              </i>
              <i n="[Calendar].[H_Merch].[Date].&amp;[2023-07-19T00:00:00]" c="19.07.2023" nd="1">
                <p n="[Calendar].[H_Merch].[MerchYearWeek].&amp;[202330]"/>
                <p n="[Calendar].[H_Merch].[MerchYearMonthName].&amp;[2023-Temmuz]"/>
                <p n="[Calendar].[H_Merch].[MerchYear].&amp;[2023]"/>
              </i>
              <i n="[Calendar].[H_Merch].[Date].&amp;[2023-07-20T00:00:00]" c="20.07.2023" nd="1">
                <p n="[Calendar].[H_Merch].[MerchYearWeek].&amp;[202330]"/>
                <p n="[Calendar].[H_Merch].[MerchYearMonthName].&amp;[2023-Temmuz]"/>
                <p n="[Calendar].[H_Merch].[MerchYear].&amp;[2023]"/>
              </i>
              <i n="[Calendar].[H_Merch].[Date].&amp;[2023-07-21T00:00:00]" c="21.07.2023" nd="1">
                <p n="[Calendar].[H_Merch].[MerchYearWeek].&amp;[202330]"/>
                <p n="[Calendar].[H_Merch].[MerchYearMonthName].&amp;[2023-Temmuz]"/>
                <p n="[Calendar].[H_Merch].[MerchYear].&amp;[2023]"/>
              </i>
              <i n="[Calendar].[H_Merch].[Date].&amp;[2023-07-22T00:00:00]" c="22.07.2023" nd="1">
                <p n="[Calendar].[H_Merch].[MerchYearWeek].&amp;[202330]"/>
                <p n="[Calendar].[H_Merch].[MerchYearMonthName].&amp;[2023-Temmuz]"/>
                <p n="[Calendar].[H_Merch].[MerchYear].&amp;[2023]"/>
              </i>
              <i n="[Calendar].[H_Merch].[Date].&amp;[2023-07-23T00:00:00]" c="23.07.2023" nd="1">
                <p n="[Calendar].[H_Merch].[MerchYearWeek].&amp;[202330]"/>
                <p n="[Calendar].[H_Merch].[MerchYearMonthName].&amp;[2023-Temmuz]"/>
                <p n="[Calendar].[H_Merch].[MerchYear].&amp;[2023]"/>
              </i>
              <i n="[Calendar].[H_Merch].[Date].&amp;[2023-07-24T00:00:00]" c="24.07.2023" nd="1">
                <p n="[Calendar].[H_Merch].[MerchYearWeek].&amp;[202331]"/>
                <p n="[Calendar].[H_Merch].[MerchYearMonthName].&amp;[2023-Temmuz]"/>
                <p n="[Calendar].[H_Merch].[MerchYear].&amp;[2023]"/>
              </i>
              <i n="[Calendar].[H_Merch].[Date].&amp;[2023-07-25T00:00:00]" c="25.07.2023" nd="1">
                <p n="[Calendar].[H_Merch].[MerchYearWeek].&amp;[202331]"/>
                <p n="[Calendar].[H_Merch].[MerchYearMonthName].&amp;[2023-Temmuz]"/>
                <p n="[Calendar].[H_Merch].[MerchYear].&amp;[2023]"/>
              </i>
              <i n="[Calendar].[H_Merch].[Date].&amp;[2023-07-26T00:00:00]" c="26.07.2023" nd="1">
                <p n="[Calendar].[H_Merch].[MerchYearWeek].&amp;[202331]"/>
                <p n="[Calendar].[H_Merch].[MerchYearMonthName].&amp;[2023-Temmuz]"/>
                <p n="[Calendar].[H_Merch].[MerchYear].&amp;[2023]"/>
              </i>
              <i n="[Calendar].[H_Merch].[Date].&amp;[2023-07-27T00:00:00]" c="27.07.2023" nd="1">
                <p n="[Calendar].[H_Merch].[MerchYearWeek].&amp;[202331]"/>
                <p n="[Calendar].[H_Merch].[MerchYearMonthName].&amp;[2023-Temmuz]"/>
                <p n="[Calendar].[H_Merch].[MerchYear].&amp;[2023]"/>
              </i>
              <i n="[Calendar].[H_Merch].[Date].&amp;[2023-07-28T00:00:00]" c="28.07.2023" nd="1">
                <p n="[Calendar].[H_Merch].[MerchYearWeek].&amp;[202331]"/>
                <p n="[Calendar].[H_Merch].[MerchYearMonthName].&amp;[2023-Temmuz]"/>
                <p n="[Calendar].[H_Merch].[MerchYear].&amp;[2023]"/>
              </i>
              <i n="[Calendar].[H_Merch].[Date].&amp;[2023-07-29T00:00:00]" c="29.07.2023" nd="1">
                <p n="[Calendar].[H_Merch].[MerchYearWeek].&amp;[202331]"/>
                <p n="[Calendar].[H_Merch].[MerchYearMonthName].&amp;[2023-Temmuz]"/>
                <p n="[Calendar].[H_Merch].[MerchYear].&amp;[2023]"/>
              </i>
              <i n="[Calendar].[H_Merch].[Date].&amp;[2023-07-30T00:00:00]" c="30.07.2023" nd="1">
                <p n="[Calendar].[H_Merch].[MerchYearWeek].&amp;[202331]"/>
                <p n="[Calendar].[H_Merch].[MerchYearMonthName].&amp;[2023-Temmuz]"/>
                <p n="[Calendar].[H_Merch].[MerchYear].&amp;[2023]"/>
              </i>
              <i n="[Calendar].[H_Merch].[Date].&amp;[2023-07-31T00:00:00]" c="31.07.2023" nd="1">
                <p n="[Calendar].[H_Merch].[MerchYearWeek].&amp;[202332]"/>
                <p n="[Calendar].[H_Merch].[MerchYearMonthName].&amp;[2023-Ağustos]"/>
                <p n="[Calendar].[H_Merch].[MerchYear].&amp;[2023]"/>
              </i>
              <i n="[Calendar].[H_Merch].[Date].&amp;[2023-08-01T00:00:00]" c="1.08.2023" nd="1">
                <p n="[Calendar].[H_Merch].[MerchYearWeek].&amp;[202332]"/>
                <p n="[Calendar].[H_Merch].[MerchYearMonthName].&amp;[2023-Ağustos]"/>
                <p n="[Calendar].[H_Merch].[MerchYear].&amp;[2023]"/>
              </i>
              <i n="[Calendar].[H_Merch].[Date].&amp;[2023-08-02T00:00:00]" c="2.08.2023" nd="1">
                <p n="[Calendar].[H_Merch].[MerchYearWeek].&amp;[202332]"/>
                <p n="[Calendar].[H_Merch].[MerchYearMonthName].&amp;[2023-Ağustos]"/>
                <p n="[Calendar].[H_Merch].[MerchYear].&amp;[2023]"/>
              </i>
              <i n="[Calendar].[H_Merch].[Date].&amp;[2023-08-03T00:00:00]" c="3.08.2023" nd="1">
                <p n="[Calendar].[H_Merch].[MerchYearWeek].&amp;[202332]"/>
                <p n="[Calendar].[H_Merch].[MerchYearMonthName].&amp;[2023-Ağustos]"/>
                <p n="[Calendar].[H_Merch].[MerchYear].&amp;[2023]"/>
              </i>
              <i n="[Calendar].[H_Merch].[Date].&amp;[2023-08-04T00:00:00]" c="4.08.2023" nd="1">
                <p n="[Calendar].[H_Merch].[MerchYearWeek].&amp;[202332]"/>
                <p n="[Calendar].[H_Merch].[MerchYearMonthName].&amp;[2023-Ağustos]"/>
                <p n="[Calendar].[H_Merch].[MerchYear].&amp;[2023]"/>
              </i>
              <i n="[Calendar].[H_Merch].[Date].&amp;[2023-08-05T00:00:00]" c="5.08.2023" nd="1">
                <p n="[Calendar].[H_Merch].[MerchYearWeek].&amp;[202332]"/>
                <p n="[Calendar].[H_Merch].[MerchYearMonthName].&amp;[2023-Ağustos]"/>
                <p n="[Calendar].[H_Merch].[MerchYear].&amp;[2023]"/>
              </i>
              <i n="[Calendar].[H_Merch].[Date].&amp;[2023-08-06T00:00:00]" c="6.08.2023" nd="1">
                <p n="[Calendar].[H_Merch].[MerchYearWeek].&amp;[202332]"/>
                <p n="[Calendar].[H_Merch].[MerchYearMonthName].&amp;[2023-Ağustos]"/>
                <p n="[Calendar].[H_Merch].[MerchYear].&amp;[2023]"/>
              </i>
              <i n="[Calendar].[H_Merch].[Date].&amp;[2023-08-07T00:00:00]" c="7.08.2023" nd="1">
                <p n="[Calendar].[H_Merch].[MerchYearWeek].&amp;[202333]"/>
                <p n="[Calendar].[H_Merch].[MerchYearMonthName].&amp;[2023-Ağustos]"/>
                <p n="[Calendar].[H_Merch].[MerchYear].&amp;[2023]"/>
              </i>
              <i n="[Calendar].[H_Merch].[Date].&amp;[2023-08-08T00:00:00]" c="8.08.2023" nd="1">
                <p n="[Calendar].[H_Merch].[MerchYearWeek].&amp;[202333]"/>
                <p n="[Calendar].[H_Merch].[MerchYearMonthName].&amp;[2023-Ağustos]"/>
                <p n="[Calendar].[H_Merch].[MerchYear].&amp;[2023]"/>
              </i>
              <i n="[Calendar].[H_Merch].[Date].&amp;[2023-08-09T00:00:00]" c="9.08.2023" nd="1">
                <p n="[Calendar].[H_Merch].[MerchYearWeek].&amp;[202333]"/>
                <p n="[Calendar].[H_Merch].[MerchYearMonthName].&amp;[2023-Ağustos]"/>
                <p n="[Calendar].[H_Merch].[MerchYear].&amp;[2023]"/>
              </i>
              <i n="[Calendar].[H_Merch].[Date].&amp;[2023-08-10T00:00:00]" c="10.08.2023" nd="1">
                <p n="[Calendar].[H_Merch].[MerchYearWeek].&amp;[202333]"/>
                <p n="[Calendar].[H_Merch].[MerchYearMonthName].&amp;[2023-Ağustos]"/>
                <p n="[Calendar].[H_Merch].[MerchYear].&amp;[2023]"/>
              </i>
              <i n="[Calendar].[H_Merch].[Date].&amp;[2023-08-11T00:00:00]" c="11.08.2023" nd="1">
                <p n="[Calendar].[H_Merch].[MerchYearWeek].&amp;[202333]"/>
                <p n="[Calendar].[H_Merch].[MerchYearMonthName].&amp;[2023-Ağustos]"/>
                <p n="[Calendar].[H_Merch].[MerchYear].&amp;[2023]"/>
              </i>
              <i n="[Calendar].[H_Merch].[Date].&amp;[2023-08-12T00:00:00]" c="12.08.2023" nd="1">
                <p n="[Calendar].[H_Merch].[MerchYearWeek].&amp;[202333]"/>
                <p n="[Calendar].[H_Merch].[MerchYearMonthName].&amp;[2023-Ağustos]"/>
                <p n="[Calendar].[H_Merch].[MerchYear].&amp;[2023]"/>
              </i>
              <i n="[Calendar].[H_Merch].[Date].&amp;[2023-08-13T00:00:00]" c="13.08.2023" nd="1">
                <p n="[Calendar].[H_Merch].[MerchYearWeek].&amp;[202333]"/>
                <p n="[Calendar].[H_Merch].[MerchYearMonthName].&amp;[2023-Ağustos]"/>
                <p n="[Calendar].[H_Merch].[MerchYear].&amp;[2023]"/>
              </i>
              <i n="[Calendar].[H_Merch].[Date].&amp;[2023-08-14T00:00:00]" c="14.08.2023" nd="1">
                <p n="[Calendar].[H_Merch].[MerchYearWeek].&amp;[202334]"/>
                <p n="[Calendar].[H_Merch].[MerchYearMonthName].&amp;[2023-Ağustos]"/>
                <p n="[Calendar].[H_Merch].[MerchYear].&amp;[2023]"/>
              </i>
              <i n="[Calendar].[H_Merch].[Date].&amp;[2023-08-15T00:00:00]" c="15.08.2023" nd="1">
                <p n="[Calendar].[H_Merch].[MerchYearWeek].&amp;[202334]"/>
                <p n="[Calendar].[H_Merch].[MerchYearMonthName].&amp;[2023-Ağustos]"/>
                <p n="[Calendar].[H_Merch].[MerchYear].&amp;[2023]"/>
              </i>
              <i n="[Calendar].[H_Merch].[Date].&amp;[2023-08-16T00:00:00]" c="16.08.2023" nd="1">
                <p n="[Calendar].[H_Merch].[MerchYearWeek].&amp;[202334]"/>
                <p n="[Calendar].[H_Merch].[MerchYearMonthName].&amp;[2023-Ağustos]"/>
                <p n="[Calendar].[H_Merch].[MerchYear].&amp;[2023]"/>
              </i>
              <i n="[Calendar].[H_Merch].[Date].&amp;[2023-08-17T00:00:00]" c="17.08.2023" nd="1">
                <p n="[Calendar].[H_Merch].[MerchYearWeek].&amp;[202334]"/>
                <p n="[Calendar].[H_Merch].[MerchYearMonthName].&amp;[2023-Ağustos]"/>
                <p n="[Calendar].[H_Merch].[MerchYear].&amp;[2023]"/>
              </i>
              <i n="[Calendar].[H_Merch].[Date].&amp;[2023-08-18T00:00:00]" c="18.08.2023" nd="1">
                <p n="[Calendar].[H_Merch].[MerchYearWeek].&amp;[202334]"/>
                <p n="[Calendar].[H_Merch].[MerchYearMonthName].&amp;[2023-Ağustos]"/>
                <p n="[Calendar].[H_Merch].[MerchYear].&amp;[2023]"/>
              </i>
              <i n="[Calendar].[H_Merch].[Date].&amp;[2023-08-19T00:00:00]" c="19.08.2023" nd="1">
                <p n="[Calendar].[H_Merch].[MerchYearWeek].&amp;[202334]"/>
                <p n="[Calendar].[H_Merch].[MerchYearMonthName].&amp;[2023-Ağustos]"/>
                <p n="[Calendar].[H_Merch].[MerchYear].&amp;[2023]"/>
              </i>
              <i n="[Calendar].[H_Merch].[Date].&amp;[2023-08-20T00:00:00]" c="20.08.2023" nd="1">
                <p n="[Calendar].[H_Merch].[MerchYearWeek].&amp;[202334]"/>
                <p n="[Calendar].[H_Merch].[MerchYearMonthName].&amp;[2023-Ağustos]"/>
                <p n="[Calendar].[H_Merch].[MerchYear].&amp;[2023]"/>
              </i>
              <i n="[Calendar].[H_Merch].[Date].&amp;[2023-08-21T00:00:00]" c="21.08.2023" nd="1">
                <p n="[Calendar].[H_Merch].[MerchYearWeek].&amp;[202335]"/>
                <p n="[Calendar].[H_Merch].[MerchYearMonthName].&amp;[2023-Ağustos]"/>
                <p n="[Calendar].[H_Merch].[MerchYear].&amp;[2023]"/>
              </i>
              <i n="[Calendar].[H_Merch].[Date].&amp;[2023-08-22T00:00:00]" c="22.08.2023" nd="1">
                <p n="[Calendar].[H_Merch].[MerchYearWeek].&amp;[202335]"/>
                <p n="[Calendar].[H_Merch].[MerchYearMonthName].&amp;[2023-Ağustos]"/>
                <p n="[Calendar].[H_Merch].[MerchYear].&amp;[2023]"/>
              </i>
              <i n="[Calendar].[H_Merch].[Date].&amp;[2023-08-23T00:00:00]" c="23.08.2023" nd="1">
                <p n="[Calendar].[H_Merch].[MerchYearWeek].&amp;[202335]"/>
                <p n="[Calendar].[H_Merch].[MerchYearMonthName].&amp;[2023-Ağustos]"/>
                <p n="[Calendar].[H_Merch].[MerchYear].&amp;[2023]"/>
              </i>
              <i n="[Calendar].[H_Merch].[Date].&amp;[2023-08-24T00:00:00]" c="24.08.2023" nd="1">
                <p n="[Calendar].[H_Merch].[MerchYearWeek].&amp;[202335]"/>
                <p n="[Calendar].[H_Merch].[MerchYearMonthName].&amp;[2023-Ağustos]"/>
                <p n="[Calendar].[H_Merch].[MerchYear].&amp;[2023]"/>
              </i>
              <i n="[Calendar].[H_Merch].[Date].&amp;[2023-08-25T00:00:00]" c="25.08.2023" nd="1">
                <p n="[Calendar].[H_Merch].[MerchYearWeek].&amp;[202335]"/>
                <p n="[Calendar].[H_Merch].[MerchYearMonthName].&amp;[2023-Ağustos]"/>
                <p n="[Calendar].[H_Merch].[MerchYear].&amp;[2023]"/>
              </i>
              <i n="[Calendar].[H_Merch].[Date].&amp;[2023-08-26T00:00:00]" c="26.08.2023" nd="1">
                <p n="[Calendar].[H_Merch].[MerchYearWeek].&amp;[202335]"/>
                <p n="[Calendar].[H_Merch].[MerchYearMonthName].&amp;[2023-Ağustos]"/>
                <p n="[Calendar].[H_Merch].[MerchYear].&amp;[2023]"/>
              </i>
              <i n="[Calendar].[H_Merch].[Date].&amp;[2023-08-27T00:00:00]" c="27.08.2023" nd="1">
                <p n="[Calendar].[H_Merch].[MerchYearWeek].&amp;[202335]"/>
                <p n="[Calendar].[H_Merch].[MerchYearMonthName].&amp;[2023-Ağustos]"/>
                <p n="[Calendar].[H_Merch].[MerchYear].&amp;[2023]"/>
              </i>
              <i n="[Calendar].[H_Merch].[Date].&amp;[2023-08-28T00:00:00]" c="28.08.2023" nd="1">
                <p n="[Calendar].[H_Merch].[MerchYearWeek].&amp;[202336]"/>
                <p n="[Calendar].[H_Merch].[MerchYearMonthName].&amp;[2023-Eylül]"/>
                <p n="[Calendar].[H_Merch].[MerchYear].&amp;[2023]"/>
              </i>
              <i n="[Calendar].[H_Merch].[Date].&amp;[2023-08-29T00:00:00]" c="29.08.2023" nd="1">
                <p n="[Calendar].[H_Merch].[MerchYearWeek].&amp;[202336]"/>
                <p n="[Calendar].[H_Merch].[MerchYearMonthName].&amp;[2023-Eylül]"/>
                <p n="[Calendar].[H_Merch].[MerchYear].&amp;[2023]"/>
              </i>
              <i n="[Calendar].[H_Merch].[Date].&amp;[2023-08-30T00:00:00]" c="30.08.2023" nd="1">
                <p n="[Calendar].[H_Merch].[MerchYearWeek].&amp;[202336]"/>
                <p n="[Calendar].[H_Merch].[MerchYearMonthName].&amp;[2023-Eylül]"/>
                <p n="[Calendar].[H_Merch].[MerchYear].&amp;[2023]"/>
              </i>
              <i n="[Calendar].[H_Merch].[Date].&amp;[2023-08-31T00:00:00]" c="31.08.2023" nd="1">
                <p n="[Calendar].[H_Merch].[MerchYearWeek].&amp;[202336]"/>
                <p n="[Calendar].[H_Merch].[MerchYearMonthName].&amp;[2023-Eylül]"/>
                <p n="[Calendar].[H_Merch].[MerchYear].&amp;[2023]"/>
              </i>
              <i n="[Calendar].[H_Merch].[Date].&amp;[2023-09-01T00:00:00]" c="1.09.2023" nd="1">
                <p n="[Calendar].[H_Merch].[MerchYearWeek].&amp;[202336]"/>
                <p n="[Calendar].[H_Merch].[MerchYearMonthName].&amp;[2023-Eylül]"/>
                <p n="[Calendar].[H_Merch].[MerchYear].&amp;[2023]"/>
              </i>
              <i n="[Calendar].[H_Merch].[Date].&amp;[2023-09-02T00:00:00]" c="2.09.2023" nd="1">
                <p n="[Calendar].[H_Merch].[MerchYearWeek].&amp;[202336]"/>
                <p n="[Calendar].[H_Merch].[MerchYearMonthName].&amp;[2023-Eylül]"/>
                <p n="[Calendar].[H_Merch].[MerchYear].&amp;[2023]"/>
              </i>
              <i n="[Calendar].[H_Merch].[Date].&amp;[2023-09-03T00:00:00]" c="3.09.2023" nd="1">
                <p n="[Calendar].[H_Merch].[MerchYearWeek].&amp;[202336]"/>
                <p n="[Calendar].[H_Merch].[MerchYearMonthName].&amp;[2023-Eylül]"/>
                <p n="[Calendar].[H_Merch].[MerchYear].&amp;[2023]"/>
              </i>
              <i n="[Calendar].[H_Merch].[Date].&amp;[2023-09-04T00:00:00]" c="4.09.2023" nd="1">
                <p n="[Calendar].[H_Merch].[MerchYearWeek].&amp;[202337]"/>
                <p n="[Calendar].[H_Merch].[MerchYearMonthName].&amp;[2023-Eylül]"/>
                <p n="[Calendar].[H_Merch].[MerchYear].&amp;[2023]"/>
              </i>
              <i n="[Calendar].[H_Merch].[Date].&amp;[2023-09-05T00:00:00]" c="5.09.2023" nd="1">
                <p n="[Calendar].[H_Merch].[MerchYearWeek].&amp;[202337]"/>
                <p n="[Calendar].[H_Merch].[MerchYearMonthName].&amp;[2023-Eylül]"/>
                <p n="[Calendar].[H_Merch].[MerchYear].&amp;[2023]"/>
              </i>
              <i n="[Calendar].[H_Merch].[Date].&amp;[2023-09-06T00:00:00]" c="6.09.2023" nd="1">
                <p n="[Calendar].[H_Merch].[MerchYearWeek].&amp;[202337]"/>
                <p n="[Calendar].[H_Merch].[MerchYearMonthName].&amp;[2023-Eylül]"/>
                <p n="[Calendar].[H_Merch].[MerchYear].&amp;[2023]"/>
              </i>
              <i n="[Calendar].[H_Merch].[Date].&amp;[2023-09-07T00:00:00]" c="7.09.2023" nd="1">
                <p n="[Calendar].[H_Merch].[MerchYearWeek].&amp;[202337]"/>
                <p n="[Calendar].[H_Merch].[MerchYearMonthName].&amp;[2023-Eylül]"/>
                <p n="[Calendar].[H_Merch].[MerchYear].&amp;[2023]"/>
              </i>
              <i n="[Calendar].[H_Merch].[Date].&amp;[2023-09-08T00:00:00]" c="8.09.2023" nd="1">
                <p n="[Calendar].[H_Merch].[MerchYearWeek].&amp;[202337]"/>
                <p n="[Calendar].[H_Merch].[MerchYearMonthName].&amp;[2023-Eylül]"/>
                <p n="[Calendar].[H_Merch].[MerchYear].&amp;[2023]"/>
              </i>
              <i n="[Calendar].[H_Merch].[Date].&amp;[2023-09-09T00:00:00]" c="9.09.2023" nd="1">
                <p n="[Calendar].[H_Merch].[MerchYearWeek].&amp;[202337]"/>
                <p n="[Calendar].[H_Merch].[MerchYearMonthName].&amp;[2023-Eylül]"/>
                <p n="[Calendar].[H_Merch].[MerchYear].&amp;[2023]"/>
              </i>
              <i n="[Calendar].[H_Merch].[Date].&amp;[2023-09-10T00:00:00]" c="10.09.2023" nd="1">
                <p n="[Calendar].[H_Merch].[MerchYearWeek].&amp;[202337]"/>
                <p n="[Calendar].[H_Merch].[MerchYearMonthName].&amp;[2023-Eylül]"/>
                <p n="[Calendar].[H_Merch].[MerchYear].&amp;[2023]"/>
              </i>
              <i n="[Calendar].[H_Merch].[Date].&amp;[2023-09-11T00:00:00]" c="11.09.2023" nd="1">
                <p n="[Calendar].[H_Merch].[MerchYearWeek].&amp;[202338]"/>
                <p n="[Calendar].[H_Merch].[MerchYearMonthName].&amp;[2023-Eylül]"/>
                <p n="[Calendar].[H_Merch].[MerchYear].&amp;[2023]"/>
              </i>
              <i n="[Calendar].[H_Merch].[Date].&amp;[2023-09-12T00:00:00]" c="12.09.2023" nd="1">
                <p n="[Calendar].[H_Merch].[MerchYearWeek].&amp;[202338]"/>
                <p n="[Calendar].[H_Merch].[MerchYearMonthName].&amp;[2023-Eylül]"/>
                <p n="[Calendar].[H_Merch].[MerchYear].&amp;[2023]"/>
              </i>
            </range>
          </ranges>
        </level>
      </levels>
      <selections count="1">
        <selection n="[Calendar].[H_Merch].[All]"/>
      </selections>
    </olap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H_MainGroup1" xr10:uid="{A959C683-A497-47AC-8E5C-C6EDC29A2288}" sourceName="[Material].[H_MainGroup]">
  <pivotTables>
    <pivotTable tabId="3" name="PivotTable1"/>
  </pivotTables>
  <data>
    <olap pivotCacheId="372199404">
      <levels count="3">
        <level uniqueName="[Material].[H_MainGroup].[(All)]" sourceCaption="(All)" count="0"/>
        <level uniqueName="[Material].[H_MainGroup].[MainGroupDesc]" sourceCaption="MainGroupDesc" count="39">
          <ranges>
            <range startItem="0">
              <i n="[Material].[H_MainGroup].[MainGroupDesc].&amp;[Aksesuar]" c="Aksesuar"/>
              <i n="[Material].[H_MainGroup].[MainGroupDesc].&amp;[Banyo]" c="Banyo"/>
              <i n="[Material].[H_MainGroup].[MainGroupDesc].&amp;[Battaniye]" c="Battaniye"/>
              <i n="[Material].[H_MainGroup].[MainGroupDesc].&amp;[Çarşaf]" c="Çarşaf"/>
              <i n="[Material].[H_MainGroup].[MainGroupDesc].&amp;[Dünya Markaları]" c="Dünya Markaları"/>
              <i n="[Material].[H_MainGroup].[MainGroupDesc].&amp;[Halı - Kilim]" c="Halı - Kilim"/>
              <i n="[Material].[H_MainGroup].[MainGroupDesc].&amp;[Havlu]" c="Havlu"/>
              <i n="[Material].[H_MainGroup].[MainGroupDesc].&amp;[KEA]" c="KEA"/>
              <i n="[Material].[H_MainGroup].[MainGroupDesc].&amp;[Kozmetik]" c="Kozmetik"/>
              <i n="[Material].[H_MainGroup].[MainGroupDesc].&amp;[Mutfak]" c="Mutfak"/>
              <i n="[Material].[H_MainGroup].[MainGroupDesc].&amp;[Nevresim]" c="Nevresim"/>
              <i n="[Material].[H_MainGroup].[MainGroupDesc].&amp;[Pike]" c="Pike"/>
              <i n="[Material].[H_MainGroup].[MainGroupDesc].&amp;[Pişirme]" c="Pişirme"/>
              <i n="[Material].[H_MainGroup].[MainGroupDesc].&amp;[Salon]" c="Salon"/>
              <i n="[Material].[H_MainGroup].[MainGroupDesc].&amp;[Sofra İçecek]" c="Sofra İçecek"/>
              <i n="[Material].[H_MainGroup].[MainGroupDesc].&amp;[Sofra Sunum]" c="Sofra Sunum"/>
              <i n="[Material].[H_MainGroup].[MainGroupDesc].&amp;[Sofra Takımları]" c="Sofra Takımları"/>
              <i n="[Material].[H_MainGroup].[MainGroupDesc].&amp;[Yastık]" c="Yastık"/>
              <i n="[Material].[H_MainGroup].[MainGroupDesc].&amp;[Yatak Örtüsü]" c="Yatak Örtüsü"/>
              <i n="[Material].[H_MainGroup].[MainGroupDesc].&amp;[YEDEK PARÇA]" c="YEDEK PARÇA"/>
              <i n="[Material].[H_MainGroup].[MainGroupDesc].&amp;[Yorgan]" c="Yorgan"/>
              <i n="[Material].[H_MainGroup].[MainGroupDesc].&amp;[#NA]" c="#NA" nd="1"/>
              <i n="[Material].[H_MainGroup].[MainGroupDesc].&amp;[Bilgi Sistemleri]" c="Bilgi Sistemleri" nd="1"/>
              <i n="[Material].[H_MainGroup].[MainGroupDesc].&amp;[Cafe]" c="Cafe" nd="1"/>
              <i n="[Material].[H_MainGroup].[MainGroupDesc].&amp;[EBA]" c="EBA" nd="1"/>
              <i n="[Material].[H_MainGroup].[MainGroupDesc].&amp;[Entegrasyon]" c="Entegrasyon" nd="1"/>
              <i n="[Material].[H_MainGroup].[MainGroupDesc].&amp;[Ev Giysisi]" c="Ev Giysisi" nd="1"/>
              <i n="[Material].[H_MainGroup].[MainGroupDesc].&amp;[İnsan Kaynakları]" c="İnsan Kaynakları" nd="1"/>
              <i n="[Material].[H_MainGroup].[MainGroupDesc].&amp;[Küçük Elektrikli Ev Aletleri]" c="Küçük Elektrikli Ev Aletleri" nd="1"/>
              <i n="[Material].[H_MainGroup].[MainGroupDesc].&amp;[Mağaza Yatırım ve Proje]" c="Mağaza Yatırım ve Proje" nd="1"/>
              <i n="[Material].[H_MainGroup].[MainGroupDesc].&amp;[Mobilya]" c="Mobilya" nd="1"/>
              <i n="[Material].[H_MainGroup].[MainGroupDesc].&amp;[Mobilya Satış]" c="Mobilya Satış" nd="1"/>
              <i n="[Material].[H_MainGroup].[MainGroupDesc].&amp;[Pazarlama]" c="Pazarlama" nd="1"/>
              <i n="[Material].[H_MainGroup].[MainGroupDesc].&amp;[Planlama]" c="Planlama" nd="1"/>
              <i n="[Material].[H_MainGroup].[MainGroupDesc].&amp;[Sofra]" c="Sofra" nd="1"/>
              <i n="[Material].[H_MainGroup].[MainGroupDesc].&amp;[White Collection]" c="White Collection" nd="1"/>
              <i n="[Material].[H_MainGroup].[MainGroupDesc].&amp;[Yarı Mamul]" c="Yarı Mamul" nd="1"/>
              <i n="[Material].[H_MainGroup].[MainGroupDesc].&amp;[Yatak]" c="Yatak" nd="1"/>
              <i n="[Material].[H_MainGroup].[MainGroupDesc].&amp;" c="" nd="1"/>
            </range>
          </ranges>
        </level>
        <level uniqueName="[Material].[H_MainGroup].[SubGroupDesc]" sourceCaption="SubGroupDesc" count="1240">
          <ranges>
            <range startItem="0">
              <i n="[Material].[H_MainGroup].[MainGroupDesc].&amp;[Aksesuar].&amp;[Abajur]" c="Abajur">
                <p n="[Material].[H_MainGroup].[MainGroupDesc].&amp;[Aksesuar]"/>
              </i>
              <i n="[Material].[H_MainGroup].[MainGroupDesc].&amp;[Aksesuar].&amp;[Alışveriş Çantası]" c="Alışveriş Çantası">
                <p n="[Material].[H_MainGroup].[MainGroupDesc].&amp;[Aksesuar]"/>
              </i>
              <i n="[Material].[H_MainGroup].[MainGroupDesc].&amp;[Aksesuar].&amp;[Askı]" c="Askı">
                <p n="[Material].[H_MainGroup].[MainGroupDesc].&amp;[Aksesuar]"/>
              </i>
              <i n="[Material].[H_MainGroup].[MainGroupDesc].&amp;[Aksesuar].&amp;[Askılı Aksesuar]" c="Askılı Aksesuar">
                <p n="[Material].[H_MainGroup].[MainGroupDesc].&amp;[Aksesuar]"/>
              </i>
              <i n="[Material].[H_MainGroup].[MainGroupDesc].&amp;[Aksesuar].&amp;[Ayakkabı Rampası]" c="Ayakkabı Rampası">
                <p n="[Material].[H_MainGroup].[MainGroupDesc].&amp;[Aksesuar]"/>
              </i>
              <i n="[Material].[H_MainGroup].[MainGroupDesc].&amp;[Aksesuar].&amp;[Ayakkabı Saklama Kts]" c="Ayakkabı Saklama Kts">
                <p n="[Material].[H_MainGroup].[MainGroupDesc].&amp;[Aksesuar]"/>
              </i>
              <i n="[Material].[H_MainGroup].[MainGroupDesc].&amp;[Aksesuar].&amp;[Ayna]" c="Ayna">
                <p n="[Material].[H_MainGroup].[MainGroupDesc].&amp;[Aksesuar]"/>
              </i>
              <i n="[Material].[H_MainGroup].[MainGroupDesc].&amp;[Aksesuar].&amp;[Banyo Seti]" c="Banyo Seti">
                <p n="[Material].[H_MainGroup].[MainGroupDesc].&amp;[Aksesuar]"/>
              </i>
              <i n="[Material].[H_MainGroup].[MainGroupDesc].&amp;[Aksesuar].&amp;[Banyo Sıvı Sabunluk]" c="Banyo Sıvı Sabunluk">
                <p n="[Material].[H_MainGroup].[MainGroupDesc].&amp;[Aksesuar]"/>
              </i>
              <i n="[Material].[H_MainGroup].[MainGroupDesc].&amp;[Aksesuar].&amp;[Bardak Tutacağı]" c="Bardak Tutacağı">
                <p n="[Material].[H_MainGroup].[MainGroupDesc].&amp;[Aksesuar]"/>
              </i>
              <i n="[Material].[H_MainGroup].[MainGroupDesc].&amp;[Aksesuar].&amp;[Bebe Hurç]" c="Bebe Hurç">
                <p n="[Material].[H_MainGroup].[MainGroupDesc].&amp;[Aksesuar]"/>
              </i>
              <i n="[Material].[H_MainGroup].[MainGroupDesc].&amp;[Aksesuar].&amp;[Bebe Mama Önlüğü]" c="Bebe Mama Önlüğü">
                <p n="[Material].[H_MainGroup].[MainGroupDesc].&amp;[Aksesuar]"/>
              </i>
              <i n="[Material].[H_MainGroup].[MainGroupDesc].&amp;[Aksesuar].&amp;[Bebek Sepeti]" c="Bebek Sepeti">
                <p n="[Material].[H_MainGroup].[MainGroupDesc].&amp;[Aksesuar]"/>
              </i>
              <i n="[Material].[H_MainGroup].[MainGroupDesc].&amp;[Aksesuar].&amp;[Bereket Fili]" c="Bereket Fili">
                <p n="[Material].[H_MainGroup].[MainGroupDesc].&amp;[Aksesuar]"/>
              </i>
              <i n="[Material].[H_MainGroup].[MainGroupDesc].&amp;[Aksesuar].&amp;[Bereket Kuşu]" c="Bereket Kuşu">
                <p n="[Material].[H_MainGroup].[MainGroupDesc].&amp;[Aksesuar]"/>
              </i>
              <i n="[Material].[H_MainGroup].[MainGroupDesc].&amp;[Aksesuar].&amp;[Biblo]" c="Biblo">
                <p n="[Material].[H_MainGroup].[MainGroupDesc].&amp;[Aksesuar]"/>
              </i>
              <i n="[Material].[H_MainGroup].[MainGroupDesc].&amp;[Aksesuar].&amp;[Bileklik]" c="Bileklik">
                <p n="[Material].[H_MainGroup].[MainGroupDesc].&amp;[Aksesuar]"/>
              </i>
              <i n="[Material].[H_MainGroup].[MainGroupDesc].&amp;[Aksesuar].&amp;[Büyüteç]" c="Büyüteç">
                <p n="[Material].[H_MainGroup].[MainGroupDesc].&amp;[Aksesuar]"/>
              </i>
              <i n="[Material].[H_MainGroup].[MainGroupDesc].&amp;[Aksesuar].&amp;[Cam Sileceği]" c="Cam Sileceği">
                <p n="[Material].[H_MainGroup].[MainGroupDesc].&amp;[Aksesuar]"/>
              </i>
              <i n="[Material].[H_MainGroup].[MainGroupDesc].&amp;[Aksesuar].&amp;[Çamaşır Sepeti]" c="Çamaşır Sepeti">
                <p n="[Material].[H_MainGroup].[MainGroupDesc].&amp;[Aksesuar]"/>
              </i>
              <i n="[Material].[H_MainGroup].[MainGroupDesc].&amp;[Aksesuar].&amp;[Canlı Çiçek]" c="Canlı Çiçek">
                <p n="[Material].[H_MainGroup].[MainGroupDesc].&amp;[Aksesuar]"/>
              </i>
              <i n="[Material].[H_MainGroup].[MainGroupDesc].&amp;[Aksesuar].&amp;[Çerçeve]" c="Çerçeve">
                <p n="[Material].[H_MainGroup].[MainGroupDesc].&amp;[Aksesuar]"/>
              </i>
              <i n="[Material].[H_MainGroup].[MainGroupDesc].&amp;[Aksesuar].&amp;[Çocuk Duvar Kağıdı]" c="Çocuk Duvar Kağıdı">
                <p n="[Material].[H_MainGroup].[MainGroupDesc].&amp;[Aksesuar]"/>
              </i>
              <i n="[Material].[H_MainGroup].[MainGroupDesc].&amp;[Aksesuar].&amp;[Çocuk Duvar Saati]" c="Çocuk Duvar Saati">
                <p n="[Material].[H_MainGroup].[MainGroupDesc].&amp;[Aksesuar]"/>
              </i>
              <i n="[Material].[H_MainGroup].[MainGroupDesc].&amp;[Aksesuar].&amp;[Çocuk Maske]" c="Çocuk Maske">
                <p n="[Material].[H_MainGroup].[MainGroupDesc].&amp;[Aksesuar]"/>
              </i>
              <i n="[Material].[H_MainGroup].[MainGroupDesc].&amp;[Aksesuar].&amp;[Cüzdan]" c="Cüzdan">
                <p n="[Material].[H_MainGroup].[MainGroupDesc].&amp;[Aksesuar]"/>
              </i>
              <i n="[Material].[H_MainGroup].[MainGroupDesc].&amp;[Aksesuar].&amp;[Dekoratif]" c="Dekoratif">
                <p n="[Material].[H_MainGroup].[MainGroupDesc].&amp;[Aksesuar]"/>
              </i>
              <i n="[Material].[H_MainGroup].[MainGroupDesc].&amp;[Aksesuar].&amp;[Dekoratif Aydınlatma]" c="Dekoratif Aydınlatma">
                <p n="[Material].[H_MainGroup].[MainGroupDesc].&amp;[Aksesuar]"/>
              </i>
              <i n="[Material].[H_MainGroup].[MainGroupDesc].&amp;[Aksesuar].&amp;[Dekoratif Kutu]" c="Dekoratif Kutu">
                <p n="[Material].[H_MainGroup].[MainGroupDesc].&amp;[Aksesuar]"/>
              </i>
              <i n="[Material].[H_MainGroup].[MainGroupDesc].&amp;[Aksesuar].&amp;[Dekoratif Obje]" c="Dekoratif Obje">
                <p n="[Material].[H_MainGroup].[MainGroupDesc].&amp;[Aksesuar]"/>
              </i>
              <i n="[Material].[H_MainGroup].[MainGroupDesc].&amp;[Aksesuar].&amp;[Dekoratif Peçetelik]" c="Dekoratif Peçetelik">
                <p n="[Material].[H_MainGroup].[MainGroupDesc].&amp;[Aksesuar]"/>
              </i>
              <i n="[Material].[H_MainGroup].[MainGroupDesc].&amp;[Aksesuar].&amp;[Dekoratif Raf]" c="Dekoratif Raf">
                <p n="[Material].[H_MainGroup].[MainGroupDesc].&amp;[Aksesuar]"/>
              </i>
              <i n="[Material].[H_MainGroup].[MainGroupDesc].&amp;[Aksesuar].&amp;[Dekoratif Tepsi]" c="Dekoratif Tepsi">
                <p n="[Material].[H_MainGroup].[MainGroupDesc].&amp;[Aksesuar]"/>
              </i>
              <i n="[Material].[H_MainGroup].[MainGroupDesc].&amp;[Aksesuar].&amp;[Diş Fırçalık]" c="Diş Fırçalık">
                <p n="[Material].[H_MainGroup].[MainGroupDesc].&amp;[Aksesuar]"/>
              </i>
              <i n="[Material].[H_MainGroup].[MainGroupDesc].&amp;[Aksesuar].&amp;[Duş Kaydırmaz]" c="Duş Kaydırmaz">
                <p n="[Material].[H_MainGroup].[MainGroupDesc].&amp;[Aksesuar]"/>
              </i>
              <i n="[Material].[H_MainGroup].[MainGroupDesc].&amp;[Aksesuar].&amp;[Duvar Aksesuarı]" c="Duvar Aksesuarı">
                <p n="[Material].[H_MainGroup].[MainGroupDesc].&amp;[Aksesuar]"/>
              </i>
              <i n="[Material].[H_MainGroup].[MainGroupDesc].&amp;[Aksesuar].&amp;[Duvar Saati]" c="Duvar Saati">
                <p n="[Material].[H_MainGroup].[MainGroupDesc].&amp;[Aksesuar]"/>
              </i>
              <i n="[Material].[H_MainGroup].[MainGroupDesc].&amp;[Aksesuar].&amp;[Duvar Süsü]" c="Duvar Süsü">
                <p n="[Material].[H_MainGroup].[MainGroupDesc].&amp;[Aksesuar]"/>
              </i>
              <i n="[Material].[H_MainGroup].[MainGroupDesc].&amp;[Aksesuar].&amp;[El Aynası]" c="El Aynası">
                <p n="[Material].[H_MainGroup].[MainGroupDesc].&amp;[Aksesuar]"/>
              </i>
              <i n="[Material].[H_MainGroup].[MainGroupDesc].&amp;[Aksesuar].&amp;[Elbise Askısı]" c="Elbise Askısı">
                <p n="[Material].[H_MainGroup].[MainGroupDesc].&amp;[Aksesuar]"/>
              </i>
              <i n="[Material].[H_MainGroup].[MainGroupDesc].&amp;[Aksesuar].&amp;[Elbise Kılıfı]" c="Elbise Kılıfı">
                <p n="[Material].[H_MainGroup].[MainGroupDesc].&amp;[Aksesuar]"/>
              </i>
              <i n="[Material].[H_MainGroup].[MainGroupDesc].&amp;[Aksesuar].&amp;[Etamin]" c="Etamin">
                <p n="[Material].[H_MainGroup].[MainGroupDesc].&amp;[Aksesuar]"/>
              </i>
              <i n="[Material].[H_MainGroup].[MainGroupDesc].&amp;[Aksesuar].&amp;[Fener]" c="Fener">
                <p n="[Material].[H_MainGroup].[MainGroupDesc].&amp;[Aksesuar]"/>
              </i>
              <i n="[Material].[H_MainGroup].[MainGroupDesc].&amp;[Aksesuar].&amp;[Fırçalı Faraş]" c="Fırçalı Faraş">
                <p n="[Material].[H_MainGroup].[MainGroupDesc].&amp;[Aksesuar]"/>
              </i>
              <i n="[Material].[H_MainGroup].[MainGroupDesc].&amp;[Aksesuar].&amp;[Hamak]" c="Hamak">
                <p n="[Material].[H_MainGroup].[MainGroupDesc].&amp;[Aksesuar]"/>
              </i>
              <i n="[Material].[H_MainGroup].[MainGroupDesc].&amp;[Aksesuar].&amp;[Hesap Makinesi]" c="Hesap Makinesi">
                <p n="[Material].[H_MainGroup].[MainGroupDesc].&amp;[Aksesuar]"/>
              </i>
              <i n="[Material].[H_MainGroup].[MainGroupDesc].&amp;[Aksesuar].&amp;[Hobi Kumaşı]" c="Hobi Kumaşı">
                <p n="[Material].[H_MainGroup].[MainGroupDesc].&amp;[Aksesuar]"/>
              </i>
              <i n="[Material].[H_MainGroup].[MainGroupDesc].&amp;[Aksesuar].&amp;[Hurç]" c="Hurç">
                <p n="[Material].[H_MainGroup].[MainGroupDesc].&amp;[Aksesuar]"/>
              </i>
              <i n="[Material].[H_MainGroup].[MainGroupDesc].&amp;[Aksesuar].&amp;[Kalemlik]" c="Kalemlik">
                <p n="[Material].[H_MainGroup].[MainGroupDesc].&amp;[Aksesuar]"/>
              </i>
              <i n="[Material].[H_MainGroup].[MainGroupDesc].&amp;[Aksesuar].&amp;[Kandil]" c="Kandil">
                <p n="[Material].[H_MainGroup].[MainGroupDesc].&amp;[Aksesuar]"/>
              </i>
              <i n="[Material].[H_MainGroup].[MainGroupDesc].&amp;[Aksesuar].&amp;[Kandil Fitili]" c="Kandil Fitili">
                <p n="[Material].[H_MainGroup].[MainGroupDesc].&amp;[Aksesuar]"/>
              </i>
              <i n="[Material].[H_MainGroup].[MainGroupDesc].&amp;[Aksesuar].&amp;[Kandil Yağı]" c="Kandil Yağı">
                <p n="[Material].[H_MainGroup].[MainGroupDesc].&amp;[Aksesuar]"/>
              </i>
              <i n="[Material].[H_MainGroup].[MainGroupDesc].&amp;[Aksesuar].&amp;[Kapı Numarası]" c="Kapı Numarası">
                <p n="[Material].[H_MainGroup].[MainGroupDesc].&amp;[Aksesuar]"/>
              </i>
              <i n="[Material].[H_MainGroup].[MainGroupDesc].&amp;[Aksesuar].&amp;[Kapı Önü Ağırlığı]" c="Kapı Önü Ağırlığı">
                <p n="[Material].[H_MainGroup].[MainGroupDesc].&amp;[Aksesuar]"/>
              </i>
              <i n="[Material].[H_MainGroup].[MainGroupDesc].&amp;[Aksesuar].&amp;[Kapı Süsü]" c="Kapı Süsü">
                <p n="[Material].[H_MainGroup].[MainGroupDesc].&amp;[Aksesuar]"/>
              </i>
              <i n="[Material].[H_MainGroup].[MainGroupDesc].&amp;[Aksesuar].&amp;[Kar Küresi]" c="Kar Küresi">
                <p n="[Material].[H_MainGroup].[MainGroupDesc].&amp;[Aksesuar]"/>
              </i>
              <i n="[Material].[H_MainGroup].[MainGroupDesc].&amp;[Aksesuar].&amp;[Katlanır Tabure]" c="Katlanır Tabure">
                <p n="[Material].[H_MainGroup].[MainGroupDesc].&amp;[Aksesuar]"/>
              </i>
              <i n="[Material].[H_MainGroup].[MainGroupDesc].&amp;[Aksesuar].&amp;[Keyif Tepsisi]" c="Keyif Tepsisi">
                <p n="[Material].[H_MainGroup].[MainGroupDesc].&amp;[Aksesuar]"/>
              </i>
              <i n="[Material].[H_MainGroup].[MainGroupDesc].&amp;[Aksesuar].&amp;[Kitap Ayracı]" c="Kitap Ayracı">
                <p n="[Material].[H_MainGroup].[MainGroupDesc].&amp;[Aksesuar]"/>
              </i>
              <i n="[Material].[H_MainGroup].[MainGroupDesc].&amp;[Aksesuar].&amp;[Kitap Tutucu]" c="Kitap Tutucu">
                <p n="[Material].[H_MainGroup].[MainGroupDesc].&amp;[Aksesuar]"/>
              </i>
              <i n="[Material].[H_MainGroup].[MainGroupDesc].&amp;[Aksesuar].&amp;[Küllük]" c="Küllük">
                <p n="[Material].[H_MainGroup].[MainGroupDesc].&amp;[Aksesuar]"/>
              </i>
              <i n="[Material].[H_MainGroup].[MainGroupDesc].&amp;[Aksesuar].&amp;[Kum Saati]" c="Kum Saati">
                <p n="[Material].[H_MainGroup].[MainGroupDesc].&amp;[Aksesuar]"/>
              </i>
              <i n="[Material].[H_MainGroup].[MainGroupDesc].&amp;[Aksesuar].&amp;[Kumbara]" c="Kumbara">
                <p n="[Material].[H_MainGroup].[MainGroupDesc].&amp;[Aksesuar]"/>
              </i>
              <i n="[Material].[H_MainGroup].[MainGroupDesc].&amp;[Aksesuar].&amp;[Kurdele]" c="Kurdele">
                <p n="[Material].[H_MainGroup].[MainGroupDesc].&amp;[Aksesuar]"/>
              </i>
              <i n="[Material].[H_MainGroup].[MainGroupDesc].&amp;[Aksesuar].&amp;[Lambader]" c="Lambader">
                <p n="[Material].[H_MainGroup].[MainGroupDesc].&amp;[Aksesuar]"/>
              </i>
              <i n="[Material].[H_MainGroup].[MainGroupDesc].&amp;[Aksesuar].&amp;[Magnet]" c="Magnet">
                <p n="[Material].[H_MainGroup].[MainGroupDesc].&amp;[Aksesuar]"/>
              </i>
              <i n="[Material].[H_MainGroup].[MainGroupDesc].&amp;[Aksesuar].&amp;[Masa Saati]" c="Masa Saati">
                <p n="[Material].[H_MainGroup].[MainGroupDesc].&amp;[Aksesuar]"/>
              </i>
              <i n="[Material].[H_MainGroup].[MainGroupDesc].&amp;[Aksesuar].&amp;[Maske]" c="Maske">
                <p n="[Material].[H_MainGroup].[MainGroupDesc].&amp;[Aksesuar]"/>
              </i>
              <i n="[Material].[H_MainGroup].[MainGroupDesc].&amp;[Aksesuar].&amp;[Maske Kutusu]" c="Maske Kutusu">
                <p n="[Material].[H_MainGroup].[MainGroupDesc].&amp;[Aksesuar]"/>
              </i>
              <i n="[Material].[H_MainGroup].[MainGroupDesc].&amp;[Aksesuar].&amp;[Mop]" c="Mop">
                <p n="[Material].[H_MainGroup].[MainGroupDesc].&amp;[Aksesuar]"/>
              </i>
              <i n="[Material].[H_MainGroup].[MainGroupDesc].&amp;[Aksesuar].&amp;[Mum]" c="Mum">
                <p n="[Material].[H_MainGroup].[MainGroupDesc].&amp;[Aksesuar]"/>
              </i>
              <i n="[Material].[H_MainGroup].[MainGroupDesc].&amp;[Aksesuar].&amp;[Mum Bakım Seti]" c="Mum Bakım Seti">
                <p n="[Material].[H_MainGroup].[MainGroupDesc].&amp;[Aksesuar]"/>
              </i>
              <i n="[Material].[H_MainGroup].[MainGroupDesc].&amp;[Aksesuar].&amp;[Mum Söndürme Aleti]" c="Mum Söndürme Aleti">
                <p n="[Material].[H_MainGroup].[MainGroupDesc].&amp;[Aksesuar]"/>
              </i>
              <i n="[Material].[H_MainGroup].[MainGroupDesc].&amp;[Aksesuar].&amp;[Müzik Kutusu]" c="Müzik Kutusu">
                <p n="[Material].[H_MainGroup].[MainGroupDesc].&amp;[Aksesuar]"/>
              </i>
              <i n="[Material].[H_MainGroup].[MainGroupDesc].&amp;[Aksesuar].&amp;[Not Defteri]" c="Not Defteri">
                <p n="[Material].[H_MainGroup].[MainGroupDesc].&amp;[Aksesuar]"/>
              </i>
              <i n="[Material].[H_MainGroup].[MainGroupDesc].&amp;[Aksesuar].&amp;[Not Panosu]" c="Not Panosu">
                <p n="[Material].[H_MainGroup].[MainGroupDesc].&amp;[Aksesuar]"/>
              </i>
              <i n="[Material].[H_MainGroup].[MainGroupDesc].&amp;[Aksesuar].&amp;[Organizer]" c="Organizer">
                <p n="[Material].[H_MainGroup].[MainGroupDesc].&amp;[Aksesuar]"/>
              </i>
              <i n="[Material].[H_MainGroup].[MainGroupDesc].&amp;[Aksesuar].&amp;[Oyuncak Sepeti]" c="Oyuncak Sepeti">
                <p n="[Material].[H_MainGroup].[MainGroupDesc].&amp;[Aksesuar]"/>
              </i>
              <i n="[Material].[H_MainGroup].[MainGroupDesc].&amp;[Aksesuar].&amp;[Pamukluk]" c="Pamukluk">
                <p n="[Material].[H_MainGroup].[MainGroupDesc].&amp;[Aksesuar]"/>
              </i>
              <i n="[Material].[H_MainGroup].[MainGroupDesc].&amp;[Aksesuar].&amp;[Sabunluk]" c="Sabunluk">
                <p n="[Material].[H_MainGroup].[MainGroupDesc].&amp;[Aksesuar]"/>
              </i>
              <i n="[Material].[H_MainGroup].[MainGroupDesc].&amp;[Aksesuar].&amp;[Saç Bandı]" c="Saç Bandı">
                <p n="[Material].[H_MainGroup].[MainGroupDesc].&amp;[Aksesuar]"/>
              </i>
              <i n="[Material].[H_MainGroup].[MainGroupDesc].&amp;[Aksesuar].&amp;[Saç Tokası]" c="Saç Tokası">
                <p n="[Material].[H_MainGroup].[MainGroupDesc].&amp;[Aksesuar]"/>
              </i>
              <i n="[Material].[H_MainGroup].[MainGroupDesc].&amp;[Aksesuar].&amp;[Saklama Kutusu]" c="Saklama Kutusu">
                <p n="[Material].[H_MainGroup].[MainGroupDesc].&amp;[Aksesuar]"/>
              </i>
              <i n="[Material].[H_MainGroup].[MainGroupDesc].&amp;[Aksesuar].&amp;[Saksı]" c="Saksı">
                <p n="[Material].[H_MainGroup].[MainGroupDesc].&amp;[Aksesuar]"/>
              </i>
              <i n="[Material].[H_MainGroup].[MainGroupDesc].&amp;[Aksesuar].&amp;[Salıncak]" c="Salıncak">
                <p n="[Material].[H_MainGroup].[MainGroupDesc].&amp;[Aksesuar]"/>
              </i>
              <i n="[Material].[H_MainGroup].[MainGroupDesc].&amp;[Aksesuar].&amp;[Şamdan]" c="Şamdan">
                <p n="[Material].[H_MainGroup].[MainGroupDesc].&amp;[Aksesuar]"/>
              </i>
              <i n="[Material].[H_MainGroup].[MainGroupDesc].&amp;[Aksesuar].&amp;[Sandalye]" c="Sandalye">
                <p n="[Material].[H_MainGroup].[MainGroupDesc].&amp;[Aksesuar]"/>
              </i>
              <i n="[Material].[H_MainGroup].[MainGroupDesc].&amp;[Aksesuar].&amp;[Sehpa.]" c="Sehpa.">
                <p n="[Material].[H_MainGroup].[MainGroupDesc].&amp;[Aksesuar]"/>
              </i>
              <i n="[Material].[H_MainGroup].[MainGroupDesc].&amp;[Aksesuar].&amp;[Şemsiye]" c="Şemsiye">
                <p n="[Material].[H_MainGroup].[MainGroupDesc].&amp;[Aksesuar]"/>
              </i>
              <i n="[Material].[H_MainGroup].[MainGroupDesc].&amp;[Aksesuar].&amp;[Şemsiyelik]" c="Şemsiyelik">
                <p n="[Material].[H_MainGroup].[MainGroupDesc].&amp;[Aksesuar]"/>
              </i>
              <i n="[Material].[H_MainGroup].[MainGroupDesc].&amp;[Aksesuar].&amp;[Sepet]" c="Sepet">
                <p n="[Material].[H_MainGroup].[MainGroupDesc].&amp;[Aksesuar]"/>
              </i>
              <i n="[Material].[H_MainGroup].[MainGroupDesc].&amp;[Aksesuar].&amp;[Şezlong]" c="Şezlong">
                <p n="[Material].[H_MainGroup].[MainGroupDesc].&amp;[Aksesuar]"/>
              </i>
              <i n="[Material].[H_MainGroup].[MainGroupDesc].&amp;[Aksesuar].&amp;[Showroom Hibe]" c="Showroom Hibe">
                <p n="[Material].[H_MainGroup].[MainGroupDesc].&amp;[Aksesuar]"/>
              </i>
              <i n="[Material].[H_MainGroup].[MainGroupDesc].&amp;[Aksesuar].&amp;[Sıcak Su Torbası]" c="Sıcak Su Torbası">
                <p n="[Material].[H_MainGroup].[MainGroupDesc].&amp;[Aksesuar]"/>
              </i>
              <i n="[Material].[H_MainGroup].[MainGroupDesc].&amp;[Aksesuar].&amp;[Süpürgelik]" c="Süpürgelik">
                <p n="[Material].[H_MainGroup].[MainGroupDesc].&amp;[Aksesuar]"/>
              </i>
              <i n="[Material].[H_MainGroup].[MainGroupDesc].&amp;[Aksesuar].&amp;[Tablo]" c="Tablo">
                <p n="[Material].[H_MainGroup].[MainGroupDesc].&amp;[Aksesuar]"/>
              </i>
              <i n="[Material].[H_MainGroup].[MainGroupDesc].&amp;[Aksesuar].&amp;[Taç]" c="Taç">
                <p n="[Material].[H_MainGroup].[MainGroupDesc].&amp;[Aksesuar]"/>
              </i>
              <i n="[Material].[H_MainGroup].[MainGroupDesc].&amp;[Aksesuar].&amp;[Takılık]" c="Takılık">
                <p n="[Material].[H_MainGroup].[MainGroupDesc].&amp;[Aksesuar]"/>
              </i>
              <i n="[Material].[H_MainGroup].[MainGroupDesc].&amp;[Aksesuar].&amp;[Tavla]" c="Tavla">
                <p n="[Material].[H_MainGroup].[MainGroupDesc].&amp;[Aksesuar]"/>
              </i>
              <i n="[Material].[H_MainGroup].[MainGroupDesc].&amp;[Aksesuar].&amp;[Tek Dal Yapay Çiçek]" c="Tek Dal Yapay Çiçek">
                <p n="[Material].[H_MainGroup].[MainGroupDesc].&amp;[Aksesuar]"/>
              </i>
              <i n="[Material].[H_MainGroup].[MainGroupDesc].&amp;[Aksesuar].&amp;[Temizlik Fırçası]" c="Temizlik Fırçası">
                <p n="[Material].[H_MainGroup].[MainGroupDesc].&amp;[Aksesuar]"/>
              </i>
              <i n="[Material].[H_MainGroup].[MainGroupDesc].&amp;[Aksesuar].&amp;[Tütsülük]" c="Tütsülük">
                <p n="[Material].[H_MainGroup].[MainGroupDesc].&amp;[Aksesuar]"/>
              </i>
              <i n="[Material].[H_MainGroup].[MainGroupDesc].&amp;[Aksesuar].&amp;[Tuvalet Fırçalığı]" c="Tuvalet Fırçalığı">
                <p n="[Material].[H_MainGroup].[MainGroupDesc].&amp;[Aksesuar]"/>
              </i>
              <i n="[Material].[H_MainGroup].[MainGroupDesc].&amp;[Aksesuar].&amp;[Uyku Gözlüğü]" c="Uyku Gözlüğü">
                <p n="[Material].[H_MainGroup].[MainGroupDesc].&amp;[Aksesuar]"/>
              </i>
              <i n="[Material].[H_MainGroup].[MainGroupDesc].&amp;[Aksesuar].&amp;[Vakumlu Poşet]" c="Vakumlu Poşet">
                <p n="[Material].[H_MainGroup].[MainGroupDesc].&amp;[Aksesuar]"/>
              </i>
              <i n="[Material].[H_MainGroup].[MainGroupDesc].&amp;[Aksesuar].&amp;[Vazo]" c="Vazo">
                <p n="[Material].[H_MainGroup].[MainGroupDesc].&amp;[Aksesuar]"/>
              </i>
              <i n="[Material].[H_MainGroup].[MainGroupDesc].&amp;[Aksesuar].&amp;[Vazolu Yapay Çiçek]" c="Vazolu Yapay Çiçek">
                <p n="[Material].[H_MainGroup].[MainGroupDesc].&amp;[Aksesuar]"/>
              </i>
              <i n="[Material].[H_MainGroup].[MainGroupDesc].&amp;[Aksesuar].&amp;[Yapay Ağaç]" c="Yapay Ağaç">
                <p n="[Material].[H_MainGroup].[MainGroupDesc].&amp;[Aksesuar]"/>
              </i>
              <i n="[Material].[H_MainGroup].[MainGroupDesc].&amp;[Aksesuar].&amp;[Yapay Çiçek]" c="Yapay Çiçek">
                <p n="[Material].[H_MainGroup].[MainGroupDesc].&amp;[Aksesuar]"/>
              </i>
              <i n="[Material].[H_MainGroup].[MainGroupDesc].&amp;[Aksesuar].&amp;[Yılbaşı Aksesuar]" c="Yılbaşı Aksesuar">
                <p n="[Material].[H_MainGroup].[MainGroupDesc].&amp;[Aksesuar]"/>
              </i>
              <i n="[Material].[H_MainGroup].[MainGroupDesc].&amp;[Banyo].&amp;[Banyo Paspası]" c="Banyo Paspası">
                <p n="[Material].[H_MainGroup].[MainGroupDesc].&amp;[Banyo]"/>
              </i>
              <i n="[Material].[H_MainGroup].[MainGroupDesc].&amp;[Banyo].&amp;[Banyo Paspası Seti]" c="Banyo Paspası Seti">
                <p n="[Material].[H_MainGroup].[MainGroupDesc].&amp;[Banyo]"/>
              </i>
              <i n="[Material].[H_MainGroup].[MainGroupDesc].&amp;[Banyo].&amp;[Klozet Seti]" c="Klozet Seti">
                <p n="[Material].[H_MainGroup].[MainGroupDesc].&amp;[Banyo]"/>
              </i>
              <i n="[Material].[H_MainGroup].[MainGroupDesc].&amp;[Battaniye].&amp;[Battaniye]" c="Battaniye">
                <p n="[Material].[H_MainGroup].[MainGroupDesc].&amp;[Battaniye]"/>
              </i>
              <i n="[Material].[H_MainGroup].[MainGroupDesc].&amp;[Battaniye].&amp;[Bebe Battaniye]" c="Bebe Battaniye">
                <p n="[Material].[H_MainGroup].[MainGroupDesc].&amp;[Battaniye]"/>
              </i>
              <i n="[Material].[H_MainGroup].[MainGroupDesc].&amp;[Battaniye].&amp;[Çocuk Battaniye]" c="Çocuk Battaniye">
                <p n="[Material].[H_MainGroup].[MainGroupDesc].&amp;[Battaniye]"/>
              </i>
              <i n="[Material].[H_MainGroup].[MainGroupDesc].&amp;[Battaniye].&amp;[TV Battaniye]" c="TV Battaniye">
                <p n="[Material].[H_MainGroup].[MainGroupDesc].&amp;[Battaniye]"/>
              </i>
              <i n="[Material].[H_MainGroup].[MainGroupDesc].&amp;[Çarşaf].&amp;[Bebe Çarşaf Takımı]" c="Bebe Çarşaf Takımı">
                <p n="[Material].[H_MainGroup].[MainGroupDesc].&amp;[Çarşaf]"/>
              </i>
              <i n="[Material].[H_MainGroup].[MainGroupDesc].&amp;[Çarşaf].&amp;[Bebe Las. Çarşaf Tkm]" c="Bebe Las. Çarşaf Tkm">
                <p n="[Material].[H_MainGroup].[MainGroupDesc].&amp;[Çarşaf]"/>
              </i>
              <i n="[Material].[H_MainGroup].[MainGroupDesc].&amp;[Çarşaf].&amp;[Bebe Lastikli Çarşaf]" c="Bebe Lastikli Çarşaf">
                <p n="[Material].[H_MainGroup].[MainGroupDesc].&amp;[Çarşaf]"/>
              </i>
              <i n="[Material].[H_MainGroup].[MainGroupDesc].&amp;[Çarşaf].&amp;[Çarşaf]" c="Çarşaf">
                <p n="[Material].[H_MainGroup].[MainGroupDesc].&amp;[Çarşaf]"/>
              </i>
              <i n="[Material].[H_MainGroup].[MainGroupDesc].&amp;[Çarşaf].&amp;[Çocuk Las.Çarşaf Tkm]" c="Çocuk Las.Çarşaf Tkm">
                <p n="[Material].[H_MainGroup].[MainGroupDesc].&amp;[Çarşaf]"/>
              </i>
              <i n="[Material].[H_MainGroup].[MainGroupDesc].&amp;[Çarşaf].&amp;[Lastikli Çarşaf]" c="Lastikli Çarşaf">
                <p n="[Material].[H_MainGroup].[MainGroupDesc].&amp;[Çarşaf]"/>
              </i>
              <i n="[Material].[H_MainGroup].[MainGroupDesc].&amp;[Çarşaf].&amp;[Lastikli Çarşaf Tkm]" c="Lastikli Çarşaf Tkm">
                <p n="[Material].[H_MainGroup].[MainGroupDesc].&amp;[Çarşaf]"/>
              </i>
              <i n="[Material].[H_MainGroup].[MainGroupDesc].&amp;[Çarşaf].&amp;[Yastık Kılıfı]" c="Yastık Kılıfı">
                <p n="[Material].[H_MainGroup].[MainGroupDesc].&amp;[Çarşaf]"/>
              </i>
              <i n="[Material].[H_MainGroup].[MainGroupDesc].&amp;[Dünya Markaları].&amp;[DM Bardak]" c="DM Bardak">
                <p n="[Material].[H_MainGroup].[MainGroupDesc].&amp;[Dünya Markaları]"/>
              </i>
              <i n="[Material].[H_MainGroup].[MainGroupDesc].&amp;[Dünya Markaları].&amp;[DM Bıçak]" c="DM Bıçak">
                <p n="[Material].[H_MainGroup].[MainGroupDesc].&amp;[Dünya Markaları]"/>
              </i>
              <i n="[Material].[H_MainGroup].[MainGroupDesc].&amp;[Dünya Markaları].&amp;[DM Bıçak Seti]" c="DM Bıçak Seti">
                <p n="[Material].[H_MainGroup].[MainGroupDesc].&amp;[Dünya Markaları]"/>
              </i>
              <i n="[Material].[H_MainGroup].[MainGroupDesc].&amp;[Dünya Markaları].&amp;[DM Buhar Kazanlı Ütü]" c="DM Buhar Kazanlı Ütü">
                <p n="[Material].[H_MainGroup].[MainGroupDesc].&amp;[Dünya Markaları]"/>
              </i>
              <i n="[Material].[H_MainGroup].[MainGroupDesc].&amp;[Dünya Markaları].&amp;[DM Buharlı Düzleştir]" c="DM Buharlı Düzleştir">
                <p n="[Material].[H_MainGroup].[MainGroupDesc].&amp;[Dünya Markaları]"/>
              </i>
              <i n="[Material].[H_MainGroup].[MainGroupDesc].&amp;[Dünya Markaları].&amp;[DM Buharlı Ütü]" c="DM Buharlı Ütü">
                <p n="[Material].[H_MainGroup].[MainGroupDesc].&amp;[Dünya Markaları]"/>
              </i>
              <i n="[Material].[H_MainGroup].[MainGroupDesc].&amp;[Dünya Markaları].&amp;[DM Değirmen]" c="DM Değirmen">
                <p n="[Material].[H_MainGroup].[MainGroupDesc].&amp;[Dünya Markaları]"/>
              </i>
              <i n="[Material].[H_MainGroup].[MainGroupDesc].&amp;[Dünya Markaları].&amp;[DM Doğrayıcı]" c="DM Doğrayıcı">
                <p n="[Material].[H_MainGroup].[MainGroupDesc].&amp;[Dünya Markaları]"/>
              </i>
              <i n="[Material].[H_MainGroup].[MainGroupDesc].&amp;[Dünya Markaları].&amp;[DM Doğrayıcılar]" c="DM Doğrayıcılar">
                <p n="[Material].[H_MainGroup].[MainGroupDesc].&amp;[Dünya Markaları]"/>
              </i>
              <i n="[Material].[H_MainGroup].[MainGroupDesc].&amp;[Dünya Markaları].&amp;[DM Ekmek Kızartma M.]" c="DM Ekmek Kızartma M.">
                <p n="[Material].[H_MainGroup].[MainGroupDesc].&amp;[Dünya Markaları]"/>
              </i>
              <i n="[Material].[H_MainGroup].[MainGroupDesc].&amp;[Dünya Markaları].&amp;[DM Espresso Makinesi]" c="DM Espresso Makinesi">
                <p n="[Material].[H_MainGroup].[MainGroupDesc].&amp;[Dünya Markaları]"/>
              </i>
              <i n="[Material].[H_MainGroup].[MainGroupDesc].&amp;[Dünya Markaları].&amp;[DM Filtre Kahve M.]" c="DM Filtre Kahve M.">
                <p n="[Material].[H_MainGroup].[MainGroupDesc].&amp;[Dünya Markaları]"/>
              </i>
              <i n="[Material].[H_MainGroup].[MainGroupDesc].&amp;[Dünya Markaları].&amp;[DM Izgara Ve Tost M.]" c="DM Izgara Ve Tost M.">
                <p n="[Material].[H_MainGroup].[MainGroupDesc].&amp;[Dünya Markaları]"/>
              </i>
              <i n="[Material].[H_MainGroup].[MainGroupDesc].&amp;[Dünya Markaları].&amp;[DM Sahan]" c="DM Sahan">
                <p n="[Material].[H_MainGroup].[MainGroupDesc].&amp;[Dünya Markaları]"/>
              </i>
              <i n="[Material].[H_MainGroup].[MainGroupDesc].&amp;[Dünya Markaları].&amp;[DM Saklama Kabı]" c="DM Saklama Kabı">
                <p n="[Material].[H_MainGroup].[MainGroupDesc].&amp;[Dünya Markaları]"/>
              </i>
              <i n="[Material].[H_MainGroup].[MainGroupDesc].&amp;[Dünya Markaları].&amp;[DM Saklama Termosu]" c="DM Saklama Termosu">
                <p n="[Material].[H_MainGroup].[MainGroupDesc].&amp;[Dünya Markaları]"/>
              </i>
              <i n="[Material].[H_MainGroup].[MainGroupDesc].&amp;[Dünya Markaları].&amp;[DM Şarjlı Dikey Süpü]" c="DM Şarjlı Dikey Süpü">
                <p n="[Material].[H_MainGroup].[MainGroupDesc].&amp;[Dünya Markaları]"/>
              </i>
              <i n="[Material].[H_MainGroup].[MainGroupDesc].&amp;[Dünya Markaları].&amp;[DM Soyacak]" c="DM Soyacak">
                <p n="[Material].[H_MainGroup].[MainGroupDesc].&amp;[Dünya Markaları]"/>
              </i>
              <i n="[Material].[H_MainGroup].[MainGroupDesc].&amp;[Dünya Markaları].&amp;[DM Stand Mikseri]" c="DM Stand Mikseri">
                <p n="[Material].[H_MainGroup].[MainGroupDesc].&amp;[Dünya Markaları]"/>
              </i>
              <i n="[Material].[H_MainGroup].[MainGroupDesc].&amp;[Dünya Markaları].&amp;[DM Su Isıtıcı]" c="DM Su Isıtıcı">
                <p n="[Material].[H_MainGroup].[MainGroupDesc].&amp;[Dünya Markaları]"/>
              </i>
              <i n="[Material].[H_MainGroup].[MainGroupDesc].&amp;[Dünya Markaları].&amp;[DM Sürahi Blender]" c="DM Sürahi Blender">
                <p n="[Material].[H_MainGroup].[MainGroupDesc].&amp;[Dünya Markaları]"/>
              </i>
              <i n="[Material].[H_MainGroup].[MainGroupDesc].&amp;[Dünya Markaları].&amp;[DM Tava]" c="DM Tava">
                <p n="[Material].[H_MainGroup].[MainGroupDesc].&amp;[Dünya Markaları]"/>
              </i>
              <i n="[Material].[H_MainGroup].[MainGroupDesc].&amp;[Dünya Markaları].&amp;[DM Tava Seti]" c="DM Tava Seti">
                <p n="[Material].[H_MainGroup].[MainGroupDesc].&amp;[Dünya Markaları]"/>
              </i>
              <i n="[Material].[H_MainGroup].[MainGroupDesc].&amp;[Dünya Markaları].&amp;[DM Tencere]" c="DM Tencere">
                <p n="[Material].[H_MainGroup].[MainGroupDesc].&amp;[Dünya Markaları]"/>
              </i>
              <i n="[Material].[H_MainGroup].[MainGroupDesc].&amp;[Dünya Markaları].&amp;[DM Tencere Seti]" c="DM Tencere Seti">
                <p n="[Material].[H_MainGroup].[MainGroupDesc].&amp;[Dünya Markaları]"/>
              </i>
              <i n="[Material].[H_MainGroup].[MainGroupDesc].&amp;[Dünya Markaları].&amp;[DM Torbasız Süpürge]" c="DM Torbasız Süpürge">
                <p n="[Material].[H_MainGroup].[MainGroupDesc].&amp;[Dünya Markaları]"/>
              </i>
              <i n="[Material].[H_MainGroup].[MainGroupDesc].&amp;[Dünya Markaları].&amp;[DMNarenciye Sıkacağı]" c="DMNarenciye Sıkacağı">
                <p n="[Material].[H_MainGroup].[MainGroupDesc].&amp;[Dünya Markaları]"/>
              </i>
              <i n="[Material].[H_MainGroup].[MainGroupDesc].&amp;[Halı - Kilim].&amp;[Bebek Halısı]" c="Bebek Halısı">
                <p n="[Material].[H_MainGroup].[MainGroupDesc].&amp;[Halı - Kilim]"/>
              </i>
              <i n="[Material].[H_MainGroup].[MainGroupDesc].&amp;[Halı - Kilim].&amp;[Bukle Kilim]" c="Bukle Kilim">
                <p n="[Material].[H_MainGroup].[MainGroupDesc].&amp;[Halı - Kilim]"/>
              </i>
              <i n="[Material].[H_MainGroup].[MainGroupDesc].&amp;[Halı - Kilim].&amp;[Çocuk Halısı]" c="Çocuk Halısı">
                <p n="[Material].[H_MainGroup].[MainGroupDesc].&amp;[Halı - Kilim]"/>
              </i>
              <i n="[Material].[H_MainGroup].[MainGroupDesc].&amp;[Halı - Kilim].&amp;[Dekoratif Halı]" c="Dekoratif Halı">
                <p n="[Material].[H_MainGroup].[MainGroupDesc].&amp;[Halı - Kilim]"/>
              </i>
              <i n="[Material].[H_MainGroup].[MainGroupDesc].&amp;[Halı - Kilim].&amp;[Dekoratif Jüt Kilim]" c="Dekoratif Jüt Kilim">
                <p n="[Material].[H_MainGroup].[MainGroupDesc].&amp;[Halı - Kilim]"/>
              </i>
              <i n="[Material].[H_MainGroup].[MainGroupDesc].&amp;[Halı - Kilim].&amp;[Dış Mekan Kilim]" c="Dış Mekan Kilim">
                <p n="[Material].[H_MainGroup].[MainGroupDesc].&amp;[Halı - Kilim]"/>
              </i>
              <i n="[Material].[H_MainGroup].[MainGroupDesc].&amp;[Halı - Kilim].&amp;[Dokuma Halı]" c="Dokuma Halı">
                <p n="[Material].[H_MainGroup].[MainGroupDesc].&amp;[Halı - Kilim]"/>
              </i>
              <i n="[Material].[H_MainGroup].[MainGroupDesc].&amp;[Halı - Kilim].&amp;[Dokuma Kilim]" c="Dokuma Kilim">
                <p n="[Material].[H_MainGroup].[MainGroupDesc].&amp;[Halı - Kilim]"/>
              </i>
              <i n="[Material].[H_MainGroup].[MainGroupDesc].&amp;[Halı - Kilim].&amp;[Halı]" c="Halı">
                <p n="[Material].[H_MainGroup].[MainGroupDesc].&amp;[Halı - Kilim]"/>
              </i>
              <i n="[Material].[H_MainGroup].[MainGroupDesc].&amp;[Halı - Kilim].&amp;[Kapı Önü Paspası]" c="Kapı Önü Paspası">
                <p n="[Material].[H_MainGroup].[MainGroupDesc].&amp;[Halı - Kilim]"/>
              </i>
              <i n="[Material].[H_MainGroup].[MainGroupDesc].&amp;[Halı - Kilim].&amp;[Kilim]" c="Kilim">
                <p n="[Material].[H_MainGroup].[MainGroupDesc].&amp;[Halı - Kilim]"/>
              </i>
              <i n="[Material].[H_MainGroup].[MainGroupDesc].&amp;[Halı - Kilim].&amp;[Makine Halısı]" c="Makine Halısı">
                <p n="[Material].[H_MainGroup].[MainGroupDesc].&amp;[Halı - Kilim]"/>
              </i>
              <i n="[Material].[H_MainGroup].[MainGroupDesc].&amp;[Halı - Kilim].&amp;[Mutfak Paspası]" c="Mutfak Paspası">
                <p n="[Material].[H_MainGroup].[MainGroupDesc].&amp;[Halı - Kilim]"/>
              </i>
              <i n="[Material].[H_MainGroup].[MainGroupDesc].&amp;[Halı - Kilim].&amp;[Peluş Halı]" c="Peluş Halı">
                <p n="[Material].[H_MainGroup].[MainGroupDesc].&amp;[Halı - Kilim]"/>
              </i>
              <i n="[Material].[H_MainGroup].[MainGroupDesc].&amp;[Halı - Kilim].&amp;[Post]" c="Post">
                <p n="[Material].[H_MainGroup].[MainGroupDesc].&amp;[Halı - Kilim]"/>
              </i>
              <i n="[Material].[H_MainGroup].[MainGroupDesc].&amp;[Havlu].&amp;[Ayak Havlusu]" c="Ayak Havlusu">
                <p n="[Material].[H_MainGroup].[MainGroupDesc].&amp;[Havlu]"/>
              </i>
              <i n="[Material].[H_MainGroup].[MainGroupDesc].&amp;[Havlu].&amp;[Banyo Havlusu]" c="Banyo Havlusu">
                <p n="[Material].[H_MainGroup].[MainGroupDesc].&amp;[Havlu]"/>
              </i>
              <i n="[Material].[H_MainGroup].[MainGroupDesc].&amp;[Havlu].&amp;[Banyo Havlusu Takımı]" c="Banyo Havlusu Takımı">
                <p n="[Material].[H_MainGroup].[MainGroupDesc].&amp;[Havlu]"/>
              </i>
              <i n="[Material].[H_MainGroup].[MainGroupDesc].&amp;[Havlu].&amp;[Banyo Terliği]" c="Banyo Terliği">
                <p n="[Material].[H_MainGroup].[MainGroupDesc].&amp;[Havlu]"/>
              </i>
              <i n="[Material].[H_MainGroup].[MainGroupDesc].&amp;[Havlu].&amp;[Bebe Ağız Silme Bezi]" c="Bebe Ağız Silme Bezi">
                <p n="[Material].[H_MainGroup].[MainGroupDesc].&amp;[Havlu]"/>
              </i>
              <i n="[Material].[H_MainGroup].[MainGroupDesc].&amp;[Havlu].&amp;[Bebe Banyo Havlu Set]" c="Bebe Banyo Havlu Set">
                <p n="[Material].[H_MainGroup].[MainGroupDesc].&amp;[Havlu]"/>
              </i>
              <i n="[Material].[H_MainGroup].[MainGroupDesc].&amp;[Havlu].&amp;[Bebe Banyo Havlusu]" c="Bebe Banyo Havlusu">
                <p n="[Material].[H_MainGroup].[MainGroupDesc].&amp;[Havlu]"/>
              </i>
              <i n="[Material].[H_MainGroup].[MainGroupDesc].&amp;[Havlu].&amp;[Bebe Bornoz]" c="Bebe Bornoz">
                <p n="[Material].[H_MainGroup].[MainGroupDesc].&amp;[Havlu]"/>
              </i>
              <i n="[Material].[H_MainGroup].[MainGroupDesc].&amp;[Havlu].&amp;[Bebe El Havlusu]" c="Bebe El Havlusu">
                <p n="[Material].[H_MainGroup].[MainGroupDesc].&amp;[Havlu]"/>
              </i>
              <i n="[Material].[H_MainGroup].[MainGroupDesc].&amp;[Havlu].&amp;[Bebe Havlu]" c="Bebe Havlu">
                <p n="[Material].[H_MainGroup].[MainGroupDesc].&amp;[Havlu]"/>
              </i>
              <i n="[Material].[H_MainGroup].[MainGroupDesc].&amp;[Havlu].&amp;[Bebek Ter Havlusu]" c="Bebek Ter Havlusu">
                <p n="[Material].[H_MainGroup].[MainGroupDesc].&amp;[Havlu]"/>
              </i>
              <i n="[Material].[H_MainGroup].[MainGroupDesc].&amp;[Havlu].&amp;[Bornoz]" c="Bornoz">
                <p n="[Material].[H_MainGroup].[MainGroupDesc].&amp;[Havlu]"/>
              </i>
              <i n="[Material].[H_MainGroup].[MainGroupDesc].&amp;[Havlu].&amp;[Bornoz Seti]" c="Bornoz Seti">
                <p n="[Material].[H_MainGroup].[MainGroupDesc].&amp;[Havlu]"/>
              </i>
              <i n="[Material].[H_MainGroup].[MainGroupDesc].&amp;[Havlu].&amp;[Çocuk Bornoz]" c="Çocuk Bornoz">
                <p n="[Material].[H_MainGroup].[MainGroupDesc].&amp;[Havlu]"/>
              </i>
              <i n="[Material].[H_MainGroup].[MainGroupDesc].&amp;[Havlu].&amp;[Çocuk Plaj Havlusu]" c="Çocuk Plaj Havlusu">
                <p n="[Material].[H_MainGroup].[MainGroupDesc].&amp;[Havlu]"/>
              </i>
              <i n="[Material].[H_MainGroup].[MainGroupDesc].&amp;[Havlu].&amp;[El Havlusu]" c="El Havlusu">
                <p n="[Material].[H_MainGroup].[MainGroupDesc].&amp;[Havlu]"/>
              </i>
              <i n="[Material].[H_MainGroup].[MainGroupDesc].&amp;[Havlu].&amp;[El Havlusu Seti]" c="El Havlusu Seti">
                <p n="[Material].[H_MainGroup].[MainGroupDesc].&amp;[Havlu]"/>
              </i>
              <i n="[Material].[H_MainGroup].[MainGroupDesc].&amp;[Havlu].&amp;[Havlu Seti]" c="Havlu Seti">
                <p n="[Material].[H_MainGroup].[MainGroupDesc].&amp;[Havlu]"/>
              </i>
              <i n="[Material].[H_MainGroup].[MainGroupDesc].&amp;[Havlu].&amp;[Hediyelik Havlu]" c="Hediyelik Havlu">
                <p n="[Material].[H_MainGroup].[MainGroupDesc].&amp;[Havlu]"/>
              </i>
              <i n="[Material].[H_MainGroup].[MainGroupDesc].&amp;[Havlu].&amp;[Kutulu Havlu]" c="Kutulu Havlu">
                <p n="[Material].[H_MainGroup].[MainGroupDesc].&amp;[Havlu]"/>
              </i>
              <i n="[Material].[H_MainGroup].[MainGroupDesc].&amp;[Havlu].&amp;[Peştamal]" c="Peştamal">
                <p n="[Material].[H_MainGroup].[MainGroupDesc].&amp;[Havlu]"/>
              </i>
              <i n="[Material].[H_MainGroup].[MainGroupDesc].&amp;[Havlu].&amp;[Plaj Havlusu]" c="Plaj Havlusu">
                <p n="[Material].[H_MainGroup].[MainGroupDesc].&amp;[Havlu]"/>
              </i>
              <i n="[Material].[H_MainGroup].[MainGroupDesc].&amp;[Havlu].&amp;[Saç Bonesi]" c="Saç Bonesi">
                <p n="[Material].[H_MainGroup].[MainGroupDesc].&amp;[Havlu]"/>
              </i>
              <i n="[Material].[H_MainGroup].[MainGroupDesc].&amp;[Havlu].&amp;[Yüz Havlusu]" c="Yüz Havlusu">
                <p n="[Material].[H_MainGroup].[MainGroupDesc].&amp;[Havlu]"/>
              </i>
              <i n="[Material].[H_MainGroup].[MainGroupDesc].&amp;[Havlu].&amp;[Yüz Havlusu Seti]" c="Yüz Havlusu Seti">
                <p n="[Material].[H_MainGroup].[MainGroupDesc].&amp;[Havlu]"/>
              </i>
              <i n="[Material].[H_MainGroup].[MainGroupDesc].&amp;[KEA].&amp;[Airfryer]" c="Airfryer">
                <p n="[Material].[H_MainGroup].[MainGroupDesc].&amp;[KEA]"/>
              </i>
              <i n="[Material].[H_MainGroup].[MainGroupDesc].&amp;[KEA].&amp;[Çay Makinesi]" c="Çay Makinesi">
                <p n="[Material].[H_MainGroup].[MainGroupDesc].&amp;[KEA]"/>
              </i>
              <i n="[Material].[H_MainGroup].[MainGroupDesc].&amp;[KEA].&amp;[Doğrayıcı]" c="Doğrayıcı">
                <p n="[Material].[H_MainGroup].[MainGroupDesc].&amp;[KEA]"/>
              </i>
              <i n="[Material].[H_MainGroup].[MainGroupDesc].&amp;[KEA].&amp;[Ekmek Kızartma M.]" c="Ekmek Kızartma M.">
                <p n="[Material].[H_MainGroup].[MainGroupDesc].&amp;[KEA]"/>
              </i>
              <i n="[Material].[H_MainGroup].[MainGroupDesc].&amp;[KEA].&amp;[El Blenderı]" c="El Blenderı">
                <p n="[Material].[H_MainGroup].[MainGroupDesc].&amp;[KEA]"/>
              </i>
              <i n="[Material].[H_MainGroup].[MainGroupDesc].&amp;[KEA].&amp;[El Mikseri]" c="El Mikseri">
                <p n="[Material].[H_MainGroup].[MainGroupDesc].&amp;[KEA]"/>
              </i>
              <i n="[Material].[H_MainGroup].[MainGroupDesc].&amp;[KEA].&amp;[Espresso Makinesi]" c="Espresso Makinesi">
                <p n="[Material].[H_MainGroup].[MainGroupDesc].&amp;[KEA]"/>
              </i>
              <i n="[Material].[H_MainGroup].[MainGroupDesc].&amp;[KEA].&amp;[Filtre Kahve M.]" c="Filtre Kahve M.">
                <p n="[Material].[H_MainGroup].[MainGroupDesc].&amp;[KEA]"/>
              </i>
              <i n="[Material].[H_MainGroup].[MainGroupDesc].&amp;[KEA].&amp;[Izgara Ve Tost M.]" c="Izgara Ve Tost M.">
                <p n="[Material].[H_MainGroup].[MainGroupDesc].&amp;[KEA]"/>
              </i>
              <i n="[Material].[H_MainGroup].[MainGroupDesc].&amp;[KEA].&amp;[Kablolu Dikey Süpürg]" c="Kablolu Dikey Süpürg">
                <p n="[Material].[H_MainGroup].[MainGroupDesc].&amp;[KEA]"/>
              </i>
              <i n="[Material].[H_MainGroup].[MainGroupDesc].&amp;[KEA].&amp;[Kişisel Blender]" c="Kişisel Blender">
                <p n="[Material].[H_MainGroup].[MainGroupDesc].&amp;[KEA]"/>
              </i>
              <i n="[Material].[H_MainGroup].[MainGroupDesc].&amp;[KEA].&amp;[Mini Blender Seti]" c="Mini Blender Seti">
                <p n="[Material].[H_MainGroup].[MainGroupDesc].&amp;[KEA]"/>
              </i>
              <i n="[Material].[H_MainGroup].[MainGroupDesc].&amp;[KEA].&amp;[Multi Blender Seti]" c="Multi Blender Seti">
                <p n="[Material].[H_MainGroup].[MainGroupDesc].&amp;[KEA]"/>
              </i>
              <i n="[Material].[H_MainGroup].[MainGroupDesc].&amp;[KEA].&amp;[Saç Kurutma Makinesi]" c="Saç Kurutma Makinesi">
                <p n="[Material].[H_MainGroup].[MainGroupDesc].&amp;[KEA]"/>
              </i>
              <i n="[Material].[H_MainGroup].[MainGroupDesc].&amp;[KEA].&amp;[Şarjlı Dikey Süpürge]" c="Şarjlı Dikey Süpürge">
                <p n="[Material].[H_MainGroup].[MainGroupDesc].&amp;[KEA]"/>
              </i>
              <i n="[Material].[H_MainGroup].[MainGroupDesc].&amp;[KEA].&amp;[Stand Mikseri]" c="Stand Mikseri">
                <p n="[Material].[H_MainGroup].[MainGroupDesc].&amp;[KEA]"/>
              </i>
              <i n="[Material].[H_MainGroup].[MainGroupDesc].&amp;[KEA].&amp;[Su Arıtma Filtresi]" c="Su Arıtma Filtresi">
                <p n="[Material].[H_MainGroup].[MainGroupDesc].&amp;[KEA]"/>
              </i>
              <i n="[Material].[H_MainGroup].[MainGroupDesc].&amp;[KEA].&amp;[Su Arıtma Sürahisi]" c="Su Arıtma Sürahisi">
                <p n="[Material].[H_MainGroup].[MainGroupDesc].&amp;[KEA]"/>
              </i>
              <i n="[Material].[H_MainGroup].[MainGroupDesc].&amp;[KEA].&amp;[Su Isıtıcı]" c="Su Isıtıcı">
                <p n="[Material].[H_MainGroup].[MainGroupDesc].&amp;[KEA]"/>
              </i>
              <i n="[Material].[H_MainGroup].[MainGroupDesc].&amp;[KEA].&amp;[Sürahi Blender]" c="Sürahi Blender">
                <p n="[Material].[H_MainGroup].[MainGroupDesc].&amp;[KEA]"/>
              </i>
              <i n="[Material].[H_MainGroup].[MainGroupDesc].&amp;[KEA].&amp;[Tost Makinesi]" c="Tost Makinesi">
                <p n="[Material].[H_MainGroup].[MainGroupDesc].&amp;[KEA]"/>
              </i>
              <i n="[Material].[H_MainGroup].[MainGroupDesc].&amp;[KEA].&amp;[Türk Kahve M.]" c="Türk Kahve M.">
                <p n="[Material].[H_MainGroup].[MainGroupDesc].&amp;[KEA]"/>
              </i>
              <i n="[Material].[H_MainGroup].[MainGroupDesc].&amp;[KEA].&amp;[Ütüleme Sistemleri]" c="Ütüleme Sistemleri">
                <p n="[Material].[H_MainGroup].[MainGroupDesc].&amp;[KEA]"/>
              </i>
              <i n="[Material].[H_MainGroup].[MainGroupDesc].&amp;[KEA].&amp;[Waffle Makinesi]" c="Waffle Makinesi">
                <p n="[Material].[H_MainGroup].[MainGroupDesc].&amp;[KEA]"/>
              </i>
              <i n="[Material].[H_MainGroup].[MainGroupDesc].&amp;[Kozmetik].&amp;[Aromaterapi Set]" c="Aromaterapi Set">
                <p n="[Material].[H_MainGroup].[MainGroupDesc].&amp;[Kozmetik]"/>
              </i>
              <i n="[Material].[H_MainGroup].[MainGroupDesc].&amp;[Kozmetik].&amp;[Askılı Koku]" c="Askılı Koku">
                <p n="[Material].[H_MainGroup].[MainGroupDesc].&amp;[Kozmetik]"/>
              </i>
              <i n="[Material].[H_MainGroup].[MainGroupDesc].&amp;[Kozmetik].&amp;[Body Mist]" c="Body Mist">
                <p n="[Material].[H_MainGroup].[MainGroupDesc].&amp;[Kozmetik]"/>
              </i>
              <i n="[Material].[H_MainGroup].[MainGroupDesc].&amp;[Kozmetik].&amp;[Çamaşır Kokusu]" c="Çamaşır Kokusu">
                <p n="[Material].[H_MainGroup].[MainGroupDesc].&amp;[Kozmetik]"/>
              </i>
              <i n="[Material].[H_MainGroup].[MainGroupDesc].&amp;[Kozmetik].&amp;[Çok Amaçlı Kutu]" c="Çok Amaçlı Kutu">
                <p n="[Material].[H_MainGroup].[MainGroupDesc].&amp;[Kozmetik]"/>
              </i>
              <i n="[Material].[H_MainGroup].[MainGroupDesc].&amp;[Kozmetik].&amp;[Çubuklu Oda Kokusu]" c="Çubuklu Oda Kokusu">
                <p n="[Material].[H_MainGroup].[MainGroupDesc].&amp;[Kozmetik]"/>
              </i>
              <i n="[Material].[H_MainGroup].[MainGroupDesc].&amp;[Kozmetik].&amp;[Dezenfektan]" c="Dezenfektan">
                <p n="[Material].[H_MainGroup].[MainGroupDesc].&amp;[Kozmetik]"/>
              </i>
              <i n="[Material].[H_MainGroup].[MainGroupDesc].&amp;[Kozmetik].&amp;[Dolap İçi Koku]" c="Dolap İçi Koku">
                <p n="[Material].[H_MainGroup].[MainGroupDesc].&amp;[Kozmetik]"/>
              </i>
              <i n="[Material].[H_MainGroup].[MainGroupDesc].&amp;[Kozmetik].&amp;[Duş Jeli]" c="Duş Jeli">
                <p n="[Material].[H_MainGroup].[MainGroupDesc].&amp;[Kozmetik]"/>
              </i>
              <i n="[Material].[H_MainGroup].[MainGroupDesc].&amp;[Kozmetik].&amp;[El Kremi]" c="El Kremi">
                <p n="[Material].[H_MainGroup].[MainGroupDesc].&amp;[Kozmetik]"/>
              </i>
              <i n="[Material].[H_MainGroup].[MainGroupDesc].&amp;[Kozmetik].&amp;[Esansiyel Koku Yağı]" c="Esansiyel Koku Yağı">
                <p n="[Material].[H_MainGroup].[MainGroupDesc].&amp;[Kozmetik]"/>
              </i>
              <i n="[Material].[H_MainGroup].[MainGroupDesc].&amp;[Kozmetik].&amp;[Güneş Kremi]" c="Güneş Kremi">
                <p n="[Material].[H_MainGroup].[MainGroupDesc].&amp;[Kozmetik]"/>
              </i>
              <i n="[Material].[H_MainGroup].[MainGroupDesc].&amp;[Kozmetik].&amp;[Katı Sabun]" c="Katı Sabun">
                <p n="[Material].[H_MainGroup].[MainGroupDesc].&amp;[Kozmetik]"/>
              </i>
              <i n="[Material].[H_MainGroup].[MainGroupDesc].&amp;[Kozmetik].&amp;[Katı Sabun Set]" c="Katı Sabun Set">
                <p n="[Material].[H_MainGroup].[MainGroupDesc].&amp;[Kozmetik]"/>
              </i>
              <i n="[Material].[H_MainGroup].[MainGroupDesc].&amp;[Kozmetik].&amp;[Koku Barı]" c="Koku Barı">
                <p n="[Material].[H_MainGroup].[MainGroupDesc].&amp;[Kozmetik]"/>
              </i>
              <i n="[Material].[H_MainGroup].[MainGroupDesc].&amp;[Kozmetik].&amp;[Kokulu Kese]" c="Kokulu Kese">
                <p n="[Material].[H_MainGroup].[MainGroupDesc].&amp;[Kozmetik]"/>
              </i>
              <i n="[Material].[H_MainGroup].[MainGroupDesc].&amp;[Kozmetik].&amp;[Kokulu Mum]" c="Kokulu Mum">
                <p n="[Material].[H_MainGroup].[MainGroupDesc].&amp;[Kozmetik]"/>
              </i>
              <i n="[Material].[H_MainGroup].[MainGroupDesc].&amp;[Kozmetik].&amp;[Kokulu Set]" c="Kokulu Set">
                <p n="[Material].[H_MainGroup].[MainGroupDesc].&amp;[Kozmetik]"/>
              </i>
              <i n="[Material].[H_MainGroup].[MainGroupDesc].&amp;[Kozmetik].&amp;[Kokulu Taş]" c="Kokulu Taş">
                <p n="[Material].[H_MainGroup].[MainGroupDesc].&amp;[Kozmetik]"/>
              </i>
              <i n="[Material].[H_MainGroup].[MainGroupDesc].&amp;[Kozmetik].&amp;[Kolonya]" c="Kolonya">
                <p n="[Material].[H_MainGroup].[MainGroupDesc].&amp;[Kozmetik]"/>
              </i>
              <i n="[Material].[H_MainGroup].[MainGroupDesc].&amp;[Kozmetik].&amp;[Kolonyalı Mendil]" c="Kolonyalı Mendil">
                <p n="[Material].[H_MainGroup].[MainGroupDesc].&amp;[Kozmetik]"/>
              </i>
              <i n="[Material].[H_MainGroup].[MainGroupDesc].&amp;[Kozmetik].&amp;[Makyaj Çantası]" c="Makyaj Çantası">
                <p n="[Material].[H_MainGroup].[MainGroupDesc].&amp;[Kozmetik]"/>
              </i>
              <i n="[Material].[H_MainGroup].[MainGroupDesc].&amp;[Kozmetik].&amp;[Nemlendirici Jel]" c="Nemlendirici Jel">
                <p n="[Material].[H_MainGroup].[MainGroupDesc].&amp;[Kozmetik]"/>
              </i>
              <i n="[Material].[H_MainGroup].[MainGroupDesc].&amp;[Kozmetik].&amp;[Oda Spreyi]" c="Oda Spreyi">
                <p n="[Material].[H_MainGroup].[MainGroupDesc].&amp;[Kozmetik]"/>
              </i>
              <i n="[Material].[H_MainGroup].[MainGroupDesc].&amp;[Kozmetik].&amp;[Oto Kokusu]" c="Oto Kokusu">
                <p n="[Material].[H_MainGroup].[MainGroupDesc].&amp;[Kozmetik]"/>
              </i>
              <i n="[Material].[H_MainGroup].[MainGroupDesc].&amp;[Kozmetik].&amp;[Parfüm]" c="Parfüm">
                <p n="[Material].[H_MainGroup].[MainGroupDesc].&amp;[Kozmetik]"/>
              </i>
              <i n="[Material].[H_MainGroup].[MainGroupDesc].&amp;[Kozmetik].&amp;[Pudra Ponponu]" c="Pudra Ponponu">
                <p n="[Material].[H_MainGroup].[MainGroupDesc].&amp;[Kozmetik]"/>
              </i>
              <i n="[Material].[H_MainGroup].[MainGroupDesc].&amp;[Kozmetik].&amp;[Sabun]" c="Sabun">
                <p n="[Material].[H_MainGroup].[MainGroupDesc].&amp;[Kozmetik]"/>
              </i>
              <i n="[Material].[H_MainGroup].[MainGroupDesc].&amp;[Kozmetik].&amp;[Sıvı Sabun]" c="Sıvı Sabun">
                <p n="[Material].[H_MainGroup].[MainGroupDesc].&amp;[Kozmetik]"/>
              </i>
              <i n="[Material].[H_MainGroup].[MainGroupDesc].&amp;[Kozmetik].&amp;[Sprey Kolonya]" c="Sprey Kolonya">
                <p n="[Material].[H_MainGroup].[MainGroupDesc].&amp;[Kozmetik]"/>
              </i>
              <i n="[Material].[H_MainGroup].[MainGroupDesc].&amp;[Kozmetik].&amp;[Su Torbası]" c="Su Torbası">
                <p n="[Material].[H_MainGroup].[MainGroupDesc].&amp;[Kozmetik]"/>
              </i>
              <i n="[Material].[H_MainGroup].[MainGroupDesc].&amp;[Kozmetik].&amp;[TEALIGHT MUM]" c="TEALIGHT MUM">
                <p n="[Material].[H_MainGroup].[MainGroupDesc].&amp;[Kozmetik]"/>
              </i>
              <i n="[Material].[H_MainGroup].[MainGroupDesc].&amp;[Kozmetik].&amp;[Tütsü]" c="Tütsü">
                <p n="[Material].[H_MainGroup].[MainGroupDesc].&amp;[Kozmetik]"/>
              </i>
              <i n="[Material].[H_MainGroup].[MainGroupDesc].&amp;[Kozmetik].&amp;[Vücut Losyonu]" c="Vücut Losyonu">
                <p n="[Material].[H_MainGroup].[MainGroupDesc].&amp;[Kozmetik]"/>
              </i>
              <i n="[Material].[H_MainGroup].[MainGroupDesc].&amp;[Kozmetik].&amp;[WHT Kokulu Çubuk]" c="WHT Kokulu Çubuk">
                <p n="[Material].[H_MainGroup].[MainGroupDesc].&amp;[Kozmetik]"/>
              </i>
              <i n="[Material].[H_MainGroup].[MainGroupDesc].&amp;[Kozmetik].&amp;[WHT Oda Spreyi]" c="WHT Oda Spreyi">
                <p n="[Material].[H_MainGroup].[MainGroupDesc].&amp;[Kozmetik]"/>
              </i>
              <i n="[Material].[H_MainGroup].[MainGroupDesc].&amp;[Kozmetik].&amp;[Yüz &amp; Vücut Spreyi]" c="Yüz &amp; Vücut Spreyi">
                <p n="[Material].[H_MainGroup].[MainGroupDesc].&amp;[Kozmetik]"/>
              </i>
              <i n="[Material].[H_MainGroup].[MainGroupDesc].&amp;[Kozmetik].&amp;[Yüz Maskesi]" c="Yüz Maskesi">
                <p n="[Material].[H_MainGroup].[MainGroupDesc].&amp;[Kozmetik]"/>
              </i>
              <i n="[Material].[H_MainGroup].[MainGroupDesc].&amp;[Mutfak].&amp;[Açacak]" c="Açacak">
                <p n="[Material].[H_MainGroup].[MainGroupDesc].&amp;[Mutfak]"/>
              </i>
              <i n="[Material].[H_MainGroup].[MainGroupDesc].&amp;[Mutfak].&amp;[Baharatlık]" c="Baharatlık">
                <p n="[Material].[H_MainGroup].[MainGroupDesc].&amp;[Mutfak]"/>
              </i>
              <i n="[Material].[H_MainGroup].[MainGroupDesc].&amp;[Mutfak].&amp;[Bal Kavanozu]" c="Bal Kavanozu">
                <p n="[Material].[H_MainGroup].[MainGroupDesc].&amp;[Mutfak]"/>
              </i>
              <i n="[Material].[H_MainGroup].[MainGroupDesc].&amp;[Mutfak].&amp;[Bardak Altı]" c="Bardak Altı">
                <p n="[Material].[H_MainGroup].[MainGroupDesc].&amp;[Mutfak]"/>
              </i>
              <i n="[Material].[H_MainGroup].[MainGroupDesc].&amp;[Mutfak].&amp;[Bulaşık Seti]" c="Bulaşık Seti">
                <p n="[Material].[H_MainGroup].[MainGroupDesc].&amp;[Mutfak]"/>
              </i>
              <i n="[Material].[H_MainGroup].[MainGroupDesc].&amp;[Mutfak].&amp;[Çatal Bıçaklık]" c="Çatal Bıçaklık">
                <p n="[Material].[H_MainGroup].[MainGroupDesc].&amp;[Mutfak]"/>
              </i>
              <i n="[Material].[H_MainGroup].[MainGroupDesc].&amp;[Mutfak].&amp;[Çaydanlık]" c="Çaydanlık">
                <p n="[Material].[H_MainGroup].[MainGroupDesc].&amp;[Mutfak]"/>
              </i>
              <i n="[Material].[H_MainGroup].[MainGroupDesc].&amp;[Mutfak].&amp;[Çekmece Düzenleyici]" c="Çekmece Düzenleyici">
                <p n="[Material].[H_MainGroup].[MainGroupDesc].&amp;[Mutfak]"/>
              </i>
              <i n="[Material].[H_MainGroup].[MainGroupDesc].&amp;[Mutfak].&amp;[Çocuk Suluk]" c="Çocuk Suluk">
                <p n="[Material].[H_MainGroup].[MainGroupDesc].&amp;[Mutfak]"/>
              </i>
              <i n="[Material].[H_MainGroup].[MainGroupDesc].&amp;[Mutfak].&amp;[Coffee Maker]" c="Coffee Maker">
                <p n="[Material].[H_MainGroup].[MainGroupDesc].&amp;[Mutfak]"/>
              </i>
              <i n="[Material].[H_MainGroup].[MainGroupDesc].&amp;[Mutfak].&amp;[Değirmen]" c="Değirmen">
                <p n="[Material].[H_MainGroup].[MainGroupDesc].&amp;[Mutfak]"/>
              </i>
              <i n="[Material].[H_MainGroup].[MainGroupDesc].&amp;[Mutfak].&amp;[Demleme Ürünleri]" c="Demleme Ürünleri">
                <p n="[Material].[H_MainGroup].[MainGroupDesc].&amp;[Mutfak]"/>
              </i>
              <i n="[Material].[H_MainGroup].[MainGroupDesc].&amp;[Mutfak].&amp;[Doğrayıcılar]" c="Doğrayıcılar">
                <p n="[Material].[H_MainGroup].[MainGroupDesc].&amp;[Mutfak]"/>
              </i>
              <i n="[Material].[H_MainGroup].[MainGroupDesc].&amp;[Mutfak].&amp;[Düzenleyici Set]" c="Düzenleyici Set">
                <p n="[Material].[H_MainGroup].[MainGroupDesc].&amp;[Mutfak]"/>
              </i>
              <i n="[Material].[H_MainGroup].[MainGroupDesc].&amp;[Mutfak].&amp;[Ekmek Kutusu]" c="Ekmek Kutusu">
                <p n="[Material].[H_MainGroup].[MainGroupDesc].&amp;[Mutfak]"/>
              </i>
              <i n="[Material].[H_MainGroup].[MainGroupDesc].&amp;[Mutfak].&amp;[El Rondosu]" c="El Rondosu">
                <p n="[Material].[H_MainGroup].[MainGroupDesc].&amp;[Mutfak]"/>
              </i>
              <i n="[Material].[H_MainGroup].[MainGroupDesc].&amp;[Mutfak].&amp;[Fondü Seti]" c="Fondü Seti">
                <p n="[Material].[H_MainGroup].[MainGroupDesc].&amp;[Mutfak]"/>
              </i>
              <i n="[Material].[H_MainGroup].[MainGroupDesc].&amp;[Mutfak].&amp;[Hamur ruleti]" c="Hamur ruleti">
                <p n="[Material].[H_MainGroup].[MainGroupDesc].&amp;[Mutfak]"/>
              </i>
              <i n="[Material].[H_MainGroup].[MainGroupDesc].&amp;[Mutfak].&amp;[Havan]" c="Havan">
                <p n="[Material].[H_MainGroup].[MainGroupDesc].&amp;[Mutfak]"/>
              </i>
              <i n="[Material].[H_MainGroup].[MainGroupDesc].&amp;[Mutfak].&amp;[Hazırlık Seti]" c="Hazırlık Seti">
                <p n="[Material].[H_MainGroup].[MainGroupDesc].&amp;[Mutfak]"/>
              </i>
              <i n="[Material].[H_MainGroup].[MainGroupDesc].&amp;[Mutfak].&amp;[Huni]" c="Huni">
                <p n="[Material].[H_MainGroup].[MainGroupDesc].&amp;[Mutfak]"/>
              </i>
              <i n="[Material].[H_MainGroup].[MainGroupDesc].&amp;[Mutfak].&amp;[İbrik]" c="İbrik">
                <p n="[Material].[H_MainGroup].[MainGroupDesc].&amp;[Mutfak]"/>
              </i>
              <i n="[Material].[H_MainGroup].[MainGroupDesc].&amp;[Mutfak].&amp;[Isıtıcı]" c="Isıtıcı">
                <p n="[Material].[H_MainGroup].[MainGroupDesc].&amp;[Mutfak]"/>
              </i>
              <i n="[Material].[H_MainGroup].[MainGroupDesc].&amp;[Mutfak].&amp;[Kağıt Havluluk]" c="Kağıt Havluluk">
                <p n="[Material].[H_MainGroup].[MainGroupDesc].&amp;[Mutfak]"/>
              </i>
              <i n="[Material].[H_MainGroup].[MainGroupDesc].&amp;[Mutfak].&amp;[Kahve Ölçü Kaşığı]" c="Kahve Ölçü Kaşığı">
                <p n="[Material].[H_MainGroup].[MainGroupDesc].&amp;[Mutfak]"/>
              </i>
              <i n="[Material].[H_MainGroup].[MainGroupDesc].&amp;[Mutfak].&amp;[Kavanoz]" c="Kavanoz">
                <p n="[Material].[H_MainGroup].[MainGroupDesc].&amp;[Mutfak]"/>
              </i>
              <i n="[Material].[H_MainGroup].[MainGroupDesc].&amp;[Mutfak].&amp;[Kavanoz Kapağı]" c="Kavanoz Kapağı">
                <p n="[Material].[H_MainGroup].[MainGroupDesc].&amp;[Mutfak]"/>
              </i>
              <i n="[Material].[H_MainGroup].[MainGroupDesc].&amp;[Mutfak].&amp;[Kepçe]" c="Kepçe">
                <p n="[Material].[H_MainGroup].[MainGroupDesc].&amp;[Mutfak]"/>
              </i>
              <i n="[Material].[H_MainGroup].[MainGroupDesc].&amp;[Mutfak].&amp;[Kesme Tahtası]" c="Kesme Tahtası">
                <p n="[Material].[H_MainGroup].[MainGroupDesc].&amp;[Mutfak]"/>
              </i>
              <i n="[Material].[H_MainGroup].[MainGroupDesc].&amp;[Mutfak].&amp;[Kettle]" c="Kettle">
                <p n="[Material].[H_MainGroup].[MainGroupDesc].&amp;[Mutfak]"/>
              </i>
              <i n="[Material].[H_MainGroup].[MainGroupDesc].&amp;[Mutfak].&amp;[Krep Tava]" c="Krep Tava">
                <p n="[Material].[H_MainGroup].[MainGroupDesc].&amp;[Mutfak]"/>
              </i>
              <i n="[Material].[H_MainGroup].[MainGroupDesc].&amp;[Mutfak].&amp;[Kurabiye Kutusu]" c="Kurabiye Kutusu">
                <p n="[Material].[H_MainGroup].[MainGroupDesc].&amp;[Mutfak]"/>
              </i>
              <i n="[Material].[H_MainGroup].[MainGroupDesc].&amp;[Mutfak].&amp;[Matara]" c="Matara">
                <p n="[Material].[H_MainGroup].[MainGroupDesc].&amp;[Mutfak]"/>
              </i>
              <i n="[Material].[H_MainGroup].[MainGroupDesc].&amp;[Mutfak].&amp;[Merdane]" c="Merdane">
                <p n="[Material].[H_MainGroup].[MainGroupDesc].&amp;[Mutfak]"/>
              </i>
              <i n="[Material].[H_MainGroup].[MainGroupDesc].&amp;[Mutfak].&amp;[Moka Pot]" c="Moka Pot">
                <p n="[Material].[H_MainGroup].[MainGroupDesc].&amp;[Mutfak]"/>
              </i>
              <i n="[Material].[H_MainGroup].[MainGroupDesc].&amp;[Mutfak].&amp;[Mutfak Gereci]" c="Mutfak Gereci">
                <p n="[Material].[H_MainGroup].[MainGroupDesc].&amp;[Mutfak]"/>
              </i>
              <i n="[Material].[H_MainGroup].[MainGroupDesc].&amp;[Mutfak].&amp;[Ölçü Kabı]" c="Ölçü Kabı">
                <p n="[Material].[H_MainGroup].[MainGroupDesc].&amp;[Mutfak]"/>
              </i>
              <i n="[Material].[H_MainGroup].[MainGroupDesc].&amp;[Mutfak].&amp;[Ölçü Kaşığı]" c="Ölçü Kaşığı">
                <p n="[Material].[H_MainGroup].[MainGroupDesc].&amp;[Mutfak]"/>
              </i>
              <i n="[Material].[H_MainGroup].[MainGroupDesc].&amp;[Mutfak].&amp;[Perforated Spatula]" c="Perforated Spatula">
                <p n="[Material].[H_MainGroup].[MainGroupDesc].&amp;[Mutfak]"/>
              </i>
              <i n="[Material].[H_MainGroup].[MainGroupDesc].&amp;[Mutfak].&amp;[Piknik Sepeti]" c="Piknik Sepeti">
                <p n="[Material].[H_MainGroup].[MainGroupDesc].&amp;[Mutfak]"/>
              </i>
              <i n="[Material].[H_MainGroup].[MainGroupDesc].&amp;[Mutfak].&amp;[Piknik Seti]" c="Piknik Seti">
                <p n="[Material].[H_MainGroup].[MainGroupDesc].&amp;[Mutfak]"/>
              </i>
              <i n="[Material].[H_MainGroup].[MainGroupDesc].&amp;[Mutfak].&amp;[Pipet]" c="Pipet">
                <p n="[Material].[H_MainGroup].[MainGroupDesc].&amp;[Mutfak]"/>
              </i>
              <i n="[Material].[H_MainGroup].[MainGroupDesc].&amp;[Mutfak].&amp;[Pizza Kesici]" c="Pizza Kesici">
                <p n="[Material].[H_MainGroup].[MainGroupDesc].&amp;[Mutfak]"/>
              </i>
              <i n="[Material].[H_MainGroup].[MainGroupDesc].&amp;[Mutfak].&amp;[Poşet Klipsi]" c="Poşet Klipsi">
                <p n="[Material].[H_MainGroup].[MainGroupDesc].&amp;[Mutfak]"/>
              </i>
              <i n="[Material].[H_MainGroup].[MainGroupDesc].&amp;[Mutfak].&amp;[Poşet Torbalığı]" c="Poşet Torbalığı">
                <p n="[Material].[H_MainGroup].[MainGroupDesc].&amp;[Mutfak]"/>
              </i>
              <i n="[Material].[H_MainGroup].[MainGroupDesc].&amp;[Mutfak].&amp;[Saklama Kabı]" c="Saklama Kabı">
                <p n="[Material].[H_MainGroup].[MainGroupDesc].&amp;[Mutfak]"/>
              </i>
              <i n="[Material].[H_MainGroup].[MainGroupDesc].&amp;[Mutfak].&amp;[Saklama Kabı Seti]" c="Saklama Kabı Seti">
                <p n="[Material].[H_MainGroup].[MainGroupDesc].&amp;[Mutfak]"/>
              </i>
              <i n="[Material].[H_MainGroup].[MainGroupDesc].&amp;[Mutfak].&amp;[Salata Seti]" c="Salata Seti">
                <p n="[Material].[H_MainGroup].[MainGroupDesc].&amp;[Mutfak]"/>
              </i>
              <i n="[Material].[H_MainGroup].[MainGroupDesc].&amp;[Mutfak].&amp;[Satır]" c="Satır">
                <p n="[Material].[H_MainGroup].[MainGroupDesc].&amp;[Mutfak]"/>
              </i>
              <i n="[Material].[H_MainGroup].[MainGroupDesc].&amp;[Mutfak].&amp;[Servis Gereçleri]" c="Servis Gereçleri">
                <p n="[Material].[H_MainGroup].[MainGroupDesc].&amp;[Mutfak]"/>
              </i>
              <i n="[Material].[H_MainGroup].[MainGroupDesc].&amp;[Mutfak].&amp;[Servis Kaşığı]" c="Servis Kaşığı">
                <p n="[Material].[H_MainGroup].[MainGroupDesc].&amp;[Mutfak]"/>
              </i>
              <i n="[Material].[H_MainGroup].[MainGroupDesc].&amp;[Mutfak].&amp;[Shaker]" c="Shaker">
                <p n="[Material].[H_MainGroup].[MainGroupDesc].&amp;[Mutfak]"/>
              </i>
              <i n="[Material].[H_MainGroup].[MainGroupDesc].&amp;[Mutfak].&amp;[Şişe Tıpası]" c="Şişe Tıpası">
                <p n="[Material].[H_MainGroup].[MainGroupDesc].&amp;[Mutfak]"/>
              </i>
              <i n="[Material].[H_MainGroup].[MainGroupDesc].&amp;[Mutfak].&amp;[Spagetti Kaşığı]" c="Spagetti Kaşığı">
                <p n="[Material].[H_MainGroup].[MainGroupDesc].&amp;[Mutfak]"/>
              </i>
              <i n="[Material].[H_MainGroup].[MainGroupDesc].&amp;[Mutfak].&amp;[Sufle Kabı]" c="Sufle Kabı">
                <p n="[Material].[H_MainGroup].[MainGroupDesc].&amp;[Mutfak]"/>
              </i>
              <i n="[Material].[H_MainGroup].[MainGroupDesc].&amp;[Mutfak].&amp;[Süt Potu]" c="Süt Potu">
                <p n="[Material].[H_MainGroup].[MainGroupDesc].&amp;[Mutfak]"/>
              </i>
              <i n="[Material].[H_MainGroup].[MainGroupDesc].&amp;[Mutfak].&amp;[Termos]" c="Termos">
                <p n="[Material].[H_MainGroup].[MainGroupDesc].&amp;[Mutfak]"/>
              </i>
              <i n="[Material].[H_MainGroup].[MainGroupDesc].&amp;[Mutfak].&amp;[Yemek Hazırlama]" c="Yemek Hazırlama">
                <p n="[Material].[H_MainGroup].[MainGroupDesc].&amp;[Mutfak]"/>
              </i>
              <i n="[Material].[H_MainGroup].[MainGroupDesc].&amp;[Mutfak].&amp;[Yumurta Fırçası]" c="Yumurta Fırçası">
                <p n="[Material].[H_MainGroup].[MainGroupDesc].&amp;[Mutfak]"/>
              </i>
              <i n="[Material].[H_MainGroup].[MainGroupDesc].&amp;[Mutfak].&amp;[Yumurtalık]" c="Yumurtalık">
                <p n="[Material].[H_MainGroup].[MainGroupDesc].&amp;[Mutfak]"/>
              </i>
              <i n="[Material].[H_MainGroup].[MainGroupDesc].&amp;[Nevresim].&amp;[Bebe Nevr.ve Yastk K]" c="Bebe Nevr.ve Yastk K">
                <p n="[Material].[H_MainGroup].[MainGroupDesc].&amp;[Nevresim]"/>
              </i>
              <i n="[Material].[H_MainGroup].[MainGroupDesc].&amp;[Nevresim].&amp;[Bebe Nevresim]" c="Bebe Nevresim">
                <p n="[Material].[H_MainGroup].[MainGroupDesc].&amp;[Nevresim]"/>
              </i>
              <i n="[Material].[H_MainGroup].[MainGroupDesc].&amp;[Nevresim].&amp;[Bebe Nevresim Seti]" c="Bebe Nevresim Seti">
                <p n="[Material].[H_MainGroup].[MainGroupDesc].&amp;[Nevresim]"/>
              </i>
              <i n="[Material].[H_MainGroup].[MainGroupDesc].&amp;[Nevresim].&amp;[Bebe Nevresim Takımı]" c="Bebe Nevresim Takımı">
                <p n="[Material].[H_MainGroup].[MainGroupDesc].&amp;[Nevresim]"/>
              </i>
              <i n="[Material].[H_MainGroup].[MainGroupDesc].&amp;[Nevresim].&amp;[Bebe Yastık Kılıfı]" c="Bebe Yastık Kılıfı">
                <p n="[Material].[H_MainGroup].[MainGroupDesc].&amp;[Nevresim]"/>
              </i>
              <i n="[Material].[H_MainGroup].[MainGroupDesc].&amp;[Nevresim].&amp;[Cibinlik]" c="Cibinlik">
                <p n="[Material].[H_MainGroup].[MainGroupDesc].&amp;[Nevresim]"/>
              </i>
              <i n="[Material].[H_MainGroup].[MainGroupDesc].&amp;[Nevresim].&amp;[Çocuk Nevresim]" c="Çocuk Nevresim">
                <p n="[Material].[H_MainGroup].[MainGroupDesc].&amp;[Nevresim]"/>
              </i>
              <i n="[Material].[H_MainGroup].[MainGroupDesc].&amp;[Nevresim].&amp;[Çocuk Nevresim Seti]" c="Çocuk Nevresim Seti">
                <p n="[Material].[H_MainGroup].[MainGroupDesc].&amp;[Nevresim]"/>
              </i>
              <i n="[Material].[H_MainGroup].[MainGroupDesc].&amp;[Nevresim].&amp;[Çocuk Nevresim Takım]" c="Çocuk Nevresim Takım">
                <p n="[Material].[H_MainGroup].[MainGroupDesc].&amp;[Nevresim]"/>
              </i>
              <i n="[Material].[H_MainGroup].[MainGroupDesc].&amp;[Nevresim].&amp;[Düz Çarşaf NVR TK]" c="Düz Çarşaf NVR TK">
                <p n="[Material].[H_MainGroup].[MainGroupDesc].&amp;[Nevresim]"/>
              </i>
              <i n="[Material].[H_MainGroup].[MainGroupDesc].&amp;[Nevresim].&amp;[Nevr. ve Yastık Klf]" c="Nevr. ve Yastık Klf">
                <p n="[Material].[H_MainGroup].[MainGroupDesc].&amp;[Nevresim]"/>
              </i>
              <i n="[Material].[H_MainGroup].[MainGroupDesc].&amp;[Nevresim].&amp;[Nevresim]" c="Nevresim">
                <p n="[Material].[H_MainGroup].[MainGroupDesc].&amp;[Nevresim]"/>
              </i>
              <i n="[Material].[H_MainGroup].[MainGroupDesc].&amp;[Nevresim].&amp;[Nevresim Seti]" c="Nevresim Seti">
                <p n="[Material].[H_MainGroup].[MainGroupDesc].&amp;[Nevresim]"/>
              </i>
              <i n="[Material].[H_MainGroup].[MainGroupDesc].&amp;[Nevresim].&amp;[Nevresim Takımı]" c="Nevresim Takımı">
                <p n="[Material].[H_MainGroup].[MainGroupDesc].&amp;[Nevresim]"/>
              </i>
              <i n="[Material].[H_MainGroup].[MainGroupDesc].&amp;[Pike].&amp;[Bebe Pike]" c="Bebe Pike">
                <p n="[Material].[H_MainGroup].[MainGroupDesc].&amp;[Pike]"/>
              </i>
              <i n="[Material].[H_MainGroup].[MainGroupDesc].&amp;[Pike].&amp;[Çocuk Pike Takımı]" c="Çocuk Pike Takımı">
                <p n="[Material].[H_MainGroup].[MainGroupDesc].&amp;[Pike]"/>
              </i>
              <i n="[Material].[H_MainGroup].[MainGroupDesc].&amp;[Pike].&amp;[Pike]" c="Pike">
                <p n="[Material].[H_MainGroup].[MainGroupDesc].&amp;[Pike]"/>
              </i>
              <i n="[Material].[H_MainGroup].[MainGroupDesc].&amp;[Pike].&amp;[Pike Seti]" c="Pike Seti">
                <p n="[Material].[H_MainGroup].[MainGroupDesc].&amp;[Pike]"/>
              </i>
              <i n="[Material].[H_MainGroup].[MainGroupDesc].&amp;[Pike].&amp;[Pike Takımı]" c="Pike Takımı">
                <p n="[Material].[H_MainGroup].[MainGroupDesc].&amp;[Pike]"/>
              </i>
              <i n="[Material].[H_MainGroup].[MainGroupDesc].&amp;[Pişirme].&amp;[Bakraç]" c="Bakraç">
                <p n="[Material].[H_MainGroup].[MainGroupDesc].&amp;[Pişirme]"/>
              </i>
              <i n="[Material].[H_MainGroup].[MainGroupDesc].&amp;[Pişirme].&amp;[Fırın Kabı]" c="Fırın Kabı">
                <p n="[Material].[H_MainGroup].[MainGroupDesc].&amp;[Pişirme]"/>
              </i>
              <i n="[Material].[H_MainGroup].[MainGroupDesc].&amp;[Pişirme].&amp;[Fırın Tencere]" c="Fırın Tencere">
                <p n="[Material].[H_MainGroup].[MainGroupDesc].&amp;[Pişirme]"/>
              </i>
              <i n="[Material].[H_MainGroup].[MainGroupDesc].&amp;[Pişirme].&amp;[Kek Kalıbı]" c="Kek Kalıbı">
                <p n="[Material].[H_MainGroup].[MainGroupDesc].&amp;[Pişirme]"/>
              </i>
              <i n="[Material].[H_MainGroup].[MainGroupDesc].&amp;[Pişirme].&amp;[Kek Kalıp Set]" c="Kek Kalıp Set">
                <p n="[Material].[H_MainGroup].[MainGroupDesc].&amp;[Pişirme]"/>
              </i>
              <i n="[Material].[H_MainGroup].[MainGroupDesc].&amp;[Pişirme].&amp;[Pişirme Seti]" c="Pişirme Seti">
                <p n="[Material].[H_MainGroup].[MainGroupDesc].&amp;[Pişirme]"/>
              </i>
              <i n="[Material].[H_MainGroup].[MainGroupDesc].&amp;[Pişirme].&amp;[Pişir-Sakla Set]" c="Pişir-Sakla Set">
                <p n="[Material].[H_MainGroup].[MainGroupDesc].&amp;[Pişirme]"/>
              </i>
              <i n="[Material].[H_MainGroup].[MainGroupDesc].&amp;[Pişirme].&amp;[Sahan]" c="Sahan">
                <p n="[Material].[H_MainGroup].[MainGroupDesc].&amp;[Pişirme]"/>
              </i>
              <i n="[Material].[H_MainGroup].[MainGroupDesc].&amp;[Pişirme].&amp;[Sahan Seti]" c="Sahan Seti">
                <p n="[Material].[H_MainGroup].[MainGroupDesc].&amp;[Pişirme]"/>
              </i>
              <i n="[Material].[H_MainGroup].[MainGroupDesc].&amp;[Pişirme].&amp;[Sos Tenceresi]" c="Sos Tenceresi">
                <p n="[Material].[H_MainGroup].[MainGroupDesc].&amp;[Pişirme]"/>
              </i>
              <i n="[Material].[H_MainGroup].[MainGroupDesc].&amp;[Pişirme].&amp;[Tart Kalıbı]" c="Tart Kalıbı">
                <p n="[Material].[H_MainGroup].[MainGroupDesc].&amp;[Pişirme]"/>
              </i>
              <i n="[Material].[H_MainGroup].[MainGroupDesc].&amp;[Pişirme].&amp;[Tava]" c="Tava">
                <p n="[Material].[H_MainGroup].[MainGroupDesc].&amp;[Pişirme]"/>
              </i>
              <i n="[Material].[H_MainGroup].[MainGroupDesc].&amp;[Pişirme].&amp;[Tava Seti]" c="Tava Seti">
                <p n="[Material].[H_MainGroup].[MainGroupDesc].&amp;[Pişirme]"/>
              </i>
              <i n="[Material].[H_MainGroup].[MainGroupDesc].&amp;[Pişirme].&amp;[Tencere]" c="Tencere">
                <p n="[Material].[H_MainGroup].[MainGroupDesc].&amp;[Pişirme]"/>
              </i>
              <i n="[Material].[H_MainGroup].[MainGroupDesc].&amp;[Pişirme].&amp;[Tencere Seti]" c="Tencere Seti">
                <p n="[Material].[H_MainGroup].[MainGroupDesc].&amp;[Pişirme]"/>
              </i>
              <i n="[Material].[H_MainGroup].[MainGroupDesc].&amp;[Pişirme].&amp;[Tencere-Tava Seti]" c="Tencere-Tava Seti">
                <p n="[Material].[H_MainGroup].[MainGroupDesc].&amp;[Pişirme]"/>
              </i>
              <i n="[Material].[H_MainGroup].[MainGroupDesc].&amp;[Pişirme].&amp;[Wok Tava]" c="Wok Tava">
                <p n="[Material].[H_MainGroup].[MainGroupDesc].&amp;[Pişirme]"/>
              </i>
              <i n="[Material].[H_MainGroup].[MainGroupDesc].&amp;[Salon].&amp;[Atlet]" c="Atlet">
                <p n="[Material].[H_MainGroup].[MainGroupDesc].&amp;[Salon]"/>
              </i>
              <i n="[Material].[H_MainGroup].[MainGroupDesc].&amp;[Salon].&amp;[Ayaklı Tepsi]" c="Ayaklı Tepsi">
                <p n="[Material].[H_MainGroup].[MainGroupDesc].&amp;[Salon]"/>
              </i>
              <i n="[Material].[H_MainGroup].[MainGroupDesc].&amp;[Salon].&amp;[Babet Çorap]" c="Babet Çorap">
                <p n="[Material].[H_MainGroup].[MainGroupDesc].&amp;[Salon]"/>
              </i>
              <i n="[Material].[H_MainGroup].[MainGroupDesc].&amp;[Salon].&amp;[Bebe Alt Açma Yedek]" c="Bebe Alt Açma Yedek">
                <p n="[Material].[H_MainGroup].[MainGroupDesc].&amp;[Salon]"/>
              </i>
              <i n="[Material].[H_MainGroup].[MainGroupDesc].&amp;[Salon].&amp;[Bebe Body]" c="Bebe Body">
                <p n="[Material].[H_MainGroup].[MainGroupDesc].&amp;[Salon]"/>
              </i>
              <i n="[Material].[H_MainGroup].[MainGroupDesc].&amp;[Salon].&amp;[Bebe Çorap]" c="Bebe Çorap">
                <p n="[Material].[H_MainGroup].[MainGroupDesc].&amp;[Salon]"/>
              </i>
              <i n="[Material].[H_MainGroup].[MainGroupDesc].&amp;[Salon].&amp;[Bebe Hediyelik Set]" c="Bebe Hediyelik Set">
                <p n="[Material].[H_MainGroup].[MainGroupDesc].&amp;[Salon]"/>
              </i>
              <i n="[Material].[H_MainGroup].[MainGroupDesc].&amp;[Salon].&amp;[Bebe Müslin Set]" c="Bebe Müslin Set">
                <p n="[Material].[H_MainGroup].[MainGroupDesc].&amp;[Salon]"/>
              </i>
              <i n="[Material].[H_MainGroup].[MainGroupDesc].&amp;[Salon].&amp;[Bebe Önlük]" c="Bebe Önlük">
                <p n="[Material].[H_MainGroup].[MainGroupDesc].&amp;[Salon]"/>
              </i>
              <i n="[Material].[H_MainGroup].[MainGroupDesc].&amp;[Salon].&amp;[Bebe Örtü]" c="Bebe Örtü">
                <p n="[Material].[H_MainGroup].[MainGroupDesc].&amp;[Salon]"/>
              </i>
              <i n="[Material].[H_MainGroup].[MainGroupDesc].&amp;[Salon].&amp;[Bebe Pijama Takımı]" c="Bebe Pijama Takımı">
                <p n="[Material].[H_MainGroup].[MainGroupDesc].&amp;[Salon]"/>
              </i>
              <i n="[Material].[H_MainGroup].[MainGroupDesc].&amp;[Salon].&amp;[Bebe Puset Örtüsü]" c="Bebe Puset Örtüsü">
                <p n="[Material].[H_MainGroup].[MainGroupDesc].&amp;[Salon]"/>
              </i>
              <i n="[Material].[H_MainGroup].[MainGroupDesc].&amp;[Salon].&amp;[Bebe Sandalyesi]" c="Bebe Sandalyesi">
                <p n="[Material].[H_MainGroup].[MainGroupDesc].&amp;[Salon]"/>
              </i>
              <i n="[Material].[H_MainGroup].[MainGroupDesc].&amp;[Salon].&amp;[Bebe Tulum]" c="Bebe Tulum">
                <p n="[Material].[H_MainGroup].[MainGroupDesc].&amp;[Salon]"/>
              </i>
              <i n="[Material].[H_MainGroup].[MainGroupDesc].&amp;[Salon].&amp;[Bebe Uyku Tulumu]" c="Bebe Uyku Tulumu">
                <p n="[Material].[H_MainGroup].[MainGroupDesc].&amp;[Salon]"/>
              </i>
              <i n="[Material].[H_MainGroup].[MainGroupDesc].&amp;[Salon].&amp;[Berjer]" c="Berjer">
                <p n="[Material].[H_MainGroup].[MainGroupDesc].&amp;[Salon]"/>
              </i>
              <i n="[Material].[H_MainGroup].[MainGroupDesc].&amp;[Salon].&amp;[Bluz]" c="Bluz">
                <p n="[Material].[H_MainGroup].[MainGroupDesc].&amp;[Salon]"/>
              </i>
              <i n="[Material].[H_MainGroup].[MainGroupDesc].&amp;[Salon].&amp;[Boxer]" c="Boxer">
                <p n="[Material].[H_MainGroup].[MainGroupDesc].&amp;[Salon]"/>
              </i>
              <i n="[Material].[H_MainGroup].[MainGroupDesc].&amp;[Salon].&amp;[Braçol]" c="Braçol">
                <p n="[Material].[H_MainGroup].[MainGroupDesc].&amp;[Salon]"/>
              </i>
              <i n="[Material].[H_MainGroup].[MainGroupDesc].&amp;[Salon].&amp;[Büyük Kırlent]" c="Büyük Kırlent">
                <p n="[Material].[H_MainGroup].[MainGroupDesc].&amp;[Salon]"/>
              </i>
              <i n="[Material].[H_MainGroup].[MainGroupDesc].&amp;[Salon].&amp;[Çanta.]" c="Çanta.">
                <p n="[Material].[H_MainGroup].[MainGroupDesc].&amp;[Salon]"/>
              </i>
              <i n="[Material].[H_MainGroup].[MainGroupDesc].&amp;[Salon].&amp;[Çocuk Atlet]" c="Çocuk Atlet">
                <p n="[Material].[H_MainGroup].[MainGroupDesc].&amp;[Salon]"/>
              </i>
              <i n="[Material].[H_MainGroup].[MainGroupDesc].&amp;[Salon].&amp;[Çocuk Boxer]" c="Çocuk Boxer">
                <p n="[Material].[H_MainGroup].[MainGroupDesc].&amp;[Salon]"/>
              </i>
              <i n="[Material].[H_MainGroup].[MainGroupDesc].&amp;[Salon].&amp;[Çocuk Çanta]" c="Çocuk Çanta">
                <p n="[Material].[H_MainGroup].[MainGroupDesc].&amp;[Salon]"/>
              </i>
              <i n="[Material].[H_MainGroup].[MainGroupDesc].&amp;[Salon].&amp;[Çocuk Çarşaf]" c="Çocuk Çarşaf">
                <p n="[Material].[H_MainGroup].[MainGroupDesc].&amp;[Salon]"/>
              </i>
              <i n="[Material].[H_MainGroup].[MainGroupDesc].&amp;[Salon].&amp;[Çocuk Çorap]" c="Çocuk Çorap">
                <p n="[Material].[H_MainGroup].[MainGroupDesc].&amp;[Salon]"/>
              </i>
              <i n="[Material].[H_MainGroup].[MainGroupDesc].&amp;[Salon].&amp;[Çocuk Ev Ayakkabısı]" c="Çocuk Ev Ayakkabısı">
                <p n="[Material].[H_MainGroup].[MainGroupDesc].&amp;[Salon]"/>
              </i>
              <i n="[Material].[H_MainGroup].[MainGroupDesc].&amp;[Salon].&amp;[Çocuk Panço]" c="Çocuk Panço">
                <p n="[Material].[H_MainGroup].[MainGroupDesc].&amp;[Salon]"/>
              </i>
              <i n="[Material].[H_MainGroup].[MainGroupDesc].&amp;[Salon].&amp;[Çocuk Pijama Takımı]" c="Çocuk Pijama Takımı">
                <p n="[Material].[H_MainGroup].[MainGroupDesc].&amp;[Salon]"/>
              </i>
              <i n="[Material].[H_MainGroup].[MainGroupDesc].&amp;[Salon].&amp;[Çocuk Terliği]" c="Çocuk Terliği">
                <p n="[Material].[H_MainGroup].[MainGroupDesc].&amp;[Salon]"/>
              </i>
              <i n="[Material].[H_MainGroup].[MainGroupDesc].&amp;[Salon].&amp;[Çocuk Üst]" c="Çocuk Üst">
                <p n="[Material].[H_MainGroup].[MainGroupDesc].&amp;[Salon]"/>
              </i>
              <i n="[Material].[H_MainGroup].[MainGroupDesc].&amp;[Salon].&amp;[Çorap]" c="Çorap">
                <p n="[Material].[H_MainGroup].[MainGroupDesc].&amp;[Salon]"/>
              </i>
              <i n="[Material].[H_MainGroup].[MainGroupDesc].&amp;[Salon].&amp;[Dekoratif Koltuk]" c="Dekoratif Koltuk">
                <p n="[Material].[H_MainGroup].[MainGroupDesc].&amp;[Salon]"/>
              </i>
              <i n="[Material].[H_MainGroup].[MainGroupDesc].&amp;[Salon].&amp;[Dekoratif Minder]" c="Dekoratif Minder">
                <p n="[Material].[H_MainGroup].[MainGroupDesc].&amp;[Salon]"/>
              </i>
              <i n="[Material].[H_MainGroup].[MainGroupDesc].&amp;[Salon].&amp;[Dekoratif Puf]" c="Dekoratif Puf">
                <p n="[Material].[H_MainGroup].[MainGroupDesc].&amp;[Salon]"/>
              </i>
              <i n="[Material].[H_MainGroup].[MainGroupDesc].&amp;[Salon].&amp;[Deniz Şortu]" c="Deniz Şortu">
                <p n="[Material].[H_MainGroup].[MainGroupDesc].&amp;[Salon]"/>
              </i>
              <i n="[Material].[H_MainGroup].[MainGroupDesc].&amp;[Salon].&amp;[Diğer]" c="Diğer">
                <p n="[Material].[H_MainGroup].[MainGroupDesc].&amp;[Salon]"/>
              </i>
              <i n="[Material].[H_MainGroup].[MainGroupDesc].&amp;[Salon].&amp;[Dolgulu Kırlent]" c="Dolgulu Kırlent">
                <p n="[Material].[H_MainGroup].[MainGroupDesc].&amp;[Salon]"/>
              </i>
              <i n="[Material].[H_MainGroup].[MainGroupDesc].&amp;[Salon].&amp;[Duvar Kağıdı]" c="Duvar Kağıdı">
                <p n="[Material].[H_MainGroup].[MainGroupDesc].&amp;[Salon]"/>
              </i>
              <i n="[Material].[H_MainGroup].[MainGroupDesc].&amp;[Salon].&amp;[Düzenleyici]" c="Düzenleyici">
                <p n="[Material].[H_MainGroup].[MainGroupDesc].&amp;[Salon]"/>
              </i>
              <i n="[Material].[H_MainGroup].[MainGroupDesc].&amp;[Salon].&amp;[Eldiven]" c="Eldiven">
                <p n="[Material].[H_MainGroup].[MainGroupDesc].&amp;[Salon]"/>
              </i>
              <i n="[Material].[H_MainGroup].[MainGroupDesc].&amp;[Salon].&amp;[Ev Terliği]" c="Ev Terliği">
                <p n="[Material].[H_MainGroup].[MainGroupDesc].&amp;[Salon]"/>
              </i>
              <i n="[Material].[H_MainGroup].[MainGroupDesc].&amp;[Salon].&amp;[Evcil Hayvan Yatağı]" c="Evcil Hayvan Yatağı">
                <p n="[Material].[H_MainGroup].[MainGroupDesc].&amp;[Salon]"/>
              </i>
              <i n="[Material].[H_MainGroup].[MainGroupDesc].&amp;[Salon].&amp;[Fanila]" c="Fanila">
                <p n="[Material].[H_MainGroup].[MainGroupDesc].&amp;[Salon]"/>
              </i>
              <i n="[Material].[H_MainGroup].[MainGroupDesc].&amp;[Salon].&amp;[Fon Perde]" c="Fon Perde">
                <p n="[Material].[H_MainGroup].[MainGroupDesc].&amp;[Salon]"/>
              </i>
              <i n="[Material].[H_MainGroup].[MainGroupDesc].&amp;[Salon].&amp;[Gecelik]" c="Gecelik">
                <p n="[Material].[H_MainGroup].[MainGroupDesc].&amp;[Salon]"/>
              </i>
              <i n="[Material].[H_MainGroup].[MainGroupDesc].&amp;[Salon].&amp;[Hasır Çanta]" c="Hasır Çanta">
                <p n="[Material].[H_MainGroup].[MainGroupDesc].&amp;[Salon]"/>
              </i>
              <i n="[Material].[H_MainGroup].[MainGroupDesc].&amp;[Salon].&amp;[İç Çamaşır Takımı]" c="İç Çamaşır Takımı">
                <p n="[Material].[H_MainGroup].[MainGroupDesc].&amp;[Salon]"/>
              </i>
              <i n="[Material].[H_MainGroup].[MainGroupDesc].&amp;[Salon].&amp;[İçlik]" c="İçlik">
                <p n="[Material].[H_MainGroup].[MainGroupDesc].&amp;[Salon]"/>
              </i>
              <i n="[Material].[H_MainGroup].[MainGroupDesc].&amp;[Salon].&amp;[Kapri Takım]" c="Kapri Takım">
                <p n="[Material].[H_MainGroup].[MainGroupDesc].&amp;[Salon]"/>
              </i>
              <i n="[Material].[H_MainGroup].[MainGroupDesc].&amp;[Salon].&amp;[Kartela Kumaşı]" c="Kartela Kumaşı">
                <p n="[Material].[H_MainGroup].[MainGroupDesc].&amp;[Salon]"/>
              </i>
              <i n="[Material].[H_MainGroup].[MainGroupDesc].&amp;[Salon].&amp;[Kırlent]" c="Kırlent">
                <p n="[Material].[H_MainGroup].[MainGroupDesc].&amp;[Salon]"/>
              </i>
              <i n="[Material].[H_MainGroup].[MainGroupDesc].&amp;[Salon].&amp;[Kısa Gecelik]" c="Kısa Gecelik">
                <p n="[Material].[H_MainGroup].[MainGroupDesc].&amp;[Salon]"/>
              </i>
              <i n="[Material].[H_MainGroup].[MainGroupDesc].&amp;[Salon].&amp;[Koltuk Örtüsü]" c="Koltuk Örtüsü">
                <p n="[Material].[H_MainGroup].[MainGroupDesc].&amp;[Salon]"/>
              </i>
              <i n="[Material].[H_MainGroup].[MainGroupDesc].&amp;[Salon].&amp;[Koltuk Şalı]" c="Koltuk Şalı">
                <p n="[Material].[H_MainGroup].[MainGroupDesc].&amp;[Salon]"/>
              </i>
              <i n="[Material].[H_MainGroup].[MainGroupDesc].&amp;[Salon].&amp;[Külot]" c="Külot">
                <p n="[Material].[H_MainGroup].[MainGroupDesc].&amp;[Salon]"/>
              </i>
              <i n="[Material].[H_MainGroup].[MainGroupDesc].&amp;[Salon].&amp;[Omuz Şalı]" c="Omuz Şalı">
                <p n="[Material].[H_MainGroup].[MainGroupDesc].&amp;[Salon]"/>
              </i>
              <i n="[Material].[H_MainGroup].[MainGroupDesc].&amp;[Salon].&amp;[Panço]" c="Panço">
                <p n="[Material].[H_MainGroup].[MainGroupDesc].&amp;[Salon]"/>
              </i>
              <i n="[Material].[H_MainGroup].[MainGroupDesc].&amp;[Salon].&amp;[Panduf Ev Babeti]" c="Panduf Ev Babeti">
                <p n="[Material].[H_MainGroup].[MainGroupDesc].&amp;[Salon]"/>
              </i>
              <i n="[Material].[H_MainGroup].[MainGroupDesc].&amp;[Salon].&amp;[Panduf Ev Botu]" c="Panduf Ev Botu">
                <p n="[Material].[H_MainGroup].[MainGroupDesc].&amp;[Salon]"/>
              </i>
              <i n="[Material].[H_MainGroup].[MainGroupDesc].&amp;[Salon].&amp;[Patik Çorap]" c="Patik Çorap">
                <p n="[Material].[H_MainGroup].[MainGroupDesc].&amp;[Salon]"/>
              </i>
              <i n="[Material].[H_MainGroup].[MainGroupDesc].&amp;[Salon].&amp;[Peluş Çorap]" c="Peluş Çorap">
                <p n="[Material].[H_MainGroup].[MainGroupDesc].&amp;[Salon]"/>
              </i>
              <i n="[Material].[H_MainGroup].[MainGroupDesc].&amp;[Salon].&amp;[Pijama Takımı]" c="Pijama Takımı">
                <p n="[Material].[H_MainGroup].[MainGroupDesc].&amp;[Salon]"/>
              </i>
              <i n="[Material].[H_MainGroup].[MainGroupDesc].&amp;[Salon].&amp;[Pijama Üst]" c="Pijama Üst">
                <p n="[Material].[H_MainGroup].[MainGroupDesc].&amp;[Salon]"/>
              </i>
              <i n="[Material].[H_MainGroup].[MainGroupDesc].&amp;[Salon].&amp;[Plaj Çantası.]" c="Plaj Çantası.">
                <p n="[Material].[H_MainGroup].[MainGroupDesc].&amp;[Salon]"/>
              </i>
              <i n="[Material].[H_MainGroup].[MainGroupDesc].&amp;[Salon].&amp;[Plaj Elbisesi]" c="Plaj Elbisesi">
                <p n="[Material].[H_MainGroup].[MainGroupDesc].&amp;[Salon]"/>
              </i>
              <i n="[Material].[H_MainGroup].[MainGroupDesc].&amp;[Salon].&amp;[Plaj Pantolonu]" c="Plaj Pantolonu">
                <p n="[Material].[H_MainGroup].[MainGroupDesc].&amp;[Salon]"/>
              </i>
              <i n="[Material].[H_MainGroup].[MainGroupDesc].&amp;[Salon].&amp;[Plaj Terliği]" c="Plaj Terliği">
                <p n="[Material].[H_MainGroup].[MainGroupDesc].&amp;[Salon]"/>
              </i>
              <i n="[Material].[H_MainGroup].[MainGroupDesc].&amp;[Salon].&amp;[Puf.]" c="Puf.">
                <p n="[Material].[H_MainGroup].[MainGroupDesc].&amp;[Salon]"/>
              </i>
              <i n="[Material].[H_MainGroup].[MainGroupDesc].&amp;[Salon].&amp;[Puset]" c="Puset">
                <p n="[Material].[H_MainGroup].[MainGroupDesc].&amp;[Salon]"/>
              </i>
              <i n="[Material].[H_MainGroup].[MainGroupDesc].&amp;[Salon].&amp;[Sabahlık]" c="Sabahlık">
                <p n="[Material].[H_MainGroup].[MainGroupDesc].&amp;[Salon]"/>
              </i>
              <i n="[Material].[H_MainGroup].[MainGroupDesc].&amp;[Salon].&amp;[Sallanan Koltuk]" c="Sallanan Koltuk">
                <p n="[Material].[H_MainGroup].[MainGroupDesc].&amp;[Salon]"/>
              </i>
              <i n="[Material].[H_MainGroup].[MainGroupDesc].&amp;[Salon].&amp;[Sandalye Minderi]" c="Sandalye Minderi">
                <p n="[Material].[H_MainGroup].[MainGroupDesc].&amp;[Salon]"/>
              </i>
              <i n="[Material].[H_MainGroup].[MainGroupDesc].&amp;[Salon].&amp;[Seyahat Çantası]" c="Seyahat Çantası">
                <p n="[Material].[H_MainGroup].[MainGroupDesc].&amp;[Salon]"/>
              </i>
              <i n="[Material].[H_MainGroup].[MainGroupDesc].&amp;[Salon].&amp;[Sneaker Çorap]" c="Sneaker Çorap">
                <p n="[Material].[H_MainGroup].[MainGroupDesc].&amp;[Salon]"/>
              </i>
              <i n="[Material].[H_MainGroup].[MainGroupDesc].&amp;[Salon].&amp;[Sokak Terliği]" c="Sokak Terliği">
                <p n="[Material].[H_MainGroup].[MainGroupDesc].&amp;[Salon]"/>
              </i>
              <i n="[Material].[H_MainGroup].[MainGroupDesc].&amp;[Salon].&amp;[Soket Çorap]" c="Soket Çorap">
                <p n="[Material].[H_MainGroup].[MainGroupDesc].&amp;[Salon]"/>
              </i>
              <i n="[Material].[H_MainGroup].[MainGroupDesc].&amp;[Salon].&amp;[Şort]" c="Şort">
                <p n="[Material].[H_MainGroup].[MainGroupDesc].&amp;[Salon]"/>
              </i>
              <i n="[Material].[H_MainGroup].[MainGroupDesc].&amp;[Salon].&amp;[Şort Takım]" c="Şort Takım">
                <p n="[Material].[H_MainGroup].[MainGroupDesc].&amp;[Salon]"/>
              </i>
              <i n="[Material].[H_MainGroup].[MainGroupDesc].&amp;[Salon].&amp;[Spor Tshirt]" c="Spor Tshirt">
                <p n="[Material].[H_MainGroup].[MainGroupDesc].&amp;[Salon]"/>
              </i>
              <i n="[Material].[H_MainGroup].[MainGroupDesc].&amp;[Salon].&amp;[Stor Perde]" c="Stor Perde">
                <p n="[Material].[H_MainGroup].[MainGroupDesc].&amp;[Salon]"/>
              </i>
              <i n="[Material].[H_MainGroup].[MainGroupDesc].&amp;[Salon].&amp;[Sütyen]" c="Sütyen">
                <p n="[Material].[H_MainGroup].[MainGroupDesc].&amp;[Salon]"/>
              </i>
              <i n="[Material].[H_MainGroup].[MainGroupDesc].&amp;[Salon].&amp;[Tek Alt]" c="Tek Alt">
                <p n="[Material].[H_MainGroup].[MainGroupDesc].&amp;[Salon]"/>
              </i>
              <i n="[Material].[H_MainGroup].[MainGroupDesc].&amp;[Salon].&amp;[Tek Uzun Alt]" c="Tek Uzun Alt">
                <p n="[Material].[H_MainGroup].[MainGroupDesc].&amp;[Salon]"/>
              </i>
              <i n="[Material].[H_MainGroup].[MainGroupDesc].&amp;[Salon].&amp;[Ten Çorap]" c="Ten Çorap">
                <p n="[Material].[H_MainGroup].[MainGroupDesc].&amp;[Salon]"/>
              </i>
              <i n="[Material].[H_MainGroup].[MainGroupDesc].&amp;[Salon].&amp;[Tül Perde]" c="Tül Perde">
                <p n="[Material].[H_MainGroup].[MainGroupDesc].&amp;[Salon]"/>
              </i>
              <i n="[Material].[H_MainGroup].[MainGroupDesc].&amp;[Salon].&amp;[Uzun Gecelik]" c="Uzun Gecelik">
                <p n="[Material].[H_MainGroup].[MainGroupDesc].&amp;[Salon]"/>
              </i>
              <i n="[Material].[H_MainGroup].[MainGroupDesc].&amp;[Salon].&amp;[Yaslanma Minderi]" c="Yaslanma Minderi">
                <p n="[Material].[H_MainGroup].[MainGroupDesc].&amp;[Salon]"/>
              </i>
              <i n="[Material].[H_MainGroup].[MainGroupDesc].&amp;[Salon].&amp;[Yer Minderi]" c="Yer Minderi">
                <p n="[Material].[H_MainGroup].[MainGroupDesc].&amp;[Salon]"/>
              </i>
              <i n="[Material].[H_MainGroup].[MainGroupDesc].&amp;[Sofra İçecek].&amp;[Bardak]" c="Bardak">
                <p n="[Material].[H_MainGroup].[MainGroupDesc].&amp;[Sofra İçecek]"/>
              </i>
              <i n="[Material].[H_MainGroup].[MainGroupDesc].&amp;[Sofra İçecek].&amp;[Bira Bardağı]" c="Bira Bardağı">
                <p n="[Material].[H_MainGroup].[MainGroupDesc].&amp;[Sofra İçecek]"/>
              </i>
              <i n="[Material].[H_MainGroup].[MainGroupDesc].&amp;[Sofra İçecek].&amp;[Çay Bardağı]" c="Çay Bardağı">
                <p n="[Material].[H_MainGroup].[MainGroupDesc].&amp;[Sofra İçecek]"/>
              </i>
              <i n="[Material].[H_MainGroup].[MainGroupDesc].&amp;[Sofra İçecek].&amp;[Çay Fincanı]" c="Çay Fincanı">
                <p n="[Material].[H_MainGroup].[MainGroupDesc].&amp;[Sofra İçecek]"/>
              </i>
              <i n="[Material].[H_MainGroup].[MainGroupDesc].&amp;[Sofra İçecek].&amp;[Çay Seti]" c="Çay Seti">
                <p n="[Material].[H_MainGroup].[MainGroupDesc].&amp;[Sofra İçecek]"/>
              </i>
              <i n="[Material].[H_MainGroup].[MainGroupDesc].&amp;[Sofra İçecek].&amp;[Çay Takımı]" c="Çay Takımı">
                <p n="[Material].[H_MainGroup].[MainGroupDesc].&amp;[Sofra İçecek]"/>
              </i>
              <i n="[Material].[H_MainGroup].[MainGroupDesc].&amp;[Sofra İçecek].&amp;[Çay-Kahve Takımı]" c="Çay-Kahve Takımı">
                <p n="[Material].[H_MainGroup].[MainGroupDesc].&amp;[Sofra İçecek]"/>
              </i>
              <i n="[Material].[H_MainGroup].[MainGroupDesc].&amp;[Sofra İçecek].&amp;[Detoks Bardağı]" c="Detoks Bardağı">
                <p n="[Material].[H_MainGroup].[MainGroupDesc].&amp;[Sofra İçecek]"/>
              </i>
              <i n="[Material].[H_MainGroup].[MainGroupDesc].&amp;[Sofra İçecek].&amp;[Fincan]" c="Fincan">
                <p n="[Material].[H_MainGroup].[MainGroupDesc].&amp;[Sofra İçecek]"/>
              </i>
              <i n="[Material].[H_MainGroup].[MainGroupDesc].&amp;[Sofra İçecek].&amp;[Kadeh]" c="Kadeh">
                <p n="[Material].[H_MainGroup].[MainGroupDesc].&amp;[Sofra İçecek]"/>
              </i>
              <i n="[Material].[H_MainGroup].[MainGroupDesc].&amp;[Sofra İçecek].&amp;[Kahve Fincan Takımı]" c="Kahve Fincan Takımı">
                <p n="[Material].[H_MainGroup].[MainGroupDesc].&amp;[Sofra İçecek]"/>
              </i>
              <i n="[Material].[H_MainGroup].[MainGroupDesc].&amp;[Sofra İçecek].&amp;[Kahve Fincanı]" c="Kahve Fincanı">
                <p n="[Material].[H_MainGroup].[MainGroupDesc].&amp;[Sofra İçecek]"/>
              </i>
              <i n="[Material].[H_MainGroup].[MainGroupDesc].&amp;[Sofra İçecek].&amp;[Kokteyl Bardağı]" c="Kokteyl Bardağı">
                <p n="[Material].[H_MainGroup].[MainGroupDesc].&amp;[Sofra İçecek]"/>
              </i>
              <i n="[Material].[H_MainGroup].[MainGroupDesc].&amp;[Sofra İçecek].&amp;[Kupa]" c="Kupa">
                <p n="[Material].[H_MainGroup].[MainGroupDesc].&amp;[Sofra İçecek]"/>
              </i>
              <i n="[Material].[H_MainGroup].[MainGroupDesc].&amp;[Sofra İçecek].&amp;[Meşrubat Bardağı]" c="Meşrubat Bardağı">
                <p n="[Material].[H_MainGroup].[MainGroupDesc].&amp;[Sofra İçecek]"/>
              </i>
              <i n="[Material].[H_MainGroup].[MainGroupDesc].&amp;[Sofra İçecek].&amp;[Mug]" c="Mug">
                <p n="[Material].[H_MainGroup].[MainGroupDesc].&amp;[Sofra İçecek]"/>
              </i>
              <i n="[Material].[H_MainGroup].[MainGroupDesc].&amp;[Sofra İçecek].&amp;[Pipetli Bardak]" c="Pipetli Bardak">
                <p n="[Material].[H_MainGroup].[MainGroupDesc].&amp;[Sofra İçecek]"/>
              </i>
              <i n="[Material].[H_MainGroup].[MainGroupDesc].&amp;[Sofra İçecek].&amp;[Şarap Kadehi]" c="Şarap Kadehi">
                <p n="[Material].[H_MainGroup].[MainGroupDesc].&amp;[Sofra İçecek]"/>
              </i>
              <i n="[Material].[H_MainGroup].[MainGroupDesc].&amp;[Sofra İçecek].&amp;[Su Bardağı]" c="Su Bardağı">
                <p n="[Material].[H_MainGroup].[MainGroupDesc].&amp;[Sofra İçecek]"/>
              </i>
              <i n="[Material].[H_MainGroup].[MainGroupDesc].&amp;[Sofra Sunum].&amp;[Amerikan Servis]" c="Amerikan Servis">
                <p n="[Material].[H_MainGroup].[MainGroupDesc].&amp;[Sofra Sunum]"/>
              </i>
              <i n="[Material].[H_MainGroup].[MainGroupDesc].&amp;[Sofra Sunum].&amp;[Başucu Sürahi]" c="Başucu Sürahi">
                <p n="[Material].[H_MainGroup].[MainGroupDesc].&amp;[Sofra Sunum]"/>
              </i>
              <i n="[Material].[H_MainGroup].[MainGroupDesc].&amp;[Sofra Sunum].&amp;[Bebe Mama Takımı]" c="Bebe Mama Takımı">
                <p n="[Material].[H_MainGroup].[MainGroupDesc].&amp;[Sofra Sunum]"/>
              </i>
              <i n="[Material].[H_MainGroup].[MainGroupDesc].&amp;[Sofra Sunum].&amp;[Buz Kovası]" c="Buz Kovası">
                <p n="[Material].[H_MainGroup].[MainGroupDesc].&amp;[Sofra Sunum]"/>
              </i>
              <i n="[Material].[H_MainGroup].[MainGroupDesc].&amp;[Sofra Sunum].&amp;[Çerezlik]" c="Çerezlik">
                <p n="[Material].[H_MainGroup].[MainGroupDesc].&amp;[Sofra Sunum]"/>
              </i>
              <i n="[Material].[H_MainGroup].[MainGroupDesc].&amp;[Sofra Sunum].&amp;[Çocuk Fırın Eldiveni]" c="Çocuk Fırın Eldiveni">
                <p n="[Material].[H_MainGroup].[MainGroupDesc].&amp;[Sofra Sunum]"/>
              </i>
              <i n="[Material].[H_MainGroup].[MainGroupDesc].&amp;[Sofra Sunum].&amp;[Çocuk Önlüğü]" c="Çocuk Önlüğü">
                <p n="[Material].[H_MainGroup].[MainGroupDesc].&amp;[Sofra Sunum]"/>
              </i>
              <i n="[Material].[H_MainGroup].[MainGroupDesc].&amp;[Sofra Sunum].&amp;[Çorba Kasesi]" c="Çorba Kasesi">
                <p n="[Material].[H_MainGroup].[MainGroupDesc].&amp;[Sofra Sunum]"/>
              </i>
              <i n="[Material].[H_MainGroup].[MainGroupDesc].&amp;[Sofra Sunum].&amp;[Çukur Tabak]" c="Çukur Tabak">
                <p n="[Material].[H_MainGroup].[MainGroupDesc].&amp;[Sofra Sunum]"/>
              </i>
              <i n="[Material].[H_MainGroup].[MainGroupDesc].&amp;[Sofra Sunum].&amp;[Cup]" c="Cup">
                <p n="[Material].[H_MainGroup].[MainGroupDesc].&amp;[Sofra Sunum]"/>
              </i>
              <i n="[Material].[H_MainGroup].[MainGroupDesc].&amp;[Sofra Sunum].&amp;[Damacana Kılıfı]" c="Damacana Kılıfı">
                <p n="[Material].[H_MainGroup].[MainGroupDesc].&amp;[Sofra Sunum]"/>
              </i>
              <i n="[Material].[H_MainGroup].[MainGroupDesc].&amp;[Sofra Sunum].&amp;[Dekoratif Şekerlik]" c="Dekoratif Şekerlik">
                <p n="[Material].[H_MainGroup].[MainGroupDesc].&amp;[Sofra Sunum]"/>
              </i>
              <i n="[Material].[H_MainGroup].[MainGroupDesc].&amp;[Sofra Sunum].&amp;[Dizüstü Tepsi]" c="Dizüstü Tepsi">
                <p n="[Material].[H_MainGroup].[MainGroupDesc].&amp;[Sofra Sunum]"/>
              </i>
              <i n="[Material].[H_MainGroup].[MainGroupDesc].&amp;[Sofra Sunum].&amp;[Kağıt Peçete]" c="Kağıt Peçete">
                <p n="[Material].[H_MainGroup].[MainGroupDesc].&amp;[Sofra Sunum]"/>
              </i>
              <i n="[Material].[H_MainGroup].[MainGroupDesc].&amp;[Sofra Sunum].&amp;[Kahvaltılık]" c="Kahvaltılık">
                <p n="[Material].[H_MainGroup].[MainGroupDesc].&amp;[Sofra Sunum]"/>
              </i>
              <i n="[Material].[H_MainGroup].[MainGroupDesc].&amp;[Sofra Sunum].&amp;[Karaf]" c="Karaf">
                <p n="[Material].[H_MainGroup].[MainGroupDesc].&amp;[Sofra Sunum]"/>
              </i>
              <i n="[Material].[H_MainGroup].[MainGroupDesc].&amp;[Sofra Sunum].&amp;[Karaf Seti]" c="Karaf Seti">
                <p n="[Material].[H_MainGroup].[MainGroupDesc].&amp;[Sofra Sunum]"/>
              </i>
              <i n="[Material].[H_MainGroup].[MainGroupDesc].&amp;[Sofra Sunum].&amp;[Kase]" c="Kase">
                <p n="[Material].[H_MainGroup].[MainGroupDesc].&amp;[Sofra Sunum]"/>
              </i>
              <i n="[Material].[H_MainGroup].[MainGroupDesc].&amp;[Sofra Sunum].&amp;[Katlı Servis]" c="Katlı Servis">
                <p n="[Material].[H_MainGroup].[MainGroupDesc].&amp;[Sofra Sunum]"/>
              </i>
              <i n="[Material].[H_MainGroup].[MainGroupDesc].&amp;[Sofra Sunum].&amp;[Kayık Tabak]" c="Kayık Tabak">
                <p n="[Material].[H_MainGroup].[MainGroupDesc].&amp;[Sofra Sunum]"/>
              </i>
              <i n="[Material].[H_MainGroup].[MainGroupDesc].&amp;[Sofra Sunum].&amp;[Kek Fanus]" c="Kek Fanus">
                <p n="[Material].[H_MainGroup].[MainGroupDesc].&amp;[Sofra Sunum]"/>
              </i>
              <i n="[Material].[H_MainGroup].[MainGroupDesc].&amp;[Sofra Sunum].&amp;[Kokteyl Peçetesi]" c="Kokteyl Peçetesi">
                <p n="[Material].[H_MainGroup].[MainGroupDesc].&amp;[Sofra Sunum]"/>
              </i>
              <i n="[Material].[H_MainGroup].[MainGroupDesc].&amp;[Sofra Sunum].&amp;[Kokteyl Seti]" c="Kokteyl Seti">
                <p n="[Material].[H_MainGroup].[MainGroupDesc].&amp;[Sofra Sunum]"/>
              </i>
              <i n="[Material].[H_MainGroup].[MainGroupDesc].&amp;[Sofra Sunum].&amp;[Kurabiyelik]" c="Kurabiyelik">
                <p n="[Material].[H_MainGroup].[MainGroupDesc].&amp;[Sofra Sunum]"/>
              </i>
              <i n="[Material].[H_MainGroup].[MainGroupDesc].&amp;[Sofra Sunum].&amp;[Kurulama Bezi]" c="Kurulama Bezi">
                <p n="[Material].[H_MainGroup].[MainGroupDesc].&amp;[Sofra Sunum]"/>
              </i>
              <i n="[Material].[H_MainGroup].[MainGroupDesc].&amp;[Sofra Sunum].&amp;[Lokumluk]" c="Lokumluk">
                <p n="[Material].[H_MainGroup].[MainGroupDesc].&amp;[Sofra Sunum]"/>
              </i>
              <i n="[Material].[H_MainGroup].[MainGroupDesc].&amp;[Sofra Sunum].&amp;[Masa Örtüsü]" c="Masa Örtüsü">
                <p n="[Material].[H_MainGroup].[MainGroupDesc].&amp;[Sofra Sunum]"/>
              </i>
              <i n="[Material].[H_MainGroup].[MainGroupDesc].&amp;[Sofra Sunum].&amp;[Meşrubatlık]" c="Meşrubatlık">
                <p n="[Material].[H_MainGroup].[MainGroupDesc].&amp;[Sofra Sunum]"/>
              </i>
              <i n="[Material].[H_MainGroup].[MainGroupDesc].&amp;[Sofra Sunum].&amp;[Misafir Peçetesi]" c="Misafir Peçetesi">
                <p n="[Material].[H_MainGroup].[MainGroupDesc].&amp;[Sofra Sunum]"/>
              </i>
              <i n="[Material].[H_MainGroup].[MainGroupDesc].&amp;[Sofra Sunum].&amp;[Mutfak Bezi]" c="Mutfak Bezi">
                <p n="[Material].[H_MainGroup].[MainGroupDesc].&amp;[Sofra Sunum]"/>
              </i>
              <i n="[Material].[H_MainGroup].[MainGroupDesc].&amp;[Sofra Sunum].&amp;[Mutfak Masa Örtüsü]" c="Mutfak Masa Örtüsü">
                <p n="[Material].[H_MainGroup].[MainGroupDesc].&amp;[Sofra Sunum]"/>
              </i>
              <i n="[Material].[H_MainGroup].[MainGroupDesc].&amp;[Sofra Sunum].&amp;[Mutfak Minderi]" c="Mutfak Minderi">
                <p n="[Material].[H_MainGroup].[MainGroupDesc].&amp;[Sofra Sunum]"/>
              </i>
              <i n="[Material].[H_MainGroup].[MainGroupDesc].&amp;[Sofra Sunum].&amp;[Mutfak Önlüğü]" c="Mutfak Önlüğü">
                <p n="[Material].[H_MainGroup].[MainGroupDesc].&amp;[Sofra Sunum]"/>
              </i>
              <i n="[Material].[H_MainGroup].[MainGroupDesc].&amp;[Sofra Sunum].&amp;[Mutfak Runnerı]" c="Mutfak Runnerı">
                <p n="[Material].[H_MainGroup].[MainGroupDesc].&amp;[Sofra Sunum]"/>
              </i>
              <i n="[Material].[H_MainGroup].[MainGroupDesc].&amp;[Sofra Sunum].&amp;[Mutfak Seti]" c="Mutfak Seti">
                <p n="[Material].[H_MainGroup].[MainGroupDesc].&amp;[Sofra Sunum]"/>
              </i>
              <i n="[Material].[H_MainGroup].[MainGroupDesc].&amp;[Sofra Sunum].&amp;[Pasta Tabağı]" c="Pasta Tabağı">
                <p n="[Material].[H_MainGroup].[MainGroupDesc].&amp;[Sofra Sunum]"/>
              </i>
              <i n="[Material].[H_MainGroup].[MainGroupDesc].&amp;[Sofra Sunum].&amp;[Peçete Halkası]" c="Peçete Halkası">
                <p n="[Material].[H_MainGroup].[MainGroupDesc].&amp;[Sofra Sunum]"/>
              </i>
              <i n="[Material].[H_MainGroup].[MainGroupDesc].&amp;[Sofra Sunum].&amp;[Peçete Yüzüğü]" c="Peçete Yüzüğü">
                <p n="[Material].[H_MainGroup].[MainGroupDesc].&amp;[Sofra Sunum]"/>
              </i>
              <i n="[Material].[H_MainGroup].[MainGroupDesc].&amp;[Sofra Sunum].&amp;[Peynir Tahtası]" c="Peynir Tahtası">
                <p n="[Material].[H_MainGroup].[MainGroupDesc].&amp;[Sofra Sunum]"/>
              </i>
              <i n="[Material].[H_MainGroup].[MainGroupDesc].&amp;[Sofra Sunum].&amp;[Piknik Çantası]" c="Piknik Çantası">
                <p n="[Material].[H_MainGroup].[MainGroupDesc].&amp;[Sofra Sunum]"/>
              </i>
              <i n="[Material].[H_MainGroup].[MainGroupDesc].&amp;[Sofra Sunum].&amp;[Piknik Örtüsü.]" c="Piknik Örtüsü.">
                <p n="[Material].[H_MainGroup].[MainGroupDesc].&amp;[Sofra Sunum]"/>
              </i>
              <i n="[Material].[H_MainGroup].[MainGroupDesc].&amp;[Sofra Sunum].&amp;[Reçellik]" c="Reçellik">
                <p n="[Material].[H_MainGroup].[MainGroupDesc].&amp;[Sofra Sunum]"/>
              </i>
              <i n="[Material].[H_MainGroup].[MainGroupDesc].&amp;[Sofra Sunum].&amp;[Runner]" c="Runner">
                <p n="[Material].[H_MainGroup].[MainGroupDesc].&amp;[Sofra Sunum]"/>
              </i>
              <i n="[Material].[H_MainGroup].[MainGroupDesc].&amp;[Sofra Sunum].&amp;[Salata Kasesi]" c="Salata Kasesi">
                <p n="[Material].[H_MainGroup].[MainGroupDesc].&amp;[Sofra Sunum]"/>
              </i>
              <i n="[Material].[H_MainGroup].[MainGroupDesc].&amp;[Sofra Sunum].&amp;[Sehpa Örtüsü]" c="Sehpa Örtüsü">
                <p n="[Material].[H_MainGroup].[MainGroupDesc].&amp;[Sofra Sunum]"/>
              </i>
              <i n="[Material].[H_MainGroup].[MainGroupDesc].&amp;[Sofra Sunum].&amp;[Servis Standı]" c="Servis Standı">
                <p n="[Material].[H_MainGroup].[MainGroupDesc].&amp;[Sofra Sunum]"/>
              </i>
              <i n="[Material].[H_MainGroup].[MainGroupDesc].&amp;[Sofra Sunum].&amp;[Servis Tabağı]" c="Servis Tabağı">
                <p n="[Material].[H_MainGroup].[MainGroupDesc].&amp;[Sofra Sunum]"/>
              </i>
              <i n="[Material].[H_MainGroup].[MainGroupDesc].&amp;[Sofra Sunum].&amp;[Servis Tamamlayıcı]" c="Servis Tamamlayıcı">
                <p n="[Material].[H_MainGroup].[MainGroupDesc].&amp;[Sofra Sunum]"/>
              </i>
              <i n="[Material].[H_MainGroup].[MainGroupDesc].&amp;[Sofra Sunum].&amp;[Şişe]" c="Şişe">
                <p n="[Material].[H_MainGroup].[MainGroupDesc].&amp;[Sofra Sunum]"/>
              </i>
              <i n="[Material].[H_MainGroup].[MainGroupDesc].&amp;[Sofra Sunum].&amp;[Sosluk]" c="Sosluk">
                <p n="[Material].[H_MainGroup].[MainGroupDesc].&amp;[Sofra Sunum]"/>
              </i>
              <i n="[Material].[H_MainGroup].[MainGroupDesc].&amp;[Sofra Sunum].&amp;[Su Takımı]" c="Su Takımı">
                <p n="[Material].[H_MainGroup].[MainGroupDesc].&amp;[Sofra Sunum]"/>
              </i>
              <i n="[Material].[H_MainGroup].[MainGroupDesc].&amp;[Sofra Sunum].&amp;[Sunum Kasesi]" c="Sunum Kasesi">
                <p n="[Material].[H_MainGroup].[MainGroupDesc].&amp;[Sofra Sunum]"/>
              </i>
              <i n="[Material].[H_MainGroup].[MainGroupDesc].&amp;[Sofra Sunum].&amp;[Sunum Seti]" c="Sunum Seti">
                <p n="[Material].[H_MainGroup].[MainGroupDesc].&amp;[Sofra Sunum]"/>
              </i>
              <i n="[Material].[H_MainGroup].[MainGroupDesc].&amp;[Sofra Sunum].&amp;[Sunum Tabağı]" c="Sunum Tabağı">
                <p n="[Material].[H_MainGroup].[MainGroupDesc].&amp;[Sofra Sunum]"/>
              </i>
              <i n="[Material].[H_MainGroup].[MainGroupDesc].&amp;[Sofra Sunum].&amp;[Sunum Tahtası]" c="Sunum Tahtası">
                <p n="[Material].[H_MainGroup].[MainGroupDesc].&amp;[Sofra Sunum]"/>
              </i>
              <i n="[Material].[H_MainGroup].[MainGroupDesc].&amp;[Sofra Sunum].&amp;[Sunumluk]" c="Sunumluk">
                <p n="[Material].[H_MainGroup].[MainGroupDesc].&amp;[Sofra Sunum]"/>
              </i>
              <i n="[Material].[H_MainGroup].[MainGroupDesc].&amp;[Sofra Sunum].&amp;[Supla]" c="Supla">
                <p n="[Material].[H_MainGroup].[MainGroupDesc].&amp;[Sofra Sunum]"/>
              </i>
              <i n="[Material].[H_MainGroup].[MainGroupDesc].&amp;[Sofra Sunum].&amp;[Supla Altı]" c="Supla Altı">
                <p n="[Material].[H_MainGroup].[MainGroupDesc].&amp;[Sofra Sunum]"/>
              </i>
              <i n="[Material].[H_MainGroup].[MainGroupDesc].&amp;[Sofra Sunum].&amp;[Sürahi]" c="Sürahi">
                <p n="[Material].[H_MainGroup].[MainGroupDesc].&amp;[Sofra Sunum]"/>
              </i>
              <i n="[Material].[H_MainGroup].[MainGroupDesc].&amp;[Sofra Sunum].&amp;[Tabak]" c="Tabak">
                <p n="[Material].[H_MainGroup].[MainGroupDesc].&amp;[Sofra Sunum]"/>
              </i>
              <i n="[Material].[H_MainGroup].[MainGroupDesc].&amp;[Sofra Sunum].&amp;[Tatlı Tabağı]" c="Tatlı Tabağı">
                <p n="[Material].[H_MainGroup].[MainGroupDesc].&amp;[Sofra Sunum]"/>
              </i>
              <i n="[Material].[H_MainGroup].[MainGroupDesc].&amp;[Sofra Sunum].&amp;[Tepsi]" c="Tepsi">
                <p n="[Material].[H_MainGroup].[MainGroupDesc].&amp;[Sofra Sunum]"/>
              </i>
              <i n="[Material].[H_MainGroup].[MainGroupDesc].&amp;[Sofra Sunum].&amp;[Tereyağlık]" c="Tereyağlık">
                <p n="[Material].[H_MainGroup].[MainGroupDesc].&amp;[Sofra Sunum]"/>
              </i>
              <i n="[Material].[H_MainGroup].[MainGroupDesc].&amp;[Sofra Sunum].&amp;[Tuzluk]" c="Tuzluk">
                <p n="[Material].[H_MainGroup].[MainGroupDesc].&amp;[Sofra Sunum]"/>
              </i>
              <i n="[Material].[H_MainGroup].[MainGroupDesc].&amp;[Sofra Sunum].&amp;[Tuzluk - Biberlik]" c="Tuzluk - Biberlik">
                <p n="[Material].[H_MainGroup].[MainGroupDesc].&amp;[Sofra Sunum]"/>
              </i>
              <i n="[Material].[H_MainGroup].[MainGroupDesc].&amp;[Sofra Sunum].&amp;[Yağdanlık]" c="Yağdanlık">
                <p n="[Material].[H_MainGroup].[MainGroupDesc].&amp;[Sofra Sunum]"/>
              </i>
              <i n="[Material].[H_MainGroup].[MainGroupDesc].&amp;[Sofra Sunum].&amp;[Yağ-Sirke-Tuz-Bbr]" c="Yağ-Sirke-Tuz-Bbr">
                <p n="[Material].[H_MainGroup].[MainGroupDesc].&amp;[Sofra Sunum]"/>
              </i>
              <i n="[Material].[H_MainGroup].[MainGroupDesc].&amp;[Sofra Takımları].&amp;[Çatal Kaşık Bıçak Tk]" c="Çatal Kaşık Bıçak Tk">
                <p n="[Material].[H_MainGroup].[MainGroupDesc].&amp;[Sofra Takımları]"/>
              </i>
              <i n="[Material].[H_MainGroup].[MainGroupDesc].&amp;[Sofra Takımları].&amp;[Çay Kaşığı]" c="Çay Kaşığı">
                <p n="[Material].[H_MainGroup].[MainGroupDesc].&amp;[Sofra Takımları]"/>
              </i>
              <i n="[Material].[H_MainGroup].[MainGroupDesc].&amp;[Sofra Takımları].&amp;[Çay Tabağı]" c="Çay Tabağı">
                <p n="[Material].[H_MainGroup].[MainGroupDesc].&amp;[Sofra Takımları]"/>
              </i>
              <i n="[Material].[H_MainGroup].[MainGroupDesc].&amp;[Sofra Takımları].&amp;[Kahvaltı Takımı]" c="Kahvaltı Takımı">
                <p n="[Material].[H_MainGroup].[MainGroupDesc].&amp;[Sofra Takımları]"/>
              </i>
              <i n="[Material].[H_MainGroup].[MainGroupDesc].&amp;[Sofra Takımları].&amp;[Kokteyl Çatalı]" c="Kokteyl Çatalı">
                <p n="[Material].[H_MainGroup].[MainGroupDesc].&amp;[Sofra Takımları]"/>
              </i>
              <i n="[Material].[H_MainGroup].[MainGroupDesc].&amp;[Sofra Takımları].&amp;[Kokteyl Karıştırıcı]" c="Kokteyl Karıştırıcı">
                <p n="[Material].[H_MainGroup].[MainGroupDesc].&amp;[Sofra Takımları]"/>
              </i>
              <i n="[Material].[H_MainGroup].[MainGroupDesc].&amp;[Sofra Takımları].&amp;[Pasta Seti]" c="Pasta Seti">
                <p n="[Material].[H_MainGroup].[MainGroupDesc].&amp;[Sofra Takımları]"/>
              </i>
              <i n="[Material].[H_MainGroup].[MainGroupDesc].&amp;[Sofra Takımları].&amp;[Tatlı Bıçağı]" c="Tatlı Bıçağı">
                <p n="[Material].[H_MainGroup].[MainGroupDesc].&amp;[Sofra Takımları]"/>
              </i>
              <i n="[Material].[H_MainGroup].[MainGroupDesc].&amp;[Sofra Takımları].&amp;[Tatlı Çatalı]" c="Tatlı Çatalı">
                <p n="[Material].[H_MainGroup].[MainGroupDesc].&amp;[Sofra Takımları]"/>
              </i>
              <i n="[Material].[H_MainGroup].[MainGroupDesc].&amp;[Sofra Takımları].&amp;[Tatlı Kaşığı]" c="Tatlı Kaşığı">
                <p n="[Material].[H_MainGroup].[MainGroupDesc].&amp;[Sofra Takımları]"/>
              </i>
              <i n="[Material].[H_MainGroup].[MainGroupDesc].&amp;[Sofra Takımları].&amp;[Yemek Bıçağı]" c="Yemek Bıçağı">
                <p n="[Material].[H_MainGroup].[MainGroupDesc].&amp;[Sofra Takımları]"/>
              </i>
              <i n="[Material].[H_MainGroup].[MainGroupDesc].&amp;[Sofra Takımları].&amp;[Yemek Çatalı]" c="Yemek Çatalı">
                <p n="[Material].[H_MainGroup].[MainGroupDesc].&amp;[Sofra Takımları]"/>
              </i>
              <i n="[Material].[H_MainGroup].[MainGroupDesc].&amp;[Sofra Takımları].&amp;[Yemek Kaşığı]" c="Yemek Kaşığı">
                <p n="[Material].[H_MainGroup].[MainGroupDesc].&amp;[Sofra Takımları]"/>
              </i>
              <i n="[Material].[H_MainGroup].[MainGroupDesc].&amp;[Sofra Takımları].&amp;[Yemek Takımı]" c="Yemek Takımı">
                <p n="[Material].[H_MainGroup].[MainGroupDesc].&amp;[Sofra Takımları]"/>
              </i>
              <i n="[Material].[H_MainGroup].[MainGroupDesc].&amp;[Yastık].&amp;[Alez Yastık Kılıfı]" c="Alez Yastık Kılıfı">
                <p n="[Material].[H_MainGroup].[MainGroupDesc].&amp;[Yastık]"/>
              </i>
              <i n="[Material].[H_MainGroup].[MainGroupDesc].&amp;[Yastık].&amp;[Bebe Yastık]" c="Bebe Yastık">
                <p n="[Material].[H_MainGroup].[MainGroupDesc].&amp;[Yastık]"/>
              </i>
              <i n="[Material].[H_MainGroup].[MainGroupDesc].&amp;[Yastık].&amp;[Bel Yastığı]" c="Bel Yastığı">
                <p n="[Material].[H_MainGroup].[MainGroupDesc].&amp;[Yastık]"/>
              </i>
              <i n="[Material].[H_MainGroup].[MainGroupDesc].&amp;[Yastık].&amp;[Çocuk Yastık Kılıfı]" c="Çocuk Yastık Kılıfı">
                <p n="[Material].[H_MainGroup].[MainGroupDesc].&amp;[Yastık]"/>
              </i>
              <i n="[Material].[H_MainGroup].[MainGroupDesc].&amp;[Yastık].&amp;[Dekoratif Yastık]" c="Dekoratif Yastık">
                <p n="[Material].[H_MainGroup].[MainGroupDesc].&amp;[Yastık]"/>
              </i>
              <i n="[Material].[H_MainGroup].[MainGroupDesc].&amp;[Yastık].&amp;[Destekli Yastık]" c="Destekli Yastık">
                <p n="[Material].[H_MainGroup].[MainGroupDesc].&amp;[Yastık]"/>
              </i>
              <i n="[Material].[H_MainGroup].[MainGroupDesc].&amp;[Yastık].&amp;[Kırlent Yastık]" c="Kırlent Yastık">
                <p n="[Material].[H_MainGroup].[MainGroupDesc].&amp;[Yastık]"/>
              </i>
              <i n="[Material].[H_MainGroup].[MainGroupDesc].&amp;[Yastık].&amp;[Yastık]" c="Yastık">
                <p n="[Material].[H_MainGroup].[MainGroupDesc].&amp;[Yastık]"/>
              </i>
              <i n="[Material].[H_MainGroup].[MainGroupDesc].&amp;[Yastık].&amp;[Yastık Alezi]" c="Yastık Alezi">
                <p n="[Material].[H_MainGroup].[MainGroupDesc].&amp;[Yastık]"/>
              </i>
              <i n="[Material].[H_MainGroup].[MainGroupDesc].&amp;[Yatak Örtüsü].&amp;[Bebe Yatak K. Koruma]" c="Bebe Yatak K. Koruma">
                <p n="[Material].[H_MainGroup].[MainGroupDesc].&amp;[Yatak Örtüsü]"/>
              </i>
              <i n="[Material].[H_MainGroup].[MainGroupDesc].&amp;[Yatak Örtüsü].&amp;[Bebe Yatak Koruma]" c="Bebe Yatak Koruma">
                <p n="[Material].[H_MainGroup].[MainGroupDesc].&amp;[Yatak Örtüsü]"/>
              </i>
              <i n="[Material].[H_MainGroup].[MainGroupDesc].&amp;[Yatak Örtüsü].&amp;[Çocuk Yatak Örtü Tkm]" c="Çocuk Yatak Örtü Tkm">
                <p n="[Material].[H_MainGroup].[MainGroupDesc].&amp;[Yatak Örtüsü]"/>
              </i>
              <i n="[Material].[H_MainGroup].[MainGroupDesc].&amp;[Yatak Örtüsü].&amp;[Çok Amaçlı Örtü]" c="Çok Amaçlı Örtü">
                <p n="[Material].[H_MainGroup].[MainGroupDesc].&amp;[Yatak Örtüsü]"/>
              </i>
              <i n="[Material].[H_MainGroup].[MainGroupDesc].&amp;[Yatak Örtüsü].&amp;[Yatak Örtüsü]" c="Yatak Örtüsü">
                <p n="[Material].[H_MainGroup].[MainGroupDesc].&amp;[Yatak Örtüsü]"/>
              </i>
              <i n="[Material].[H_MainGroup].[MainGroupDesc].&amp;[Yatak Örtüsü].&amp;[Yatak Örtüsü Takımı]" c="Yatak Örtüsü Takımı">
                <p n="[Material].[H_MainGroup].[MainGroupDesc].&amp;[Yatak Örtüsü]"/>
              </i>
              <i n="[Material].[H_MainGroup].[MainGroupDesc].&amp;[YEDEK PARÇA].&amp;[Airfryer YP]" c="Airfryer YP">
                <p n="[Material].[H_MainGroup].[MainGroupDesc].&amp;[YEDEK PARÇA]"/>
              </i>
              <i n="[Material].[H_MainGroup].[MainGroupDesc].&amp;[YEDEK PARÇA].&amp;[Çay Makinesi YP]" c="Çay Makinesi YP">
                <p n="[Material].[H_MainGroup].[MainGroupDesc].&amp;[YEDEK PARÇA]"/>
              </i>
              <i n="[Material].[H_MainGroup].[MainGroupDesc].&amp;[YEDEK PARÇA].&amp;[Doğrayıcı YP]" c="Doğrayıcı YP">
                <p n="[Material].[H_MainGroup].[MainGroupDesc].&amp;[YEDEK PARÇA]"/>
              </i>
              <i n="[Material].[H_MainGroup].[MainGroupDesc].&amp;[YEDEK PARÇA].&amp;[El Blen.Multi Set YP]" c="El Blen.Multi Set YP">
                <p n="[Material].[H_MainGroup].[MainGroupDesc].&amp;[YEDEK PARÇA]"/>
              </i>
              <i n="[Material].[H_MainGroup].[MainGroupDesc].&amp;[YEDEK PARÇA].&amp;[El Mikseri YP]" c="El Mikseri YP">
                <p n="[Material].[H_MainGroup].[MainGroupDesc].&amp;[YEDEK PARÇA]"/>
              </i>
              <i n="[Material].[H_MainGroup].[MainGroupDesc].&amp;[YEDEK PARÇA].&amp;[Elektrikli Süpürge Y]" c="Elektrikli Süpürge Y">
                <p n="[Material].[H_MainGroup].[MainGroupDesc].&amp;[YEDEK PARÇA]"/>
              </i>
              <i n="[Material].[H_MainGroup].[MainGroupDesc].&amp;[YEDEK PARÇA].&amp;[Filtre Kahve M.YP]" c="Filtre Kahve M.YP">
                <p n="[Material].[H_MainGroup].[MainGroupDesc].&amp;[YEDEK PARÇA]"/>
              </i>
              <i n="[Material].[H_MainGroup].[MainGroupDesc].&amp;[YEDEK PARÇA].&amp;[Izgara ve Tost M. YP]" c="Izgara ve Tost M. YP">
                <p n="[Material].[H_MainGroup].[MainGroupDesc].&amp;[YEDEK PARÇA]"/>
              </i>
              <i n="[Material].[H_MainGroup].[MainGroupDesc].&amp;[YEDEK PARÇA].&amp;[Kişisel Blender YP]" c="Kişisel Blender YP">
                <p n="[Material].[H_MainGroup].[MainGroupDesc].&amp;[YEDEK PARÇA]"/>
              </i>
              <i n="[Material].[H_MainGroup].[MainGroupDesc].&amp;[YEDEK PARÇA].&amp;[Kozmetik YP]" c="Kozmetik YP">
                <p n="[Material].[H_MainGroup].[MainGroupDesc].&amp;[YEDEK PARÇA]"/>
              </i>
              <i n="[Material].[H_MainGroup].[MainGroupDesc].&amp;[YEDEK PARÇA].&amp;[Mutfak YP]" c="Mutfak YP">
                <p n="[Material].[H_MainGroup].[MainGroupDesc].&amp;[YEDEK PARÇA]"/>
              </i>
              <i n="[Material].[H_MainGroup].[MainGroupDesc].&amp;[YEDEK PARÇA].&amp;[Pişirme YP]" c="Pişirme YP">
                <p n="[Material].[H_MainGroup].[MainGroupDesc].&amp;[YEDEK PARÇA]"/>
              </i>
              <i n="[Material].[H_MainGroup].[MainGroupDesc].&amp;[YEDEK PARÇA].&amp;[Saç Kurutma YP]" c="Saç Kurutma YP">
                <p n="[Material].[H_MainGroup].[MainGroupDesc].&amp;[YEDEK PARÇA]"/>
              </i>
              <i n="[Material].[H_MainGroup].[MainGroupDesc].&amp;[YEDEK PARÇA].&amp;[Sarf YP]" c="Sarf YP">
                <p n="[Material].[H_MainGroup].[MainGroupDesc].&amp;[YEDEK PARÇA]"/>
              </i>
              <i n="[Material].[H_MainGroup].[MainGroupDesc].&amp;[YEDEK PARÇA].&amp;[Şarjlı Süpürge YP.]" c="Şarjlı Süpürge YP.">
                <p n="[Material].[H_MainGroup].[MainGroupDesc].&amp;[YEDEK PARÇA]"/>
              </i>
              <i n="[Material].[H_MainGroup].[MainGroupDesc].&amp;[YEDEK PARÇA].&amp;[Sofra YP]" c="Sofra YP">
                <p n="[Material].[H_MainGroup].[MainGroupDesc].&amp;[YEDEK PARÇA]"/>
              </i>
              <i n="[Material].[H_MainGroup].[MainGroupDesc].&amp;[YEDEK PARÇA].&amp;[SSH YP]" c="SSH YP">
                <p n="[Material].[H_MainGroup].[MainGroupDesc].&amp;[YEDEK PARÇA]"/>
              </i>
              <i n="[Material].[H_MainGroup].[MainGroupDesc].&amp;[YEDEK PARÇA].&amp;[Stand Mikser YP]" c="Stand Mikser YP">
                <p n="[Material].[H_MainGroup].[MainGroupDesc].&amp;[YEDEK PARÇA]"/>
              </i>
              <i n="[Material].[H_MainGroup].[MainGroupDesc].&amp;[YEDEK PARÇA].&amp;[Su Isıtıcısı YP.]" c="Su Isıtıcısı YP.">
                <p n="[Material].[H_MainGroup].[MainGroupDesc].&amp;[YEDEK PARÇA]"/>
              </i>
              <i n="[Material].[H_MainGroup].[MainGroupDesc].&amp;[YEDEK PARÇA].&amp;[Sürahi Blender YP]" c="Sürahi Blender YP">
                <p n="[Material].[H_MainGroup].[MainGroupDesc].&amp;[YEDEK PARÇA]"/>
              </i>
              <i n="[Material].[H_MainGroup].[MainGroupDesc].&amp;[YEDEK PARÇA].&amp;[Türk Kahve M. YP]" c="Türk Kahve M. YP">
                <p n="[Material].[H_MainGroup].[MainGroupDesc].&amp;[YEDEK PARÇA]"/>
              </i>
              <i n="[Material].[H_MainGroup].[MainGroupDesc].&amp;[YEDEK PARÇA].&amp;[Waffle Makinesi YP]" c="Waffle Makinesi YP">
                <p n="[Material].[H_MainGroup].[MainGroupDesc].&amp;[YEDEK PARÇA]"/>
              </i>
              <i n="[Material].[H_MainGroup].[MainGroupDesc].&amp;[Yorgan].&amp;[Alez]" c="Alez">
                <p n="[Material].[H_MainGroup].[MainGroupDesc].&amp;[Yorgan]"/>
              </i>
              <i n="[Material].[H_MainGroup].[MainGroupDesc].&amp;[Yorgan].&amp;[Bebe Alez]" c="Bebe Alez">
                <p n="[Material].[H_MainGroup].[MainGroupDesc].&amp;[Yorgan]"/>
              </i>
              <i n="[Material].[H_MainGroup].[MainGroupDesc].&amp;[Yorgan].&amp;[Bebe Yorgan]" c="Bebe Yorgan">
                <p n="[Material].[H_MainGroup].[MainGroupDesc].&amp;[Yorgan]"/>
              </i>
              <i n="[Material].[H_MainGroup].[MainGroupDesc].&amp;[Yorgan].&amp;[Bebe Yorgan Set]" c="Bebe Yorgan Set">
                <p n="[Material].[H_MainGroup].[MainGroupDesc].&amp;[Yorgan]"/>
              </i>
              <i n="[Material].[H_MainGroup].[MainGroupDesc].&amp;[Yorgan].&amp;[Uyku Seti]" c="Uyku Seti">
                <p n="[Material].[H_MainGroup].[MainGroupDesc].&amp;[Yorgan]"/>
              </i>
              <i n="[Material].[H_MainGroup].[MainGroupDesc].&amp;[Yorgan].&amp;[Yastık ve Yorgan Tk]" c="Yastık ve Yorgan Tk">
                <p n="[Material].[H_MainGroup].[MainGroupDesc].&amp;[Yorgan]"/>
              </i>
              <i n="[Material].[H_MainGroup].[MainGroupDesc].&amp;[Yorgan].&amp;[Yatak Eteği]" c="Yatak Eteği">
                <p n="[Material].[H_MainGroup].[MainGroupDesc].&amp;[Yorgan]"/>
              </i>
              <i n="[Material].[H_MainGroup].[MainGroupDesc].&amp;[Yorgan].&amp;[Yatak Pedi.]" c="Yatak Pedi.">
                <p n="[Material].[H_MainGroup].[MainGroupDesc].&amp;[Yorgan]"/>
              </i>
              <i n="[Material].[H_MainGroup].[MainGroupDesc].&amp;[Yorgan].&amp;[Yorgan]" c="Yorgan">
                <p n="[Material].[H_MainGroup].[MainGroupDesc].&amp;[Yorgan]"/>
              </i>
              <i n="[Material].[H_MainGroup].[MainGroupDesc].&amp;[#NA].&amp;[#NA]" c="#NA" nd="1">
                <p n="[Material].[H_MainGroup].[MainGroupDesc].&amp;[#NA]"/>
              </i>
              <i n="[Material].[H_MainGroup].[MainGroupDesc].&amp;[Aksesuar].&amp;[#NA]" c="#NA" nd="1">
                <p n="[Material].[H_MainGroup].[MainGroupDesc].&amp;[Aksesuar]"/>
              </i>
              <i n="[Material].[H_MainGroup].[MainGroupDesc].&amp;[Aksesuar].&amp;[Alışveriş Arabası]" c="Alışveriş Arabası" nd="1">
                <p n="[Material].[H_MainGroup].[MainGroupDesc].&amp;[Aksesuar]"/>
              </i>
              <i n="[Material].[H_MainGroup].[MainGroupDesc].&amp;[Aksesuar].&amp;[Alışveriş Defteri]" c="Alışveriş Defteri" nd="1">
                <p n="[Material].[H_MainGroup].[MainGroupDesc].&amp;[Aksesuar]"/>
              </i>
              <i n="[Material].[H_MainGroup].[MainGroupDesc].&amp;[Aksesuar].&amp;[Alışveriş Tablosu]" c="Alışveriş Tablosu" nd="1">
                <p n="[Material].[H_MainGroup].[MainGroupDesc].&amp;[Aksesuar]"/>
              </i>
              <i n="[Material].[H_MainGroup].[MainGroupDesc].&amp;[Aksesuar].&amp;[Anahtarlık]" c="Anahtarlık" nd="1">
                <p n="[Material].[H_MainGroup].[MainGroupDesc].&amp;[Aksesuar]"/>
              </i>
              <i n="[Material].[H_MainGroup].[MainGroupDesc].&amp;[Aksesuar].&amp;[Araba Güneşliği]" c="Araba Güneşliği" nd="1">
                <p n="[Material].[H_MainGroup].[MainGroupDesc].&amp;[Aksesuar]"/>
              </i>
              <i n="[Material].[H_MainGroup].[MainGroupDesc].&amp;[Aksesuar].&amp;[Araç İçi Organizer]" c="Araç İçi Organizer" nd="1">
                <p n="[Material].[H_MainGroup].[MainGroupDesc].&amp;[Aksesuar]"/>
              </i>
              <i n="[Material].[H_MainGroup].[MainGroupDesc].&amp;[Aksesuar].&amp;[Armut Hamak]" c="Armut Hamak" nd="1">
                <p n="[Material].[H_MainGroup].[MainGroupDesc].&amp;[Aksesuar]"/>
              </i>
              <i n="[Material].[H_MainGroup].[MainGroupDesc].&amp;[Aksesuar].&amp;[Ataş Raptiye]" c="Ataş Raptiye" nd="1">
                <p n="[Material].[H_MainGroup].[MainGroupDesc].&amp;[Aksesuar]"/>
              </i>
              <i n="[Material].[H_MainGroup].[MainGroupDesc].&amp;[Aksesuar].&amp;[Atlama İpi]" c="Atlama İpi" nd="1">
                <p n="[Material].[H_MainGroup].[MainGroupDesc].&amp;[Aksesuar]"/>
              </i>
              <i n="[Material].[H_MainGroup].[MainGroupDesc].&amp;[Aksesuar].&amp;[Ayakkabı Çekeceği]" c="Ayakkabı Çekeceği" nd="1">
                <p n="[Material].[H_MainGroup].[MainGroupDesc].&amp;[Aksesuar]"/>
              </i>
              <i n="[Material].[H_MainGroup].[MainGroupDesc].&amp;[Aksesuar].&amp;[Ayakkabı Tabanlık]" c="Ayakkabı Tabanlık" nd="1">
                <p n="[Material].[H_MainGroup].[MainGroupDesc].&amp;[Aksesuar]"/>
              </i>
              <i n="[Material].[H_MainGroup].[MainGroupDesc].&amp;[Aksesuar].&amp;[Ayakkabı Torbası]" c="Ayakkabı Torbası" nd="1">
                <p n="[Material].[H_MainGroup].[MainGroupDesc].&amp;[Aksesuar]"/>
              </i>
              <i n="[Material].[H_MainGroup].[MainGroupDesc].&amp;[Aksesuar].&amp;[Ayakkabılık]" c="Ayakkabılık" nd="1">
                <p n="[Material].[H_MainGroup].[MainGroupDesc].&amp;[Aksesuar]"/>
              </i>
              <i n="[Material].[H_MainGroup].[MainGroupDesc].&amp;[Aksesuar].&amp;[Ayıcık]" c="Ayıcık" nd="1">
                <p n="[Material].[H_MainGroup].[MainGroupDesc].&amp;[Aksesuar]"/>
              </i>
              <i n="[Material].[H_MainGroup].[MainGroupDesc].&amp;[Aksesuar].&amp;[Ayna Set]" c="Ayna Set" nd="1">
                <p n="[Material].[H_MainGroup].[MainGroupDesc].&amp;[Aksesuar]"/>
              </i>
              <i n="[Material].[H_MainGroup].[MainGroupDesc].&amp;[Aksesuar].&amp;[Bahçe Malzemeleri]" c="Bahçe Malzemeleri" nd="1">
                <p n="[Material].[H_MainGroup].[MainGroupDesc].&amp;[Aksesuar]"/>
              </i>
              <i n="[Material].[H_MainGroup].[MainGroupDesc].&amp;[Aksesuar].&amp;[Balkon Kurutmalığı]" c="Balkon Kurutmalığı" nd="1">
                <p n="[Material].[H_MainGroup].[MainGroupDesc].&amp;[Aksesuar]"/>
              </i>
              <i n="[Material].[H_MainGroup].[MainGroupDesc].&amp;[Aksesuar].&amp;[Bant]" c="Bant" nd="1">
                <p n="[Material].[H_MainGroup].[MainGroupDesc].&amp;[Aksesuar]"/>
              </i>
              <i n="[Material].[H_MainGroup].[MainGroupDesc].&amp;[Aksesuar].&amp;[Banyo Çöp Kovası]" c="Banyo Çöp Kovası" nd="1">
                <p n="[Material].[H_MainGroup].[MainGroupDesc].&amp;[Aksesuar]"/>
              </i>
              <i n="[Material].[H_MainGroup].[MainGroupDesc].&amp;[Aksesuar].&amp;[Banyo Perdesi]" c="Banyo Perdesi" nd="1">
                <p n="[Material].[H_MainGroup].[MainGroupDesc].&amp;[Aksesuar]"/>
              </i>
              <i n="[Material].[H_MainGroup].[MainGroupDesc].&amp;[Aksesuar].&amp;[Banyo Rafı]" c="Banyo Rafı" nd="1">
                <p n="[Material].[H_MainGroup].[MainGroupDesc].&amp;[Aksesuar]"/>
              </i>
              <i n="[Material].[H_MainGroup].[MainGroupDesc].&amp;[Aksesuar].&amp;[Barbekü Koruma Örtü]" c="Barbekü Koruma Örtü" nd="1">
                <p n="[Material].[H_MainGroup].[MainGroupDesc].&amp;[Aksesuar]"/>
              </i>
              <i n="[Material].[H_MainGroup].[MainGroupDesc].&amp;[Aksesuar].&amp;[Basketbol Seti]" c="Basketbol Seti" nd="1">
                <p n="[Material].[H_MainGroup].[MainGroupDesc].&amp;[Aksesuar]"/>
              </i>
              <i n="[Material].[H_MainGroup].[MainGroupDesc].&amp;[Aksesuar].&amp;[Bebe Boy Ölçer]" c="Bebe Boy Ölçer" nd="1">
                <p n="[Material].[H_MainGroup].[MainGroupDesc].&amp;[Aksesuar]"/>
              </i>
              <i n="[Material].[H_MainGroup].[MainGroupDesc].&amp;[Aksesuar].&amp;[Bebe Elbise Askısı]" c="Bebe Elbise Askısı" nd="1">
                <p n="[Material].[H_MainGroup].[MainGroupDesc].&amp;[Aksesuar]"/>
              </i>
              <i n="[Material].[H_MainGroup].[MainGroupDesc].&amp;[Aksesuar].&amp;[Bebe Flatör]" c="Bebe Flatör" nd="1">
                <p n="[Material].[H_MainGroup].[MainGroupDesc].&amp;[Aksesuar]"/>
              </i>
              <i n="[Material].[H_MainGroup].[MainGroupDesc].&amp;[Aksesuar].&amp;[Bebe Küvet]" c="Bebe Küvet" nd="1">
                <p n="[Material].[H_MainGroup].[MainGroupDesc].&amp;[Aksesuar]"/>
              </i>
              <i n="[Material].[H_MainGroup].[MainGroupDesc].&amp;[Aksesuar].&amp;[Bebe Lamba]" c="Bebe Lamba" nd="1">
                <p n="[Material].[H_MainGroup].[MainGroupDesc].&amp;[Aksesuar]"/>
              </i>
              <i n="[Material].[H_MainGroup].[MainGroupDesc].&amp;[Aksesuar].&amp;[Bebe Lazımlık]" c="Bebe Lazımlık" nd="1">
                <p n="[Material].[H_MainGroup].[MainGroupDesc].&amp;[Aksesuar]"/>
              </i>
              <i n="[Material].[H_MainGroup].[MainGroupDesc].&amp;[Aksesuar].&amp;[Bebe salıncak]" c="Bebe salıncak" nd="1">
                <p n="[Material].[H_MainGroup].[MainGroupDesc].&amp;[Aksesuar]"/>
              </i>
              <i n="[Material].[H_MainGroup].[MainGroupDesc].&amp;[Aksesuar].&amp;[Bebe Yıkama Aparatı]" c="Bebe Yıkama Aparatı" nd="1">
                <p n="[Material].[H_MainGroup].[MainGroupDesc].&amp;[Aksesuar]"/>
              </i>
              <i n="[Material].[H_MainGroup].[MainGroupDesc].&amp;[Aksesuar].&amp;[Beşik Hamak]" c="Beşik Hamak" nd="1">
                <p n="[Material].[H_MainGroup].[MainGroupDesc].&amp;[Aksesuar]"/>
              </i>
              <i n="[Material].[H_MainGroup].[MainGroupDesc].&amp;[Aksesuar].&amp;[Beslenme Çantası]" c="Beslenme Çantası" nd="1">
                <p n="[Material].[H_MainGroup].[MainGroupDesc].&amp;[Aksesuar]"/>
              </i>
              <i n="[Material].[H_MainGroup].[MainGroupDesc].&amp;[Aksesuar].&amp;[Biberon Fırçası]" c="Biberon Fırçası" nd="1">
                <p n="[Material].[H_MainGroup].[MainGroupDesc].&amp;[Aksesuar]"/>
              </i>
              <i n="[Material].[H_MainGroup].[MainGroupDesc].&amp;[Aksesuar].&amp;[Biberon Isıtıcı]" c="Biberon Isıtıcı" nd="1">
                <p n="[Material].[H_MainGroup].[MainGroupDesc].&amp;[Aksesuar]"/>
              </i>
              <i n="[Material].[H_MainGroup].[MainGroupDesc].&amp;[Aksesuar].&amp;[Bisiklet Koruma Örtü]" c="Bisiklet Koruma Örtü" nd="1">
                <p n="[Material].[H_MainGroup].[MainGroupDesc].&amp;[Aksesuar]"/>
              </i>
              <i n="[Material].[H_MainGroup].[MainGroupDesc].&amp;[Aksesuar].&amp;[Boya]" c="Boya" nd="1">
                <p n="[Material].[H_MainGroup].[MainGroupDesc].&amp;[Aksesuar]"/>
              </i>
              <i n="[Material].[H_MainGroup].[MainGroupDesc].&amp;[Aksesuar].&amp;[Boya Fırçası]" c="Boya Fırçası" nd="1">
                <p n="[Material].[H_MainGroup].[MainGroupDesc].&amp;[Aksesuar]"/>
              </i>
              <i n="[Material].[H_MainGroup].[MainGroupDesc].&amp;[Aksesuar].&amp;[Boyama Kitabı]" c="Boyama Kitabı" nd="1">
                <p n="[Material].[H_MainGroup].[MainGroupDesc].&amp;[Aksesuar]"/>
              </i>
              <i n="[Material].[H_MainGroup].[MainGroupDesc].&amp;[Aksesuar].&amp;[Boyunluk]" c="Boyunluk" nd="1">
                <p n="[Material].[H_MainGroup].[MainGroupDesc].&amp;[Aksesuar]"/>
              </i>
              <i n="[Material].[H_MainGroup].[MainGroupDesc].&amp;[Aksesuar].&amp;[Bulaşık Fırçası]" c="Bulaşık Fırçası" nd="1">
                <p n="[Material].[H_MainGroup].[MainGroupDesc].&amp;[Aksesuar]"/>
              </i>
              <i n="[Material].[H_MainGroup].[MainGroupDesc].&amp;[Aksesuar].&amp;[Cam Bezi]" c="Cam Bezi" nd="1">
                <p n="[Material].[H_MainGroup].[MainGroupDesc].&amp;[Aksesuar]"/>
              </i>
              <i n="[Material].[H_MainGroup].[MainGroupDesc].&amp;[Aksesuar].&amp;[Çamaşır Torbası]" c="Çamaşır Torbası" nd="1">
                <p n="[Material].[H_MainGroup].[MainGroupDesc].&amp;[Aksesuar]"/>
              </i>
              <i n="[Material].[H_MainGroup].[MainGroupDesc].&amp;[Aksesuar].&amp;[Çanta Askı Aparatı]" c="Çanta Askı Aparatı" nd="1">
                <p n="[Material].[H_MainGroup].[MainGroupDesc].&amp;[Aksesuar]"/>
              </i>
              <i n="[Material].[H_MainGroup].[MainGroupDesc].&amp;[Aksesuar].&amp;[Çizim Seti]" c="Çizim Seti" nd="1">
                <p n="[Material].[H_MainGroup].[MainGroupDesc].&amp;[Aksesuar]"/>
              </i>
              <i n="[Material].[H_MainGroup].[MainGroupDesc].&amp;[Aksesuar].&amp;[Çocuk Kova Seti]" c="Çocuk Kova Seti" nd="1">
                <p n="[Material].[H_MainGroup].[MainGroupDesc].&amp;[Aksesuar]"/>
              </i>
              <i n="[Material].[H_MainGroup].[MainGroupDesc].&amp;[Aksesuar].&amp;[Çocuk Sıcak Su Tor.]" c="Çocuk Sıcak Su Tor." nd="1">
                <p n="[Material].[H_MainGroup].[MainGroupDesc].&amp;[Aksesuar]"/>
              </i>
              <i n="[Material].[H_MainGroup].[MainGroupDesc].&amp;[Aksesuar].&amp;[Çocuk Yemek Seti]" c="Çocuk Yemek Seti" nd="1">
                <p n="[Material].[H_MainGroup].[MainGroupDesc].&amp;[Aksesuar]"/>
              </i>
              <i n="[Material].[H_MainGroup].[MainGroupDesc].&amp;[Aksesuar].&amp;[Dambıl]" c="Dambıl" nd="1">
                <p n="[Material].[H_MainGroup].[MainGroupDesc].&amp;[Aksesuar]"/>
              </i>
              <i n="[Material].[H_MainGroup].[MainGroupDesc].&amp;[Aksesuar].&amp;[Dekoratif Set]" c="Dekoratif Set" nd="1">
                <p n="[Material].[H_MainGroup].[MainGroupDesc].&amp;[Aksesuar]"/>
              </i>
              <i n="[Material].[H_MainGroup].[MainGroupDesc].&amp;[Aksesuar].&amp;[Dekoratif Zil]" c="Dekoratif Zil" nd="1">
                <p n="[Material].[H_MainGroup].[MainGroupDesc].&amp;[Aksesuar]"/>
              </i>
              <i n="[Material].[H_MainGroup].[MainGroupDesc].&amp;[Aksesuar].&amp;[Delgeç]" c="Delgeç" nd="1">
                <p n="[Material].[H_MainGroup].[MainGroupDesc].&amp;[Aksesuar]"/>
              </i>
              <i n="[Material].[H_MainGroup].[MainGroupDesc].&amp;[Aksesuar].&amp;[Deniz Simidi]" c="Deniz Simidi" nd="1">
                <p n="[Material].[H_MainGroup].[MainGroupDesc].&amp;[Aksesuar]"/>
              </i>
              <i n="[Material].[H_MainGroup].[MainGroupDesc].&amp;[Aksesuar].&amp;[Deniz Topu]" c="Deniz Topu" nd="1">
                <p n="[Material].[H_MainGroup].[MainGroupDesc].&amp;[Aksesuar]"/>
              </i>
              <i n="[Material].[H_MainGroup].[MainGroupDesc].&amp;[Aksesuar].&amp;[Deterjan Kutusu]" c="Deterjan Kutusu" nd="1">
                <p n="[Material].[H_MainGroup].[MainGroupDesc].&amp;[Aksesuar]"/>
              </i>
              <i n="[Material].[H_MainGroup].[MainGroupDesc].&amp;[Aksesuar].&amp;[Dikiş Kitabı]" c="Dikiş Kitabı" nd="1">
                <p n="[Material].[H_MainGroup].[MainGroupDesc].&amp;[Aksesuar]"/>
              </i>
              <i n="[Material].[H_MainGroup].[MainGroupDesc].&amp;[Aksesuar].&amp;[Dikiş Kutusu]" c="Dikiş Kutusu" nd="1">
                <p n="[Material].[H_MainGroup].[MainGroupDesc].&amp;[Aksesuar]"/>
              </i>
              <i n="[Material].[H_MainGroup].[MainGroupDesc].&amp;[Aksesuar].&amp;[Dikiş Seti]" c="Dikiş Seti" nd="1">
                <p n="[Material].[H_MainGroup].[MainGroupDesc].&amp;[Aksesuar]"/>
              </i>
              <i n="[Material].[H_MainGroup].[MainGroupDesc].&amp;[Aksesuar].&amp;[Dolap Kulbu]" c="Dolap Kulbu" nd="1">
                <p n="[Material].[H_MainGroup].[MainGroupDesc].&amp;[Aksesuar]"/>
              </i>
              <i n="[Material].[H_MainGroup].[MainGroupDesc].&amp;[Aksesuar].&amp;[Dosya]" c="Dosya" nd="1">
                <p n="[Material].[H_MainGroup].[MainGroupDesc].&amp;[Aksesuar]"/>
              </i>
              <i n="[Material].[H_MainGroup].[MainGroupDesc].&amp;[Aksesuar].&amp;[Egzersiz Bandı]" c="Egzersiz Bandı" nd="1">
                <p n="[Material].[H_MainGroup].[MainGroupDesc].&amp;[Aksesuar]"/>
              </i>
              <i n="[Material].[H_MainGroup].[MainGroupDesc].&amp;[Aksesuar].&amp;[Egzersiz Bilekliği]" c="Egzersiz Bilekliği" nd="1">
                <p n="[Material].[H_MainGroup].[MainGroupDesc].&amp;[Aksesuar]"/>
              </i>
              <i n="[Material].[H_MainGroup].[MainGroupDesc].&amp;[Aksesuar].&amp;[Egzersiz Eldiveni]" c="Egzersiz Eldiveni" nd="1">
                <p n="[Material].[H_MainGroup].[MainGroupDesc].&amp;[Aksesuar]"/>
              </i>
              <i n="[Material].[H_MainGroup].[MainGroupDesc].&amp;[Aksesuar].&amp;[Emzik]" c="Emzik" nd="1">
                <p n="[Material].[H_MainGroup].[MainGroupDesc].&amp;[Aksesuar]"/>
              </i>
              <i n="[Material].[H_MainGroup].[MainGroupDesc].&amp;[Aksesuar].&amp;[Evcil Hayvan Ürünler]" c="Evcil Hayvan Ürünler" nd="1">
                <p n="[Material].[H_MainGroup].[MainGroupDesc].&amp;[Aksesuar]"/>
              </i>
              <i n="[Material].[H_MainGroup].[MainGroupDesc].&amp;[Aksesuar].&amp;[Foto Albüm]" c="Foto Albüm" nd="1">
                <p n="[Material].[H_MainGroup].[MainGroupDesc].&amp;[Aksesuar]"/>
              </i>
              <i n="[Material].[H_MainGroup].[MainGroupDesc].&amp;[Aksesuar].&amp;[Futbol Kalesi]" c="Futbol Kalesi" nd="1">
                <p n="[Material].[H_MainGroup].[MainGroupDesc].&amp;[Aksesuar]"/>
              </i>
              <i n="[Material].[H_MainGroup].[MainGroupDesc].&amp;[Aksesuar].&amp;[Gazetelik]" c="Gazetelik" nd="1">
                <p n="[Material].[H_MainGroup].[MainGroupDesc].&amp;[Aksesuar]"/>
              </i>
              <i n="[Material].[H_MainGroup].[MainGroupDesc].&amp;[Aksesuar].&amp;[Gözlük Kabı]" c="Gözlük Kabı" nd="1">
                <p n="[Material].[H_MainGroup].[MainGroupDesc].&amp;[Aksesuar]"/>
              </i>
              <i n="[Material].[H_MainGroup].[MainGroupDesc].&amp;[Aksesuar].&amp;[Güvenlik]" c="Güvenlik" nd="1">
                <p n="[Material].[H_MainGroup].[MainGroupDesc].&amp;[Aksesuar]"/>
              </i>
              <i n="[Material].[H_MainGroup].[MainGroupDesc].&amp;[Aksesuar].&amp;[Gymball]" c="Gymball" nd="1">
                <p n="[Material].[H_MainGroup].[MainGroupDesc].&amp;[Aksesuar]"/>
              </i>
              <i n="[Material].[H_MainGroup].[MainGroupDesc].&amp;[Aksesuar].&amp;[Hacıyatmaz]" c="Hacıyatmaz" nd="1">
                <p n="[Material].[H_MainGroup].[MainGroupDesc].&amp;[Aksesuar]"/>
              </i>
              <i n="[Material].[H_MainGroup].[MainGroupDesc].&amp;[Aksesuar].&amp;[Halat Oyuncak]" c="Halat Oyuncak" nd="1">
                <p n="[Material].[H_MainGroup].[MainGroupDesc].&amp;[Aksesuar]"/>
              </i>
              <i n="[Material].[H_MainGroup].[MainGroupDesc].&amp;[Aksesuar].&amp;[Halhal]" c="Halhal" nd="1">
                <p n="[Material].[H_MainGroup].[MainGroupDesc].&amp;[Aksesuar]"/>
              </i>
              <i n="[Material].[H_MainGroup].[MainGroupDesc].&amp;[Aksesuar].&amp;[Havluluk]" c="Havluluk" nd="1">
                <p n="[Material].[H_MainGroup].[MainGroupDesc].&amp;[Aksesuar]"/>
              </i>
              <i n="[Material].[H_MainGroup].[MainGroupDesc].&amp;[Aksesuar].&amp;[Hediye Torbası]" c="Hediye Torbası" nd="1">
                <p n="[Material].[H_MainGroup].[MainGroupDesc].&amp;[Aksesuar]"/>
              </i>
              <i n="[Material].[H_MainGroup].[MainGroupDesc].&amp;[Aksesuar].&amp;[Hoparlör]" c="Hoparlör" nd="1">
                <p n="[Material].[H_MainGroup].[MainGroupDesc].&amp;[Aksesuar]"/>
              </i>
              <i n="[Material].[H_MainGroup].[MainGroupDesc].&amp;[Aksesuar].&amp;[İğnelik]" c="İğnelik" nd="1">
                <p n="[Material].[H_MainGroup].[MainGroupDesc].&amp;[Aksesuar]"/>
              </i>
              <i n="[Material].[H_MainGroup].[MainGroupDesc].&amp;[Aksesuar].&amp;[İkinci Kalite]" c="İkinci Kalite" nd="1">
                <p n="[Material].[H_MainGroup].[MainGroupDesc].&amp;[Aksesuar]"/>
              </i>
              <i n="[Material].[H_MainGroup].[MainGroupDesc].&amp;[Aksesuar].&amp;[İplik Seti]" c="İplik Seti" nd="1">
                <p n="[Material].[H_MainGroup].[MainGroupDesc].&amp;[Aksesuar]"/>
              </i>
              <i n="[Material].[H_MainGroup].[MainGroupDesc].&amp;[Aksesuar].&amp;[Kağıt Ağırlığı]" c="Kağıt Ağırlığı" nd="1">
                <p n="[Material].[H_MainGroup].[MainGroupDesc].&amp;[Aksesuar]"/>
              </i>
              <i n="[Material].[H_MainGroup].[MainGroupDesc].&amp;[Aksesuar].&amp;[Kalem]" c="Kalem" nd="1">
                <p n="[Material].[H_MainGroup].[MainGroupDesc].&amp;[Aksesuar]"/>
              </i>
              <i n="[Material].[H_MainGroup].[MainGroupDesc].&amp;[Aksesuar].&amp;[Kapı Kulbu]" c="Kapı Kulbu" nd="1">
                <p n="[Material].[H_MainGroup].[MainGroupDesc].&amp;[Aksesuar]"/>
              </i>
              <i n="[Material].[H_MainGroup].[MainGroupDesc].&amp;[Aksesuar].&amp;[Kartlık]" c="Kartlık" nd="1">
                <p n="[Material].[H_MainGroup].[MainGroupDesc].&amp;[Aksesuar]"/>
              </i>
              <i n="[Material].[H_MainGroup].[MainGroupDesc].&amp;[Aksesuar].&amp;[Kartvizitlik]" c="Kartvizitlik" nd="1">
                <p n="[Material].[H_MainGroup].[MainGroupDesc].&amp;[Aksesuar]"/>
              </i>
              <i n="[Material].[H_MainGroup].[MainGroupDesc].&amp;[Aksesuar].&amp;[Kedi Oyuncağı]" c="Kedi Oyuncağı" nd="1">
                <p n="[Material].[H_MainGroup].[MainGroupDesc].&amp;[Aksesuar]"/>
              </i>
              <i n="[Material].[H_MainGroup].[MainGroupDesc].&amp;[Aksesuar].&amp;[Kedi Paspası]" c="Kedi Paspası" nd="1">
                <p n="[Material].[H_MainGroup].[MainGroupDesc].&amp;[Aksesuar]"/>
              </i>
              <i n="[Material].[H_MainGroup].[MainGroupDesc].&amp;[Aksesuar].&amp;[Kedi Tüneli]" c="Kedi Tüneli" nd="1">
                <p n="[Material].[H_MainGroup].[MainGroupDesc].&amp;[Aksesuar]"/>
              </i>
              <i n="[Material].[H_MainGroup].[MainGroupDesc].&amp;[Aksesuar].&amp;[Kemer Askısı]" c="Kemer Askısı" nd="1">
                <p n="[Material].[H_MainGroup].[MainGroupDesc].&amp;[Aksesuar]"/>
              </i>
              <i n="[Material].[H_MainGroup].[MainGroupDesc].&amp;[Aksesuar].&amp;[Kettlebell Ağırlık]" c="Kettlebell Ağırlık" nd="1">
                <p n="[Material].[H_MainGroup].[MainGroupDesc].&amp;[Aksesuar]"/>
              </i>
              <i n="[Material].[H_MainGroup].[MainGroupDesc].&amp;[Aksesuar].&amp;[Kickboard]" c="Kickboard" nd="1">
                <p n="[Material].[H_MainGroup].[MainGroupDesc].&amp;[Aksesuar]"/>
              </i>
              <i n="[Material].[H_MainGroup].[MainGroupDesc].&amp;[Aksesuar].&amp;[Kırtasiye Seti]" c="Kırtasiye Seti" nd="1">
                <p n="[Material].[H_MainGroup].[MainGroupDesc].&amp;[Aksesuar]"/>
              </i>
              <i n="[Material].[H_MainGroup].[MainGroupDesc].&amp;[Aksesuar].&amp;[Kitap]" c="Kitap" nd="1">
                <p n="[Material].[H_MainGroup].[MainGroupDesc].&amp;[Aksesuar]"/>
              </i>
              <i n="[Material].[H_MainGroup].[MainGroupDesc].&amp;[Aksesuar].&amp;[Klasör]" c="Klasör" nd="1">
                <p n="[Material].[H_MainGroup].[MainGroupDesc].&amp;[Aksesuar]"/>
              </i>
              <i n="[Material].[H_MainGroup].[MainGroupDesc].&amp;[Aksesuar].&amp;[Kokulu Mum Seti]" c="Kokulu Mum Seti" nd="1">
                <p n="[Material].[H_MainGroup].[MainGroupDesc].&amp;[Aksesuar]"/>
              </i>
              <i n="[Material].[H_MainGroup].[MainGroupDesc].&amp;[Aksesuar].&amp;[Kol Bandı]" c="Kol Bandı" nd="1">
                <p n="[Material].[H_MainGroup].[MainGroupDesc].&amp;[Aksesuar]"/>
              </i>
              <i n="[Material].[H_MainGroup].[MainGroupDesc].&amp;[Aksesuar].&amp;[Kol Saati]" c="Kol Saati" nd="1">
                <p n="[Material].[H_MainGroup].[MainGroupDesc].&amp;[Aksesuar]"/>
              </i>
              <i n="[Material].[H_MainGroup].[MainGroupDesc].&amp;[Aksesuar].&amp;[Kolluk]" c="Kolluk" nd="1">
                <p n="[Material].[H_MainGroup].[MainGroupDesc].&amp;[Aksesuar]"/>
              </i>
              <i n="[Material].[H_MainGroup].[MainGroupDesc].&amp;[Aksesuar].&amp;[Kolye]" c="Kolye" nd="1">
                <p n="[Material].[H_MainGroup].[MainGroupDesc].&amp;[Aksesuar]"/>
              </i>
              <i n="[Material].[H_MainGroup].[MainGroupDesc].&amp;[Aksesuar].&amp;[Koşu Takımı ]" c="Koşu Takımı " nd="1">
                <p n="[Material].[H_MainGroup].[MainGroupDesc].&amp;[Aksesuar]"/>
              </i>
              <i n="[Material].[H_MainGroup].[MainGroupDesc].&amp;[Aksesuar].&amp;[Kravat Askısı]" c="Kravat Askısı" nd="1">
                <p n="[Material].[H_MainGroup].[MainGroupDesc].&amp;[Aksesuar]"/>
              </i>
              <i n="[Material].[H_MainGroup].[MainGroupDesc].&amp;[Aksesuar].&amp;[Kulak Koruyucu]" c="Kulak Koruyucu" nd="1">
                <p n="[Material].[H_MainGroup].[MainGroupDesc].&amp;[Aksesuar]"/>
              </i>
              <i n="[Material].[H_MainGroup].[MainGroupDesc].&amp;[Aksesuar].&amp;[Kulaklık]" c="Kulaklık" nd="1">
                <p n="[Material].[H_MainGroup].[MainGroupDesc].&amp;[Aksesuar]"/>
              </i>
              <i n="[Material].[H_MainGroup].[MainGroupDesc].&amp;[Aksesuar].&amp;[Kurutmalık]" c="Kurutmalık" nd="1">
                <p n="[Material].[H_MainGroup].[MainGroupDesc].&amp;[Aksesuar]"/>
              </i>
              <i n="[Material].[H_MainGroup].[MainGroupDesc].&amp;[Aksesuar].&amp;[Kuş Kafesi]" c="Kuş Kafesi" nd="1">
                <p n="[Material].[H_MainGroup].[MainGroupDesc].&amp;[Aksesuar]"/>
              </i>
              <i n="[Material].[H_MainGroup].[MainGroupDesc].&amp;[Aksesuar].&amp;[Küvet Fırçası]" c="Küvet Fırçası" nd="1">
                <p n="[Material].[H_MainGroup].[MainGroupDesc].&amp;[Aksesuar]"/>
              </i>
              <i n="[Material].[H_MainGroup].[MainGroupDesc].&amp;[Aksesuar].&amp;[Lamba]" c="Lamba" nd="1">
                <p n="[Material].[H_MainGroup].[MainGroupDesc].&amp;[Aksesuar]"/>
              </i>
              <i n="[Material].[H_MainGroup].[MainGroupDesc].&amp;[Aksesuar].&amp;[Laptop Altlığı]" c="Laptop Altlığı" nd="1">
                <p n="[Material].[H_MainGroup].[MainGroupDesc].&amp;[Aksesuar]"/>
              </i>
              <i n="[Material].[H_MainGroup].[MainGroupDesc].&amp;[Aksesuar].&amp;[Lavabo Fırçası]" c="Lavabo Fırçası" nd="1">
                <p n="[Material].[H_MainGroup].[MainGroupDesc].&amp;[Aksesuar]"/>
              </i>
              <i n="[Material].[H_MainGroup].[MainGroupDesc].&amp;[Aksesuar].&amp;[Lens Kabı]" c="Lens Kabı" nd="1">
                <p n="[Material].[H_MainGroup].[MainGroupDesc].&amp;[Aksesuar]"/>
              </i>
              <i n="[Material].[H_MainGroup].[MainGroupDesc].&amp;[Aksesuar].&amp;[Magazinlik]" c="Magazinlik" nd="1">
                <p n="[Material].[H_MainGroup].[MainGroupDesc].&amp;[Aksesuar]"/>
              </i>
              <i n="[Material].[H_MainGroup].[MainGroupDesc].&amp;[Aksesuar].&amp;[Makas]" c="Makas" nd="1">
                <p n="[Material].[H_MainGroup].[MainGroupDesc].&amp;[Aksesuar]"/>
              </i>
              <i n="[Material].[H_MainGroup].[MainGroupDesc].&amp;[Aksesuar].&amp;[Makyaj Kutusu]" c="Makyaj Kutusu" nd="1">
                <p n="[Material].[H_MainGroup].[MainGroupDesc].&amp;[Aksesuar]"/>
              </i>
              <i n="[Material].[H_MainGroup].[MainGroupDesc].&amp;[Aksesuar].&amp;[Makyaj Organizer]" c="Makyaj Organizer" nd="1">
                <p n="[Material].[H_MainGroup].[MainGroupDesc].&amp;[Aksesuar]"/>
              </i>
              <i n="[Material].[H_MainGroup].[MainGroupDesc].&amp;[Aksesuar].&amp;[Mama Kabı]" c="Mama Kabı" nd="1">
                <p n="[Material].[H_MainGroup].[MainGroupDesc].&amp;[Aksesuar]"/>
              </i>
              <i n="[Material].[H_MainGroup].[MainGroupDesc].&amp;[Aksesuar].&amp;[Mandal]" c="Mandal" nd="1">
                <p n="[Material].[H_MainGroup].[MainGroupDesc].&amp;[Aksesuar]"/>
              </i>
              <i n="[Material].[H_MainGroup].[MainGroupDesc].&amp;[Aksesuar].&amp;[Mandallık]" c="Mandallık" nd="1">
                <p n="[Material].[H_MainGroup].[MainGroupDesc].&amp;[Aksesuar]"/>
              </i>
              <i n="[Material].[H_MainGroup].[MainGroupDesc].&amp;[Aksesuar].&amp;[Mantar Pano]" c="Mantar Pano" nd="1">
                <p n="[Material].[H_MainGroup].[MainGroupDesc].&amp;[Aksesuar]"/>
              </i>
              <i n="[Material].[H_MainGroup].[MainGroupDesc].&amp;[Aksesuar].&amp;[Market Arabası]" c="Market Arabası" nd="1">
                <p n="[Material].[H_MainGroup].[MainGroupDesc].&amp;[Aksesuar]"/>
              </i>
              <i n="[Material].[H_MainGroup].[MainGroupDesc].&amp;[Aksesuar].&amp;[Masa Gırgırı]" c="Masa Gırgırı" nd="1">
                <p n="[Material].[H_MainGroup].[MainGroupDesc].&amp;[Aksesuar]"/>
              </i>
              <i n="[Material].[H_MainGroup].[MainGroupDesc].&amp;[Aksesuar].&amp;[Masaüstü Şömine]" c="Masaüstü Şömine" nd="1">
                <p n="[Material].[H_MainGroup].[MainGroupDesc].&amp;[Aksesuar]"/>
              </i>
              <i n="[Material].[H_MainGroup].[MainGroupDesc].&amp;[Aksesuar].&amp;[Mendil]" c="Mendil" nd="1">
                <p n="[Material].[H_MainGroup].[MainGroupDesc].&amp;[Aksesuar]"/>
              </i>
              <i n="[Material].[H_MainGroup].[MainGroupDesc].&amp;[Aksesuar].&amp;[Mezura]" c="Mezura" nd="1">
                <p n="[Material].[H_MainGroup].[MainGroupDesc].&amp;[Aksesuar]"/>
              </i>
              <i n="[Material].[H_MainGroup].[MainGroupDesc].&amp;[Aksesuar].&amp;[Mobilya Koruma Örtü]" c="Mobilya Koruma Örtü" nd="1">
                <p n="[Material].[H_MainGroup].[MainGroupDesc].&amp;[Aksesuar]"/>
              </i>
              <i n="[Material].[H_MainGroup].[MainGroupDesc].&amp;[Aksesuar].&amp;[Mouse]" c="Mouse" nd="1">
                <p n="[Material].[H_MainGroup].[MainGroupDesc].&amp;[Aksesuar]"/>
              </i>
              <i n="[Material].[H_MainGroup].[MainGroupDesc].&amp;[Aksesuar].&amp;[Mouse Pad]" c="Mouse Pad" nd="1">
                <p n="[Material].[H_MainGroup].[MainGroupDesc].&amp;[Aksesuar]"/>
              </i>
              <i n="[Material].[H_MainGroup].[MainGroupDesc].&amp;[Aksesuar].&amp;[Ofis Masa Seti]" c="Ofis Masa Seti" nd="1">
                <p n="[Material].[H_MainGroup].[MainGroupDesc].&amp;[Aksesuar]"/>
              </i>
              <i n="[Material].[H_MainGroup].[MainGroupDesc].&amp;[Aksesuar].&amp;[Örgü Kutusu]" c="Örgü Kutusu" nd="1">
                <p n="[Material].[H_MainGroup].[MainGroupDesc].&amp;[Aksesuar]"/>
              </i>
              <i n="[Material].[H_MainGroup].[MainGroupDesc].&amp;[Aksesuar].&amp;[Oyun Evi]" c="Oyun Evi" nd="1">
                <p n="[Material].[H_MainGroup].[MainGroupDesc].&amp;[Aksesuar]"/>
              </i>
              <i n="[Material].[H_MainGroup].[MainGroupDesc].&amp;[Aksesuar].&amp;[Oyun Hamuru]" c="Oyun Hamuru" nd="1">
                <p n="[Material].[H_MainGroup].[MainGroupDesc].&amp;[Aksesuar]"/>
              </i>
              <i n="[Material].[H_MainGroup].[MainGroupDesc].&amp;[Aksesuar].&amp;[Oyun Matı]" c="Oyun Matı" nd="1">
                <p n="[Material].[H_MainGroup].[MainGroupDesc].&amp;[Aksesuar]"/>
              </i>
              <i n="[Material].[H_MainGroup].[MainGroupDesc].&amp;[Aksesuar].&amp;[Oyun Pedi]" c="Oyun Pedi" nd="1">
                <p n="[Material].[H_MainGroup].[MainGroupDesc].&amp;[Aksesuar]"/>
              </i>
              <i n="[Material].[H_MainGroup].[MainGroupDesc].&amp;[Aksesuar].&amp;[Oyun Yer Karosu]" c="Oyun Yer Karosu" nd="1">
                <p n="[Material].[H_MainGroup].[MainGroupDesc].&amp;[Aksesuar]"/>
              </i>
              <i n="[Material].[H_MainGroup].[MainGroupDesc].&amp;[Aksesuar].&amp;[Oyuncak]" c="Oyuncak" nd="1">
                <p n="[Material].[H_MainGroup].[MainGroupDesc].&amp;[Aksesuar]"/>
              </i>
              <i n="[Material].[H_MainGroup].[MainGroupDesc].&amp;[Aksesuar].&amp;[Oyuncak Top]" c="Oyuncak Top" nd="1">
                <p n="[Material].[H_MainGroup].[MainGroupDesc].&amp;[Aksesuar]"/>
              </i>
              <i n="[Material].[H_MainGroup].[MainGroupDesc].&amp;[Aksesuar].&amp;[Pantolon Askısı]" c="Pantolon Askısı" nd="1">
                <p n="[Material].[H_MainGroup].[MainGroupDesc].&amp;[Aksesuar]"/>
              </i>
              <i n="[Material].[H_MainGroup].[MainGroupDesc].&amp;[Aksesuar].&amp;[Parfüm Şişesi]" c="Parfüm Şişesi" nd="1">
                <p n="[Material].[H_MainGroup].[MainGroupDesc].&amp;[Aksesuar]"/>
              </i>
              <i n="[Material].[H_MainGroup].[MainGroupDesc].&amp;[Aksesuar].&amp;[Peçete Kutusu]" c="Peçete Kutusu" nd="1">
                <p n="[Material].[H_MainGroup].[MainGroupDesc].&amp;[Aksesuar]"/>
              </i>
              <i n="[Material].[H_MainGroup].[MainGroupDesc].&amp;[Aksesuar].&amp;[Pet Yatağı]" c="Pet Yatağı" nd="1">
                <p n="[Material].[H_MainGroup].[MainGroupDesc].&amp;[Aksesuar]"/>
              </i>
              <i n="[Material].[H_MainGroup].[MainGroupDesc].&amp;[Aksesuar].&amp;[Piknik Şiltesi]" c="Piknik Şiltesi" nd="1">
                <p n="[Material].[H_MainGroup].[MainGroupDesc].&amp;[Aksesuar]"/>
              </i>
              <i n="[Material].[H_MainGroup].[MainGroupDesc].&amp;[Aksesuar].&amp;[Pilates Topu]" c="Pilates Topu" nd="1">
                <p n="[Material].[H_MainGroup].[MainGroupDesc].&amp;[Aksesuar]"/>
              </i>
              <i n="[Material].[H_MainGroup].[MainGroupDesc].&amp;[Aksesuar].&amp;[Pin]" c="Pin" nd="1">
                <p n="[Material].[H_MainGroup].[MainGroupDesc].&amp;[Aksesuar]"/>
              </i>
              <i n="[Material].[H_MainGroup].[MainGroupDesc].&amp;[Aksesuar].&amp;[Pipetli Matara]" c="Pipetli Matara" nd="1">
                <p n="[Material].[H_MainGroup].[MainGroupDesc].&amp;[Aksesuar]"/>
              </i>
              <i n="[Material].[H_MainGroup].[MainGroupDesc].&amp;[Aksesuar].&amp;[Planlayıcı]" c="Planlayıcı" nd="1">
                <p n="[Material].[H_MainGroup].[MainGroupDesc].&amp;[Aksesuar]"/>
              </i>
              <i n="[Material].[H_MainGroup].[MainGroupDesc].&amp;[Aksesuar].&amp;[Plates Band]" c="Plates Band" nd="1">
                <p n="[Material].[H_MainGroup].[MainGroupDesc].&amp;[Aksesuar]"/>
              </i>
              <i n="[Material].[H_MainGroup].[MainGroupDesc].&amp;[Aksesuar].&amp;[Plates Çemberi]" c="Plates Çemberi" nd="1">
                <p n="[Material].[H_MainGroup].[MainGroupDesc].&amp;[Aksesuar]"/>
              </i>
              <i n="[Material].[H_MainGroup].[MainGroupDesc].&amp;[Aksesuar].&amp;[Puzzle]" c="Puzzle" nd="1">
                <p n="[Material].[H_MainGroup].[MainGroupDesc].&amp;[Aksesuar]"/>
              </i>
              <i n="[Material].[H_MainGroup].[MainGroupDesc].&amp;[Aksesuar].&amp;[Radyo]" c="Radyo" nd="1">
                <p n="[Material].[H_MainGroup].[MainGroupDesc].&amp;[Aksesuar]"/>
              </i>
              <i n="[Material].[H_MainGroup].[MainGroupDesc].&amp;[Aksesuar].&amp;[Rahatlama Yastığı]" c="Rahatlama Yastığı" nd="1">
                <p n="[Material].[H_MainGroup].[MainGroupDesc].&amp;[Aksesuar]"/>
              </i>
              <i n="[Material].[H_MainGroup].[MainGroupDesc].&amp;[Aksesuar].&amp;[Reçme]" c="Reçme" nd="1">
                <p n="[Material].[H_MainGroup].[MainGroupDesc].&amp;[Aksesuar]"/>
              </i>
              <i n="[Material].[H_MainGroup].[MainGroupDesc].&amp;[Aksesuar].&amp;[Rüya Kovucu]" c="Rüya Kovucu" nd="1">
                <p n="[Material].[H_MainGroup].[MainGroupDesc].&amp;[Aksesuar]"/>
              </i>
              <i n="[Material].[H_MainGroup].[MainGroupDesc].&amp;[Aksesuar].&amp;[Saç Aksesuarı]" c="Saç Aksesuarı" nd="1">
                <p n="[Material].[H_MainGroup].[MainGroupDesc].&amp;[Aksesuar]"/>
              </i>
              <i n="[Material].[H_MainGroup].[MainGroupDesc].&amp;[Aksesuar].&amp;[Saç Halkası]" c="Saç Halkası" nd="1">
                <p n="[Material].[H_MainGroup].[MainGroupDesc].&amp;[Aksesuar]"/>
              </i>
              <i n="[Material].[H_MainGroup].[MainGroupDesc].&amp;[Aksesuar].&amp;[Saç Kurut.Mak.Tutucu]" c="Saç Kurut.Mak.Tutucu" nd="1">
                <p n="[Material].[H_MainGroup].[MainGroupDesc].&amp;[Aksesuar]"/>
              </i>
              <i n="[Material].[H_MainGroup].[MainGroupDesc].&amp;[Aksesuar].&amp;[Saksılık]" c="Saksılık" nd="1">
                <p n="[Material].[H_MainGroup].[MainGroupDesc].&amp;[Aksesuar]"/>
              </i>
              <i n="[Material].[H_MainGroup].[MainGroupDesc].&amp;[Aksesuar].&amp;[Şal Askısı]" c="Şal Askısı" nd="1">
                <p n="[Material].[H_MainGroup].[MainGroupDesc].&amp;[Aksesuar]"/>
              </i>
              <i n="[Material].[H_MainGroup].[MainGroupDesc].&amp;[Aksesuar].&amp;[Şaraplık]" c="Şaraplık" nd="1">
                <p n="[Material].[H_MainGroup].[MainGroupDesc].&amp;[Aksesuar]"/>
              </i>
              <i n="[Material].[H_MainGroup].[MainGroupDesc].&amp;[Aksesuar].&amp;[Sekreterlik]" c="Sekreterlik" nd="1">
                <p n="[Material].[H_MainGroup].[MainGroupDesc].&amp;[Aksesuar]"/>
              </i>
              <i n="[Material].[H_MainGroup].[MainGroupDesc].&amp;[Aksesuar].&amp;[Seyahat Su Kabı]" c="Seyahat Su Kabı" nd="1">
                <p n="[Material].[H_MainGroup].[MainGroupDesc].&amp;[Aksesuar]"/>
              </i>
              <i n="[Material].[H_MainGroup].[MainGroupDesc].&amp;[Aksesuar].&amp;[Silgi]" c="Silgi" nd="1">
                <p n="[Material].[H_MainGroup].[MainGroupDesc].&amp;[Aksesuar]"/>
              </i>
              <i n="[Material].[H_MainGroup].[MainGroupDesc].&amp;[Aksesuar].&amp;[Şişe Fırçası]" c="Şişe Fırçası" nd="1">
                <p n="[Material].[H_MainGroup].[MainGroupDesc].&amp;[Aksesuar]"/>
              </i>
              <i n="[Material].[H_MainGroup].[MainGroupDesc].&amp;[Aksesuar].&amp;[Şişme Deniz Yatağı]" c="Şişme Deniz Yatağı" nd="1">
                <p n="[Material].[H_MainGroup].[MainGroupDesc].&amp;[Aksesuar]"/>
              </i>
              <i n="[Material].[H_MainGroup].[MainGroupDesc].&amp;[Aksesuar].&amp;[Şişme Havuz]" c="Şişme Havuz" nd="1">
                <p n="[Material].[H_MainGroup].[MainGroupDesc].&amp;[Aksesuar]"/>
              </i>
              <i n="[Material].[H_MainGroup].[MainGroupDesc].&amp;[Aksesuar].&amp;[Şişme Koltuk]" c="Şişme Koltuk" nd="1">
                <p n="[Material].[H_MainGroup].[MainGroupDesc].&amp;[Aksesuar]"/>
              </i>
              <i n="[Material].[H_MainGroup].[MainGroupDesc].&amp;[Aksesuar].&amp;[Şişme Yelek]" c="Şişme Yelek" nd="1">
                <p n="[Material].[H_MainGroup].[MainGroupDesc].&amp;[Aksesuar]"/>
              </i>
              <i n="[Material].[H_MainGroup].[MainGroupDesc].&amp;[Aksesuar].&amp;[Soğuk Tutma Matı]" c="Soğuk Tutma Matı" nd="1">
                <p n="[Material].[H_MainGroup].[MainGroupDesc].&amp;[Aksesuar]"/>
              </i>
              <i n="[Material].[H_MainGroup].[MainGroupDesc].&amp;[Aksesuar].&amp;[Sulak]" c="Sulak" nd="1">
                <p n="[Material].[H_MainGroup].[MainGroupDesc].&amp;[Aksesuar]"/>
              </i>
              <i n="[Material].[H_MainGroup].[MainGroupDesc].&amp;[Aksesuar].&amp;[Süpürge]" c="Süpürge" nd="1">
                <p n="[Material].[H_MainGroup].[MainGroupDesc].&amp;[Aksesuar]"/>
              </i>
              <i n="[Material].[H_MainGroup].[MainGroupDesc].&amp;[Aksesuar].&amp;[Tahterevalli]" c="Tahterevalli" nd="1">
                <p n="[Material].[H_MainGroup].[MainGroupDesc].&amp;[Aksesuar]"/>
              </i>
              <i n="[Material].[H_MainGroup].[MainGroupDesc].&amp;[Aksesuar].&amp;[Tarak]" c="Tarak" nd="1">
                <p n="[Material].[H_MainGroup].[MainGroupDesc].&amp;[Aksesuar]"/>
              </i>
              <i n="[Material].[H_MainGroup].[MainGroupDesc].&amp;[Aksesuar].&amp;[Taşınabilir Şarj]" c="Taşınabilir Şarj" nd="1">
                <p n="[Material].[H_MainGroup].[MainGroupDesc].&amp;[Aksesuar]"/>
              </i>
              <i n="[Material].[H_MainGroup].[MainGroupDesc].&amp;[Aksesuar].&amp;[Tasma]" c="Tasma" nd="1">
                <p n="[Material].[H_MainGroup].[MainGroupDesc].&amp;[Aksesuar]"/>
              </i>
              <i n="[Material].[H_MainGroup].[MainGroupDesc].&amp;[Aksesuar].&amp;[Tasma Kayışı]" c="Tasma Kayışı" nd="1">
                <p n="[Material].[H_MainGroup].[MainGroupDesc].&amp;[Aksesuar]"/>
              </i>
              <i n="[Material].[H_MainGroup].[MainGroupDesc].&amp;[Aksesuar].&amp;[Tasma Süsü]" c="Tasma Süsü" nd="1">
                <p n="[Material].[H_MainGroup].[MainGroupDesc].&amp;[Aksesuar]"/>
              </i>
              <i n="[Material].[H_MainGroup].[MainGroupDesc].&amp;[Aksesuar].&amp;[Telefon Kılıfı]" c="Telefon Kılıfı" nd="1">
                <p n="[Material].[H_MainGroup].[MainGroupDesc].&amp;[Aksesuar]"/>
              </i>
              <i n="[Material].[H_MainGroup].[MainGroupDesc].&amp;[Aksesuar].&amp;[Temizlik Bezi]" c="Temizlik Bezi" nd="1">
                <p n="[Material].[H_MainGroup].[MainGroupDesc].&amp;[Aksesuar]"/>
              </i>
              <i n="[Material].[H_MainGroup].[MainGroupDesc].&amp;[Aksesuar].&amp;[Temizlik Kovası]" c="Temizlik Kovası" nd="1">
                <p n="[Material].[H_MainGroup].[MainGroupDesc].&amp;[Aksesuar]"/>
              </i>
              <i n="[Material].[H_MainGroup].[MainGroupDesc].&amp;[Aksesuar].&amp;[Tencere Korumalık]" c="Tencere Korumalık" nd="1">
                <p n="[Material].[H_MainGroup].[MainGroupDesc].&amp;[Aksesuar]"/>
              </i>
              <i n="[Material].[H_MainGroup].[MainGroupDesc].&amp;[Aksesuar].&amp;[Terlik Organizer]" c="Terlik Organizer" nd="1">
                <p n="[Material].[H_MainGroup].[MainGroupDesc].&amp;[Aksesuar]"/>
              </i>
              <i n="[Material].[H_MainGroup].[MainGroupDesc].&amp;[Aksesuar].&amp;[Toz Alıcı]" c="Toz Alıcı" nd="1">
                <p n="[Material].[H_MainGroup].[MainGroupDesc].&amp;[Aksesuar]"/>
              </i>
              <i n="[Material].[H_MainGroup].[MainGroupDesc].&amp;[Aksesuar].&amp;[Tuvalet Eğitim Pedi]" c="Tuvalet Eğitim Pedi" nd="1">
                <p n="[Material].[H_MainGroup].[MainGroupDesc].&amp;[Aksesuar]"/>
              </i>
              <i n="[Material].[H_MainGroup].[MainGroupDesc].&amp;[Aksesuar].&amp;[Tuvalet Kağıtlığı]" c="Tuvalet Kağıtlığı" nd="1">
                <p n="[Material].[H_MainGroup].[MainGroupDesc].&amp;[Aksesuar]"/>
              </i>
              <i n="[Material].[H_MainGroup].[MainGroupDesc].&amp;[Aksesuar].&amp;[Tüy Toplama Eldiveni]" c="Tüy Toplama Eldiveni" nd="1">
                <p n="[Material].[H_MainGroup].[MainGroupDesc].&amp;[Aksesuar]"/>
              </i>
              <i n="[Material].[H_MainGroup].[MainGroupDesc].&amp;[Aksesuar].&amp;[Tüy Toplayıcı]" c="Tüy Toplayıcı" nd="1">
                <p n="[Material].[H_MainGroup].[MainGroupDesc].&amp;[Aksesuar]"/>
              </i>
              <i n="[Material].[H_MainGroup].[MainGroupDesc].&amp;[Aksesuar].&amp;[USB Memory]" c="USB Memory" nd="1">
                <p n="[Material].[H_MainGroup].[MainGroupDesc].&amp;[Aksesuar]"/>
              </i>
              <i n="[Material].[H_MainGroup].[MainGroupDesc].&amp;[Aksesuar].&amp;[Ütü Masası]" c="Ütü Masası" nd="1">
                <p n="[Material].[H_MainGroup].[MainGroupDesc].&amp;[Aksesuar]"/>
              </i>
              <i n="[Material].[H_MainGroup].[MainGroupDesc].&amp;[Aksesuar].&amp;[Ütü Masası Kılıfı]" c="Ütü Masası Kılıfı" nd="1">
                <p n="[Material].[H_MainGroup].[MainGroupDesc].&amp;[Aksesuar]"/>
              </i>
              <i n="[Material].[H_MainGroup].[MainGroupDesc].&amp;[Aksesuar].&amp;[Ütülük]" c="Ütülük" nd="1">
                <p n="[Material].[H_MainGroup].[MainGroupDesc].&amp;[Aksesuar]"/>
              </i>
              <i n="[Material].[H_MainGroup].[MainGroupDesc].&amp;[Aksesuar].&amp;[Valiz]" c="Valiz" nd="1">
                <p n="[Material].[H_MainGroup].[MainGroupDesc].&amp;[Aksesuar]"/>
              </i>
              <i n="[Material].[H_MainGroup].[MainGroupDesc].&amp;[Aksesuar].&amp;[Valiz Kemeri]" c="Valiz Kemeri" nd="1">
                <p n="[Material].[H_MainGroup].[MainGroupDesc].&amp;[Aksesuar]"/>
              </i>
              <i n="[Material].[H_MainGroup].[MainGroupDesc].&amp;[Aksesuar].&amp;[Yapay Şömine]" c="Yapay Şömine" nd="1">
                <p n="[Material].[H_MainGroup].[MainGroupDesc].&amp;[Aksesuar]"/>
              </i>
              <i n="[Material].[H_MainGroup].[MainGroupDesc].&amp;[Aksesuar].&amp;[Yemlik]" c="Yemlik" nd="1">
                <p n="[Material].[H_MainGroup].[MainGroupDesc].&amp;[Aksesuar]"/>
              </i>
              <i n="[Material].[H_MainGroup].[MainGroupDesc].&amp;[Aksesuar].&amp;[Yer Fırçası]" c="Yer Fırçası" nd="1">
                <p n="[Material].[H_MainGroup].[MainGroupDesc].&amp;[Aksesuar]"/>
              </i>
              <i n="[Material].[H_MainGroup].[MainGroupDesc].&amp;[Aksesuar].&amp;[Yer Karosu]" c="Yer Karosu" nd="1">
                <p n="[Material].[H_MainGroup].[MainGroupDesc].&amp;[Aksesuar]"/>
              </i>
              <i n="[Material].[H_MainGroup].[MainGroupDesc].&amp;[Aksesuar].&amp;[Yıkama Filesi]" c="Yıkama Filesi" nd="1">
                <p n="[Material].[H_MainGroup].[MainGroupDesc].&amp;[Aksesuar]"/>
              </i>
              <i n="[Material].[H_MainGroup].[MainGroupDesc].&amp;[Aksesuar].&amp;[Yıkama Seti]" c="Yıkama Seti" nd="1">
                <p n="[Material].[H_MainGroup].[MainGroupDesc].&amp;[Aksesuar]"/>
              </i>
              <i n="[Material].[H_MainGroup].[MainGroupDesc].&amp;[Aksesuar].&amp;[Yıkama Torbası]" c="Yıkama Torbası" nd="1">
                <p n="[Material].[H_MainGroup].[MainGroupDesc].&amp;[Aksesuar]"/>
              </i>
              <i n="[Material].[H_MainGroup].[MainGroupDesc].&amp;[Aksesuar].&amp;[Yoga Mat]" c="Yoga Mat" nd="1">
                <p n="[Material].[H_MainGroup].[MainGroupDesc].&amp;[Aksesuar]"/>
              </i>
              <i n="[Material].[H_MainGroup].[MainGroupDesc].&amp;[Aksesuar].&amp;[Zeka Kartı]" c="Zeka Kartı" nd="1">
                <p n="[Material].[H_MainGroup].[MainGroupDesc].&amp;[Aksesuar]"/>
              </i>
              <i n="[Material].[H_MainGroup].[MainGroupDesc].&amp;[Aksesuar].&amp;[Zımba]" c="Zımba" nd="1">
                <p n="[Material].[H_MainGroup].[MainGroupDesc].&amp;[Aksesuar]"/>
              </i>
              <i n="[Material].[H_MainGroup].[MainGroupDesc].&amp;[Aksesuar].&amp;[Кüp]" c="Кüp" nd="1">
                <p n="[Material].[H_MainGroup].[MainGroupDesc].&amp;[Aksesuar]"/>
              </i>
              <i n="[Material].[H_MainGroup].[MainGroupDesc].&amp;[Banyo].&amp;[#NA]" c="#NA" nd="1">
                <p n="[Material].[H_MainGroup].[MainGroupDesc].&amp;[Banyo]"/>
              </i>
              <i n="[Material].[H_MainGroup].[MainGroupDesc].&amp;[Banyo].&amp;[Banyo Kesesi]" c="Banyo Kesesi" nd="1">
                <p n="[Material].[H_MainGroup].[MainGroupDesc].&amp;[Banyo]"/>
              </i>
              <i n="[Material].[H_MainGroup].[MainGroupDesc].&amp;[Banyo].&amp;[Dekoratif Küvet]" c="Dekoratif Küvet" nd="1">
                <p n="[Material].[H_MainGroup].[MainGroupDesc].&amp;[Banyo]"/>
              </i>
              <i n="[Material].[H_MainGroup].[MainGroupDesc].&amp;[Banyo].&amp;[Kağıt Mendil]" c="Kağıt Mendil" nd="1">
                <p n="[Material].[H_MainGroup].[MainGroupDesc].&amp;[Banyo]"/>
              </i>
              <i n="[Material].[H_MainGroup].[MainGroupDesc].&amp;[Banyo].&amp;[Kulak Çubukluğu]" c="Kulak Çubukluğu" nd="1">
                <p n="[Material].[H_MainGroup].[MainGroupDesc].&amp;[Banyo]"/>
              </i>
              <i n="[Material].[H_MainGroup].[MainGroupDesc].&amp;[Battaniye].&amp;[#NA]" c="#NA" nd="1">
                <p n="[Material].[H_MainGroup].[MainGroupDesc].&amp;[Battaniye]"/>
              </i>
              <i n="[Material].[H_MainGroup].[MainGroupDesc].&amp;[Battaniye].&amp;[Bebe Battaniye Seti]" c="Bebe Battaniye Seti" nd="1">
                <p n="[Material].[H_MainGroup].[MainGroupDesc].&amp;[Battaniye]"/>
              </i>
              <i n="[Material].[H_MainGroup].[MainGroupDesc].&amp;[Bilgi Sistemleri].&amp;[#NA]" c="#NA" nd="1">
                <p n="[Material].[H_MainGroup].[MainGroupDesc].&amp;[Bilgi Sistemleri]"/>
              </i>
              <i n="[Material].[H_MainGroup].[MainGroupDesc].&amp;[Bilgi Sistemleri].&amp;[BT Sarf Malzemeleri]" c="BT Sarf Malzemeleri" nd="1">
                <p n="[Material].[H_MainGroup].[MainGroupDesc].&amp;[Bilgi Sistemleri]"/>
              </i>
              <i n="[Material].[H_MainGroup].[MainGroupDesc].&amp;[Bilgi Sistemleri].&amp;[Danışmanlık]" c="Danışmanlık" nd="1">
                <p n="[Material].[H_MainGroup].[MainGroupDesc].&amp;[Bilgi Sistemleri]"/>
              </i>
              <i n="[Material].[H_MainGroup].[MainGroupDesc].&amp;[Bilgi Sistemleri].&amp;[Hizmet/Bakım]" c="Hizmet/Bakım" nd="1">
                <p n="[Material].[H_MainGroup].[MainGroupDesc].&amp;[Bilgi Sistemleri]"/>
              </i>
              <i n="[Material].[H_MainGroup].[MainGroupDesc].&amp;[Bilgi Sistemleri].&amp;[Kamera]" c="Kamera" nd="1">
                <p n="[Material].[H_MainGroup].[MainGroupDesc].&amp;[Bilgi Sistemleri]"/>
              </i>
              <i n="[Material].[H_MainGroup].[MainGroupDesc].&amp;[Bilgi Sistemleri].&amp;[Lisans]" c="Lisans" nd="1">
                <p n="[Material].[H_MainGroup].[MainGroupDesc].&amp;[Bilgi Sistemleri]"/>
              </i>
              <i n="[Material].[H_MainGroup].[MainGroupDesc].&amp;[Cafe].&amp;[#NA]" c="#NA" nd="1">
                <p n="[Material].[H_MainGroup].[MainGroupDesc].&amp;[Cafe]"/>
              </i>
              <i n="[Material].[H_MainGroup].[MainGroupDesc].&amp;[Cafe].&amp;[Çikolata Kaplı Badem]" c="Çikolata Kaplı Badem" nd="1">
                <p n="[Material].[H_MainGroup].[MainGroupDesc].&amp;[Cafe]"/>
              </i>
              <i n="[Material].[H_MainGroup].[MainGroupDesc].&amp;[Cafe].&amp;[Gıda]" c="Gıda" nd="1">
                <p n="[Material].[H_MainGroup].[MainGroupDesc].&amp;[Cafe]"/>
              </i>
              <i n="[Material].[H_MainGroup].[MainGroupDesc].&amp;[Çarşaf].&amp;[#NA]" c="#NA" nd="1">
                <p n="[Material].[H_MainGroup].[MainGroupDesc].&amp;[Çarşaf]"/>
              </i>
              <i n="[Material].[H_MainGroup].[MainGroupDesc].&amp;[Çarşaf].&amp;[Çarşaf Takımı]" c="Çarşaf Takımı" nd="1">
                <p n="[Material].[H_MainGroup].[MainGroupDesc].&amp;[Çarşaf]"/>
              </i>
              <i n="[Material].[H_MainGroup].[MainGroupDesc].&amp;[Dünya Markaları].&amp;[#NA]" c="#NA" nd="1">
                <p n="[Material].[H_MainGroup].[MainGroupDesc].&amp;[Dünya Markaları]"/>
              </i>
              <i n="[Material].[H_MainGroup].[MainGroupDesc].&amp;[Dünya Markaları].&amp;[DM Fırın Kabı]" c="DM Fırın Kabı" nd="1">
                <p n="[Material].[H_MainGroup].[MainGroupDesc].&amp;[Dünya Markaları]"/>
              </i>
              <i n="[Material].[H_MainGroup].[MainGroupDesc].&amp;[Dünya Markaları].&amp;[DM Rende]" c="DM Rende" nd="1">
                <p n="[Material].[H_MainGroup].[MainGroupDesc].&amp;[Dünya Markaları]"/>
              </i>
              <i n="[Material].[H_MainGroup].[MainGroupDesc].&amp;[EBA].&amp;[#NA]" c="#NA" nd="1">
                <p n="[Material].[H_MainGroup].[MainGroupDesc].&amp;[EBA]"/>
              </i>
              <i n="[Material].[H_MainGroup].[MainGroupDesc].&amp;[EBA].&amp;[Hizmet/İdari]" c="Hizmet/İdari" nd="1">
                <p n="[Material].[H_MainGroup].[MainGroupDesc].&amp;[EBA]"/>
              </i>
              <i n="[Material].[H_MainGroup].[MainGroupDesc].&amp;[EBA].&amp;[Numuneler]" c="Numuneler" nd="1">
                <p n="[Material].[H_MainGroup].[MainGroupDesc].&amp;[EBA]"/>
              </i>
              <i n="[Material].[H_MainGroup].[MainGroupDesc].&amp;[Entegrasyon].&amp;[#NA]" c="#NA" nd="1">
                <p n="[Material].[H_MainGroup].[MainGroupDesc].&amp;[Entegrasyon]"/>
              </i>
              <i n="[Material].[H_MainGroup].[MainGroupDesc].&amp;[Entegrasyon].&amp;[Bulaşık Deterjanı]" c="Bulaşık Deterjanı" nd="1">
                <p n="[Material].[H_MainGroup].[MainGroupDesc].&amp;[Entegrasyon]"/>
              </i>
              <i n="[Material].[H_MainGroup].[MainGroupDesc].&amp;[Entegrasyon].&amp;[Entegrasyon MG]" c="Entegrasyon MG" nd="1">
                <p n="[Material].[H_MainGroup].[MainGroupDesc].&amp;[Entegrasyon]"/>
              </i>
              <i n="[Material].[H_MainGroup].[MainGroupDesc].&amp;[Ev Giysisi].&amp;[Eşofman Takımı]" c="Eşofman Takımı" nd="1">
                <p n="[Material].[H_MainGroup].[MainGroupDesc].&amp;[Ev Giysisi]"/>
              </i>
              <i n="[Material].[H_MainGroup].[MainGroupDesc].&amp;[Halı - Kilim].&amp;[#NA]" c="#NA" nd="1">
                <p n="[Material].[H_MainGroup].[MainGroupDesc].&amp;[Halı - Kilim]"/>
              </i>
              <i n="[Material].[H_MainGroup].[MainGroupDesc].&amp;[Halı - Kilim].&amp;[Halı Tabanı]" c="Halı Tabanı" nd="1">
                <p n="[Material].[H_MainGroup].[MainGroupDesc].&amp;[Halı - Kilim]"/>
              </i>
              <i n="[Material].[H_MainGroup].[MainGroupDesc].&amp;[Havlu].&amp;[#NA]" c="#NA" nd="1">
                <p n="[Material].[H_MainGroup].[MainGroupDesc].&amp;[Havlu]"/>
              </i>
              <i n="[Material].[H_MainGroup].[MainGroupDesc].&amp;[Havlu].&amp;[Banyo Bonesi]" c="Banyo Bonesi" nd="1">
                <p n="[Material].[H_MainGroup].[MainGroupDesc].&amp;[Havlu]"/>
              </i>
              <i n="[Material].[H_MainGroup].[MainGroupDesc].&amp;[Havlu].&amp;[Peştamal Set]" c="Peştamal Set" nd="1">
                <p n="[Material].[H_MainGroup].[MainGroupDesc].&amp;[Havlu]"/>
              </i>
              <i n="[Material].[H_MainGroup].[MainGroupDesc].&amp;[Havlu].&amp;[Spor Havlusu]" c="Spor Havlusu" nd="1">
                <p n="[Material].[H_MainGroup].[MainGroupDesc].&amp;[Havlu]"/>
              </i>
              <i n="[Material].[H_MainGroup].[MainGroupDesc].&amp;[Havlu].&amp;[Vaftiz Havlusu]" c="Vaftiz Havlusu" nd="1">
                <p n="[Material].[H_MainGroup].[MainGroupDesc].&amp;[Havlu]"/>
              </i>
              <i n="[Material].[H_MainGroup].[MainGroupDesc].&amp;[İnsan Kaynakları].&amp;[#NA]" c="#NA" nd="1">
                <p n="[Material].[H_MainGroup].[MainGroupDesc].&amp;[İnsan Kaynakları]"/>
              </i>
              <i n="[Material].[H_MainGroup].[MainGroupDesc].&amp;[İnsan Kaynakları].&amp;[IK Ofis - Kırtasiye]" c="IK Ofis - Kırtasiye" nd="1">
                <p n="[Material].[H_MainGroup].[MainGroupDesc].&amp;[İnsan Kaynakları]"/>
              </i>
              <i n="[Material].[H_MainGroup].[MainGroupDesc].&amp;[KEA].&amp;[#NA]" c="#NA" nd="1">
                <p n="[Material].[H_MainGroup].[MainGroupDesc].&amp;[KEA]"/>
              </i>
              <i n="[Material].[H_MainGroup].[MainGroupDesc].&amp;[KEA].&amp;[Buharlı Düzleştirici]" c="Buharlı Düzleştirici" nd="1">
                <p n="[Material].[H_MainGroup].[MainGroupDesc].&amp;[KEA]"/>
              </i>
              <i n="[Material].[H_MainGroup].[MainGroupDesc].&amp;[KEA].&amp;[Buharlı El Ütüsü]" c="Buharlı El Ütüsü" nd="1">
                <p n="[Material].[H_MainGroup].[MainGroupDesc].&amp;[KEA]"/>
              </i>
              <i n="[Material].[H_MainGroup].[MainGroupDesc].&amp;[KEA].&amp;[Buharlı Temizleyici]" c="Buharlı Temizleyici" nd="1">
                <p n="[Material].[H_MainGroup].[MainGroupDesc].&amp;[KEA]"/>
              </i>
              <i n="[Material].[H_MainGroup].[MainGroupDesc].&amp;[KEA].&amp;[Derin Yağ Fritözü]" c="Derin Yağ Fritözü" nd="1">
                <p n="[Material].[H_MainGroup].[MainGroupDesc].&amp;[KEA]"/>
              </i>
              <i n="[Material].[H_MainGroup].[MainGroupDesc].&amp;[KEA].&amp;[Düzleştirici]" c="Düzleştirici" nd="1">
                <p n="[Material].[H_MainGroup].[MainGroupDesc].&amp;[KEA]"/>
              </i>
              <i n="[Material].[H_MainGroup].[MainGroupDesc].&amp;[KEA].&amp;[Düzleştirme Tarağı]" c="Düzleştirme Tarağı" nd="1">
                <p n="[Material].[H_MainGroup].[MainGroupDesc].&amp;[KEA]"/>
              </i>
              <i n="[Material].[H_MainGroup].[MainGroupDesc].&amp;[KEA].&amp;[Elektirikli Diş Fırç]" c="Elektirikli Diş Fırç" nd="1">
                <p n="[Material].[H_MainGroup].[MainGroupDesc].&amp;[KEA]"/>
              </i>
              <i n="[Material].[H_MainGroup].[MainGroupDesc].&amp;[KEA].&amp;[Erkek Tıraş Makinesi]" c="Erkek Tıraş Makinesi" nd="1">
                <p n="[Material].[H_MainGroup].[MainGroupDesc].&amp;[KEA]"/>
              </i>
              <i n="[Material].[H_MainGroup].[MainGroupDesc].&amp;[KEA].&amp;[Islak Kuru Süpürge]" c="Islak Kuru Süpürge" nd="1">
                <p n="[Material].[H_MainGroup].[MainGroupDesc].&amp;[KEA]"/>
              </i>
              <i n="[Material].[H_MainGroup].[MainGroupDesc].&amp;[KEA].&amp;[Kadın Tıraş Makinesi]" c="Kadın Tıraş Makinesi" nd="1">
                <p n="[Material].[H_MainGroup].[MainGroupDesc].&amp;[KEA]"/>
              </i>
              <i n="[Material].[H_MainGroup].[MainGroupDesc].&amp;[KEA].&amp;[Katı Meyve Sıkacağı]" c="Katı Meyve Sıkacağı" nd="1">
                <p n="[Material].[H_MainGroup].[MainGroupDesc].&amp;[KEA]"/>
              </i>
              <i n="[Material].[H_MainGroup].[MainGroupDesc].&amp;[KEA].&amp;[Kıyma Makinesi]" c="Kıyma Makinesi" nd="1">
                <p n="[Material].[H_MainGroup].[MainGroupDesc].&amp;[KEA]"/>
              </i>
              <i n="[Material].[H_MainGroup].[MainGroupDesc].&amp;[KEA].&amp;[Krep Makinesi]" c="Krep Makinesi" nd="1">
                <p n="[Material].[H_MainGroup].[MainGroupDesc].&amp;[KEA]"/>
              </i>
              <i n="[Material].[H_MainGroup].[MainGroupDesc].&amp;[KEA].&amp;[Mutfak Robotu]" c="Mutfak Robotu" nd="1">
                <p n="[Material].[H_MainGroup].[MainGroupDesc].&amp;[KEA]"/>
              </i>
              <i n="[Material].[H_MainGroup].[MainGroupDesc].&amp;[KEA].&amp;[Narenciye Sıkacağı]" c="Narenciye Sıkacağı" nd="1">
                <p n="[Material].[H_MainGroup].[MainGroupDesc].&amp;[KEA]"/>
              </i>
              <i n="[Material].[H_MainGroup].[MainGroupDesc].&amp;[KEA].&amp;[Oyun Konsolları]" c="Oyun Konsolları" nd="1">
                <p n="[Material].[H_MainGroup].[MainGroupDesc].&amp;[KEA]"/>
              </i>
              <i n="[Material].[H_MainGroup].[MainGroupDesc].&amp;[KEA].&amp;[Robot Süpürge]" c="Robot Süpürge" nd="1">
                <p n="[Material].[H_MainGroup].[MainGroupDesc].&amp;[KEA]"/>
              </i>
              <i n="[Material].[H_MainGroup].[MainGroupDesc].&amp;[KEA].&amp;[Saç Düzleştirici]" c="Saç Düzleştirici" nd="1">
                <p n="[Material].[H_MainGroup].[MainGroupDesc].&amp;[KEA]"/>
              </i>
              <i n="[Material].[H_MainGroup].[MainGroupDesc].&amp;[KEA].&amp;[Saç Maşası]" c="Saç Maşası" nd="1">
                <p n="[Material].[H_MainGroup].[MainGroupDesc].&amp;[KEA]"/>
              </i>
              <i n="[Material].[H_MainGroup].[MainGroupDesc].&amp;[KEA].&amp;[Saç Şekillendirici]" c="Saç Şekillendirici" nd="1">
                <p n="[Material].[H_MainGroup].[MainGroupDesc].&amp;[KEA]"/>
              </i>
              <i n="[Material].[H_MainGroup].[MainGroupDesc].&amp;[KEA].&amp;[Sandviç Mono]" c="Sandviç Mono" nd="1">
                <p n="[Material].[H_MainGroup].[MainGroupDesc].&amp;[KEA]"/>
              </i>
              <i n="[Material].[H_MainGroup].[MainGroupDesc].&amp;[KEA].&amp;[Seyahat Ütüsü]" c="Seyahat Ütüsü" nd="1">
                <p n="[Material].[H_MainGroup].[MainGroupDesc].&amp;[KEA]"/>
              </i>
              <i n="[Material].[H_MainGroup].[MainGroupDesc].&amp;[KEA].&amp;[Silindir Süpürge]" c="Silindir Süpürge" nd="1">
                <p n="[Material].[H_MainGroup].[MainGroupDesc].&amp;[KEA]"/>
              </i>
              <i n="[Material].[H_MainGroup].[MainGroupDesc].&amp;[KEA].&amp;[Slow Juicer]" c="Slow Juicer" nd="1">
                <p n="[Material].[H_MainGroup].[MainGroupDesc].&amp;[KEA]"/>
              </i>
              <i n="[Material].[H_MainGroup].[MainGroupDesc].&amp;[KEA].&amp;[Toz Torbasız Süpürge]" c="Toz Torbasız Süpürge" nd="1">
                <p n="[Material].[H_MainGroup].[MainGroupDesc].&amp;[KEA]"/>
              </i>
              <i n="[Material].[H_MainGroup].[MainGroupDesc].&amp;[Kozmetik].&amp;[#NA]" c="#NA" nd="1">
                <p n="[Material].[H_MainGroup].[MainGroupDesc].&amp;[Kozmetik]"/>
              </i>
              <i n="[Material].[H_MainGroup].[MainGroupDesc].&amp;[Kozmetik].&amp;[Allık]" c="Allık" nd="1">
                <p n="[Material].[H_MainGroup].[MainGroupDesc].&amp;[Kozmetik]"/>
              </i>
              <i n="[Material].[H_MainGroup].[MainGroupDesc].&amp;[Kozmetik].&amp;[Ayak Bakım Kremi]" c="Ayak Bakım Kremi" nd="1">
                <p n="[Material].[H_MainGroup].[MainGroupDesc].&amp;[Kozmetik]"/>
              </i>
              <i n="[Material].[H_MainGroup].[MainGroupDesc].&amp;[Kozmetik].&amp;[Ayak Peelingi]" c="Ayak Peelingi" nd="1">
                <p n="[Material].[H_MainGroup].[MainGroupDesc].&amp;[Kozmetik]"/>
              </i>
              <i n="[Material].[H_MainGroup].[MainGroupDesc].&amp;[Kozmetik].&amp;[Aydınlatıcı]" c="Aydınlatıcı" nd="1">
                <p n="[Material].[H_MainGroup].[MainGroupDesc].&amp;[Kozmetik]"/>
              </i>
              <i n="[Material].[H_MainGroup].[MainGroupDesc].&amp;[Kozmetik].&amp;[Bakım Seti]" c="Bakım Seti" nd="1">
                <p n="[Material].[H_MainGroup].[MainGroupDesc].&amp;[Kozmetik]"/>
              </i>
              <i n="[Material].[H_MainGroup].[MainGroupDesc].&amp;[Kozmetik].&amp;[Banyo Tuzu]" c="Banyo Tuzu" nd="1">
                <p n="[Material].[H_MainGroup].[MainGroupDesc].&amp;[Kozmetik]"/>
              </i>
              <i n="[Material].[H_MainGroup].[MainGroupDesc].&amp;[Kozmetik].&amp;[Bebe Bakım Seti]" c="Bebe Bakım Seti" nd="1">
                <p n="[Material].[H_MainGroup].[MainGroupDesc].&amp;[Kozmetik]"/>
              </i>
              <i n="[Material].[H_MainGroup].[MainGroupDesc].&amp;[Kozmetik].&amp;[Bebek Yağı]" c="Bebek Yağı" nd="1">
                <p n="[Material].[H_MainGroup].[MainGroupDesc].&amp;[Kozmetik]"/>
              </i>
              <i n="[Material].[H_MainGroup].[MainGroupDesc].&amp;[Kozmetik].&amp;[Bigudi]" c="Bigudi" nd="1">
                <p n="[Material].[H_MainGroup].[MainGroupDesc].&amp;[Kozmetik]"/>
              </i>
              <i n="[Material].[H_MainGroup].[MainGroupDesc].&amp;[Kozmetik].&amp;[Body Mist&amp;Losyon Set]" c="Body Mist&amp;Losyon Set" nd="1">
                <p n="[Material].[H_MainGroup].[MainGroupDesc].&amp;[Kozmetik]"/>
              </i>
              <i n="[Material].[H_MainGroup].[MainGroupDesc].&amp;[Kozmetik].&amp;[Body Polish]" c="Body Polish" nd="1">
                <p n="[Material].[H_MainGroup].[MainGroupDesc].&amp;[Kozmetik]"/>
              </i>
              <i n="[Material].[H_MainGroup].[MainGroupDesc].&amp;[Kozmetik].&amp;[Bronzlaştırıcı]" c="Bronzlaştırıcı" nd="1">
                <p n="[Material].[H_MainGroup].[MainGroupDesc].&amp;[Kozmetik]"/>
              </i>
              <i n="[Material].[H_MainGroup].[MainGroupDesc].&amp;[Kozmetik].&amp;[Buklet Set]" c="Buklet Set" nd="1">
                <p n="[Material].[H_MainGroup].[MainGroupDesc].&amp;[Kozmetik]"/>
              </i>
              <i n="[Material].[H_MainGroup].[MainGroupDesc].&amp;[Kozmetik].&amp;[Çamaşır Spreyi]" c="Çamaşır Spreyi" nd="1">
                <p n="[Material].[H_MainGroup].[MainGroupDesc].&amp;[Kozmetik]"/>
              </i>
              <i n="[Material].[H_MainGroup].[MainGroupDesc].&amp;[Kozmetik].&amp;[Çamaşır Yumuşatıcısı]" c="Çamaşır Yumuşatıcısı" nd="1">
                <p n="[Material].[H_MainGroup].[MainGroupDesc].&amp;[Kozmetik]"/>
              </i>
              <i n="[Material].[H_MainGroup].[MainGroupDesc].&amp;[Kozmetik].&amp;[Cilt Temizleme Fırça]" c="Cilt Temizleme Fırça" nd="1">
                <p n="[Material].[H_MainGroup].[MainGroupDesc].&amp;[Kozmetik]"/>
              </i>
              <i n="[Material].[H_MainGroup].[MainGroupDesc].&amp;[Kozmetik].&amp;[Cımbız]" c="Cımbız" nd="1">
                <p n="[Material].[H_MainGroup].[MainGroupDesc].&amp;[Kozmetik]"/>
              </i>
              <i n="[Material].[H_MainGroup].[MainGroupDesc].&amp;[Kozmetik].&amp;[Deodorant]" c="Deodorant" nd="1">
                <p n="[Material].[H_MainGroup].[MainGroupDesc].&amp;[Kozmetik]"/>
              </i>
              <i n="[Material].[H_MainGroup].[MainGroupDesc].&amp;[Kozmetik].&amp;[Deterjan]" c="Deterjan" nd="1">
                <p n="[Material].[H_MainGroup].[MainGroupDesc].&amp;[Kozmetik]"/>
              </i>
              <i n="[Material].[H_MainGroup].[MainGroupDesc].&amp;[Kozmetik].&amp;[Diş Fırçası]" c="Diş Fırçası" nd="1">
                <p n="[Material].[H_MainGroup].[MainGroupDesc].&amp;[Kozmetik]"/>
              </i>
              <i n="[Material].[H_MainGroup].[MainGroupDesc].&amp;[Kozmetik].&amp;[Diş Fırçası Kabı]" c="Diş Fırçası Kabı" nd="1">
                <p n="[Material].[H_MainGroup].[MainGroupDesc].&amp;[Kozmetik]"/>
              </i>
              <i n="[Material].[H_MainGroup].[MainGroupDesc].&amp;[Kozmetik].&amp;[Duş Lifi]" c="Duş Lifi" nd="1">
                <p n="[Material].[H_MainGroup].[MainGroupDesc].&amp;[Kozmetik]"/>
              </i>
              <i n="[Material].[H_MainGroup].[MainGroupDesc].&amp;[Kozmetik].&amp;[El Temizleme Jeli]" c="El Temizleme Jeli" nd="1">
                <p n="[Material].[H_MainGroup].[MainGroupDesc].&amp;[Kozmetik]"/>
              </i>
              <i n="[Material].[H_MainGroup].[MainGroupDesc].&amp;[Kozmetik].&amp;[El Vücut Bakım Kremi]" c="El Vücut Bakım Kremi" nd="1">
                <p n="[Material].[H_MainGroup].[MainGroupDesc].&amp;[Kozmetik]"/>
              </i>
              <i n="[Material].[H_MainGroup].[MainGroupDesc].&amp;[Kozmetik].&amp;[Eyeliner]" c="Eyeliner" nd="1">
                <p n="[Material].[H_MainGroup].[MainGroupDesc].&amp;[Kozmetik]"/>
              </i>
              <i n="[Material].[H_MainGroup].[MainGroupDesc].&amp;[Kozmetik].&amp;[Göz Farı]" c="Göz Farı" nd="1">
                <p n="[Material].[H_MainGroup].[MainGroupDesc].&amp;[Kozmetik]"/>
              </i>
              <i n="[Material].[H_MainGroup].[MainGroupDesc].&amp;[Kozmetik].&amp;[Gül Suyu]" c="Gül Suyu" nd="1">
                <p n="[Material].[H_MainGroup].[MainGroupDesc].&amp;[Kozmetik]"/>
              </i>
              <i n="[Material].[H_MainGroup].[MainGroupDesc].&amp;[Kozmetik].&amp;[Güneş Sonrası Jel]" c="Güneş Sonrası Jel" nd="1">
                <p n="[Material].[H_MainGroup].[MainGroupDesc].&amp;[Kozmetik]"/>
              </i>
              <i n="[Material].[H_MainGroup].[MainGroupDesc].&amp;[Kozmetik].&amp;[Hediyelik Set]" c="Hediyelik Set" nd="1">
                <p n="[Material].[H_MainGroup].[MainGroupDesc].&amp;[Kozmetik]"/>
              </i>
              <i n="[Material].[H_MainGroup].[MainGroupDesc].&amp;[Kozmetik].&amp;[Islak Mendil]" c="Islak Mendil" nd="1">
                <p n="[Material].[H_MainGroup].[MainGroupDesc].&amp;[Kozmetik]"/>
              </i>
              <i n="[Material].[H_MainGroup].[MainGroupDesc].&amp;[Kozmetik].&amp;[Kirpik Kıvırıcı]" c="Kirpik Kıvırıcı" nd="1">
                <p n="[Material].[H_MainGroup].[MainGroupDesc].&amp;[Kozmetik]"/>
              </i>
              <i n="[Material].[H_MainGroup].[MainGroupDesc].&amp;[Kozmetik].&amp;[Lip Balm]" c="Lip Balm" nd="1">
                <p n="[Material].[H_MainGroup].[MainGroupDesc].&amp;[Kozmetik]"/>
              </i>
              <i n="[Material].[H_MainGroup].[MainGroupDesc].&amp;[Kozmetik].&amp;[Makyaj Aynası]" c="Makyaj Aynası" nd="1">
                <p n="[Material].[H_MainGroup].[MainGroupDesc].&amp;[Kozmetik]"/>
              </i>
              <i n="[Material].[H_MainGroup].[MainGroupDesc].&amp;[Kozmetik].&amp;[Makyaj Fırçası]" c="Makyaj Fırçası" nd="1">
                <p n="[Material].[H_MainGroup].[MainGroupDesc].&amp;[Kozmetik]"/>
              </i>
              <i n="[Material].[H_MainGroup].[MainGroupDesc].&amp;[Kozmetik].&amp;[Makyaj Süngeri]" c="Makyaj Süngeri" nd="1">
                <p n="[Material].[H_MainGroup].[MainGroupDesc].&amp;[Kozmetik]"/>
              </i>
              <i n="[Material].[H_MainGroup].[MainGroupDesc].&amp;[Kozmetik].&amp;[Makyaj Temizleme Men]" c="Makyaj Temizleme Men" nd="1">
                <p n="[Material].[H_MainGroup].[MainGroupDesc].&amp;[Kozmetik]"/>
              </i>
              <i n="[Material].[H_MainGroup].[MainGroupDesc].&amp;[Kozmetik].&amp;[Manikür Seti]" c="Manikür Seti" nd="1">
                <p n="[Material].[H_MainGroup].[MainGroupDesc].&amp;[Kozmetik]"/>
              </i>
              <i n="[Material].[H_MainGroup].[MainGroupDesc].&amp;[Kozmetik].&amp;[Maskara]" c="Maskara" nd="1">
                <p n="[Material].[H_MainGroup].[MainGroupDesc].&amp;[Kozmetik]"/>
              </i>
              <i n="[Material].[H_MainGroup].[MainGroupDesc].&amp;[Kozmetik].&amp;[Micellar Su]" c="Micellar Su" nd="1">
                <p n="[Material].[H_MainGroup].[MainGroupDesc].&amp;[Kozmetik]"/>
              </i>
              <i n="[Material].[H_MainGroup].[MainGroupDesc].&amp;[Kozmetik].&amp;[Parfüm&amp;El Kremi Set]" c="Parfüm&amp;El Kremi Set" nd="1">
                <p n="[Material].[H_MainGroup].[MainGroupDesc].&amp;[Kozmetik]"/>
              </i>
              <i n="[Material].[H_MainGroup].[MainGroupDesc].&amp;[Kozmetik].&amp;[Ponza Taşı]" c="Ponza Taşı" nd="1">
                <p n="[Material].[H_MainGroup].[MainGroupDesc].&amp;[Kozmetik]"/>
              </i>
              <i n="[Material].[H_MainGroup].[MainGroupDesc].&amp;[Kozmetik].&amp;[Refil]" c="Refil" nd="1">
                <p n="[Material].[H_MainGroup].[MainGroupDesc].&amp;[Kozmetik]"/>
              </i>
              <i n="[Material].[H_MainGroup].[MainGroupDesc].&amp;[Kozmetik].&amp;[Saç Fırçası]" c="Saç Fırçası" nd="1">
                <p n="[Material].[H_MainGroup].[MainGroupDesc].&amp;[Kozmetik]"/>
              </i>
              <i n="[Material].[H_MainGroup].[MainGroupDesc].&amp;[Kozmetik].&amp;[Şampuan]" c="Şampuan" nd="1">
                <p n="[Material].[H_MainGroup].[MainGroupDesc].&amp;[Kozmetik]"/>
              </i>
              <i n="[Material].[H_MainGroup].[MainGroupDesc].&amp;[Kozmetik].&amp;[Seyahat Seti]" c="Seyahat Seti" nd="1">
                <p n="[Material].[H_MainGroup].[MainGroupDesc].&amp;[Kozmetik]"/>
              </i>
              <i n="[Material].[H_MainGroup].[MainGroupDesc].&amp;[Kozmetik].&amp;[Sıvı Saç Kremi]" c="Sıvı Saç Kremi" nd="1">
                <p n="[Material].[H_MainGroup].[MainGroupDesc].&amp;[Kozmetik]"/>
              </i>
              <i n="[Material].[H_MainGroup].[MainGroupDesc].&amp;[Kozmetik].&amp;[Sugar Scrub]" c="Sugar Scrub" nd="1">
                <p n="[Material].[H_MainGroup].[MainGroupDesc].&amp;[Kozmetik]"/>
              </i>
              <i n="[Material].[H_MainGroup].[MainGroupDesc].&amp;[Kozmetik].&amp;[Tonik]" c="Tonik" nd="1">
                <p n="[Material].[H_MainGroup].[MainGroupDesc].&amp;[Kozmetik]"/>
              </i>
              <i n="[Material].[H_MainGroup].[MainGroupDesc].&amp;[Kozmetik].&amp;[Törpü]" c="Törpü" nd="1">
                <p n="[Material].[H_MainGroup].[MainGroupDesc].&amp;[Kozmetik]"/>
              </i>
              <i n="[Material].[H_MainGroup].[MainGroupDesc].&amp;[Kozmetik].&amp;[WHT Kokulu Mum]" c="WHT Kokulu Mum" nd="1">
                <p n="[Material].[H_MainGroup].[MainGroupDesc].&amp;[Kozmetik]"/>
              </i>
              <i n="[Material].[H_MainGroup].[MainGroupDesc].&amp;[Kozmetik].&amp;[Yüz Temizleme Jeli]" c="Yüz Temizleme Jeli" nd="1">
                <p n="[Material].[H_MainGroup].[MainGroupDesc].&amp;[Kozmetik]"/>
              </i>
              <i n="[Material].[H_MainGroup].[MainGroupDesc].&amp;[Küçük Elektrikli Ev Aletleri].&amp;[#NA]" c="#NA" nd="1">
                <p n="[Material].[H_MainGroup].[MainGroupDesc].&amp;[Küçük Elektrikli Ev Aletleri]"/>
              </i>
              <i n="[Material].[H_MainGroup].[MainGroupDesc].&amp;[Küçük Elektrikli Ev Aletleri].&amp;[Baskül]" c="Baskül" nd="1">
                <p n="[Material].[H_MainGroup].[MainGroupDesc].&amp;[Küçük Elektrikli Ev Aletleri]"/>
              </i>
              <i n="[Material].[H_MainGroup].[MainGroupDesc].&amp;[Küçük Elektrikli Ev Aletleri].&amp;[Blender Set]" c="Blender Set" nd="1">
                <p n="[Material].[H_MainGroup].[MainGroupDesc].&amp;[Küçük Elektrikli Ev Aletleri]"/>
              </i>
              <i n="[Material].[H_MainGroup].[MainGroupDesc].&amp;[Küçük Elektrikli Ev Aletleri].&amp;[Buharlı Pişirici]" c="Buharlı Pişirici" nd="1">
                <p n="[Material].[H_MainGroup].[MainGroupDesc].&amp;[Küçük Elektrikli Ev Aletleri]"/>
              </i>
              <i n="[Material].[H_MainGroup].[MainGroupDesc].&amp;[Küçük Elektrikli Ev Aletleri].&amp;[Çaycı]" c="Çaycı" nd="1">
                <p n="[Material].[H_MainGroup].[MainGroupDesc].&amp;[Küçük Elektrikli Ev Aletleri]"/>
              </i>
              <i n="[Material].[H_MainGroup].[MainGroupDesc].&amp;[Küçük Elektrikli Ev Aletleri].&amp;[Dik Süpürge]" c="Dik Süpürge" nd="1">
                <p n="[Material].[H_MainGroup].[MainGroupDesc].&amp;[Küçük Elektrikli Ev Aletleri]"/>
              </i>
              <i n="[Material].[H_MainGroup].[MainGroupDesc].&amp;[Küçük Elektrikli Ev Aletleri].&amp;[Dikiş Makinesi]" c="Dikiş Makinesi" nd="1">
                <p n="[Material].[H_MainGroup].[MainGroupDesc].&amp;[Küçük Elektrikli Ev Aletleri]"/>
              </i>
              <i n="[Material].[H_MainGroup].[MainGroupDesc].&amp;[Küçük Elektrikli Ev Aletleri].&amp;[Ekmek Kızrtma Makine]" c="Ekmek Kızrtma Makine" nd="1">
                <p n="[Material].[H_MainGroup].[MainGroupDesc].&amp;[Küçük Elektrikli Ev Aletleri]"/>
              </i>
              <i n="[Material].[H_MainGroup].[MainGroupDesc].&amp;[Küçük Elektrikli Ev Aletleri].&amp;[El Mikseri]" c="El Mikseri" nd="1">
                <p n="[Material].[H_MainGroup].[MainGroupDesc].&amp;[Küçük Elektrikli Ev Aletleri]"/>
              </i>
              <i n="[Material].[H_MainGroup].[MainGroupDesc].&amp;[Küçük Elektrikli Ev Aletleri].&amp;[Erkek Bakım Kiti]" c="Erkek Bakım Kiti" nd="1">
                <p n="[Material].[H_MainGroup].[MainGroupDesc].&amp;[Küçük Elektrikli Ev Aletleri]"/>
              </i>
              <i n="[Material].[H_MainGroup].[MainGroupDesc].&amp;[Küçük Elektrikli Ev Aletleri].&amp;[Filtre Kahve Makines]" c="Filtre Kahve Makines" nd="1">
                <p n="[Material].[H_MainGroup].[MainGroupDesc].&amp;[Küçük Elektrikli Ev Aletleri]"/>
              </i>
              <i n="[Material].[H_MainGroup].[MainGroupDesc].&amp;[Küçük Elektrikli Ev Aletleri].&amp;[Mutfak Tartısı]" c="Mutfak Tartısı" nd="1">
                <p n="[Material].[H_MainGroup].[MainGroupDesc].&amp;[Küçük Elektrikli Ev Aletleri]"/>
              </i>
              <i n="[Material].[H_MainGroup].[MainGroupDesc].&amp;[Küçük Elektrikli Ev Aletleri].&amp;[Rondo]" c="Rondo" nd="1">
                <p n="[Material].[H_MainGroup].[MainGroupDesc].&amp;[Küçük Elektrikli Ev Aletleri]"/>
              </i>
              <i n="[Material].[H_MainGroup].[MainGroupDesc].&amp;[Küçük Elektrikli Ev Aletleri].&amp;[Saç Düzleştiricisi]" c="Saç Düzleştiricisi" nd="1">
                <p n="[Material].[H_MainGroup].[MainGroupDesc].&amp;[Küçük Elektrikli Ev Aletleri]"/>
              </i>
              <i n="[Material].[H_MainGroup].[MainGroupDesc].&amp;[Küçük Elektrikli Ev Aletleri].&amp;[Saç Kurutma Makinesi]" c="Saç Kurutma Makinesi" nd="1">
                <p n="[Material].[H_MainGroup].[MainGroupDesc].&amp;[Küçük Elektrikli Ev Aletleri]"/>
              </i>
              <i n="[Material].[H_MainGroup].[MainGroupDesc].&amp;[Küçük Elektrikli Ev Aletleri].&amp;[Salon Pro System]" c="Salon Pro System" nd="1">
                <p n="[Material].[H_MainGroup].[MainGroupDesc].&amp;[Küçük Elektrikli Ev Aletleri]"/>
              </i>
              <i n="[Material].[H_MainGroup].[MainGroupDesc].&amp;[Küçük Elektrikli Ev Aletleri].&amp;[Satinskin Pro System]" c="Satinskin Pro System" nd="1">
                <p n="[Material].[H_MainGroup].[MainGroupDesc].&amp;[Küçük Elektrikli Ev Aletleri]"/>
              </i>
              <i n="[Material].[H_MainGroup].[MainGroupDesc].&amp;[Küçük Elektrikli Ev Aletleri].&amp;[Tost Makinesi]" c="Tost Makinesi" nd="1">
                <p n="[Material].[H_MainGroup].[MainGroupDesc].&amp;[Küçük Elektrikli Ev Aletleri]"/>
              </i>
              <i n="[Material].[H_MainGroup].[MainGroupDesc].&amp;[Küçük Elektrikli Ev Aletleri].&amp;[Toz Torbasız Kuru Va]" c="Toz Torbasız Kuru Va" nd="1">
                <p n="[Material].[H_MainGroup].[MainGroupDesc].&amp;[Küçük Elektrikli Ev Aletleri]"/>
              </i>
              <i n="[Material].[H_MainGroup].[MainGroupDesc].&amp;[Küçük Elektrikli Ev Aletleri].&amp;[Türk Kahvesi Makines]" c="Türk Kahvesi Makines" nd="1">
                <p n="[Material].[H_MainGroup].[MainGroupDesc].&amp;[Küçük Elektrikli Ev Aletleri]"/>
              </i>
              <i n="[Material].[H_MainGroup].[MainGroupDesc].&amp;[Küçük Elektrikli Ev Aletleri].&amp;[Ütü]" c="Ütü" nd="1">
                <p n="[Material].[H_MainGroup].[MainGroupDesc].&amp;[Küçük Elektrikli Ev Aletleri]"/>
              </i>
              <i n="[Material].[H_MainGroup].[MainGroupDesc].&amp;[Küçük Elektrikli Ev Aletleri].&amp;[Yumurta Pişirici]" c="Yumurta Pişirici" nd="1">
                <p n="[Material].[H_MainGroup].[MainGroupDesc].&amp;[Küçük Elektrikli Ev Aletleri]"/>
              </i>
              <i n="[Material].[H_MainGroup].[MainGroupDesc].&amp;[Mağaza Yatırım ve Proje].&amp;[#NA]" c="#NA" nd="1">
                <p n="[Material].[H_MainGroup].[MainGroupDesc].&amp;[Mağaza Yatırım ve Proje]"/>
              </i>
              <i n="[Material].[H_MainGroup].[MainGroupDesc].&amp;[Mağaza Yatırım ve Proje].&amp;[Görsel Unsurlar]" c="Görsel Unsurlar" nd="1">
                <p n="[Material].[H_MainGroup].[MainGroupDesc].&amp;[Mağaza Yatırım ve Proje]"/>
              </i>
              <i n="[Material].[H_MainGroup].[MainGroupDesc].&amp;[Mağaza Yatırım ve Proje].&amp;[Mağaza Duran Varlığı]" c="Mağaza Duran Varlığı" nd="1">
                <p n="[Material].[H_MainGroup].[MainGroupDesc].&amp;[Mağaza Yatırım ve Proje]"/>
              </i>
              <i n="[Material].[H_MainGroup].[MainGroupDesc].&amp;[Mobilya].&amp;[#NA]" c="#NA" nd="1">
                <p n="[Material].[H_MainGroup].[MainGroupDesc].&amp;[Mobilya]"/>
              </i>
              <i n="[Material].[H_MainGroup].[MainGroupDesc].&amp;[Mobilya].&amp;[Ayaklı Askılık]" c="Ayaklı Askılık" nd="1">
                <p n="[Material].[H_MainGroup].[MainGroupDesc].&amp;[Mobilya]"/>
              </i>
              <i n="[Material].[H_MainGroup].[MainGroupDesc].&amp;[Mobilya].&amp;[Mağaza Ünite]" c="Mağaza Ünite" nd="1">
                <p n="[Material].[H_MainGroup].[MainGroupDesc].&amp;[Mobilya]"/>
              </i>
              <i n="[Material].[H_MainGroup].[MainGroupDesc].&amp;[Mobilya Satış].&amp;[#NA]" c="#NA" nd="1">
                <p n="[Material].[H_MainGroup].[MainGroupDesc].&amp;[Mobilya Satış]"/>
              </i>
              <i n="[Material].[H_MainGroup].[MainGroupDesc].&amp;[Mobilya Satış].&amp;[Abajur Ayağı]" c="Abajur Ayağı" nd="1">
                <p n="[Material].[H_MainGroup].[MainGroupDesc].&amp;[Mobilya Satış]"/>
              </i>
              <i n="[Material].[H_MainGroup].[MainGroupDesc].&amp;[Mobilya Satış].&amp;[Abajur Şapkası]" c="Abajur Şapkası" nd="1">
                <p n="[Material].[H_MainGroup].[MainGroupDesc].&amp;[Mobilya Satış]"/>
              </i>
              <i n="[Material].[H_MainGroup].[MainGroupDesc].&amp;[Mobilya Satış].&amp;[Anahtarlık Ünitesi]" c="Anahtarlık Ünitesi" nd="1">
                <p n="[Material].[H_MainGroup].[MainGroupDesc].&amp;[Mobilya Satış]"/>
              </i>
              <i n="[Material].[H_MainGroup].[MainGroupDesc].&amp;[Mobilya Satış].&amp;[Bench]" c="Bench" nd="1">
                <p n="[Material].[H_MainGroup].[MainGroupDesc].&amp;[Mobilya Satış]"/>
              </i>
              <i n="[Material].[H_MainGroup].[MainGroupDesc].&amp;[Mobilya Satış].&amp;[Çalışma Masası]" c="Çalışma Masası" nd="1">
                <p n="[Material].[H_MainGroup].[MainGroupDesc].&amp;[Mobilya Satış]"/>
              </i>
              <i n="[Material].[H_MainGroup].[MainGroupDesc].&amp;[Mobilya Satış].&amp;[Çiçeklik]" c="Çiçeklik" nd="1">
                <p n="[Material].[H_MainGroup].[MainGroupDesc].&amp;[Mobilya Satış]"/>
              </i>
              <i n="[Material].[H_MainGroup].[MainGroupDesc].&amp;[Mobilya Satış].&amp;[Dilsiz Uşak]" c="Dilsiz Uşak" nd="1">
                <p n="[Material].[H_MainGroup].[MainGroupDesc].&amp;[Mobilya Satış]"/>
              </i>
              <i n="[Material].[H_MainGroup].[MainGroupDesc].&amp;[Mobilya Satış].&amp;[Divan]" c="Divan" nd="1">
                <p n="[Material].[H_MainGroup].[MainGroupDesc].&amp;[Mobilya Satış]"/>
              </i>
              <i n="[Material].[H_MainGroup].[MainGroupDesc].&amp;[Mobilya Satış].&amp;[Dolap]" c="Dolap" nd="1">
                <p n="[Material].[H_MainGroup].[MainGroupDesc].&amp;[Mobilya Satış]"/>
              </i>
              <i n="[Material].[H_MainGroup].[MainGroupDesc].&amp;[Mobilya Satış].&amp;[Dresuar]" c="Dresuar" nd="1">
                <p n="[Material].[H_MainGroup].[MainGroupDesc].&amp;[Mobilya Satış]"/>
              </i>
              <i n="[Material].[H_MainGroup].[MainGroupDesc].&amp;[Mobilya Satış].&amp;[Duvar Dolabı]" c="Duvar Dolabı" nd="1">
                <p n="[Material].[H_MainGroup].[MainGroupDesc].&amp;[Mobilya Satış]"/>
              </i>
              <i n="[Material].[H_MainGroup].[MainGroupDesc].&amp;[Mobilya Satış].&amp;[Ecza Dolabı]" c="Ecza Dolabı" nd="1">
                <p n="[Material].[H_MainGroup].[MainGroupDesc].&amp;[Mobilya Satış]"/>
              </i>
              <i n="[Material].[H_MainGroup].[MainGroupDesc].&amp;[Mobilya Satış].&amp;[Komidin]" c="Komidin" nd="1">
                <p n="[Material].[H_MainGroup].[MainGroupDesc].&amp;[Mobilya Satış]"/>
              </i>
              <i n="[Material].[H_MainGroup].[MainGroupDesc].&amp;[Mobilya Satış].&amp;[Makyaj Masası]" c="Makyaj Masası" nd="1">
                <p n="[Material].[H_MainGroup].[MainGroupDesc].&amp;[Mobilya Satış]"/>
              </i>
              <i n="[Material].[H_MainGroup].[MainGroupDesc].&amp;[Mobilya Satış].&amp;[Manken]" c="Manken" nd="1">
                <p n="[Material].[H_MainGroup].[MainGroupDesc].&amp;[Mobilya Satış]"/>
              </i>
              <i n="[Material].[H_MainGroup].[MainGroupDesc].&amp;[Mobilya Satış].&amp;[Masa]" c="Masa" nd="1">
                <p n="[Material].[H_MainGroup].[MainGroupDesc].&amp;[Mobilya Satış]"/>
              </i>
              <i n="[Material].[H_MainGroup].[MainGroupDesc].&amp;[Mobilya Satış].&amp;[Mobilya]" c="Mobilya" nd="1">
                <p n="[Material].[H_MainGroup].[MainGroupDesc].&amp;[Mobilya Satış]"/>
              </i>
              <i n="[Material].[H_MainGroup].[MainGroupDesc].&amp;[Mobilya Satış].&amp;[Oyuncak Kutusu]" c="Oyuncak Kutusu" nd="1">
                <p n="[Material].[H_MainGroup].[MainGroupDesc].&amp;[Mobilya Satış]"/>
              </i>
              <i n="[Material].[H_MainGroup].[MainGroupDesc].&amp;[Mobilya Satış].&amp;[Raf]" c="Raf" nd="1">
                <p n="[Material].[H_MainGroup].[MainGroupDesc].&amp;[Mobilya Satış]"/>
              </i>
              <i n="[Material].[H_MainGroup].[MainGroupDesc].&amp;[Mobilya Satış].&amp;[Servis Arabası]" c="Servis Arabası" nd="1">
                <p n="[Material].[H_MainGroup].[MainGroupDesc].&amp;[Mobilya Satış]"/>
              </i>
              <i n="[Material].[H_MainGroup].[MainGroupDesc].&amp;[Mobilya Satış].&amp;[Tabure]" c="Tabure" nd="1">
                <p n="[Material].[H_MainGroup].[MainGroupDesc].&amp;[Mobilya Satış]"/>
              </i>
              <i n="[Material].[H_MainGroup].[MainGroupDesc].&amp;[Mobilya Satış].&amp;[Takı Dolabı]" c="Takı Dolabı" nd="1">
                <p n="[Material].[H_MainGroup].[MainGroupDesc].&amp;[Mobilya Satış]"/>
              </i>
              <i n="[Material].[H_MainGroup].[MainGroupDesc].&amp;[Mutfak].&amp;[#NA]" c="#NA" nd="1">
                <p n="[Material].[H_MainGroup].[MainGroupDesc].&amp;[Mutfak]"/>
              </i>
              <i n="[Material].[H_MainGroup].[MainGroupDesc].&amp;[Mutfak].&amp;[Bakliyat Torbası]" c="Bakliyat Torbası" nd="1">
                <p n="[Material].[H_MainGroup].[MainGroupDesc].&amp;[Mutfak]"/>
              </i>
              <i n="[Material].[H_MainGroup].[MainGroupDesc].&amp;[Mutfak].&amp;[Barbekü]" c="Barbekü" nd="1">
                <p n="[Material].[H_MainGroup].[MainGroupDesc].&amp;[Mutfak]"/>
              </i>
              <i n="[Material].[H_MainGroup].[MainGroupDesc].&amp;[Mutfak].&amp;[Bardak Kapağı]" c="Bardak Kapağı" nd="1">
                <p n="[Material].[H_MainGroup].[MainGroupDesc].&amp;[Mutfak]"/>
              </i>
              <i n="[Material].[H_MainGroup].[MainGroupDesc].&amp;[Mutfak].&amp;[Bisküvi Kutusu]" c="Bisküvi Kutusu" nd="1">
                <p n="[Material].[H_MainGroup].[MainGroupDesc].&amp;[Mutfak]"/>
              </i>
              <i n="[Material].[H_MainGroup].[MainGroupDesc].&amp;[Mutfak].&amp;[Çay Kutusu]" c="Çay Kutusu" nd="1">
                <p n="[Material].[H_MainGroup].[MainGroupDesc].&amp;[Mutfak]"/>
              </i>
              <i n="[Material].[H_MainGroup].[MainGroupDesc].&amp;[Mutfak].&amp;[Çay Saklama Kabı]" c="Çay Saklama Kabı" nd="1">
                <p n="[Material].[H_MainGroup].[MainGroupDesc].&amp;[Mutfak]"/>
              </i>
              <i n="[Material].[H_MainGroup].[MainGroupDesc].&amp;[Mutfak].&amp;[Çaydanlık Sck Tutma]" c="Çaydanlık Sck Tutma" nd="1">
                <p n="[Material].[H_MainGroup].[MainGroupDesc].&amp;[Mutfak]"/>
              </i>
              <i n="[Material].[H_MainGroup].[MainGroupDesc].&amp;[Mutfak].&amp;[Çeyiz Seti]" c="Çeyiz Seti" nd="1">
                <p n="[Material].[H_MainGroup].[MainGroupDesc].&amp;[Mutfak]"/>
              </i>
              <i n="[Material].[H_MainGroup].[MainGroupDesc].&amp;[Mutfak].&amp;[Çikolata Kalıbı]" c="Çikolata Kalıbı" nd="1">
                <p n="[Material].[H_MainGroup].[MainGroupDesc].&amp;[Mutfak]"/>
              </i>
              <i n="[Material].[H_MainGroup].[MainGroupDesc].&amp;[Mutfak].&amp;[Cupcake Kağıdı]" c="Cupcake Kağıdı" nd="1">
                <p n="[Material].[H_MainGroup].[MainGroupDesc].&amp;[Mutfak]"/>
              </i>
              <i n="[Material].[H_MainGroup].[MainGroupDesc].&amp;[Mutfak].&amp;[Cupcake Set]" c="Cupcake Set" nd="1">
                <p n="[Material].[H_MainGroup].[MainGroupDesc].&amp;[Mutfak]"/>
              </i>
              <i n="[Material].[H_MainGroup].[MainGroupDesc].&amp;[Mutfak].&amp;[Demlik]" c="Demlik" nd="1">
                <p n="[Material].[H_MainGroup].[MainGroupDesc].&amp;[Mutfak]"/>
              </i>
              <i n="[Material].[H_MainGroup].[MainGroupDesc].&amp;[Mutfak].&amp;[Dondurma Kaşığı]" c="Dondurma Kaşığı" nd="1">
                <p n="[Material].[H_MainGroup].[MainGroupDesc].&amp;[Mutfak]"/>
              </i>
              <i n="[Material].[H_MainGroup].[MainGroupDesc].&amp;[Mutfak].&amp;[Ekmek Torbası]" c="Ekmek Torbası" nd="1">
                <p n="[Material].[H_MainGroup].[MainGroupDesc].&amp;[Mutfak]"/>
              </i>
              <i n="[Material].[H_MainGroup].[MainGroupDesc].&amp;[Mutfak].&amp;[Fındık Ceviz Kırcağı]" c="Fındık Ceviz Kırcağı" nd="1">
                <p n="[Material].[H_MainGroup].[MainGroupDesc].&amp;[Mutfak]"/>
              </i>
              <i n="[Material].[H_MainGroup].[MainGroupDesc].&amp;[Mutfak].&amp;[Karıştır-Sakla Set]" c="Karıştır-Sakla Set" nd="1">
                <p n="[Material].[H_MainGroup].[MainGroupDesc].&amp;[Mutfak]"/>
              </i>
              <i n="[Material].[H_MainGroup].[MainGroupDesc].&amp;[Mutfak].&amp;[Kavanoz Örtüsü]" c="Kavanoz Örtüsü" nd="1">
                <p n="[Material].[H_MainGroup].[MainGroupDesc].&amp;[Mutfak]"/>
              </i>
              <i n="[Material].[H_MainGroup].[MainGroupDesc].&amp;[Mutfak].&amp;[Kavanoz Seti]" c="Kavanoz Seti" nd="1">
                <p n="[Material].[H_MainGroup].[MainGroupDesc].&amp;[Mutfak]"/>
              </i>
              <i n="[Material].[H_MainGroup].[MainGroupDesc].&amp;[Mutfak].&amp;[Kavun Oyucu]" c="Kavun Oyucu" nd="1">
                <p n="[Material].[H_MainGroup].[MainGroupDesc].&amp;[Mutfak]"/>
              </i>
              <i n="[Material].[H_MainGroup].[MainGroupDesc].&amp;[Mutfak].&amp;[Kek Spatula Seti]" c="Kek Spatula Seti" nd="1">
                <p n="[Material].[H_MainGroup].[MainGroupDesc].&amp;[Mutfak]"/>
              </i>
              <i n="[Material].[H_MainGroup].[MainGroupDesc].&amp;[Mutfak].&amp;[Kek Spatulası]" c="Kek Spatulası" nd="1">
                <p n="[Material].[H_MainGroup].[MainGroupDesc].&amp;[Mutfak]"/>
              </i>
              <i n="[Material].[H_MainGroup].[MainGroupDesc].&amp;[Mutfak].&amp;[Kestane Çizici]" c="Kestane Çizici" nd="1">
                <p n="[Material].[H_MainGroup].[MainGroupDesc].&amp;[Mutfak]"/>
              </i>
              <i n="[Material].[H_MainGroup].[MainGroupDesc].&amp;[Mutfak].&amp;[Kova]" c="Kova" nd="1">
                <p n="[Material].[H_MainGroup].[MainGroupDesc].&amp;[Mutfak]"/>
              </i>
              <i n="[Material].[H_MainGroup].[MainGroupDesc].&amp;[Mutfak].&amp;[Krema Pompası]" c="Krema Pompası" nd="1">
                <p n="[Material].[H_MainGroup].[MainGroupDesc].&amp;[Mutfak]"/>
              </i>
              <i n="[Material].[H_MainGroup].[MainGroupDesc].&amp;[Mutfak].&amp;[Kupalık]" c="Kupalık" nd="1">
                <p n="[Material].[H_MainGroup].[MainGroupDesc].&amp;[Mutfak]"/>
              </i>
              <i n="[Material].[H_MainGroup].[MainGroupDesc].&amp;[Mutfak].&amp;[Kurabiye Kalıbı]" c="Kurabiye Kalıbı" nd="1">
                <p n="[Material].[H_MainGroup].[MainGroupDesc].&amp;[Mutfak]"/>
              </i>
              <i n="[Material].[H_MainGroup].[MainGroupDesc].&amp;[Mutfak].&amp;[Meşrubat Bardağı Set]" c="Meşrubat Bardağı Set" nd="1">
                <p n="[Material].[H_MainGroup].[MainGroupDesc].&amp;[Mutfak]"/>
              </i>
              <i n="[Material].[H_MainGroup].[MainGroupDesc].&amp;[Mutfak].&amp;[Mikser Kabı]" c="Mikser Kabı" nd="1">
                <p n="[Material].[H_MainGroup].[MainGroupDesc].&amp;[Mutfak]"/>
              </i>
              <i n="[Material].[H_MainGroup].[MainGroupDesc].&amp;[Mutfak].&amp;[Mısır Kovası]" c="Mısır Kovası" nd="1">
                <p n="[Material].[H_MainGroup].[MainGroupDesc].&amp;[Mutfak]"/>
              </i>
              <i n="[Material].[H_MainGroup].[MainGroupDesc].&amp;[Mutfak].&amp;[Mısır Patlatma]" c="Mısır Patlatma" nd="1">
                <p n="[Material].[H_MainGroup].[MainGroupDesc].&amp;[Mutfak]"/>
              </i>
              <i n="[Material].[H_MainGroup].[MainGroupDesc].&amp;[Mutfak].&amp;[Muffin Oyacağı]" c="Muffin Oyacağı" nd="1">
                <p n="[Material].[H_MainGroup].[MainGroupDesc].&amp;[Mutfak]"/>
              </i>
              <i n="[Material].[H_MainGroup].[MainGroupDesc].&amp;[Mutfak].&amp;[Mutfak Çöp Kutusu]" c="Mutfak Çöp Kutusu" nd="1">
                <p n="[Material].[H_MainGroup].[MainGroupDesc].&amp;[Mutfak]"/>
              </i>
              <i n="[Material].[H_MainGroup].[MainGroupDesc].&amp;[Mutfak].&amp;[Mutfak Saklama Kutu]" c="Mutfak Saklama Kutu" nd="1">
                <p n="[Material].[H_MainGroup].[MainGroupDesc].&amp;[Mutfak]"/>
              </i>
              <i n="[Material].[H_MainGroup].[MainGroupDesc].&amp;[Mutfak].&amp;[Mutfak Sepeti]" c="Mutfak Sepeti" nd="1">
                <p n="[Material].[H_MainGroup].[MainGroupDesc].&amp;[Mutfak]"/>
              </i>
              <i n="[Material].[H_MainGroup].[MainGroupDesc].&amp;[Mutfak].&amp;[Mutfak Sıvı Sabunluk]" c="Mutfak Sıvı Sabunluk" nd="1">
                <p n="[Material].[H_MainGroup].[MainGroupDesc].&amp;[Mutfak]"/>
              </i>
              <i n="[Material].[H_MainGroup].[MainGroupDesc].&amp;[Mutfak].&amp;[Nar Ayık-Narency Sık]" c="Nar Ayık-Narency Sık" nd="1">
                <p n="[Material].[H_MainGroup].[MainGroupDesc].&amp;[Mutfak]"/>
              </i>
              <i n="[Material].[H_MainGroup].[MainGroupDesc].&amp;[Mutfak].&amp;[Oto Termos]" c="Oto Termos" nd="1">
                <p n="[Material].[H_MainGroup].[MainGroupDesc].&amp;[Mutfak]"/>
              </i>
              <i n="[Material].[H_MainGroup].[MainGroupDesc].&amp;[Mutfak].&amp;[Pasta - Börek Kabı]" c="Pasta - Börek Kabı" nd="1">
                <p n="[Material].[H_MainGroup].[MainGroupDesc].&amp;[Mutfak]"/>
              </i>
              <i n="[Material].[H_MainGroup].[MainGroupDesc].&amp;[Mutfak].&amp;[Pasta Mumluğu]" c="Pasta Mumluğu" nd="1">
                <p n="[Material].[H_MainGroup].[MainGroupDesc].&amp;[Mutfak]"/>
              </i>
              <i n="[Material].[H_MainGroup].[MainGroupDesc].&amp;[Mutfak].&amp;[Patates Dilimleyici]" c="Patates Dilimleyici" nd="1">
                <p n="[Material].[H_MainGroup].[MainGroupDesc].&amp;[Mutfak]"/>
              </i>
              <i n="[Material].[H_MainGroup].[MainGroupDesc].&amp;[Mutfak].&amp;[Pilav Ve Tatlı Kalıp]" c="Pilav Ve Tatlı Kalıp" nd="1">
                <p n="[Material].[H_MainGroup].[MainGroupDesc].&amp;[Mutfak]"/>
              </i>
              <i n="[Material].[H_MainGroup].[MainGroupDesc].&amp;[Mutfak].&amp;[Salata Kurutucu]" c="Salata Kurutucu" nd="1">
                <p n="[Material].[H_MainGroup].[MainGroupDesc].&amp;[Mutfak]"/>
              </i>
              <i n="[Material].[H_MainGroup].[MainGroupDesc].&amp;[Mutfak].&amp;[Salata Maşası]" c="Salata Maşası" nd="1">
                <p n="[Material].[H_MainGroup].[MainGroupDesc].&amp;[Mutfak]"/>
              </i>
              <i n="[Material].[H_MainGroup].[MainGroupDesc].&amp;[Mutfak].&amp;[Salata Servisi]" c="Salata Servisi" nd="1">
                <p n="[Material].[H_MainGroup].[MainGroupDesc].&amp;[Mutfak]"/>
              </i>
              <i n="[Material].[H_MainGroup].[MainGroupDesc].&amp;[Mutfak].&amp;[Sarmsk Ez-Çekrdk Çık]" c="Sarmsk Ez-Çekrdk Çık" nd="1">
                <p n="[Material].[H_MainGroup].[MainGroupDesc].&amp;[Mutfak]"/>
              </i>
            </range>
          </ranges>
        </level>
      </levels>
      <selections count="1">
        <selection n="[Material].[H_MainGroup].[All]"/>
      </selections>
    </olap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MerchMonth2" xr10:uid="{677F5EE1-EE74-475D-B323-C96DC8869A0A}" sourceName="[Calendar].[MerchMonth]">
  <pivotTables>
    <pivotTable tabId="3" name="PivotTable1"/>
  </pivotTables>
  <data>
    <olap pivotCacheId="372199404">
      <levels count="2">
        <level uniqueName="[Calendar].[MerchMonth].[(All)]" sourceCaption="(All)" count="0"/>
        <level uniqueName="[Calendar].[MerchMonth].[MerchMonth]" sourceCaption="MerchMonth" count="13">
          <ranges>
            <range startItem="0">
              <i n="[Calendar].[MerchMonth].&amp;[1]" c="1"/>
              <i n="[Calendar].[MerchMonth].&amp;[2]" c="2"/>
              <i n="[Calendar].[MerchMonth].&amp;[3]" c="3" nd="1"/>
              <i n="[Calendar].[MerchMonth].&amp;[4]" c="4" nd="1"/>
              <i n="[Calendar].[MerchMonth].&amp;[5]" c="5" nd="1"/>
              <i n="[Calendar].[MerchMonth].&amp;[6]" c="6" nd="1"/>
              <i n="[Calendar].[MerchMonth].&amp;[7]" c="7" nd="1"/>
              <i n="[Calendar].[MerchMonth].&amp;[8]" c="8" nd="1"/>
              <i n="[Calendar].[MerchMonth].&amp;[9]" c="9" nd="1"/>
              <i n="[Calendar].[MerchMonth].&amp;[10]" c="10" nd="1"/>
              <i n="[Calendar].[MerchMonth].&amp;[11]" c="11" nd="1"/>
              <i n="[Calendar].[MerchMonth].&amp;[12]" c="12" nd="1"/>
              <i n="[Calendar].[MerchMonth].&amp;" c="" nd="1"/>
            </range>
          </ranges>
        </level>
      </levels>
      <selections count="1">
        <selection n="[Calendar].[MerchMonth].[All]"/>
      </selections>
    </olap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MerchWeek2" xr10:uid="{5BEABC0D-4FA4-4176-B021-52C90B46F480}" sourceName="[Calendar].[MerchWeek]">
  <pivotTables>
    <pivotTable tabId="3" name="PivotTable1"/>
  </pivotTables>
  <data>
    <olap pivotCacheId="372199404">
      <levels count="2">
        <level uniqueName="[Calendar].[MerchWeek].[(All)]" sourceCaption="(All)" count="0"/>
        <level uniqueName="[Calendar].[MerchWeek].[MerchWeek]" sourceCaption="MerchWeek" count="54">
          <ranges>
            <range startItem="0">
              <i n="[Calendar].[MerchWeek].&amp;[5]" c="5"/>
              <i n="[Calendar].[MerchWeek].&amp;[6]" c="6"/>
              <i n="[Calendar].[MerchWeek].&amp;[7]" c="7"/>
              <i n="[Calendar].[MerchWeek].&amp;[1]" c="1" nd="1"/>
              <i n="[Calendar].[MerchWeek].&amp;[2]" c="2" nd="1"/>
              <i n="[Calendar].[MerchWeek].&amp;[3]" c="3" nd="1"/>
              <i n="[Calendar].[MerchWeek].&amp;[4]" c="4" nd="1"/>
              <i n="[Calendar].[MerchWeek].&amp;[8]" c="8" nd="1"/>
              <i n="[Calendar].[MerchWeek].&amp;[9]" c="9" nd="1"/>
              <i n="[Calendar].[MerchWeek].&amp;[10]" c="10" nd="1"/>
              <i n="[Calendar].[MerchWeek].&amp;[11]" c="11" nd="1"/>
              <i n="[Calendar].[MerchWeek].&amp;[12]" c="12" nd="1"/>
              <i n="[Calendar].[MerchWeek].&amp;[13]" c="13" nd="1"/>
              <i n="[Calendar].[MerchWeek].&amp;[14]" c="14" nd="1"/>
              <i n="[Calendar].[MerchWeek].&amp;[15]" c="15" nd="1"/>
              <i n="[Calendar].[MerchWeek].&amp;[16]" c="16" nd="1"/>
              <i n="[Calendar].[MerchWeek].&amp;[17]" c="17" nd="1"/>
              <i n="[Calendar].[MerchWeek].&amp;[18]" c="18" nd="1"/>
              <i n="[Calendar].[MerchWeek].&amp;[19]" c="19" nd="1"/>
              <i n="[Calendar].[MerchWeek].&amp;[20]" c="20" nd="1"/>
              <i n="[Calendar].[MerchWeek].&amp;[21]" c="21" nd="1"/>
              <i n="[Calendar].[MerchWeek].&amp;[22]" c="22" nd="1"/>
              <i n="[Calendar].[MerchWeek].&amp;[23]" c="23" nd="1"/>
              <i n="[Calendar].[MerchWeek].&amp;[24]" c="24" nd="1"/>
              <i n="[Calendar].[MerchWeek].&amp;[25]" c="25" nd="1"/>
              <i n="[Calendar].[MerchWeek].&amp;[26]" c="26" nd="1"/>
              <i n="[Calendar].[MerchWeek].&amp;[27]" c="27" nd="1"/>
              <i n="[Calendar].[MerchWeek].&amp;[28]" c="28" nd="1"/>
              <i n="[Calendar].[MerchWeek].&amp;[29]" c="29" nd="1"/>
              <i n="[Calendar].[MerchWeek].&amp;[30]" c="30" nd="1"/>
              <i n="[Calendar].[MerchWeek].&amp;[31]" c="31" nd="1"/>
              <i n="[Calendar].[MerchWeek].&amp;[32]" c="32" nd="1"/>
              <i n="[Calendar].[MerchWeek].&amp;[33]" c="33" nd="1"/>
              <i n="[Calendar].[MerchWeek].&amp;[34]" c="34" nd="1"/>
              <i n="[Calendar].[MerchWeek].&amp;[35]" c="35" nd="1"/>
              <i n="[Calendar].[MerchWeek].&amp;[36]" c="36" nd="1"/>
              <i n="[Calendar].[MerchWeek].&amp;[37]" c="37" nd="1"/>
              <i n="[Calendar].[MerchWeek].&amp;[38]" c="38" nd="1"/>
              <i n="[Calendar].[MerchWeek].&amp;[39]" c="39" nd="1"/>
              <i n="[Calendar].[MerchWeek].&amp;[40]" c="40" nd="1"/>
              <i n="[Calendar].[MerchWeek].&amp;[41]" c="41" nd="1"/>
              <i n="[Calendar].[MerchWeek].&amp;[42]" c="42" nd="1"/>
              <i n="[Calendar].[MerchWeek].&amp;[43]" c="43" nd="1"/>
              <i n="[Calendar].[MerchWeek].&amp;[44]" c="44" nd="1"/>
              <i n="[Calendar].[MerchWeek].&amp;[45]" c="45" nd="1"/>
              <i n="[Calendar].[MerchWeek].&amp;[46]" c="46" nd="1"/>
              <i n="[Calendar].[MerchWeek].&amp;[47]" c="47" nd="1"/>
              <i n="[Calendar].[MerchWeek].&amp;[48]" c="48" nd="1"/>
              <i n="[Calendar].[MerchWeek].&amp;[49]" c="49" nd="1"/>
              <i n="[Calendar].[MerchWeek].&amp;[50]" c="50" nd="1"/>
              <i n="[Calendar].[MerchWeek].&amp;[51]" c="51" nd="1"/>
              <i n="[Calendar].[MerchWeek].&amp;[52]" c="52" nd="1"/>
              <i n="[Calendar].[MerchWeek].&amp;[53]" c="53" nd="1"/>
              <i n="[Calendar].[MerchWeek].&amp;" c="" nd="1"/>
            </range>
          </ranges>
        </level>
      </levels>
      <selections count="1">
        <selection n="[Calendar].[MerchWeek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untryName 4" xr10:uid="{8D78972F-46D3-4391-94D2-6C1BC687DC3D}" cache="Dilimleyici_H_SalesChannel3" caption="Ülke" columnCount="4" level="2" style="EHM Dilimleyici Taslak" lockedPosition="1" rowHeight="180000"/>
  <slicer name="DistrubitionChannelDesc 3" xr10:uid="{1C575998-698B-445B-80EB-9BE9CFB65698}" cache="Dilimleyici_DistrubitionChannelDesc3" caption="Satış Kanalı" level="1" style="EHM Dilimleyici Taslak" lockedPosition="1" rowHeight="241300"/>
  <slicer name="MerchMonth 4" xr10:uid="{D76434C7-8CE7-436D-8E8F-EFE2923F4C64}" cache="Dilimleyici_MerchMonth4" caption="MerchMonth" columnCount="4" level="1" style="EHM Dilimleyici Taslak" lockedPosition="1" rowHeight="241300"/>
  <slicer name="MerchWeek 4" xr10:uid="{A4766B06-A15D-4406-A378-4FFFA2A8862A}" cache="Dilimleyici_MerchWeek4" caption="MerchWeek" columnCount="6" level="1" style="EHM Dilimleyici Taslak" lockedPosition="1" rowHeight="241300"/>
  <slicer name="MerchYear 3" xr10:uid="{829FE3FE-9509-40EF-B0BD-02140FE937A2}" cache="Dilimleyici_MerchYear3" caption="MerchYear" columnCount="2" level="1" style="EHM Dilimleyici Taslak" lockedPosition="1" rowHeight="241300"/>
  <slicer name="MainGroupDesc 5" xr10:uid="{41EBAEED-CCA7-45F9-A517-D64BFD179FFC}" cache="Dilimleyici_MainGroupDesc3" caption="Ana Gruplar" columnCount="8" level="1" style="EHM Dilimleyici Taslak" lockedPosition="1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ate 1" xr10:uid="{CAF533B1-A9DB-49E4-97A2-F8F0FDA9AC0E}" cache="Dilimleyici_H_Merch" caption="Date" columnCount="3" level="4" style="SlicerStyleLight4" rowHeight="241300"/>
  <slicer name="MainGroupDesc 3" xr10:uid="{65CE1DDF-577E-4ACD-8DA9-876BA702ACA1}" cache="Dilimleyici_H_MainGroup1" caption="MainGroupDesc" columnCount="3" level="1" style="SlicerStyleLight4" rowHeight="241300"/>
  <slicer name="SubGroupDesc 3" xr10:uid="{A6C65887-6CAA-4F41-8374-06CDEC78B7DA}" cache="Dilimleyici_H_MainGroup1" caption="SubGroupDesc" columnCount="3" level="2" style="SlicerStyleLight4" rowHeight="241300"/>
  <slicer name="MerchMonth 2" xr10:uid="{B39A8302-AA3E-4A99-A50F-2E725E88CD21}" cache="Dilimleyici_MerchMonth2" caption="MerchMonth" columnCount="2" level="1" style="SlicerStyleLight4" rowHeight="241300"/>
  <slicer name="MerchWeek 2" xr10:uid="{7B6F59E0-F35E-403D-AE32-9D642721B26B}" cache="Dilimleyici_MerchWeek2" caption="MerchWeek" columnCount="4" level="1" style="SlicerStyleLight4" rowHeight="241300"/>
</slicer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455C7-DA5B-4621-ACC0-5ABA0D125CF8}">
  <sheetPr>
    <tabColor theme="3"/>
  </sheetPr>
  <dimension ref="A1:AW73"/>
  <sheetViews>
    <sheetView showGridLines="0" zoomScale="70" zoomScaleNormal="70" workbookViewId="0">
      <pane xSplit="4" ySplit="15" topLeftCell="E16" activePane="bottomRight" state="frozen"/>
      <selection activeCell="A21" sqref="A21:S25"/>
      <selection pane="topRight" activeCell="A21" sqref="A21:S25"/>
      <selection pane="bottomLeft" activeCell="A21" sqref="A21:S25"/>
      <selection pane="bottomRight" activeCell="AL25" sqref="E23:AL25"/>
    </sheetView>
  </sheetViews>
  <sheetFormatPr defaultColWidth="22.54296875" defaultRowHeight="14.5" outlineLevelRow="1" outlineLevelCol="1" x14ac:dyDescent="0.35"/>
  <cols>
    <col min="1" max="1" width="18.54296875" customWidth="1"/>
    <col min="2" max="2" width="18.26953125" customWidth="1"/>
    <col min="3" max="3" width="11.54296875" customWidth="1" outlineLevel="1"/>
    <col min="4" max="4" width="15.453125" customWidth="1" outlineLevel="1"/>
    <col min="5" max="5" width="12.54296875" customWidth="1"/>
    <col min="6" max="6" width="12.54296875" hidden="1" customWidth="1" outlineLevel="1"/>
    <col min="7" max="8" width="12.54296875" style="1" hidden="1" customWidth="1" outlineLevel="1"/>
    <col min="9" max="9" width="12.54296875" style="1" customWidth="1" collapsed="1"/>
    <col min="10" max="11" width="12.54296875" style="1" hidden="1" customWidth="1" outlineLevel="1"/>
    <col min="12" max="12" width="12.54296875" style="1" customWidth="1" collapsed="1"/>
    <col min="13" max="15" width="12.54296875" style="1" customWidth="1"/>
    <col min="16" max="17" width="12.54296875" style="1" hidden="1" customWidth="1" outlineLevel="1"/>
    <col min="18" max="18" width="12.54296875" style="1" customWidth="1" collapsed="1"/>
    <col min="19" max="20" width="12.54296875" style="1" hidden="1" customWidth="1" outlineLevel="1"/>
    <col min="21" max="21" width="12.453125" style="1" customWidth="1" collapsed="1"/>
    <col min="22" max="22" width="13" style="1" customWidth="1"/>
    <col min="23" max="23" width="12" style="1" customWidth="1"/>
    <col min="24" max="24" width="10.453125" style="1" hidden="1" customWidth="1" outlineLevel="1"/>
    <col min="25" max="25" width="11.54296875" style="1" hidden="1" customWidth="1" outlineLevel="1"/>
    <col min="26" max="26" width="12.26953125" style="1" hidden="1" customWidth="1" outlineLevel="1" collapsed="1"/>
    <col min="27" max="28" width="13.54296875" hidden="1" customWidth="1" outlineLevel="1"/>
    <col min="29" max="29" width="13" hidden="1" customWidth="1" outlineLevel="1" collapsed="1"/>
    <col min="30" max="30" width="13" hidden="1" customWidth="1" outlineLevel="1"/>
    <col min="31" max="31" width="13" customWidth="1" collapsed="1"/>
    <col min="32" max="32" width="13" customWidth="1"/>
    <col min="33" max="34" width="11.81640625" customWidth="1" outlineLevel="1"/>
    <col min="35" max="35" width="13.7265625" customWidth="1" outlineLevel="1" collapsed="1"/>
    <col min="36" max="36" width="13.7265625" customWidth="1" outlineLevel="1"/>
    <col min="37" max="47" width="12.453125" customWidth="1" outlineLevel="1"/>
    <col min="48" max="48" width="14.453125" bestFit="1" customWidth="1"/>
    <col min="49" max="49" width="12.453125" customWidth="1"/>
  </cols>
  <sheetData>
    <row r="1" spans="1:49" hidden="1" outlineLevel="1" x14ac:dyDescent="0.35"/>
    <row r="2" spans="1:49" hidden="1" outlineLevel="1" x14ac:dyDescent="0.35"/>
    <row r="3" spans="1:49" hidden="1" outlineLevel="1" x14ac:dyDescent="0.35"/>
    <row r="4" spans="1:49" hidden="1" outlineLevel="1" x14ac:dyDescent="0.35"/>
    <row r="5" spans="1:49" hidden="1" outlineLevel="1" x14ac:dyDescent="0.35"/>
    <row r="6" spans="1:49" hidden="1" outlineLevel="1" x14ac:dyDescent="0.35"/>
    <row r="7" spans="1:49" hidden="1" outlineLevel="1" x14ac:dyDescent="0.35"/>
    <row r="8" spans="1:49" collapsed="1" x14ac:dyDescent="0.35">
      <c r="A8" t="s">
        <v>0</v>
      </c>
      <c r="B8" t="s" vm="1">
        <v>1</v>
      </c>
    </row>
    <row r="9" spans="1:49" x14ac:dyDescent="0.35">
      <c r="A9" t="s">
        <v>2</v>
      </c>
      <c r="B9" t="s" vm="2">
        <v>3</v>
      </c>
    </row>
    <row r="10" spans="1:49" ht="29" x14ac:dyDescent="0.35">
      <c r="A10" s="2" t="s">
        <v>4</v>
      </c>
      <c r="B10" t="s" vm="3">
        <v>5</v>
      </c>
    </row>
    <row r="11" spans="1:49" x14ac:dyDescent="0.35">
      <c r="A11" s="2" t="s">
        <v>6</v>
      </c>
      <c r="B11" t="s" vm="4">
        <v>3</v>
      </c>
    </row>
    <row r="12" spans="1:49" x14ac:dyDescent="0.35">
      <c r="A12" t="s">
        <v>7</v>
      </c>
      <c r="B12" t="s" vm="5">
        <v>8</v>
      </c>
    </row>
    <row r="13" spans="1:49" ht="32.15" customHeight="1" x14ac:dyDescent="0.35">
      <c r="C13" s="147" t="s">
        <v>9</v>
      </c>
      <c r="D13" s="148"/>
      <c r="E13" s="148"/>
      <c r="F13" s="149"/>
      <c r="G13" s="154" t="s">
        <v>10</v>
      </c>
      <c r="H13" s="154"/>
      <c r="I13" s="154"/>
      <c r="J13" s="154" t="s">
        <v>11</v>
      </c>
      <c r="K13" s="154"/>
      <c r="L13" s="154"/>
      <c r="M13" s="3" t="s">
        <v>12</v>
      </c>
      <c r="N13" s="150" t="s">
        <v>13</v>
      </c>
      <c r="O13" s="151"/>
      <c r="P13" s="154" t="s">
        <v>14</v>
      </c>
      <c r="Q13" s="154"/>
      <c r="R13" s="154"/>
      <c r="S13" s="153" t="s">
        <v>15</v>
      </c>
      <c r="T13" s="153"/>
      <c r="U13" s="153"/>
      <c r="V13" s="150" t="s">
        <v>16</v>
      </c>
      <c r="W13" s="151"/>
      <c r="X13" s="147" t="s">
        <v>17</v>
      </c>
      <c r="Y13" s="149"/>
      <c r="Z13" s="152" t="s">
        <v>18</v>
      </c>
      <c r="AA13" s="152"/>
      <c r="AB13" s="3" t="s">
        <v>19</v>
      </c>
      <c r="AC13" s="147" t="s">
        <v>20</v>
      </c>
      <c r="AD13" s="149"/>
      <c r="AE13" s="147" t="s">
        <v>21</v>
      </c>
      <c r="AF13" s="148"/>
      <c r="AG13" s="147" t="s">
        <v>22</v>
      </c>
      <c r="AH13" s="148"/>
      <c r="AI13" s="147" t="s">
        <v>23</v>
      </c>
      <c r="AJ13" s="148"/>
      <c r="AK13" s="149"/>
    </row>
    <row r="14" spans="1:49" x14ac:dyDescent="0.35">
      <c r="E14" s="1" t="s">
        <v>24</v>
      </c>
      <c r="F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49" s="12" customFormat="1" ht="43.5" x14ac:dyDescent="0.35">
      <c r="A15" t="s">
        <v>25</v>
      </c>
      <c r="B15" t="s">
        <v>26</v>
      </c>
      <c r="C15" s="2" t="s">
        <v>27</v>
      </c>
      <c r="D15" s="2" t="s">
        <v>28</v>
      </c>
      <c r="E15" s="4" t="s">
        <v>29</v>
      </c>
      <c r="F15" s="5" t="s">
        <v>30</v>
      </c>
      <c r="G15" s="6" t="s">
        <v>31</v>
      </c>
      <c r="H15" s="7" t="s">
        <v>32</v>
      </c>
      <c r="I15" s="5" t="s">
        <v>33</v>
      </c>
      <c r="J15" s="8" t="s">
        <v>34</v>
      </c>
      <c r="K15" s="9" t="s">
        <v>35</v>
      </c>
      <c r="L15" s="5" t="s">
        <v>36</v>
      </c>
      <c r="M15" s="5" t="s">
        <v>37</v>
      </c>
      <c r="N15" s="9" t="s">
        <v>38</v>
      </c>
      <c r="O15" s="9" t="s">
        <v>39</v>
      </c>
      <c r="P15" s="5" t="s">
        <v>40</v>
      </c>
      <c r="Q15" s="9" t="s">
        <v>41</v>
      </c>
      <c r="R15" s="5" t="s">
        <v>42</v>
      </c>
      <c r="S15" s="5" t="s">
        <v>43</v>
      </c>
      <c r="T15" s="9" t="s">
        <v>44</v>
      </c>
      <c r="U15" s="5" t="s">
        <v>45</v>
      </c>
      <c r="V15" s="5" t="s">
        <v>46</v>
      </c>
      <c r="W15" s="9" t="s">
        <v>47</v>
      </c>
      <c r="X15" s="5" t="s">
        <v>48</v>
      </c>
      <c r="Y15" s="6" t="s">
        <v>49</v>
      </c>
      <c r="Z15" s="4" t="s">
        <v>50</v>
      </c>
      <c r="AA15" s="7" t="s">
        <v>51</v>
      </c>
      <c r="AB15" s="2" t="s">
        <v>52</v>
      </c>
      <c r="AC15" s="2" t="s">
        <v>53</v>
      </c>
      <c r="AD15" s="7" t="s">
        <v>54</v>
      </c>
      <c r="AE15" s="5" t="s">
        <v>55</v>
      </c>
      <c r="AF15" s="7" t="s">
        <v>56</v>
      </c>
      <c r="AG15" s="5" t="s">
        <v>57</v>
      </c>
      <c r="AH15" s="7" t="s">
        <v>58</v>
      </c>
      <c r="AI15" s="5" t="s">
        <v>59</v>
      </c>
      <c r="AJ15" s="7" t="s">
        <v>60</v>
      </c>
      <c r="AK15" s="8" t="s">
        <v>61</v>
      </c>
      <c r="AL15" s="8" t="s">
        <v>62</v>
      </c>
      <c r="AM15" s="10" t="s">
        <v>63</v>
      </c>
      <c r="AN15"/>
      <c r="AO15"/>
      <c r="AP15"/>
      <c r="AQ15"/>
      <c r="AR15"/>
      <c r="AS15"/>
      <c r="AT15"/>
      <c r="AU15"/>
      <c r="AV15" s="11" t="s">
        <v>64</v>
      </c>
      <c r="AW15" s="11" t="s">
        <v>65</v>
      </c>
    </row>
    <row r="16" spans="1:49" x14ac:dyDescent="0.35">
      <c r="A16" t="s">
        <v>66</v>
      </c>
      <c r="B16" t="s">
        <v>67</v>
      </c>
      <c r="C16" t="s">
        <v>68</v>
      </c>
      <c r="E16" s="13">
        <v>3751.8571428571427</v>
      </c>
      <c r="F16" s="14">
        <v>15113.857142857143</v>
      </c>
      <c r="G16" s="15">
        <v>2.7562350074248947</v>
      </c>
      <c r="H16" s="16">
        <v>2.5366310535090459</v>
      </c>
      <c r="I16" s="14">
        <v>424</v>
      </c>
      <c r="J16" s="17">
        <v>504</v>
      </c>
      <c r="K16" s="18">
        <v>0.10849056603773577</v>
      </c>
      <c r="L16" s="14">
        <v>1048187.4399999938</v>
      </c>
      <c r="M16" s="14">
        <v>956164.14999999676</v>
      </c>
      <c r="N16" s="18">
        <v>-0.15304014709429981</v>
      </c>
      <c r="O16" s="18">
        <v>-0.20961120210631556</v>
      </c>
      <c r="P16" s="19">
        <v>0.41786056890740492</v>
      </c>
      <c r="Q16" s="18">
        <v>0.3934861602999849</v>
      </c>
      <c r="R16" s="20">
        <v>1439.1302830188679</v>
      </c>
      <c r="S16" s="20">
        <v>1150.6483928571413</v>
      </c>
      <c r="T16" s="18">
        <v>-0.19930158233601369</v>
      </c>
      <c r="U16" s="20">
        <v>2472.1401886792305</v>
      </c>
      <c r="V16" s="20">
        <v>1897.1510912698348</v>
      </c>
      <c r="W16" s="18">
        <v>-0.23593409014464495</v>
      </c>
      <c r="X16" s="21">
        <v>8.8487196765498641</v>
      </c>
      <c r="Y16" s="22">
        <v>29.987811791383219</v>
      </c>
      <c r="Z16" s="23">
        <v>0.10444860850857103</v>
      </c>
      <c r="AA16" s="24">
        <v>3.3346881291530003E-2</v>
      </c>
      <c r="AB16" s="25">
        <v>7.2798297050321245E-2</v>
      </c>
      <c r="AC16" s="25">
        <v>1.7838432370624633E-2</v>
      </c>
      <c r="AD16" s="26">
        <v>0.29421140512191524</v>
      </c>
      <c r="AE16" s="27">
        <v>1.7184621416465653</v>
      </c>
      <c r="AF16" s="28">
        <v>1.6487669935027454</v>
      </c>
      <c r="AG16" s="14">
        <v>404</v>
      </c>
      <c r="AH16" s="29">
        <v>508</v>
      </c>
      <c r="AI16" s="14">
        <v>897783</v>
      </c>
      <c r="AJ16" s="29">
        <v>850309</v>
      </c>
      <c r="AK16" s="17">
        <v>559.20539999999994</v>
      </c>
      <c r="AL16" s="17">
        <v>1118997.0331999999</v>
      </c>
      <c r="AM16" s="30">
        <v>397425.87100000004</v>
      </c>
      <c r="AV16" s="31">
        <f>K16</f>
        <v>0.10849056603773577</v>
      </c>
      <c r="AW16" s="31">
        <f>IF(K16&gt;(J16*(1+$L$38)),K16,(J16*(1+$L$38)))</f>
        <v>1989205318.799952</v>
      </c>
    </row>
    <row r="17" spans="1:49" x14ac:dyDescent="0.35">
      <c r="B17" t="s">
        <v>66</v>
      </c>
      <c r="C17" t="s">
        <v>69</v>
      </c>
      <c r="E17" s="32">
        <v>1.1428571428571428</v>
      </c>
      <c r="F17" s="33">
        <v>1746.2857142857142</v>
      </c>
      <c r="G17" s="34">
        <v>1504.25</v>
      </c>
      <c r="H17" s="35">
        <v>899.79835201499077</v>
      </c>
      <c r="I17" s="33"/>
      <c r="J17" s="36">
        <v>11</v>
      </c>
      <c r="K17" s="37"/>
      <c r="L17" s="33"/>
      <c r="M17" s="33">
        <v>3051.5700000000006</v>
      </c>
      <c r="N17" s="37"/>
      <c r="O17" s="37"/>
      <c r="P17" s="38"/>
      <c r="Q17" s="37">
        <v>0.72687829543480897</v>
      </c>
      <c r="R17" s="39"/>
      <c r="S17" s="39">
        <v>75.76818181818183</v>
      </c>
      <c r="T17" s="37"/>
      <c r="U17" s="39"/>
      <c r="V17" s="39">
        <v>277.41545454545462</v>
      </c>
      <c r="W17" s="37"/>
      <c r="X17" s="25"/>
      <c r="Y17" s="40">
        <v>158.75324675324674</v>
      </c>
      <c r="Z17" s="41"/>
      <c r="AA17" s="42">
        <v>6.2990837696335084E-3</v>
      </c>
      <c r="AB17" s="25"/>
      <c r="AC17" s="25">
        <v>1.7976962405774705E-2</v>
      </c>
      <c r="AD17" s="43">
        <v>2.8649653118980708E-2</v>
      </c>
      <c r="AE17" s="44">
        <v>1</v>
      </c>
      <c r="AF17" s="45">
        <v>3.6613714080028799</v>
      </c>
      <c r="AG17" s="33"/>
      <c r="AH17" s="46">
        <v>7</v>
      </c>
      <c r="AI17" s="33">
        <v>897783</v>
      </c>
      <c r="AJ17" s="46">
        <v>850309</v>
      </c>
      <c r="AK17" s="36"/>
      <c r="AL17" s="36"/>
      <c r="AM17" s="47"/>
      <c r="AV17" s="31">
        <f t="shared" ref="AV17:AV37" si="0">K17</f>
        <v>0</v>
      </c>
      <c r="AW17" s="31">
        <f t="shared" ref="AW17:AW37" si="1">IF(K17&gt;(J17*(1+$L$38)),K17,(J17*(1+$L$38)))</f>
        <v>43415195.449998952</v>
      </c>
    </row>
    <row r="18" spans="1:49" x14ac:dyDescent="0.35">
      <c r="C18" t="s">
        <v>68</v>
      </c>
      <c r="E18" s="32"/>
      <c r="F18" s="33">
        <v>4</v>
      </c>
      <c r="G18" s="34"/>
      <c r="H18" s="35"/>
      <c r="I18" s="33"/>
      <c r="J18" s="36"/>
      <c r="K18" s="37"/>
      <c r="L18" s="33"/>
      <c r="M18" s="33"/>
      <c r="N18" s="37"/>
      <c r="O18" s="37"/>
      <c r="P18" s="38"/>
      <c r="Q18" s="37"/>
      <c r="R18" s="39"/>
      <c r="S18" s="39"/>
      <c r="T18" s="37"/>
      <c r="U18" s="39"/>
      <c r="V18" s="39"/>
      <c r="W18" s="37"/>
      <c r="X18" s="25"/>
      <c r="Y18" s="40"/>
      <c r="Z18" s="41"/>
      <c r="AA18" s="42"/>
      <c r="AB18" s="25"/>
      <c r="AC18" s="25"/>
      <c r="AD18" s="43"/>
      <c r="AE18" s="44">
        <v>1</v>
      </c>
      <c r="AF18" s="45">
        <v>1</v>
      </c>
      <c r="AG18" s="33"/>
      <c r="AH18" s="46"/>
      <c r="AI18" s="33">
        <v>897783</v>
      </c>
      <c r="AJ18" s="46">
        <v>850309</v>
      </c>
      <c r="AK18" s="36"/>
      <c r="AL18" s="36"/>
      <c r="AM18" s="47"/>
      <c r="AV18" s="31">
        <f t="shared" si="0"/>
        <v>0</v>
      </c>
      <c r="AW18" s="31">
        <f t="shared" si="1"/>
        <v>0</v>
      </c>
    </row>
    <row r="19" spans="1:49" x14ac:dyDescent="0.35">
      <c r="B19" t="s">
        <v>70</v>
      </c>
      <c r="C19" t="s">
        <v>68</v>
      </c>
      <c r="E19" s="32">
        <v>11390.285714285714</v>
      </c>
      <c r="F19" s="33">
        <v>30701.428571428572</v>
      </c>
      <c r="G19" s="34">
        <v>1.4944438870215224</v>
      </c>
      <c r="H19" s="35">
        <v>2.3886367506001074</v>
      </c>
      <c r="I19" s="33">
        <v>1069</v>
      </c>
      <c r="J19" s="36">
        <v>2169</v>
      </c>
      <c r="K19" s="37">
        <v>0.91019644527595878</v>
      </c>
      <c r="L19" s="33">
        <v>1540781.679999996</v>
      </c>
      <c r="M19" s="33">
        <v>3588750.0300000948</v>
      </c>
      <c r="N19" s="37">
        <v>1.1965185100072655</v>
      </c>
      <c r="O19" s="37">
        <v>0.51922380924822109</v>
      </c>
      <c r="P19" s="38">
        <v>0.56118812368017723</v>
      </c>
      <c r="Q19" s="37">
        <v>0.38835658052228428</v>
      </c>
      <c r="R19" s="39">
        <v>632.47268475211126</v>
      </c>
      <c r="S19" s="39">
        <v>1012.0033840479543</v>
      </c>
      <c r="T19" s="37">
        <v>0.60334177588786209</v>
      </c>
      <c r="U19" s="39">
        <v>1441.3299158091636</v>
      </c>
      <c r="V19" s="39">
        <v>1654.5643291839995</v>
      </c>
      <c r="W19" s="37">
        <v>0.14989142370115927</v>
      </c>
      <c r="X19" s="25">
        <v>10.655084859013764</v>
      </c>
      <c r="Y19" s="40">
        <v>14.154646644273202</v>
      </c>
      <c r="Z19" s="41">
        <v>8.7080722447475126E-2</v>
      </c>
      <c r="AA19" s="42">
        <v>7.0648178307198356E-2</v>
      </c>
      <c r="AB19" s="25">
        <v>9.3414531850469079E-2</v>
      </c>
      <c r="AC19" s="25">
        <v>4.4175515987877653E-2</v>
      </c>
      <c r="AD19" s="43">
        <v>0.28500432733631414</v>
      </c>
      <c r="AE19" s="44">
        <v>2.2796135136799629</v>
      </c>
      <c r="AF19" s="45">
        <v>1.6349395222038083</v>
      </c>
      <c r="AG19" s="33">
        <v>1027</v>
      </c>
      <c r="AH19" s="46">
        <v>2096</v>
      </c>
      <c r="AI19" s="33">
        <v>897783</v>
      </c>
      <c r="AJ19" s="46">
        <v>850309</v>
      </c>
      <c r="AK19" s="36">
        <v>2137.449700000001</v>
      </c>
      <c r="AL19" s="36">
        <v>3623980.0408000005</v>
      </c>
      <c r="AM19" s="47">
        <v>1474125.1766000001</v>
      </c>
      <c r="AV19" s="31">
        <f t="shared" si="0"/>
        <v>0.91019644527595878</v>
      </c>
      <c r="AW19" s="31">
        <f t="shared" si="1"/>
        <v>8560687175.5497932</v>
      </c>
    </row>
    <row r="20" spans="1:49" x14ac:dyDescent="0.35">
      <c r="B20" t="s">
        <v>71</v>
      </c>
      <c r="C20" t="s">
        <v>68</v>
      </c>
      <c r="E20" s="32">
        <v>33319.428571428572</v>
      </c>
      <c r="F20" s="33">
        <v>34875</v>
      </c>
      <c r="G20" s="34">
        <v>-1.9130837435044401E-2</v>
      </c>
      <c r="H20" s="35">
        <v>0.33547869175215195</v>
      </c>
      <c r="I20" s="33">
        <v>3377</v>
      </c>
      <c r="J20" s="36">
        <v>2361</v>
      </c>
      <c r="K20" s="37">
        <v>-0.34320402724311516</v>
      </c>
      <c r="L20" s="33">
        <v>4511017.6800000733</v>
      </c>
      <c r="M20" s="33">
        <v>3090751.5399999907</v>
      </c>
      <c r="N20" s="37">
        <v>-0.35885217590192753</v>
      </c>
      <c r="O20" s="37">
        <v>-0.56474532000434829</v>
      </c>
      <c r="P20" s="38">
        <v>0.42784555878752895</v>
      </c>
      <c r="Q20" s="37">
        <v>0.29011619290497936</v>
      </c>
      <c r="R20" s="39">
        <v>764.28747408943423</v>
      </c>
      <c r="S20" s="39">
        <v>929.29880135535427</v>
      </c>
      <c r="T20" s="37">
        <v>0.21058989435630648</v>
      </c>
      <c r="U20" s="39">
        <v>1335.8062422268501</v>
      </c>
      <c r="V20" s="39">
        <v>1309.0857856840282</v>
      </c>
      <c r="W20" s="37">
        <v>-2.3824976564837397E-2</v>
      </c>
      <c r="X20" s="25">
        <v>9.8665764203223496</v>
      </c>
      <c r="Y20" s="40">
        <v>14.7712833545108</v>
      </c>
      <c r="Z20" s="41">
        <v>9.3733453092090038E-2</v>
      </c>
      <c r="AA20" s="42">
        <v>6.7698924731182802E-2</v>
      </c>
      <c r="AB20" s="25">
        <v>6.8235209069268679E-2</v>
      </c>
      <c r="AC20" s="25">
        <v>2.4031353941781262E-2</v>
      </c>
      <c r="AD20" s="43">
        <v>0.2814098938165342</v>
      </c>
      <c r="AE20" s="44">
        <v>1.7481514514681009</v>
      </c>
      <c r="AF20" s="45">
        <v>1.408681237697462</v>
      </c>
      <c r="AG20" s="33">
        <v>3110</v>
      </c>
      <c r="AH20" s="46">
        <v>2235</v>
      </c>
      <c r="AI20" s="33">
        <v>897783</v>
      </c>
      <c r="AJ20" s="46">
        <v>850309</v>
      </c>
      <c r="AK20" s="36">
        <v>2967.3870000000002</v>
      </c>
      <c r="AL20" s="36">
        <v>4616476.0907999994</v>
      </c>
      <c r="AM20" s="47">
        <v>1638666.9009</v>
      </c>
      <c r="AV20" s="31">
        <f t="shared" si="0"/>
        <v>-0.34320402724311516</v>
      </c>
      <c r="AW20" s="31">
        <f t="shared" si="1"/>
        <v>9318479677.9497757</v>
      </c>
    </row>
    <row r="21" spans="1:49" x14ac:dyDescent="0.35">
      <c r="A21" t="s">
        <v>72</v>
      </c>
      <c r="E21" s="32">
        <v>48462.714285714283</v>
      </c>
      <c r="F21" s="33">
        <v>82440.571428571435</v>
      </c>
      <c r="G21" s="34">
        <v>0.58702566627068253</v>
      </c>
      <c r="H21" s="35">
        <v>1.0815221531431236</v>
      </c>
      <c r="I21" s="33">
        <v>4870</v>
      </c>
      <c r="J21" s="36">
        <v>5045</v>
      </c>
      <c r="K21" s="37">
        <v>-2.6488706365503045E-2</v>
      </c>
      <c r="L21" s="33">
        <v>7099986.8000002829</v>
      </c>
      <c r="M21" s="33">
        <v>7638717.2900005393</v>
      </c>
      <c r="N21" s="37">
        <v>9.4960880772623213E-3</v>
      </c>
      <c r="O21" s="37">
        <v>-0.22600527364957756</v>
      </c>
      <c r="P21" s="38">
        <v>0.45530837606630425</v>
      </c>
      <c r="Q21" s="37">
        <v>0.34938421447985724</v>
      </c>
      <c r="R21" s="39">
        <v>794.10746201231166</v>
      </c>
      <c r="S21" s="39">
        <v>985.10803766104993</v>
      </c>
      <c r="T21" s="37">
        <v>0.23917612896321994</v>
      </c>
      <c r="U21" s="39">
        <v>1457.9028336756228</v>
      </c>
      <c r="V21" s="39">
        <v>1514.1164103073418</v>
      </c>
      <c r="W21" s="37">
        <v>3.6963920889320434E-2</v>
      </c>
      <c r="X21" s="25">
        <v>9.9512760340275737</v>
      </c>
      <c r="Y21" s="40">
        <v>16.341044881778281</v>
      </c>
      <c r="Z21" s="41">
        <v>9.3007693075692191E-2</v>
      </c>
      <c r="AA21" s="42">
        <v>6.1195597174761383E-2</v>
      </c>
      <c r="AB21" s="25">
        <v>7.4212819178614164E-2</v>
      </c>
      <c r="AC21" s="25">
        <v>2.9628473910326695E-2</v>
      </c>
      <c r="AD21" s="43">
        <v>0.28464919121025373</v>
      </c>
      <c r="AE21" s="44">
        <v>1.8362875419915032</v>
      </c>
      <c r="AF21" s="45">
        <v>1.5370054373958015</v>
      </c>
      <c r="AG21" s="33">
        <v>4319</v>
      </c>
      <c r="AH21" s="46">
        <v>4695</v>
      </c>
      <c r="AI21" s="33">
        <v>897783</v>
      </c>
      <c r="AJ21" s="46">
        <v>850309</v>
      </c>
      <c r="AK21" s="36">
        <v>5664.0420999999978</v>
      </c>
      <c r="AL21" s="36">
        <v>9359453.1647999976</v>
      </c>
      <c r="AM21" s="47">
        <v>3510217.9485000023</v>
      </c>
      <c r="AV21" s="31">
        <f t="shared" si="0"/>
        <v>-2.6488706365503045E-2</v>
      </c>
      <c r="AW21" s="31">
        <f t="shared" si="1"/>
        <v>19911787367.749519</v>
      </c>
    </row>
    <row r="22" spans="1:49" x14ac:dyDescent="0.35">
      <c r="A22" t="s">
        <v>73</v>
      </c>
      <c r="B22" t="s">
        <v>74</v>
      </c>
      <c r="C22" t="s">
        <v>75</v>
      </c>
      <c r="E22" s="32">
        <v>715200.14285714284</v>
      </c>
      <c r="F22" s="33">
        <v>926083.14285714284</v>
      </c>
      <c r="G22" s="34">
        <v>0.20946124771068075</v>
      </c>
      <c r="H22" s="35">
        <v>1.4471665962873019</v>
      </c>
      <c r="I22" s="33">
        <v>54502</v>
      </c>
      <c r="J22" s="36">
        <v>41139</v>
      </c>
      <c r="K22" s="37">
        <v>-0.29211772045062567</v>
      </c>
      <c r="L22" s="33">
        <v>6396055.2600008138</v>
      </c>
      <c r="M22" s="33">
        <v>7799854.6200015359</v>
      </c>
      <c r="N22" s="37">
        <v>0.14513574418374775</v>
      </c>
      <c r="O22" s="37">
        <v>5.149502855993382E-2</v>
      </c>
      <c r="P22" s="38">
        <v>0.5036207723446875</v>
      </c>
      <c r="Q22" s="37">
        <v>0.46181483956950803</v>
      </c>
      <c r="R22" s="39">
        <v>58.252338813252777</v>
      </c>
      <c r="S22" s="39">
        <v>102.03860108413041</v>
      </c>
      <c r="T22" s="37">
        <v>0.75190507681820007</v>
      </c>
      <c r="U22" s="39">
        <v>117.35450552274804</v>
      </c>
      <c r="V22" s="39">
        <v>189.59757456431939</v>
      </c>
      <c r="W22" s="37">
        <v>0.61769234414615015</v>
      </c>
      <c r="X22" s="25">
        <v>13.122456842999208</v>
      </c>
      <c r="Y22" s="40">
        <v>22.511075691123821</v>
      </c>
      <c r="Z22" s="41">
        <v>6.9925472079689924E-2</v>
      </c>
      <c r="AA22" s="42">
        <v>4.4422577300217723E-2</v>
      </c>
      <c r="AB22" s="25">
        <v>7.2822275941921491E-2</v>
      </c>
      <c r="AC22" s="25">
        <v>3.4053988706642016E-2</v>
      </c>
      <c r="AD22" s="43">
        <v>0.76469086977897549</v>
      </c>
      <c r="AE22" s="44">
        <v>2.0157364534298141</v>
      </c>
      <c r="AF22" s="45">
        <v>1.8580965688464997</v>
      </c>
      <c r="AG22" s="33">
        <v>27743</v>
      </c>
      <c r="AH22" s="46">
        <v>21956</v>
      </c>
      <c r="AI22" s="33">
        <v>897783</v>
      </c>
      <c r="AJ22" s="46">
        <v>850309</v>
      </c>
      <c r="AK22" s="36">
        <v>39337.37309999999</v>
      </c>
      <c r="AL22" s="36">
        <v>7483047.1247000033</v>
      </c>
      <c r="AM22" s="47">
        <v>3405884.4387000017</v>
      </c>
      <c r="AV22" s="31">
        <f t="shared" si="0"/>
        <v>-0.29211772045062567</v>
      </c>
      <c r="AW22" s="31">
        <f t="shared" si="1"/>
        <v>162368884147.04608</v>
      </c>
    </row>
    <row r="23" spans="1:49" x14ac:dyDescent="0.35">
      <c r="B23" t="s">
        <v>76</v>
      </c>
      <c r="C23" t="s">
        <v>77</v>
      </c>
      <c r="E23" s="32">
        <v>324317</v>
      </c>
      <c r="F23" s="33">
        <v>379721.85714285716</v>
      </c>
      <c r="G23" s="34">
        <v>8.6976630888914164E-2</v>
      </c>
      <c r="H23" s="35">
        <v>1.4318443710832924</v>
      </c>
      <c r="I23" s="33">
        <v>18016</v>
      </c>
      <c r="J23" s="36">
        <v>18435</v>
      </c>
      <c r="K23" s="37">
        <v>-2.9751332149200671E-2</v>
      </c>
      <c r="L23" s="33">
        <v>3033976.1000001798</v>
      </c>
      <c r="M23" s="33">
        <v>7739704.0100007197</v>
      </c>
      <c r="N23" s="37">
        <v>1.4282101035668133</v>
      </c>
      <c r="O23" s="37">
        <v>1.4004841826653118</v>
      </c>
      <c r="P23" s="38">
        <v>0.47604809411652355</v>
      </c>
      <c r="Q23" s="37">
        <v>0.47039024687461639</v>
      </c>
      <c r="R23" s="39">
        <v>88.235876998224427</v>
      </c>
      <c r="S23" s="39">
        <v>222.35002603743004</v>
      </c>
      <c r="T23" s="37">
        <v>1.5286312505276487</v>
      </c>
      <c r="U23" s="39">
        <v>168.40453485791406</v>
      </c>
      <c r="V23" s="39">
        <v>419.83748359103441</v>
      </c>
      <c r="W23" s="37">
        <v>1.5026678046830497</v>
      </c>
      <c r="X23" s="25">
        <v>18.00160968028419</v>
      </c>
      <c r="Y23" s="40">
        <v>20.597876709674921</v>
      </c>
      <c r="Z23" s="41">
        <v>5.0861031960768584E-2</v>
      </c>
      <c r="AA23" s="42">
        <v>4.8548693348101031E-2</v>
      </c>
      <c r="AB23" s="25">
        <v>4.540778746548034E-2</v>
      </c>
      <c r="AC23" s="25">
        <v>4.7208423860593644E-2</v>
      </c>
      <c r="AD23" s="43">
        <v>0.73687861470319937</v>
      </c>
      <c r="AE23" s="44">
        <v>1.9110239172590051</v>
      </c>
      <c r="AF23" s="45">
        <v>1.888182749843077</v>
      </c>
      <c r="AG23" s="33">
        <v>5545</v>
      </c>
      <c r="AH23" s="46">
        <v>7303</v>
      </c>
      <c r="AI23" s="33">
        <v>897783</v>
      </c>
      <c r="AJ23" s="46">
        <v>850309</v>
      </c>
      <c r="AK23" s="36">
        <v>24392.58760000001</v>
      </c>
      <c r="AL23" s="36">
        <v>9923890.6820999999</v>
      </c>
      <c r="AM23" s="47">
        <v>4502193.3251999998</v>
      </c>
      <c r="AV23" s="31">
        <f t="shared" si="0"/>
        <v>-2.9751332149200671E-2</v>
      </c>
      <c r="AW23" s="31">
        <f t="shared" si="1"/>
        <v>72759920738.248245</v>
      </c>
    </row>
    <row r="24" spans="1:49" x14ac:dyDescent="0.35">
      <c r="B24" t="s">
        <v>78</v>
      </c>
      <c r="C24" t="s">
        <v>75</v>
      </c>
      <c r="E24" s="32">
        <v>435018.28571428574</v>
      </c>
      <c r="F24" s="33">
        <v>398814.28571428574</v>
      </c>
      <c r="G24" s="34">
        <v>-0.16422199657945424</v>
      </c>
      <c r="H24" s="35">
        <v>0.45126232036819602</v>
      </c>
      <c r="I24" s="33">
        <v>23537</v>
      </c>
      <c r="J24" s="36">
        <v>24113</v>
      </c>
      <c r="K24" s="37">
        <v>-3.1567319539448579E-2</v>
      </c>
      <c r="L24" s="33">
        <v>5261250.4600004386</v>
      </c>
      <c r="M24" s="33">
        <v>7562201.5200012429</v>
      </c>
      <c r="N24" s="37">
        <v>0.36672406202090757</v>
      </c>
      <c r="O24" s="37">
        <v>0.32732512412079062</v>
      </c>
      <c r="P24" s="38">
        <v>0.54663326748377039</v>
      </c>
      <c r="Q24" s="37">
        <v>0.53033046387272287</v>
      </c>
      <c r="R24" s="39">
        <v>101.34154437693456</v>
      </c>
      <c r="S24" s="39">
        <v>147.29547049309394</v>
      </c>
      <c r="T24" s="37">
        <v>0.46032674438002341</v>
      </c>
      <c r="U24" s="39">
        <v>223.53105578452812</v>
      </c>
      <c r="V24" s="39">
        <v>313.61512545105307</v>
      </c>
      <c r="W24" s="37">
        <v>0.41127420583425911</v>
      </c>
      <c r="X24" s="25">
        <v>18.482316595755012</v>
      </c>
      <c r="Y24" s="40">
        <v>16.539388948462893</v>
      </c>
      <c r="Z24" s="41">
        <v>4.9421773733626023E-2</v>
      </c>
      <c r="AA24" s="42">
        <v>6.046172583013934E-2</v>
      </c>
      <c r="AB24" s="25">
        <v>6.8360225567251645E-2</v>
      </c>
      <c r="AC24" s="25">
        <v>6.6454882949255722E-2</v>
      </c>
      <c r="AD24" s="43">
        <v>0.76807656912614741</v>
      </c>
      <c r="AE24" s="44">
        <v>2.2070165562973196</v>
      </c>
      <c r="AF24" s="45">
        <v>2.1291566156187893</v>
      </c>
      <c r="AG24" s="33">
        <v>15663</v>
      </c>
      <c r="AH24" s="46">
        <v>16581</v>
      </c>
      <c r="AI24" s="33">
        <v>897783</v>
      </c>
      <c r="AJ24" s="46">
        <v>850309</v>
      </c>
      <c r="AK24" s="36">
        <v>27525.638799999993</v>
      </c>
      <c r="AL24" s="36">
        <v>9113326.9235999975</v>
      </c>
      <c r="AM24" s="47">
        <v>4632243.0109000001</v>
      </c>
      <c r="AV24" s="31">
        <f t="shared" si="0"/>
        <v>-3.1567319539448579E-2</v>
      </c>
      <c r="AW24" s="31">
        <f t="shared" si="1"/>
        <v>95170055262.347702</v>
      </c>
    </row>
    <row r="25" spans="1:49" x14ac:dyDescent="0.35">
      <c r="B25" t="s">
        <v>79</v>
      </c>
      <c r="C25" t="s">
        <v>80</v>
      </c>
      <c r="E25" s="32">
        <v>72788.857142857145</v>
      </c>
      <c r="F25" s="33">
        <v>251916.85714285713</v>
      </c>
      <c r="G25" s="34">
        <v>2.2270834232869237</v>
      </c>
      <c r="H25" s="35">
        <v>2.7183028451086129</v>
      </c>
      <c r="I25" s="33">
        <v>4340</v>
      </c>
      <c r="J25" s="36">
        <v>11053</v>
      </c>
      <c r="K25" s="37">
        <v>1.4087557603686638</v>
      </c>
      <c r="L25" s="33">
        <v>2184885.3199999901</v>
      </c>
      <c r="M25" s="33">
        <v>7526483.4100008449</v>
      </c>
      <c r="N25" s="37">
        <v>2.2399048614600563</v>
      </c>
      <c r="O25" s="37">
        <v>3.1841132253852864</v>
      </c>
      <c r="P25" s="38">
        <v>0.36562358339245549</v>
      </c>
      <c r="Q25" s="37">
        <v>0.47240998967411307</v>
      </c>
      <c r="R25" s="39">
        <v>319.36399078341515</v>
      </c>
      <c r="S25" s="39">
        <v>359.25969962905657</v>
      </c>
      <c r="T25" s="37">
        <v>0.11912935311843853</v>
      </c>
      <c r="U25" s="39">
        <v>503.42979723502077</v>
      </c>
      <c r="V25" s="39">
        <v>680.94484845750878</v>
      </c>
      <c r="W25" s="37">
        <v>0.34505329048561739</v>
      </c>
      <c r="X25" s="25">
        <v>16.771626069782752</v>
      </c>
      <c r="Y25" s="40">
        <v>22.791717827092839</v>
      </c>
      <c r="Z25" s="41">
        <v>5.433853691886964E-2</v>
      </c>
      <c r="AA25" s="42">
        <v>4.3875587070110432E-2</v>
      </c>
      <c r="AB25" s="25">
        <v>3.1074457676609078E-2</v>
      </c>
      <c r="AC25" s="25">
        <v>3.7829369595880895E-2</v>
      </c>
      <c r="AD25" s="43">
        <v>0.70273990832475575</v>
      </c>
      <c r="AE25" s="44">
        <v>1.5767200144079847</v>
      </c>
      <c r="AF25" s="45">
        <v>1.8954111723652809</v>
      </c>
      <c r="AG25" s="33">
        <v>3280</v>
      </c>
      <c r="AH25" s="46">
        <v>8471</v>
      </c>
      <c r="AI25" s="33">
        <v>897783</v>
      </c>
      <c r="AJ25" s="46">
        <v>850309</v>
      </c>
      <c r="AK25" s="36">
        <v>12328.6369</v>
      </c>
      <c r="AL25" s="36">
        <v>8993629.8420000039</v>
      </c>
      <c r="AM25" s="47">
        <v>4133235.659599999</v>
      </c>
      <c r="AV25" s="31">
        <f t="shared" si="0"/>
        <v>1.4087557603686638</v>
      </c>
      <c r="AW25" s="31">
        <f t="shared" si="1"/>
        <v>43624377755.348946</v>
      </c>
    </row>
    <row r="26" spans="1:49" x14ac:dyDescent="0.35">
      <c r="C26" t="s">
        <v>81</v>
      </c>
      <c r="E26" s="32">
        <v>281973.85714285716</v>
      </c>
      <c r="F26" s="33">
        <v>719327.85714285716</v>
      </c>
      <c r="G26" s="34">
        <v>1.3794647629440822</v>
      </c>
      <c r="H26" s="35">
        <v>2.2258292966909727</v>
      </c>
      <c r="I26" s="33">
        <v>18170</v>
      </c>
      <c r="J26" s="36">
        <v>34014</v>
      </c>
      <c r="K26" s="37">
        <v>0.76378646119977978</v>
      </c>
      <c r="L26" s="33">
        <v>2651834.4700001357</v>
      </c>
      <c r="M26" s="33">
        <v>5968992.2200011695</v>
      </c>
      <c r="N26" s="37">
        <v>1.1027706340964629</v>
      </c>
      <c r="O26" s="37">
        <v>0.92601373667757048</v>
      </c>
      <c r="P26" s="38">
        <v>0.48000634443826967</v>
      </c>
      <c r="Q26" s="37">
        <v>0.43993563288656323</v>
      </c>
      <c r="R26" s="39">
        <v>75.890869565215979</v>
      </c>
      <c r="S26" s="39">
        <v>98.283643499734893</v>
      </c>
      <c r="T26" s="37">
        <v>0.28469916527366923</v>
      </c>
      <c r="U26" s="39">
        <v>145.94576059439382</v>
      </c>
      <c r="V26" s="39">
        <v>175.48633562654112</v>
      </c>
      <c r="W26" s="37">
        <v>0.1921911639270073</v>
      </c>
      <c r="X26" s="25">
        <v>15.518649264879315</v>
      </c>
      <c r="Y26" s="40">
        <v>21.147993683273274</v>
      </c>
      <c r="Z26" s="41">
        <v>5.8651422357205475E-2</v>
      </c>
      <c r="AA26" s="42">
        <v>4.7285809470944601E-2</v>
      </c>
      <c r="AB26" s="25">
        <v>5.4234221170541642E-2</v>
      </c>
      <c r="AC26" s="25">
        <v>3.5931851087313046E-2</v>
      </c>
      <c r="AD26" s="43">
        <v>0.77312317818798304</v>
      </c>
      <c r="AE26" s="44">
        <v>1.9232339661644753</v>
      </c>
      <c r="AF26" s="45">
        <v>1.7855090570285426</v>
      </c>
      <c r="AG26" s="33">
        <v>11239</v>
      </c>
      <c r="AH26" s="46">
        <v>17486</v>
      </c>
      <c r="AI26" s="33">
        <v>897783</v>
      </c>
      <c r="AJ26" s="46">
        <v>850309</v>
      </c>
      <c r="AK26" s="36">
        <v>32899.320500000009</v>
      </c>
      <c r="AL26" s="36">
        <v>6018268.7690999983</v>
      </c>
      <c r="AM26" s="47">
        <v>2564930.3055000007</v>
      </c>
      <c r="AV26" s="31">
        <f t="shared" si="0"/>
        <v>0.76378646119977978</v>
      </c>
      <c r="AW26" s="31">
        <f t="shared" si="1"/>
        <v>134247678003.29675</v>
      </c>
    </row>
    <row r="27" spans="1:49" x14ac:dyDescent="0.35">
      <c r="A27" t="s">
        <v>82</v>
      </c>
      <c r="E27" s="32">
        <v>1829298.142857143</v>
      </c>
      <c r="F27" s="33">
        <v>2675864</v>
      </c>
      <c r="G27" s="34">
        <v>0.35951220011234586</v>
      </c>
      <c r="H27" s="35">
        <v>1.4975549629019058</v>
      </c>
      <c r="I27" s="33">
        <v>118565</v>
      </c>
      <c r="J27" s="36">
        <v>128754</v>
      </c>
      <c r="K27" s="37">
        <v>2.3548264664951635E-2</v>
      </c>
      <c r="L27" s="33">
        <v>19528001.610004541</v>
      </c>
      <c r="M27" s="33">
        <v>36597235.779982626</v>
      </c>
      <c r="N27" s="37">
        <v>0.76859780277211898</v>
      </c>
      <c r="O27" s="37">
        <v>0.71280306693756423</v>
      </c>
      <c r="P27" s="38">
        <v>0.49227885791852771</v>
      </c>
      <c r="Q27" s="37">
        <v>0.47639647307785576</v>
      </c>
      <c r="R27" s="39">
        <v>83.623154219207478</v>
      </c>
      <c r="S27" s="39">
        <v>148.82987503301018</v>
      </c>
      <c r="T27" s="37">
        <v>0.78076169987757371</v>
      </c>
      <c r="U27" s="39">
        <v>164.70291915830592</v>
      </c>
      <c r="V27" s="39">
        <v>284.24154418490008</v>
      </c>
      <c r="W27" s="37">
        <v>0.72790855480669636</v>
      </c>
      <c r="X27" s="25">
        <v>15.428652155839774</v>
      </c>
      <c r="Y27" s="40">
        <v>20.782764030632059</v>
      </c>
      <c r="Z27" s="41">
        <v>5.9296139944128523E-2</v>
      </c>
      <c r="AA27" s="42">
        <v>4.8116795173446782E-2</v>
      </c>
      <c r="AB27" s="25">
        <v>5.7493543698313027E-2</v>
      </c>
      <c r="AC27" s="25">
        <v>4.249114367519892E-2</v>
      </c>
      <c r="AD27" s="43">
        <v>0.75069595163946334</v>
      </c>
      <c r="AE27" s="44">
        <v>1.9710284872501165</v>
      </c>
      <c r="AF27" s="45">
        <v>1.9098419865087966</v>
      </c>
      <c r="AG27" s="33">
        <v>53185</v>
      </c>
      <c r="AH27" s="46">
        <v>59390</v>
      </c>
      <c r="AI27" s="33">
        <v>897783</v>
      </c>
      <c r="AJ27" s="46">
        <v>850309</v>
      </c>
      <c r="AK27" s="36">
        <v>136483.5569</v>
      </c>
      <c r="AL27" s="36">
        <v>41532163.341499999</v>
      </c>
      <c r="AM27" s="47">
        <v>19238486.739900015</v>
      </c>
      <c r="AV27" s="31">
        <f t="shared" si="0"/>
        <v>2.3548264664951635E-2</v>
      </c>
      <c r="AW27" s="31">
        <f t="shared" si="1"/>
        <v>508170915906.28772</v>
      </c>
    </row>
    <row r="28" spans="1:49" x14ac:dyDescent="0.35">
      <c r="A28" t="s">
        <v>83</v>
      </c>
      <c r="B28" t="s">
        <v>84</v>
      </c>
      <c r="C28" t="s">
        <v>85</v>
      </c>
      <c r="E28" s="32">
        <v>620489.42857142852</v>
      </c>
      <c r="F28" s="33">
        <v>579942</v>
      </c>
      <c r="G28" s="34">
        <v>-0.12280006612291772</v>
      </c>
      <c r="H28" s="35">
        <v>0.12252438252205344</v>
      </c>
      <c r="I28" s="33">
        <v>34903</v>
      </c>
      <c r="J28" s="36">
        <v>35754</v>
      </c>
      <c r="K28" s="37">
        <v>-3.9051084434002847E-2</v>
      </c>
      <c r="L28" s="33">
        <v>7146590.2200022042</v>
      </c>
      <c r="M28" s="33">
        <v>7997809.4300020635</v>
      </c>
      <c r="N28" s="37">
        <v>4.1755323981558679E-2</v>
      </c>
      <c r="O28" s="37">
        <v>-8.0618713071682113E-2</v>
      </c>
      <c r="P28" s="38">
        <v>0.57670580698285678</v>
      </c>
      <c r="Q28" s="37">
        <v>0.50900019006841446</v>
      </c>
      <c r="R28" s="39">
        <v>86.671923330373929</v>
      </c>
      <c r="S28" s="39">
        <v>109.8317086200161</v>
      </c>
      <c r="T28" s="37">
        <v>0.2575908304823693</v>
      </c>
      <c r="U28" s="39">
        <v>204.75575795783183</v>
      </c>
      <c r="V28" s="39">
        <v>223.68992084807471</v>
      </c>
      <c r="W28" s="37">
        <v>8.4090222806450177E-2</v>
      </c>
      <c r="X28" s="25">
        <v>17.77753856606677</v>
      </c>
      <c r="Y28" s="40">
        <v>16.220338983050848</v>
      </c>
      <c r="Z28" s="41">
        <v>5.1599468341192264E-2</v>
      </c>
      <c r="AA28" s="42">
        <v>6.1650992685475442E-2</v>
      </c>
      <c r="AB28" s="25">
        <v>6.6441730065691249E-2</v>
      </c>
      <c r="AC28" s="25">
        <v>5.9520197454280478E-2</v>
      </c>
      <c r="AD28" s="43">
        <v>0.79371322815236989</v>
      </c>
      <c r="AE28" s="44">
        <v>2.3626688668606812</v>
      </c>
      <c r="AF28" s="45">
        <v>2.0366606662013518</v>
      </c>
      <c r="AG28" s="33">
        <v>15074</v>
      </c>
      <c r="AH28" s="46">
        <v>18998</v>
      </c>
      <c r="AI28" s="33">
        <v>897783</v>
      </c>
      <c r="AJ28" s="46">
        <v>850309</v>
      </c>
      <c r="AK28" s="36">
        <v>35307.224600000001</v>
      </c>
      <c r="AL28" s="36">
        <v>10404372.649699997</v>
      </c>
      <c r="AM28" s="47">
        <v>5880326.5174999963</v>
      </c>
      <c r="AV28" s="31">
        <f t="shared" si="0"/>
        <v>-3.9051084434002847E-2</v>
      </c>
      <c r="AW28" s="31">
        <f t="shared" si="1"/>
        <v>141115172556.2966</v>
      </c>
    </row>
    <row r="29" spans="1:49" x14ac:dyDescent="0.35">
      <c r="B29" t="s">
        <v>86</v>
      </c>
      <c r="C29" t="s">
        <v>87</v>
      </c>
      <c r="E29" s="32">
        <v>978237</v>
      </c>
      <c r="F29" s="33">
        <v>526912.42857142852</v>
      </c>
      <c r="G29" s="34">
        <v>-0.49429666401320516</v>
      </c>
      <c r="H29" s="35">
        <v>2.855502433475432E-2</v>
      </c>
      <c r="I29" s="33">
        <v>48422</v>
      </c>
      <c r="J29" s="36">
        <v>37929</v>
      </c>
      <c r="K29" s="37">
        <v>-0.25422328693569041</v>
      </c>
      <c r="L29" s="33">
        <v>5001675.3799993694</v>
      </c>
      <c r="M29" s="33">
        <v>5254021.9800003059</v>
      </c>
      <c r="N29" s="37">
        <v>9.1604505547127069E-4</v>
      </c>
      <c r="O29" s="37">
        <v>-0.1470105685292491</v>
      </c>
      <c r="P29" s="38">
        <v>0.56644456202190085</v>
      </c>
      <c r="Q29" s="37">
        <v>0.48246440149079267</v>
      </c>
      <c r="R29" s="39">
        <v>44.783436454502123</v>
      </c>
      <c r="S29" s="39">
        <v>71.69035329167626</v>
      </c>
      <c r="T29" s="37">
        <v>0.60126166451861662</v>
      </c>
      <c r="U29" s="39">
        <v>103.29344884555304</v>
      </c>
      <c r="V29" s="39">
        <v>138.52255477340046</v>
      </c>
      <c r="W29" s="37">
        <v>0.34211222678544617</v>
      </c>
      <c r="X29" s="25">
        <v>20.202325389285861</v>
      </c>
      <c r="Y29" s="40">
        <v>13.892072782605092</v>
      </c>
      <c r="Z29" s="41">
        <v>4.5404164410053405E-2</v>
      </c>
      <c r="AA29" s="42">
        <v>7.1983498477789898E-2</v>
      </c>
      <c r="AB29" s="25">
        <v>6.5936243094512625E-2</v>
      </c>
      <c r="AC29" s="25">
        <v>5.8432908920887282E-2</v>
      </c>
      <c r="AD29" s="43">
        <v>0.78435508343857463</v>
      </c>
      <c r="AE29" s="44">
        <v>2.307911430236123</v>
      </c>
      <c r="AF29" s="45">
        <v>1.9322342325446993</v>
      </c>
      <c r="AG29" s="33">
        <v>18381</v>
      </c>
      <c r="AH29" s="46">
        <v>19864</v>
      </c>
      <c r="AI29" s="33">
        <v>897783</v>
      </c>
      <c r="AJ29" s="46">
        <v>850309</v>
      </c>
      <c r="AK29" s="36">
        <v>47856.160699999993</v>
      </c>
      <c r="AL29" s="36">
        <v>7156080.3379999986</v>
      </c>
      <c r="AM29" s="47">
        <v>3786591.9932999988</v>
      </c>
      <c r="AV29" s="31">
        <f t="shared" si="0"/>
        <v>-0.25422328693569041</v>
      </c>
      <c r="AW29" s="31">
        <f t="shared" si="1"/>
        <v>149699540747.54639</v>
      </c>
    </row>
    <row r="30" spans="1:49" x14ac:dyDescent="0.35">
      <c r="C30" t="s">
        <v>88</v>
      </c>
      <c r="E30" s="32">
        <v>40602.571428571428</v>
      </c>
      <c r="F30" s="33">
        <v>33262.428571428572</v>
      </c>
      <c r="G30" s="34">
        <v>-0.22174879845752204</v>
      </c>
      <c r="H30" s="35">
        <v>8.0403607179539094E-2</v>
      </c>
      <c r="I30" s="33">
        <v>2719</v>
      </c>
      <c r="J30" s="36">
        <v>2209</v>
      </c>
      <c r="K30" s="37">
        <v>-0.210003677822729</v>
      </c>
      <c r="L30" s="33">
        <v>1614766.5600000108</v>
      </c>
      <c r="M30" s="33">
        <v>1576463.5600000022</v>
      </c>
      <c r="N30" s="37">
        <v>-4.6137195211677473E-2</v>
      </c>
      <c r="O30" s="37">
        <v>-0.11603375511946579</v>
      </c>
      <c r="P30" s="38">
        <v>0.50637942366109356</v>
      </c>
      <c r="Q30" s="37">
        <v>0.46920728063007228</v>
      </c>
      <c r="R30" s="39">
        <v>293.15262964325069</v>
      </c>
      <c r="S30" s="39">
        <v>378.80279764599294</v>
      </c>
      <c r="T30" s="37">
        <v>0.29819087222015717</v>
      </c>
      <c r="U30" s="39">
        <v>593.8825156307505</v>
      </c>
      <c r="V30" s="39">
        <v>713.6548483476696</v>
      </c>
      <c r="W30" s="37">
        <v>0.2074268930258143</v>
      </c>
      <c r="X30" s="25">
        <v>14.932906005359113</v>
      </c>
      <c r="Y30" s="40">
        <v>15.057686089374636</v>
      </c>
      <c r="Z30" s="41">
        <v>6.1680161682736247E-2</v>
      </c>
      <c r="AA30" s="42">
        <v>6.6411266250638853E-2</v>
      </c>
      <c r="AB30" s="25">
        <v>6.4156422475727684E-2</v>
      </c>
      <c r="AC30" s="25">
        <v>5.5200262649816791E-2</v>
      </c>
      <c r="AD30" s="43">
        <v>0.79830788652372875</v>
      </c>
      <c r="AE30" s="44">
        <v>2.0264638585467845</v>
      </c>
      <c r="AF30" s="45">
        <v>1.8839745978185987</v>
      </c>
      <c r="AG30" s="33">
        <v>1984</v>
      </c>
      <c r="AH30" s="46">
        <v>1374</v>
      </c>
      <c r="AI30" s="33">
        <v>897783</v>
      </c>
      <c r="AJ30" s="46">
        <v>850309</v>
      </c>
      <c r="AK30" s="36">
        <v>1784.8451000000007</v>
      </c>
      <c r="AL30" s="36">
        <v>1064953.8575999998</v>
      </c>
      <c r="AM30" s="47">
        <v>570511.2993999999</v>
      </c>
      <c r="AV30" s="31">
        <f t="shared" si="0"/>
        <v>-0.210003677822729</v>
      </c>
      <c r="AW30" s="31">
        <f t="shared" si="1"/>
        <v>8718560613.5497894</v>
      </c>
    </row>
    <row r="31" spans="1:49" x14ac:dyDescent="0.35">
      <c r="C31" t="s">
        <v>89</v>
      </c>
      <c r="E31" s="32">
        <v>119680.71428571429</v>
      </c>
      <c r="F31" s="33">
        <v>96640.857142857145</v>
      </c>
      <c r="G31" s="34">
        <v>-0.23449416005681789</v>
      </c>
      <c r="H31" s="35">
        <v>0.1805092775893451</v>
      </c>
      <c r="I31" s="33">
        <v>4754</v>
      </c>
      <c r="J31" s="36">
        <v>4216</v>
      </c>
      <c r="K31" s="37">
        <v>-0.16659655027345388</v>
      </c>
      <c r="L31" s="33">
        <v>1077242.6499999992</v>
      </c>
      <c r="M31" s="33">
        <v>1298464.6900000111</v>
      </c>
      <c r="N31" s="37">
        <v>0.12502146104223688</v>
      </c>
      <c r="O31" s="37">
        <v>-8.4027375559164841E-2</v>
      </c>
      <c r="P31" s="38">
        <v>0.53257294445220971</v>
      </c>
      <c r="Q31" s="37">
        <v>0.43460041258419552</v>
      </c>
      <c r="R31" s="39">
        <v>105.91761884728618</v>
      </c>
      <c r="S31" s="39">
        <v>174.13458254269372</v>
      </c>
      <c r="T31" s="37">
        <v>0.63570920413215792</v>
      </c>
      <c r="U31" s="39">
        <v>226.59710769877981</v>
      </c>
      <c r="V31" s="39">
        <v>307.9849833965871</v>
      </c>
      <c r="W31" s="37">
        <v>0.34991217208349146</v>
      </c>
      <c r="X31" s="25">
        <v>25.174740068513735</v>
      </c>
      <c r="Y31" s="40">
        <v>22.922404445649228</v>
      </c>
      <c r="Z31" s="41">
        <v>3.6277757237820014E-2</v>
      </c>
      <c r="AA31" s="42">
        <v>4.3625440881259921E-2</v>
      </c>
      <c r="AB31" s="25">
        <v>4.1645908126592204E-2</v>
      </c>
      <c r="AC31" s="25">
        <v>3.6148438933418424E-2</v>
      </c>
      <c r="AD31" s="43">
        <v>0.76992851706074039</v>
      </c>
      <c r="AE31" s="44">
        <v>2.1404873300159899</v>
      </c>
      <c r="AF31" s="45">
        <v>1.7686606468366293</v>
      </c>
      <c r="AG31" s="33">
        <v>2266</v>
      </c>
      <c r="AH31" s="46">
        <v>2215</v>
      </c>
      <c r="AI31" s="33">
        <v>897783</v>
      </c>
      <c r="AJ31" s="46">
        <v>850309</v>
      </c>
      <c r="AK31" s="36">
        <v>4322.3086999999996</v>
      </c>
      <c r="AL31" s="36">
        <v>1284241.8</v>
      </c>
      <c r="AM31" s="47">
        <v>623825.07319999998</v>
      </c>
      <c r="AV31" s="31">
        <f t="shared" si="0"/>
        <v>-0.16659655027345388</v>
      </c>
      <c r="AW31" s="31">
        <f t="shared" si="1"/>
        <v>16639860365.199598</v>
      </c>
    </row>
    <row r="32" spans="1:49" x14ac:dyDescent="0.35">
      <c r="C32" t="s">
        <v>90</v>
      </c>
      <c r="E32" s="32">
        <v>261707.85714285713</v>
      </c>
      <c r="F32" s="33">
        <v>64796.285714285717</v>
      </c>
      <c r="G32" s="34">
        <v>-0.75475380126695246</v>
      </c>
      <c r="H32" s="35">
        <v>-0.59921239303841922</v>
      </c>
      <c r="I32" s="33">
        <v>12817</v>
      </c>
      <c r="J32" s="36">
        <v>2372</v>
      </c>
      <c r="K32" s="37">
        <v>-0.81758601856908797</v>
      </c>
      <c r="L32" s="33">
        <v>902215.16000000725</v>
      </c>
      <c r="M32" s="33">
        <v>159284.32999999973</v>
      </c>
      <c r="N32" s="37">
        <v>-0.82688096262980237</v>
      </c>
      <c r="O32" s="37">
        <v>-0.98312769638672892</v>
      </c>
      <c r="P32" s="38">
        <v>0.43459566784490877</v>
      </c>
      <c r="Q32" s="37">
        <v>4.373550116322858E-2</v>
      </c>
      <c r="R32" s="39">
        <v>39.799981274869538</v>
      </c>
      <c r="S32" s="39">
        <v>64.214987352445462</v>
      </c>
      <c r="T32" s="37">
        <v>0.60742850664984394</v>
      </c>
      <c r="U32" s="39">
        <v>70.392069907155133</v>
      </c>
      <c r="V32" s="39">
        <v>67.151909780775597</v>
      </c>
      <c r="W32" s="37">
        <v>-5.0955217290923005E-2</v>
      </c>
      <c r="X32" s="25">
        <v>20.418807610428114</v>
      </c>
      <c r="Y32" s="40">
        <v>27.31715249337509</v>
      </c>
      <c r="Z32" s="41">
        <v>4.3689859408297796E-2</v>
      </c>
      <c r="AA32" s="42">
        <v>3.6607036558532896E-2</v>
      </c>
      <c r="AB32" s="25">
        <v>2.9310321281506541E-2</v>
      </c>
      <c r="AC32" s="25">
        <v>1.4169550402141795E-3</v>
      </c>
      <c r="AD32" s="43">
        <v>0.85485560384110393</v>
      </c>
      <c r="AE32" s="44">
        <v>1.7694344380997566</v>
      </c>
      <c r="AF32" s="45">
        <v>1.045735778350477</v>
      </c>
      <c r="AG32" s="33">
        <v>5806</v>
      </c>
      <c r="AH32" s="46">
        <v>1110</v>
      </c>
      <c r="AI32" s="33">
        <v>897783</v>
      </c>
      <c r="AJ32" s="46">
        <v>850309</v>
      </c>
      <c r="AK32" s="36"/>
      <c r="AL32" s="36"/>
      <c r="AM32" s="47"/>
      <c r="AV32" s="31">
        <f t="shared" si="0"/>
        <v>-0.81758601856908797</v>
      </c>
      <c r="AW32" s="31">
        <f t="shared" si="1"/>
        <v>9361894873.3997746</v>
      </c>
    </row>
    <row r="33" spans="1:49" x14ac:dyDescent="0.35">
      <c r="A33" t="s">
        <v>91</v>
      </c>
      <c r="E33" s="32">
        <v>2020717.5714285714</v>
      </c>
      <c r="F33" s="33">
        <v>1301554</v>
      </c>
      <c r="G33" s="34">
        <v>-0.39309225584150687</v>
      </c>
      <c r="H33" s="35">
        <v>3.0256322977491701E-2</v>
      </c>
      <c r="I33" s="33">
        <v>103615</v>
      </c>
      <c r="J33" s="36">
        <v>82480</v>
      </c>
      <c r="K33" s="37">
        <v>-0.24624813009699364</v>
      </c>
      <c r="L33" s="33">
        <v>15742489.970006865</v>
      </c>
      <c r="M33" s="33">
        <v>16286043.990008304</v>
      </c>
      <c r="N33" s="37">
        <v>-2.4319973570173903E-2</v>
      </c>
      <c r="O33" s="37">
        <v>-0.14618023729277285</v>
      </c>
      <c r="P33" s="38">
        <v>0.55506756343212482</v>
      </c>
      <c r="Q33" s="37">
        <v>0.48610533932399369</v>
      </c>
      <c r="R33" s="39">
        <v>67.599714520103163</v>
      </c>
      <c r="S33" s="39">
        <v>101.47079352570113</v>
      </c>
      <c r="T33" s="37">
        <v>0.49612184111980495</v>
      </c>
      <c r="U33" s="39">
        <v>151.93253843562096</v>
      </c>
      <c r="V33" s="39">
        <v>197.45446156654103</v>
      </c>
      <c r="W33" s="37">
        <v>0.29443131803490918</v>
      </c>
      <c r="X33" s="25">
        <v>19.502172189630567</v>
      </c>
      <c r="Y33" s="40">
        <v>15.780237633365664</v>
      </c>
      <c r="Z33" s="41">
        <v>4.6854171226119595E-2</v>
      </c>
      <c r="AA33" s="42">
        <v>6.3370401842720317E-2</v>
      </c>
      <c r="AB33" s="25">
        <v>6.0308075337495111E-2</v>
      </c>
      <c r="AC33" s="25">
        <v>5.4334511440772511E-2</v>
      </c>
      <c r="AD33" s="43">
        <v>0.79037662352838134</v>
      </c>
      <c r="AE33" s="44">
        <v>2.2483680020728327</v>
      </c>
      <c r="AF33" s="45">
        <v>1.9459240901326802</v>
      </c>
      <c r="AG33" s="33">
        <v>38885</v>
      </c>
      <c r="AH33" s="46">
        <v>39350</v>
      </c>
      <c r="AI33" s="33">
        <v>897783</v>
      </c>
      <c r="AJ33" s="46">
        <v>850309</v>
      </c>
      <c r="AK33" s="36">
        <v>89270.539099999965</v>
      </c>
      <c r="AL33" s="36">
        <v>19909648.645300012</v>
      </c>
      <c r="AM33" s="47">
        <v>10861254.883400012</v>
      </c>
      <c r="AV33" s="31">
        <f t="shared" si="0"/>
        <v>-0.24624813009699364</v>
      </c>
      <c r="AW33" s="31">
        <f t="shared" si="1"/>
        <v>325535029155.99213</v>
      </c>
    </row>
    <row r="34" spans="1:49" x14ac:dyDescent="0.35">
      <c r="A34" t="s">
        <v>92</v>
      </c>
      <c r="B34" t="s">
        <v>93</v>
      </c>
      <c r="C34" t="s">
        <v>94</v>
      </c>
      <c r="E34" s="32">
        <v>274833.14285714284</v>
      </c>
      <c r="F34" s="33">
        <v>185035.42857142858</v>
      </c>
      <c r="G34" s="34">
        <v>-0.37571835794393682</v>
      </c>
      <c r="H34" s="35">
        <v>-4.7674181478226774E-2</v>
      </c>
      <c r="I34" s="33">
        <v>13894</v>
      </c>
      <c r="J34" s="36">
        <v>11153</v>
      </c>
      <c r="K34" s="37">
        <v>-0.23758456887865265</v>
      </c>
      <c r="L34" s="33">
        <v>9779332.0099996123</v>
      </c>
      <c r="M34" s="33">
        <v>11139016.739999928</v>
      </c>
      <c r="N34" s="37">
        <v>7.9185361454998215E-2</v>
      </c>
      <c r="O34" s="37">
        <v>0.22048636082526096</v>
      </c>
      <c r="P34" s="38">
        <v>0.43046664288471287</v>
      </c>
      <c r="Q34" s="37">
        <v>0.48688018939093558</v>
      </c>
      <c r="R34" s="39">
        <v>400.86769756730013</v>
      </c>
      <c r="S34" s="39">
        <v>512.47647807764372</v>
      </c>
      <c r="T34" s="37">
        <v>0.27540277764556542</v>
      </c>
      <c r="U34" s="39">
        <v>703.8528868576085</v>
      </c>
      <c r="V34" s="39">
        <v>998.74623330045074</v>
      </c>
      <c r="W34" s="37">
        <v>0.41548205532481308</v>
      </c>
      <c r="X34" s="25">
        <v>19.780706985543606</v>
      </c>
      <c r="Y34" s="40">
        <v>16.59064185164786</v>
      </c>
      <c r="Z34" s="41">
        <v>4.5666843986870556E-2</v>
      </c>
      <c r="AA34" s="42">
        <v>6.0274943485726283E-2</v>
      </c>
      <c r="AB34" s="25">
        <v>3.5228085893358754E-2</v>
      </c>
      <c r="AC34" s="25">
        <v>4.8875944201759787E-2</v>
      </c>
      <c r="AD34" s="43">
        <v>0.75130836870589723</v>
      </c>
      <c r="AE34" s="44">
        <v>1.7549026174359155</v>
      </c>
      <c r="AF34" s="45">
        <v>1.9488625839899207</v>
      </c>
      <c r="AG34" s="33">
        <v>9376</v>
      </c>
      <c r="AH34" s="46">
        <v>8008</v>
      </c>
      <c r="AI34" s="33">
        <v>897783</v>
      </c>
      <c r="AJ34" s="46">
        <v>850309</v>
      </c>
      <c r="AK34" s="36">
        <v>12165.369199999999</v>
      </c>
      <c r="AL34" s="36">
        <v>12427087.353099998</v>
      </c>
      <c r="AM34" s="47">
        <v>5715841.9907000009</v>
      </c>
      <c r="AV34" s="31">
        <f t="shared" si="0"/>
        <v>-0.23758456887865265</v>
      </c>
      <c r="AW34" s="31">
        <f t="shared" si="1"/>
        <v>44019061350.348938</v>
      </c>
    </row>
    <row r="35" spans="1:49" x14ac:dyDescent="0.35">
      <c r="C35" t="s">
        <v>95</v>
      </c>
      <c r="E35" s="32">
        <v>567026.42857142852</v>
      </c>
      <c r="F35" s="33">
        <v>433769.14285714284</v>
      </c>
      <c r="G35" s="34">
        <v>-0.2796092900683641</v>
      </c>
      <c r="H35" s="35">
        <v>7.9428167472575639E-2</v>
      </c>
      <c r="I35" s="33">
        <v>42809</v>
      </c>
      <c r="J35" s="36">
        <v>27006</v>
      </c>
      <c r="K35" s="37">
        <v>-0.39508047373215915</v>
      </c>
      <c r="L35" s="33">
        <v>10757152.809999149</v>
      </c>
      <c r="M35" s="33">
        <v>8331151.7900001211</v>
      </c>
      <c r="N35" s="37">
        <v>-0.25869887219713705</v>
      </c>
      <c r="O35" s="37">
        <v>-0.28703364879138027</v>
      </c>
      <c r="P35" s="38">
        <v>0.4692978039046099</v>
      </c>
      <c r="Q35" s="37">
        <v>0.45145975308175879</v>
      </c>
      <c r="R35" s="39">
        <v>133.35617790652071</v>
      </c>
      <c r="S35" s="39">
        <v>169.22061986225333</v>
      </c>
      <c r="T35" s="37">
        <v>0.26687505160192693</v>
      </c>
      <c r="U35" s="39">
        <v>251.28250624866615</v>
      </c>
      <c r="V35" s="39">
        <v>308.49262349108056</v>
      </c>
      <c r="W35" s="37">
        <v>0.22545412342109827</v>
      </c>
      <c r="X35" s="25">
        <v>13.24549577358566</v>
      </c>
      <c r="Y35" s="40">
        <v>16.061954486304629</v>
      </c>
      <c r="Z35" s="41">
        <v>6.884259062092267E-2</v>
      </c>
      <c r="AA35" s="42">
        <v>6.2258923772487276E-2</v>
      </c>
      <c r="AB35" s="25">
        <v>6.6241063593747332E-2</v>
      </c>
      <c r="AC35" s="25">
        <v>4.7017997342862078E-2</v>
      </c>
      <c r="AD35" s="43">
        <v>0.80250320808012443</v>
      </c>
      <c r="AE35" s="44">
        <v>1.8845064212664218</v>
      </c>
      <c r="AF35" s="45">
        <v>1.823020289975273</v>
      </c>
      <c r="AG35" s="33">
        <v>18437</v>
      </c>
      <c r="AH35" s="46">
        <v>14206</v>
      </c>
      <c r="AI35" s="33">
        <v>897783</v>
      </c>
      <c r="AJ35" s="46">
        <v>850309</v>
      </c>
      <c r="AK35" s="36">
        <v>30679.734599999992</v>
      </c>
      <c r="AL35" s="36">
        <v>9213462.2930999994</v>
      </c>
      <c r="AM35" s="47">
        <v>4093450.2514000004</v>
      </c>
      <c r="AV35" s="31">
        <f t="shared" si="0"/>
        <v>-0.39508047373215915</v>
      </c>
      <c r="AW35" s="31">
        <f t="shared" si="1"/>
        <v>106588251665.69743</v>
      </c>
    </row>
    <row r="36" spans="1:49" x14ac:dyDescent="0.35">
      <c r="C36" t="s">
        <v>96</v>
      </c>
      <c r="E36" s="32">
        <v>67834</v>
      </c>
      <c r="F36" s="33">
        <v>66294.428571428565</v>
      </c>
      <c r="G36" s="34">
        <v>-8.0482185503266357E-2</v>
      </c>
      <c r="H36" s="35">
        <v>0.60210004952741225</v>
      </c>
      <c r="I36" s="33">
        <v>5033</v>
      </c>
      <c r="J36" s="36">
        <v>4476</v>
      </c>
      <c r="K36" s="37">
        <v>-0.15795748062785619</v>
      </c>
      <c r="L36" s="33">
        <v>2796499.9299999163</v>
      </c>
      <c r="M36" s="33">
        <v>3215624.4599999613</v>
      </c>
      <c r="N36" s="37">
        <v>8.9077609953686299E-2</v>
      </c>
      <c r="O36" s="37">
        <v>-6.3240888987864285E-2</v>
      </c>
      <c r="P36" s="38">
        <v>0.48432902696334268</v>
      </c>
      <c r="Q36" s="37">
        <v>0.41733205997567957</v>
      </c>
      <c r="R36" s="39">
        <v>286.52371150407333</v>
      </c>
      <c r="S36" s="39">
        <v>418.59724754244752</v>
      </c>
      <c r="T36" s="37">
        <v>0.46327331507375269</v>
      </c>
      <c r="U36" s="39">
        <v>555.63280945756333</v>
      </c>
      <c r="V36" s="39">
        <v>718.41475871312809</v>
      </c>
      <c r="W36" s="37">
        <v>0.29337602899879744</v>
      </c>
      <c r="X36" s="25">
        <v>13.477846214981124</v>
      </c>
      <c r="Y36" s="40">
        <v>14.811087705859823</v>
      </c>
      <c r="Z36" s="41">
        <v>6.7719728907625801E-2</v>
      </c>
      <c r="AA36" s="42">
        <v>6.7516985913489827E-2</v>
      </c>
      <c r="AB36" s="25">
        <v>7.1077921139330591E-2</v>
      </c>
      <c r="AC36" s="25">
        <v>4.5217467885794789E-2</v>
      </c>
      <c r="AD36" s="43">
        <v>0.79632375708089953</v>
      </c>
      <c r="AE36" s="44">
        <v>1.9386019522560864</v>
      </c>
      <c r="AF36" s="45">
        <v>1.7162433889159239</v>
      </c>
      <c r="AG36" s="33">
        <v>2854</v>
      </c>
      <c r="AH36" s="46">
        <v>3321</v>
      </c>
      <c r="AI36" s="33">
        <v>897783</v>
      </c>
      <c r="AJ36" s="46">
        <v>850309</v>
      </c>
      <c r="AK36" s="36">
        <v>4364.1405999999997</v>
      </c>
      <c r="AL36" s="36">
        <v>3063180.4178999993</v>
      </c>
      <c r="AM36" s="47">
        <v>1425459.4884000001</v>
      </c>
      <c r="AV36" s="31">
        <f t="shared" si="0"/>
        <v>-0.15795748062785619</v>
      </c>
      <c r="AW36" s="31">
        <f t="shared" si="1"/>
        <v>17666037712.199574</v>
      </c>
    </row>
    <row r="37" spans="1:49" x14ac:dyDescent="0.35">
      <c r="C37" t="s">
        <v>97</v>
      </c>
      <c r="E37" s="32">
        <v>74353.71428571429</v>
      </c>
      <c r="F37" s="33">
        <v>90132</v>
      </c>
      <c r="G37" s="34">
        <v>0.14122649267209231</v>
      </c>
      <c r="H37" s="35">
        <v>0.3313413049389764</v>
      </c>
      <c r="I37" s="33">
        <v>5515</v>
      </c>
      <c r="J37" s="36">
        <v>7674</v>
      </c>
      <c r="K37" s="37">
        <v>0.31804170444242974</v>
      </c>
      <c r="L37" s="33">
        <v>2042412.2400000084</v>
      </c>
      <c r="M37" s="33">
        <v>2919835.1800000696</v>
      </c>
      <c r="N37" s="37">
        <v>0.34753293487903059</v>
      </c>
      <c r="O37" s="37">
        <v>0.15464812029453912</v>
      </c>
      <c r="P37" s="38">
        <v>0.64361280463145087</v>
      </c>
      <c r="Q37" s="37">
        <v>0.55146899764391322</v>
      </c>
      <c r="R37" s="39">
        <v>131.98360290117847</v>
      </c>
      <c r="S37" s="39">
        <v>170.65892624446133</v>
      </c>
      <c r="T37" s="37">
        <v>0.28665940001729795</v>
      </c>
      <c r="U37" s="39">
        <v>370.33766817769873</v>
      </c>
      <c r="V37" s="39">
        <v>380.4841256189822</v>
      </c>
      <c r="W37" s="37">
        <v>2.2375035886346595E-2</v>
      </c>
      <c r="X37" s="25">
        <v>13.482087812459527</v>
      </c>
      <c r="Y37" s="40">
        <v>11.745113369820173</v>
      </c>
      <c r="Z37" s="41">
        <v>6.7590834918124412E-2</v>
      </c>
      <c r="AA37" s="42">
        <v>8.5141792038343767E-2</v>
      </c>
      <c r="AB37" s="25">
        <v>0.12107026548495488</v>
      </c>
      <c r="AC37" s="25">
        <v>0.11311146941855449</v>
      </c>
      <c r="AD37" s="43">
        <v>0.75489891083141869</v>
      </c>
      <c r="AE37" s="44">
        <v>2.8072944165411648</v>
      </c>
      <c r="AF37" s="45">
        <v>2.2295002903859573</v>
      </c>
      <c r="AG37" s="33">
        <v>2845</v>
      </c>
      <c r="AH37" s="46">
        <v>3984</v>
      </c>
      <c r="AI37" s="33">
        <v>897783</v>
      </c>
      <c r="AJ37" s="46">
        <v>850309</v>
      </c>
      <c r="AK37" s="36">
        <v>8233.963099999999</v>
      </c>
      <c r="AL37" s="36">
        <v>3033294.7409999999</v>
      </c>
      <c r="AM37" s="47">
        <v>1564329.8373</v>
      </c>
      <c r="AV37" s="31">
        <f t="shared" si="0"/>
        <v>0.31804170444242974</v>
      </c>
      <c r="AW37" s="31">
        <f t="shared" si="1"/>
        <v>30288019080.299271</v>
      </c>
    </row>
    <row r="38" spans="1:49" x14ac:dyDescent="0.35">
      <c r="B38" t="s">
        <v>98</v>
      </c>
      <c r="C38" t="s">
        <v>99</v>
      </c>
      <c r="E38" s="32">
        <v>455432.14285714284</v>
      </c>
      <c r="F38" s="33">
        <v>494329.57142857142</v>
      </c>
      <c r="G38" s="34">
        <v>4.0830921965793188E-3</v>
      </c>
      <c r="H38" s="35">
        <v>0.70762433269237168</v>
      </c>
      <c r="I38" s="33">
        <v>29328</v>
      </c>
      <c r="J38" s="36">
        <v>25625</v>
      </c>
      <c r="K38" s="37">
        <v>-0.17440671031096566</v>
      </c>
      <c r="L38" s="33">
        <v>3946834.9499999047</v>
      </c>
      <c r="M38" s="33">
        <v>4502294.5600000899</v>
      </c>
      <c r="N38" s="37">
        <v>7.7193334370405653E-2</v>
      </c>
      <c r="O38" s="37">
        <v>-2.5201393716797083E-2</v>
      </c>
      <c r="P38" s="38">
        <v>0.53491633593645682</v>
      </c>
      <c r="Q38" s="37">
        <v>0.48435205225667816</v>
      </c>
      <c r="R38" s="39">
        <v>62.588940943808204</v>
      </c>
      <c r="S38" s="39">
        <v>90.598983414632912</v>
      </c>
      <c r="T38" s="37">
        <v>0.44739876764993292</v>
      </c>
      <c r="U38" s="39">
        <v>134.5756597790475</v>
      </c>
      <c r="V38" s="39">
        <v>175.69929990244253</v>
      </c>
      <c r="W38" s="37">
        <v>0.30475059308698871</v>
      </c>
      <c r="X38" s="25">
        <v>15.528919219078793</v>
      </c>
      <c r="Y38" s="40">
        <v>19.290910104529615</v>
      </c>
      <c r="Z38" s="41">
        <v>5.8009650749211758E-2</v>
      </c>
      <c r="AA38" s="42">
        <v>5.1837886060398686E-2</v>
      </c>
      <c r="AB38" s="25">
        <v>7.3171708534412752E-2</v>
      </c>
      <c r="AC38" s="25">
        <v>4.5605726421678143E-2</v>
      </c>
      <c r="AD38" s="43">
        <v>0.75654837638624772</v>
      </c>
      <c r="AE38" s="44">
        <v>2.1504917519572144</v>
      </c>
      <c r="AF38" s="45">
        <v>1.9393076310618385</v>
      </c>
      <c r="AG38" s="33">
        <v>10086</v>
      </c>
      <c r="AH38" s="46">
        <v>9719</v>
      </c>
      <c r="AI38" s="33">
        <v>897783</v>
      </c>
      <c r="AJ38" s="46">
        <v>850309</v>
      </c>
      <c r="AK38" s="36">
        <v>29595.804499999998</v>
      </c>
      <c r="AL38" s="36">
        <v>5854791.031299999</v>
      </c>
      <c r="AM38" s="47">
        <v>2953774.1861999994</v>
      </c>
      <c r="AV38" s="31">
        <f>SUM(AV16:AV37)</f>
        <v>0.2853588248710005</v>
      </c>
      <c r="AW38" s="31">
        <f>SUM(AW16:AW37)</f>
        <v>1905796834668.604</v>
      </c>
    </row>
    <row r="39" spans="1:49" x14ac:dyDescent="0.35">
      <c r="C39" t="s">
        <v>100</v>
      </c>
      <c r="E39" s="32">
        <v>38123.142857142855</v>
      </c>
      <c r="F39" s="33">
        <v>57792.857142857145</v>
      </c>
      <c r="G39" s="34">
        <v>0.39734769281501325</v>
      </c>
      <c r="H39" s="35">
        <v>1.4081135390744217</v>
      </c>
      <c r="I39" s="33">
        <v>2679</v>
      </c>
      <c r="J39" s="36">
        <v>3361</v>
      </c>
      <c r="K39" s="37">
        <v>0.17506532288167231</v>
      </c>
      <c r="L39" s="33">
        <v>1347585.0000000426</v>
      </c>
      <c r="M39" s="33">
        <v>1697957.1600000234</v>
      </c>
      <c r="N39" s="37">
        <v>0.17813586527007419</v>
      </c>
      <c r="O39" s="37">
        <v>-0.11677786770957421</v>
      </c>
      <c r="P39" s="38">
        <v>0.59572771290865945</v>
      </c>
      <c r="Q39" s="37">
        <v>0.44566000711113957</v>
      </c>
      <c r="R39" s="39">
        <v>203.35620380739135</v>
      </c>
      <c r="S39" s="39">
        <v>280.04925914906357</v>
      </c>
      <c r="T39" s="37">
        <v>0.37244706858562782</v>
      </c>
      <c r="U39" s="39">
        <v>503.01791713327458</v>
      </c>
      <c r="V39" s="39">
        <v>505.19403748884957</v>
      </c>
      <c r="W39" s="37">
        <v>2.613082293052349E-3</v>
      </c>
      <c r="X39" s="25">
        <v>14.230363141897296</v>
      </c>
      <c r="Y39" s="40">
        <v>17.195137501593916</v>
      </c>
      <c r="Z39" s="41">
        <v>6.3713506414789373E-2</v>
      </c>
      <c r="AA39" s="42">
        <v>5.8155975775553079E-2</v>
      </c>
      <c r="AB39" s="25">
        <v>0.10550765775551532</v>
      </c>
      <c r="AC39" s="25">
        <v>4.2054373599729113E-2</v>
      </c>
      <c r="AD39" s="43">
        <v>0.79515292593252429</v>
      </c>
      <c r="AE39" s="44">
        <v>2.473921186495148</v>
      </c>
      <c r="AF39" s="45">
        <v>1.8039470592562676</v>
      </c>
      <c r="AG39" s="33">
        <v>2226</v>
      </c>
      <c r="AH39" s="46">
        <v>2813</v>
      </c>
      <c r="AI39" s="33">
        <v>897783</v>
      </c>
      <c r="AJ39" s="46">
        <v>850309</v>
      </c>
      <c r="AK39" s="36">
        <v>3267.2707999999998</v>
      </c>
      <c r="AL39" s="36">
        <v>1713572.4740999998</v>
      </c>
      <c r="AM39" s="47">
        <v>826476.07660000015</v>
      </c>
    </row>
    <row r="40" spans="1:49" x14ac:dyDescent="0.35">
      <c r="C40" t="s">
        <v>101</v>
      </c>
      <c r="E40" s="32">
        <v>70766.857142857145</v>
      </c>
      <c r="F40" s="33">
        <v>45685.428571428572</v>
      </c>
      <c r="G40" s="34">
        <v>-0.39296442240919882</v>
      </c>
      <c r="H40" s="35">
        <v>-6.387332424202341E-2</v>
      </c>
      <c r="I40" s="33">
        <v>2433</v>
      </c>
      <c r="J40" s="36">
        <v>1975</v>
      </c>
      <c r="K40" s="37">
        <v>-0.24290998766954375</v>
      </c>
      <c r="L40" s="33">
        <v>1181616.8300000082</v>
      </c>
      <c r="M40" s="33">
        <v>1358891.5600000063</v>
      </c>
      <c r="N40" s="37">
        <v>6.4553794481746696E-2</v>
      </c>
      <c r="O40" s="37">
        <v>-8.1094353962831267E-2</v>
      </c>
      <c r="P40" s="38">
        <v>0.48820582557207221</v>
      </c>
      <c r="Q40" s="37">
        <v>0.41827993986511047</v>
      </c>
      <c r="R40" s="39">
        <v>248.55923140156156</v>
      </c>
      <c r="S40" s="39">
        <v>400.25036962025194</v>
      </c>
      <c r="T40" s="37">
        <v>0.58962483956360812</v>
      </c>
      <c r="U40" s="39">
        <v>485.66248664200913</v>
      </c>
      <c r="V40" s="39">
        <v>688.04635949367412</v>
      </c>
      <c r="W40" s="37">
        <v>0.40611258521937543</v>
      </c>
      <c r="X40" s="25">
        <v>29.086254477129941</v>
      </c>
      <c r="Y40" s="40">
        <v>23.131862567811936</v>
      </c>
      <c r="Z40" s="41">
        <v>3.1343531607406015E-2</v>
      </c>
      <c r="AA40" s="42">
        <v>4.3230414198963098E-2</v>
      </c>
      <c r="AB40" s="25">
        <v>2.9728924302715745E-2</v>
      </c>
      <c r="AC40" s="25">
        <v>3.2264817677661026E-2</v>
      </c>
      <c r="AD40" s="43">
        <v>0.78314496455531968</v>
      </c>
      <c r="AE40" s="44">
        <v>1.9556079088424354</v>
      </c>
      <c r="AF40" s="45">
        <v>1.7190399103103295</v>
      </c>
      <c r="AG40" s="33">
        <v>1715</v>
      </c>
      <c r="AH40" s="46">
        <v>1440</v>
      </c>
      <c r="AI40" s="33">
        <v>897783</v>
      </c>
      <c r="AJ40" s="46">
        <v>850309</v>
      </c>
      <c r="AK40" s="36">
        <v>1482.6811</v>
      </c>
      <c r="AL40" s="36">
        <v>1176256.1873999999</v>
      </c>
      <c r="AM40" s="47">
        <v>492774.31519999995</v>
      </c>
    </row>
    <row r="41" spans="1:49" x14ac:dyDescent="0.35">
      <c r="C41" t="s">
        <v>102</v>
      </c>
      <c r="E41" s="32">
        <v>4536.7142857142853</v>
      </c>
      <c r="F41" s="33">
        <v>19243</v>
      </c>
      <c r="G41" s="34">
        <v>2.7706647353339426</v>
      </c>
      <c r="H41" s="35">
        <v>4.7449641830128471</v>
      </c>
      <c r="I41" s="33">
        <v>261</v>
      </c>
      <c r="J41" s="36">
        <v>579</v>
      </c>
      <c r="K41" s="37">
        <v>1.0727969348659006</v>
      </c>
      <c r="L41" s="33">
        <v>295553.81000000035</v>
      </c>
      <c r="M41" s="33">
        <v>646521.98999999929</v>
      </c>
      <c r="N41" s="37">
        <v>1.0235721204203019</v>
      </c>
      <c r="O41" s="37">
        <v>0.21081312701542076</v>
      </c>
      <c r="P41" s="38">
        <v>0.49777260526602651</v>
      </c>
      <c r="Q41" s="37">
        <v>0.30017127491672746</v>
      </c>
      <c r="R41" s="39">
        <v>568.7173180076627</v>
      </c>
      <c r="S41" s="39">
        <v>781.44155440414477</v>
      </c>
      <c r="T41" s="37">
        <v>0.36488135495021568</v>
      </c>
      <c r="U41" s="39">
        <v>1132.3900766283539</v>
      </c>
      <c r="V41" s="39">
        <v>1116.6182901554391</v>
      </c>
      <c r="W41" s="37">
        <v>-2.3748015841592029E-2</v>
      </c>
      <c r="X41" s="25">
        <v>17.382047071702242</v>
      </c>
      <c r="Y41" s="40">
        <v>33.23488773747841</v>
      </c>
      <c r="Z41" s="41">
        <v>5.5306876558416193E-2</v>
      </c>
      <c r="AA41" s="42">
        <v>3.0088863482824923E-2</v>
      </c>
      <c r="AB41" s="25">
        <v>5.4475858480308649E-2</v>
      </c>
      <c r="AC41" s="25">
        <v>1.1623142779413597E-2</v>
      </c>
      <c r="AD41" s="43">
        <v>0.76102864452992747</v>
      </c>
      <c r="AE41" s="44">
        <v>1.9930895780664482</v>
      </c>
      <c r="AF41" s="45">
        <v>1.4289210547638069</v>
      </c>
      <c r="AG41" s="33">
        <v>210</v>
      </c>
      <c r="AH41" s="46">
        <v>407</v>
      </c>
      <c r="AI41" s="33">
        <v>897783</v>
      </c>
      <c r="AJ41" s="46">
        <v>850309</v>
      </c>
      <c r="AK41" s="36">
        <v>987.60839999999996</v>
      </c>
      <c r="AL41" s="36">
        <v>1188007.6734000002</v>
      </c>
      <c r="AM41" s="47">
        <v>334815.40989999997</v>
      </c>
    </row>
    <row r="42" spans="1:49" x14ac:dyDescent="0.35">
      <c r="C42" t="s">
        <v>87</v>
      </c>
      <c r="E42" s="32">
        <v>5531.2857142857147</v>
      </c>
      <c r="F42" s="33">
        <v>10473.285714285714</v>
      </c>
      <c r="G42" s="34">
        <v>0.73204369947570935</v>
      </c>
      <c r="H42" s="35">
        <v>2.145272814301173</v>
      </c>
      <c r="I42" s="33">
        <v>190</v>
      </c>
      <c r="J42" s="36">
        <v>847</v>
      </c>
      <c r="K42" s="37">
        <v>3.2368421052631575</v>
      </c>
      <c r="L42" s="33">
        <v>42991.130000000099</v>
      </c>
      <c r="M42" s="33">
        <v>202437.71000000148</v>
      </c>
      <c r="N42" s="37">
        <v>3.4708950427681522</v>
      </c>
      <c r="O42" s="37">
        <v>0.93797090137351757</v>
      </c>
      <c r="P42" s="38">
        <v>0.56860892002606245</v>
      </c>
      <c r="Q42" s="37">
        <v>0.24853857514986555</v>
      </c>
      <c r="R42" s="39">
        <v>97.610473684210476</v>
      </c>
      <c r="S42" s="39">
        <v>179.60345926800403</v>
      </c>
      <c r="T42" s="37">
        <v>0.84323540245707163</v>
      </c>
      <c r="U42" s="39">
        <v>226.26910526315842</v>
      </c>
      <c r="V42" s="39">
        <v>239.00556080283528</v>
      </c>
      <c r="W42" s="37">
        <v>5.5242308230992299E-2</v>
      </c>
      <c r="X42" s="25">
        <v>29.11203007518797</v>
      </c>
      <c r="Y42" s="40">
        <v>12.365154326193286</v>
      </c>
      <c r="Z42" s="41">
        <v>3.1545666894745535E-2</v>
      </c>
      <c r="AA42" s="42">
        <v>8.0872423717485306E-2</v>
      </c>
      <c r="AB42" s="25">
        <v>3.9889093460891249E-2</v>
      </c>
      <c r="AC42" s="25">
        <v>2.5938514177813447E-2</v>
      </c>
      <c r="AD42" s="43">
        <v>0.80742708513584693</v>
      </c>
      <c r="AE42" s="44">
        <v>2.3194376058494033</v>
      </c>
      <c r="AF42" s="45">
        <v>1.3307402974137124</v>
      </c>
      <c r="AG42" s="33">
        <v>135</v>
      </c>
      <c r="AH42" s="46">
        <v>687</v>
      </c>
      <c r="AI42" s="33">
        <v>897783</v>
      </c>
      <c r="AJ42" s="46">
        <v>850309</v>
      </c>
      <c r="AK42" s="36">
        <v>454.76600000000008</v>
      </c>
      <c r="AL42" s="36">
        <v>123358.92609999998</v>
      </c>
      <c r="AM42" s="47">
        <v>47319.132000000005</v>
      </c>
    </row>
    <row r="43" spans="1:49" x14ac:dyDescent="0.35">
      <c r="B43" t="s">
        <v>103</v>
      </c>
      <c r="C43" t="s">
        <v>104</v>
      </c>
      <c r="E43" s="32">
        <v>83009.857142857145</v>
      </c>
      <c r="F43" s="33">
        <v>152956.85714285713</v>
      </c>
      <c r="G43" s="34">
        <v>0.71505621535480279</v>
      </c>
      <c r="H43" s="35">
        <v>1.4530337301331939</v>
      </c>
      <c r="I43" s="33">
        <v>6275</v>
      </c>
      <c r="J43" s="36">
        <v>13932</v>
      </c>
      <c r="K43" s="37">
        <v>1.103426294820717</v>
      </c>
      <c r="L43" s="33">
        <v>3696044.180000009</v>
      </c>
      <c r="M43" s="33">
        <v>9124768.2700007148</v>
      </c>
      <c r="N43" s="37">
        <v>1.3362357291953555</v>
      </c>
      <c r="O43" s="37">
        <v>1.1022425775856881</v>
      </c>
      <c r="P43" s="38">
        <v>0.66291139138926525</v>
      </c>
      <c r="Q43" s="37">
        <v>0.59679551949874754</v>
      </c>
      <c r="R43" s="39">
        <v>198.5489067729095</v>
      </c>
      <c r="S43" s="39">
        <v>264.07891544645065</v>
      </c>
      <c r="T43" s="37">
        <v>0.32945079316367254</v>
      </c>
      <c r="U43" s="39">
        <v>589.01102470119667</v>
      </c>
      <c r="V43" s="39">
        <v>654.95034955503263</v>
      </c>
      <c r="W43" s="37">
        <v>0.11068105164791686</v>
      </c>
      <c r="X43" s="25">
        <v>13.228662492885601</v>
      </c>
      <c r="Y43" s="40">
        <v>10.978815471063532</v>
      </c>
      <c r="Z43" s="41">
        <v>6.895139585857285E-2</v>
      </c>
      <c r="AA43" s="42">
        <v>9.1084507489506847E-2</v>
      </c>
      <c r="AB43" s="25">
        <v>0.13322568596270271</v>
      </c>
      <c r="AC43" s="25">
        <v>0.12364113352633899</v>
      </c>
      <c r="AD43" s="43">
        <v>0.77235755885953705</v>
      </c>
      <c r="AE43" s="44">
        <v>2.9609816474464314</v>
      </c>
      <c r="AF43" s="45">
        <v>2.480131170062466</v>
      </c>
      <c r="AG43" s="33">
        <v>4780</v>
      </c>
      <c r="AH43" s="46">
        <v>9935</v>
      </c>
      <c r="AI43" s="33">
        <v>897783</v>
      </c>
      <c r="AJ43" s="46">
        <v>850309</v>
      </c>
      <c r="AK43" s="36">
        <v>7932.8087999999989</v>
      </c>
      <c r="AL43" s="36">
        <v>4868181.2634000005</v>
      </c>
      <c r="AM43" s="47">
        <v>2901891.3796000001</v>
      </c>
    </row>
    <row r="44" spans="1:49" x14ac:dyDescent="0.35">
      <c r="C44" t="s">
        <v>105</v>
      </c>
      <c r="E44" s="32">
        <v>136092.57142857142</v>
      </c>
      <c r="F44" s="33">
        <v>117421.71428571429</v>
      </c>
      <c r="G44" s="34">
        <v>-0.17938000184748193</v>
      </c>
      <c r="H44" s="35">
        <v>4.2150220876080891E-2</v>
      </c>
      <c r="I44" s="33">
        <v>5579</v>
      </c>
      <c r="J44" s="36">
        <v>3786</v>
      </c>
      <c r="K44" s="37">
        <v>-0.34576088904821656</v>
      </c>
      <c r="L44" s="33">
        <v>3640286.9200000111</v>
      </c>
      <c r="M44" s="33">
        <v>2688520.6999999802</v>
      </c>
      <c r="N44" s="37">
        <v>-0.29183194988378269</v>
      </c>
      <c r="O44" s="37">
        <v>-0.34049244109902221</v>
      </c>
      <c r="P44" s="38">
        <v>0.5927116261484151</v>
      </c>
      <c r="Q44" s="37">
        <v>0.55261674570703412</v>
      </c>
      <c r="R44" s="39">
        <v>265.75489155762659</v>
      </c>
      <c r="S44" s="39">
        <v>317.69655044902112</v>
      </c>
      <c r="T44" s="37">
        <v>0.19066842777376802</v>
      </c>
      <c r="U44" s="39">
        <v>652.49810360279821</v>
      </c>
      <c r="V44" s="39">
        <v>710.1216851558321</v>
      </c>
      <c r="W44" s="37">
        <v>8.2430014136541496E-2</v>
      </c>
      <c r="X44" s="25">
        <v>24.393721353033055</v>
      </c>
      <c r="Y44" s="40">
        <v>31.014715870500339</v>
      </c>
      <c r="Z44" s="41">
        <v>3.7811038155553478E-2</v>
      </c>
      <c r="AA44" s="42">
        <v>3.2242758701238029E-2</v>
      </c>
      <c r="AB44" s="25">
        <v>5.4573557290123607E-2</v>
      </c>
      <c r="AC44" s="25">
        <v>3.7165590989672585E-2</v>
      </c>
      <c r="AD44" s="43">
        <v>0.7665431459023655</v>
      </c>
      <c r="AE44" s="44">
        <v>2.4551342671272609</v>
      </c>
      <c r="AF44" s="45">
        <v>2.2352200052287983</v>
      </c>
      <c r="AG44" s="33">
        <v>4301</v>
      </c>
      <c r="AH44" s="46">
        <v>2820</v>
      </c>
      <c r="AI44" s="33">
        <v>897783</v>
      </c>
      <c r="AJ44" s="46">
        <v>850309</v>
      </c>
      <c r="AK44" s="36">
        <v>5277.7218999999996</v>
      </c>
      <c r="AL44" s="36">
        <v>4047837.4190000002</v>
      </c>
      <c r="AM44" s="47">
        <v>2285821.7222000002</v>
      </c>
    </row>
    <row r="45" spans="1:49" x14ac:dyDescent="0.35">
      <c r="C45" t="s">
        <v>106</v>
      </c>
      <c r="E45" s="32">
        <v>28482.857142857141</v>
      </c>
      <c r="F45" s="33">
        <v>32298.428571428572</v>
      </c>
      <c r="G45" s="34">
        <v>3.5249272745511151E-2</v>
      </c>
      <c r="H45" s="35">
        <v>0.61296681426683675</v>
      </c>
      <c r="I45" s="33">
        <v>949</v>
      </c>
      <c r="J45" s="36">
        <v>2154</v>
      </c>
      <c r="K45" s="37">
        <v>1.1127502634351951</v>
      </c>
      <c r="L45" s="33">
        <v>270299.73000000138</v>
      </c>
      <c r="M45" s="33">
        <v>697217.63999999361</v>
      </c>
      <c r="N45" s="37">
        <v>1.3768240538012684</v>
      </c>
      <c r="O45" s="37">
        <v>-9.1919249823366411E-2</v>
      </c>
      <c r="P45" s="38">
        <v>0.40529348660466941</v>
      </c>
      <c r="Q45" s="37">
        <v>0.1578046705760269</v>
      </c>
      <c r="R45" s="39">
        <v>169.38778714436256</v>
      </c>
      <c r="S45" s="39">
        <v>272.60605385329603</v>
      </c>
      <c r="T45" s="37">
        <v>0.59875738167323433</v>
      </c>
      <c r="U45" s="39">
        <v>284.82584826132916</v>
      </c>
      <c r="V45" s="39">
        <v>323.68506963788002</v>
      </c>
      <c r="W45" s="37">
        <v>0.12499053718573783</v>
      </c>
      <c r="X45" s="25">
        <v>30.013548095739875</v>
      </c>
      <c r="Y45" s="40">
        <v>14.994627934739356</v>
      </c>
      <c r="Z45" s="41">
        <v>3.0501632902199628E-2</v>
      </c>
      <c r="AA45" s="42">
        <v>6.6690551066173054E-2</v>
      </c>
      <c r="AB45" s="25">
        <v>2.0564062788342642E-2</v>
      </c>
      <c r="AC45" s="25">
        <v>1.2658366204489459E-2</v>
      </c>
      <c r="AD45" s="43">
        <v>0.86505347403322508</v>
      </c>
      <c r="AE45" s="44">
        <v>1.6806231023449016</v>
      </c>
      <c r="AF45" s="45">
        <v>1.1873730060744445</v>
      </c>
      <c r="AG45" s="33">
        <v>518</v>
      </c>
      <c r="AH45" s="46">
        <v>1564</v>
      </c>
      <c r="AI45" s="33">
        <v>897783</v>
      </c>
      <c r="AJ45" s="46">
        <v>850309</v>
      </c>
      <c r="AK45" s="36"/>
      <c r="AL45" s="36"/>
      <c r="AM45" s="47"/>
    </row>
    <row r="46" spans="1:49" x14ac:dyDescent="0.35">
      <c r="A46" t="s">
        <v>107</v>
      </c>
      <c r="E46" s="32">
        <v>1806022.7142857143</v>
      </c>
      <c r="F46" s="33">
        <v>1705432.142857143</v>
      </c>
      <c r="G46" s="34">
        <v>-0.11904517258484093</v>
      </c>
      <c r="H46" s="35">
        <v>0.2633828447194686</v>
      </c>
      <c r="I46" s="33">
        <v>114945</v>
      </c>
      <c r="J46" s="36">
        <v>102568</v>
      </c>
      <c r="K46" s="37">
        <v>-0.15264691809126107</v>
      </c>
      <c r="L46" s="33">
        <v>39796609.539990172</v>
      </c>
      <c r="M46" s="33">
        <v>46524237.759992182</v>
      </c>
      <c r="N46" s="37">
        <v>0.10733969374224928</v>
      </c>
      <c r="O46" s="37">
        <v>6.957853155085747E-2</v>
      </c>
      <c r="P46" s="38">
        <v>0.51026282049442429</v>
      </c>
      <c r="Q46" s="37">
        <v>0.49282440624334634</v>
      </c>
      <c r="R46" s="39">
        <v>169.55830449344882</v>
      </c>
      <c r="S46" s="39">
        <v>230.05184765228688</v>
      </c>
      <c r="T46" s="37">
        <v>0.35325345360598925</v>
      </c>
      <c r="U46" s="39">
        <v>346.22305920214166</v>
      </c>
      <c r="V46" s="39">
        <v>453.59408158482353</v>
      </c>
      <c r="W46" s="37">
        <v>0.30682205255909034</v>
      </c>
      <c r="X46" s="25">
        <v>15.712059804999907</v>
      </c>
      <c r="Y46" s="40">
        <v>16.627331554258081</v>
      </c>
      <c r="Z46" s="41">
        <v>5.7824560723772782E-2</v>
      </c>
      <c r="AA46" s="42">
        <v>6.014194140152998E-2</v>
      </c>
      <c r="AB46" s="25">
        <v>5.8335530896888484E-2</v>
      </c>
      <c r="AC46" s="25">
        <v>5.3365703936375117E-2</v>
      </c>
      <c r="AD46" s="43">
        <v>0.77659102973401184</v>
      </c>
      <c r="AE46" s="44">
        <v>2.0414288543200771</v>
      </c>
      <c r="AF46" s="45">
        <v>1.9717037103323369</v>
      </c>
      <c r="AG46" s="33">
        <v>43157</v>
      </c>
      <c r="AH46" s="46">
        <v>45232</v>
      </c>
      <c r="AI46" s="33">
        <v>897783</v>
      </c>
      <c r="AJ46" s="46">
        <v>850309</v>
      </c>
      <c r="AK46" s="36">
        <v>104441.86900000008</v>
      </c>
      <c r="AL46" s="36">
        <v>46709029.779800028</v>
      </c>
      <c r="AM46" s="47">
        <v>22641953.789499998</v>
      </c>
    </row>
    <row r="47" spans="1:49" x14ac:dyDescent="0.35">
      <c r="A47" t="s">
        <v>108</v>
      </c>
      <c r="E47" s="48">
        <v>5704501.1428571427</v>
      </c>
      <c r="F47" s="49">
        <v>5765290.7142857146</v>
      </c>
      <c r="G47" s="50">
        <v>-5.6661020665685902E-2</v>
      </c>
      <c r="H47" s="51">
        <v>0.56046120986162107</v>
      </c>
      <c r="I47" s="49">
        <v>341995</v>
      </c>
      <c r="J47" s="52">
        <v>318847</v>
      </c>
      <c r="K47" s="53">
        <v>-0.11812453398441503</v>
      </c>
      <c r="L47" s="49">
        <v>82167087.920000091</v>
      </c>
      <c r="M47" s="49">
        <v>107046234.81999978</v>
      </c>
      <c r="N47" s="53">
        <v>0.23081626293565582</v>
      </c>
      <c r="O47" s="53">
        <v>0.14937174470101411</v>
      </c>
      <c r="P47" s="54">
        <v>0.50982434245188168</v>
      </c>
      <c r="Q47" s="53">
        <v>0.47594998708428088</v>
      </c>
      <c r="R47" s="55">
        <v>117.7686993961902</v>
      </c>
      <c r="S47" s="55">
        <v>175.93886955185405</v>
      </c>
      <c r="T47" s="53">
        <v>0.49173611731805456</v>
      </c>
      <c r="U47" s="55">
        <v>240.25815558707018</v>
      </c>
      <c r="V47" s="55">
        <v>335.7291579346828</v>
      </c>
      <c r="W47" s="53">
        <v>0.3956803543890679</v>
      </c>
      <c r="X47" s="56">
        <v>16.680071763789361</v>
      </c>
      <c r="Y47" s="57">
        <v>18.081684049985462</v>
      </c>
      <c r="Z47" s="58">
        <v>5.4712858643674825E-2</v>
      </c>
      <c r="AA47" s="59">
        <v>5.5304583203399357E-2</v>
      </c>
      <c r="AB47" s="25">
        <v>5.9526658630771383E-2</v>
      </c>
      <c r="AC47" s="25">
        <v>4.7361445338398526E-2</v>
      </c>
      <c r="AD47" s="60">
        <v>0.75858666890817716</v>
      </c>
      <c r="AE47" s="61">
        <v>2.0403151290352621</v>
      </c>
      <c r="AF47" s="62">
        <v>1.9082148179639986</v>
      </c>
      <c r="AG47" s="49">
        <v>113399</v>
      </c>
      <c r="AH47" s="63">
        <v>119205</v>
      </c>
      <c r="AI47" s="49">
        <v>897783</v>
      </c>
      <c r="AJ47" s="63">
        <v>850309</v>
      </c>
      <c r="AK47" s="52">
        <v>335860.00710000005</v>
      </c>
      <c r="AL47" s="52">
        <v>117510294.93139999</v>
      </c>
      <c r="AM47" s="64">
        <v>56251913.361299992</v>
      </c>
    </row>
    <row r="48" spans="1:49" x14ac:dyDescent="0.35"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8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</sheetData>
  <mergeCells count="13">
    <mergeCell ref="S13:U13"/>
    <mergeCell ref="C13:F13"/>
    <mergeCell ref="G13:I13"/>
    <mergeCell ref="J13:L13"/>
    <mergeCell ref="N13:O13"/>
    <mergeCell ref="P13:R13"/>
    <mergeCell ref="AI13:AK13"/>
    <mergeCell ref="V13:W13"/>
    <mergeCell ref="X13:Y13"/>
    <mergeCell ref="Z13:AA13"/>
    <mergeCell ref="AC13:AD13"/>
    <mergeCell ref="AE13:AF13"/>
    <mergeCell ref="AG13:AH13"/>
  </mergeCells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1CC1E-9254-4FD1-BE71-F689907B013F}">
  <sheetPr>
    <tabColor rgb="FFFF0000"/>
  </sheetPr>
  <dimension ref="A2:AF646"/>
  <sheetViews>
    <sheetView showGridLines="0" tabSelected="1" zoomScale="85" zoomScaleNormal="85" workbookViewId="0">
      <selection activeCell="B11" sqref="B11"/>
    </sheetView>
  </sheetViews>
  <sheetFormatPr defaultColWidth="22.54296875" defaultRowHeight="14.5" x14ac:dyDescent="0.35"/>
  <cols>
    <col min="1" max="1" width="26.81640625" customWidth="1"/>
    <col min="2" max="2" width="24.453125" bestFit="1" customWidth="1"/>
    <col min="3" max="3" width="10.54296875" customWidth="1"/>
    <col min="4" max="4" width="11.54296875" customWidth="1"/>
    <col min="5" max="6" width="9" bestFit="1" customWidth="1"/>
    <col min="7" max="7" width="10.453125" bestFit="1" customWidth="1"/>
    <col min="8" max="8" width="10" bestFit="1" customWidth="1"/>
    <col min="9" max="10" width="11.453125" bestFit="1" customWidth="1"/>
    <col min="11" max="11" width="10.81640625" customWidth="1"/>
    <col min="12" max="12" width="9.54296875" bestFit="1" customWidth="1"/>
    <col min="13" max="13" width="9.453125" bestFit="1" customWidth="1"/>
    <col min="14" max="14" width="8" bestFit="1" customWidth="1"/>
    <col min="15" max="16" width="8.26953125" bestFit="1" customWidth="1"/>
    <col min="17" max="17" width="12.54296875" customWidth="1"/>
    <col min="18" max="18" width="8.7265625" bestFit="1" customWidth="1"/>
    <col min="19" max="21" width="9.453125" bestFit="1" customWidth="1"/>
    <col min="22" max="22" width="8.1796875" bestFit="1" customWidth="1"/>
    <col min="23" max="24" width="9.1796875" bestFit="1" customWidth="1"/>
    <col min="25" max="25" width="10.26953125" bestFit="1" customWidth="1"/>
    <col min="26" max="26" width="9.81640625" bestFit="1" customWidth="1"/>
    <col min="27" max="27" width="8.1796875" bestFit="1" customWidth="1"/>
    <col min="28" max="28" width="8.26953125" customWidth="1"/>
    <col min="29" max="29" width="8.7265625" customWidth="1"/>
    <col min="30" max="32" width="14.1796875" customWidth="1"/>
  </cols>
  <sheetData>
    <row r="2" spans="1:32" x14ac:dyDescent="0.35">
      <c r="A2" s="132" t="s">
        <v>0</v>
      </c>
      <c r="B2" t="s" vm="6">
        <v>1</v>
      </c>
    </row>
    <row r="3" spans="1:32" x14ac:dyDescent="0.35">
      <c r="A3" s="133" t="s">
        <v>109</v>
      </c>
      <c r="B3" t="s" vm="7">
        <v>3</v>
      </c>
    </row>
    <row r="4" spans="1:32" x14ac:dyDescent="0.35">
      <c r="A4" s="132" t="s">
        <v>832</v>
      </c>
      <c r="B4" t="s" vm="28">
        <v>140</v>
      </c>
    </row>
    <row r="5" spans="1:32" x14ac:dyDescent="0.35">
      <c r="A5" s="132" t="s">
        <v>110</v>
      </c>
      <c r="B5" t="s" vm="8">
        <v>3</v>
      </c>
    </row>
    <row r="6" spans="1:32" x14ac:dyDescent="0.35">
      <c r="A6" s="132" t="s">
        <v>111</v>
      </c>
      <c r="B6" t="s" vm="9">
        <v>112</v>
      </c>
    </row>
    <row r="7" spans="1:32" x14ac:dyDescent="0.35">
      <c r="A7" s="132" t="s">
        <v>4</v>
      </c>
      <c r="B7" t="s" vm="29">
        <v>5</v>
      </c>
    </row>
    <row r="8" spans="1:32" x14ac:dyDescent="0.35">
      <c r="A8" s="133" t="s">
        <v>113</v>
      </c>
      <c r="B8" t="s" vm="27">
        <v>200</v>
      </c>
    </row>
    <row r="9" spans="1:32" x14ac:dyDescent="0.35">
      <c r="A9" s="132" t="s">
        <v>114</v>
      </c>
      <c r="B9" t="s" vm="10">
        <v>3</v>
      </c>
    </row>
    <row r="10" spans="1:32" x14ac:dyDescent="0.35">
      <c r="A10" s="132" t="s">
        <v>756</v>
      </c>
      <c r="B10" t="s" vm="25">
        <v>3</v>
      </c>
    </row>
    <row r="11" spans="1:32" x14ac:dyDescent="0.35">
      <c r="A11" s="132" t="s">
        <v>7</v>
      </c>
      <c r="B11" t="s" vm="26">
        <v>857</v>
      </c>
    </row>
    <row r="12" spans="1:32" x14ac:dyDescent="0.35">
      <c r="C12" s="65" t="s">
        <v>115</v>
      </c>
      <c r="D12" s="66"/>
      <c r="E12" s="67" t="s">
        <v>116</v>
      </c>
      <c r="F12" s="68"/>
      <c r="G12" s="65" t="s">
        <v>117</v>
      </c>
      <c r="H12" s="66"/>
      <c r="I12" s="67" t="s">
        <v>118</v>
      </c>
      <c r="J12" s="68"/>
      <c r="K12" s="65" t="s">
        <v>119</v>
      </c>
      <c r="L12" s="66"/>
      <c r="M12" s="67" t="s">
        <v>120</v>
      </c>
      <c r="N12" s="68"/>
      <c r="O12" s="65" t="s">
        <v>121</v>
      </c>
      <c r="P12" s="66"/>
      <c r="Q12" s="67" t="s">
        <v>122</v>
      </c>
      <c r="R12" s="68"/>
      <c r="S12" s="65" t="s">
        <v>123</v>
      </c>
      <c r="T12" s="66"/>
      <c r="U12" s="67" t="s">
        <v>124</v>
      </c>
      <c r="V12" s="69"/>
      <c r="W12" s="69"/>
      <c r="X12" s="68"/>
      <c r="Y12" s="145" t="s">
        <v>833</v>
      </c>
      <c r="Z12" s="146"/>
      <c r="AA12" s="146"/>
      <c r="AB12" s="146"/>
      <c r="AC12" s="146"/>
    </row>
    <row r="13" spans="1:32" x14ac:dyDescent="0.35">
      <c r="C13" s="132" t="s">
        <v>24</v>
      </c>
    </row>
    <row r="14" spans="1:32" ht="87" x14ac:dyDescent="0.35">
      <c r="A14" s="132" t="s">
        <v>125</v>
      </c>
      <c r="B14" s="132" t="s">
        <v>229</v>
      </c>
      <c r="C14" s="2" t="s">
        <v>58</v>
      </c>
      <c r="D14" s="2" t="s">
        <v>57</v>
      </c>
      <c r="E14" s="70" t="s">
        <v>34</v>
      </c>
      <c r="F14" s="2" t="s">
        <v>33</v>
      </c>
      <c r="G14" s="71" t="s">
        <v>126</v>
      </c>
      <c r="H14" s="2" t="s">
        <v>127</v>
      </c>
      <c r="I14" s="70" t="s">
        <v>128</v>
      </c>
      <c r="J14" s="70" t="s">
        <v>129</v>
      </c>
      <c r="K14" s="2" t="s">
        <v>30</v>
      </c>
      <c r="L14" s="2" t="s">
        <v>29</v>
      </c>
      <c r="M14" s="2" t="s">
        <v>130</v>
      </c>
      <c r="N14" s="2" t="s">
        <v>131</v>
      </c>
      <c r="O14" s="2" t="s">
        <v>132</v>
      </c>
      <c r="P14" s="2" t="s">
        <v>133</v>
      </c>
      <c r="Q14" s="2" t="s">
        <v>134</v>
      </c>
      <c r="R14" s="2" t="s">
        <v>135</v>
      </c>
      <c r="S14" s="2" t="s">
        <v>136</v>
      </c>
      <c r="T14" s="2" t="s">
        <v>137</v>
      </c>
      <c r="U14" s="2" t="s">
        <v>31</v>
      </c>
      <c r="V14" s="2" t="s">
        <v>35</v>
      </c>
      <c r="W14" s="2" t="s">
        <v>138</v>
      </c>
      <c r="X14" s="2" t="s">
        <v>139</v>
      </c>
      <c r="Y14" s="2" t="s">
        <v>224</v>
      </c>
      <c r="Z14" s="2" t="s">
        <v>225</v>
      </c>
      <c r="AA14" s="2" t="s">
        <v>226</v>
      </c>
      <c r="AB14" s="2" t="s">
        <v>227</v>
      </c>
      <c r="AC14" s="2" t="s">
        <v>228</v>
      </c>
      <c r="AD14" s="144" t="s">
        <v>834</v>
      </c>
      <c r="AE14" s="144" t="s">
        <v>858</v>
      </c>
      <c r="AF14" s="144" t="s">
        <v>859</v>
      </c>
    </row>
    <row r="15" spans="1:32" x14ac:dyDescent="0.35">
      <c r="A15" t="s">
        <v>203</v>
      </c>
      <c r="B15" t="s">
        <v>277</v>
      </c>
      <c r="C15" s="31">
        <v>3838</v>
      </c>
      <c r="D15" s="31">
        <v>2391</v>
      </c>
      <c r="E15" s="72">
        <v>5426</v>
      </c>
      <c r="F15" s="31">
        <v>3656</v>
      </c>
      <c r="G15" s="73">
        <v>2629971.0899999086</v>
      </c>
      <c r="H15" s="31">
        <v>1014382.7699999987</v>
      </c>
      <c r="I15" s="72">
        <v>1671426.5399999982</v>
      </c>
      <c r="J15" s="72">
        <v>553548.16999999341</v>
      </c>
      <c r="K15" s="31">
        <v>67776.71428571429</v>
      </c>
      <c r="L15" s="31">
        <v>34660.428571428572</v>
      </c>
      <c r="M15" s="74">
        <v>12.491101047864779</v>
      </c>
      <c r="N15" s="74">
        <v>9.6181303982267057</v>
      </c>
      <c r="O15" s="75">
        <v>484.6979524511442</v>
      </c>
      <c r="P15" s="75">
        <v>277.45699398249417</v>
      </c>
      <c r="Q15" s="76">
        <v>0.63553038524087213</v>
      </c>
      <c r="R15" s="76">
        <v>0.53293421077510883</v>
      </c>
      <c r="S15" s="31">
        <v>15563.142857142857</v>
      </c>
      <c r="T15" s="31"/>
      <c r="U15" s="76">
        <v>0.90094508764626613</v>
      </c>
      <c r="V15" s="76">
        <v>0.43216630196936534</v>
      </c>
      <c r="W15" s="76">
        <v>1.5018768112553054</v>
      </c>
      <c r="X15" s="76">
        <v>1.9828284988888805</v>
      </c>
      <c r="Y15" s="76">
        <v>-3.1590141203230782E-2</v>
      </c>
      <c r="Z15" s="76">
        <v>-2.6140664898639421E-2</v>
      </c>
      <c r="AA15" s="76">
        <v>-4.421349304209965E-2</v>
      </c>
      <c r="AB15" s="76">
        <v>2.5705679809715054E-2</v>
      </c>
      <c r="AC15" s="76">
        <v>7.31535466789075E-2</v>
      </c>
      <c r="AD15" s="142">
        <v>-0.13099368517807056</v>
      </c>
      <c r="AE15" s="142">
        <v>0.28730160670987293</v>
      </c>
      <c r="AF15" s="142">
        <v>0.67668325436845056</v>
      </c>
    </row>
    <row r="16" spans="1:32" x14ac:dyDescent="0.35">
      <c r="A16" t="s">
        <v>203</v>
      </c>
      <c r="B16" t="s">
        <v>278</v>
      </c>
      <c r="C16" s="31">
        <v>3448</v>
      </c>
      <c r="D16" s="31">
        <v>2874</v>
      </c>
      <c r="E16" s="72">
        <v>4803</v>
      </c>
      <c r="F16" s="31">
        <v>3724</v>
      </c>
      <c r="G16" s="73">
        <v>2059352.3799999736</v>
      </c>
      <c r="H16" s="31">
        <v>778067.05999999482</v>
      </c>
      <c r="I16" s="72">
        <v>1281002.3399999933</v>
      </c>
      <c r="J16" s="72">
        <v>274755.57999999536</v>
      </c>
      <c r="K16" s="31">
        <v>57445.571428571428</v>
      </c>
      <c r="L16" s="31">
        <v>65632.571428571435</v>
      </c>
      <c r="M16" s="74">
        <v>11.960352160851848</v>
      </c>
      <c r="N16" s="74">
        <v>17.795843337334937</v>
      </c>
      <c r="O16" s="75">
        <v>428.76376847802908</v>
      </c>
      <c r="P16" s="75">
        <v>208.93315252416616</v>
      </c>
      <c r="Q16" s="76">
        <v>0.62204135263145677</v>
      </c>
      <c r="R16" s="76">
        <v>0.34646345796445455</v>
      </c>
      <c r="S16" s="31">
        <v>21042.571428571428</v>
      </c>
      <c r="T16" s="31"/>
      <c r="U16" s="76">
        <v>-0.15294670764515883</v>
      </c>
      <c r="V16" s="76">
        <v>0.25241675617615478</v>
      </c>
      <c r="W16" s="76">
        <v>1.5713072469614464</v>
      </c>
      <c r="X16" s="76">
        <v>3.6200183164880508</v>
      </c>
      <c r="Y16" s="76">
        <v>0.14744306062635104</v>
      </c>
      <c r="Z16" s="76">
        <v>0.1119194567032773</v>
      </c>
      <c r="AA16" s="76">
        <v>0.19151575291490941</v>
      </c>
      <c r="AB16" s="76">
        <v>0.57447062763010126</v>
      </c>
      <c r="AC16" s="76">
        <v>0.32140143659732212</v>
      </c>
      <c r="AD16" s="142">
        <v>-8.6538087567543748E-2</v>
      </c>
      <c r="AE16" s="142">
        <v>0.42613217923240049</v>
      </c>
      <c r="AF16" s="142">
        <v>1.0342200770459922</v>
      </c>
    </row>
    <row r="17" spans="1:32" x14ac:dyDescent="0.35">
      <c r="A17" t="s">
        <v>203</v>
      </c>
      <c r="B17" t="s">
        <v>276</v>
      </c>
      <c r="C17" s="31">
        <v>1401</v>
      </c>
      <c r="D17" s="31">
        <v>1667</v>
      </c>
      <c r="E17" s="72">
        <v>1557</v>
      </c>
      <c r="F17" s="31">
        <v>1913</v>
      </c>
      <c r="G17" s="73">
        <v>1480764.9500000281</v>
      </c>
      <c r="H17" s="31">
        <v>1066827.6600000232</v>
      </c>
      <c r="I17" s="72">
        <v>849319.61000000313</v>
      </c>
      <c r="J17" s="72">
        <v>402359.26000002457</v>
      </c>
      <c r="K17" s="31">
        <v>23075</v>
      </c>
      <c r="L17" s="31">
        <v>47925.857142857145</v>
      </c>
      <c r="M17" s="74">
        <v>14.820166987797046</v>
      </c>
      <c r="N17" s="74">
        <v>25.544560270151223</v>
      </c>
      <c r="O17" s="75">
        <v>951.0372190109365</v>
      </c>
      <c r="P17" s="75">
        <v>557.67258755882028</v>
      </c>
      <c r="Q17" s="76">
        <v>0.57356814800349443</v>
      </c>
      <c r="R17" s="76">
        <v>0.37167313436321203</v>
      </c>
      <c r="S17" s="31">
        <v>9061.8571428571431</v>
      </c>
      <c r="T17" s="31"/>
      <c r="U17" s="76">
        <v>-0.53673084317740805</v>
      </c>
      <c r="V17" s="76">
        <v>-0.22477783585990596</v>
      </c>
      <c r="W17" s="76">
        <v>0.32159656415357163</v>
      </c>
      <c r="X17" s="76">
        <v>1.0402223269292334</v>
      </c>
      <c r="Y17" s="76">
        <v>1.6857597113140166E-4</v>
      </c>
      <c r="Z17" s="76">
        <v>-6.5379978842226016E-3</v>
      </c>
      <c r="AA17" s="76">
        <v>-5.5218446601941751E-2</v>
      </c>
      <c r="AB17" s="76">
        <v>3.6109980219982685E-2</v>
      </c>
      <c r="AC17" s="76">
        <v>9.6666183302846376E-2</v>
      </c>
      <c r="AD17" s="142">
        <v>-3.2406490197165343E-2</v>
      </c>
      <c r="AE17" s="142">
        <v>0.31831293476563199</v>
      </c>
      <c r="AF17" s="142">
        <v>0.70823704103496732</v>
      </c>
    </row>
    <row r="18" spans="1:32" x14ac:dyDescent="0.35">
      <c r="A18" t="s">
        <v>203</v>
      </c>
      <c r="B18" t="s">
        <v>280</v>
      </c>
      <c r="C18" s="31">
        <v>1721</v>
      </c>
      <c r="D18" s="31">
        <v>3186</v>
      </c>
      <c r="E18" s="72">
        <v>4549</v>
      </c>
      <c r="F18" s="31">
        <v>7545</v>
      </c>
      <c r="G18" s="73">
        <v>1195107.8699999808</v>
      </c>
      <c r="H18" s="31">
        <v>1029420.9699999915</v>
      </c>
      <c r="I18" s="72">
        <v>698266.90999999479</v>
      </c>
      <c r="J18" s="72">
        <v>401765.0099999957</v>
      </c>
      <c r="K18" s="31">
        <v>47427.714285714283</v>
      </c>
      <c r="L18" s="31">
        <v>79075.28571428571</v>
      </c>
      <c r="M18" s="74">
        <v>10.425964890242753</v>
      </c>
      <c r="N18" s="74">
        <v>10.552666568178459</v>
      </c>
      <c r="O18" s="75">
        <v>262.71881072762824</v>
      </c>
      <c r="P18" s="75">
        <v>136.43750430748727</v>
      </c>
      <c r="Q18" s="76">
        <v>0.58427103320807849</v>
      </c>
      <c r="R18" s="76">
        <v>0.38159452626118429</v>
      </c>
      <c r="S18" s="31">
        <v>13677.428571428571</v>
      </c>
      <c r="T18" s="31"/>
      <c r="U18" s="76">
        <v>-0.41943934080903011</v>
      </c>
      <c r="V18" s="76">
        <v>-0.41868787276341946</v>
      </c>
      <c r="W18" s="76">
        <v>0.12729048058928827</v>
      </c>
      <c r="X18" s="76">
        <v>0.72835058294314003</v>
      </c>
      <c r="Y18" s="76">
        <v>-4.5908404593076768E-2</v>
      </c>
      <c r="Z18" s="76">
        <v>-4.720988164525719E-2</v>
      </c>
      <c r="AA18" s="76">
        <v>0.12404250061774147</v>
      </c>
      <c r="AB18" s="76">
        <v>-4.484759852964082E-2</v>
      </c>
      <c r="AC18" s="76">
        <v>-0.15025241399196665</v>
      </c>
      <c r="AD18" s="142">
        <v>-0.10130829677158884</v>
      </c>
      <c r="AE18" s="142">
        <v>-0.20281611419746096</v>
      </c>
      <c r="AF18" s="142">
        <v>-0.1283512021199962</v>
      </c>
    </row>
    <row r="19" spans="1:32" x14ac:dyDescent="0.35">
      <c r="A19" t="s">
        <v>203</v>
      </c>
      <c r="B19" t="s">
        <v>281</v>
      </c>
      <c r="C19" s="31">
        <v>1312</v>
      </c>
      <c r="D19" s="31">
        <v>949</v>
      </c>
      <c r="E19" s="72">
        <v>1445</v>
      </c>
      <c r="F19" s="31">
        <v>1078</v>
      </c>
      <c r="G19" s="73">
        <v>1137879.7599999793</v>
      </c>
      <c r="H19" s="31">
        <v>479832.7899999987</v>
      </c>
      <c r="I19" s="72">
        <v>672181.86000000057</v>
      </c>
      <c r="J19" s="72">
        <v>211389.90999999881</v>
      </c>
      <c r="K19" s="31">
        <v>23184.714285714286</v>
      </c>
      <c r="L19" s="31">
        <v>17550.285714285714</v>
      </c>
      <c r="M19" s="74">
        <v>16.044784972812653</v>
      </c>
      <c r="N19" s="74">
        <v>16.516295246682983</v>
      </c>
      <c r="O19" s="75">
        <v>787.46004152247701</v>
      </c>
      <c r="P19" s="75">
        <v>445.11390538033277</v>
      </c>
      <c r="Q19" s="76">
        <v>0.59073188892999806</v>
      </c>
      <c r="R19" s="76">
        <v>0.42671682033074354</v>
      </c>
      <c r="S19" s="31">
        <v>3178.2857142857142</v>
      </c>
      <c r="T19" s="31"/>
      <c r="U19" s="76">
        <v>0.28382118321232053</v>
      </c>
      <c r="V19" s="76">
        <v>0.29684601113172548</v>
      </c>
      <c r="W19" s="76">
        <v>1.2856593022748353</v>
      </c>
      <c r="X19" s="76">
        <v>2.1422022484148218</v>
      </c>
      <c r="Y19" s="76">
        <v>2.8680989089036713E-2</v>
      </c>
      <c r="Z19" s="76">
        <v>-1.5678259076407963E-2</v>
      </c>
      <c r="AA19" s="76">
        <v>-9.856519026824706E-2</v>
      </c>
      <c r="AB19" s="76">
        <v>4.4169686437558697E-2</v>
      </c>
      <c r="AC19" s="76">
        <v>0.15834187360512564</v>
      </c>
      <c r="AD19" s="142">
        <v>-0.31459591943139059</v>
      </c>
      <c r="AE19" s="142">
        <v>6.4370376388327141E-2</v>
      </c>
      <c r="AF19" s="142">
        <v>0.41002004776005191</v>
      </c>
    </row>
    <row r="20" spans="1:32" x14ac:dyDescent="0.35">
      <c r="A20" t="s">
        <v>203</v>
      </c>
      <c r="B20" t="s">
        <v>285</v>
      </c>
      <c r="C20" s="31">
        <v>716</v>
      </c>
      <c r="D20" s="31">
        <v>1644</v>
      </c>
      <c r="E20" s="72">
        <v>1623</v>
      </c>
      <c r="F20" s="31">
        <v>4044</v>
      </c>
      <c r="G20" s="73">
        <v>703566.01999999746</v>
      </c>
      <c r="H20" s="31">
        <v>668782.22999999602</v>
      </c>
      <c r="I20" s="72">
        <v>441421.32000000053</v>
      </c>
      <c r="J20" s="72">
        <v>255133.05999999441</v>
      </c>
      <c r="K20" s="31">
        <v>25227.142857142859</v>
      </c>
      <c r="L20" s="31">
        <v>40008.285714285717</v>
      </c>
      <c r="M20" s="74">
        <v>15.54352609805475</v>
      </c>
      <c r="N20" s="74">
        <v>10.168999336846881</v>
      </c>
      <c r="O20" s="75">
        <v>433.49723967960409</v>
      </c>
      <c r="P20" s="75">
        <v>165.3764169139456</v>
      </c>
      <c r="Q20" s="76">
        <v>0.62740568397547414</v>
      </c>
      <c r="R20" s="76">
        <v>0.37649748295864394</v>
      </c>
      <c r="S20" s="31">
        <v>3306.5714285714284</v>
      </c>
      <c r="T20" s="31"/>
      <c r="U20" s="76">
        <v>-0.38791250383849063</v>
      </c>
      <c r="V20" s="76">
        <v>-0.60954500494559838</v>
      </c>
      <c r="W20" s="76">
        <v>2.8938388509517798E-2</v>
      </c>
      <c r="X20" s="76">
        <v>0.7212248181740224</v>
      </c>
      <c r="Y20" s="76">
        <v>-1.8340185850374779E-2</v>
      </c>
      <c r="Z20" s="76">
        <v>-1.1304021633848138E-2</v>
      </c>
      <c r="AA20" s="76">
        <v>-0.11745513866231649</v>
      </c>
      <c r="AB20" s="76">
        <v>1.5745666354318733E-3</v>
      </c>
      <c r="AC20" s="76">
        <v>0.13487099694550775</v>
      </c>
      <c r="AD20" s="142">
        <v>-0.40931072603281915</v>
      </c>
      <c r="AE20" s="142">
        <v>-0.25948271127671074</v>
      </c>
      <c r="AF20" s="142">
        <v>-9.5692202068174276E-2</v>
      </c>
    </row>
    <row r="21" spans="1:32" x14ac:dyDescent="0.35">
      <c r="A21" t="s">
        <v>203</v>
      </c>
      <c r="B21" t="s">
        <v>293</v>
      </c>
      <c r="C21" s="31">
        <v>3743</v>
      </c>
      <c r="D21" s="31">
        <v>1314</v>
      </c>
      <c r="E21" s="72">
        <v>9128</v>
      </c>
      <c r="F21" s="31">
        <v>2114</v>
      </c>
      <c r="G21" s="73">
        <v>659390.08000000217</v>
      </c>
      <c r="H21" s="31">
        <v>129535.65000000208</v>
      </c>
      <c r="I21" s="72">
        <v>468097.55999999837</v>
      </c>
      <c r="J21" s="72">
        <v>96062.620000002091</v>
      </c>
      <c r="K21" s="31">
        <v>117323.57142857143</v>
      </c>
      <c r="L21" s="31">
        <v>33202.142857142855</v>
      </c>
      <c r="M21" s="74">
        <v>12.853151996995118</v>
      </c>
      <c r="N21" s="74">
        <v>15.906628887717448</v>
      </c>
      <c r="O21" s="75">
        <v>72.238177037686484</v>
      </c>
      <c r="P21" s="75">
        <v>61.275141911070044</v>
      </c>
      <c r="Q21" s="76">
        <v>0.70989475607518515</v>
      </c>
      <c r="R21" s="76">
        <v>0.72453266617204692</v>
      </c>
      <c r="S21" s="31">
        <v>17548.142857142859</v>
      </c>
      <c r="T21" s="31"/>
      <c r="U21" s="76">
        <v>2.4531678247961626</v>
      </c>
      <c r="V21" s="76">
        <v>3.1977294228949855</v>
      </c>
      <c r="W21" s="76">
        <v>3.9450496446344046</v>
      </c>
      <c r="X21" s="76">
        <v>3.8406746025619327</v>
      </c>
      <c r="Y21" s="76">
        <v>-3.0083240924458576E-2</v>
      </c>
      <c r="Z21" s="76">
        <v>-3.2263196036033892E-2</v>
      </c>
      <c r="AA21" s="76">
        <v>0.12621838371375693</v>
      </c>
      <c r="AB21" s="76">
        <v>0.33865620607023872</v>
      </c>
      <c r="AC21" s="76">
        <v>0.18862933284391814</v>
      </c>
      <c r="AD21" s="142">
        <v>-0.36300243026296747</v>
      </c>
      <c r="AE21" s="142">
        <v>0.17170688889518165</v>
      </c>
      <c r="AF21" s="142">
        <v>0.63990221651779322</v>
      </c>
    </row>
    <row r="22" spans="1:32" x14ac:dyDescent="0.35">
      <c r="A22" t="s">
        <v>203</v>
      </c>
      <c r="B22" t="s">
        <v>287</v>
      </c>
      <c r="C22" s="31">
        <v>2503</v>
      </c>
      <c r="D22" s="31">
        <v>931</v>
      </c>
      <c r="E22" s="72">
        <v>3585</v>
      </c>
      <c r="F22" s="31">
        <v>1095</v>
      </c>
      <c r="G22" s="73">
        <v>580365.3900000006</v>
      </c>
      <c r="H22" s="31">
        <v>277322.12000000093</v>
      </c>
      <c r="I22" s="72">
        <v>-18561.269999996272</v>
      </c>
      <c r="J22" s="72">
        <v>125292.41000000061</v>
      </c>
      <c r="K22" s="31">
        <v>19735.571428571428</v>
      </c>
      <c r="L22" s="31">
        <v>21116.571428571428</v>
      </c>
      <c r="M22" s="74">
        <v>5.5050408447897983</v>
      </c>
      <c r="N22" s="74">
        <v>19.448581560283689</v>
      </c>
      <c r="O22" s="75">
        <v>161.88713807531397</v>
      </c>
      <c r="P22" s="75">
        <v>253.26221004566295</v>
      </c>
      <c r="Q22" s="76">
        <v>-3.1982041520422597E-2</v>
      </c>
      <c r="R22" s="76">
        <v>0.43917547223599757</v>
      </c>
      <c r="S22" s="31">
        <v>641.14285714285711</v>
      </c>
      <c r="T22" s="31"/>
      <c r="U22" s="76">
        <v>-8.8718406667748995E-2</v>
      </c>
      <c r="V22" s="76">
        <v>2.1442922374429223</v>
      </c>
      <c r="W22" s="76">
        <v>1.0271957029608707</v>
      </c>
      <c r="X22" s="76">
        <v>-1.0955843358234643</v>
      </c>
      <c r="Y22" s="76">
        <v>-0.14994878574224468</v>
      </c>
      <c r="Z22" s="76">
        <v>-0.14277825005119171</v>
      </c>
      <c r="AA22" s="76">
        <v>1.0855148342059335</v>
      </c>
      <c r="AB22" s="76">
        <v>6.0172572063363905E-3</v>
      </c>
      <c r="AC22" s="76">
        <v>-0.51761682980817514</v>
      </c>
      <c r="AD22" s="142">
        <v>1.2592034181086023</v>
      </c>
      <c r="AE22" s="142">
        <v>0.11075304414182677</v>
      </c>
      <c r="AF22" s="142">
        <v>-1.0809384683997252</v>
      </c>
    </row>
    <row r="23" spans="1:32" x14ac:dyDescent="0.35">
      <c r="A23" t="s">
        <v>203</v>
      </c>
      <c r="B23" t="s">
        <v>286</v>
      </c>
      <c r="C23" s="31">
        <v>2174</v>
      </c>
      <c r="D23" s="31">
        <v>2142</v>
      </c>
      <c r="E23" s="72">
        <v>2747</v>
      </c>
      <c r="F23" s="31">
        <v>3128</v>
      </c>
      <c r="G23" s="73">
        <v>565998.22999999346</v>
      </c>
      <c r="H23" s="31">
        <v>299564.85999999812</v>
      </c>
      <c r="I23" s="72">
        <v>346207.98999999941</v>
      </c>
      <c r="J23" s="72">
        <v>121849.42999999953</v>
      </c>
      <c r="K23" s="31">
        <v>44194.857142857145</v>
      </c>
      <c r="L23" s="31">
        <v>68836.428571428565</v>
      </c>
      <c r="M23" s="74">
        <v>16.088408133548288</v>
      </c>
      <c r="N23" s="74">
        <v>22.269215416685146</v>
      </c>
      <c r="O23" s="75">
        <v>206.042311612666</v>
      </c>
      <c r="P23" s="75">
        <v>95.76881713554927</v>
      </c>
      <c r="Q23" s="76">
        <v>0.61167680683383663</v>
      </c>
      <c r="R23" s="76">
        <v>0.39639669328463206</v>
      </c>
      <c r="S23" s="31">
        <v>13535.857142857143</v>
      </c>
      <c r="T23" s="31"/>
      <c r="U23" s="76">
        <v>-0.3786055971194654</v>
      </c>
      <c r="V23" s="76">
        <v>-0.15728900255754474</v>
      </c>
      <c r="W23" s="76">
        <v>0.80843430701450858</v>
      </c>
      <c r="X23" s="76">
        <v>1.7909795117807312</v>
      </c>
      <c r="Y23" s="76">
        <v>1.5537827514573443E-2</v>
      </c>
      <c r="Z23" s="76">
        <v>-3.7355812166076974E-2</v>
      </c>
      <c r="AA23" s="76">
        <v>-4.8493245583650868E-2</v>
      </c>
      <c r="AB23" s="76">
        <v>3.8061144413521486E-2</v>
      </c>
      <c r="AC23" s="76">
        <v>9.0965607543442406E-2</v>
      </c>
      <c r="AD23" s="142">
        <v>-0.37679442426342807</v>
      </c>
      <c r="AE23" s="142">
        <v>3.6536874918199971E-2</v>
      </c>
      <c r="AF23" s="142">
        <v>0.42632657924491357</v>
      </c>
    </row>
    <row r="24" spans="1:32" x14ac:dyDescent="0.35">
      <c r="A24" t="s">
        <v>203</v>
      </c>
      <c r="B24" t="s">
        <v>283</v>
      </c>
      <c r="C24" s="31">
        <v>1092</v>
      </c>
      <c r="D24" s="31">
        <v>1603</v>
      </c>
      <c r="E24" s="72">
        <v>1917</v>
      </c>
      <c r="F24" s="31">
        <v>2996</v>
      </c>
      <c r="G24" s="73">
        <v>411200.2799999998</v>
      </c>
      <c r="H24" s="31">
        <v>399345.88000000187</v>
      </c>
      <c r="I24" s="72">
        <v>252953.52999999947</v>
      </c>
      <c r="J24" s="72">
        <v>199175.03000000227</v>
      </c>
      <c r="K24" s="31">
        <v>31829.714285714286</v>
      </c>
      <c r="L24" s="31">
        <v>65000.571428571428</v>
      </c>
      <c r="M24" s="74">
        <v>16.603919815187421</v>
      </c>
      <c r="N24" s="74">
        <v>21.909585853885527</v>
      </c>
      <c r="O24" s="75">
        <v>214.50197183098581</v>
      </c>
      <c r="P24" s="75">
        <v>133.29301735647593</v>
      </c>
      <c r="Q24" s="76">
        <v>0.61515894395791659</v>
      </c>
      <c r="R24" s="76">
        <v>0.48686759349653363</v>
      </c>
      <c r="S24" s="31">
        <v>7057.2857142857147</v>
      </c>
      <c r="T24" s="31"/>
      <c r="U24" s="76">
        <v>-0.52278661286494188</v>
      </c>
      <c r="V24" s="76">
        <v>-0.37449933244325773</v>
      </c>
      <c r="W24" s="76">
        <v>1.0512140503360357E-2</v>
      </c>
      <c r="X24" s="76">
        <v>0.28473472442460102</v>
      </c>
      <c r="Y24" s="76">
        <v>-5.9209894390021667E-2</v>
      </c>
      <c r="Z24" s="76">
        <v>-5.9000413889803927E-2</v>
      </c>
      <c r="AA24" s="76">
        <v>-0.43567853988813654</v>
      </c>
      <c r="AB24" s="76">
        <v>2.4514944354832036E-3</v>
      </c>
      <c r="AC24" s="76">
        <v>0.77638379060893903</v>
      </c>
      <c r="AD24" s="142">
        <v>-0.66379177946171852</v>
      </c>
      <c r="AE24" s="142">
        <v>-0.50687951713329849</v>
      </c>
      <c r="AF24" s="142">
        <v>-0.38724060544450917</v>
      </c>
    </row>
    <row r="25" spans="1:32" x14ac:dyDescent="0.35">
      <c r="A25" t="s">
        <v>203</v>
      </c>
      <c r="B25" t="s">
        <v>292</v>
      </c>
      <c r="C25" s="31">
        <v>700</v>
      </c>
      <c r="D25" s="31">
        <v>822</v>
      </c>
      <c r="E25" s="72">
        <v>907</v>
      </c>
      <c r="F25" s="31">
        <v>1125</v>
      </c>
      <c r="G25" s="73">
        <v>409331.44000000058</v>
      </c>
      <c r="H25" s="31">
        <v>143040.83000000051</v>
      </c>
      <c r="I25" s="72">
        <v>235744.64999999959</v>
      </c>
      <c r="J25" s="72">
        <v>40433.530000000435</v>
      </c>
      <c r="K25" s="31">
        <v>16542.285714285714</v>
      </c>
      <c r="L25" s="31">
        <v>23679.142857142859</v>
      </c>
      <c r="M25" s="74">
        <v>18.238462750039375</v>
      </c>
      <c r="N25" s="74">
        <v>21.295741520178261</v>
      </c>
      <c r="O25" s="75">
        <v>451.30257993384851</v>
      </c>
      <c r="P25" s="75">
        <v>127.1474044444449</v>
      </c>
      <c r="Q25" s="76">
        <v>0.57592607594471423</v>
      </c>
      <c r="R25" s="76">
        <v>0.27552095865018567</v>
      </c>
      <c r="S25" s="31">
        <v>10820.142857142857</v>
      </c>
      <c r="T25" s="31"/>
      <c r="U25" s="76">
        <v>-0.32169359412140885</v>
      </c>
      <c r="V25" s="76">
        <v>-0.21599999999999997</v>
      </c>
      <c r="W25" s="76">
        <v>1.7846272284633651</v>
      </c>
      <c r="X25" s="76">
        <v>4.8148002167308421</v>
      </c>
      <c r="Y25" s="76">
        <v>-5.0452232475801329E-2</v>
      </c>
      <c r="Z25" s="76">
        <v>-4.7322868331852508E-2</v>
      </c>
      <c r="AA25" s="76">
        <v>-0.16405529953917053</v>
      </c>
      <c r="AB25" s="76">
        <v>-0.114396206748133</v>
      </c>
      <c r="AC25" s="76">
        <v>5.9404758189940177E-2</v>
      </c>
      <c r="AD25" s="142">
        <v>-0.1288853920515162</v>
      </c>
      <c r="AE25" s="142">
        <v>0.54474078435865447</v>
      </c>
      <c r="AF25" s="142">
        <v>0.87507785130065141</v>
      </c>
    </row>
    <row r="26" spans="1:32" x14ac:dyDescent="0.35">
      <c r="A26" t="s">
        <v>203</v>
      </c>
      <c r="B26" t="s">
        <v>282</v>
      </c>
      <c r="C26" s="31">
        <v>1011</v>
      </c>
      <c r="D26" s="31">
        <v>2932</v>
      </c>
      <c r="E26" s="72">
        <v>3619</v>
      </c>
      <c r="F26" s="31">
        <v>8612</v>
      </c>
      <c r="G26" s="73">
        <v>387485.20000000048</v>
      </c>
      <c r="H26" s="31">
        <v>801137.18999998516</v>
      </c>
      <c r="I26" s="72">
        <v>240432.74000000025</v>
      </c>
      <c r="J26" s="72">
        <v>318784.71999998827</v>
      </c>
      <c r="K26" s="31">
        <v>76702.428571428565</v>
      </c>
      <c r="L26" s="31">
        <v>115215.85714285714</v>
      </c>
      <c r="M26" s="74">
        <v>21.194370978565505</v>
      </c>
      <c r="N26" s="74">
        <v>13.613618278958736</v>
      </c>
      <c r="O26" s="75">
        <v>107.0696877590496</v>
      </c>
      <c r="P26" s="75">
        <v>93.025683929399108</v>
      </c>
      <c r="Q26" s="76">
        <v>0.62049528601350445</v>
      </c>
      <c r="R26" s="76">
        <v>0.39287962016627742</v>
      </c>
      <c r="S26" s="31">
        <v>15915</v>
      </c>
      <c r="T26" s="31"/>
      <c r="U26" s="76">
        <v>-0.35155751130486745</v>
      </c>
      <c r="V26" s="76">
        <v>-0.59753831862517415</v>
      </c>
      <c r="W26" s="76">
        <v>-0.53848010725852413</v>
      </c>
      <c r="X26" s="76">
        <v>-0.26947783939411896</v>
      </c>
      <c r="Y26" s="76">
        <v>1.4161754311571517E-2</v>
      </c>
      <c r="Z26" s="76">
        <v>-1.0549151230547782E-3</v>
      </c>
      <c r="AA26" s="76">
        <v>-0.15817632007443594</v>
      </c>
      <c r="AB26" s="76">
        <v>-3.0886489613994428E-2</v>
      </c>
      <c r="AC26" s="76">
        <v>0.15120723436016537</v>
      </c>
      <c r="AD26" s="142">
        <v>-0.49601109282509198</v>
      </c>
      <c r="AE26" s="142">
        <v>-0.32661277443715642</v>
      </c>
      <c r="AF26" s="142">
        <v>-0.20270185295747623</v>
      </c>
    </row>
    <row r="27" spans="1:32" x14ac:dyDescent="0.35">
      <c r="A27" t="s">
        <v>203</v>
      </c>
      <c r="B27" t="s">
        <v>279</v>
      </c>
      <c r="C27" s="31">
        <v>1105</v>
      </c>
      <c r="D27" s="31">
        <v>2990</v>
      </c>
      <c r="E27" s="72">
        <v>1232</v>
      </c>
      <c r="F27" s="31">
        <v>3583</v>
      </c>
      <c r="G27" s="73">
        <v>383303.1799999972</v>
      </c>
      <c r="H27" s="31">
        <v>683989.07999999658</v>
      </c>
      <c r="I27" s="72">
        <v>222380.91000000018</v>
      </c>
      <c r="J27" s="72">
        <v>247945.7199999952</v>
      </c>
      <c r="K27" s="31">
        <v>18323.714285714286</v>
      </c>
      <c r="L27" s="31">
        <v>70271</v>
      </c>
      <c r="M27" s="74">
        <v>14.873144712430427</v>
      </c>
      <c r="N27" s="74">
        <v>19.968162593984964</v>
      </c>
      <c r="O27" s="75">
        <v>311.12271103895876</v>
      </c>
      <c r="P27" s="75">
        <v>190.89843148199736</v>
      </c>
      <c r="Q27" s="76">
        <v>0.58016974970048985</v>
      </c>
      <c r="R27" s="76">
        <v>0.35577013446204747</v>
      </c>
      <c r="S27" s="31">
        <v>6097.7142857142853</v>
      </c>
      <c r="T27" s="31"/>
      <c r="U27" s="76">
        <v>-0.75704669880076525</v>
      </c>
      <c r="V27" s="76">
        <v>-0.67234161317331842</v>
      </c>
      <c r="W27" s="76">
        <v>-0.46610467816240764</v>
      </c>
      <c r="X27" s="76">
        <v>-0.13006347598149648</v>
      </c>
      <c r="Y27" s="76">
        <v>-7.2640614888927146E-2</v>
      </c>
      <c r="Z27" s="76">
        <v>-6.8775001996529639E-2</v>
      </c>
      <c r="AA27" s="76">
        <v>-0.12250712250712248</v>
      </c>
      <c r="AB27" s="76">
        <v>-8.6992439416874068E-2</v>
      </c>
      <c r="AC27" s="76">
        <v>4.0472901833367381E-2</v>
      </c>
      <c r="AD27" s="142">
        <v>-0.32207821764678823</v>
      </c>
      <c r="AE27" s="142">
        <v>-0.19950446074130665</v>
      </c>
      <c r="AF27" s="142">
        <v>-2.6731082502683343E-2</v>
      </c>
    </row>
    <row r="28" spans="1:32" x14ac:dyDescent="0.35">
      <c r="A28" t="s">
        <v>203</v>
      </c>
      <c r="B28" t="s">
        <v>289</v>
      </c>
      <c r="C28" s="31">
        <v>444</v>
      </c>
      <c r="D28" s="31">
        <v>284</v>
      </c>
      <c r="E28" s="72">
        <v>474</v>
      </c>
      <c r="F28" s="31">
        <v>308</v>
      </c>
      <c r="G28" s="73">
        <v>362599.03000000032</v>
      </c>
      <c r="H28" s="31">
        <v>192269.63000000079</v>
      </c>
      <c r="I28" s="72">
        <v>209107.40999999916</v>
      </c>
      <c r="J28" s="72">
        <v>105724.74000000069</v>
      </c>
      <c r="K28" s="31">
        <v>9031.7142857142862</v>
      </c>
      <c r="L28" s="31">
        <v>6641.7142857142853</v>
      </c>
      <c r="M28" s="74">
        <v>19.054249547920435</v>
      </c>
      <c r="N28" s="74">
        <v>21.835164835164836</v>
      </c>
      <c r="O28" s="75">
        <v>764.97685654008501</v>
      </c>
      <c r="P28" s="75">
        <v>624.25204545454801</v>
      </c>
      <c r="Q28" s="76">
        <v>0.57669048370040865</v>
      </c>
      <c r="R28" s="76">
        <v>0.54166082609102095</v>
      </c>
      <c r="S28" s="31">
        <v>2434.1428571428573</v>
      </c>
      <c r="T28" s="31"/>
      <c r="U28" s="76">
        <v>0.31956035446958619</v>
      </c>
      <c r="V28" s="76">
        <v>0.49350649350649345</v>
      </c>
      <c r="W28" s="76">
        <v>0.83244821348019826</v>
      </c>
      <c r="X28" s="76">
        <v>0.95449488258879955</v>
      </c>
      <c r="Y28" s="76">
        <v>9.7672325881374089E-2</v>
      </c>
      <c r="Z28" s="76">
        <v>4.9397470371477015E-2</v>
      </c>
      <c r="AA28" s="76">
        <v>3.0434782608695699E-2</v>
      </c>
      <c r="AB28" s="76">
        <v>0.20720324053369166</v>
      </c>
      <c r="AC28" s="76">
        <v>0.17154744861919435</v>
      </c>
      <c r="AD28" s="142">
        <v>-0.41509722897993329</v>
      </c>
      <c r="AE28" s="142">
        <v>-0.28913425436564749</v>
      </c>
      <c r="AF28" s="142">
        <v>-0.14707359203134115</v>
      </c>
    </row>
    <row r="29" spans="1:32" x14ac:dyDescent="0.35">
      <c r="A29" t="s">
        <v>203</v>
      </c>
      <c r="B29" t="s">
        <v>288</v>
      </c>
      <c r="C29" s="31">
        <v>469</v>
      </c>
      <c r="D29" s="31">
        <v>840</v>
      </c>
      <c r="E29" s="72">
        <v>2164</v>
      </c>
      <c r="F29" s="31">
        <v>3260</v>
      </c>
      <c r="G29" s="73">
        <v>355486.41000000044</v>
      </c>
      <c r="H29" s="31">
        <v>333135.85999999894</v>
      </c>
      <c r="I29" s="72">
        <v>211164.66000000024</v>
      </c>
      <c r="J29" s="72">
        <v>128743.3899999994</v>
      </c>
      <c r="K29" s="31">
        <v>31048</v>
      </c>
      <c r="L29" s="31">
        <v>66983.571428571435</v>
      </c>
      <c r="M29" s="74">
        <v>14.347504621072089</v>
      </c>
      <c r="N29" s="74">
        <v>20.958489267432356</v>
      </c>
      <c r="O29" s="75">
        <v>164.2728327171906</v>
      </c>
      <c r="P29" s="75">
        <v>102.18891411042912</v>
      </c>
      <c r="Q29" s="76">
        <v>0.59401612567974116</v>
      </c>
      <c r="R29" s="76">
        <v>0.37965977788393995</v>
      </c>
      <c r="S29" s="31">
        <v>15520.142857142857</v>
      </c>
      <c r="T29" s="31"/>
      <c r="U29" s="76">
        <v>-0.55111594527442764</v>
      </c>
      <c r="V29" s="76">
        <v>-0.36779141104294477</v>
      </c>
      <c r="W29" s="76">
        <v>1.3250900098240592E-2</v>
      </c>
      <c r="X29" s="76">
        <v>0.58501996675456835</v>
      </c>
      <c r="Y29" s="76">
        <v>-2.8515287237306564E-2</v>
      </c>
      <c r="Z29" s="76">
        <v>-3.0861912894580734E-2</v>
      </c>
      <c r="AA29" s="76">
        <v>-7.4026529738981606E-2</v>
      </c>
      <c r="AB29" s="76">
        <v>3.5464937598401303E-2</v>
      </c>
      <c r="AC29" s="76">
        <v>0.11824471310880957</v>
      </c>
      <c r="AD29" s="142">
        <v>-0.4305481947272552</v>
      </c>
      <c r="AE29" s="142">
        <v>-0.23790890810670443</v>
      </c>
      <c r="AF29" s="142">
        <v>-3.0583098780108838E-2</v>
      </c>
    </row>
    <row r="30" spans="1:32" x14ac:dyDescent="0.35">
      <c r="A30" t="s">
        <v>203</v>
      </c>
      <c r="B30" t="s">
        <v>299</v>
      </c>
      <c r="C30" s="31">
        <v>1194</v>
      </c>
      <c r="D30" s="31">
        <v>696</v>
      </c>
      <c r="E30" s="72">
        <v>2348</v>
      </c>
      <c r="F30" s="31">
        <v>1278</v>
      </c>
      <c r="G30" s="73">
        <v>353542.41000000283</v>
      </c>
      <c r="H30" s="31">
        <v>57985.65000000022</v>
      </c>
      <c r="I30" s="72">
        <v>191922.61000000077</v>
      </c>
      <c r="J30" s="72">
        <v>24968.320000000174</v>
      </c>
      <c r="K30" s="31">
        <v>38104.571428571428</v>
      </c>
      <c r="L30" s="31">
        <v>27446.571428571428</v>
      </c>
      <c r="M30" s="74">
        <v>16.228522754928207</v>
      </c>
      <c r="N30" s="74">
        <v>21.431254695717506</v>
      </c>
      <c r="O30" s="75">
        <v>150.57172487223289</v>
      </c>
      <c r="P30" s="75">
        <v>45.372183098591719</v>
      </c>
      <c r="Q30" s="76">
        <v>0.54285597589267787</v>
      </c>
      <c r="R30" s="76">
        <v>0.41393055412568458</v>
      </c>
      <c r="S30" s="31">
        <v>2250.5714285714284</v>
      </c>
      <c r="T30" s="31"/>
      <c r="U30" s="76">
        <v>0.34997345492020848</v>
      </c>
      <c r="V30" s="76">
        <v>0.77386541471048509</v>
      </c>
      <c r="W30" s="76">
        <v>4.8712917764999029</v>
      </c>
      <c r="X30" s="76">
        <v>6.7141116891372787</v>
      </c>
      <c r="Y30" s="76">
        <v>-3.562992912213514E-2</v>
      </c>
      <c r="Z30" s="76">
        <v>-4.9036315538030451E-2</v>
      </c>
      <c r="AA30" s="76">
        <v>-6.5286624203821697E-2</v>
      </c>
      <c r="AB30" s="76">
        <v>2.3585739950260809E-2</v>
      </c>
      <c r="AC30" s="76">
        <v>9.507980355837109E-2</v>
      </c>
      <c r="AD30" s="142">
        <v>-2.053763223315554E-2</v>
      </c>
      <c r="AE30" s="142">
        <v>0.67937973892139247</v>
      </c>
      <c r="AF30" s="142">
        <v>0.96803835556974283</v>
      </c>
    </row>
    <row r="31" spans="1:32" x14ac:dyDescent="0.35">
      <c r="A31" t="s">
        <v>203</v>
      </c>
      <c r="B31" t="s">
        <v>284</v>
      </c>
      <c r="C31" s="31">
        <v>420</v>
      </c>
      <c r="D31" s="31">
        <v>1034</v>
      </c>
      <c r="E31" s="72">
        <v>579</v>
      </c>
      <c r="F31" s="31">
        <v>1862</v>
      </c>
      <c r="G31" s="73">
        <v>276318.17000000022</v>
      </c>
      <c r="H31" s="31">
        <v>416000.96999999933</v>
      </c>
      <c r="I31" s="72">
        <v>160189.20000000007</v>
      </c>
      <c r="J31" s="72">
        <v>156351.01000000042</v>
      </c>
      <c r="K31" s="31">
        <v>7938.8571428571431</v>
      </c>
      <c r="L31" s="31">
        <v>35360.714285714283</v>
      </c>
      <c r="M31" s="74">
        <v>13.711324944485566</v>
      </c>
      <c r="N31" s="74">
        <v>19.341890667472065</v>
      </c>
      <c r="O31" s="75">
        <v>477.23345423143388</v>
      </c>
      <c r="P31" s="75">
        <v>223.41620300751845</v>
      </c>
      <c r="Q31" s="76">
        <v>0.5797273483680061</v>
      </c>
      <c r="R31" s="76">
        <v>0.37160734313232863</v>
      </c>
      <c r="S31" s="31">
        <v>3866.1428571428573</v>
      </c>
      <c r="T31" s="31"/>
      <c r="U31" s="76">
        <v>-0.78342793657206344</v>
      </c>
      <c r="V31" s="76">
        <v>-0.7013963480128893</v>
      </c>
      <c r="W31" s="76">
        <v>-0.36422023246724411</v>
      </c>
      <c r="X31" s="76">
        <v>-8.8371085581721021E-3</v>
      </c>
      <c r="Y31" s="76">
        <v>2.0277951919930315E-2</v>
      </c>
      <c r="Z31" s="76">
        <v>2.3628722425641513E-3</v>
      </c>
      <c r="AA31" s="76">
        <v>-4.2975206611570282E-2</v>
      </c>
      <c r="AB31" s="76">
        <v>0.37421789614361112</v>
      </c>
      <c r="AC31" s="76">
        <v>0.43592716263710662</v>
      </c>
      <c r="AD31" s="142">
        <v>-0.32713194582284905</v>
      </c>
      <c r="AE31" s="142">
        <v>9.5962024055141606E-2</v>
      </c>
      <c r="AF31" s="142">
        <v>0.4663679418251282</v>
      </c>
    </row>
    <row r="32" spans="1:32" x14ac:dyDescent="0.35">
      <c r="A32" t="s">
        <v>203</v>
      </c>
      <c r="B32" t="s">
        <v>296</v>
      </c>
      <c r="C32" s="31">
        <v>613</v>
      </c>
      <c r="D32" s="31">
        <v>611</v>
      </c>
      <c r="E32" s="72">
        <v>666</v>
      </c>
      <c r="F32" s="31">
        <v>646</v>
      </c>
      <c r="G32" s="73">
        <v>252588.95000000016</v>
      </c>
      <c r="H32" s="31">
        <v>128585.05000000026</v>
      </c>
      <c r="I32" s="72">
        <v>141522.44999999914</v>
      </c>
      <c r="J32" s="72">
        <v>54122.980000000971</v>
      </c>
      <c r="K32" s="31">
        <v>10397</v>
      </c>
      <c r="L32" s="31">
        <v>6244.2857142857147</v>
      </c>
      <c r="M32" s="74">
        <v>15.611111111111111</v>
      </c>
      <c r="N32" s="74">
        <v>9.9234771298504221</v>
      </c>
      <c r="O32" s="75">
        <v>379.2626876876879</v>
      </c>
      <c r="P32" s="75">
        <v>199.04806501548029</v>
      </c>
      <c r="Q32" s="76">
        <v>0.56028757394176998</v>
      </c>
      <c r="R32" s="76">
        <v>0.41229833764247842</v>
      </c>
      <c r="S32" s="31">
        <v>6319.2857142857147</v>
      </c>
      <c r="T32" s="31"/>
      <c r="U32" s="76">
        <v>0.60686341798215504</v>
      </c>
      <c r="V32" s="76">
        <v>0</v>
      </c>
      <c r="W32" s="76">
        <v>0.90251176167057956</v>
      </c>
      <c r="X32" s="76">
        <v>1.5836015718885785</v>
      </c>
      <c r="Y32" s="76">
        <v>5.5987524488358531E-2</v>
      </c>
      <c r="Z32" s="76">
        <v>5.0095949904050086E-2</v>
      </c>
      <c r="AA32" s="76">
        <v>9.7199341021416696E-2</v>
      </c>
      <c r="AB32" s="76">
        <v>9.2511861690078412E-2</v>
      </c>
      <c r="AC32" s="76">
        <v>-4.2722221533368909E-3</v>
      </c>
      <c r="AD32" s="142">
        <v>-0.26021001815595685</v>
      </c>
      <c r="AE32" s="142">
        <v>-0.16109491779845947</v>
      </c>
      <c r="AF32" s="142">
        <v>-7.3904401002889714E-3</v>
      </c>
    </row>
    <row r="33" spans="1:32" x14ac:dyDescent="0.35">
      <c r="A33" t="s">
        <v>203</v>
      </c>
      <c r="B33" t="s">
        <v>290</v>
      </c>
      <c r="C33" s="31">
        <v>1166</v>
      </c>
      <c r="D33" s="31">
        <v>1438</v>
      </c>
      <c r="E33" s="72">
        <v>1405</v>
      </c>
      <c r="F33" s="31">
        <v>1831</v>
      </c>
      <c r="G33" s="73">
        <v>246278.97000000032</v>
      </c>
      <c r="H33" s="31">
        <v>188851.00999999954</v>
      </c>
      <c r="I33" s="72">
        <v>153906.39000000129</v>
      </c>
      <c r="J33" s="72">
        <v>81604.009999999675</v>
      </c>
      <c r="K33" s="31">
        <v>18872</v>
      </c>
      <c r="L33" s="31">
        <v>38131.142857142855</v>
      </c>
      <c r="M33" s="74">
        <v>13.43202846975089</v>
      </c>
      <c r="N33" s="74">
        <v>21.321695951107714</v>
      </c>
      <c r="O33" s="75">
        <v>175.28752313167283</v>
      </c>
      <c r="P33" s="75">
        <v>103.1409120699069</v>
      </c>
      <c r="Q33" s="76">
        <v>0.62492704919141528</v>
      </c>
      <c r="R33" s="76">
        <v>0.42283033797458258</v>
      </c>
      <c r="S33" s="31">
        <v>2153.4285714285716</v>
      </c>
      <c r="T33" s="31"/>
      <c r="U33" s="76">
        <v>-0.52334050157726342</v>
      </c>
      <c r="V33" s="76">
        <v>-0.2523211359912616</v>
      </c>
      <c r="W33" s="76">
        <v>0.26865924624920523</v>
      </c>
      <c r="X33" s="76">
        <v>0.87490024908567121</v>
      </c>
      <c r="Y33" s="76">
        <v>-1.0515403646182198E-2</v>
      </c>
      <c r="Z33" s="76">
        <v>-1.8908280727812921E-2</v>
      </c>
      <c r="AA33" s="76">
        <v>5.5597295266716751E-2</v>
      </c>
      <c r="AB33" s="76">
        <v>5.0728225797781024E-2</v>
      </c>
      <c r="AC33" s="76">
        <v>-4.6126202584721998E-3</v>
      </c>
      <c r="AD33" s="142">
        <v>-0.38988493490419657</v>
      </c>
      <c r="AE33" s="142">
        <v>-9.150199776089607E-2</v>
      </c>
      <c r="AF33" s="142">
        <v>0.20852375187596986</v>
      </c>
    </row>
    <row r="34" spans="1:32" x14ac:dyDescent="0.35">
      <c r="A34" t="s">
        <v>203</v>
      </c>
      <c r="B34" t="s">
        <v>294</v>
      </c>
      <c r="C34" s="31">
        <v>538</v>
      </c>
      <c r="D34" s="31">
        <v>484</v>
      </c>
      <c r="E34" s="72">
        <v>573</v>
      </c>
      <c r="F34" s="31">
        <v>539</v>
      </c>
      <c r="G34" s="73">
        <v>240002.14999999997</v>
      </c>
      <c r="H34" s="31">
        <v>147359.21000000049</v>
      </c>
      <c r="I34" s="72">
        <v>141241.27000000112</v>
      </c>
      <c r="J34" s="72">
        <v>65769.81000000042</v>
      </c>
      <c r="K34" s="31">
        <v>7868</v>
      </c>
      <c r="L34" s="31">
        <v>9503.1428571428569</v>
      </c>
      <c r="M34" s="74">
        <v>13.731239092495636</v>
      </c>
      <c r="N34" s="74">
        <v>17.686594202898551</v>
      </c>
      <c r="O34" s="75">
        <v>418.85191972076785</v>
      </c>
      <c r="P34" s="75">
        <v>273.39371057514006</v>
      </c>
      <c r="Q34" s="76">
        <v>0.58850001968732846</v>
      </c>
      <c r="R34" s="76">
        <v>0.43495916517227023</v>
      </c>
      <c r="S34" s="31">
        <v>3913.2857142857142</v>
      </c>
      <c r="T34" s="31"/>
      <c r="U34" s="76">
        <v>-0.19483779802170709</v>
      </c>
      <c r="V34" s="76">
        <v>1.6697588126159513E-2</v>
      </c>
      <c r="W34" s="76">
        <v>0.55828305539911205</v>
      </c>
      <c r="X34" s="76">
        <v>1.1095186527012246</v>
      </c>
      <c r="Y34" s="76">
        <v>-7.3778268426471505E-2</v>
      </c>
      <c r="Z34" s="76">
        <v>-7.3278255455906827E-2</v>
      </c>
      <c r="AA34" s="76">
        <v>-0.18838526912181308</v>
      </c>
      <c r="AB34" s="76">
        <v>-9.8327687099369343E-2</v>
      </c>
      <c r="AC34" s="76">
        <v>0.11096099983917163</v>
      </c>
      <c r="AD34" s="142">
        <v>-0.46479085044547058</v>
      </c>
      <c r="AE34" s="142">
        <v>-0.32686508757104132</v>
      </c>
      <c r="AF34" s="142">
        <v>-0.16177453986530402</v>
      </c>
    </row>
    <row r="35" spans="1:32" x14ac:dyDescent="0.35">
      <c r="A35" t="s">
        <v>203</v>
      </c>
      <c r="B35" t="s">
        <v>291</v>
      </c>
      <c r="C35" s="31">
        <v>282</v>
      </c>
      <c r="D35" s="31">
        <v>435</v>
      </c>
      <c r="E35" s="72">
        <v>1061</v>
      </c>
      <c r="F35" s="31">
        <v>1506</v>
      </c>
      <c r="G35" s="73">
        <v>202858.49000000043</v>
      </c>
      <c r="H35" s="31">
        <v>206892.31000000014</v>
      </c>
      <c r="I35" s="72">
        <v>103041.48000000007</v>
      </c>
      <c r="J35" s="72">
        <v>66290.440000000031</v>
      </c>
      <c r="K35" s="31">
        <v>13225.285714285714</v>
      </c>
      <c r="L35" s="31">
        <v>36909</v>
      </c>
      <c r="M35" s="74">
        <v>12.464925272653829</v>
      </c>
      <c r="N35" s="74">
        <v>25.113702623906704</v>
      </c>
      <c r="O35" s="75">
        <v>191.19556079170633</v>
      </c>
      <c r="P35" s="75">
        <v>137.37869189907047</v>
      </c>
      <c r="Q35" s="76">
        <v>0.50794758454526523</v>
      </c>
      <c r="R35" s="76">
        <v>0.31845659156572664</v>
      </c>
      <c r="S35" s="31">
        <v>7093.5714285714284</v>
      </c>
      <c r="T35" s="31"/>
      <c r="U35" s="76">
        <v>-0.65389393992173805</v>
      </c>
      <c r="V35" s="76">
        <v>-0.32005312084993365</v>
      </c>
      <c r="W35" s="76">
        <v>-7.7607717754225369E-2</v>
      </c>
      <c r="X35" s="76">
        <v>0.45212955129642207</v>
      </c>
      <c r="Y35" s="76">
        <v>-1.6449809813712912E-2</v>
      </c>
      <c r="Z35" s="76">
        <v>-2.366564368652524E-2</v>
      </c>
      <c r="AA35" s="76">
        <v>-5.6049822064056953E-2</v>
      </c>
      <c r="AB35" s="76">
        <v>0.1540163663789762</v>
      </c>
      <c r="AC35" s="76">
        <v>0.2225394870970494</v>
      </c>
      <c r="AD35" s="142">
        <v>-0.23239581925576688</v>
      </c>
      <c r="AE35" s="142">
        <v>-5.7228802436067809E-2</v>
      </c>
      <c r="AF35" s="142">
        <v>0.20687997440664621</v>
      </c>
    </row>
    <row r="36" spans="1:32" x14ac:dyDescent="0.35">
      <c r="A36" t="s">
        <v>203</v>
      </c>
      <c r="B36" t="s">
        <v>338</v>
      </c>
      <c r="C36" s="31">
        <v>518</v>
      </c>
      <c r="D36" s="31"/>
      <c r="E36" s="72">
        <v>775</v>
      </c>
      <c r="F36" s="31"/>
      <c r="G36" s="73">
        <v>110732.14999999953</v>
      </c>
      <c r="H36" s="31"/>
      <c r="I36" s="72">
        <v>36155.14999999987</v>
      </c>
      <c r="J36" s="72"/>
      <c r="K36" s="31">
        <v>13203.428571428571</v>
      </c>
      <c r="L36" s="31"/>
      <c r="M36" s="74">
        <v>17.036682027649768</v>
      </c>
      <c r="N36" s="74"/>
      <c r="O36" s="75">
        <v>142.8801935483865</v>
      </c>
      <c r="P36" s="75"/>
      <c r="Q36" s="76">
        <v>0.32650996119916414</v>
      </c>
      <c r="R36" s="76"/>
      <c r="S36" s="31"/>
      <c r="T36" s="31"/>
      <c r="U36" s="76"/>
      <c r="V36" s="76"/>
      <c r="W36" s="76"/>
      <c r="X36" s="76"/>
      <c r="Y36" s="76">
        <v>1.145130958001054</v>
      </c>
      <c r="Z36" s="76">
        <v>1.1553099202462569</v>
      </c>
      <c r="AA36" s="76">
        <v>0.64893617021276606</v>
      </c>
      <c r="AB36" s="76">
        <v>0.60028380532093162</v>
      </c>
      <c r="AC36" s="76">
        <v>-2.9505305160209216E-2</v>
      </c>
      <c r="AD36" s="142"/>
      <c r="AE36" s="142"/>
      <c r="AF36" s="142"/>
    </row>
    <row r="37" spans="1:32" x14ac:dyDescent="0.35">
      <c r="A37" t="s">
        <v>203</v>
      </c>
      <c r="B37" t="s">
        <v>298</v>
      </c>
      <c r="C37" s="31">
        <v>351</v>
      </c>
      <c r="D37" s="31">
        <v>419</v>
      </c>
      <c r="E37" s="72">
        <v>416</v>
      </c>
      <c r="F37" s="31">
        <v>481</v>
      </c>
      <c r="G37" s="73">
        <v>109298.9599999997</v>
      </c>
      <c r="H37" s="31">
        <v>98071.209999999846</v>
      </c>
      <c r="I37" s="72">
        <v>41311.869999999952</v>
      </c>
      <c r="J37" s="72">
        <v>32075.24999999984</v>
      </c>
      <c r="K37" s="31">
        <v>7477.5714285714284</v>
      </c>
      <c r="L37" s="31">
        <v>15164.428571428571</v>
      </c>
      <c r="M37" s="74">
        <v>17.974931318681318</v>
      </c>
      <c r="N37" s="74">
        <v>31.796947004608295</v>
      </c>
      <c r="O37" s="75">
        <v>262.7378846153839</v>
      </c>
      <c r="P37" s="75">
        <v>203.89024948024917</v>
      </c>
      <c r="Q37" s="76">
        <v>0.37797130000139129</v>
      </c>
      <c r="R37" s="76">
        <v>0.31803984276906866</v>
      </c>
      <c r="S37" s="31">
        <v>246.28571428571428</v>
      </c>
      <c r="T37" s="31"/>
      <c r="U37" s="76">
        <v>-0.5258452581699653</v>
      </c>
      <c r="V37" s="76">
        <v>-0.15384615384615385</v>
      </c>
      <c r="W37" s="76">
        <v>9.2239404408285486E-2</v>
      </c>
      <c r="X37" s="76">
        <v>0.2977099652027877</v>
      </c>
      <c r="Y37" s="76">
        <v>-2.6765671324879836E-2</v>
      </c>
      <c r="Z37" s="76">
        <v>-2.9481022750449615E-2</v>
      </c>
      <c r="AA37" s="76">
        <v>2.4630541871921263E-2</v>
      </c>
      <c r="AB37" s="76">
        <v>0.11477929913678464</v>
      </c>
      <c r="AC37" s="76">
        <v>8.7981719830611871E-2</v>
      </c>
      <c r="AD37" s="142">
        <v>0.19270602921499014</v>
      </c>
      <c r="AE37" s="142">
        <v>2.8653424121395123E-2</v>
      </c>
      <c r="AF37" s="142">
        <v>-7.055108869190227E-2</v>
      </c>
    </row>
    <row r="38" spans="1:32" x14ac:dyDescent="0.35">
      <c r="A38" t="s">
        <v>203</v>
      </c>
      <c r="B38" t="s">
        <v>295</v>
      </c>
      <c r="C38" s="31">
        <v>58</v>
      </c>
      <c r="D38" s="31">
        <v>251</v>
      </c>
      <c r="E38" s="72">
        <v>285</v>
      </c>
      <c r="F38" s="31">
        <v>788</v>
      </c>
      <c r="G38" s="73">
        <v>30715.479999999992</v>
      </c>
      <c r="H38" s="31">
        <v>114923.69000000022</v>
      </c>
      <c r="I38" s="72">
        <v>12584.39</v>
      </c>
      <c r="J38" s="72">
        <v>42696.160000000309</v>
      </c>
      <c r="K38" s="31">
        <v>3638.5714285714284</v>
      </c>
      <c r="L38" s="31">
        <v>13216.571428571429</v>
      </c>
      <c r="M38" s="74">
        <v>12.766917293233082</v>
      </c>
      <c r="N38" s="74">
        <v>16.954521134296417</v>
      </c>
      <c r="O38" s="75">
        <v>107.77361403508769</v>
      </c>
      <c r="P38" s="75">
        <v>145.84224619289367</v>
      </c>
      <c r="Q38" s="76">
        <v>0.40970839459451724</v>
      </c>
      <c r="R38" s="76">
        <v>0.36429036126434816</v>
      </c>
      <c r="S38" s="31">
        <v>1324.7142857142858</v>
      </c>
      <c r="T38" s="31"/>
      <c r="U38" s="76">
        <v>-0.73727787625924168</v>
      </c>
      <c r="V38" s="76">
        <v>-0.65482233502538079</v>
      </c>
      <c r="W38" s="76">
        <v>-0.74036258320630033</v>
      </c>
      <c r="X38" s="76">
        <v>-0.71172976704967184</v>
      </c>
      <c r="Y38" s="76">
        <v>-5.8081429054371858E-2</v>
      </c>
      <c r="Z38" s="76">
        <v>-5.8862653807781884E-2</v>
      </c>
      <c r="AA38" s="76">
        <v>0.15853658536585358</v>
      </c>
      <c r="AB38" s="76">
        <v>0.21770466950628076</v>
      </c>
      <c r="AC38" s="76">
        <v>5.1071398942263313E-2</v>
      </c>
      <c r="AD38" s="142">
        <v>-4.5815583271171786E-2</v>
      </c>
      <c r="AE38" s="142">
        <v>-3.6565674251242526E-2</v>
      </c>
      <c r="AF38" s="142">
        <v>-6.0582650775788414E-2</v>
      </c>
    </row>
    <row r="39" spans="1:32" x14ac:dyDescent="0.35">
      <c r="A39" t="s">
        <v>203</v>
      </c>
      <c r="B39" t="s">
        <v>302</v>
      </c>
      <c r="C39" s="31">
        <v>74</v>
      </c>
      <c r="D39" s="31">
        <v>93</v>
      </c>
      <c r="E39" s="72">
        <v>115</v>
      </c>
      <c r="F39" s="31">
        <v>203</v>
      </c>
      <c r="G39" s="73">
        <v>18973.89</v>
      </c>
      <c r="H39" s="31">
        <v>39334.990000000005</v>
      </c>
      <c r="I39" s="72">
        <v>632.46999999999957</v>
      </c>
      <c r="J39" s="72">
        <v>13188</v>
      </c>
      <c r="K39" s="31">
        <v>3523.2857142857142</v>
      </c>
      <c r="L39" s="31">
        <v>7013.1428571428569</v>
      </c>
      <c r="M39" s="74">
        <v>30.637267080745342</v>
      </c>
      <c r="N39" s="74">
        <v>35.609243697478995</v>
      </c>
      <c r="O39" s="75">
        <v>164.99034782608695</v>
      </c>
      <c r="P39" s="75">
        <v>193.76842364532021</v>
      </c>
      <c r="Q39" s="76">
        <v>3.3333702261370737E-2</v>
      </c>
      <c r="R39" s="76">
        <v>0.33327141985299968</v>
      </c>
      <c r="S39" s="31">
        <v>92.285714285714292</v>
      </c>
      <c r="T39" s="31"/>
      <c r="U39" s="76">
        <v>-0.50020369917705532</v>
      </c>
      <c r="V39" s="76">
        <v>-0.43349753694581283</v>
      </c>
      <c r="W39" s="76">
        <v>-0.51763328273376974</v>
      </c>
      <c r="X39" s="76">
        <v>-0.95170609646868942</v>
      </c>
      <c r="Y39" s="76">
        <v>-2.4719304876381076E-2</v>
      </c>
      <c r="Z39" s="76">
        <v>-2.3518232569188835E-2</v>
      </c>
      <c r="AA39" s="76">
        <v>9.5238095238095344E-2</v>
      </c>
      <c r="AB39" s="76">
        <v>0.2175229610350613</v>
      </c>
      <c r="AC39" s="76">
        <v>0.11165139920592537</v>
      </c>
      <c r="AD39" s="142"/>
      <c r="AE39" s="142"/>
      <c r="AF39" s="142"/>
    </row>
    <row r="40" spans="1:32" x14ac:dyDescent="0.35">
      <c r="A40" t="s">
        <v>203</v>
      </c>
      <c r="B40" t="s">
        <v>342</v>
      </c>
      <c r="C40" s="31">
        <v>183</v>
      </c>
      <c r="D40" s="31"/>
      <c r="E40" s="72">
        <v>260</v>
      </c>
      <c r="F40" s="31"/>
      <c r="G40" s="73">
        <v>15291.959999999983</v>
      </c>
      <c r="H40" s="31"/>
      <c r="I40" s="72">
        <v>4582.4600000000028</v>
      </c>
      <c r="J40" s="72"/>
      <c r="K40" s="31">
        <v>1218.8571428571429</v>
      </c>
      <c r="L40" s="31">
        <v>4</v>
      </c>
      <c r="M40" s="74">
        <v>4.6879120879120881</v>
      </c>
      <c r="N40" s="74"/>
      <c r="O40" s="75">
        <v>58.815230769230702</v>
      </c>
      <c r="P40" s="75"/>
      <c r="Q40" s="76">
        <v>0.29966466038362694</v>
      </c>
      <c r="R40" s="76"/>
      <c r="S40" s="31"/>
      <c r="T40" s="31"/>
      <c r="U40" s="76">
        <v>222.71428571428572</v>
      </c>
      <c r="V40" s="76"/>
      <c r="W40" s="76"/>
      <c r="X40" s="76"/>
      <c r="Y40" s="76">
        <v>0.47178548489104788</v>
      </c>
      <c r="Z40" s="76">
        <v>0.45646978490952539</v>
      </c>
      <c r="AA40" s="76">
        <v>0.52941176470588225</v>
      </c>
      <c r="AB40" s="76">
        <v>0.51686690578973882</v>
      </c>
      <c r="AC40" s="76">
        <v>-8.2024077528629613E-3</v>
      </c>
      <c r="AD40" s="142"/>
      <c r="AE40" s="142"/>
      <c r="AF40" s="142"/>
    </row>
    <row r="41" spans="1:32" x14ac:dyDescent="0.35">
      <c r="A41" t="s">
        <v>203</v>
      </c>
      <c r="B41" t="s">
        <v>297</v>
      </c>
      <c r="C41" s="31">
        <v>16</v>
      </c>
      <c r="D41" s="31">
        <v>135</v>
      </c>
      <c r="E41" s="72">
        <v>16</v>
      </c>
      <c r="F41" s="31">
        <v>139</v>
      </c>
      <c r="G41" s="73">
        <v>11224.88</v>
      </c>
      <c r="H41" s="31">
        <v>93048.230000000025</v>
      </c>
      <c r="I41" s="72">
        <v>3869.0899999999992</v>
      </c>
      <c r="J41" s="72">
        <v>29018.160000000156</v>
      </c>
      <c r="K41" s="31">
        <v>356.28571428571428</v>
      </c>
      <c r="L41" s="31">
        <v>3105.2857142857142</v>
      </c>
      <c r="M41" s="74">
        <v>22.267857142857142</v>
      </c>
      <c r="N41" s="74">
        <v>22.633802816901408</v>
      </c>
      <c r="O41" s="75">
        <v>701.55499999999995</v>
      </c>
      <c r="P41" s="75">
        <v>669.41172661870519</v>
      </c>
      <c r="Q41" s="76">
        <v>0.34468876281973609</v>
      </c>
      <c r="R41" s="76">
        <v>0.30925799379228214</v>
      </c>
      <c r="S41" s="31">
        <v>77.857142857142861</v>
      </c>
      <c r="T41" s="31"/>
      <c r="U41" s="76">
        <v>-0.88908313014675433</v>
      </c>
      <c r="V41" s="76">
        <v>-0.8920863309352518</v>
      </c>
      <c r="W41" s="76">
        <v>-0.88339498773915426</v>
      </c>
      <c r="X41" s="76">
        <v>-0.87026525416427014</v>
      </c>
      <c r="Y41" s="76">
        <v>-5.262791347827922E-2</v>
      </c>
      <c r="Z41" s="76">
        <v>-4.4810417464572927E-2</v>
      </c>
      <c r="AA41" s="76">
        <v>-0.5</v>
      </c>
      <c r="AB41" s="76">
        <v>-0.44952710317222899</v>
      </c>
      <c r="AC41" s="76">
        <v>0.10094579365554202</v>
      </c>
      <c r="AD41" s="142"/>
      <c r="AE41" s="142"/>
      <c r="AF41" s="142"/>
    </row>
    <row r="42" spans="1:32" x14ac:dyDescent="0.35">
      <c r="A42" t="s">
        <v>203</v>
      </c>
      <c r="B42" t="s">
        <v>303</v>
      </c>
      <c r="C42" s="31">
        <v>33</v>
      </c>
      <c r="D42" s="31">
        <v>26</v>
      </c>
      <c r="E42" s="72">
        <v>35</v>
      </c>
      <c r="F42" s="31">
        <v>31</v>
      </c>
      <c r="G42" s="73">
        <v>9625.8899999999958</v>
      </c>
      <c r="H42" s="31">
        <v>4033.1499999999996</v>
      </c>
      <c r="I42" s="72">
        <v>5118.9400000000005</v>
      </c>
      <c r="J42" s="72">
        <v>1238.6600000000003</v>
      </c>
      <c r="K42" s="31">
        <v>1281.2857142857142</v>
      </c>
      <c r="L42" s="31">
        <v>656.85714285714289</v>
      </c>
      <c r="M42" s="74">
        <v>36.608163265306118</v>
      </c>
      <c r="N42" s="74">
        <v>21.635944700460829</v>
      </c>
      <c r="O42" s="75">
        <v>275.02542857142845</v>
      </c>
      <c r="P42" s="75">
        <v>130.1016129032258</v>
      </c>
      <c r="Q42" s="76">
        <v>0.53178874888451899</v>
      </c>
      <c r="R42" s="76">
        <v>0.30711974511238127</v>
      </c>
      <c r="S42" s="31">
        <v>16</v>
      </c>
      <c r="T42" s="31"/>
      <c r="U42" s="76">
        <v>0.82492387994780336</v>
      </c>
      <c r="V42" s="76">
        <v>9.6774193548387011E-2</v>
      </c>
      <c r="W42" s="76">
        <v>1.3143795792370718</v>
      </c>
      <c r="X42" s="76">
        <v>3.0059176852404992</v>
      </c>
      <c r="Y42" s="76">
        <v>-2.7515872842025391E-2</v>
      </c>
      <c r="Z42" s="76">
        <v>-2.953906080934865E-2</v>
      </c>
      <c r="AA42" s="76">
        <v>-5.4054054054054057E-2</v>
      </c>
      <c r="AB42" s="76">
        <v>-3.8583927608318302E-2</v>
      </c>
      <c r="AC42" s="76">
        <v>1.6354133671206306E-2</v>
      </c>
      <c r="AD42" s="142"/>
      <c r="AE42" s="142"/>
      <c r="AF42" s="142"/>
    </row>
    <row r="43" spans="1:32" x14ac:dyDescent="0.35">
      <c r="A43" t="s">
        <v>203</v>
      </c>
      <c r="B43" t="s">
        <v>304</v>
      </c>
      <c r="C43" s="31">
        <v>8</v>
      </c>
      <c r="D43" s="31">
        <v>12</v>
      </c>
      <c r="E43" s="72">
        <v>13</v>
      </c>
      <c r="F43" s="31">
        <v>19</v>
      </c>
      <c r="G43" s="73">
        <v>5527.4999999999991</v>
      </c>
      <c r="H43" s="31">
        <v>1741.6899999999998</v>
      </c>
      <c r="I43" s="72">
        <v>2518.0300000000002</v>
      </c>
      <c r="J43" s="72">
        <v>1044.54</v>
      </c>
      <c r="K43" s="31">
        <v>149.28571428571428</v>
      </c>
      <c r="L43" s="31">
        <v>301</v>
      </c>
      <c r="M43" s="74">
        <v>11.483516483516484</v>
      </c>
      <c r="N43" s="74">
        <v>17.05263157894737</v>
      </c>
      <c r="O43" s="75">
        <v>425.19230769230762</v>
      </c>
      <c r="P43" s="75">
        <v>91.667894736842101</v>
      </c>
      <c r="Q43" s="76">
        <v>0.45554590682948903</v>
      </c>
      <c r="R43" s="76">
        <v>0.59972785053597377</v>
      </c>
      <c r="S43" s="31">
        <v>42</v>
      </c>
      <c r="T43" s="31"/>
      <c r="U43" s="76">
        <v>-0.57047935453251064</v>
      </c>
      <c r="V43" s="76">
        <v>-0.42105263157894735</v>
      </c>
      <c r="W43" s="76">
        <v>2.0779587641888053</v>
      </c>
      <c r="X43" s="76">
        <v>1.4138663909472107</v>
      </c>
      <c r="Y43" s="76">
        <v>-5.0640675817114844E-2</v>
      </c>
      <c r="Z43" s="76">
        <v>-0.11739864864864868</v>
      </c>
      <c r="AA43" s="76">
        <v>-0.64864864864864868</v>
      </c>
      <c r="AB43" s="76">
        <v>0.50933864889956837</v>
      </c>
      <c r="AC43" s="76">
        <v>3.2958100007141562</v>
      </c>
      <c r="AD43" s="142"/>
      <c r="AE43" s="142"/>
      <c r="AF43" s="142"/>
    </row>
    <row r="44" spans="1:32" x14ac:dyDescent="0.35">
      <c r="A44" t="s">
        <v>203</v>
      </c>
      <c r="B44" t="s">
        <v>301</v>
      </c>
      <c r="C44" s="31">
        <v>26</v>
      </c>
      <c r="D44" s="31">
        <v>49</v>
      </c>
      <c r="E44" s="72">
        <v>88</v>
      </c>
      <c r="F44" s="31">
        <v>107</v>
      </c>
      <c r="G44" s="73">
        <v>4642.7399999999989</v>
      </c>
      <c r="H44" s="31">
        <v>14391.389999999996</v>
      </c>
      <c r="I44" s="72">
        <v>641.71</v>
      </c>
      <c r="J44" s="72">
        <v>4729.7199999999957</v>
      </c>
      <c r="K44" s="31">
        <v>2531.1428571428573</v>
      </c>
      <c r="L44" s="31">
        <v>6778.1428571428569</v>
      </c>
      <c r="M44" s="74">
        <v>28.762987012987015</v>
      </c>
      <c r="N44" s="74">
        <v>63.737876802096984</v>
      </c>
      <c r="O44" s="75">
        <v>52.758409090909076</v>
      </c>
      <c r="P44" s="75">
        <v>134.49897196261679</v>
      </c>
      <c r="Q44" s="76">
        <v>0.13821794888363342</v>
      </c>
      <c r="R44" s="76">
        <v>0.31904278799194835</v>
      </c>
      <c r="S44" s="31">
        <v>91.857142857142861</v>
      </c>
      <c r="T44" s="31"/>
      <c r="U44" s="76">
        <v>-0.62779522414483524</v>
      </c>
      <c r="V44" s="76">
        <v>-0.17757009345794394</v>
      </c>
      <c r="W44" s="76">
        <v>-0.67739460885988079</v>
      </c>
      <c r="X44" s="76">
        <v>-0.86036456531341887</v>
      </c>
      <c r="Y44" s="76">
        <v>-4.6433751704830217E-2</v>
      </c>
      <c r="Z44" s="76">
        <v>-4.9004347592721653E-2</v>
      </c>
      <c r="AA44" s="76">
        <v>3.529411764705892E-2</v>
      </c>
      <c r="AB44" s="76">
        <v>-0.13666167068948221</v>
      </c>
      <c r="AC44" s="76">
        <v>-0.16609365918870445</v>
      </c>
      <c r="AD44" s="142"/>
      <c r="AE44" s="142"/>
      <c r="AF44" s="142"/>
    </row>
    <row r="45" spans="1:32" x14ac:dyDescent="0.35">
      <c r="A45" t="s">
        <v>203</v>
      </c>
      <c r="B45" t="s">
        <v>759</v>
      </c>
      <c r="C45" s="31">
        <v>9</v>
      </c>
      <c r="D45" s="31"/>
      <c r="E45" s="72">
        <v>10</v>
      </c>
      <c r="F45" s="31"/>
      <c r="G45" s="73">
        <v>2066.56</v>
      </c>
      <c r="H45" s="31"/>
      <c r="I45" s="72">
        <v>496.02</v>
      </c>
      <c r="J45" s="72"/>
      <c r="K45" s="31">
        <v>34.428571428571431</v>
      </c>
      <c r="L45" s="31"/>
      <c r="M45" s="74">
        <v>3.4428571428571431</v>
      </c>
      <c r="N45" s="74"/>
      <c r="O45" s="75">
        <v>206.65600000000001</v>
      </c>
      <c r="P45" s="75"/>
      <c r="Q45" s="76">
        <v>0.24002206565500156</v>
      </c>
      <c r="R45" s="76"/>
      <c r="S45" s="31"/>
      <c r="T45" s="31"/>
      <c r="U45" s="76"/>
      <c r="V45" s="76"/>
      <c r="W45" s="76"/>
      <c r="X45" s="76"/>
      <c r="Y45" s="76">
        <v>-0.25733338843180698</v>
      </c>
      <c r="Z45" s="76">
        <v>-0.24451410658307204</v>
      </c>
      <c r="AA45" s="76">
        <v>0.4285714285714286</v>
      </c>
      <c r="AB45" s="76">
        <v>-5.3452177019686298E-2</v>
      </c>
      <c r="AC45" s="76">
        <v>-0.3374165239137803</v>
      </c>
      <c r="AD45" s="142"/>
      <c r="AE45" s="142"/>
      <c r="AF45" s="142"/>
    </row>
    <row r="46" spans="1:32" x14ac:dyDescent="0.35">
      <c r="A46" t="s">
        <v>203</v>
      </c>
      <c r="B46" t="s">
        <v>300</v>
      </c>
      <c r="C46" s="31">
        <v>8</v>
      </c>
      <c r="D46" s="31">
        <v>116</v>
      </c>
      <c r="E46" s="72">
        <v>8</v>
      </c>
      <c r="F46" s="31">
        <v>138</v>
      </c>
      <c r="G46" s="73">
        <v>1333.28</v>
      </c>
      <c r="H46" s="31">
        <v>36795.920000000035</v>
      </c>
      <c r="I46" s="72">
        <v>118.27999999999999</v>
      </c>
      <c r="J46" s="72">
        <v>15701.330000000027</v>
      </c>
      <c r="K46" s="31">
        <v>181.71428571428572</v>
      </c>
      <c r="L46" s="31">
        <v>2144.5714285714284</v>
      </c>
      <c r="M46" s="74">
        <v>22.714285714285715</v>
      </c>
      <c r="N46" s="74">
        <v>15.769387755102041</v>
      </c>
      <c r="O46" s="75">
        <v>166.66</v>
      </c>
      <c r="P46" s="75">
        <v>266.63710144927563</v>
      </c>
      <c r="Q46" s="76">
        <v>8.8713548541941675E-2</v>
      </c>
      <c r="R46" s="76">
        <v>0.42061768234107255</v>
      </c>
      <c r="S46" s="31">
        <v>149</v>
      </c>
      <c r="T46" s="31"/>
      <c r="U46" s="76">
        <v>-0.92126298960831332</v>
      </c>
      <c r="V46" s="76">
        <v>-0.94202898550724634</v>
      </c>
      <c r="W46" s="76">
        <v>-0.96376554791944324</v>
      </c>
      <c r="X46" s="76">
        <v>-0.99237544180601733</v>
      </c>
      <c r="Y46" s="76">
        <v>-6.012228490351923E-2</v>
      </c>
      <c r="Z46" s="76">
        <v>-6.0561299852289419E-2</v>
      </c>
      <c r="AA46" s="76">
        <v>-0.38461538461538458</v>
      </c>
      <c r="AB46" s="76">
        <v>-0.43859767317498355</v>
      </c>
      <c r="AC46" s="76">
        <v>-8.7721218909348253E-2</v>
      </c>
      <c r="AD46" s="142"/>
      <c r="AE46" s="142"/>
      <c r="AF46" s="142"/>
    </row>
    <row r="47" spans="1:32" x14ac:dyDescent="0.35">
      <c r="A47" t="s">
        <v>203</v>
      </c>
      <c r="B47" t="s">
        <v>306</v>
      </c>
      <c r="C47" s="31">
        <v>3</v>
      </c>
      <c r="D47" s="31">
        <v>2</v>
      </c>
      <c r="E47" s="72">
        <v>7</v>
      </c>
      <c r="F47" s="31">
        <v>12</v>
      </c>
      <c r="G47" s="73">
        <v>424.93</v>
      </c>
      <c r="H47" s="31">
        <v>469.88</v>
      </c>
      <c r="I47" s="72">
        <v>323</v>
      </c>
      <c r="J47" s="72">
        <v>249.74</v>
      </c>
      <c r="K47" s="31">
        <v>26.285714285714285</v>
      </c>
      <c r="L47" s="31">
        <v>196.57142857142858</v>
      </c>
      <c r="M47" s="74">
        <v>3.7551020408163263</v>
      </c>
      <c r="N47" s="74">
        <v>18.464285714285715</v>
      </c>
      <c r="O47" s="75">
        <v>60.704285714285717</v>
      </c>
      <c r="P47" s="75">
        <v>39.156666666666666</v>
      </c>
      <c r="Q47" s="76">
        <v>0.76012519709128556</v>
      </c>
      <c r="R47" s="76">
        <v>0.5314974035924066</v>
      </c>
      <c r="S47" s="31">
        <v>91</v>
      </c>
      <c r="T47" s="31"/>
      <c r="U47" s="76">
        <v>-0.85610465116279078</v>
      </c>
      <c r="V47" s="76">
        <v>-0.41666666666666663</v>
      </c>
      <c r="W47" s="76">
        <v>-9.5662722397207745E-2</v>
      </c>
      <c r="X47" s="76">
        <v>0.29334507888203731</v>
      </c>
      <c r="Y47" s="76">
        <v>-8.5663017611190551E-2</v>
      </c>
      <c r="Z47" s="76">
        <v>-0.10243902439024388</v>
      </c>
      <c r="AA47" s="76"/>
      <c r="AB47" s="76"/>
      <c r="AC47" s="76"/>
      <c r="AD47" s="142"/>
      <c r="AE47" s="142"/>
      <c r="AF47" s="142"/>
    </row>
    <row r="48" spans="1:32" x14ac:dyDescent="0.35">
      <c r="A48" t="s">
        <v>203</v>
      </c>
      <c r="B48" t="s">
        <v>762</v>
      </c>
      <c r="C48" s="31">
        <v>2</v>
      </c>
      <c r="D48" s="31"/>
      <c r="E48" s="72">
        <v>3</v>
      </c>
      <c r="F48" s="31"/>
      <c r="G48" s="73">
        <v>324.98</v>
      </c>
      <c r="H48" s="31"/>
      <c r="I48" s="72">
        <v>121.85</v>
      </c>
      <c r="J48" s="72"/>
      <c r="K48" s="31">
        <v>32</v>
      </c>
      <c r="L48" s="31"/>
      <c r="M48" s="74">
        <v>10.666666666666666</v>
      </c>
      <c r="N48" s="74"/>
      <c r="O48" s="75">
        <v>108.32666666666667</v>
      </c>
      <c r="P48" s="75"/>
      <c r="Q48" s="76">
        <v>0.37494615053234043</v>
      </c>
      <c r="R48" s="76"/>
      <c r="S48" s="31"/>
      <c r="T48" s="31"/>
      <c r="U48" s="76"/>
      <c r="V48" s="76"/>
      <c r="W48" s="76"/>
      <c r="X48" s="76"/>
      <c r="Y48" s="76">
        <v>-3.0303030303030276E-2</v>
      </c>
      <c r="Z48" s="76">
        <v>-3.0303030303030276E-2</v>
      </c>
      <c r="AA48" s="76"/>
      <c r="AB48" s="76"/>
      <c r="AC48" s="76"/>
      <c r="AD48" s="142"/>
      <c r="AE48" s="142"/>
      <c r="AF48" s="142"/>
    </row>
    <row r="49" spans="1:32" x14ac:dyDescent="0.35">
      <c r="A49" t="s">
        <v>203</v>
      </c>
      <c r="B49" t="s">
        <v>308</v>
      </c>
      <c r="C49" s="31">
        <v>2</v>
      </c>
      <c r="D49" s="31">
        <v>5</v>
      </c>
      <c r="E49" s="72">
        <v>2</v>
      </c>
      <c r="F49" s="31">
        <v>7</v>
      </c>
      <c r="G49" s="73">
        <v>133.32</v>
      </c>
      <c r="H49" s="31">
        <v>380.78</v>
      </c>
      <c r="I49" s="72">
        <v>61.72</v>
      </c>
      <c r="J49" s="72">
        <v>107.04999999999995</v>
      </c>
      <c r="K49" s="31">
        <v>32.714285714285715</v>
      </c>
      <c r="L49" s="31">
        <v>193.42857142857142</v>
      </c>
      <c r="M49" s="74">
        <v>16.357142857142858</v>
      </c>
      <c r="N49" s="74">
        <v>27.816326530612248</v>
      </c>
      <c r="O49" s="75">
        <v>66.66</v>
      </c>
      <c r="P49" s="75">
        <v>54.397142857142853</v>
      </c>
      <c r="Q49" s="76">
        <v>0.46294629462946296</v>
      </c>
      <c r="R49" s="76">
        <v>0.28113346289195851</v>
      </c>
      <c r="S49" s="31">
        <v>18</v>
      </c>
      <c r="T49" s="31"/>
      <c r="U49" s="76">
        <v>-0.83087149187592324</v>
      </c>
      <c r="V49" s="76">
        <v>-0.7142857142857143</v>
      </c>
      <c r="W49" s="76">
        <v>-0.64987656914753922</v>
      </c>
      <c r="X49" s="76">
        <v>-0.42344698738907027</v>
      </c>
      <c r="Y49" s="76">
        <v>-0.11195860133021052</v>
      </c>
      <c r="Z49" s="76">
        <v>-0.1089494163424124</v>
      </c>
      <c r="AA49" s="76">
        <v>-0.5</v>
      </c>
      <c r="AB49" s="76">
        <v>-0.5</v>
      </c>
      <c r="AC49" s="76">
        <v>0</v>
      </c>
      <c r="AD49" s="142"/>
      <c r="AE49" s="142"/>
      <c r="AF49" s="142"/>
    </row>
    <row r="50" spans="1:32" x14ac:dyDescent="0.35">
      <c r="A50" t="s">
        <v>203</v>
      </c>
      <c r="B50" t="s">
        <v>760</v>
      </c>
      <c r="C50" s="31">
        <v>1</v>
      </c>
      <c r="D50" s="31"/>
      <c r="E50" s="72">
        <v>1</v>
      </c>
      <c r="F50" s="31"/>
      <c r="G50" s="73">
        <v>124.99</v>
      </c>
      <c r="H50" s="31"/>
      <c r="I50" s="72">
        <v>33.08</v>
      </c>
      <c r="J50" s="72"/>
      <c r="K50" s="31">
        <v>45.142857142857146</v>
      </c>
      <c r="L50" s="31"/>
      <c r="M50" s="74">
        <v>45.142857142857146</v>
      </c>
      <c r="N50" s="74"/>
      <c r="O50" s="75">
        <v>124.99</v>
      </c>
      <c r="P50" s="75"/>
      <c r="Q50" s="76">
        <v>0.26466117289383151</v>
      </c>
      <c r="R50" s="76"/>
      <c r="S50" s="31"/>
      <c r="T50" s="31"/>
      <c r="U50" s="76"/>
      <c r="V50" s="76"/>
      <c r="W50" s="76"/>
      <c r="X50" s="76"/>
      <c r="Y50" s="76">
        <v>-0.1039475925783544</v>
      </c>
      <c r="Z50" s="76">
        <v>-9.7142857142857086E-2</v>
      </c>
      <c r="AA50" s="76">
        <v>-0.85714285714285721</v>
      </c>
      <c r="AB50" s="76">
        <v>-0.92105479235749255</v>
      </c>
      <c r="AC50" s="76">
        <v>-0.44738354650244749</v>
      </c>
      <c r="AD50" s="142"/>
      <c r="AE50" s="142"/>
      <c r="AF50" s="142"/>
    </row>
    <row r="51" spans="1:32" x14ac:dyDescent="0.35">
      <c r="A51" t="s">
        <v>203</v>
      </c>
      <c r="B51" t="s">
        <v>761</v>
      </c>
      <c r="C51" s="31">
        <v>2</v>
      </c>
      <c r="D51" s="31"/>
      <c r="E51" s="72">
        <v>3</v>
      </c>
      <c r="F51" s="31"/>
      <c r="G51" s="73">
        <v>87.24</v>
      </c>
      <c r="H51" s="31"/>
      <c r="I51" s="72">
        <v>9.51</v>
      </c>
      <c r="J51" s="72"/>
      <c r="K51" s="31">
        <v>111.42857142857143</v>
      </c>
      <c r="L51" s="31"/>
      <c r="M51" s="74">
        <v>37.142857142857146</v>
      </c>
      <c r="N51" s="74"/>
      <c r="O51" s="75">
        <v>29.08</v>
      </c>
      <c r="P51" s="75"/>
      <c r="Q51" s="76">
        <v>0.10900962861072903</v>
      </c>
      <c r="R51" s="76"/>
      <c r="S51" s="31"/>
      <c r="T51" s="31"/>
      <c r="U51" s="76"/>
      <c r="V51" s="76"/>
      <c r="W51" s="76"/>
      <c r="X51" s="76"/>
      <c r="Y51" s="76">
        <v>-5.1020408163264808E-3</v>
      </c>
      <c r="Z51" s="76">
        <v>-5.1020408163264808E-3</v>
      </c>
      <c r="AA51" s="76"/>
      <c r="AB51" s="76"/>
      <c r="AC51" s="76"/>
      <c r="AD51" s="142"/>
      <c r="AE51" s="142"/>
      <c r="AF51" s="142"/>
    </row>
    <row r="52" spans="1:32" x14ac:dyDescent="0.35">
      <c r="A52" t="s">
        <v>203</v>
      </c>
      <c r="B52" t="s">
        <v>312</v>
      </c>
      <c r="C52" s="31">
        <v>1</v>
      </c>
      <c r="D52" s="31">
        <v>1</v>
      </c>
      <c r="E52" s="72">
        <v>1</v>
      </c>
      <c r="F52" s="31">
        <v>1</v>
      </c>
      <c r="G52" s="73">
        <v>56.66</v>
      </c>
      <c r="H52" s="31">
        <v>41.67</v>
      </c>
      <c r="I52" s="72">
        <v>9.06</v>
      </c>
      <c r="J52" s="72">
        <v>-5.3500000000000014</v>
      </c>
      <c r="K52" s="31">
        <v>5.8571428571428568</v>
      </c>
      <c r="L52" s="31">
        <v>32</v>
      </c>
      <c r="M52" s="74">
        <v>5.8571428571428568</v>
      </c>
      <c r="N52" s="74">
        <v>33</v>
      </c>
      <c r="O52" s="75">
        <v>56.66</v>
      </c>
      <c r="P52" s="75">
        <v>41.67</v>
      </c>
      <c r="Q52" s="76">
        <v>0.15990116484292272</v>
      </c>
      <c r="R52" s="76">
        <v>-0.1283897288216943</v>
      </c>
      <c r="S52" s="31">
        <v>78</v>
      </c>
      <c r="T52" s="31"/>
      <c r="U52" s="76">
        <v>-0.8482142857142857</v>
      </c>
      <c r="V52" s="76">
        <v>0</v>
      </c>
      <c r="W52" s="76">
        <v>0.35973122150227965</v>
      </c>
      <c r="X52" s="76">
        <v>-2.6934579439252322</v>
      </c>
      <c r="Y52" s="76">
        <v>-1.3110171083928646E-2</v>
      </c>
      <c r="Z52" s="76">
        <v>-2.3809523809523836E-2</v>
      </c>
      <c r="AA52" s="76"/>
      <c r="AB52" s="76"/>
      <c r="AC52" s="76"/>
      <c r="AD52" s="142"/>
      <c r="AE52" s="142"/>
      <c r="AF52" s="142"/>
    </row>
    <row r="53" spans="1:32" x14ac:dyDescent="0.35">
      <c r="A53" t="s">
        <v>203</v>
      </c>
      <c r="B53" t="s">
        <v>316</v>
      </c>
      <c r="C53" s="31">
        <v>1</v>
      </c>
      <c r="D53" s="31">
        <v>1</v>
      </c>
      <c r="E53" s="72">
        <v>1</v>
      </c>
      <c r="F53" s="31">
        <v>1</v>
      </c>
      <c r="G53" s="73">
        <v>45.45</v>
      </c>
      <c r="H53" s="31">
        <v>41.72</v>
      </c>
      <c r="I53" s="72">
        <v>18.13</v>
      </c>
      <c r="J53" s="72">
        <v>12.279999999999998</v>
      </c>
      <c r="K53" s="31">
        <v>2.4285714285714284</v>
      </c>
      <c r="L53" s="31">
        <v>11.142857142857142</v>
      </c>
      <c r="M53" s="74">
        <v>2.4285714285714284</v>
      </c>
      <c r="N53" s="74">
        <v>11.142857142857142</v>
      </c>
      <c r="O53" s="75">
        <v>45.45</v>
      </c>
      <c r="P53" s="75">
        <v>41.72</v>
      </c>
      <c r="Q53" s="76">
        <v>0.39889988998899883</v>
      </c>
      <c r="R53" s="76">
        <v>0.29434324065196543</v>
      </c>
      <c r="S53" s="31">
        <v>1</v>
      </c>
      <c r="T53" s="31"/>
      <c r="U53" s="76">
        <v>-0.87179487179487181</v>
      </c>
      <c r="V53" s="76">
        <v>0</v>
      </c>
      <c r="W53" s="76">
        <v>8.9405560882070967E-2</v>
      </c>
      <c r="X53" s="76">
        <v>0.47638436482084745</v>
      </c>
      <c r="Y53" s="76">
        <v>-0.14266132295923017</v>
      </c>
      <c r="Z53" s="76">
        <v>-0.19047619047619058</v>
      </c>
      <c r="AA53" s="76"/>
      <c r="AB53" s="76"/>
      <c r="AC53" s="76"/>
      <c r="AD53" s="142"/>
      <c r="AE53" s="142"/>
      <c r="AF53" s="142"/>
    </row>
    <row r="54" spans="1:32" x14ac:dyDescent="0.35">
      <c r="A54" t="s">
        <v>203</v>
      </c>
      <c r="B54" t="s">
        <v>314</v>
      </c>
      <c r="C54" s="31">
        <v>1</v>
      </c>
      <c r="D54" s="31"/>
      <c r="E54" s="72">
        <v>1</v>
      </c>
      <c r="F54" s="31"/>
      <c r="G54" s="73">
        <v>20.82</v>
      </c>
      <c r="H54" s="31"/>
      <c r="I54" s="72">
        <v>1.58</v>
      </c>
      <c r="J54" s="72"/>
      <c r="K54" s="31">
        <v>-2.7142857142857144</v>
      </c>
      <c r="L54" s="31">
        <v>13</v>
      </c>
      <c r="M54" s="74">
        <v>-2.7142857142857144</v>
      </c>
      <c r="N54" s="74"/>
      <c r="O54" s="75">
        <v>20.82</v>
      </c>
      <c r="P54" s="75"/>
      <c r="Q54" s="76">
        <v>7.5888568683957741E-2</v>
      </c>
      <c r="R54" s="76"/>
      <c r="S54" s="31">
        <v>13</v>
      </c>
      <c r="T54" s="31"/>
      <c r="U54" s="76">
        <v>-0.69230769230769229</v>
      </c>
      <c r="V54" s="76"/>
      <c r="W54" s="76"/>
      <c r="X54" s="76"/>
      <c r="Y54" s="76">
        <v>0.35714285714285632</v>
      </c>
      <c r="Z54" s="76">
        <v>0.35714285714285721</v>
      </c>
      <c r="AA54" s="76"/>
      <c r="AB54" s="76"/>
      <c r="AC54" s="76"/>
      <c r="AD54" s="142"/>
      <c r="AE54" s="142"/>
      <c r="AF54" s="142"/>
    </row>
    <row r="55" spans="1:32" x14ac:dyDescent="0.35">
      <c r="A55" t="s">
        <v>203</v>
      </c>
      <c r="B55" t="s">
        <v>336</v>
      </c>
      <c r="C55" s="31"/>
      <c r="D55" s="31"/>
      <c r="E55" s="72"/>
      <c r="F55" s="31"/>
      <c r="G55" s="73"/>
      <c r="H55" s="31"/>
      <c r="I55" s="72"/>
      <c r="J55" s="72"/>
      <c r="K55" s="31"/>
      <c r="L55" s="31">
        <v>1</v>
      </c>
      <c r="M55" s="74"/>
      <c r="N55" s="74"/>
      <c r="O55" s="75"/>
      <c r="P55" s="75"/>
      <c r="Q55" s="76"/>
      <c r="R55" s="76"/>
      <c r="S55" s="31"/>
      <c r="T55" s="31"/>
      <c r="U55" s="76"/>
      <c r="V55" s="76"/>
      <c r="W55" s="76"/>
      <c r="X55" s="76"/>
      <c r="Y55" s="76"/>
      <c r="Z55" s="76"/>
      <c r="AA55" s="76"/>
      <c r="AB55" s="76"/>
      <c r="AC55" s="76"/>
      <c r="AD55" s="142"/>
      <c r="AE55" s="142"/>
      <c r="AF55" s="142"/>
    </row>
    <row r="56" spans="1:32" x14ac:dyDescent="0.35">
      <c r="A56" t="s">
        <v>203</v>
      </c>
      <c r="B56" t="s">
        <v>326</v>
      </c>
      <c r="C56" s="31"/>
      <c r="D56" s="31"/>
      <c r="E56" s="72"/>
      <c r="F56" s="31"/>
      <c r="G56" s="73"/>
      <c r="H56" s="31"/>
      <c r="I56" s="72"/>
      <c r="J56" s="72"/>
      <c r="K56" s="31">
        <v>1</v>
      </c>
      <c r="L56" s="31"/>
      <c r="M56" s="74"/>
      <c r="N56" s="74"/>
      <c r="O56" s="75"/>
      <c r="P56" s="75"/>
      <c r="Q56" s="76"/>
      <c r="R56" s="76"/>
      <c r="S56" s="31">
        <v>3</v>
      </c>
      <c r="T56" s="31"/>
      <c r="U56" s="76"/>
      <c r="V56" s="76"/>
      <c r="W56" s="76"/>
      <c r="X56" s="76"/>
      <c r="Y56" s="76">
        <v>0</v>
      </c>
      <c r="Z56" s="76">
        <v>0</v>
      </c>
      <c r="AA56" s="76"/>
      <c r="AB56" s="76"/>
      <c r="AC56" s="76"/>
      <c r="AD56" s="142"/>
      <c r="AE56" s="142"/>
      <c r="AF56" s="142"/>
    </row>
    <row r="57" spans="1:32" x14ac:dyDescent="0.35">
      <c r="A57" t="s">
        <v>203</v>
      </c>
      <c r="B57" t="s">
        <v>317</v>
      </c>
      <c r="C57" s="31"/>
      <c r="D57" s="31">
        <v>1</v>
      </c>
      <c r="E57" s="72"/>
      <c r="F57" s="31">
        <v>1</v>
      </c>
      <c r="G57" s="73"/>
      <c r="H57" s="31">
        <v>63.64</v>
      </c>
      <c r="I57" s="72"/>
      <c r="J57" s="72">
        <v>15.920000000000002</v>
      </c>
      <c r="K57" s="31">
        <v>0</v>
      </c>
      <c r="L57" s="31">
        <v>4.7142857142857144</v>
      </c>
      <c r="M57" s="74"/>
      <c r="N57" s="74">
        <v>4.7142857142857144</v>
      </c>
      <c r="O57" s="75"/>
      <c r="P57" s="75">
        <v>63.64</v>
      </c>
      <c r="Q57" s="76"/>
      <c r="R57" s="76">
        <v>0.25015713387806415</v>
      </c>
      <c r="S57" s="31"/>
      <c r="T57" s="31"/>
      <c r="U57" s="76"/>
      <c r="V57" s="76"/>
      <c r="W57" s="76"/>
      <c r="X57" s="76"/>
      <c r="Y57" s="76">
        <v>-1.1102230246251565E-16</v>
      </c>
      <c r="Z57" s="76"/>
      <c r="AA57" s="76"/>
      <c r="AB57" s="76"/>
      <c r="AC57" s="76"/>
      <c r="AD57" s="142"/>
      <c r="AE57" s="142"/>
      <c r="AF57" s="142"/>
    </row>
    <row r="58" spans="1:32" x14ac:dyDescent="0.35">
      <c r="A58" t="s">
        <v>203</v>
      </c>
      <c r="B58" t="s">
        <v>320</v>
      </c>
      <c r="C58" s="31"/>
      <c r="D58" s="31"/>
      <c r="E58" s="72"/>
      <c r="F58" s="31"/>
      <c r="G58" s="73"/>
      <c r="H58" s="31"/>
      <c r="I58" s="72"/>
      <c r="J58" s="72"/>
      <c r="K58" s="31">
        <v>-1</v>
      </c>
      <c r="L58" s="31">
        <v>19.428571428571427</v>
      </c>
      <c r="M58" s="74"/>
      <c r="N58" s="74"/>
      <c r="O58" s="75"/>
      <c r="P58" s="75"/>
      <c r="Q58" s="76"/>
      <c r="R58" s="76"/>
      <c r="S58" s="31">
        <v>1</v>
      </c>
      <c r="T58" s="31"/>
      <c r="U58" s="76">
        <v>-1.0514705882352942</v>
      </c>
      <c r="V58" s="76"/>
      <c r="W58" s="76"/>
      <c r="X58" s="76"/>
      <c r="Y58" s="76">
        <v>0</v>
      </c>
      <c r="Z58" s="76">
        <v>0</v>
      </c>
      <c r="AA58" s="76"/>
      <c r="AB58" s="76"/>
      <c r="AC58" s="76"/>
      <c r="AD58" s="142"/>
      <c r="AE58" s="142"/>
      <c r="AF58" s="142"/>
    </row>
    <row r="59" spans="1:32" x14ac:dyDescent="0.35">
      <c r="A59" t="s">
        <v>203</v>
      </c>
      <c r="B59" t="s">
        <v>324</v>
      </c>
      <c r="C59" s="31"/>
      <c r="D59" s="31"/>
      <c r="E59" s="72"/>
      <c r="F59" s="31"/>
      <c r="G59" s="73"/>
      <c r="H59" s="31"/>
      <c r="I59" s="72"/>
      <c r="J59" s="72"/>
      <c r="K59" s="31"/>
      <c r="L59" s="31">
        <v>1</v>
      </c>
      <c r="M59" s="74"/>
      <c r="N59" s="74"/>
      <c r="O59" s="75"/>
      <c r="P59" s="75"/>
      <c r="Q59" s="76"/>
      <c r="R59" s="76"/>
      <c r="S59" s="31"/>
      <c r="T59" s="31"/>
      <c r="U59" s="76"/>
      <c r="V59" s="76"/>
      <c r="W59" s="76"/>
      <c r="X59" s="76"/>
      <c r="Y59" s="76"/>
      <c r="Z59" s="76"/>
      <c r="AA59" s="76"/>
      <c r="AB59" s="76"/>
      <c r="AC59" s="76"/>
      <c r="AD59" s="142"/>
      <c r="AE59" s="142"/>
      <c r="AF59" s="142"/>
    </row>
    <row r="60" spans="1:32" x14ac:dyDescent="0.35">
      <c r="A60" t="s">
        <v>203</v>
      </c>
      <c r="B60" t="s">
        <v>330</v>
      </c>
      <c r="C60" s="31"/>
      <c r="D60" s="31"/>
      <c r="E60" s="72"/>
      <c r="F60" s="31"/>
      <c r="G60" s="73"/>
      <c r="H60" s="31"/>
      <c r="I60" s="72"/>
      <c r="J60" s="72"/>
      <c r="K60" s="31"/>
      <c r="L60" s="31">
        <v>-1</v>
      </c>
      <c r="M60" s="74"/>
      <c r="N60" s="74"/>
      <c r="O60" s="75"/>
      <c r="P60" s="75"/>
      <c r="Q60" s="76"/>
      <c r="R60" s="76"/>
      <c r="S60" s="31"/>
      <c r="T60" s="31"/>
      <c r="U60" s="76"/>
      <c r="V60" s="76"/>
      <c r="W60" s="76"/>
      <c r="X60" s="76"/>
      <c r="Y60" s="76"/>
      <c r="Z60" s="76"/>
      <c r="AA60" s="76"/>
      <c r="AB60" s="76"/>
      <c r="AC60" s="76"/>
      <c r="AD60" s="142"/>
      <c r="AE60" s="142"/>
      <c r="AF60" s="142"/>
    </row>
    <row r="61" spans="1:32" x14ac:dyDescent="0.35">
      <c r="A61" t="s">
        <v>203</v>
      </c>
      <c r="B61" t="s">
        <v>319</v>
      </c>
      <c r="C61" s="31"/>
      <c r="D61" s="31"/>
      <c r="E61" s="72"/>
      <c r="F61" s="31"/>
      <c r="G61" s="73"/>
      <c r="H61" s="31"/>
      <c r="I61" s="72"/>
      <c r="J61" s="72"/>
      <c r="K61" s="31">
        <v>0</v>
      </c>
      <c r="L61" s="31"/>
      <c r="M61" s="74"/>
      <c r="N61" s="74"/>
      <c r="O61" s="75"/>
      <c r="P61" s="75"/>
      <c r="Q61" s="76"/>
      <c r="R61" s="76"/>
      <c r="S61" s="31">
        <v>6</v>
      </c>
      <c r="T61" s="31"/>
      <c r="U61" s="76"/>
      <c r="V61" s="76"/>
      <c r="W61" s="76"/>
      <c r="X61" s="76"/>
      <c r="Y61" s="76">
        <v>0</v>
      </c>
      <c r="Z61" s="76"/>
      <c r="AA61" s="76"/>
      <c r="AB61" s="76"/>
      <c r="AC61" s="76"/>
      <c r="AD61" s="142"/>
      <c r="AE61" s="142"/>
      <c r="AF61" s="142"/>
    </row>
    <row r="62" spans="1:32" x14ac:dyDescent="0.35">
      <c r="A62" t="s">
        <v>203</v>
      </c>
      <c r="B62" t="s">
        <v>332</v>
      </c>
      <c r="C62" s="31"/>
      <c r="D62" s="31"/>
      <c r="E62" s="72"/>
      <c r="F62" s="31"/>
      <c r="G62" s="73"/>
      <c r="H62" s="31"/>
      <c r="I62" s="72"/>
      <c r="J62" s="72"/>
      <c r="K62" s="31"/>
      <c r="L62" s="31">
        <v>1</v>
      </c>
      <c r="M62" s="74"/>
      <c r="N62" s="74"/>
      <c r="O62" s="75"/>
      <c r="P62" s="75"/>
      <c r="Q62" s="76"/>
      <c r="R62" s="76"/>
      <c r="S62" s="31"/>
      <c r="T62" s="31"/>
      <c r="U62" s="76"/>
      <c r="V62" s="76"/>
      <c r="W62" s="76"/>
      <c r="X62" s="76"/>
      <c r="Y62" s="76"/>
      <c r="Z62" s="76"/>
      <c r="AA62" s="76"/>
      <c r="AB62" s="76"/>
      <c r="AC62" s="76"/>
      <c r="AD62" s="142"/>
      <c r="AE62" s="142"/>
      <c r="AF62" s="142"/>
    </row>
    <row r="63" spans="1:32" x14ac:dyDescent="0.35">
      <c r="A63" t="s">
        <v>203</v>
      </c>
      <c r="B63" t="s">
        <v>323</v>
      </c>
      <c r="C63" s="31"/>
      <c r="D63" s="31"/>
      <c r="E63" s="72"/>
      <c r="F63" s="31"/>
      <c r="G63" s="73"/>
      <c r="H63" s="31"/>
      <c r="I63" s="72"/>
      <c r="J63" s="72"/>
      <c r="K63" s="31">
        <v>17</v>
      </c>
      <c r="L63" s="31">
        <v>23</v>
      </c>
      <c r="M63" s="74"/>
      <c r="N63" s="74"/>
      <c r="O63" s="75"/>
      <c r="P63" s="75"/>
      <c r="Q63" s="76"/>
      <c r="R63" s="76"/>
      <c r="S63" s="31"/>
      <c r="T63" s="31"/>
      <c r="U63" s="76">
        <v>-0.26086956521739135</v>
      </c>
      <c r="V63" s="76"/>
      <c r="W63" s="76"/>
      <c r="X63" s="76"/>
      <c r="Y63" s="76">
        <v>0</v>
      </c>
      <c r="Z63" s="76">
        <v>0</v>
      </c>
      <c r="AA63" s="76"/>
      <c r="AB63" s="76"/>
      <c r="AC63" s="76"/>
      <c r="AD63" s="142"/>
      <c r="AE63" s="142"/>
      <c r="AF63" s="142"/>
    </row>
    <row r="64" spans="1:32" x14ac:dyDescent="0.35">
      <c r="A64" t="s">
        <v>203</v>
      </c>
      <c r="B64" t="s">
        <v>335</v>
      </c>
      <c r="C64" s="31"/>
      <c r="D64" s="31">
        <v>1</v>
      </c>
      <c r="E64" s="72"/>
      <c r="F64" s="31">
        <v>1</v>
      </c>
      <c r="G64" s="73"/>
      <c r="H64" s="31">
        <v>36.36</v>
      </c>
      <c r="I64" s="72"/>
      <c r="J64" s="72">
        <v>11.61</v>
      </c>
      <c r="K64" s="31"/>
      <c r="L64" s="31"/>
      <c r="M64" s="74"/>
      <c r="N64" s="74"/>
      <c r="O64" s="75"/>
      <c r="P64" s="75">
        <v>36.36</v>
      </c>
      <c r="Q64" s="76"/>
      <c r="R64" s="76">
        <v>0.31930693069306931</v>
      </c>
      <c r="S64" s="31"/>
      <c r="T64" s="31"/>
      <c r="U64" s="76"/>
      <c r="V64" s="76"/>
      <c r="W64" s="76"/>
      <c r="X64" s="76"/>
      <c r="Y64" s="76"/>
      <c r="Z64" s="76"/>
      <c r="AA64" s="76"/>
      <c r="AB64" s="76"/>
      <c r="AC64" s="76"/>
      <c r="AD64" s="142"/>
      <c r="AE64" s="142"/>
      <c r="AF64" s="142"/>
    </row>
    <row r="65" spans="1:32" x14ac:dyDescent="0.35">
      <c r="A65" t="s">
        <v>203</v>
      </c>
      <c r="B65" t="s">
        <v>331</v>
      </c>
      <c r="C65" s="31"/>
      <c r="D65" s="31"/>
      <c r="E65" s="72"/>
      <c r="F65" s="31"/>
      <c r="G65" s="73"/>
      <c r="H65" s="31"/>
      <c r="I65" s="72"/>
      <c r="J65" s="72"/>
      <c r="K65" s="31">
        <v>1</v>
      </c>
      <c r="L65" s="31"/>
      <c r="M65" s="74"/>
      <c r="N65" s="74"/>
      <c r="O65" s="75"/>
      <c r="P65" s="75"/>
      <c r="Q65" s="76"/>
      <c r="R65" s="76"/>
      <c r="S65" s="31"/>
      <c r="T65" s="31"/>
      <c r="U65" s="76"/>
      <c r="V65" s="76"/>
      <c r="W65" s="76"/>
      <c r="X65" s="76"/>
      <c r="Y65" s="76">
        <v>0</v>
      </c>
      <c r="Z65" s="76">
        <v>0</v>
      </c>
      <c r="AA65" s="76"/>
      <c r="AB65" s="76"/>
      <c r="AC65" s="76"/>
      <c r="AD65" s="142"/>
      <c r="AE65" s="142"/>
      <c r="AF65" s="142"/>
    </row>
    <row r="66" spans="1:32" x14ac:dyDescent="0.35">
      <c r="A66" t="s">
        <v>203</v>
      </c>
      <c r="B66" t="s">
        <v>337</v>
      </c>
      <c r="C66" s="31"/>
      <c r="D66" s="31"/>
      <c r="E66" s="72"/>
      <c r="F66" s="31"/>
      <c r="G66" s="73"/>
      <c r="H66" s="31"/>
      <c r="I66" s="72"/>
      <c r="J66" s="72"/>
      <c r="K66" s="31">
        <v>2</v>
      </c>
      <c r="L66" s="31">
        <v>2</v>
      </c>
      <c r="M66" s="74"/>
      <c r="N66" s="74"/>
      <c r="O66" s="75"/>
      <c r="P66" s="75"/>
      <c r="Q66" s="76"/>
      <c r="R66" s="76"/>
      <c r="S66" s="31"/>
      <c r="T66" s="31"/>
      <c r="U66" s="76">
        <v>0</v>
      </c>
      <c r="V66" s="76"/>
      <c r="W66" s="76"/>
      <c r="X66" s="76"/>
      <c r="Y66" s="76">
        <v>0</v>
      </c>
      <c r="Z66" s="76">
        <v>0</v>
      </c>
      <c r="AA66" s="76"/>
      <c r="AB66" s="76"/>
      <c r="AC66" s="76"/>
      <c r="AD66" s="142"/>
      <c r="AE66" s="142"/>
      <c r="AF66" s="142"/>
    </row>
    <row r="67" spans="1:32" x14ac:dyDescent="0.35">
      <c r="A67" t="s">
        <v>203</v>
      </c>
      <c r="B67" t="s">
        <v>341</v>
      </c>
      <c r="C67" s="31"/>
      <c r="D67" s="31"/>
      <c r="E67" s="72"/>
      <c r="F67" s="31"/>
      <c r="G67" s="73"/>
      <c r="H67" s="31"/>
      <c r="I67" s="72"/>
      <c r="J67" s="72"/>
      <c r="K67" s="31">
        <v>-1</v>
      </c>
      <c r="L67" s="31">
        <v>1</v>
      </c>
      <c r="M67" s="74"/>
      <c r="N67" s="74"/>
      <c r="O67" s="75"/>
      <c r="P67" s="75"/>
      <c r="Q67" s="76"/>
      <c r="R67" s="76"/>
      <c r="S67" s="31"/>
      <c r="T67" s="31"/>
      <c r="U67" s="76">
        <v>-2</v>
      </c>
      <c r="V67" s="76"/>
      <c r="W67" s="76"/>
      <c r="X67" s="76"/>
      <c r="Y67" s="76">
        <v>0</v>
      </c>
      <c r="Z67" s="76">
        <v>0</v>
      </c>
      <c r="AA67" s="76"/>
      <c r="AB67" s="76"/>
      <c r="AC67" s="76"/>
      <c r="AD67" s="142"/>
      <c r="AE67" s="142"/>
      <c r="AF67" s="142"/>
    </row>
    <row r="68" spans="1:32" x14ac:dyDescent="0.35">
      <c r="A68" t="s">
        <v>203</v>
      </c>
      <c r="B68" t="s">
        <v>307</v>
      </c>
      <c r="C68" s="31"/>
      <c r="D68" s="31">
        <v>1</v>
      </c>
      <c r="E68" s="72"/>
      <c r="F68" s="31">
        <v>1</v>
      </c>
      <c r="G68" s="73"/>
      <c r="H68" s="31">
        <v>36.67</v>
      </c>
      <c r="I68" s="72"/>
      <c r="J68" s="72">
        <v>11.940000000000001</v>
      </c>
      <c r="K68" s="31">
        <v>0</v>
      </c>
      <c r="L68" s="31">
        <v>6.7142857142857144</v>
      </c>
      <c r="M68" s="74"/>
      <c r="N68" s="74">
        <v>6.7142857142857144</v>
      </c>
      <c r="O68" s="75"/>
      <c r="P68" s="75">
        <v>36.67</v>
      </c>
      <c r="Q68" s="76"/>
      <c r="R68" s="76">
        <v>0.32560676302154351</v>
      </c>
      <c r="S68" s="31">
        <v>1</v>
      </c>
      <c r="T68" s="31"/>
      <c r="U68" s="76"/>
      <c r="V68" s="76"/>
      <c r="W68" s="76"/>
      <c r="X68" s="76"/>
      <c r="Y68" s="76">
        <v>8.0921544209215508</v>
      </c>
      <c r="Z68" s="76">
        <v>-1</v>
      </c>
      <c r="AA68" s="76"/>
      <c r="AB68" s="76"/>
      <c r="AC68" s="76"/>
      <c r="AD68" s="142"/>
      <c r="AE68" s="142"/>
      <c r="AF68" s="142"/>
    </row>
    <row r="69" spans="1:32" x14ac:dyDescent="0.35">
      <c r="A69" t="s">
        <v>203</v>
      </c>
      <c r="B69" t="s">
        <v>311</v>
      </c>
      <c r="C69" s="31"/>
      <c r="D69" s="31">
        <v>1</v>
      </c>
      <c r="E69" s="72"/>
      <c r="F69" s="31">
        <v>1</v>
      </c>
      <c r="G69" s="73"/>
      <c r="H69" s="31">
        <v>291.67</v>
      </c>
      <c r="I69" s="72"/>
      <c r="J69" s="72">
        <v>96.050000000000011</v>
      </c>
      <c r="K69" s="31">
        <v>11</v>
      </c>
      <c r="L69" s="31">
        <v>1</v>
      </c>
      <c r="M69" s="74"/>
      <c r="N69" s="74">
        <v>0.7142857142857143</v>
      </c>
      <c r="O69" s="75"/>
      <c r="P69" s="75">
        <v>291.67</v>
      </c>
      <c r="Q69" s="76"/>
      <c r="R69" s="76">
        <v>0.32931052216546097</v>
      </c>
      <c r="S69" s="31"/>
      <c r="T69" s="31"/>
      <c r="U69" s="76">
        <v>2</v>
      </c>
      <c r="V69" s="76"/>
      <c r="W69" s="76"/>
      <c r="X69" s="76"/>
      <c r="Y69" s="76">
        <v>0</v>
      </c>
      <c r="Z69" s="76">
        <v>0</v>
      </c>
      <c r="AA69" s="76"/>
      <c r="AB69" s="76"/>
      <c r="AC69" s="76"/>
      <c r="AD69" s="142"/>
      <c r="AE69" s="142"/>
      <c r="AF69" s="142"/>
    </row>
    <row r="70" spans="1:32" x14ac:dyDescent="0.35">
      <c r="A70" t="s">
        <v>203</v>
      </c>
      <c r="B70" t="s">
        <v>328</v>
      </c>
      <c r="C70" s="31"/>
      <c r="D70" s="31"/>
      <c r="E70" s="72"/>
      <c r="F70" s="31"/>
      <c r="G70" s="73"/>
      <c r="H70" s="31"/>
      <c r="I70" s="72"/>
      <c r="J70" s="72"/>
      <c r="K70" s="31">
        <v>2</v>
      </c>
      <c r="L70" s="31">
        <v>3</v>
      </c>
      <c r="M70" s="74"/>
      <c r="N70" s="74"/>
      <c r="O70" s="75"/>
      <c r="P70" s="75"/>
      <c r="Q70" s="76"/>
      <c r="R70" s="76"/>
      <c r="S70" s="31">
        <v>0</v>
      </c>
      <c r="T70" s="31"/>
      <c r="U70" s="76">
        <v>-0.33333333333333337</v>
      </c>
      <c r="V70" s="76"/>
      <c r="W70" s="76"/>
      <c r="X70" s="76"/>
      <c r="Y70" s="76">
        <v>0.4227642276422765</v>
      </c>
      <c r="Z70" s="76">
        <v>0.55555555555555536</v>
      </c>
      <c r="AA70" s="76"/>
      <c r="AB70" s="76"/>
      <c r="AC70" s="76"/>
      <c r="AD70" s="142"/>
      <c r="AE70" s="142"/>
      <c r="AF70" s="142"/>
    </row>
    <row r="71" spans="1:32" x14ac:dyDescent="0.35">
      <c r="A71" t="s">
        <v>203</v>
      </c>
      <c r="B71" t="s">
        <v>333</v>
      </c>
      <c r="C71" s="31"/>
      <c r="D71" s="31"/>
      <c r="E71" s="72"/>
      <c r="F71" s="31"/>
      <c r="G71" s="73"/>
      <c r="H71" s="31"/>
      <c r="I71" s="72"/>
      <c r="J71" s="72"/>
      <c r="K71" s="31"/>
      <c r="L71" s="31"/>
      <c r="M71" s="74"/>
      <c r="N71" s="74"/>
      <c r="O71" s="75"/>
      <c r="P71" s="75"/>
      <c r="Q71" s="76"/>
      <c r="R71" s="76"/>
      <c r="S71" s="31">
        <v>14</v>
      </c>
      <c r="T71" s="31"/>
      <c r="U71" s="76"/>
      <c r="V71" s="76"/>
      <c r="W71" s="76"/>
      <c r="X71" s="76"/>
      <c r="Y71" s="76"/>
      <c r="Z71" s="76"/>
      <c r="AA71" s="76"/>
      <c r="AB71" s="76"/>
      <c r="AC71" s="76"/>
      <c r="AD71" s="142"/>
      <c r="AE71" s="142"/>
      <c r="AF71" s="142"/>
    </row>
    <row r="72" spans="1:32" x14ac:dyDescent="0.35">
      <c r="A72" t="s">
        <v>203</v>
      </c>
      <c r="B72" t="s">
        <v>327</v>
      </c>
      <c r="C72" s="31"/>
      <c r="D72" s="31"/>
      <c r="E72" s="72"/>
      <c r="F72" s="31"/>
      <c r="G72" s="73"/>
      <c r="H72" s="31"/>
      <c r="I72" s="72"/>
      <c r="J72" s="72"/>
      <c r="K72" s="31"/>
      <c r="L72" s="31">
        <v>1</v>
      </c>
      <c r="M72" s="74"/>
      <c r="N72" s="74"/>
      <c r="O72" s="75"/>
      <c r="P72" s="75"/>
      <c r="Q72" s="76"/>
      <c r="R72" s="76"/>
      <c r="S72" s="31"/>
      <c r="T72" s="31"/>
      <c r="U72" s="76"/>
      <c r="V72" s="76"/>
      <c r="W72" s="76"/>
      <c r="X72" s="76"/>
      <c r="Y72" s="76"/>
      <c r="Z72" s="76"/>
      <c r="AA72" s="76"/>
      <c r="AB72" s="76"/>
      <c r="AC72" s="76"/>
      <c r="AD72" s="142"/>
      <c r="AE72" s="142"/>
      <c r="AF72" s="142"/>
    </row>
    <row r="73" spans="1:32" x14ac:dyDescent="0.35">
      <c r="A73" t="s">
        <v>203</v>
      </c>
      <c r="B73" t="s">
        <v>318</v>
      </c>
      <c r="C73" s="31"/>
      <c r="D73" s="31"/>
      <c r="E73" s="72"/>
      <c r="F73" s="31"/>
      <c r="G73" s="73"/>
      <c r="H73" s="31"/>
      <c r="I73" s="72"/>
      <c r="J73" s="72"/>
      <c r="K73" s="31"/>
      <c r="L73" s="31">
        <v>2</v>
      </c>
      <c r="M73" s="74"/>
      <c r="N73" s="74"/>
      <c r="O73" s="75"/>
      <c r="P73" s="75"/>
      <c r="Q73" s="76"/>
      <c r="R73" s="76"/>
      <c r="S73" s="31"/>
      <c r="T73" s="31"/>
      <c r="U73" s="76"/>
      <c r="V73" s="76"/>
      <c r="W73" s="76"/>
      <c r="X73" s="76"/>
      <c r="Y73" s="76"/>
      <c r="Z73" s="76"/>
      <c r="AA73" s="76"/>
      <c r="AB73" s="76"/>
      <c r="AC73" s="76"/>
      <c r="AD73" s="142"/>
      <c r="AE73" s="142"/>
      <c r="AF73" s="142"/>
    </row>
    <row r="74" spans="1:32" x14ac:dyDescent="0.35">
      <c r="A74" t="s">
        <v>203</v>
      </c>
      <c r="B74" t="s">
        <v>340</v>
      </c>
      <c r="C74" s="31"/>
      <c r="D74" s="31"/>
      <c r="E74" s="72"/>
      <c r="F74" s="31"/>
      <c r="G74" s="73"/>
      <c r="H74" s="31"/>
      <c r="I74" s="72"/>
      <c r="J74" s="72"/>
      <c r="K74" s="31"/>
      <c r="L74" s="31"/>
      <c r="M74" s="74"/>
      <c r="N74" s="74"/>
      <c r="O74" s="75"/>
      <c r="P74" s="75"/>
      <c r="Q74" s="76"/>
      <c r="R74" s="76"/>
      <c r="S74" s="31">
        <v>-1</v>
      </c>
      <c r="T74" s="31"/>
      <c r="U74" s="76"/>
      <c r="V74" s="76"/>
      <c r="W74" s="76"/>
      <c r="X74" s="76"/>
      <c r="Y74" s="76"/>
      <c r="Z74" s="76"/>
      <c r="AA74" s="76"/>
      <c r="AB74" s="76"/>
      <c r="AC74" s="76"/>
      <c r="AD74" s="142"/>
      <c r="AE74" s="142"/>
      <c r="AF74" s="142"/>
    </row>
    <row r="75" spans="1:32" x14ac:dyDescent="0.35">
      <c r="A75" t="s">
        <v>203</v>
      </c>
      <c r="B75" t="s">
        <v>309</v>
      </c>
      <c r="C75" s="31"/>
      <c r="D75" s="31">
        <v>5</v>
      </c>
      <c r="E75" s="72"/>
      <c r="F75" s="31">
        <v>5</v>
      </c>
      <c r="G75" s="73"/>
      <c r="H75" s="31">
        <v>436.65</v>
      </c>
      <c r="I75" s="72"/>
      <c r="J75" s="72">
        <v>61.769999999999982</v>
      </c>
      <c r="K75" s="31">
        <v>12</v>
      </c>
      <c r="L75" s="31">
        <v>29.285714285714285</v>
      </c>
      <c r="M75" s="74"/>
      <c r="N75" s="74">
        <v>5.8571428571428568</v>
      </c>
      <c r="O75" s="75"/>
      <c r="P75" s="75">
        <v>87.33</v>
      </c>
      <c r="Q75" s="76"/>
      <c r="R75" s="76">
        <v>0.1414634146341463</v>
      </c>
      <c r="S75" s="31">
        <v>10.571428571428571</v>
      </c>
      <c r="T75" s="31"/>
      <c r="U75" s="76">
        <v>-0.65853658536585358</v>
      </c>
      <c r="V75" s="76"/>
      <c r="W75" s="76"/>
      <c r="X75" s="76"/>
      <c r="Y75" s="76">
        <v>1.7659163870080707E-3</v>
      </c>
      <c r="Z75" s="76">
        <v>0</v>
      </c>
      <c r="AA75" s="76"/>
      <c r="AB75" s="76"/>
      <c r="AC75" s="76"/>
      <c r="AD75" s="142"/>
      <c r="AE75" s="142"/>
      <c r="AF75" s="142"/>
    </row>
    <row r="76" spans="1:32" x14ac:dyDescent="0.35">
      <c r="A76" t="s">
        <v>203</v>
      </c>
      <c r="B76" t="s">
        <v>322</v>
      </c>
      <c r="C76" s="31"/>
      <c r="D76" s="31"/>
      <c r="E76" s="72"/>
      <c r="F76" s="31"/>
      <c r="G76" s="73"/>
      <c r="H76" s="31"/>
      <c r="I76" s="72"/>
      <c r="J76" s="72"/>
      <c r="K76" s="31">
        <v>29</v>
      </c>
      <c r="L76" s="31">
        <v>44</v>
      </c>
      <c r="M76" s="74"/>
      <c r="N76" s="74"/>
      <c r="O76" s="75"/>
      <c r="P76" s="75"/>
      <c r="Q76" s="76"/>
      <c r="R76" s="76"/>
      <c r="S76" s="31"/>
      <c r="T76" s="31"/>
      <c r="U76" s="76">
        <v>-0.34090909090909094</v>
      </c>
      <c r="V76" s="76"/>
      <c r="W76" s="76"/>
      <c r="X76" s="76"/>
      <c r="Y76" s="76">
        <v>-2.6855963109321146E-2</v>
      </c>
      <c r="Z76" s="76">
        <v>-2.4038461538461564E-2</v>
      </c>
      <c r="AA76" s="76"/>
      <c r="AB76" s="76"/>
      <c r="AC76" s="76"/>
      <c r="AD76" s="142"/>
      <c r="AE76" s="142"/>
      <c r="AF76" s="142"/>
    </row>
    <row r="77" spans="1:32" x14ac:dyDescent="0.35">
      <c r="A77" t="s">
        <v>203</v>
      </c>
      <c r="B77" t="s">
        <v>313</v>
      </c>
      <c r="C77" s="31"/>
      <c r="D77" s="31">
        <v>1</v>
      </c>
      <c r="E77" s="72"/>
      <c r="F77" s="31">
        <v>3</v>
      </c>
      <c r="G77" s="73"/>
      <c r="H77" s="31">
        <v>107.47</v>
      </c>
      <c r="I77" s="72"/>
      <c r="J77" s="72">
        <v>25.870000000000005</v>
      </c>
      <c r="K77" s="31">
        <v>11</v>
      </c>
      <c r="L77" s="31">
        <v>28.428571428571427</v>
      </c>
      <c r="M77" s="74"/>
      <c r="N77" s="74">
        <v>9.4761904761904763</v>
      </c>
      <c r="O77" s="75"/>
      <c r="P77" s="75">
        <v>35.823333333333331</v>
      </c>
      <c r="Q77" s="76"/>
      <c r="R77" s="76">
        <v>0.24071834000186104</v>
      </c>
      <c r="S77" s="31">
        <v>3</v>
      </c>
      <c r="T77" s="31"/>
      <c r="U77" s="76">
        <v>-0.61306532663316582</v>
      </c>
      <c r="V77" s="76"/>
      <c r="W77" s="76"/>
      <c r="X77" s="76"/>
      <c r="Y77" s="76">
        <v>0</v>
      </c>
      <c r="Z77" s="76">
        <v>0</v>
      </c>
      <c r="AA77" s="76"/>
      <c r="AB77" s="76"/>
      <c r="AC77" s="76"/>
      <c r="AD77" s="142"/>
      <c r="AE77" s="142"/>
      <c r="AF77" s="142"/>
    </row>
    <row r="78" spans="1:32" x14ac:dyDescent="0.35">
      <c r="A78" t="s">
        <v>203</v>
      </c>
      <c r="B78" t="s">
        <v>305</v>
      </c>
      <c r="C78" s="31"/>
      <c r="D78" s="31">
        <v>3</v>
      </c>
      <c r="E78" s="72"/>
      <c r="F78" s="31">
        <v>3</v>
      </c>
      <c r="G78" s="73"/>
      <c r="H78" s="31">
        <v>939.99</v>
      </c>
      <c r="I78" s="72"/>
      <c r="J78" s="72">
        <v>270.88</v>
      </c>
      <c r="K78" s="31">
        <v>14</v>
      </c>
      <c r="L78" s="31">
        <v>38.857142857142854</v>
      </c>
      <c r="M78" s="74"/>
      <c r="N78" s="74">
        <v>12.952380952380951</v>
      </c>
      <c r="O78" s="75"/>
      <c r="P78" s="75">
        <v>313.33</v>
      </c>
      <c r="Q78" s="76"/>
      <c r="R78" s="76">
        <v>0.28817327843913232</v>
      </c>
      <c r="S78" s="31">
        <v>17</v>
      </c>
      <c r="T78" s="31"/>
      <c r="U78" s="76">
        <v>-0.63970588235294112</v>
      </c>
      <c r="V78" s="76"/>
      <c r="W78" s="76"/>
      <c r="X78" s="76"/>
      <c r="Y78" s="76">
        <v>-2.7780082698221298E-2</v>
      </c>
      <c r="Z78" s="76">
        <v>-2.9702970297029729E-2</v>
      </c>
      <c r="AA78" s="76"/>
      <c r="AB78" s="76"/>
      <c r="AC78" s="76"/>
      <c r="AD78" s="142"/>
      <c r="AE78" s="142"/>
      <c r="AF78" s="142"/>
    </row>
    <row r="79" spans="1:32" x14ac:dyDescent="0.35">
      <c r="A79" t="s">
        <v>203</v>
      </c>
      <c r="B79" t="s">
        <v>334</v>
      </c>
      <c r="C79" s="31"/>
      <c r="D79" s="31"/>
      <c r="E79" s="72"/>
      <c r="F79" s="31"/>
      <c r="G79" s="73"/>
      <c r="H79" s="31"/>
      <c r="I79" s="72"/>
      <c r="J79" s="72"/>
      <c r="K79" s="31">
        <v>10</v>
      </c>
      <c r="L79" s="31"/>
      <c r="M79" s="74"/>
      <c r="N79" s="74"/>
      <c r="O79" s="75"/>
      <c r="P79" s="75"/>
      <c r="Q79" s="76"/>
      <c r="R79" s="76"/>
      <c r="S79" s="31">
        <v>6</v>
      </c>
      <c r="T79" s="31"/>
      <c r="U79" s="76"/>
      <c r="V79" s="76"/>
      <c r="W79" s="76"/>
      <c r="X79" s="76"/>
      <c r="Y79" s="76">
        <v>-0.33962264150943389</v>
      </c>
      <c r="Z79" s="76">
        <v>-0.33962264150943389</v>
      </c>
      <c r="AA79" s="76"/>
      <c r="AB79" s="76"/>
      <c r="AC79" s="76"/>
      <c r="AD79" s="142"/>
      <c r="AE79" s="142"/>
      <c r="AF79" s="142"/>
    </row>
    <row r="80" spans="1:32" x14ac:dyDescent="0.35">
      <c r="A80" t="s">
        <v>203</v>
      </c>
      <c r="B80" t="s">
        <v>763</v>
      </c>
      <c r="C80" s="31"/>
      <c r="D80" s="31"/>
      <c r="E80" s="72"/>
      <c r="F80" s="31"/>
      <c r="G80" s="73"/>
      <c r="H80" s="31"/>
      <c r="I80" s="72"/>
      <c r="J80" s="72"/>
      <c r="K80" s="31">
        <v>1</v>
      </c>
      <c r="L80" s="31"/>
      <c r="M80" s="74"/>
      <c r="N80" s="74"/>
      <c r="O80" s="75"/>
      <c r="P80" s="75"/>
      <c r="Q80" s="76"/>
      <c r="R80" s="76"/>
      <c r="S80" s="31"/>
      <c r="T80" s="31"/>
      <c r="U80" s="76"/>
      <c r="V80" s="76"/>
      <c r="W80" s="76"/>
      <c r="X80" s="76"/>
      <c r="Y80" s="76">
        <v>0</v>
      </c>
      <c r="Z80" s="76">
        <v>0</v>
      </c>
      <c r="AA80" s="76"/>
      <c r="AB80" s="76"/>
      <c r="AC80" s="76"/>
      <c r="AD80" s="142"/>
      <c r="AE80" s="142"/>
      <c r="AF80" s="142"/>
    </row>
    <row r="81" spans="1:32" x14ac:dyDescent="0.35">
      <c r="A81" t="s">
        <v>203</v>
      </c>
      <c r="B81" t="s">
        <v>325</v>
      </c>
      <c r="C81" s="31"/>
      <c r="D81" s="31"/>
      <c r="E81" s="72"/>
      <c r="F81" s="31"/>
      <c r="G81" s="73"/>
      <c r="H81" s="31"/>
      <c r="I81" s="72"/>
      <c r="J81" s="72"/>
      <c r="K81" s="31"/>
      <c r="L81" s="31"/>
      <c r="M81" s="74"/>
      <c r="N81" s="74"/>
      <c r="O81" s="75"/>
      <c r="P81" s="75"/>
      <c r="Q81" s="76"/>
      <c r="R81" s="76"/>
      <c r="S81" s="31">
        <v>14</v>
      </c>
      <c r="T81" s="31"/>
      <c r="U81" s="76"/>
      <c r="V81" s="76"/>
      <c r="W81" s="76"/>
      <c r="X81" s="76"/>
      <c r="Y81" s="76"/>
      <c r="Z81" s="76"/>
      <c r="AA81" s="76"/>
      <c r="AB81" s="76"/>
      <c r="AC81" s="76"/>
      <c r="AD81" s="142"/>
      <c r="AE81" s="142"/>
      <c r="AF81" s="142"/>
    </row>
    <row r="82" spans="1:32" x14ac:dyDescent="0.35">
      <c r="A82" t="s">
        <v>203</v>
      </c>
      <c r="B82" t="s">
        <v>321</v>
      </c>
      <c r="C82" s="31"/>
      <c r="D82" s="31"/>
      <c r="E82" s="72"/>
      <c r="F82" s="31"/>
      <c r="G82" s="73"/>
      <c r="H82" s="31"/>
      <c r="I82" s="72"/>
      <c r="J82" s="72"/>
      <c r="K82" s="31">
        <v>-1</v>
      </c>
      <c r="L82" s="31">
        <v>6</v>
      </c>
      <c r="M82" s="74"/>
      <c r="N82" s="74"/>
      <c r="O82" s="75"/>
      <c r="P82" s="75"/>
      <c r="Q82" s="76"/>
      <c r="R82" s="76"/>
      <c r="S82" s="31">
        <v>1</v>
      </c>
      <c r="T82" s="31"/>
      <c r="U82" s="76">
        <v>-1.1666666666666667</v>
      </c>
      <c r="V82" s="76"/>
      <c r="W82" s="76"/>
      <c r="X82" s="76"/>
      <c r="Y82" s="76">
        <v>1.333333333333333</v>
      </c>
      <c r="Z82" s="76">
        <v>1.3333333333333335</v>
      </c>
      <c r="AA82" s="76"/>
      <c r="AB82" s="76"/>
      <c r="AC82" s="76"/>
      <c r="AD82" s="142"/>
      <c r="AE82" s="142"/>
      <c r="AF82" s="142"/>
    </row>
    <row r="83" spans="1:32" x14ac:dyDescent="0.35">
      <c r="A83" t="s">
        <v>203</v>
      </c>
      <c r="B83" t="s">
        <v>339</v>
      </c>
      <c r="C83" s="31"/>
      <c r="D83" s="31"/>
      <c r="E83" s="72"/>
      <c r="F83" s="31"/>
      <c r="G83" s="73"/>
      <c r="H83" s="31"/>
      <c r="I83" s="72"/>
      <c r="J83" s="72"/>
      <c r="K83" s="31">
        <v>0</v>
      </c>
      <c r="L83" s="31">
        <v>4</v>
      </c>
      <c r="M83" s="74"/>
      <c r="N83" s="74"/>
      <c r="O83" s="75"/>
      <c r="P83" s="75"/>
      <c r="Q83" s="76"/>
      <c r="R83" s="76"/>
      <c r="S83" s="31">
        <v>3.4285714285714284</v>
      </c>
      <c r="T83" s="31"/>
      <c r="U83" s="76"/>
      <c r="V83" s="76"/>
      <c r="W83" s="76"/>
      <c r="X83" s="76"/>
      <c r="Y83" s="76">
        <v>-1</v>
      </c>
      <c r="Z83" s="76">
        <v>-1</v>
      </c>
      <c r="AA83" s="76"/>
      <c r="AB83" s="76"/>
      <c r="AC83" s="76"/>
      <c r="AD83" s="142"/>
      <c r="AE83" s="142"/>
      <c r="AF83" s="142"/>
    </row>
    <row r="84" spans="1:32" x14ac:dyDescent="0.35">
      <c r="A84" t="s">
        <v>203</v>
      </c>
      <c r="B84" t="s">
        <v>329</v>
      </c>
      <c r="C84" s="31"/>
      <c r="D84" s="31"/>
      <c r="E84" s="72"/>
      <c r="F84" s="31"/>
      <c r="G84" s="73"/>
      <c r="H84" s="31"/>
      <c r="I84" s="72"/>
      <c r="J84" s="72"/>
      <c r="K84" s="31">
        <v>1</v>
      </c>
      <c r="L84" s="31"/>
      <c r="M84" s="74"/>
      <c r="N84" s="74"/>
      <c r="O84" s="75"/>
      <c r="P84" s="75"/>
      <c r="Q84" s="76"/>
      <c r="R84" s="76"/>
      <c r="S84" s="31">
        <v>4</v>
      </c>
      <c r="T84" s="31"/>
      <c r="U84" s="76"/>
      <c r="V84" s="76"/>
      <c r="W84" s="76"/>
      <c r="X84" s="76"/>
      <c r="Y84" s="76">
        <v>0</v>
      </c>
      <c r="Z84" s="76">
        <v>0</v>
      </c>
      <c r="AA84" s="76"/>
      <c r="AB84" s="76"/>
      <c r="AC84" s="76"/>
      <c r="AD84" s="142"/>
      <c r="AE84" s="142"/>
      <c r="AF84" s="142"/>
    </row>
    <row r="85" spans="1:32" x14ac:dyDescent="0.35">
      <c r="A85" t="s">
        <v>203</v>
      </c>
      <c r="B85" t="s">
        <v>310</v>
      </c>
      <c r="C85" s="31"/>
      <c r="D85" s="31"/>
      <c r="E85" s="72"/>
      <c r="F85" s="31"/>
      <c r="G85" s="73"/>
      <c r="H85" s="31"/>
      <c r="I85" s="72"/>
      <c r="J85" s="72"/>
      <c r="K85" s="31"/>
      <c r="L85" s="31">
        <v>4</v>
      </c>
      <c r="M85" s="74"/>
      <c r="N85" s="74"/>
      <c r="O85" s="75"/>
      <c r="P85" s="75"/>
      <c r="Q85" s="76"/>
      <c r="R85" s="76"/>
      <c r="S85" s="31">
        <v>3</v>
      </c>
      <c r="T85" s="31"/>
      <c r="U85" s="76"/>
      <c r="V85" s="76"/>
      <c r="W85" s="76"/>
      <c r="X85" s="76"/>
      <c r="Y85" s="76"/>
      <c r="Z85" s="76"/>
      <c r="AA85" s="76"/>
      <c r="AB85" s="76"/>
      <c r="AC85" s="76"/>
      <c r="AD85" s="142"/>
      <c r="AE85" s="142"/>
      <c r="AF85" s="142"/>
    </row>
    <row r="86" spans="1:32" x14ac:dyDescent="0.35">
      <c r="A86" t="s">
        <v>203</v>
      </c>
      <c r="B86" t="s">
        <v>315</v>
      </c>
      <c r="C86" s="31"/>
      <c r="D86" s="31">
        <v>1</v>
      </c>
      <c r="E86" s="72"/>
      <c r="F86" s="31">
        <v>1</v>
      </c>
      <c r="G86" s="73"/>
      <c r="H86" s="31">
        <v>53.33</v>
      </c>
      <c r="I86" s="72"/>
      <c r="J86" s="72">
        <v>18.329999999999998</v>
      </c>
      <c r="K86" s="31"/>
      <c r="L86" s="31">
        <v>2</v>
      </c>
      <c r="M86" s="74"/>
      <c r="N86" s="74">
        <v>2</v>
      </c>
      <c r="O86" s="75"/>
      <c r="P86" s="75">
        <v>53.33</v>
      </c>
      <c r="Q86" s="76"/>
      <c r="R86" s="76">
        <v>0.34370898181136317</v>
      </c>
      <c r="S86" s="31">
        <v>59</v>
      </c>
      <c r="T86" s="31"/>
      <c r="U86" s="76"/>
      <c r="V86" s="76"/>
      <c r="W86" s="76"/>
      <c r="X86" s="76"/>
      <c r="Y86" s="76"/>
      <c r="Z86" s="76"/>
      <c r="AA86" s="76"/>
      <c r="AB86" s="76"/>
      <c r="AC86" s="76"/>
      <c r="AD86" s="142"/>
      <c r="AE86" s="142"/>
      <c r="AF86" s="142"/>
    </row>
    <row r="87" spans="1:32" x14ac:dyDescent="0.35">
      <c r="A87" s="138" t="s">
        <v>837</v>
      </c>
      <c r="B87" s="138"/>
      <c r="C87" s="127">
        <v>25793</v>
      </c>
      <c r="D87" s="127">
        <v>26168</v>
      </c>
      <c r="E87" s="126">
        <v>53848</v>
      </c>
      <c r="F87" s="127">
        <v>57786</v>
      </c>
      <c r="G87" s="127">
        <v>15214042.13000166</v>
      </c>
      <c r="H87" s="127">
        <v>9847568.8800017275</v>
      </c>
      <c r="I87" s="126">
        <v>8781576.5000007823</v>
      </c>
      <c r="J87" s="126">
        <v>4072637.0600017169</v>
      </c>
      <c r="K87" s="127">
        <v>739232.42857142852</v>
      </c>
      <c r="L87" s="127">
        <v>958446.85714285716</v>
      </c>
      <c r="M87" s="140">
        <v>13.728131566101407</v>
      </c>
      <c r="N87" s="140">
        <v>16.835360233405989</v>
      </c>
      <c r="O87" s="139">
        <v>282.53680972369744</v>
      </c>
      <c r="P87" s="139">
        <v>170.41444086806021</v>
      </c>
      <c r="Q87" s="141">
        <v>0.57720206273675045</v>
      </c>
      <c r="R87" s="141">
        <v>0.40560519770363435</v>
      </c>
      <c r="S87" s="127">
        <v>183377.71428571429</v>
      </c>
      <c r="T87" s="127"/>
      <c r="U87" s="141">
        <v>-0.25300456333520549</v>
      </c>
      <c r="V87" s="141">
        <v>-0.10078565742567402</v>
      </c>
      <c r="W87" s="141">
        <v>0.49085407463527186</v>
      </c>
      <c r="X87" s="141">
        <v>1.1246031298649779</v>
      </c>
      <c r="Y87" s="141">
        <v>4.244533071836587E-3</v>
      </c>
      <c r="Z87" s="141">
        <v>-1.2044758457602001E-2</v>
      </c>
      <c r="AA87" s="141">
        <v>1.5099817143288119E-2</v>
      </c>
      <c r="AB87" s="141">
        <v>8.5669317794624167E-2</v>
      </c>
      <c r="AC87" s="141">
        <v>6.9519764913300808E-2</v>
      </c>
      <c r="AD87" s="143">
        <v>-0.28559064158553488</v>
      </c>
      <c r="AE87" s="143">
        <v>-2.871509281145309E-2</v>
      </c>
      <c r="AF87" s="143">
        <v>0.18557649762041231</v>
      </c>
    </row>
    <row r="88" spans="1:32" x14ac:dyDescent="0.35">
      <c r="A88" t="s">
        <v>202</v>
      </c>
      <c r="B88" t="s">
        <v>230</v>
      </c>
      <c r="C88" s="31">
        <v>14216</v>
      </c>
      <c r="D88" s="31">
        <v>13458</v>
      </c>
      <c r="E88" s="72">
        <v>17927</v>
      </c>
      <c r="F88" s="31">
        <v>18100</v>
      </c>
      <c r="G88" s="73">
        <v>8066269.1200020257</v>
      </c>
      <c r="H88" s="31">
        <v>5762489.640000754</v>
      </c>
      <c r="I88" s="72">
        <v>4853507.8400002811</v>
      </c>
      <c r="J88" s="72">
        <v>2848239.1800007606</v>
      </c>
      <c r="K88" s="31">
        <v>215955.57142857142</v>
      </c>
      <c r="L88" s="31">
        <v>202941.85714285713</v>
      </c>
      <c r="M88" s="74">
        <v>12.046386535871669</v>
      </c>
      <c r="N88" s="74">
        <v>11.401688706773452</v>
      </c>
      <c r="O88" s="75">
        <v>449.95086294427546</v>
      </c>
      <c r="P88" s="75">
        <v>318.36959337020738</v>
      </c>
      <c r="Q88" s="76">
        <v>0.60170417919295283</v>
      </c>
      <c r="R88" s="76">
        <v>0.48554935614025102</v>
      </c>
      <c r="S88" s="31">
        <v>32143.142857142859</v>
      </c>
      <c r="T88" s="31"/>
      <c r="U88" s="76">
        <v>2.9278618154531255E-2</v>
      </c>
      <c r="V88" s="76">
        <v>-4.2928176795580142E-2</v>
      </c>
      <c r="W88" s="76">
        <v>0.35347190316178834</v>
      </c>
      <c r="X88" s="76">
        <v>0.67594097854622448</v>
      </c>
      <c r="Y88" s="76">
        <v>-3.3595151621841235E-2</v>
      </c>
      <c r="Z88" s="76">
        <v>-2.8799575462121862E-2</v>
      </c>
      <c r="AA88" s="76">
        <v>-2.0041195791349331E-3</v>
      </c>
      <c r="AB88" s="76">
        <v>7.2574030383630861E-2</v>
      </c>
      <c r="AC88" s="76">
        <v>7.4727913637594678E-2</v>
      </c>
      <c r="AD88" s="142">
        <v>-0.19630178853046221</v>
      </c>
      <c r="AE88" s="142">
        <v>9.8152470267535027E-2</v>
      </c>
      <c r="AF88" s="142">
        <v>0.35263236767170825</v>
      </c>
    </row>
    <row r="89" spans="1:32" x14ac:dyDescent="0.35">
      <c r="A89" t="s">
        <v>202</v>
      </c>
      <c r="B89" t="s">
        <v>231</v>
      </c>
      <c r="C89" s="31">
        <v>8379</v>
      </c>
      <c r="D89" s="31">
        <v>7726</v>
      </c>
      <c r="E89" s="72">
        <v>12660</v>
      </c>
      <c r="F89" s="31">
        <v>12472</v>
      </c>
      <c r="G89" s="73">
        <v>3680416.2400002228</v>
      </c>
      <c r="H89" s="31">
        <v>1996799.7999999309</v>
      </c>
      <c r="I89" s="72">
        <v>2255973.4400000405</v>
      </c>
      <c r="J89" s="72">
        <v>901725.38999993214</v>
      </c>
      <c r="K89" s="31">
        <v>131007.14285714286</v>
      </c>
      <c r="L89" s="31">
        <v>165089.85714285713</v>
      </c>
      <c r="M89" s="74">
        <v>10.348115549537351</v>
      </c>
      <c r="N89" s="74">
        <v>13.471448780706876</v>
      </c>
      <c r="O89" s="75">
        <v>290.712183254362</v>
      </c>
      <c r="P89" s="75">
        <v>160.10261385502974</v>
      </c>
      <c r="Q89" s="76">
        <v>0.61296692897972427</v>
      </c>
      <c r="R89" s="76">
        <v>0.44314235094318488</v>
      </c>
      <c r="S89" s="31">
        <v>57985.571428571428</v>
      </c>
      <c r="T89" s="31"/>
      <c r="U89" s="76">
        <v>-0.2285257638913526</v>
      </c>
      <c r="V89" s="76">
        <v>-1.7639512508017985E-2</v>
      </c>
      <c r="W89" s="76">
        <v>0.78523814455524654</v>
      </c>
      <c r="X89" s="76">
        <v>1.4708518389385175</v>
      </c>
      <c r="Y89" s="76">
        <v>6.513073616359466E-2</v>
      </c>
      <c r="Z89" s="76">
        <v>1.6973775262158597E-2</v>
      </c>
      <c r="AA89" s="76">
        <v>0.18130073714658956</v>
      </c>
      <c r="AB89" s="76">
        <v>0.24349994726542401</v>
      </c>
      <c r="AC89" s="76">
        <v>5.2653154411022918E-2</v>
      </c>
      <c r="AD89" s="142">
        <v>-0.14640470685659859</v>
      </c>
      <c r="AE89" s="142">
        <v>0.173089122780301</v>
      </c>
      <c r="AF89" s="142">
        <v>0.5245553409439786</v>
      </c>
    </row>
    <row r="90" spans="1:32" x14ac:dyDescent="0.35">
      <c r="A90" t="s">
        <v>202</v>
      </c>
      <c r="B90" t="s">
        <v>232</v>
      </c>
      <c r="C90" s="31">
        <v>3081</v>
      </c>
      <c r="D90" s="31">
        <v>6572</v>
      </c>
      <c r="E90" s="72">
        <v>7253</v>
      </c>
      <c r="F90" s="31">
        <v>12596</v>
      </c>
      <c r="G90" s="73">
        <v>1414394.2199999595</v>
      </c>
      <c r="H90" s="31">
        <v>1940933.139999971</v>
      </c>
      <c r="I90" s="72">
        <v>652810.53000000247</v>
      </c>
      <c r="J90" s="72">
        <v>712868.31999999075</v>
      </c>
      <c r="K90" s="31">
        <v>82466.571428571435</v>
      </c>
      <c r="L90" s="31">
        <v>240891.57142857142</v>
      </c>
      <c r="M90" s="74">
        <v>11.369994682003506</v>
      </c>
      <c r="N90" s="74">
        <v>19.398610677489852</v>
      </c>
      <c r="O90" s="75">
        <v>195.00816489727831</v>
      </c>
      <c r="P90" s="75">
        <v>154.09123054937845</v>
      </c>
      <c r="Q90" s="76">
        <v>0.46154779252422368</v>
      </c>
      <c r="R90" s="76">
        <v>0.36125805323517213</v>
      </c>
      <c r="S90" s="31">
        <v>26586.857142857141</v>
      </c>
      <c r="T90" s="31"/>
      <c r="U90" s="76">
        <v>-0.66904671396318793</v>
      </c>
      <c r="V90" s="76">
        <v>-0.45046046363925052</v>
      </c>
      <c r="W90" s="76">
        <v>-0.29334841487637175</v>
      </c>
      <c r="X90" s="76">
        <v>-9.1007054772023754E-2</v>
      </c>
      <c r="Y90" s="76">
        <v>-1.9236569532265269E-2</v>
      </c>
      <c r="Z90" s="76">
        <v>-3.2457247444400261E-2</v>
      </c>
      <c r="AA90" s="76">
        <v>0.335973475778228</v>
      </c>
      <c r="AB90" s="76">
        <v>-1.9214535333299421E-2</v>
      </c>
      <c r="AC90" s="76">
        <v>-0.26586456808554826</v>
      </c>
      <c r="AD90" s="142">
        <v>-5.370493891132419E-2</v>
      </c>
      <c r="AE90" s="142">
        <v>-0.13411353494215125</v>
      </c>
      <c r="AF90" s="142">
        <v>-8.5536093145194114E-2</v>
      </c>
    </row>
    <row r="91" spans="1:32" x14ac:dyDescent="0.35">
      <c r="A91" t="s">
        <v>202</v>
      </c>
      <c r="B91" t="s">
        <v>233</v>
      </c>
      <c r="C91" s="31">
        <v>1146</v>
      </c>
      <c r="D91" s="31">
        <v>2410</v>
      </c>
      <c r="E91" s="72">
        <v>1321</v>
      </c>
      <c r="F91" s="31">
        <v>2986</v>
      </c>
      <c r="G91" s="73">
        <v>939163.61999999103</v>
      </c>
      <c r="H91" s="31">
        <v>1310839.8300000012</v>
      </c>
      <c r="I91" s="72">
        <v>551898.7999999997</v>
      </c>
      <c r="J91" s="72">
        <v>640661.58000000298</v>
      </c>
      <c r="K91" s="31">
        <v>15161.714285714286</v>
      </c>
      <c r="L91" s="31">
        <v>28960.857142857141</v>
      </c>
      <c r="M91" s="74">
        <v>11.477452146642154</v>
      </c>
      <c r="N91" s="74">
        <v>9.9138419412708902</v>
      </c>
      <c r="O91" s="75">
        <v>710.94899318697276</v>
      </c>
      <c r="P91" s="75">
        <v>438.9952545210989</v>
      </c>
      <c r="Q91" s="76">
        <v>0.58764925327921558</v>
      </c>
      <c r="R91" s="76">
        <v>0.48293040536686221</v>
      </c>
      <c r="S91" s="31">
        <v>483.42857142857144</v>
      </c>
      <c r="T91" s="31"/>
      <c r="U91" s="76">
        <v>-0.49551118258141535</v>
      </c>
      <c r="V91" s="76">
        <v>-0.57669122572002673</v>
      </c>
      <c r="W91" s="76">
        <v>-0.3155172054849823</v>
      </c>
      <c r="X91" s="76">
        <v>-0.16844563172072102</v>
      </c>
      <c r="Y91" s="76">
        <v>-5.5343068727364719E-2</v>
      </c>
      <c r="Z91" s="76">
        <v>-5.3786831899433896E-2</v>
      </c>
      <c r="AA91" s="76">
        <v>-1.5117157974300355E-3</v>
      </c>
      <c r="AB91" s="76">
        <v>1.2568071614353915E-2</v>
      </c>
      <c r="AC91" s="76">
        <v>1.4101104273876119E-2</v>
      </c>
      <c r="AD91" s="142">
        <v>-0.53078753068395579</v>
      </c>
      <c r="AE91" s="142">
        <v>-0.52099435621227697</v>
      </c>
      <c r="AF91" s="142">
        <v>-0.4091727256349601</v>
      </c>
    </row>
    <row r="92" spans="1:32" x14ac:dyDescent="0.35">
      <c r="A92" t="s">
        <v>202</v>
      </c>
      <c r="B92" t="s">
        <v>235</v>
      </c>
      <c r="C92" s="31">
        <v>928</v>
      </c>
      <c r="D92" s="31">
        <v>1587</v>
      </c>
      <c r="E92" s="72">
        <v>1186</v>
      </c>
      <c r="F92" s="31">
        <v>1966</v>
      </c>
      <c r="G92" s="73">
        <v>677745.68999999273</v>
      </c>
      <c r="H92" s="31">
        <v>683098.57000000158</v>
      </c>
      <c r="I92" s="72">
        <v>342049.3899999992</v>
      </c>
      <c r="J92" s="72">
        <v>320287.35000000149</v>
      </c>
      <c r="K92" s="31">
        <v>13787.142857142857</v>
      </c>
      <c r="L92" s="31">
        <v>32165.857142857141</v>
      </c>
      <c r="M92" s="74">
        <v>11.624909660322814</v>
      </c>
      <c r="N92" s="74">
        <v>16.677274987568374</v>
      </c>
      <c r="O92" s="75">
        <v>571.45505059021309</v>
      </c>
      <c r="P92" s="75">
        <v>347.45603763987873</v>
      </c>
      <c r="Q92" s="76">
        <v>0.50468692762915668</v>
      </c>
      <c r="R92" s="76">
        <v>0.45929696653275115</v>
      </c>
      <c r="S92" s="31">
        <v>721.71428571428567</v>
      </c>
      <c r="T92" s="31"/>
      <c r="U92" s="76">
        <v>-0.5844795501885317</v>
      </c>
      <c r="V92" s="76">
        <v>-0.41658189216683617</v>
      </c>
      <c r="W92" s="76">
        <v>-4.5927998356090627E-2</v>
      </c>
      <c r="X92" s="76">
        <v>4.6123238983949211E-2</v>
      </c>
      <c r="Y92" s="76">
        <v>-4.5067498618138524E-2</v>
      </c>
      <c r="Z92" s="76">
        <v>-5.2160163424048167E-2</v>
      </c>
      <c r="AA92" s="76">
        <v>-3.0253475061324586E-2</v>
      </c>
      <c r="AB92" s="76">
        <v>-6.0587416933718941E-2</v>
      </c>
      <c r="AC92" s="76">
        <v>-3.1280279013438661E-2</v>
      </c>
      <c r="AD92" s="142">
        <v>-0.18618311854217268</v>
      </c>
      <c r="AE92" s="142">
        <v>-0.35343884933135689</v>
      </c>
      <c r="AF92" s="142">
        <v>-0.30595632720626703</v>
      </c>
    </row>
    <row r="93" spans="1:32" x14ac:dyDescent="0.35">
      <c r="A93" t="s">
        <v>202</v>
      </c>
      <c r="B93" t="s">
        <v>234</v>
      </c>
      <c r="C93" s="31">
        <v>644</v>
      </c>
      <c r="D93" s="31">
        <v>1664</v>
      </c>
      <c r="E93" s="72">
        <v>1391</v>
      </c>
      <c r="F93" s="31">
        <v>2663</v>
      </c>
      <c r="G93" s="73">
        <v>414860.88000000169</v>
      </c>
      <c r="H93" s="31">
        <v>643866.56999999599</v>
      </c>
      <c r="I93" s="72">
        <v>157112.58000000034</v>
      </c>
      <c r="J93" s="72">
        <v>224481.15999999619</v>
      </c>
      <c r="K93" s="31">
        <v>21194.857142857141</v>
      </c>
      <c r="L93" s="31">
        <v>69477</v>
      </c>
      <c r="M93" s="74">
        <v>15.237136695080618</v>
      </c>
      <c r="N93" s="74">
        <v>26.445075160306949</v>
      </c>
      <c r="O93" s="75">
        <v>298.24649892164035</v>
      </c>
      <c r="P93" s="75">
        <v>241.7824145700323</v>
      </c>
      <c r="Q93" s="76">
        <v>0.37871148516100073</v>
      </c>
      <c r="R93" s="76">
        <v>0.34195941090117882</v>
      </c>
      <c r="S93" s="31">
        <v>3453.1428571428573</v>
      </c>
      <c r="T93" s="31"/>
      <c r="U93" s="76">
        <v>-0.70472653848447275</v>
      </c>
      <c r="V93" s="76">
        <v>-0.49305294780322939</v>
      </c>
      <c r="W93" s="76">
        <v>-0.37675979978273422</v>
      </c>
      <c r="X93" s="76">
        <v>-0.30989087236630652</v>
      </c>
      <c r="Y93" s="76">
        <v>-6.0415117478372471E-2</v>
      </c>
      <c r="Z93" s="76">
        <v>-6.2719530993354144E-2</v>
      </c>
      <c r="AA93" s="76">
        <v>-3.4698126301179744E-2</v>
      </c>
      <c r="AB93" s="76">
        <v>5.4370700996806409E-3</v>
      </c>
      <c r="AC93" s="76">
        <v>4.1577870606498868E-2</v>
      </c>
      <c r="AD93" s="142">
        <v>-0.24160220285390932</v>
      </c>
      <c r="AE93" s="142">
        <v>-0.32691993825111515</v>
      </c>
      <c r="AF93" s="142">
        <v>-0.38790116750536358</v>
      </c>
    </row>
    <row r="94" spans="1:32" x14ac:dyDescent="0.35">
      <c r="A94" t="s">
        <v>202</v>
      </c>
      <c r="B94" t="s">
        <v>764</v>
      </c>
      <c r="C94" s="31">
        <v>17</v>
      </c>
      <c r="D94" s="31"/>
      <c r="E94" s="72">
        <v>19</v>
      </c>
      <c r="F94" s="31"/>
      <c r="G94" s="73">
        <v>8749.8599999999988</v>
      </c>
      <c r="H94" s="31"/>
      <c r="I94" s="72">
        <v>2195.7299999999996</v>
      </c>
      <c r="J94" s="72"/>
      <c r="K94" s="31">
        <v>236.57142857142858</v>
      </c>
      <c r="L94" s="31"/>
      <c r="M94" s="74">
        <v>12.451127819548873</v>
      </c>
      <c r="N94" s="74"/>
      <c r="O94" s="75">
        <v>460.51894736842098</v>
      </c>
      <c r="P94" s="75"/>
      <c r="Q94" s="76">
        <v>0.25094458654195606</v>
      </c>
      <c r="R94" s="76"/>
      <c r="S94" s="31"/>
      <c r="T94" s="31"/>
      <c r="U94" s="76"/>
      <c r="V94" s="76"/>
      <c r="W94" s="76"/>
      <c r="X94" s="76"/>
      <c r="Y94" s="76">
        <v>-6.0697264659209549E-2</v>
      </c>
      <c r="Z94" s="76">
        <v>-5.6410256410256432E-2</v>
      </c>
      <c r="AA94" s="76">
        <v>0.72727272727272729</v>
      </c>
      <c r="AB94" s="76">
        <v>0.54412473197977596</v>
      </c>
      <c r="AC94" s="76">
        <v>-0.10603304990644558</v>
      </c>
      <c r="AD94" s="142"/>
      <c r="AE94" s="142"/>
      <c r="AF94" s="142"/>
    </row>
    <row r="95" spans="1:32" x14ac:dyDescent="0.35">
      <c r="A95" t="s">
        <v>202</v>
      </c>
      <c r="B95" t="s">
        <v>239</v>
      </c>
      <c r="C95" s="31">
        <v>13</v>
      </c>
      <c r="D95" s="31">
        <v>7</v>
      </c>
      <c r="E95" s="72">
        <v>17</v>
      </c>
      <c r="F95" s="31">
        <v>8</v>
      </c>
      <c r="G95" s="73">
        <v>3816.52</v>
      </c>
      <c r="H95" s="31">
        <v>473.33000000000004</v>
      </c>
      <c r="I95" s="72">
        <v>910.64999999999986</v>
      </c>
      <c r="J95" s="72">
        <v>116.18</v>
      </c>
      <c r="K95" s="31">
        <v>142.42857142857142</v>
      </c>
      <c r="L95" s="31">
        <v>60.285714285714285</v>
      </c>
      <c r="M95" s="74">
        <v>8.3781512605042003</v>
      </c>
      <c r="N95" s="74">
        <v>7.5357142857142856</v>
      </c>
      <c r="O95" s="75">
        <v>224.50117647058823</v>
      </c>
      <c r="P95" s="75">
        <v>59.166250000000005</v>
      </c>
      <c r="Q95" s="76">
        <v>0.23860742246863631</v>
      </c>
      <c r="R95" s="76">
        <v>0.24545243276361101</v>
      </c>
      <c r="S95" s="31">
        <v>34.714285714285715</v>
      </c>
      <c r="T95" s="31"/>
      <c r="U95" s="76">
        <v>-0.83886255924170616</v>
      </c>
      <c r="V95" s="76">
        <v>-0.625</v>
      </c>
      <c r="W95" s="76">
        <v>-0.63032134029112885</v>
      </c>
      <c r="X95" s="76">
        <v>-0.67791358237218124</v>
      </c>
      <c r="Y95" s="76">
        <v>-8.9847662597441591E-2</v>
      </c>
      <c r="Z95" s="76">
        <v>-5.4079696394687016E-2</v>
      </c>
      <c r="AA95" s="76">
        <v>0.88888888888888884</v>
      </c>
      <c r="AB95" s="76">
        <v>0.99131786828621804</v>
      </c>
      <c r="AC95" s="76">
        <v>5.4227106739762387E-2</v>
      </c>
      <c r="AD95" s="142"/>
      <c r="AE95" s="142"/>
      <c r="AF95" s="142"/>
    </row>
    <row r="96" spans="1:32" x14ac:dyDescent="0.35">
      <c r="A96" t="s">
        <v>202</v>
      </c>
      <c r="B96" t="s">
        <v>237</v>
      </c>
      <c r="C96" s="31">
        <v>2</v>
      </c>
      <c r="D96" s="31">
        <v>3</v>
      </c>
      <c r="E96" s="72">
        <v>2</v>
      </c>
      <c r="F96" s="31">
        <v>4</v>
      </c>
      <c r="G96" s="73">
        <v>924.98</v>
      </c>
      <c r="H96" s="31">
        <v>1616.6599999999999</v>
      </c>
      <c r="I96" s="72">
        <v>100.53</v>
      </c>
      <c r="J96" s="72">
        <v>351.67999999999984</v>
      </c>
      <c r="K96" s="31">
        <v>14.142857142857142</v>
      </c>
      <c r="L96" s="31">
        <v>93.714285714285708</v>
      </c>
      <c r="M96" s="74">
        <v>7.0714285714285712</v>
      </c>
      <c r="N96" s="74">
        <v>24.928571428571427</v>
      </c>
      <c r="O96" s="75">
        <v>462.49</v>
      </c>
      <c r="P96" s="75">
        <v>404.16499999999996</v>
      </c>
      <c r="Q96" s="76">
        <v>0.10868343099310256</v>
      </c>
      <c r="R96" s="76">
        <v>0.21753491766976352</v>
      </c>
      <c r="S96" s="31">
        <v>1</v>
      </c>
      <c r="T96" s="31"/>
      <c r="U96" s="76">
        <v>-0.84908536585365857</v>
      </c>
      <c r="V96" s="76">
        <v>-0.5</v>
      </c>
      <c r="W96" s="76">
        <v>-0.42784506327861138</v>
      </c>
      <c r="X96" s="76">
        <v>-0.71414353958143761</v>
      </c>
      <c r="Y96" s="76">
        <v>-0.27620117252609544</v>
      </c>
      <c r="Z96" s="76">
        <v>-0.27205882352941169</v>
      </c>
      <c r="AA96" s="76">
        <v>0</v>
      </c>
      <c r="AB96" s="76">
        <v>0.10999375990015858</v>
      </c>
      <c r="AC96" s="76">
        <v>0.10999375990015858</v>
      </c>
      <c r="AD96" s="142"/>
      <c r="AE96" s="142"/>
      <c r="AF96" s="142"/>
    </row>
    <row r="97" spans="1:32" x14ac:dyDescent="0.35">
      <c r="A97" t="s">
        <v>202</v>
      </c>
      <c r="B97" t="s">
        <v>238</v>
      </c>
      <c r="C97" s="31">
        <v>1</v>
      </c>
      <c r="D97" s="31">
        <v>1</v>
      </c>
      <c r="E97" s="72">
        <v>1</v>
      </c>
      <c r="F97" s="31">
        <v>1</v>
      </c>
      <c r="G97" s="73">
        <v>499.99</v>
      </c>
      <c r="H97" s="31">
        <v>363.33</v>
      </c>
      <c r="I97" s="72">
        <v>213.2</v>
      </c>
      <c r="J97" s="72">
        <v>104.97999999999996</v>
      </c>
      <c r="K97" s="31">
        <v>121</v>
      </c>
      <c r="L97" s="31">
        <v>76.571428571428569</v>
      </c>
      <c r="M97" s="74">
        <v>121</v>
      </c>
      <c r="N97" s="74">
        <v>76.571428571428569</v>
      </c>
      <c r="O97" s="75">
        <v>499.99</v>
      </c>
      <c r="P97" s="75">
        <v>363.33</v>
      </c>
      <c r="Q97" s="76">
        <v>0.42640852817056341</v>
      </c>
      <c r="R97" s="76">
        <v>0.28893843062780383</v>
      </c>
      <c r="S97" s="31">
        <v>1</v>
      </c>
      <c r="T97" s="31"/>
      <c r="U97" s="76">
        <v>5.5970149253732338E-3</v>
      </c>
      <c r="V97" s="76">
        <v>0</v>
      </c>
      <c r="W97" s="76">
        <v>0.37613189111826717</v>
      </c>
      <c r="X97" s="76">
        <v>1.0308630215279107</v>
      </c>
      <c r="Y97" s="76">
        <v>-4.4313446511338173E-2</v>
      </c>
      <c r="Z97" s="76">
        <v>-4.7244094488189003E-2</v>
      </c>
      <c r="AA97" s="76">
        <v>-0.8</v>
      </c>
      <c r="AB97" s="76">
        <v>-0.79933135871441063</v>
      </c>
      <c r="AC97" s="76">
        <v>3.34320642794661E-3</v>
      </c>
      <c r="AD97" s="142"/>
      <c r="AE97" s="142"/>
      <c r="AF97" s="142"/>
    </row>
    <row r="98" spans="1:32" x14ac:dyDescent="0.35">
      <c r="A98" t="s">
        <v>202</v>
      </c>
      <c r="B98" t="s">
        <v>236</v>
      </c>
      <c r="C98" s="31">
        <v>4</v>
      </c>
      <c r="D98" s="31">
        <v>23</v>
      </c>
      <c r="E98" s="72">
        <v>7</v>
      </c>
      <c r="F98" s="31">
        <v>34</v>
      </c>
      <c r="G98" s="73">
        <v>366.61</v>
      </c>
      <c r="H98" s="31">
        <v>2814.8700000000003</v>
      </c>
      <c r="I98" s="72">
        <v>-534.12</v>
      </c>
      <c r="J98" s="72">
        <v>876.81000000000063</v>
      </c>
      <c r="K98" s="31">
        <v>65.571428571428569</v>
      </c>
      <c r="L98" s="31">
        <v>504</v>
      </c>
      <c r="M98" s="74">
        <v>9.3673469387755102</v>
      </c>
      <c r="N98" s="74">
        <v>14.852941176470589</v>
      </c>
      <c r="O98" s="75">
        <v>52.372857142857143</v>
      </c>
      <c r="P98" s="75">
        <v>82.790294117647065</v>
      </c>
      <c r="Q98" s="76">
        <v>-1.4569160688470035</v>
      </c>
      <c r="R98" s="76">
        <v>0.31149218258747313</v>
      </c>
      <c r="S98" s="31">
        <v>281.14285714285717</v>
      </c>
      <c r="T98" s="31"/>
      <c r="U98" s="76">
        <v>-0.86989795918367352</v>
      </c>
      <c r="V98" s="76">
        <v>-0.79411764705882359</v>
      </c>
      <c r="W98" s="76">
        <v>-0.8697595270829559</v>
      </c>
      <c r="X98" s="76">
        <v>-1.6091627604612171</v>
      </c>
      <c r="Y98" s="76">
        <v>-0.16384360771062934</v>
      </c>
      <c r="Z98" s="76">
        <v>-0.1577981651376148</v>
      </c>
      <c r="AA98" s="76">
        <v>-0.41666666666666663</v>
      </c>
      <c r="AB98" s="76">
        <v>-0.55104215141198654</v>
      </c>
      <c r="AC98" s="76">
        <v>-0.23035797384911982</v>
      </c>
      <c r="AD98" s="142"/>
      <c r="AE98" s="142"/>
      <c r="AF98" s="142"/>
    </row>
    <row r="99" spans="1:32" x14ac:dyDescent="0.35">
      <c r="A99" t="s">
        <v>202</v>
      </c>
      <c r="B99" t="s">
        <v>244</v>
      </c>
      <c r="C99" s="31">
        <v>1</v>
      </c>
      <c r="D99" s="31"/>
      <c r="E99" s="72">
        <v>4</v>
      </c>
      <c r="F99" s="31"/>
      <c r="G99" s="73">
        <v>33.299999999999997</v>
      </c>
      <c r="H99" s="31"/>
      <c r="I99" s="72">
        <v>-27.7</v>
      </c>
      <c r="J99" s="72"/>
      <c r="K99" s="31">
        <v>0.5714285714285714</v>
      </c>
      <c r="L99" s="31">
        <v>1</v>
      </c>
      <c r="M99" s="74">
        <v>0.14285714285714285</v>
      </c>
      <c r="N99" s="74"/>
      <c r="O99" s="75">
        <v>8.3249999999999993</v>
      </c>
      <c r="P99" s="75"/>
      <c r="Q99" s="76">
        <v>-0.83183183183183185</v>
      </c>
      <c r="R99" s="76"/>
      <c r="S99" s="31">
        <v>19.428571428571427</v>
      </c>
      <c r="T99" s="31"/>
      <c r="U99" s="76">
        <v>3</v>
      </c>
      <c r="V99" s="76"/>
      <c r="W99" s="76"/>
      <c r="X99" s="76"/>
      <c r="Y99" s="76">
        <v>-0.79328955068600038</v>
      </c>
      <c r="Z99" s="76">
        <v>-0.85714285714285721</v>
      </c>
      <c r="AA99" s="76"/>
      <c r="AB99" s="76"/>
      <c r="AC99" s="76"/>
      <c r="AD99" s="142"/>
      <c r="AE99" s="142"/>
      <c r="AF99" s="142"/>
    </row>
    <row r="100" spans="1:32" x14ac:dyDescent="0.35">
      <c r="A100" t="s">
        <v>202</v>
      </c>
      <c r="B100" t="s">
        <v>240</v>
      </c>
      <c r="C100" s="31"/>
      <c r="D100" s="31"/>
      <c r="E100" s="72"/>
      <c r="F100" s="31"/>
      <c r="G100" s="73"/>
      <c r="H100" s="31"/>
      <c r="I100" s="72"/>
      <c r="J100" s="72"/>
      <c r="K100" s="31">
        <v>2</v>
      </c>
      <c r="L100" s="31">
        <v>14.571428571428571</v>
      </c>
      <c r="M100" s="74"/>
      <c r="N100" s="74"/>
      <c r="O100" s="75"/>
      <c r="P100" s="75"/>
      <c r="Q100" s="76"/>
      <c r="R100" s="76"/>
      <c r="S100" s="31">
        <v>6.2857142857142856</v>
      </c>
      <c r="T100" s="31"/>
      <c r="U100" s="76">
        <v>-0.86274509803921573</v>
      </c>
      <c r="V100" s="76"/>
      <c r="W100" s="76"/>
      <c r="X100" s="76"/>
      <c r="Y100" s="76">
        <v>4.1439847621507315</v>
      </c>
      <c r="Z100" s="76">
        <v>-0.33333333333333337</v>
      </c>
      <c r="AA100" s="76"/>
      <c r="AB100" s="76"/>
      <c r="AC100" s="76"/>
      <c r="AD100" s="142"/>
      <c r="AE100" s="142"/>
      <c r="AF100" s="142"/>
    </row>
    <row r="101" spans="1:32" x14ac:dyDescent="0.35">
      <c r="A101" t="s">
        <v>202</v>
      </c>
      <c r="B101" t="s">
        <v>241</v>
      </c>
      <c r="C101" s="31"/>
      <c r="D101" s="31"/>
      <c r="E101" s="72"/>
      <c r="F101" s="31"/>
      <c r="G101" s="73"/>
      <c r="H101" s="31"/>
      <c r="I101" s="72"/>
      <c r="J101" s="72"/>
      <c r="K101" s="31"/>
      <c r="L101" s="31">
        <v>-1</v>
      </c>
      <c r="M101" s="74"/>
      <c r="N101" s="74"/>
      <c r="O101" s="75"/>
      <c r="P101" s="75"/>
      <c r="Q101" s="76"/>
      <c r="R101" s="76"/>
      <c r="S101" s="31"/>
      <c r="T101" s="31"/>
      <c r="U101" s="76"/>
      <c r="V101" s="76"/>
      <c r="W101" s="76"/>
      <c r="X101" s="76"/>
      <c r="Y101" s="76"/>
      <c r="Z101" s="76"/>
      <c r="AA101" s="76"/>
      <c r="AB101" s="76"/>
      <c r="AC101" s="76"/>
      <c r="AD101" s="142"/>
      <c r="AE101" s="142"/>
      <c r="AF101" s="142"/>
    </row>
    <row r="102" spans="1:32" x14ac:dyDescent="0.35">
      <c r="A102" t="s">
        <v>202</v>
      </c>
      <c r="B102" t="s">
        <v>246</v>
      </c>
      <c r="C102" s="31"/>
      <c r="D102" s="31"/>
      <c r="E102" s="72"/>
      <c r="F102" s="31"/>
      <c r="G102" s="73"/>
      <c r="H102" s="31"/>
      <c r="I102" s="72"/>
      <c r="J102" s="72"/>
      <c r="K102" s="31"/>
      <c r="L102" s="31"/>
      <c r="M102" s="74"/>
      <c r="N102" s="74"/>
      <c r="O102" s="75"/>
      <c r="P102" s="75"/>
      <c r="Q102" s="76"/>
      <c r="R102" s="76"/>
      <c r="S102" s="31">
        <v>31</v>
      </c>
      <c r="T102" s="31"/>
      <c r="U102" s="76"/>
      <c r="V102" s="76"/>
      <c r="W102" s="76"/>
      <c r="X102" s="76"/>
      <c r="Y102" s="76"/>
      <c r="Z102" s="76"/>
      <c r="AA102" s="76"/>
      <c r="AB102" s="76"/>
      <c r="AC102" s="76"/>
      <c r="AD102" s="142"/>
      <c r="AE102" s="142"/>
      <c r="AF102" s="142"/>
    </row>
    <row r="103" spans="1:32" x14ac:dyDescent="0.35">
      <c r="A103" t="s">
        <v>202</v>
      </c>
      <c r="B103" t="s">
        <v>242</v>
      </c>
      <c r="C103" s="31"/>
      <c r="D103" s="31"/>
      <c r="E103" s="72"/>
      <c r="F103" s="31"/>
      <c r="G103" s="73"/>
      <c r="H103" s="31"/>
      <c r="I103" s="72"/>
      <c r="J103" s="72"/>
      <c r="K103" s="31"/>
      <c r="L103" s="31">
        <v>1</v>
      </c>
      <c r="M103" s="74"/>
      <c r="N103" s="74"/>
      <c r="O103" s="75"/>
      <c r="P103" s="75"/>
      <c r="Q103" s="76"/>
      <c r="R103" s="76"/>
      <c r="S103" s="31">
        <v>3</v>
      </c>
      <c r="T103" s="31"/>
      <c r="U103" s="76"/>
      <c r="V103" s="76"/>
      <c r="W103" s="76"/>
      <c r="X103" s="76"/>
      <c r="Y103" s="76"/>
      <c r="Z103" s="76"/>
      <c r="AA103" s="76"/>
      <c r="AB103" s="76"/>
      <c r="AC103" s="76"/>
      <c r="AD103" s="142"/>
      <c r="AE103" s="142"/>
      <c r="AF103" s="142"/>
    </row>
    <row r="104" spans="1:32" x14ac:dyDescent="0.35">
      <c r="A104" t="s">
        <v>202</v>
      </c>
      <c r="B104" t="s">
        <v>243</v>
      </c>
      <c r="C104" s="31"/>
      <c r="D104" s="31"/>
      <c r="E104" s="72"/>
      <c r="F104" s="31"/>
      <c r="G104" s="73"/>
      <c r="H104" s="31"/>
      <c r="I104" s="72"/>
      <c r="J104" s="72"/>
      <c r="K104" s="31">
        <v>2</v>
      </c>
      <c r="L104" s="31">
        <v>2</v>
      </c>
      <c r="M104" s="74"/>
      <c r="N104" s="74"/>
      <c r="O104" s="75"/>
      <c r="P104" s="75"/>
      <c r="Q104" s="76"/>
      <c r="R104" s="76"/>
      <c r="S104" s="31"/>
      <c r="T104" s="31"/>
      <c r="U104" s="76"/>
      <c r="V104" s="76"/>
      <c r="W104" s="76"/>
      <c r="X104" s="76"/>
      <c r="Y104" s="76">
        <v>0</v>
      </c>
      <c r="Z104" s="76">
        <v>0</v>
      </c>
      <c r="AA104" s="76"/>
      <c r="AB104" s="76"/>
      <c r="AC104" s="76"/>
      <c r="AD104" s="142"/>
      <c r="AE104" s="142"/>
      <c r="AF104" s="142"/>
    </row>
    <row r="105" spans="1:32" x14ac:dyDescent="0.35">
      <c r="A105" t="s">
        <v>202</v>
      </c>
      <c r="B105" t="s">
        <v>765</v>
      </c>
      <c r="C105" s="31"/>
      <c r="D105" s="31"/>
      <c r="E105" s="72"/>
      <c r="F105" s="31"/>
      <c r="G105" s="73"/>
      <c r="H105" s="31"/>
      <c r="I105" s="72"/>
      <c r="J105" s="72"/>
      <c r="K105" s="31">
        <v>30</v>
      </c>
      <c r="L105" s="31"/>
      <c r="M105" s="74"/>
      <c r="N105" s="74"/>
      <c r="O105" s="75"/>
      <c r="P105" s="75"/>
      <c r="Q105" s="76"/>
      <c r="R105" s="76"/>
      <c r="S105" s="31"/>
      <c r="T105" s="31"/>
      <c r="U105" s="76"/>
      <c r="V105" s="76"/>
      <c r="W105" s="76"/>
      <c r="X105" s="76"/>
      <c r="Y105" s="76">
        <v>-5.4054054054053946E-2</v>
      </c>
      <c r="Z105" s="76">
        <v>-5.4054054054054057E-2</v>
      </c>
      <c r="AA105" s="76"/>
      <c r="AB105" s="76"/>
      <c r="AC105" s="76"/>
      <c r="AD105" s="142"/>
      <c r="AE105" s="142"/>
      <c r="AF105" s="142"/>
    </row>
    <row r="106" spans="1:32" x14ac:dyDescent="0.35">
      <c r="A106" t="s">
        <v>202</v>
      </c>
      <c r="B106" t="s">
        <v>245</v>
      </c>
      <c r="C106" s="31"/>
      <c r="D106" s="31"/>
      <c r="E106" s="72"/>
      <c r="F106" s="31"/>
      <c r="G106" s="73"/>
      <c r="H106" s="31"/>
      <c r="I106" s="72"/>
      <c r="J106" s="72"/>
      <c r="K106" s="31"/>
      <c r="L106" s="31">
        <v>2</v>
      </c>
      <c r="M106" s="74"/>
      <c r="N106" s="74"/>
      <c r="O106" s="75"/>
      <c r="P106" s="75"/>
      <c r="Q106" s="76"/>
      <c r="R106" s="76"/>
      <c r="S106" s="31"/>
      <c r="T106" s="31"/>
      <c r="U106" s="76"/>
      <c r="V106" s="76"/>
      <c r="W106" s="76"/>
      <c r="X106" s="76"/>
      <c r="Y106" s="76"/>
      <c r="Z106" s="76"/>
      <c r="AA106" s="76"/>
      <c r="AB106" s="76"/>
      <c r="AC106" s="76"/>
      <c r="AD106" s="142"/>
      <c r="AE106" s="142"/>
      <c r="AF106" s="142"/>
    </row>
    <row r="107" spans="1:32" x14ac:dyDescent="0.35">
      <c r="A107" t="s">
        <v>202</v>
      </c>
      <c r="B107" t="s">
        <v>766</v>
      </c>
      <c r="C107" s="31"/>
      <c r="D107" s="31"/>
      <c r="E107" s="72"/>
      <c r="F107" s="31"/>
      <c r="G107" s="73"/>
      <c r="H107" s="31"/>
      <c r="I107" s="72"/>
      <c r="J107" s="72"/>
      <c r="K107" s="31">
        <v>16</v>
      </c>
      <c r="L107" s="31"/>
      <c r="M107" s="74"/>
      <c r="N107" s="74"/>
      <c r="O107" s="75"/>
      <c r="P107" s="75"/>
      <c r="Q107" s="76"/>
      <c r="R107" s="76"/>
      <c r="S107" s="31"/>
      <c r="T107" s="31"/>
      <c r="U107" s="76"/>
      <c r="V107" s="76"/>
      <c r="W107" s="76"/>
      <c r="X107" s="76"/>
      <c r="Y107" s="76">
        <v>0</v>
      </c>
      <c r="Z107" s="76">
        <v>0</v>
      </c>
      <c r="AA107" s="76"/>
      <c r="AB107" s="76"/>
      <c r="AC107" s="76"/>
      <c r="AD107" s="142"/>
      <c r="AE107" s="142"/>
      <c r="AF107" s="142"/>
    </row>
    <row r="108" spans="1:32" x14ac:dyDescent="0.35">
      <c r="A108" t="s">
        <v>202</v>
      </c>
      <c r="B108" t="s">
        <v>247</v>
      </c>
      <c r="C108" s="31"/>
      <c r="D108" s="31">
        <v>1</v>
      </c>
      <c r="E108" s="72"/>
      <c r="F108" s="31">
        <v>1</v>
      </c>
      <c r="G108" s="73"/>
      <c r="H108" s="31">
        <v>25.83</v>
      </c>
      <c r="I108" s="72"/>
      <c r="J108" s="72">
        <v>8.68</v>
      </c>
      <c r="K108" s="31"/>
      <c r="L108" s="31">
        <v>1</v>
      </c>
      <c r="M108" s="74"/>
      <c r="N108" s="74">
        <v>0.7142857142857143</v>
      </c>
      <c r="O108" s="75"/>
      <c r="P108" s="75">
        <v>25.83</v>
      </c>
      <c r="Q108" s="76"/>
      <c r="R108" s="76">
        <v>0.33604336043360433</v>
      </c>
      <c r="S108" s="31"/>
      <c r="T108" s="31"/>
      <c r="U108" s="76"/>
      <c r="V108" s="76"/>
      <c r="W108" s="76"/>
      <c r="X108" s="76"/>
      <c r="Y108" s="76"/>
      <c r="Z108" s="76"/>
      <c r="AA108" s="76"/>
      <c r="AB108" s="76"/>
      <c r="AC108" s="76"/>
      <c r="AD108" s="142"/>
      <c r="AE108" s="142"/>
      <c r="AF108" s="142"/>
    </row>
    <row r="109" spans="1:32" x14ac:dyDescent="0.35">
      <c r="A109" s="138" t="s">
        <v>835</v>
      </c>
      <c r="B109" s="138"/>
      <c r="C109" s="127">
        <v>26688</v>
      </c>
      <c r="D109" s="127">
        <v>30660</v>
      </c>
      <c r="E109" s="126">
        <v>41788</v>
      </c>
      <c r="F109" s="127">
        <v>50831</v>
      </c>
      <c r="G109" s="127">
        <v>15207241.030001435</v>
      </c>
      <c r="H109" s="127">
        <v>12343321.570002189</v>
      </c>
      <c r="I109" s="126">
        <v>8816210.8700005077</v>
      </c>
      <c r="J109" s="126">
        <v>5649721.3100020895</v>
      </c>
      <c r="K109" s="127">
        <v>480203.28571428574</v>
      </c>
      <c r="L109" s="127">
        <v>740281.85714285716</v>
      </c>
      <c r="M109" s="140">
        <v>11.491415854175498</v>
      </c>
      <c r="N109" s="140">
        <v>14.802884363206701</v>
      </c>
      <c r="O109" s="139">
        <v>363.91406695705552</v>
      </c>
      <c r="P109" s="139">
        <v>242.83058704338276</v>
      </c>
      <c r="Q109" s="141">
        <v>0.57973769552330612</v>
      </c>
      <c r="R109" s="141">
        <v>0.44982372891222439</v>
      </c>
      <c r="S109" s="127">
        <v>121751.42857142857</v>
      </c>
      <c r="T109" s="127"/>
      <c r="U109" s="141">
        <v>-0.37236087490228142</v>
      </c>
      <c r="V109" s="141">
        <v>-0.20766854872026907</v>
      </c>
      <c r="W109" s="141">
        <v>0.18995120614032657</v>
      </c>
      <c r="X109" s="141">
        <v>0.53420259777626833</v>
      </c>
      <c r="Y109" s="141">
        <v>-1.6540388475975054E-2</v>
      </c>
      <c r="Z109" s="141">
        <v>-2.0547841426224567E-2</v>
      </c>
      <c r="AA109" s="141">
        <v>9.5676341802354514E-2</v>
      </c>
      <c r="AB109" s="141">
        <v>8.6494543247963795E-2</v>
      </c>
      <c r="AC109" s="141">
        <v>-8.3800281196970694E-3</v>
      </c>
      <c r="AD109" s="143">
        <v>-0.17915419370825639</v>
      </c>
      <c r="AE109" s="143">
        <v>-3.3932762554231215E-2</v>
      </c>
      <c r="AF109" s="143">
        <v>0.18093480176995921</v>
      </c>
    </row>
    <row r="110" spans="1:32" x14ac:dyDescent="0.35">
      <c r="A110" t="s">
        <v>94</v>
      </c>
      <c r="B110" t="s">
        <v>248</v>
      </c>
      <c r="C110" s="31">
        <v>7736</v>
      </c>
      <c r="D110" s="31">
        <v>7461</v>
      </c>
      <c r="E110" s="72">
        <v>9761</v>
      </c>
      <c r="F110" s="31">
        <v>9905</v>
      </c>
      <c r="G110" s="73">
        <v>11392742.840000687</v>
      </c>
      <c r="H110" s="31">
        <v>10089696.899999853</v>
      </c>
      <c r="I110" s="72">
        <v>5559206.4900002368</v>
      </c>
      <c r="J110" s="72">
        <v>3598547.4599999459</v>
      </c>
      <c r="K110" s="31">
        <v>132270.71428571429</v>
      </c>
      <c r="L110" s="31">
        <v>95910.142857142855</v>
      </c>
      <c r="M110" s="74">
        <v>13.550938867504794</v>
      </c>
      <c r="N110" s="74">
        <v>9.7425662892158247</v>
      </c>
      <c r="O110" s="75">
        <v>1167.1696383567962</v>
      </c>
      <c r="P110" s="75">
        <v>1018.6468349318378</v>
      </c>
      <c r="Q110" s="76">
        <v>0.48796032422337215</v>
      </c>
      <c r="R110" s="76">
        <v>0.34915639605325194</v>
      </c>
      <c r="S110" s="31">
        <v>15668.142857142857</v>
      </c>
      <c r="T110" s="31"/>
      <c r="U110" s="76">
        <v>0.3027863878541075</v>
      </c>
      <c r="V110" s="76">
        <v>-4.765270065623417E-2</v>
      </c>
      <c r="W110" s="76">
        <v>9.0178853638394507E-2</v>
      </c>
      <c r="X110" s="76">
        <v>0.53232247952205269</v>
      </c>
      <c r="Y110" s="76">
        <v>9.19671943782574E-3</v>
      </c>
      <c r="Z110" s="76">
        <v>1.1181042683013453E-2</v>
      </c>
      <c r="AA110" s="76">
        <v>1.0874067937034049E-2</v>
      </c>
      <c r="AB110" s="76">
        <v>2.6857876143328241E-2</v>
      </c>
      <c r="AC110" s="76">
        <v>1.5811868869990642E-2</v>
      </c>
      <c r="AD110" s="142">
        <v>-0.20366297085027923</v>
      </c>
      <c r="AE110" s="142">
        <v>-0.13360930363805124</v>
      </c>
      <c r="AF110" s="142">
        <v>3.9027060755238217E-3</v>
      </c>
    </row>
    <row r="111" spans="1:32" x14ac:dyDescent="0.35">
      <c r="A111" t="s">
        <v>94</v>
      </c>
      <c r="B111" t="s">
        <v>249</v>
      </c>
      <c r="C111" s="31">
        <v>3720</v>
      </c>
      <c r="D111" s="31">
        <v>4274</v>
      </c>
      <c r="E111" s="72">
        <v>4722</v>
      </c>
      <c r="F111" s="31">
        <v>5823</v>
      </c>
      <c r="G111" s="73">
        <v>3277608.0199999944</v>
      </c>
      <c r="H111" s="31">
        <v>3457166.7000000295</v>
      </c>
      <c r="I111" s="72">
        <v>1687320.6200000243</v>
      </c>
      <c r="J111" s="72">
        <v>1226683.2800000329</v>
      </c>
      <c r="K111" s="31">
        <v>50988.714285714283</v>
      </c>
      <c r="L111" s="31">
        <v>56491.142857142855</v>
      </c>
      <c r="M111" s="74">
        <v>10.798118230773884</v>
      </c>
      <c r="N111" s="74">
        <v>9.8437975968861053</v>
      </c>
      <c r="O111" s="75">
        <v>694.11436255823685</v>
      </c>
      <c r="P111" s="75">
        <v>593.70886141164851</v>
      </c>
      <c r="Q111" s="76">
        <v>0.51480244425324151</v>
      </c>
      <c r="R111" s="76">
        <v>0.34985985692844718</v>
      </c>
      <c r="S111" s="31">
        <v>8751.2857142857138</v>
      </c>
      <c r="T111" s="31"/>
      <c r="U111" s="76">
        <v>-0.13555095868378864</v>
      </c>
      <c r="V111" s="76">
        <v>-0.21672677314099265</v>
      </c>
      <c r="W111" s="76">
        <v>-8.422494639903555E-2</v>
      </c>
      <c r="X111" s="76">
        <v>0.34729281396614153</v>
      </c>
      <c r="Y111" s="76">
        <v>-2.7130949882049227E-2</v>
      </c>
      <c r="Z111" s="76">
        <v>-2.5213503644651358E-2</v>
      </c>
      <c r="AA111" s="76">
        <v>-2.9991783073130662E-2</v>
      </c>
      <c r="AB111" s="76">
        <v>-3.0278701260793683E-2</v>
      </c>
      <c r="AC111" s="76">
        <v>-2.9578944039465593E-4</v>
      </c>
      <c r="AD111" s="142">
        <v>-0.31739278274560934</v>
      </c>
      <c r="AE111" s="142">
        <v>-0.2697933071624351</v>
      </c>
      <c r="AF111" s="142">
        <v>-0.10735507037442139</v>
      </c>
    </row>
    <row r="112" spans="1:32" x14ac:dyDescent="0.35">
      <c r="A112" t="s">
        <v>94</v>
      </c>
      <c r="B112" t="s">
        <v>94</v>
      </c>
      <c r="C112" s="31">
        <v>141</v>
      </c>
      <c r="D112" s="31">
        <v>621</v>
      </c>
      <c r="E112" s="72">
        <v>183</v>
      </c>
      <c r="F112" s="31">
        <v>1122</v>
      </c>
      <c r="G112" s="73">
        <v>53279.370000000032</v>
      </c>
      <c r="H112" s="31">
        <v>262282.55000000063</v>
      </c>
      <c r="I112" s="72">
        <v>18826.780000000006</v>
      </c>
      <c r="J112" s="72">
        <v>91730.230000000272</v>
      </c>
      <c r="K112" s="31">
        <v>2850</v>
      </c>
      <c r="L112" s="31">
        <v>9390.4285714285706</v>
      </c>
      <c r="M112" s="74">
        <v>15.573770491803279</v>
      </c>
      <c r="N112" s="74">
        <v>8.5000630437523643</v>
      </c>
      <c r="O112" s="75">
        <v>291.1440983606559</v>
      </c>
      <c r="P112" s="75">
        <v>233.76341354723763</v>
      </c>
      <c r="Q112" s="76">
        <v>0.35335965871968822</v>
      </c>
      <c r="R112" s="76">
        <v>0.34525372170572327</v>
      </c>
      <c r="S112" s="31">
        <v>489.28571428571428</v>
      </c>
      <c r="T112" s="31"/>
      <c r="U112" s="76">
        <v>-0.69776215903731753</v>
      </c>
      <c r="V112" s="76">
        <v>-0.83868092691622098</v>
      </c>
      <c r="W112" s="76">
        <v>-0.80032872945607747</v>
      </c>
      <c r="X112" s="76">
        <v>-0.79381732107203584</v>
      </c>
      <c r="Y112" s="76">
        <v>-5.5515564050362953E-2</v>
      </c>
      <c r="Z112" s="76">
        <v>-5.0903901046622235E-2</v>
      </c>
      <c r="AA112" s="76">
        <v>0.5123966942148761</v>
      </c>
      <c r="AB112" s="76">
        <v>0.38587792424870315</v>
      </c>
      <c r="AC112" s="76">
        <v>-8.365448724539315E-2</v>
      </c>
      <c r="AD112" s="142"/>
      <c r="AE112" s="142"/>
      <c r="AF112" s="142"/>
    </row>
    <row r="113" spans="1:32" x14ac:dyDescent="0.35">
      <c r="A113" t="s">
        <v>94</v>
      </c>
      <c r="B113" t="s">
        <v>251</v>
      </c>
      <c r="C113" s="31">
        <v>85</v>
      </c>
      <c r="D113" s="31">
        <v>208</v>
      </c>
      <c r="E113" s="72">
        <v>89</v>
      </c>
      <c r="F113" s="31">
        <v>235</v>
      </c>
      <c r="G113" s="73">
        <v>47041.879999999968</v>
      </c>
      <c r="H113" s="31">
        <v>130674.56999999957</v>
      </c>
      <c r="I113" s="72">
        <v>8812.7700000000059</v>
      </c>
      <c r="J113" s="72">
        <v>34501.979999999559</v>
      </c>
      <c r="K113" s="31">
        <v>2159.7142857142858</v>
      </c>
      <c r="L113" s="31">
        <v>5506.2857142857147</v>
      </c>
      <c r="M113" s="74">
        <v>24.26645264847512</v>
      </c>
      <c r="N113" s="74">
        <v>24.092009685230021</v>
      </c>
      <c r="O113" s="75">
        <v>528.56044943820189</v>
      </c>
      <c r="P113" s="75">
        <v>556.06199999999819</v>
      </c>
      <c r="Q113" s="76">
        <v>0.18733881383992332</v>
      </c>
      <c r="R113" s="76">
        <v>0.26347988847421572</v>
      </c>
      <c r="S113" s="31">
        <v>290</v>
      </c>
      <c r="T113" s="31"/>
      <c r="U113" s="76">
        <v>-0.64266811955168124</v>
      </c>
      <c r="V113" s="76">
        <v>-0.62127659574468086</v>
      </c>
      <c r="W113" s="76">
        <v>-0.64000738628793563</v>
      </c>
      <c r="X113" s="76">
        <v>-0.74654280599075151</v>
      </c>
      <c r="Y113" s="76">
        <v>-7.6964060902820819E-2</v>
      </c>
      <c r="Z113" s="76">
        <v>-7.1547012221335193E-2</v>
      </c>
      <c r="AA113" s="76">
        <v>0.1558441558441559</v>
      </c>
      <c r="AB113" s="76">
        <v>0.2118324110997758</v>
      </c>
      <c r="AC113" s="76">
        <v>4.8439277018907045E-2</v>
      </c>
      <c r="AD113" s="142"/>
      <c r="AE113" s="142"/>
      <c r="AF113" s="142"/>
    </row>
    <row r="114" spans="1:32" x14ac:dyDescent="0.35">
      <c r="A114" t="s">
        <v>94</v>
      </c>
      <c r="B114" t="s">
        <v>250</v>
      </c>
      <c r="C114" s="31">
        <v>48</v>
      </c>
      <c r="D114" s="31">
        <v>198</v>
      </c>
      <c r="E114" s="72">
        <v>53</v>
      </c>
      <c r="F114" s="31">
        <v>211</v>
      </c>
      <c r="G114" s="73">
        <v>30963.469999999976</v>
      </c>
      <c r="H114" s="31">
        <v>167064.24999999971</v>
      </c>
      <c r="I114" s="72">
        <v>4579.6299999999983</v>
      </c>
      <c r="J114" s="72">
        <v>57812.769999999684</v>
      </c>
      <c r="K114" s="31">
        <v>901.85714285714289</v>
      </c>
      <c r="L114" s="31">
        <v>3652.4285714285716</v>
      </c>
      <c r="M114" s="74">
        <v>17.016172506738545</v>
      </c>
      <c r="N114" s="74">
        <v>17.499338624338623</v>
      </c>
      <c r="O114" s="75">
        <v>584.21641509433914</v>
      </c>
      <c r="P114" s="75">
        <v>791.77369668246308</v>
      </c>
      <c r="Q114" s="76">
        <v>0.14790428850513207</v>
      </c>
      <c r="R114" s="76">
        <v>0.33867938007712683</v>
      </c>
      <c r="S114" s="31">
        <v>190</v>
      </c>
      <c r="T114" s="31"/>
      <c r="U114" s="76">
        <v>-0.75401885242695665</v>
      </c>
      <c r="V114" s="76">
        <v>-0.74881516587677721</v>
      </c>
      <c r="W114" s="76">
        <v>-0.81466130545583493</v>
      </c>
      <c r="X114" s="76">
        <v>-0.91942512749188687</v>
      </c>
      <c r="Y114" s="76">
        <v>-7.1273940480349185E-2</v>
      </c>
      <c r="Z114" s="76">
        <v>-7.3253082795067481E-2</v>
      </c>
      <c r="AA114" s="76">
        <v>-0.23188405797101452</v>
      </c>
      <c r="AB114" s="76">
        <v>-0.12389200745740214</v>
      </c>
      <c r="AC114" s="76">
        <v>0.14059342425357069</v>
      </c>
      <c r="AD114" s="142"/>
      <c r="AE114" s="142"/>
      <c r="AF114" s="142"/>
    </row>
    <row r="115" spans="1:32" x14ac:dyDescent="0.35">
      <c r="A115" t="s">
        <v>94</v>
      </c>
      <c r="B115" t="s">
        <v>255</v>
      </c>
      <c r="C115" s="31">
        <v>6</v>
      </c>
      <c r="D115" s="31"/>
      <c r="E115" s="72">
        <v>9</v>
      </c>
      <c r="F115" s="31"/>
      <c r="G115" s="73">
        <v>2045.37</v>
      </c>
      <c r="H115" s="31"/>
      <c r="I115" s="72">
        <v>587.37</v>
      </c>
      <c r="J115" s="72"/>
      <c r="K115" s="31">
        <v>91.428571428571431</v>
      </c>
      <c r="L115" s="31">
        <v>1</v>
      </c>
      <c r="M115" s="74">
        <v>10.158730158730158</v>
      </c>
      <c r="N115" s="74"/>
      <c r="O115" s="75">
        <v>227.26333333333332</v>
      </c>
      <c r="P115" s="75"/>
      <c r="Q115" s="76">
        <v>0.28717053638217049</v>
      </c>
      <c r="R115" s="76"/>
      <c r="S115" s="31">
        <v>6</v>
      </c>
      <c r="T115" s="31"/>
      <c r="U115" s="76">
        <v>0</v>
      </c>
      <c r="V115" s="76"/>
      <c r="W115" s="76"/>
      <c r="X115" s="76"/>
      <c r="Y115" s="76">
        <v>-7.2439750350244081E-2</v>
      </c>
      <c r="Z115" s="76">
        <v>-7.1117561683599395E-2</v>
      </c>
      <c r="AA115" s="76">
        <v>2</v>
      </c>
      <c r="AB115" s="76">
        <v>2</v>
      </c>
      <c r="AC115" s="76">
        <v>0</v>
      </c>
      <c r="AD115" s="142"/>
      <c r="AE115" s="142"/>
      <c r="AF115" s="142"/>
    </row>
    <row r="116" spans="1:32" x14ac:dyDescent="0.35">
      <c r="A116" t="s">
        <v>94</v>
      </c>
      <c r="B116" t="s">
        <v>253</v>
      </c>
      <c r="C116" s="31">
        <v>5</v>
      </c>
      <c r="D116" s="31">
        <v>2</v>
      </c>
      <c r="E116" s="72">
        <v>10</v>
      </c>
      <c r="F116" s="31">
        <v>3</v>
      </c>
      <c r="G116" s="73">
        <v>625.07999999999993</v>
      </c>
      <c r="H116" s="31">
        <v>37.260000000000005</v>
      </c>
      <c r="I116" s="72">
        <v>459.42</v>
      </c>
      <c r="J116" s="72">
        <v>11.000000000000007</v>
      </c>
      <c r="K116" s="31">
        <v>229.42857142857142</v>
      </c>
      <c r="L116" s="31">
        <v>83.428571428571431</v>
      </c>
      <c r="M116" s="74">
        <v>22.942857142857143</v>
      </c>
      <c r="N116" s="74">
        <v>27.80952380952381</v>
      </c>
      <c r="O116" s="75">
        <v>62.507999999999996</v>
      </c>
      <c r="P116" s="75">
        <v>12.420000000000002</v>
      </c>
      <c r="Q116" s="76">
        <v>0.73497792282587837</v>
      </c>
      <c r="R116" s="76">
        <v>0.29522275899087508</v>
      </c>
      <c r="S116" s="31">
        <v>153</v>
      </c>
      <c r="T116" s="31"/>
      <c r="U116" s="76">
        <v>1.7380136986301369</v>
      </c>
      <c r="V116" s="76">
        <v>2.3333333333333335</v>
      </c>
      <c r="W116" s="76">
        <v>15.77616747181964</v>
      </c>
      <c r="X116" s="76">
        <v>40.765454545454517</v>
      </c>
      <c r="Y116" s="76">
        <v>-2.6536587477367646E-2</v>
      </c>
      <c r="Z116" s="76">
        <v>-1.4723926380368124E-2</v>
      </c>
      <c r="AA116" s="76">
        <v>4</v>
      </c>
      <c r="AB116" s="76">
        <v>4.7309984413679285</v>
      </c>
      <c r="AC116" s="76">
        <v>0.14619968827358587</v>
      </c>
      <c r="AD116" s="142"/>
      <c r="AE116" s="142"/>
      <c r="AF116" s="142"/>
    </row>
    <row r="117" spans="1:32" x14ac:dyDescent="0.35">
      <c r="A117" t="s">
        <v>94</v>
      </c>
      <c r="B117" t="s">
        <v>252</v>
      </c>
      <c r="C117" s="31">
        <v>1</v>
      </c>
      <c r="D117" s="31">
        <v>2</v>
      </c>
      <c r="E117" s="72">
        <v>1</v>
      </c>
      <c r="F117" s="31">
        <v>2</v>
      </c>
      <c r="G117" s="73">
        <v>454.54</v>
      </c>
      <c r="H117" s="31">
        <v>745.46</v>
      </c>
      <c r="I117" s="72">
        <v>152.44999999999999</v>
      </c>
      <c r="J117" s="72">
        <v>-164.6099999999999</v>
      </c>
      <c r="K117" s="31">
        <v>74.285714285714292</v>
      </c>
      <c r="L117" s="31">
        <v>27.857142857142858</v>
      </c>
      <c r="M117" s="74">
        <v>74.285714285714292</v>
      </c>
      <c r="N117" s="74">
        <v>13.928571428571429</v>
      </c>
      <c r="O117" s="75">
        <v>454.54</v>
      </c>
      <c r="P117" s="75">
        <v>372.73</v>
      </c>
      <c r="Q117" s="76">
        <v>0.33539402472829671</v>
      </c>
      <c r="R117" s="76">
        <v>-0.22081667695114413</v>
      </c>
      <c r="S117" s="31">
        <v>6</v>
      </c>
      <c r="T117" s="31"/>
      <c r="U117" s="76">
        <v>1.666666666666667</v>
      </c>
      <c r="V117" s="76">
        <v>-0.5</v>
      </c>
      <c r="W117" s="76">
        <v>-0.39025568105599229</v>
      </c>
      <c r="X117" s="76">
        <v>-1.9261284247615584</v>
      </c>
      <c r="Y117" s="76">
        <v>-2.3032861733591314E-2</v>
      </c>
      <c r="Z117" s="76">
        <v>-0.11714770797962637</v>
      </c>
      <c r="AA117" s="76"/>
      <c r="AB117" s="76"/>
      <c r="AC117" s="76"/>
      <c r="AD117" s="142"/>
      <c r="AE117" s="142"/>
      <c r="AF117" s="142"/>
    </row>
    <row r="118" spans="1:32" x14ac:dyDescent="0.35">
      <c r="A118" t="s">
        <v>94</v>
      </c>
      <c r="B118" t="s">
        <v>757</v>
      </c>
      <c r="C118" s="31"/>
      <c r="D118" s="31"/>
      <c r="E118" s="72"/>
      <c r="F118" s="31"/>
      <c r="G118" s="73"/>
      <c r="H118" s="31"/>
      <c r="I118" s="72"/>
      <c r="J118" s="72"/>
      <c r="K118" s="31">
        <v>-1</v>
      </c>
      <c r="L118" s="31"/>
      <c r="M118" s="74"/>
      <c r="N118" s="74"/>
      <c r="O118" s="75"/>
      <c r="P118" s="75"/>
      <c r="Q118" s="76"/>
      <c r="R118" s="76"/>
      <c r="S118" s="31"/>
      <c r="T118" s="31"/>
      <c r="U118" s="76"/>
      <c r="V118" s="76"/>
      <c r="W118" s="76"/>
      <c r="X118" s="76"/>
      <c r="Y118" s="76">
        <v>0</v>
      </c>
      <c r="Z118" s="76">
        <v>0</v>
      </c>
      <c r="AA118" s="76"/>
      <c r="AB118" s="76"/>
      <c r="AC118" s="76"/>
      <c r="AD118" s="142"/>
      <c r="AE118" s="142"/>
      <c r="AF118" s="142"/>
    </row>
    <row r="119" spans="1:32" x14ac:dyDescent="0.35">
      <c r="A119" t="s">
        <v>94</v>
      </c>
      <c r="B119" t="s">
        <v>254</v>
      </c>
      <c r="C119" s="31"/>
      <c r="D119" s="31"/>
      <c r="E119" s="72"/>
      <c r="F119" s="31"/>
      <c r="G119" s="73"/>
      <c r="H119" s="31"/>
      <c r="I119" s="72"/>
      <c r="J119" s="72"/>
      <c r="K119" s="31">
        <v>1</v>
      </c>
      <c r="L119" s="31"/>
      <c r="M119" s="74"/>
      <c r="N119" s="74"/>
      <c r="O119" s="75"/>
      <c r="P119" s="75"/>
      <c r="Q119" s="76"/>
      <c r="R119" s="76"/>
      <c r="S119" s="31">
        <v>14</v>
      </c>
      <c r="T119" s="31"/>
      <c r="U119" s="76"/>
      <c r="V119" s="76"/>
      <c r="W119" s="76"/>
      <c r="X119" s="76"/>
      <c r="Y119" s="76">
        <v>2.5</v>
      </c>
      <c r="Z119" s="76">
        <v>2.5</v>
      </c>
      <c r="AA119" s="76"/>
      <c r="AB119" s="76"/>
      <c r="AC119" s="76"/>
      <c r="AD119" s="142"/>
      <c r="AE119" s="142"/>
      <c r="AF119" s="142"/>
    </row>
    <row r="120" spans="1:32" x14ac:dyDescent="0.35">
      <c r="A120" t="s">
        <v>94</v>
      </c>
      <c r="B120" t="s">
        <v>758</v>
      </c>
      <c r="C120" s="31"/>
      <c r="D120" s="31"/>
      <c r="E120" s="72"/>
      <c r="F120" s="31"/>
      <c r="G120" s="73"/>
      <c r="H120" s="31"/>
      <c r="I120" s="72"/>
      <c r="J120" s="72"/>
      <c r="K120" s="31">
        <v>-3</v>
      </c>
      <c r="L120" s="31"/>
      <c r="M120" s="74"/>
      <c r="N120" s="74"/>
      <c r="O120" s="75"/>
      <c r="P120" s="75"/>
      <c r="Q120" s="76"/>
      <c r="R120" s="76"/>
      <c r="S120" s="31"/>
      <c r="T120" s="31"/>
      <c r="U120" s="76"/>
      <c r="V120" s="76"/>
      <c r="W120" s="76"/>
      <c r="X120" s="76"/>
      <c r="Y120" s="76">
        <v>0</v>
      </c>
      <c r="Z120" s="76">
        <v>0</v>
      </c>
      <c r="AA120" s="76"/>
      <c r="AB120" s="76"/>
      <c r="AC120" s="76"/>
      <c r="AD120" s="142"/>
      <c r="AE120" s="142"/>
      <c r="AF120" s="142"/>
    </row>
    <row r="121" spans="1:32" x14ac:dyDescent="0.35">
      <c r="A121" t="s">
        <v>94</v>
      </c>
      <c r="B121" t="s">
        <v>256</v>
      </c>
      <c r="C121" s="31"/>
      <c r="D121" s="31"/>
      <c r="E121" s="72"/>
      <c r="F121" s="31"/>
      <c r="G121" s="73"/>
      <c r="H121" s="31"/>
      <c r="I121" s="72"/>
      <c r="J121" s="72"/>
      <c r="K121" s="31"/>
      <c r="L121" s="31">
        <v>2</v>
      </c>
      <c r="M121" s="74"/>
      <c r="N121" s="74"/>
      <c r="O121" s="75"/>
      <c r="P121" s="75"/>
      <c r="Q121" s="76"/>
      <c r="R121" s="76"/>
      <c r="S121" s="31">
        <v>5</v>
      </c>
      <c r="T121" s="31"/>
      <c r="U121" s="76"/>
      <c r="V121" s="76"/>
      <c r="W121" s="76"/>
      <c r="X121" s="76"/>
      <c r="Y121" s="76"/>
      <c r="Z121" s="76"/>
      <c r="AA121" s="76"/>
      <c r="AB121" s="76"/>
      <c r="AC121" s="76"/>
      <c r="AD121" s="142"/>
      <c r="AE121" s="142"/>
      <c r="AF121" s="142"/>
    </row>
    <row r="122" spans="1:32" x14ac:dyDescent="0.35">
      <c r="A122" s="138" t="s">
        <v>836</v>
      </c>
      <c r="B122" s="138"/>
      <c r="C122" s="127">
        <v>11320</v>
      </c>
      <c r="D122" s="127">
        <v>11936</v>
      </c>
      <c r="E122" s="126">
        <v>14828</v>
      </c>
      <c r="F122" s="127">
        <v>17301</v>
      </c>
      <c r="G122" s="127">
        <v>14804760.570000235</v>
      </c>
      <c r="H122" s="127">
        <v>14107667.689999864</v>
      </c>
      <c r="I122" s="126">
        <v>7279945.5299997823</v>
      </c>
      <c r="J122" s="126">
        <v>5009122.1099999305</v>
      </c>
      <c r="K122" s="127">
        <v>189563.14285714287</v>
      </c>
      <c r="L122" s="127">
        <v>171064.71428571429</v>
      </c>
      <c r="M122" s="140">
        <v>12.78413426336275</v>
      </c>
      <c r="N122" s="140">
        <v>9.9877228975259289</v>
      </c>
      <c r="O122" s="139">
        <v>998.43273334234118</v>
      </c>
      <c r="P122" s="139">
        <v>815.42498641696227</v>
      </c>
      <c r="Q122" s="141">
        <v>0.49173004153485411</v>
      </c>
      <c r="R122" s="141">
        <v>0.34832160884306151</v>
      </c>
      <c r="S122" s="127">
        <v>25572.714285714286</v>
      </c>
      <c r="T122" s="127"/>
      <c r="U122" s="141">
        <v>5.0999913984097978E-2</v>
      </c>
      <c r="V122" s="141">
        <v>-0.17183977804751172</v>
      </c>
      <c r="W122" s="141">
        <v>1.3421693377044575E-2</v>
      </c>
      <c r="X122" s="141">
        <v>0.43643399920441661</v>
      </c>
      <c r="Y122" s="141">
        <v>1.0661657621353626E-3</v>
      </c>
      <c r="Z122" s="141">
        <v>-1.4035145811241989E-3</v>
      </c>
      <c r="AA122" s="141">
        <v>2.1627466882940816E-3</v>
      </c>
      <c r="AB122" s="141">
        <v>1.4851466175396233E-2</v>
      </c>
      <c r="AC122" s="141">
        <v>1.2661336224114139E-2</v>
      </c>
      <c r="AD122" s="143">
        <v>-0.22670012751416591</v>
      </c>
      <c r="AE122" s="143">
        <v>-0.16064519909708275</v>
      </c>
      <c r="AF122" s="143">
        <v>-1.991126040197853E-2</v>
      </c>
    </row>
    <row r="123" spans="1:32" x14ac:dyDescent="0.35">
      <c r="A123" t="s">
        <v>85</v>
      </c>
      <c r="B123" t="s">
        <v>345</v>
      </c>
      <c r="C123" s="31">
        <v>6039</v>
      </c>
      <c r="D123" s="31">
        <v>2894</v>
      </c>
      <c r="E123" s="72">
        <v>8704</v>
      </c>
      <c r="F123" s="31">
        <v>4466</v>
      </c>
      <c r="G123" s="73">
        <v>2987724.7499999087</v>
      </c>
      <c r="H123" s="31">
        <v>911596.71999998426</v>
      </c>
      <c r="I123" s="72">
        <v>2171209.5599999987</v>
      </c>
      <c r="J123" s="72">
        <v>586115.51999998558</v>
      </c>
      <c r="K123" s="31">
        <v>99459.28571428571</v>
      </c>
      <c r="L123" s="31">
        <v>37078.428571428572</v>
      </c>
      <c r="M123" s="74">
        <v>11.426848082983193</v>
      </c>
      <c r="N123" s="74">
        <v>8.5578842003190587</v>
      </c>
      <c r="O123" s="75">
        <v>343.258817784916</v>
      </c>
      <c r="P123" s="75">
        <v>204.11928347514203</v>
      </c>
      <c r="Q123" s="76">
        <v>0.7267100357889611</v>
      </c>
      <c r="R123" s="76">
        <v>0.6294772423904611</v>
      </c>
      <c r="S123" s="31">
        <v>27627.142857142859</v>
      </c>
      <c r="T123" s="31"/>
      <c r="U123" s="76">
        <v>1.6160224081002044</v>
      </c>
      <c r="V123" s="76">
        <v>0.87684729064039413</v>
      </c>
      <c r="W123" s="76">
        <v>2.159509810434562</v>
      </c>
      <c r="X123" s="76">
        <v>2.6505668220789045</v>
      </c>
      <c r="Y123" s="76">
        <v>9.7760961611972341E-3</v>
      </c>
      <c r="Z123" s="76">
        <v>7.9437926361751732E-3</v>
      </c>
      <c r="AA123" s="76">
        <v>0.18148500067870232</v>
      </c>
      <c r="AB123" s="76">
        <v>0.18258227598504839</v>
      </c>
      <c r="AC123" s="76">
        <v>9.2872554938550067E-4</v>
      </c>
      <c r="AD123" s="142">
        <v>5.0006524540771875E-2</v>
      </c>
      <c r="AE123" s="142">
        <v>0.77743600235126564</v>
      </c>
      <c r="AF123" s="142">
        <v>1.3513760189491748</v>
      </c>
    </row>
    <row r="124" spans="1:32" x14ac:dyDescent="0.35">
      <c r="A124" t="s">
        <v>85</v>
      </c>
      <c r="B124" t="s">
        <v>343</v>
      </c>
      <c r="C124" s="31">
        <v>1653</v>
      </c>
      <c r="D124" s="31">
        <v>3867</v>
      </c>
      <c r="E124" s="72">
        <v>2012</v>
      </c>
      <c r="F124" s="31">
        <v>5455</v>
      </c>
      <c r="G124" s="73">
        <v>1455744.659999989</v>
      </c>
      <c r="H124" s="31">
        <v>1547811.4199999799</v>
      </c>
      <c r="I124" s="72">
        <v>825402.44000000006</v>
      </c>
      <c r="J124" s="72">
        <v>527297.68999994849</v>
      </c>
      <c r="K124" s="31">
        <v>20906.857142857141</v>
      </c>
      <c r="L124" s="31">
        <v>57014.571428571428</v>
      </c>
      <c r="M124" s="74">
        <v>10.391082078954842</v>
      </c>
      <c r="N124" s="74">
        <v>10.643973013877845</v>
      </c>
      <c r="O124" s="75">
        <v>723.5311431411476</v>
      </c>
      <c r="P124" s="75">
        <v>283.74178185150868</v>
      </c>
      <c r="Q124" s="76">
        <v>0.56699671493214088</v>
      </c>
      <c r="R124" s="76">
        <v>0.33399543853847397</v>
      </c>
      <c r="S124" s="31">
        <v>5938</v>
      </c>
      <c r="T124" s="31"/>
      <c r="U124" s="76">
        <v>-0.64660412626346142</v>
      </c>
      <c r="V124" s="76">
        <v>-0.64454628780934919</v>
      </c>
      <c r="W124" s="76">
        <v>-9.9739954108871931E-2</v>
      </c>
      <c r="X124" s="76">
        <v>0.5213418534031462</v>
      </c>
      <c r="Y124" s="76">
        <v>-6.963917742074055E-2</v>
      </c>
      <c r="Z124" s="76">
        <v>-8.1582448477546032E-2</v>
      </c>
      <c r="AA124" s="76">
        <v>6.7940552016985123E-2</v>
      </c>
      <c r="AB124" s="76">
        <v>8.9585392132715658E-2</v>
      </c>
      <c r="AC124" s="76">
        <v>2.0267832394650354E-2</v>
      </c>
      <c r="AD124" s="142">
        <v>-0.47936103833005106</v>
      </c>
      <c r="AE124" s="142">
        <v>-0.15306974358444578</v>
      </c>
      <c r="AF124" s="142">
        <v>-2.2596607260460214E-2</v>
      </c>
    </row>
    <row r="125" spans="1:32" x14ac:dyDescent="0.35">
      <c r="A125" t="s">
        <v>85</v>
      </c>
      <c r="B125" t="s">
        <v>352</v>
      </c>
      <c r="C125" s="31">
        <v>1885</v>
      </c>
      <c r="D125" s="31">
        <v>984</v>
      </c>
      <c r="E125" s="72">
        <v>5164</v>
      </c>
      <c r="F125" s="31">
        <v>2453</v>
      </c>
      <c r="G125" s="73">
        <v>1101641.8699999873</v>
      </c>
      <c r="H125" s="31">
        <v>287160.83000000037</v>
      </c>
      <c r="I125" s="72">
        <v>702513.09000000253</v>
      </c>
      <c r="J125" s="72">
        <v>165316.95999999996</v>
      </c>
      <c r="K125" s="31">
        <v>61176.142857142855</v>
      </c>
      <c r="L125" s="31">
        <v>35168.428571428572</v>
      </c>
      <c r="M125" s="74">
        <v>11.84665818302534</v>
      </c>
      <c r="N125" s="74">
        <v>14.532093547478164</v>
      </c>
      <c r="O125" s="75">
        <v>213.33111347792163</v>
      </c>
      <c r="P125" s="75">
        <v>117.0651569506728</v>
      </c>
      <c r="Q125" s="76">
        <v>0.6376964321445141</v>
      </c>
      <c r="R125" s="76">
        <v>0.55901375878133075</v>
      </c>
      <c r="S125" s="31">
        <v>21522.428571428572</v>
      </c>
      <c r="T125" s="31"/>
      <c r="U125" s="76">
        <v>0.69131810593105003</v>
      </c>
      <c r="V125" s="76">
        <v>0.99877700774561751</v>
      </c>
      <c r="W125" s="76">
        <v>2.6405804022783639</v>
      </c>
      <c r="X125" s="76">
        <v>3.1476616011971998</v>
      </c>
      <c r="Y125" s="76">
        <v>-1.5946162168249622E-2</v>
      </c>
      <c r="Z125" s="76">
        <v>-1.4686527877482702E-2</v>
      </c>
      <c r="AA125" s="76">
        <v>9.2678798137960205E-2</v>
      </c>
      <c r="AB125" s="76">
        <v>8.0115005129357542E-2</v>
      </c>
      <c r="AC125" s="76">
        <v>-1.149815758300865E-2</v>
      </c>
      <c r="AD125" s="142">
        <v>2.5559916193245481E-2</v>
      </c>
      <c r="AE125" s="142">
        <v>0.605881301801662</v>
      </c>
      <c r="AF125" s="142">
        <v>1.0843569919231824</v>
      </c>
    </row>
    <row r="126" spans="1:32" x14ac:dyDescent="0.35">
      <c r="A126" t="s">
        <v>85</v>
      </c>
      <c r="B126" t="s">
        <v>346</v>
      </c>
      <c r="C126" s="31">
        <v>1594</v>
      </c>
      <c r="D126" s="31">
        <v>1321</v>
      </c>
      <c r="E126" s="72">
        <v>1720</v>
      </c>
      <c r="F126" s="31">
        <v>1455</v>
      </c>
      <c r="G126" s="73">
        <v>987777.19999999099</v>
      </c>
      <c r="H126" s="31">
        <v>481247.57999999559</v>
      </c>
      <c r="I126" s="72">
        <v>631172.11000000476</v>
      </c>
      <c r="J126" s="72">
        <v>239573.58999999508</v>
      </c>
      <c r="K126" s="31">
        <v>14969</v>
      </c>
      <c r="L126" s="31">
        <v>19838.714285714286</v>
      </c>
      <c r="M126" s="74">
        <v>8.7029069767441865</v>
      </c>
      <c r="N126" s="74">
        <v>13.841724564575998</v>
      </c>
      <c r="O126" s="75">
        <v>574.28906976743667</v>
      </c>
      <c r="P126" s="75">
        <v>330.75435051546089</v>
      </c>
      <c r="Q126" s="76">
        <v>0.63898226239683453</v>
      </c>
      <c r="R126" s="76">
        <v>0.48260207030908908</v>
      </c>
      <c r="S126" s="31">
        <v>4169.4285714285716</v>
      </c>
      <c r="T126" s="31"/>
      <c r="U126" s="76">
        <v>-0.26699598908339395</v>
      </c>
      <c r="V126" s="76">
        <v>0.14639175257731951</v>
      </c>
      <c r="W126" s="76">
        <v>0.9880345372334105</v>
      </c>
      <c r="X126" s="76">
        <v>1.6250029951323066</v>
      </c>
      <c r="Y126" s="76">
        <v>-4.9425006936105964E-2</v>
      </c>
      <c r="Z126" s="76">
        <v>-5.1643149996832283E-2</v>
      </c>
      <c r="AA126" s="76">
        <v>-6.4709081022294779E-2</v>
      </c>
      <c r="AB126" s="76">
        <v>-5.8731255748297073E-2</v>
      </c>
      <c r="AC126" s="76">
        <v>6.3914073714428365E-3</v>
      </c>
      <c r="AD126" s="142">
        <v>0.16661619242927131</v>
      </c>
      <c r="AE126" s="142">
        <v>0.53693985221630725</v>
      </c>
      <c r="AF126" s="142">
        <v>0.87732025617852905</v>
      </c>
    </row>
    <row r="127" spans="1:32" x14ac:dyDescent="0.35">
      <c r="A127" t="s">
        <v>85</v>
      </c>
      <c r="B127" t="s">
        <v>365</v>
      </c>
      <c r="C127" s="31">
        <v>1944</v>
      </c>
      <c r="D127" s="31">
        <v>520</v>
      </c>
      <c r="E127" s="72">
        <v>2169</v>
      </c>
      <c r="F127" s="31">
        <v>597</v>
      </c>
      <c r="G127" s="73">
        <v>790084.18000000168</v>
      </c>
      <c r="H127" s="31">
        <v>108450.50000000007</v>
      </c>
      <c r="I127" s="72">
        <v>519491.65999999887</v>
      </c>
      <c r="J127" s="72">
        <v>64361.820000000131</v>
      </c>
      <c r="K127" s="31">
        <v>6665.7142857142853</v>
      </c>
      <c r="L127" s="31">
        <v>3966.4285714285716</v>
      </c>
      <c r="M127" s="74">
        <v>3.0731739445432389</v>
      </c>
      <c r="N127" s="74">
        <v>6.8635607321131449</v>
      </c>
      <c r="O127" s="75">
        <v>364.2619548178892</v>
      </c>
      <c r="P127" s="75">
        <v>181.65912897822457</v>
      </c>
      <c r="Q127" s="76">
        <v>0.65751431701872298</v>
      </c>
      <c r="R127" s="76">
        <v>0.58899579057454077</v>
      </c>
      <c r="S127" s="31">
        <v>1472.1428571428571</v>
      </c>
      <c r="T127" s="31"/>
      <c r="U127" s="76">
        <v>0.643616063389159</v>
      </c>
      <c r="V127" s="76">
        <v>2.5510887772194306</v>
      </c>
      <c r="W127" s="76">
        <v>6.1106361888603651</v>
      </c>
      <c r="X127" s="76">
        <v>6.9380850939601935</v>
      </c>
      <c r="Y127" s="76">
        <v>0.26601942483283914</v>
      </c>
      <c r="Z127" s="76">
        <v>0.38411794369790253</v>
      </c>
      <c r="AA127" s="76">
        <v>2.3317972350230414</v>
      </c>
      <c r="AB127" s="76">
        <v>1.9343216511741104</v>
      </c>
      <c r="AC127" s="76">
        <v>-0.11929765103073042</v>
      </c>
      <c r="AD127" s="142">
        <v>2.5558863526262168</v>
      </c>
      <c r="AE127" s="142">
        <v>5.0371267838690628</v>
      </c>
      <c r="AF127" s="142">
        <v>6.684248301458414</v>
      </c>
    </row>
    <row r="128" spans="1:32" x14ac:dyDescent="0.35">
      <c r="A128" t="s">
        <v>85</v>
      </c>
      <c r="B128" t="s">
        <v>350</v>
      </c>
      <c r="C128" s="31">
        <v>3703</v>
      </c>
      <c r="D128" s="31">
        <v>2365</v>
      </c>
      <c r="E128" s="72">
        <v>7372</v>
      </c>
      <c r="F128" s="31">
        <v>4155</v>
      </c>
      <c r="G128" s="73">
        <v>719515.40999995696</v>
      </c>
      <c r="H128" s="31">
        <v>431866.51999999408</v>
      </c>
      <c r="I128" s="72">
        <v>375120.53000000108</v>
      </c>
      <c r="J128" s="72">
        <v>194297.0799999944</v>
      </c>
      <c r="K128" s="31">
        <v>86993</v>
      </c>
      <c r="L128" s="31">
        <v>71548.428571428565</v>
      </c>
      <c r="M128" s="74">
        <v>11.800461204557786</v>
      </c>
      <c r="N128" s="74">
        <v>17.272394819834933</v>
      </c>
      <c r="O128" s="75">
        <v>97.601113673352813</v>
      </c>
      <c r="P128" s="75">
        <v>103.93899398315141</v>
      </c>
      <c r="Q128" s="76">
        <v>0.52135162747942188</v>
      </c>
      <c r="R128" s="76">
        <v>0.43905259567591831</v>
      </c>
      <c r="S128" s="31">
        <v>20439.857142857141</v>
      </c>
      <c r="T128" s="31"/>
      <c r="U128" s="76">
        <v>0.17471482851774733</v>
      </c>
      <c r="V128" s="76">
        <v>0.67412755716004824</v>
      </c>
      <c r="W128" s="76">
        <v>0.59080238495905846</v>
      </c>
      <c r="X128" s="76">
        <v>0.89970114430963322</v>
      </c>
      <c r="Y128" s="76">
        <v>-9.9205767667890354E-3</v>
      </c>
      <c r="Z128" s="76">
        <v>1.6704343964230484E-2</v>
      </c>
      <c r="AA128" s="76">
        <v>5.0890947968638578E-2</v>
      </c>
      <c r="AB128" s="76">
        <v>-1.7433765666017509E-2</v>
      </c>
      <c r="AC128" s="76">
        <v>-6.501598835419331E-2</v>
      </c>
      <c r="AD128" s="142">
        <v>0.47419128399801175</v>
      </c>
      <c r="AE128" s="142">
        <v>-0.10514436953063677</v>
      </c>
      <c r="AF128" s="142">
        <v>-7.8504362910494549E-2</v>
      </c>
    </row>
    <row r="129" spans="1:32" x14ac:dyDescent="0.35">
      <c r="A129" t="s">
        <v>85</v>
      </c>
      <c r="B129" t="s">
        <v>371</v>
      </c>
      <c r="C129" s="31">
        <v>458</v>
      </c>
      <c r="D129" s="31">
        <v>138</v>
      </c>
      <c r="E129" s="72">
        <v>670</v>
      </c>
      <c r="F129" s="31">
        <v>206</v>
      </c>
      <c r="G129" s="73">
        <v>620595.01999999664</v>
      </c>
      <c r="H129" s="31">
        <v>35267.510000000017</v>
      </c>
      <c r="I129" s="72">
        <v>400374.08000000013</v>
      </c>
      <c r="J129" s="72">
        <v>16894.750000000025</v>
      </c>
      <c r="K129" s="31">
        <v>3919.5714285714284</v>
      </c>
      <c r="L129" s="31">
        <v>4552.1428571428569</v>
      </c>
      <c r="M129" s="74">
        <v>5.850106609808102</v>
      </c>
      <c r="N129" s="74">
        <v>22.589972527472526</v>
      </c>
      <c r="O129" s="75">
        <v>926.26122388059196</v>
      </c>
      <c r="P129" s="75">
        <v>171.20150485436901</v>
      </c>
      <c r="Q129" s="76">
        <v>0.6451454927885214</v>
      </c>
      <c r="R129" s="76">
        <v>0.47612062614945644</v>
      </c>
      <c r="S129" s="31">
        <v>298.28571428571428</v>
      </c>
      <c r="T129" s="31"/>
      <c r="U129" s="76">
        <v>-0.17106543229248383</v>
      </c>
      <c r="V129" s="76">
        <v>2.121359223300971</v>
      </c>
      <c r="W129" s="76">
        <v>15.833584508801351</v>
      </c>
      <c r="X129" s="76">
        <v>21.824933645933118</v>
      </c>
      <c r="Y129" s="76">
        <v>1.958278791871404E-2</v>
      </c>
      <c r="Z129" s="76">
        <v>-2.5448067764568538E-3</v>
      </c>
      <c r="AA129" s="76">
        <v>-2.4745269286754024E-2</v>
      </c>
      <c r="AB129" s="76">
        <v>-1.9087685745169503E-2</v>
      </c>
      <c r="AC129" s="76">
        <v>5.8011341687589368E-3</v>
      </c>
      <c r="AD129" s="142">
        <v>0.53078966355984891</v>
      </c>
      <c r="AE129" s="142">
        <v>1.9658381672084293</v>
      </c>
      <c r="AF129" s="142">
        <v>2.6576181387770865</v>
      </c>
    </row>
    <row r="130" spans="1:32" x14ac:dyDescent="0.35">
      <c r="A130" t="s">
        <v>85</v>
      </c>
      <c r="B130" t="s">
        <v>366</v>
      </c>
      <c r="C130" s="31">
        <v>623</v>
      </c>
      <c r="D130" s="31">
        <v>233</v>
      </c>
      <c r="E130" s="72">
        <v>641</v>
      </c>
      <c r="F130" s="31">
        <v>247</v>
      </c>
      <c r="G130" s="73">
        <v>614252.19999999914</v>
      </c>
      <c r="H130" s="31">
        <v>99320.550000000134</v>
      </c>
      <c r="I130" s="72">
        <v>416197.48999999947</v>
      </c>
      <c r="J130" s="72">
        <v>58372.270000000091</v>
      </c>
      <c r="K130" s="31">
        <v>7595.8571428571431</v>
      </c>
      <c r="L130" s="31">
        <v>2908.8571428571427</v>
      </c>
      <c r="M130" s="74">
        <v>11.850011143302876</v>
      </c>
      <c r="N130" s="74">
        <v>12.325646794150732</v>
      </c>
      <c r="O130" s="75">
        <v>958.2717628705135</v>
      </c>
      <c r="P130" s="75">
        <v>402.10748987854305</v>
      </c>
      <c r="Q130" s="76">
        <v>0.67756776451105927</v>
      </c>
      <c r="R130" s="76">
        <v>0.57197507551648963</v>
      </c>
      <c r="S130" s="31">
        <v>4328.4285714285716</v>
      </c>
      <c r="T130" s="31"/>
      <c r="U130" s="76">
        <v>1.5386995383557607</v>
      </c>
      <c r="V130" s="76">
        <v>1.4939271255060729</v>
      </c>
      <c r="W130" s="76">
        <v>4.9429032561740556</v>
      </c>
      <c r="X130" s="76">
        <v>6.0284655952025537</v>
      </c>
      <c r="Y130" s="76">
        <v>-8.1584713564796241E-3</v>
      </c>
      <c r="Z130" s="76">
        <v>-2.983250009123084E-2</v>
      </c>
      <c r="AA130" s="76">
        <v>-7.1014492753623149E-2</v>
      </c>
      <c r="AB130" s="76">
        <v>-9.3853394663812484E-2</v>
      </c>
      <c r="AC130" s="76">
        <v>-2.458477740722409E-2</v>
      </c>
      <c r="AD130" s="142">
        <v>-0.15293500751786709</v>
      </c>
      <c r="AE130" s="142">
        <v>0.29586178540819125</v>
      </c>
      <c r="AF130" s="142">
        <v>0.65475013422461881</v>
      </c>
    </row>
    <row r="131" spans="1:32" x14ac:dyDescent="0.35">
      <c r="A131" t="s">
        <v>85</v>
      </c>
      <c r="B131" t="s">
        <v>351</v>
      </c>
      <c r="C131" s="31">
        <v>1266</v>
      </c>
      <c r="D131" s="31">
        <v>804</v>
      </c>
      <c r="E131" s="72">
        <v>1361</v>
      </c>
      <c r="F131" s="31">
        <v>873</v>
      </c>
      <c r="G131" s="73">
        <v>610383.70999998518</v>
      </c>
      <c r="H131" s="31">
        <v>390387.00000000087</v>
      </c>
      <c r="I131" s="72">
        <v>268781.3800000003</v>
      </c>
      <c r="J131" s="72">
        <v>204297.36000000106</v>
      </c>
      <c r="K131" s="31">
        <v>12534.142857142857</v>
      </c>
      <c r="L131" s="31">
        <v>10913</v>
      </c>
      <c r="M131" s="74">
        <v>9.2095098142122396</v>
      </c>
      <c r="N131" s="74">
        <v>12.782259360437088</v>
      </c>
      <c r="O131" s="75">
        <v>448.48178545186272</v>
      </c>
      <c r="P131" s="75">
        <v>447.17869415807661</v>
      </c>
      <c r="Q131" s="76">
        <v>0.4403482196469608</v>
      </c>
      <c r="R131" s="76">
        <v>0.51506318341296742</v>
      </c>
      <c r="S131" s="31">
        <v>12297</v>
      </c>
      <c r="T131" s="31"/>
      <c r="U131" s="76">
        <v>0.11545862732520851</v>
      </c>
      <c r="V131" s="76">
        <v>0.48797250859106533</v>
      </c>
      <c r="W131" s="76">
        <v>0.48813205870068277</v>
      </c>
      <c r="X131" s="76">
        <v>0.26614300711051353</v>
      </c>
      <c r="Y131" s="76">
        <v>-1.342067189128171E-2</v>
      </c>
      <c r="Z131" s="76">
        <v>-3.0315421851860092E-2</v>
      </c>
      <c r="AA131" s="76">
        <v>1.2648809523809534E-2</v>
      </c>
      <c r="AB131" s="76">
        <v>2.848655209516493E-2</v>
      </c>
      <c r="AC131" s="76">
        <v>1.5639916249744035E-2</v>
      </c>
      <c r="AD131" s="142">
        <v>0.55134472293165626</v>
      </c>
      <c r="AE131" s="142">
        <v>0.22587946929154684</v>
      </c>
      <c r="AF131" s="142">
        <v>3.1899762335276305E-2</v>
      </c>
    </row>
    <row r="132" spans="1:32" x14ac:dyDescent="0.35">
      <c r="A132" t="s">
        <v>85</v>
      </c>
      <c r="B132" t="s">
        <v>355</v>
      </c>
      <c r="C132" s="31">
        <v>589</v>
      </c>
      <c r="D132" s="31">
        <v>345</v>
      </c>
      <c r="E132" s="72">
        <v>659</v>
      </c>
      <c r="F132" s="31">
        <v>418</v>
      </c>
      <c r="G132" s="73">
        <v>583896.40000000154</v>
      </c>
      <c r="H132" s="31">
        <v>259432.10000000003</v>
      </c>
      <c r="I132" s="72">
        <v>281662.79000000079</v>
      </c>
      <c r="J132" s="72">
        <v>119113.17000000013</v>
      </c>
      <c r="K132" s="31">
        <v>10835.714285714286</v>
      </c>
      <c r="L132" s="31">
        <v>9564</v>
      </c>
      <c r="M132" s="74">
        <v>16.442662042055062</v>
      </c>
      <c r="N132" s="74">
        <v>23.558046169287387</v>
      </c>
      <c r="O132" s="75">
        <v>886.03399089529819</v>
      </c>
      <c r="P132" s="75">
        <v>620.65095693779915</v>
      </c>
      <c r="Q132" s="76">
        <v>0.48238487169984273</v>
      </c>
      <c r="R132" s="76">
        <v>0.45096059888215057</v>
      </c>
      <c r="S132" s="31">
        <v>3781.5714285714284</v>
      </c>
      <c r="T132" s="31"/>
      <c r="U132" s="76">
        <v>9.8628786520881917E-2</v>
      </c>
      <c r="V132" s="76">
        <v>0.52153110047846885</v>
      </c>
      <c r="W132" s="76">
        <v>1.1761503298936455</v>
      </c>
      <c r="X132" s="76">
        <v>1.3382101001502522</v>
      </c>
      <c r="Y132" s="76">
        <v>-3.9281032914455283E-2</v>
      </c>
      <c r="Z132" s="76">
        <v>-3.3425509410880072E-2</v>
      </c>
      <c r="AA132" s="76">
        <v>-7.8321678321678356E-2</v>
      </c>
      <c r="AB132" s="76">
        <v>-5.0677254663955229E-2</v>
      </c>
      <c r="AC132" s="76">
        <v>2.9993570432886196E-2</v>
      </c>
      <c r="AD132" s="142">
        <v>0.31781366114831366</v>
      </c>
      <c r="AE132" s="142">
        <v>0.60512981120398601</v>
      </c>
      <c r="AF132" s="142">
        <v>0.54941783220499885</v>
      </c>
    </row>
    <row r="133" spans="1:32" x14ac:dyDescent="0.35">
      <c r="A133" t="s">
        <v>85</v>
      </c>
      <c r="B133" t="s">
        <v>344</v>
      </c>
      <c r="C133" s="31">
        <v>818</v>
      </c>
      <c r="D133" s="31">
        <v>1545</v>
      </c>
      <c r="E133" s="72">
        <v>970</v>
      </c>
      <c r="F133" s="31">
        <v>1811</v>
      </c>
      <c r="G133" s="73">
        <v>573724.3299999939</v>
      </c>
      <c r="H133" s="31">
        <v>734432.62999999826</v>
      </c>
      <c r="I133" s="72">
        <v>336005.69000000058</v>
      </c>
      <c r="J133" s="72">
        <v>440540.91999999835</v>
      </c>
      <c r="K133" s="31">
        <v>18106.571428571428</v>
      </c>
      <c r="L133" s="31">
        <v>24927.142857142859</v>
      </c>
      <c r="M133" s="74">
        <v>18.666568483063326</v>
      </c>
      <c r="N133" s="74">
        <v>13.917983734847322</v>
      </c>
      <c r="O133" s="75">
        <v>591.46838144329263</v>
      </c>
      <c r="P133" s="75">
        <v>405.53982882385327</v>
      </c>
      <c r="Q133" s="76">
        <v>0.58565703497358068</v>
      </c>
      <c r="R133" s="76">
        <v>0.58297663351586693</v>
      </c>
      <c r="S133" s="31">
        <v>3825.8571428571427</v>
      </c>
      <c r="T133" s="31"/>
      <c r="U133" s="76">
        <v>-0.29536936214109688</v>
      </c>
      <c r="V133" s="76">
        <v>-0.48647156267255665</v>
      </c>
      <c r="W133" s="76">
        <v>-0.24378754794705171</v>
      </c>
      <c r="X133" s="76">
        <v>-0.23637458810854139</v>
      </c>
      <c r="Y133" s="76">
        <v>-3.398206651181368E-2</v>
      </c>
      <c r="Z133" s="76">
        <v>-4.5177523485230853E-2</v>
      </c>
      <c r="AA133" s="76">
        <v>-6.6410009624639055E-2</v>
      </c>
      <c r="AB133" s="76">
        <v>-0.1120845232449067</v>
      </c>
      <c r="AC133" s="76">
        <v>-4.8923525413874347E-2</v>
      </c>
      <c r="AD133" s="142">
        <v>-0.39972773630398378</v>
      </c>
      <c r="AE133" s="142">
        <v>-0.30028483560946467</v>
      </c>
      <c r="AF133" s="142">
        <v>-0.24239624937822465</v>
      </c>
    </row>
    <row r="134" spans="1:32" x14ac:dyDescent="0.35">
      <c r="A134" t="s">
        <v>85</v>
      </c>
      <c r="B134" t="s">
        <v>347</v>
      </c>
      <c r="C134" s="31">
        <v>1025</v>
      </c>
      <c r="D134" s="31">
        <v>1331</v>
      </c>
      <c r="E134" s="72">
        <v>1346</v>
      </c>
      <c r="F134" s="31">
        <v>1892</v>
      </c>
      <c r="G134" s="73">
        <v>566347.19000000157</v>
      </c>
      <c r="H134" s="31">
        <v>435966.96000000008</v>
      </c>
      <c r="I134" s="72">
        <v>412590.28999999946</v>
      </c>
      <c r="J134" s="72">
        <v>236146.75000000055</v>
      </c>
      <c r="K134" s="31">
        <v>17392</v>
      </c>
      <c r="L134" s="31">
        <v>20642</v>
      </c>
      <c r="M134" s="74">
        <v>12.921248142644874</v>
      </c>
      <c r="N134" s="74">
        <v>11.174313973376961</v>
      </c>
      <c r="O134" s="75">
        <v>420.76314264487485</v>
      </c>
      <c r="P134" s="75">
        <v>230.42651162790702</v>
      </c>
      <c r="Q134" s="76">
        <v>0.72851123354209335</v>
      </c>
      <c r="R134" s="76">
        <v>0.5330374932649905</v>
      </c>
      <c r="S134" s="31">
        <v>11560.285714285714</v>
      </c>
      <c r="T134" s="31"/>
      <c r="U134" s="76">
        <v>-0.17820117098287824</v>
      </c>
      <c r="V134" s="76">
        <v>-0.30285412262156453</v>
      </c>
      <c r="W134" s="76">
        <v>0.27249115391680467</v>
      </c>
      <c r="X134" s="76">
        <v>0.74240714919509143</v>
      </c>
      <c r="Y134" s="76">
        <v>-5.3796113792080602E-3</v>
      </c>
      <c r="Z134" s="76">
        <v>-1.45175974606504E-3</v>
      </c>
      <c r="AA134" s="76">
        <v>4.098994586233573E-2</v>
      </c>
      <c r="AB134" s="76">
        <v>4.6657345915142034E-2</v>
      </c>
      <c r="AC134" s="76">
        <v>5.4442409125399216E-3</v>
      </c>
      <c r="AD134" s="142">
        <v>-0.38439641577847777</v>
      </c>
      <c r="AE134" s="142">
        <v>-6.0149312614902188E-2</v>
      </c>
      <c r="AF134" s="142">
        <v>0.31827844074416034</v>
      </c>
    </row>
    <row r="135" spans="1:32" x14ac:dyDescent="0.35">
      <c r="A135" t="s">
        <v>85</v>
      </c>
      <c r="B135" t="s">
        <v>348</v>
      </c>
      <c r="C135" s="31">
        <v>749</v>
      </c>
      <c r="D135" s="31">
        <v>716</v>
      </c>
      <c r="E135" s="72">
        <v>859</v>
      </c>
      <c r="F135" s="31">
        <v>868</v>
      </c>
      <c r="G135" s="73">
        <v>483926.28999999788</v>
      </c>
      <c r="H135" s="31">
        <v>337616.85999999946</v>
      </c>
      <c r="I135" s="72">
        <v>288386.43000000028</v>
      </c>
      <c r="J135" s="72">
        <v>164145.85999999981</v>
      </c>
      <c r="K135" s="31">
        <v>12867.857142857143</v>
      </c>
      <c r="L135" s="31">
        <v>16795.428571428572</v>
      </c>
      <c r="M135" s="74">
        <v>14.980043239647431</v>
      </c>
      <c r="N135" s="74">
        <v>19.729677729677732</v>
      </c>
      <c r="O135" s="75">
        <v>563.36005820721527</v>
      </c>
      <c r="P135" s="75">
        <v>388.95951612903161</v>
      </c>
      <c r="Q135" s="76">
        <v>0.59593048767819901</v>
      </c>
      <c r="R135" s="76">
        <v>0.4727129060185028</v>
      </c>
      <c r="S135" s="31">
        <v>330.28571428571428</v>
      </c>
      <c r="T135" s="31"/>
      <c r="U135" s="76">
        <v>-0.26210363364180733</v>
      </c>
      <c r="V135" s="76">
        <v>-4.9539170506912478E-2</v>
      </c>
      <c r="W135" s="76">
        <v>0.37623198083175935</v>
      </c>
      <c r="X135" s="76">
        <v>0.74392454809347575</v>
      </c>
      <c r="Y135" s="76">
        <v>-6.2569261904533269E-2</v>
      </c>
      <c r="Z135" s="76">
        <v>-6.9598091165442577E-2</v>
      </c>
      <c r="AA135" s="76">
        <v>-3.4802784222738303E-3</v>
      </c>
      <c r="AB135" s="76">
        <v>5.9064432280167001E-3</v>
      </c>
      <c r="AC135" s="76">
        <v>9.4195041473230656E-3</v>
      </c>
      <c r="AD135" s="142">
        <v>0.67446752809801336</v>
      </c>
      <c r="AE135" s="142">
        <v>0.96604547576660704</v>
      </c>
      <c r="AF135" s="142">
        <v>1.2680629555912908</v>
      </c>
    </row>
    <row r="136" spans="1:32" x14ac:dyDescent="0.35">
      <c r="A136" t="s">
        <v>85</v>
      </c>
      <c r="B136" t="s">
        <v>357</v>
      </c>
      <c r="C136" s="31">
        <v>351</v>
      </c>
      <c r="D136" s="31">
        <v>274</v>
      </c>
      <c r="E136" s="72">
        <v>431</v>
      </c>
      <c r="F136" s="31">
        <v>318</v>
      </c>
      <c r="G136" s="73">
        <v>418282.44999999902</v>
      </c>
      <c r="H136" s="31">
        <v>188819.27999999988</v>
      </c>
      <c r="I136" s="72">
        <v>234650.37000000032</v>
      </c>
      <c r="J136" s="72">
        <v>84733.999999999796</v>
      </c>
      <c r="K136" s="31">
        <v>6153.5714285714284</v>
      </c>
      <c r="L136" s="31">
        <v>5196.7142857142853</v>
      </c>
      <c r="M136" s="74">
        <v>14.277427908518396</v>
      </c>
      <c r="N136" s="74">
        <v>16.654065934065933</v>
      </c>
      <c r="O136" s="75">
        <v>970.49292343387242</v>
      </c>
      <c r="P136" s="75">
        <v>593.77132075471661</v>
      </c>
      <c r="Q136" s="76">
        <v>0.56098545372869668</v>
      </c>
      <c r="R136" s="76">
        <v>0.43943738696612261</v>
      </c>
      <c r="S136" s="31">
        <v>2644.7142857142858</v>
      </c>
      <c r="T136" s="31"/>
      <c r="U136" s="76">
        <v>0.14377216372982948</v>
      </c>
      <c r="V136" s="76">
        <v>0.25786163522012573</v>
      </c>
      <c r="W136" s="76">
        <v>1.0316789683765286</v>
      </c>
      <c r="X136" s="76">
        <v>1.5607767615126398</v>
      </c>
      <c r="Y136" s="76">
        <v>-5.5970721580167693E-2</v>
      </c>
      <c r="Z136" s="76">
        <v>-5.7439824945295426E-2</v>
      </c>
      <c r="AA136" s="76">
        <v>-5.4824561403508776E-2</v>
      </c>
      <c r="AB136" s="76">
        <v>-7.0658945339614032E-2</v>
      </c>
      <c r="AC136" s="76">
        <v>-1.6752851681819059E-2</v>
      </c>
      <c r="AD136" s="142">
        <v>-0.38782104773504444</v>
      </c>
      <c r="AE136" s="142">
        <v>-0.16762000429797727</v>
      </c>
      <c r="AF136" s="142">
        <v>-0.10256467149249958</v>
      </c>
    </row>
    <row r="137" spans="1:32" x14ac:dyDescent="0.35">
      <c r="A137" t="s">
        <v>85</v>
      </c>
      <c r="B137" t="s">
        <v>349</v>
      </c>
      <c r="C137" s="31">
        <v>610</v>
      </c>
      <c r="D137" s="31">
        <v>914</v>
      </c>
      <c r="E137" s="72">
        <v>721</v>
      </c>
      <c r="F137" s="31">
        <v>1150</v>
      </c>
      <c r="G137" s="73">
        <v>372006.67999999964</v>
      </c>
      <c r="H137" s="31">
        <v>322757.1199999986</v>
      </c>
      <c r="I137" s="72">
        <v>216491.36999999988</v>
      </c>
      <c r="J137" s="72">
        <v>173232.42999999874</v>
      </c>
      <c r="K137" s="31">
        <v>10527.428571428571</v>
      </c>
      <c r="L137" s="31">
        <v>19198</v>
      </c>
      <c r="M137" s="74">
        <v>14.601149197543094</v>
      </c>
      <c r="N137" s="74">
        <v>17.082874280817727</v>
      </c>
      <c r="O137" s="75">
        <v>515.95933425797455</v>
      </c>
      <c r="P137" s="75">
        <v>280.6583652173901</v>
      </c>
      <c r="Q137" s="76">
        <v>0.58195559821667742</v>
      </c>
      <c r="R137" s="76">
        <v>0.53057613824642058</v>
      </c>
      <c r="S137" s="31">
        <v>6177.5714285714284</v>
      </c>
      <c r="T137" s="31"/>
      <c r="U137" s="76">
        <v>-0.46925274954236307</v>
      </c>
      <c r="V137" s="76">
        <v>-0.4147826086956522</v>
      </c>
      <c r="W137" s="76">
        <v>6.8678732788301611E-2</v>
      </c>
      <c r="X137" s="76">
        <v>0.16824246685801758</v>
      </c>
      <c r="Y137" s="76">
        <v>-4.7620069221239847E-2</v>
      </c>
      <c r="Z137" s="76">
        <v>-4.7266897657340934E-2</v>
      </c>
      <c r="AA137" s="76">
        <v>3.8904899135446591E-2</v>
      </c>
      <c r="AB137" s="76">
        <v>4.7190806280214215E-2</v>
      </c>
      <c r="AC137" s="76">
        <v>7.9756165859483641E-3</v>
      </c>
      <c r="AD137" s="142">
        <v>-0.37205399917557042</v>
      </c>
      <c r="AE137" s="142">
        <v>-0.24383243309132319</v>
      </c>
      <c r="AF137" s="142">
        <v>-0.15728923119506683</v>
      </c>
    </row>
    <row r="138" spans="1:32" x14ac:dyDescent="0.35">
      <c r="A138" t="s">
        <v>85</v>
      </c>
      <c r="B138" t="s">
        <v>361</v>
      </c>
      <c r="C138" s="31">
        <v>690</v>
      </c>
      <c r="D138" s="31">
        <v>539</v>
      </c>
      <c r="E138" s="72">
        <v>977</v>
      </c>
      <c r="F138" s="31">
        <v>657</v>
      </c>
      <c r="G138" s="73">
        <v>258755.11999999863</v>
      </c>
      <c r="H138" s="31">
        <v>158981.18000000049</v>
      </c>
      <c r="I138" s="72">
        <v>45637.390000000058</v>
      </c>
      <c r="J138" s="72">
        <v>59029.98000000036</v>
      </c>
      <c r="K138" s="31">
        <v>19468.285714285714</v>
      </c>
      <c r="L138" s="31">
        <v>24643.571428571428</v>
      </c>
      <c r="M138" s="74">
        <v>19.926597455768388</v>
      </c>
      <c r="N138" s="74">
        <v>37.385256143273637</v>
      </c>
      <c r="O138" s="75">
        <v>264.84659160695867</v>
      </c>
      <c r="P138" s="75">
        <v>241.98048706240562</v>
      </c>
      <c r="Q138" s="76">
        <v>0.17637289650539204</v>
      </c>
      <c r="R138" s="76">
        <v>0.35727902545046603</v>
      </c>
      <c r="S138" s="31">
        <v>168</v>
      </c>
      <c r="T138" s="31"/>
      <c r="U138" s="76">
        <v>-0.22986580099127563</v>
      </c>
      <c r="V138" s="76">
        <v>0.46727549467275487</v>
      </c>
      <c r="W138" s="76">
        <v>0.57925535588550781</v>
      </c>
      <c r="X138" s="76">
        <v>-0.27466422024653703</v>
      </c>
      <c r="Y138" s="76">
        <v>-6.110009082523904E-2</v>
      </c>
      <c r="Z138" s="76">
        <v>-6.4172555159555889E-2</v>
      </c>
      <c r="AA138" s="76">
        <v>-0.29305354558610708</v>
      </c>
      <c r="AB138" s="76">
        <v>-0.23051211996006382</v>
      </c>
      <c r="AC138" s="76">
        <v>8.8466991008384843E-2</v>
      </c>
      <c r="AD138" s="142">
        <v>2.0254515726464493</v>
      </c>
      <c r="AE138" s="142">
        <v>0.85460287995499118</v>
      </c>
      <c r="AF138" s="142">
        <v>-0.31598336628812007</v>
      </c>
    </row>
    <row r="139" spans="1:32" x14ac:dyDescent="0.35">
      <c r="A139" t="s">
        <v>85</v>
      </c>
      <c r="B139" t="s">
        <v>358</v>
      </c>
      <c r="C139" s="31">
        <v>272</v>
      </c>
      <c r="D139" s="31">
        <v>352</v>
      </c>
      <c r="E139" s="72">
        <v>313</v>
      </c>
      <c r="F139" s="31">
        <v>420</v>
      </c>
      <c r="G139" s="73">
        <v>232317.22999999972</v>
      </c>
      <c r="H139" s="31">
        <v>173125.54000000027</v>
      </c>
      <c r="I139" s="72">
        <v>177029.84000000032</v>
      </c>
      <c r="J139" s="72">
        <v>97046.650000000212</v>
      </c>
      <c r="K139" s="31">
        <v>4420.7142857142853</v>
      </c>
      <c r="L139" s="31">
        <v>3713.8571428571427</v>
      </c>
      <c r="M139" s="74">
        <v>14.123687813783659</v>
      </c>
      <c r="N139" s="74">
        <v>9.0132275132275126</v>
      </c>
      <c r="O139" s="75">
        <v>742.22757188498315</v>
      </c>
      <c r="P139" s="75">
        <v>412.20366666666729</v>
      </c>
      <c r="Q139" s="76">
        <v>0.76201769451194179</v>
      </c>
      <c r="R139" s="76">
        <v>0.54548989072007359</v>
      </c>
      <c r="S139" s="31">
        <v>223.28571428571428</v>
      </c>
      <c r="T139" s="31"/>
      <c r="U139" s="76">
        <v>0.14678616763472707</v>
      </c>
      <c r="V139" s="76">
        <v>-0.30000000000000004</v>
      </c>
      <c r="W139" s="76">
        <v>0.25814666051005264</v>
      </c>
      <c r="X139" s="76">
        <v>0.75775769279590088</v>
      </c>
      <c r="Y139" s="76">
        <v>-6.8574799878628023E-2</v>
      </c>
      <c r="Z139" s="76">
        <v>-6.8594991572357489E-2</v>
      </c>
      <c r="AA139" s="76">
        <v>2.2875816993463971E-2</v>
      </c>
      <c r="AB139" s="76">
        <v>2.3371805382948585E-2</v>
      </c>
      <c r="AC139" s="76">
        <v>4.8489599738754663E-4</v>
      </c>
      <c r="AD139" s="142">
        <v>-0.45108385509595861</v>
      </c>
      <c r="AE139" s="142">
        <v>-0.1544421364606561</v>
      </c>
      <c r="AF139" s="142">
        <v>0.13804182997222078</v>
      </c>
    </row>
    <row r="140" spans="1:32" x14ac:dyDescent="0.35">
      <c r="A140" t="s">
        <v>85</v>
      </c>
      <c r="B140" t="s">
        <v>353</v>
      </c>
      <c r="C140" s="31">
        <v>307</v>
      </c>
      <c r="D140" s="31">
        <v>389</v>
      </c>
      <c r="E140" s="72">
        <v>513</v>
      </c>
      <c r="F140" s="31">
        <v>692</v>
      </c>
      <c r="G140" s="73">
        <v>208765.06000000128</v>
      </c>
      <c r="H140" s="31">
        <v>183757.5800000001</v>
      </c>
      <c r="I140" s="72">
        <v>109483.2199999999</v>
      </c>
      <c r="J140" s="72">
        <v>99404.36000000003</v>
      </c>
      <c r="K140" s="31">
        <v>5344.8571428571431</v>
      </c>
      <c r="L140" s="31">
        <v>10653</v>
      </c>
      <c r="M140" s="74">
        <v>10.418824839877471</v>
      </c>
      <c r="N140" s="74">
        <v>15.538970146263273</v>
      </c>
      <c r="O140" s="75">
        <v>406.94943469785824</v>
      </c>
      <c r="P140" s="75">
        <v>265.54563583815042</v>
      </c>
      <c r="Q140" s="76">
        <v>0.52443268044949298</v>
      </c>
      <c r="R140" s="76">
        <v>0.53023186545204437</v>
      </c>
      <c r="S140" s="31">
        <v>5512.4285714285716</v>
      </c>
      <c r="T140" s="31"/>
      <c r="U140" s="76">
        <v>-0.51774818629225838</v>
      </c>
      <c r="V140" s="76">
        <v>-0.28034682080924855</v>
      </c>
      <c r="W140" s="76">
        <v>8.8881285876757143E-2</v>
      </c>
      <c r="X140" s="76">
        <v>6.6034506578391827E-2</v>
      </c>
      <c r="Y140" s="76">
        <v>-7.4764439112308123E-2</v>
      </c>
      <c r="Z140" s="76">
        <v>-7.5032757299315134E-2</v>
      </c>
      <c r="AA140" s="76">
        <v>-0.10471204188481675</v>
      </c>
      <c r="AB140" s="76">
        <v>-3.8717305335181806E-2</v>
      </c>
      <c r="AC140" s="76">
        <v>7.3713419187019014E-2</v>
      </c>
      <c r="AD140" s="142">
        <v>-0.22848766437498921</v>
      </c>
      <c r="AE140" s="142">
        <v>0.19031422914221147</v>
      </c>
      <c r="AF140" s="142">
        <v>0.21502298036066481</v>
      </c>
    </row>
    <row r="141" spans="1:32" x14ac:dyDescent="0.35">
      <c r="A141" t="s">
        <v>85</v>
      </c>
      <c r="B141" t="s">
        <v>354</v>
      </c>
      <c r="C141" s="31">
        <v>464</v>
      </c>
      <c r="D141" s="31">
        <v>434</v>
      </c>
      <c r="E141" s="72">
        <v>628</v>
      </c>
      <c r="F141" s="31">
        <v>632</v>
      </c>
      <c r="G141" s="73">
        <v>206885.06000000061</v>
      </c>
      <c r="H141" s="31">
        <v>150082.26000000053</v>
      </c>
      <c r="I141" s="72">
        <v>79768.669999999969</v>
      </c>
      <c r="J141" s="72">
        <v>75138.52000000063</v>
      </c>
      <c r="K141" s="31">
        <v>8214.8571428571431</v>
      </c>
      <c r="L141" s="31">
        <v>17496.857142857141</v>
      </c>
      <c r="M141" s="74">
        <v>13.08098271155596</v>
      </c>
      <c r="N141" s="74">
        <v>28.214736367733217</v>
      </c>
      <c r="O141" s="75">
        <v>329.43480891719844</v>
      </c>
      <c r="P141" s="75">
        <v>237.47193037974768</v>
      </c>
      <c r="Q141" s="76">
        <v>0.38556998750900495</v>
      </c>
      <c r="R141" s="76">
        <v>0.49942877622518228</v>
      </c>
      <c r="S141" s="31">
        <v>15153.142857142857</v>
      </c>
      <c r="T141" s="31"/>
      <c r="U141" s="76">
        <v>-0.54429366906709764</v>
      </c>
      <c r="V141" s="76">
        <v>-3.4810126582278444E-2</v>
      </c>
      <c r="W141" s="76">
        <v>0.33378088789441152</v>
      </c>
      <c r="X141" s="76">
        <v>1.0571449574852787E-2</v>
      </c>
      <c r="Y141" s="76">
        <v>-9.6104311350658889E-2</v>
      </c>
      <c r="Z141" s="76">
        <v>-8.4039503026441587E-2</v>
      </c>
      <c r="AA141" s="76">
        <v>-0.15704697986577176</v>
      </c>
      <c r="AB141" s="76">
        <v>-9.4550488978614178E-3</v>
      </c>
      <c r="AC141" s="76">
        <v>0.17508915377562628</v>
      </c>
      <c r="AD141" s="142">
        <v>0.23900799653393431</v>
      </c>
      <c r="AE141" s="142">
        <v>0.17807922247324925</v>
      </c>
      <c r="AF141" s="142">
        <v>6.9122752999605436E-2</v>
      </c>
    </row>
    <row r="142" spans="1:32" x14ac:dyDescent="0.35">
      <c r="A142" t="s">
        <v>85</v>
      </c>
      <c r="B142" t="s">
        <v>372</v>
      </c>
      <c r="C142" s="31">
        <v>270</v>
      </c>
      <c r="D142" s="31">
        <v>89</v>
      </c>
      <c r="E142" s="72">
        <v>280</v>
      </c>
      <c r="F142" s="31">
        <v>92</v>
      </c>
      <c r="G142" s="73">
        <v>169437.79000000065</v>
      </c>
      <c r="H142" s="31">
        <v>26578.13</v>
      </c>
      <c r="I142" s="72">
        <v>95499.850000000326</v>
      </c>
      <c r="J142" s="72">
        <v>11870.569999999994</v>
      </c>
      <c r="K142" s="31">
        <v>3969.7142857142858</v>
      </c>
      <c r="L142" s="31">
        <v>2383.5714285714284</v>
      </c>
      <c r="M142" s="74">
        <v>14.177551020408163</v>
      </c>
      <c r="N142" s="74">
        <v>26.463157894736842</v>
      </c>
      <c r="O142" s="75">
        <v>605.13496428571659</v>
      </c>
      <c r="P142" s="75">
        <v>288.89271739130436</v>
      </c>
      <c r="Q142" s="76">
        <v>0.56362780699630211</v>
      </c>
      <c r="R142" s="76">
        <v>0.43252528712178606</v>
      </c>
      <c r="S142" s="31">
        <v>134.85714285714286</v>
      </c>
      <c r="T142" s="31"/>
      <c r="U142" s="76">
        <v>0.62175606832484265</v>
      </c>
      <c r="V142" s="76">
        <v>1.9673913043478262</v>
      </c>
      <c r="W142" s="76">
        <v>5.2089082264252831</v>
      </c>
      <c r="X142" s="76">
        <v>7.0783191087367872</v>
      </c>
      <c r="Y142" s="76">
        <v>-6.2014425782458638E-2</v>
      </c>
      <c r="Z142" s="76">
        <v>-6.3083718264270505E-2</v>
      </c>
      <c r="AA142" s="76">
        <v>6.8702290076335881E-2</v>
      </c>
      <c r="AB142" s="76">
        <v>7.0325483250935461E-2</v>
      </c>
      <c r="AC142" s="76">
        <v>1.5188450419467703E-3</v>
      </c>
      <c r="AD142" s="142">
        <v>-0.45107898267683683</v>
      </c>
      <c r="AE142" s="142">
        <v>-0.23077582509331335</v>
      </c>
      <c r="AF142" s="142">
        <v>-0.16973507779181374</v>
      </c>
    </row>
    <row r="143" spans="1:32" x14ac:dyDescent="0.35">
      <c r="A143" t="s">
        <v>85</v>
      </c>
      <c r="B143" t="s">
        <v>363</v>
      </c>
      <c r="C143" s="31">
        <v>136</v>
      </c>
      <c r="D143" s="31">
        <v>261</v>
      </c>
      <c r="E143" s="72">
        <v>179</v>
      </c>
      <c r="F143" s="31">
        <v>354</v>
      </c>
      <c r="G143" s="73">
        <v>74420.410000000105</v>
      </c>
      <c r="H143" s="31">
        <v>117486.93000000009</v>
      </c>
      <c r="I143" s="72">
        <v>29444.290000000008</v>
      </c>
      <c r="J143" s="72">
        <v>50298.500000000102</v>
      </c>
      <c r="K143" s="31">
        <v>3447.8571428571427</v>
      </c>
      <c r="L143" s="31">
        <v>6695.8571428571431</v>
      </c>
      <c r="M143" s="74">
        <v>19.261771747805266</v>
      </c>
      <c r="N143" s="74">
        <v>19.044717055797388</v>
      </c>
      <c r="O143" s="75">
        <v>415.75648044692798</v>
      </c>
      <c r="P143" s="75">
        <v>331.88398305084775</v>
      </c>
      <c r="Q143" s="76">
        <v>0.39564804870061809</v>
      </c>
      <c r="R143" s="76">
        <v>0.42114498922154897</v>
      </c>
      <c r="S143" s="31">
        <v>7633.1428571428569</v>
      </c>
      <c r="T143" s="31"/>
      <c r="U143" s="76">
        <v>-0.50154679866015239</v>
      </c>
      <c r="V143" s="76">
        <v>-0.50282485875706207</v>
      </c>
      <c r="W143" s="76">
        <v>-0.3750755935149549</v>
      </c>
      <c r="X143" s="76">
        <v>-0.38900107098581505</v>
      </c>
      <c r="Y143" s="76">
        <v>-5.9475466195937021E-2</v>
      </c>
      <c r="Z143" s="76">
        <v>-6.2682045904695394E-2</v>
      </c>
      <c r="AA143" s="76">
        <v>-0.30350194552529186</v>
      </c>
      <c r="AB143" s="76">
        <v>-0.15236714578578181</v>
      </c>
      <c r="AC143" s="76">
        <v>0.21699242197236934</v>
      </c>
      <c r="AD143" s="142">
        <v>-0.72948322984933422</v>
      </c>
      <c r="AE143" s="142">
        <v>-0.72035486536099569</v>
      </c>
      <c r="AF143" s="142">
        <v>-0.72181586050947533</v>
      </c>
    </row>
    <row r="144" spans="1:32" x14ac:dyDescent="0.35">
      <c r="A144" t="s">
        <v>85</v>
      </c>
      <c r="B144" t="s">
        <v>356</v>
      </c>
      <c r="C144" s="31">
        <v>304</v>
      </c>
      <c r="D144" s="31">
        <v>1522</v>
      </c>
      <c r="E144" s="72">
        <v>354</v>
      </c>
      <c r="F144" s="31">
        <v>1829</v>
      </c>
      <c r="G144" s="73">
        <v>67154.200000000303</v>
      </c>
      <c r="H144" s="31">
        <v>271388.79000000091</v>
      </c>
      <c r="I144" s="72">
        <v>41066.18</v>
      </c>
      <c r="J144" s="72">
        <v>162097.23000000016</v>
      </c>
      <c r="K144" s="31">
        <v>2982.4285714285716</v>
      </c>
      <c r="L144" s="31">
        <v>39337.714285714283</v>
      </c>
      <c r="M144" s="74">
        <v>8.424939467312349</v>
      </c>
      <c r="N144" s="74">
        <v>21.882809498194113</v>
      </c>
      <c r="O144" s="75">
        <v>189.70112994350367</v>
      </c>
      <c r="P144" s="75">
        <v>148.38096774193599</v>
      </c>
      <c r="Q144" s="76">
        <v>0.61152064949027485</v>
      </c>
      <c r="R144" s="76">
        <v>0.58819433518171838</v>
      </c>
      <c r="S144" s="31">
        <v>706.71428571428567</v>
      </c>
      <c r="T144" s="31"/>
      <c r="U144" s="76">
        <v>-0.92958774567481584</v>
      </c>
      <c r="V144" s="76">
        <v>-0.81957353745215966</v>
      </c>
      <c r="W144" s="76">
        <v>-0.77058363390764928</v>
      </c>
      <c r="X144" s="76">
        <v>-0.75907178574960654</v>
      </c>
      <c r="Y144" s="76">
        <v>-0.12530036342395245</v>
      </c>
      <c r="Z144" s="76">
        <v>-0.12892727500312917</v>
      </c>
      <c r="AA144" s="76">
        <v>-6.1007957559681691E-2</v>
      </c>
      <c r="AB144" s="76">
        <v>-1.4659164556589221E-2</v>
      </c>
      <c r="AC144" s="76">
        <v>4.9360155260355532E-2</v>
      </c>
      <c r="AD144" s="142">
        <v>-0.81970328355463229</v>
      </c>
      <c r="AE144" s="142">
        <v>-0.78591225883272908</v>
      </c>
      <c r="AF144" s="142">
        <v>-0.75151544102729462</v>
      </c>
    </row>
    <row r="145" spans="1:32" x14ac:dyDescent="0.35">
      <c r="A145" t="s">
        <v>85</v>
      </c>
      <c r="B145" t="s">
        <v>368</v>
      </c>
      <c r="C145" s="31">
        <v>257</v>
      </c>
      <c r="D145" s="31">
        <v>133</v>
      </c>
      <c r="E145" s="72">
        <v>501</v>
      </c>
      <c r="F145" s="31">
        <v>219</v>
      </c>
      <c r="G145" s="73">
        <v>46458.090000000127</v>
      </c>
      <c r="H145" s="31">
        <v>23186.010000000013</v>
      </c>
      <c r="I145" s="72">
        <v>1097.919999999998</v>
      </c>
      <c r="J145" s="72">
        <v>13056.840000000013</v>
      </c>
      <c r="K145" s="31">
        <v>17184.428571428572</v>
      </c>
      <c r="L145" s="31">
        <v>31559.142857142859</v>
      </c>
      <c r="M145" s="74">
        <v>34.300256629597946</v>
      </c>
      <c r="N145" s="74">
        <v>146.32354859752118</v>
      </c>
      <c r="O145" s="75">
        <v>92.7307185628745</v>
      </c>
      <c r="P145" s="75">
        <v>105.87219178082198</v>
      </c>
      <c r="Q145" s="76">
        <v>2.3632482523495802E-2</v>
      </c>
      <c r="R145" s="76">
        <v>0.56313440734304887</v>
      </c>
      <c r="S145" s="31">
        <v>7303.5714285714284</v>
      </c>
      <c r="T145" s="31"/>
      <c r="U145" s="76">
        <v>-0.47012412069855236</v>
      </c>
      <c r="V145" s="76">
        <v>1.2557077625570776</v>
      </c>
      <c r="W145" s="76">
        <v>0.96957216873451246</v>
      </c>
      <c r="X145" s="76">
        <v>-0.90493335293990362</v>
      </c>
      <c r="Y145" s="76">
        <v>-4.8298204273176104E-2</v>
      </c>
      <c r="Z145" s="76">
        <v>-3.9669487466070463E-2</v>
      </c>
      <c r="AA145" s="76">
        <v>-6.8773234200743549E-2</v>
      </c>
      <c r="AB145" s="76">
        <v>-5.7492482047290183E-2</v>
      </c>
      <c r="AC145" s="76">
        <v>1.2113861593927799E-2</v>
      </c>
      <c r="AD145" s="142">
        <v>1.0665034637650375</v>
      </c>
      <c r="AE145" s="142">
        <v>0.6121694663398396</v>
      </c>
      <c r="AF145" s="142">
        <v>-0.89872573018879109</v>
      </c>
    </row>
    <row r="146" spans="1:32" x14ac:dyDescent="0.35">
      <c r="A146" t="s">
        <v>85</v>
      </c>
      <c r="B146" t="s">
        <v>370</v>
      </c>
      <c r="C146" s="31">
        <v>103</v>
      </c>
      <c r="D146" s="31">
        <v>367</v>
      </c>
      <c r="E146" s="72">
        <v>116</v>
      </c>
      <c r="F146" s="31">
        <v>400</v>
      </c>
      <c r="G146" s="73">
        <v>32135.240000000053</v>
      </c>
      <c r="H146" s="31">
        <v>90298.840000000273</v>
      </c>
      <c r="I146" s="72">
        <v>14689.259999999998</v>
      </c>
      <c r="J146" s="72">
        <v>44396.560000000209</v>
      </c>
      <c r="K146" s="31">
        <v>737.57142857142856</v>
      </c>
      <c r="L146" s="31">
        <v>2676</v>
      </c>
      <c r="M146" s="74">
        <v>6.3583743842364528</v>
      </c>
      <c r="N146" s="74">
        <v>7.1464108031272202</v>
      </c>
      <c r="O146" s="75">
        <v>277.02793103448323</v>
      </c>
      <c r="P146" s="75">
        <v>225.74710000000067</v>
      </c>
      <c r="Q146" s="76">
        <v>0.45710752432531931</v>
      </c>
      <c r="R146" s="76">
        <v>0.48931437556113033</v>
      </c>
      <c r="S146" s="31">
        <v>108.28571428571429</v>
      </c>
      <c r="T146" s="31"/>
      <c r="U146" s="76">
        <v>-0.72848601323937645</v>
      </c>
      <c r="V146" s="76">
        <v>-0.71</v>
      </c>
      <c r="W146" s="76">
        <v>-0.64412344610407013</v>
      </c>
      <c r="X146" s="76">
        <v>-0.66753893996387803</v>
      </c>
      <c r="Y146" s="76">
        <v>-0.17246226118628738</v>
      </c>
      <c r="Z146" s="76">
        <v>-0.18371541501976285</v>
      </c>
      <c r="AA146" s="76">
        <v>-0.28834355828220859</v>
      </c>
      <c r="AB146" s="76">
        <v>-0.22609957580892126</v>
      </c>
      <c r="AC146" s="76">
        <v>8.7463527096084848E-2</v>
      </c>
      <c r="AD146" s="142">
        <v>-0.48661867141337861</v>
      </c>
      <c r="AE146" s="142">
        <v>-0.58252324914364384</v>
      </c>
      <c r="AF146" s="142">
        <v>-0.64035538477862397</v>
      </c>
    </row>
    <row r="147" spans="1:32" x14ac:dyDescent="0.35">
      <c r="A147" t="s">
        <v>85</v>
      </c>
      <c r="B147" t="s">
        <v>381</v>
      </c>
      <c r="C147" s="31">
        <v>46</v>
      </c>
      <c r="D147" s="31">
        <v>22</v>
      </c>
      <c r="E147" s="72">
        <v>49</v>
      </c>
      <c r="F147" s="31">
        <v>27</v>
      </c>
      <c r="G147" s="73">
        <v>23170.140000000003</v>
      </c>
      <c r="H147" s="31">
        <v>7256.4599999999991</v>
      </c>
      <c r="I147" s="72">
        <v>13300.06</v>
      </c>
      <c r="J147" s="72">
        <v>3339.1999999999994</v>
      </c>
      <c r="K147" s="31">
        <v>1725.1428571428571</v>
      </c>
      <c r="L147" s="31">
        <v>544.42857142857144</v>
      </c>
      <c r="M147" s="74">
        <v>35.206997084548107</v>
      </c>
      <c r="N147" s="74">
        <v>20.608465608465607</v>
      </c>
      <c r="O147" s="75">
        <v>472.86000000000007</v>
      </c>
      <c r="P147" s="75">
        <v>268.75777777777773</v>
      </c>
      <c r="Q147" s="76">
        <v>0.57401724806151355</v>
      </c>
      <c r="R147" s="76">
        <v>0.46016928364519333</v>
      </c>
      <c r="S147" s="31">
        <v>94.857142857142861</v>
      </c>
      <c r="T147" s="31"/>
      <c r="U147" s="76">
        <v>1.9540802938861188</v>
      </c>
      <c r="V147" s="76">
        <v>0.70370370370370372</v>
      </c>
      <c r="W147" s="76">
        <v>1.995514341703807</v>
      </c>
      <c r="X147" s="76">
        <v>2.7191692620987107</v>
      </c>
      <c r="Y147" s="76">
        <v>-4.3774874349753357E-2</v>
      </c>
      <c r="Z147" s="76">
        <v>-3.9834618748509243E-2</v>
      </c>
      <c r="AA147" s="76">
        <v>0.32432432432432434</v>
      </c>
      <c r="AB147" s="76">
        <v>0.36295502393245194</v>
      </c>
      <c r="AC147" s="76">
        <v>2.9170120112259612E-2</v>
      </c>
      <c r="AD147" s="142">
        <v>0.78335510967633937</v>
      </c>
      <c r="AE147" s="142">
        <v>1.3670597017682167</v>
      </c>
      <c r="AF147" s="142">
        <v>1.6787987909527839</v>
      </c>
    </row>
    <row r="148" spans="1:32" x14ac:dyDescent="0.35">
      <c r="A148" t="s">
        <v>85</v>
      </c>
      <c r="B148" t="s">
        <v>373</v>
      </c>
      <c r="C148" s="31">
        <v>50</v>
      </c>
      <c r="D148" s="31">
        <v>60</v>
      </c>
      <c r="E148" s="72">
        <v>58</v>
      </c>
      <c r="F148" s="31">
        <v>67</v>
      </c>
      <c r="G148" s="73">
        <v>22345.839999999997</v>
      </c>
      <c r="H148" s="31">
        <v>12066.539999999999</v>
      </c>
      <c r="I148" s="72">
        <v>11903.809999999998</v>
      </c>
      <c r="J148" s="72">
        <v>6099.3699999999953</v>
      </c>
      <c r="K148" s="31">
        <v>491.85714285714283</v>
      </c>
      <c r="L148" s="31">
        <v>1472.1428571428571</v>
      </c>
      <c r="M148" s="74">
        <v>8.4802955665024626</v>
      </c>
      <c r="N148" s="74">
        <v>22.138592750533046</v>
      </c>
      <c r="O148" s="75">
        <v>385.27310344827578</v>
      </c>
      <c r="P148" s="75">
        <v>180.09761194029849</v>
      </c>
      <c r="Q148" s="76">
        <v>0.53270810137367852</v>
      </c>
      <c r="R148" s="76">
        <v>0.505477958055913</v>
      </c>
      <c r="S148" s="31">
        <v>1</v>
      </c>
      <c r="T148" s="31"/>
      <c r="U148" s="76">
        <v>-0.68364871421639983</v>
      </c>
      <c r="V148" s="76">
        <v>-0.17910447761194026</v>
      </c>
      <c r="W148" s="76">
        <v>0.69995127020670367</v>
      </c>
      <c r="X148" s="76">
        <v>0.77390123898042007</v>
      </c>
      <c r="Y148" s="76">
        <v>-9.3529081295651517E-2</v>
      </c>
      <c r="Z148" s="76">
        <v>-0.11513749678745833</v>
      </c>
      <c r="AA148" s="76">
        <v>1.7543859649122862E-2</v>
      </c>
      <c r="AB148" s="76">
        <v>1.1916573569614952E-2</v>
      </c>
      <c r="AC148" s="76">
        <v>-5.5302639057231984E-3</v>
      </c>
      <c r="AD148" s="142"/>
      <c r="AE148" s="142"/>
      <c r="AF148" s="142"/>
    </row>
    <row r="149" spans="1:32" x14ac:dyDescent="0.35">
      <c r="A149" t="s">
        <v>85</v>
      </c>
      <c r="B149" t="s">
        <v>360</v>
      </c>
      <c r="C149" s="31">
        <v>175</v>
      </c>
      <c r="D149" s="31">
        <v>829</v>
      </c>
      <c r="E149" s="72">
        <v>386</v>
      </c>
      <c r="F149" s="31">
        <v>1659</v>
      </c>
      <c r="G149" s="73">
        <v>19209.479999999963</v>
      </c>
      <c r="H149" s="31">
        <v>163676.63000000035</v>
      </c>
      <c r="I149" s="72">
        <v>-134.53999999999959</v>
      </c>
      <c r="J149" s="72">
        <v>65499.580000000322</v>
      </c>
      <c r="K149" s="31">
        <v>5711.2857142857147</v>
      </c>
      <c r="L149" s="31">
        <v>42600.285714285717</v>
      </c>
      <c r="M149" s="74">
        <v>14.796076980014805</v>
      </c>
      <c r="N149" s="74">
        <v>25.452449805833265</v>
      </c>
      <c r="O149" s="75">
        <v>49.76549222797918</v>
      </c>
      <c r="P149" s="75">
        <v>98.659813140446261</v>
      </c>
      <c r="Q149" s="76">
        <v>-7.0038335238642507E-3</v>
      </c>
      <c r="R149" s="76">
        <v>0.38412593781577059</v>
      </c>
      <c r="S149" s="31">
        <v>453.85714285714283</v>
      </c>
      <c r="T149" s="31"/>
      <c r="U149" s="76">
        <v>-0.88421606830269417</v>
      </c>
      <c r="V149" s="76">
        <v>-0.7950572634116938</v>
      </c>
      <c r="W149" s="76">
        <v>-0.90020010798120698</v>
      </c>
      <c r="X149" s="76">
        <v>-0.99551931347070033</v>
      </c>
      <c r="Y149" s="76">
        <v>-6.5895576001769984E-2</v>
      </c>
      <c r="Z149" s="76">
        <v>-6.3197113131502447E-2</v>
      </c>
      <c r="AA149" s="76">
        <v>-0.11059907834101379</v>
      </c>
      <c r="AB149" s="76">
        <v>-6.4833931722755089E-2</v>
      </c>
      <c r="AC149" s="76">
        <v>5.1456149306539745E-2</v>
      </c>
      <c r="AD149" s="142">
        <v>0.32385326355551997</v>
      </c>
      <c r="AE149" s="142">
        <v>-0.68783978506987575</v>
      </c>
      <c r="AF149" s="142">
        <v>-1.0041349485674678</v>
      </c>
    </row>
    <row r="150" spans="1:32" x14ac:dyDescent="0.35">
      <c r="A150" t="s">
        <v>85</v>
      </c>
      <c r="B150" t="s">
        <v>362</v>
      </c>
      <c r="C150" s="31">
        <v>40</v>
      </c>
      <c r="D150" s="31">
        <v>209</v>
      </c>
      <c r="E150" s="72">
        <v>51</v>
      </c>
      <c r="F150" s="31">
        <v>254</v>
      </c>
      <c r="G150" s="73">
        <v>14022.949999999993</v>
      </c>
      <c r="H150" s="31">
        <v>128737.44000000025</v>
      </c>
      <c r="I150" s="72">
        <v>1345.8</v>
      </c>
      <c r="J150" s="72">
        <v>55840.670000000217</v>
      </c>
      <c r="K150" s="31">
        <v>649.42857142857144</v>
      </c>
      <c r="L150" s="31">
        <v>5374.4285714285716</v>
      </c>
      <c r="M150" s="74">
        <v>12.73389355742297</v>
      </c>
      <c r="N150" s="74">
        <v>21.431318681318679</v>
      </c>
      <c r="O150" s="75">
        <v>274.95980392156849</v>
      </c>
      <c r="P150" s="75">
        <v>506.84031496063091</v>
      </c>
      <c r="Q150" s="76">
        <v>9.597124713416226E-2</v>
      </c>
      <c r="R150" s="76">
        <v>0.42315588204247029</v>
      </c>
      <c r="S150" s="31">
        <v>16724.142857142859</v>
      </c>
      <c r="T150" s="31"/>
      <c r="U150" s="76">
        <v>-0.88014672656229231</v>
      </c>
      <c r="V150" s="76">
        <v>-0.80708661417322836</v>
      </c>
      <c r="W150" s="76">
        <v>-0.89754627713585133</v>
      </c>
      <c r="X150" s="76">
        <v>-0.97518477834878003</v>
      </c>
      <c r="Y150" s="76">
        <v>-9.7334556701128561E-2</v>
      </c>
      <c r="Z150" s="76">
        <v>-0.1067007270583612</v>
      </c>
      <c r="AA150" s="76">
        <v>0</v>
      </c>
      <c r="AB150" s="76">
        <v>-0.10685943065031456</v>
      </c>
      <c r="AC150" s="76">
        <v>-0.10685943065031456</v>
      </c>
      <c r="AD150" s="142">
        <v>-0.83427326389058132</v>
      </c>
      <c r="AE150" s="142">
        <v>-0.84724052821474616</v>
      </c>
      <c r="AF150" s="142">
        <v>-0.97077272586701957</v>
      </c>
    </row>
    <row r="151" spans="1:32" x14ac:dyDescent="0.35">
      <c r="A151" t="s">
        <v>85</v>
      </c>
      <c r="B151" t="s">
        <v>367</v>
      </c>
      <c r="C151" s="31">
        <v>69</v>
      </c>
      <c r="D151" s="31">
        <v>159</v>
      </c>
      <c r="E151" s="72">
        <v>87</v>
      </c>
      <c r="F151" s="31">
        <v>229</v>
      </c>
      <c r="G151" s="73">
        <v>9337.8499999999913</v>
      </c>
      <c r="H151" s="31">
        <v>30906.100000000035</v>
      </c>
      <c r="I151" s="72">
        <v>726.6500000000002</v>
      </c>
      <c r="J151" s="72">
        <v>16190.90000000002</v>
      </c>
      <c r="K151" s="31">
        <v>1926.8571428571429</v>
      </c>
      <c r="L151" s="31">
        <v>7329.8571428571431</v>
      </c>
      <c r="M151" s="74">
        <v>22.147783251231527</v>
      </c>
      <c r="N151" s="74">
        <v>32.596894409937889</v>
      </c>
      <c r="O151" s="75">
        <v>107.33160919540219</v>
      </c>
      <c r="P151" s="75">
        <v>134.96113537117918</v>
      </c>
      <c r="Q151" s="76">
        <v>7.7817698934979779E-2</v>
      </c>
      <c r="R151" s="76">
        <v>0.52218434437094641</v>
      </c>
      <c r="S151" s="31">
        <v>26644</v>
      </c>
      <c r="T151" s="31"/>
      <c r="U151" s="76">
        <v>-0.74140988910327632</v>
      </c>
      <c r="V151" s="76">
        <v>-0.62445414847161573</v>
      </c>
      <c r="W151" s="76">
        <v>-0.70056008360809086</v>
      </c>
      <c r="X151" s="76">
        <v>-0.9570147944064582</v>
      </c>
      <c r="Y151" s="76">
        <v>-8.6464307314626287E-2</v>
      </c>
      <c r="Z151" s="76">
        <v>-8.4068993616732368E-2</v>
      </c>
      <c r="AA151" s="76">
        <v>-0.3203125</v>
      </c>
      <c r="AB151" s="76">
        <v>-0.2207926046706471</v>
      </c>
      <c r="AC151" s="76">
        <v>0.1464200758868639</v>
      </c>
      <c r="AD151" s="142">
        <v>-0.5052579141673661</v>
      </c>
      <c r="AE151" s="142">
        <v>-0.70220766241560184</v>
      </c>
      <c r="AF151" s="142">
        <v>-0.95135033728480156</v>
      </c>
    </row>
    <row r="152" spans="1:32" x14ac:dyDescent="0.35">
      <c r="A152" t="s">
        <v>85</v>
      </c>
      <c r="B152" t="s">
        <v>383</v>
      </c>
      <c r="C152" s="31">
        <v>3</v>
      </c>
      <c r="D152" s="31">
        <v>2</v>
      </c>
      <c r="E152" s="72">
        <v>6</v>
      </c>
      <c r="F152" s="31">
        <v>2</v>
      </c>
      <c r="G152" s="73">
        <v>7090.86</v>
      </c>
      <c r="H152" s="31">
        <v>4218.1900000000005</v>
      </c>
      <c r="I152" s="72">
        <v>1690.8600000000001</v>
      </c>
      <c r="J152" s="72">
        <v>1618.1900000000005</v>
      </c>
      <c r="K152" s="31">
        <v>209.28571428571428</v>
      </c>
      <c r="L152" s="31">
        <v>343.42857142857144</v>
      </c>
      <c r="M152" s="74">
        <v>34.88095238095238</v>
      </c>
      <c r="N152" s="74">
        <v>178.64285714285714</v>
      </c>
      <c r="O152" s="75">
        <v>1181.81</v>
      </c>
      <c r="P152" s="75">
        <v>2109.0950000000003</v>
      </c>
      <c r="Q152" s="76">
        <v>0.23845626623568936</v>
      </c>
      <c r="R152" s="76">
        <v>0.38362188521617097</v>
      </c>
      <c r="S152" s="31">
        <v>358</v>
      </c>
      <c r="T152" s="31"/>
      <c r="U152" s="76">
        <v>-0.39600665557404335</v>
      </c>
      <c r="V152" s="76">
        <v>2</v>
      </c>
      <c r="W152" s="76">
        <v>0.68101958422925435</v>
      </c>
      <c r="X152" s="76">
        <v>4.4908199902359502E-2</v>
      </c>
      <c r="Y152" s="76">
        <v>-1.014857596738461E-2</v>
      </c>
      <c r="Z152" s="76">
        <v>-1.0135135135135087E-2</v>
      </c>
      <c r="AA152" s="76"/>
      <c r="AB152" s="76"/>
      <c r="AC152" s="76"/>
      <c r="AD152" s="142"/>
      <c r="AE152" s="142"/>
      <c r="AF152" s="142"/>
    </row>
    <row r="153" spans="1:32" x14ac:dyDescent="0.35">
      <c r="A153" t="s">
        <v>85</v>
      </c>
      <c r="B153" t="s">
        <v>359</v>
      </c>
      <c r="C153" s="31">
        <v>27</v>
      </c>
      <c r="D153" s="31">
        <v>44</v>
      </c>
      <c r="E153" s="72">
        <v>28</v>
      </c>
      <c r="F153" s="31">
        <v>46</v>
      </c>
      <c r="G153" s="73">
        <v>5962.2699999999968</v>
      </c>
      <c r="H153" s="31">
        <v>20986.950000000004</v>
      </c>
      <c r="I153" s="72">
        <v>-89.07</v>
      </c>
      <c r="J153" s="72">
        <v>8187.0199999999986</v>
      </c>
      <c r="K153" s="31">
        <v>774.71428571428567</v>
      </c>
      <c r="L153" s="31">
        <v>6967.7142857142853</v>
      </c>
      <c r="M153" s="74">
        <v>27.668367346938773</v>
      </c>
      <c r="N153" s="74">
        <v>154.86335403726707</v>
      </c>
      <c r="O153" s="75">
        <v>212.93821428571417</v>
      </c>
      <c r="P153" s="75">
        <v>456.23804347826098</v>
      </c>
      <c r="Q153" s="76">
        <v>-1.4938941040912276E-2</v>
      </c>
      <c r="R153" s="76">
        <v>0.39010051484374797</v>
      </c>
      <c r="S153" s="31">
        <v>1679.4285714285713</v>
      </c>
      <c r="T153" s="31"/>
      <c r="U153" s="76">
        <v>-0.8899413622011727</v>
      </c>
      <c r="V153" s="76">
        <v>-0.39130434782608692</v>
      </c>
      <c r="W153" s="76">
        <v>-0.71590583672234431</v>
      </c>
      <c r="X153" s="76">
        <v>-1.0108794164421246</v>
      </c>
      <c r="Y153" s="76">
        <v>-0.10021281710917773</v>
      </c>
      <c r="Z153" s="76">
        <v>-8.4571235651586862E-2</v>
      </c>
      <c r="AA153" s="76">
        <v>-0.37777777777777777</v>
      </c>
      <c r="AB153" s="76">
        <v>-0.32574710667912155</v>
      </c>
      <c r="AC153" s="76">
        <v>8.3620721408554699E-2</v>
      </c>
      <c r="AD153" s="142">
        <v>-0.12505468408224493</v>
      </c>
      <c r="AE153" s="142">
        <v>-0.64166306532919748</v>
      </c>
      <c r="AF153" s="142">
        <v>-1.0118677729433221</v>
      </c>
    </row>
    <row r="154" spans="1:32" x14ac:dyDescent="0.35">
      <c r="A154" t="s">
        <v>85</v>
      </c>
      <c r="B154" t="s">
        <v>369</v>
      </c>
      <c r="C154" s="31">
        <v>11</v>
      </c>
      <c r="D154" s="31">
        <v>3</v>
      </c>
      <c r="E154" s="72">
        <v>13</v>
      </c>
      <c r="F154" s="31">
        <v>3</v>
      </c>
      <c r="G154" s="73">
        <v>3261.5699999999997</v>
      </c>
      <c r="H154" s="31">
        <v>2733.33</v>
      </c>
      <c r="I154" s="72">
        <v>-1715.42</v>
      </c>
      <c r="J154" s="72">
        <v>1053.1499999999999</v>
      </c>
      <c r="K154" s="31">
        <v>295.42857142857144</v>
      </c>
      <c r="L154" s="31">
        <v>1331</v>
      </c>
      <c r="M154" s="74">
        <v>22.725274725274726</v>
      </c>
      <c r="N154" s="74">
        <v>452</v>
      </c>
      <c r="O154" s="75">
        <v>250.89</v>
      </c>
      <c r="P154" s="75">
        <v>911.11</v>
      </c>
      <c r="Q154" s="76">
        <v>-0.52594915945388265</v>
      </c>
      <c r="R154" s="76">
        <v>0.38529925036493945</v>
      </c>
      <c r="S154" s="31">
        <v>766.71428571428567</v>
      </c>
      <c r="T154" s="31"/>
      <c r="U154" s="76">
        <v>-0.78845121820328434</v>
      </c>
      <c r="V154" s="76">
        <v>3.333333333333333</v>
      </c>
      <c r="W154" s="76">
        <v>0.19325877226679533</v>
      </c>
      <c r="X154" s="76">
        <v>-2.6288467929544703</v>
      </c>
      <c r="Y154" s="76">
        <v>-0.11347778636631289</v>
      </c>
      <c r="Z154" s="76">
        <v>-0.11925042589437818</v>
      </c>
      <c r="AA154" s="76">
        <v>0</v>
      </c>
      <c r="AB154" s="76">
        <v>-0.32529524810356492</v>
      </c>
      <c r="AC154" s="76">
        <v>-0.32529524810356492</v>
      </c>
      <c r="AD154" s="142">
        <v>2.3512928256554351</v>
      </c>
      <c r="AE154" s="142">
        <v>-0.18388082748879608</v>
      </c>
      <c r="AF154" s="142">
        <v>-2.0353740216375797</v>
      </c>
    </row>
    <row r="155" spans="1:32" x14ac:dyDescent="0.35">
      <c r="A155" t="s">
        <v>85</v>
      </c>
      <c r="B155" t="s">
        <v>376</v>
      </c>
      <c r="C155" s="31">
        <v>11</v>
      </c>
      <c r="D155" s="31">
        <v>14</v>
      </c>
      <c r="E155" s="72">
        <v>12</v>
      </c>
      <c r="F155" s="31">
        <v>14</v>
      </c>
      <c r="G155" s="73">
        <v>2999.8700000000003</v>
      </c>
      <c r="H155" s="31">
        <v>6999.99</v>
      </c>
      <c r="I155" s="72">
        <v>138.68999999999997</v>
      </c>
      <c r="J155" s="72">
        <v>3546.2699999999995</v>
      </c>
      <c r="K155" s="31">
        <v>352.14285714285717</v>
      </c>
      <c r="L155" s="31">
        <v>1022.7142857142857</v>
      </c>
      <c r="M155" s="74">
        <v>29.345238095238098</v>
      </c>
      <c r="N155" s="74">
        <v>74.020408163265301</v>
      </c>
      <c r="O155" s="75">
        <v>249.9891666666667</v>
      </c>
      <c r="P155" s="75">
        <v>499.99928571428569</v>
      </c>
      <c r="Q155" s="76">
        <v>4.6232003386813415E-2</v>
      </c>
      <c r="R155" s="76">
        <v>0.50661072372960525</v>
      </c>
      <c r="S155" s="31">
        <v>0.2857142857142857</v>
      </c>
      <c r="T155" s="31"/>
      <c r="U155" s="76">
        <v>-0.65847185361083949</v>
      </c>
      <c r="V155" s="76">
        <v>-0.1428571428571429</v>
      </c>
      <c r="W155" s="76">
        <v>-0.57144653063790085</v>
      </c>
      <c r="X155" s="76">
        <v>-0.96089130269268841</v>
      </c>
      <c r="Y155" s="76">
        <v>-3.8724469818320895E-2</v>
      </c>
      <c r="Z155" s="76">
        <v>-3.9735099337748325E-2</v>
      </c>
      <c r="AA155" s="76">
        <v>9.0909090909090828E-2</v>
      </c>
      <c r="AB155" s="76">
        <v>0.12312616997379267</v>
      </c>
      <c r="AC155" s="76">
        <v>2.9532322475976702E-2</v>
      </c>
      <c r="AD155" s="142"/>
      <c r="AE155" s="142"/>
      <c r="AF155" s="142"/>
    </row>
    <row r="156" spans="1:32" x14ac:dyDescent="0.35">
      <c r="A156" t="s">
        <v>85</v>
      </c>
      <c r="B156" t="s">
        <v>379</v>
      </c>
      <c r="C156" s="31">
        <v>73</v>
      </c>
      <c r="D156" s="31">
        <v>554</v>
      </c>
      <c r="E156" s="72">
        <v>88</v>
      </c>
      <c r="F156" s="31">
        <v>709</v>
      </c>
      <c r="G156" s="73">
        <v>2648.7800000000007</v>
      </c>
      <c r="H156" s="31">
        <v>7971.799999999972</v>
      </c>
      <c r="I156" s="72">
        <v>1772.059999999999</v>
      </c>
      <c r="J156" s="72">
        <v>2639.8399999999747</v>
      </c>
      <c r="K156" s="31">
        <v>2243.4285714285716</v>
      </c>
      <c r="L156" s="31">
        <v>9464.8571428571431</v>
      </c>
      <c r="M156" s="74">
        <v>25.493506493506494</v>
      </c>
      <c r="N156" s="74">
        <v>12.718569566027194</v>
      </c>
      <c r="O156" s="75">
        <v>30.099772727272736</v>
      </c>
      <c r="P156" s="75">
        <v>11.243723554301795</v>
      </c>
      <c r="Q156" s="76">
        <v>0.66900988379555815</v>
      </c>
      <c r="R156" s="76">
        <v>0.31633110370297407</v>
      </c>
      <c r="S156" s="31">
        <v>630.14285714285711</v>
      </c>
      <c r="T156" s="31"/>
      <c r="U156" s="76">
        <v>-0.77464002173453683</v>
      </c>
      <c r="V156" s="76">
        <v>-0.88998589562764452</v>
      </c>
      <c r="W156" s="76">
        <v>-0.70649037858450936</v>
      </c>
      <c r="X156" s="76">
        <v>-0.35766091555154444</v>
      </c>
      <c r="Y156" s="76">
        <v>-6.7187440706687029E-2</v>
      </c>
      <c r="Z156" s="76">
        <v>-6.6127497621312981E-2</v>
      </c>
      <c r="AA156" s="76">
        <v>0.25714285714285712</v>
      </c>
      <c r="AB156" s="76">
        <v>0.25809469979433786</v>
      </c>
      <c r="AC156" s="76">
        <v>7.571475636778402E-4</v>
      </c>
      <c r="AD156" s="142">
        <v>-0.86700851523319222</v>
      </c>
      <c r="AE156" s="142">
        <v>-0.86156902204057528</v>
      </c>
      <c r="AF156" s="142">
        <v>-0.82296495389227398</v>
      </c>
    </row>
    <row r="157" spans="1:32" x14ac:dyDescent="0.35">
      <c r="A157" t="s">
        <v>85</v>
      </c>
      <c r="B157" t="s">
        <v>364</v>
      </c>
      <c r="C157" s="31">
        <v>12</v>
      </c>
      <c r="D157" s="31">
        <v>216</v>
      </c>
      <c r="E157" s="72">
        <v>12</v>
      </c>
      <c r="F157" s="31">
        <v>280</v>
      </c>
      <c r="G157" s="73">
        <v>2645.74</v>
      </c>
      <c r="H157" s="31">
        <v>100166.51000000017</v>
      </c>
      <c r="I157" s="72">
        <v>540.01</v>
      </c>
      <c r="J157" s="72">
        <v>49494.930000000189</v>
      </c>
      <c r="K157" s="31">
        <v>99.571428571428569</v>
      </c>
      <c r="L157" s="31">
        <v>3348</v>
      </c>
      <c r="M157" s="74">
        <v>8.2976190476190474</v>
      </c>
      <c r="N157" s="74">
        <v>12.33598805375809</v>
      </c>
      <c r="O157" s="75">
        <v>220.47833333333332</v>
      </c>
      <c r="P157" s="75">
        <v>357.73753571428631</v>
      </c>
      <c r="Q157" s="76">
        <v>0.20410546765744178</v>
      </c>
      <c r="R157" s="76">
        <v>0.48469869805407423</v>
      </c>
      <c r="S157" s="31">
        <v>438</v>
      </c>
      <c r="T157" s="31"/>
      <c r="U157" s="76">
        <v>-0.97094214029697901</v>
      </c>
      <c r="V157" s="76">
        <v>-0.96071428571428574</v>
      </c>
      <c r="W157" s="76">
        <v>-0.97774625471128029</v>
      </c>
      <c r="X157" s="76">
        <v>-0.99055837833392391</v>
      </c>
      <c r="Y157" s="76">
        <v>-0.12495562578723529</v>
      </c>
      <c r="Z157" s="76">
        <v>-7.3138297872340496E-2</v>
      </c>
      <c r="AA157" s="76">
        <v>0.5</v>
      </c>
      <c r="AB157" s="76">
        <v>0.32290968729061853</v>
      </c>
      <c r="AC157" s="76">
        <v>-0.11806020847292087</v>
      </c>
      <c r="AD157" s="142"/>
      <c r="AE157" s="142"/>
      <c r="AF157" s="142"/>
    </row>
    <row r="158" spans="1:32" x14ac:dyDescent="0.35">
      <c r="A158" t="s">
        <v>85</v>
      </c>
      <c r="B158" t="s">
        <v>377</v>
      </c>
      <c r="C158" s="31">
        <v>15</v>
      </c>
      <c r="D158" s="31">
        <v>39</v>
      </c>
      <c r="E158" s="72">
        <v>18</v>
      </c>
      <c r="F158" s="31">
        <v>58</v>
      </c>
      <c r="G158" s="73">
        <v>2183.59</v>
      </c>
      <c r="H158" s="31">
        <v>14174.009999999998</v>
      </c>
      <c r="I158" s="72">
        <v>-28.430000000000003</v>
      </c>
      <c r="J158" s="72">
        <v>6843.8999999999969</v>
      </c>
      <c r="K158" s="31">
        <v>590.42857142857144</v>
      </c>
      <c r="L158" s="31">
        <v>2567.8571428571427</v>
      </c>
      <c r="M158" s="74">
        <v>32.801587301587304</v>
      </c>
      <c r="N158" s="74">
        <v>44.469047619047622</v>
      </c>
      <c r="O158" s="75">
        <v>121.31055555555557</v>
      </c>
      <c r="P158" s="75">
        <v>244.37948275862067</v>
      </c>
      <c r="Q158" s="76">
        <v>-1.3019843468783059E-2</v>
      </c>
      <c r="R158" s="76">
        <v>0.46973094401238713</v>
      </c>
      <c r="S158" s="31">
        <v>14</v>
      </c>
      <c r="T158" s="31"/>
      <c r="U158" s="76">
        <v>-0.77307371349095966</v>
      </c>
      <c r="V158" s="76">
        <v>-0.68965517241379315</v>
      </c>
      <c r="W158" s="76">
        <v>-0.84594409062784626</v>
      </c>
      <c r="X158" s="76">
        <v>-1.0042750465398136</v>
      </c>
      <c r="Y158" s="76">
        <v>-5.194227907039406E-2</v>
      </c>
      <c r="Z158" s="76">
        <v>-5.293308890925752E-2</v>
      </c>
      <c r="AA158" s="76">
        <v>0.28571428571428581</v>
      </c>
      <c r="AB158" s="76">
        <v>0.24785841233920225</v>
      </c>
      <c r="AC158" s="76">
        <v>-2.9443457069509238E-2</v>
      </c>
      <c r="AD158" s="142"/>
      <c r="AE158" s="142"/>
      <c r="AF158" s="142"/>
    </row>
    <row r="159" spans="1:32" x14ac:dyDescent="0.35">
      <c r="A159" t="s">
        <v>85</v>
      </c>
      <c r="B159" t="s">
        <v>382</v>
      </c>
      <c r="C159" s="31">
        <v>4</v>
      </c>
      <c r="D159" s="31">
        <v>13</v>
      </c>
      <c r="E159" s="72">
        <v>5</v>
      </c>
      <c r="F159" s="31">
        <v>14</v>
      </c>
      <c r="G159" s="73">
        <v>2083.3000000000002</v>
      </c>
      <c r="H159" s="31">
        <v>5316.65</v>
      </c>
      <c r="I159" s="72">
        <v>390.22</v>
      </c>
      <c r="J159" s="72">
        <v>387.61999999999898</v>
      </c>
      <c r="K159" s="31">
        <v>57</v>
      </c>
      <c r="L159" s="31">
        <v>328.28571428571428</v>
      </c>
      <c r="M159" s="74">
        <v>11.4</v>
      </c>
      <c r="N159" s="74">
        <v>23.489795918367346</v>
      </c>
      <c r="O159" s="75">
        <v>416.66</v>
      </c>
      <c r="P159" s="75">
        <v>379.76071428571424</v>
      </c>
      <c r="Q159" s="76">
        <v>0.187308596937551</v>
      </c>
      <c r="R159" s="76">
        <v>7.2906811620098932E-2</v>
      </c>
      <c r="S159" s="31"/>
      <c r="T159" s="31"/>
      <c r="U159" s="76">
        <v>-0.82680591818973026</v>
      </c>
      <c r="V159" s="76">
        <v>-0.64285714285714279</v>
      </c>
      <c r="W159" s="76">
        <v>-0.60815551145928359</v>
      </c>
      <c r="X159" s="76">
        <v>6.7076002270298751E-3</v>
      </c>
      <c r="Y159" s="76">
        <v>-6.3543161061727083E-2</v>
      </c>
      <c r="Z159" s="76">
        <v>-6.9930069930069894E-2</v>
      </c>
      <c r="AA159" s="76">
        <v>4</v>
      </c>
      <c r="AB159" s="76">
        <v>4</v>
      </c>
      <c r="AC159" s="76">
        <v>0</v>
      </c>
      <c r="AD159" s="142"/>
      <c r="AE159" s="142"/>
      <c r="AF159" s="142"/>
    </row>
    <row r="160" spans="1:32" x14ac:dyDescent="0.35">
      <c r="A160" t="s">
        <v>85</v>
      </c>
      <c r="B160" t="s">
        <v>375</v>
      </c>
      <c r="C160" s="31">
        <v>15</v>
      </c>
      <c r="D160" s="31">
        <v>12</v>
      </c>
      <c r="E160" s="72">
        <v>21</v>
      </c>
      <c r="F160" s="31">
        <v>13</v>
      </c>
      <c r="G160" s="73">
        <v>1749.8200000000006</v>
      </c>
      <c r="H160" s="31">
        <v>2670.8</v>
      </c>
      <c r="I160" s="72">
        <v>-506.80999999999995</v>
      </c>
      <c r="J160" s="72">
        <v>1392.4</v>
      </c>
      <c r="K160" s="31">
        <v>590</v>
      </c>
      <c r="L160" s="31">
        <v>1579.2857142857142</v>
      </c>
      <c r="M160" s="74">
        <v>28.095238095238095</v>
      </c>
      <c r="N160" s="74">
        <v>121.49450549450549</v>
      </c>
      <c r="O160" s="75">
        <v>83.324761904761928</v>
      </c>
      <c r="P160" s="75">
        <v>205.44615384615386</v>
      </c>
      <c r="Q160" s="76">
        <v>-0.28963550536626609</v>
      </c>
      <c r="R160" s="76">
        <v>0.52134192002396285</v>
      </c>
      <c r="S160" s="31">
        <v>104.28571428571429</v>
      </c>
      <c r="T160" s="31"/>
      <c r="U160" s="76">
        <v>-0.62668475802804158</v>
      </c>
      <c r="V160" s="76">
        <v>0.61538461538461542</v>
      </c>
      <c r="W160" s="76">
        <v>-0.34483300883630352</v>
      </c>
      <c r="X160" s="76">
        <v>-1.3639830508474569</v>
      </c>
      <c r="Y160" s="76">
        <v>-4.6884227133010437E-2</v>
      </c>
      <c r="Z160" s="76">
        <v>-4.3095458758109384E-2</v>
      </c>
      <c r="AA160" s="76">
        <v>0.16666666666666674</v>
      </c>
      <c r="AB160" s="76">
        <v>0.16663999786649653</v>
      </c>
      <c r="AC160" s="76">
        <v>-2.2858971574390985E-5</v>
      </c>
      <c r="AD160" s="142">
        <v>0.24932328322158825</v>
      </c>
      <c r="AE160" s="142">
        <v>-0.12909229988128026</v>
      </c>
      <c r="AF160" s="142"/>
    </row>
    <row r="161" spans="1:32" x14ac:dyDescent="0.35">
      <c r="A161" t="s">
        <v>85</v>
      </c>
      <c r="B161" t="s">
        <v>390</v>
      </c>
      <c r="C161" s="31">
        <v>9</v>
      </c>
      <c r="D161" s="31">
        <v>11</v>
      </c>
      <c r="E161" s="72">
        <v>17</v>
      </c>
      <c r="F161" s="31">
        <v>21</v>
      </c>
      <c r="G161" s="73">
        <v>1091.53</v>
      </c>
      <c r="H161" s="31">
        <v>1907.4199999999998</v>
      </c>
      <c r="I161" s="72">
        <v>255.55999999999997</v>
      </c>
      <c r="J161" s="72">
        <v>830.90999999999985</v>
      </c>
      <c r="K161" s="31">
        <v>357.42857142857144</v>
      </c>
      <c r="L161" s="31">
        <v>1138.7142857142858</v>
      </c>
      <c r="M161" s="74">
        <v>21.025210084033613</v>
      </c>
      <c r="N161" s="74">
        <v>55.29220779220779</v>
      </c>
      <c r="O161" s="75">
        <v>64.207647058823525</v>
      </c>
      <c r="P161" s="75">
        <v>90.829523809523806</v>
      </c>
      <c r="Q161" s="76">
        <v>0.23413007429937793</v>
      </c>
      <c r="R161" s="76">
        <v>0.4105104022054355</v>
      </c>
      <c r="S161" s="31">
        <v>134</v>
      </c>
      <c r="T161" s="31"/>
      <c r="U161" s="76">
        <v>-0.69401580730146784</v>
      </c>
      <c r="V161" s="76">
        <v>-0.19047619047619047</v>
      </c>
      <c r="W161" s="76">
        <v>-0.42774533139004511</v>
      </c>
      <c r="X161" s="76">
        <v>-0.67415945225739815</v>
      </c>
      <c r="Y161" s="76">
        <v>-5.7852570627641264E-2</v>
      </c>
      <c r="Z161" s="76">
        <v>-7.1614100185528717E-2</v>
      </c>
      <c r="AA161" s="76">
        <v>1.8333333333333335</v>
      </c>
      <c r="AB161" s="76">
        <v>1.1832346587727018</v>
      </c>
      <c r="AC161" s="76">
        <v>-0.22944659102139942</v>
      </c>
      <c r="AD161" s="142"/>
      <c r="AE161" s="142"/>
      <c r="AF161" s="142"/>
    </row>
    <row r="162" spans="1:32" x14ac:dyDescent="0.35">
      <c r="A162" t="s">
        <v>85</v>
      </c>
      <c r="B162" t="s">
        <v>389</v>
      </c>
      <c r="C162" s="31">
        <v>1</v>
      </c>
      <c r="D162" s="31">
        <v>1</v>
      </c>
      <c r="E162" s="72">
        <v>1</v>
      </c>
      <c r="F162" s="31">
        <v>1</v>
      </c>
      <c r="G162" s="73">
        <v>833.33</v>
      </c>
      <c r="H162" s="31">
        <v>940</v>
      </c>
      <c r="I162" s="72">
        <v>35.130000000000003</v>
      </c>
      <c r="J162" s="72">
        <v>290</v>
      </c>
      <c r="K162" s="31">
        <v>77.285714285714292</v>
      </c>
      <c r="L162" s="31">
        <v>57.571428571428569</v>
      </c>
      <c r="M162" s="74">
        <v>77.285714285714292</v>
      </c>
      <c r="N162" s="74">
        <v>62.571428571428569</v>
      </c>
      <c r="O162" s="75">
        <v>833.33</v>
      </c>
      <c r="P162" s="75">
        <v>940</v>
      </c>
      <c r="Q162" s="76">
        <v>4.21561686246745E-2</v>
      </c>
      <c r="R162" s="76">
        <v>0.30851063829787234</v>
      </c>
      <c r="S162" s="31">
        <v>197</v>
      </c>
      <c r="T162" s="31"/>
      <c r="U162" s="76">
        <v>0.29032258064516148</v>
      </c>
      <c r="V162" s="76">
        <v>0</v>
      </c>
      <c r="W162" s="76">
        <v>-0.11347872340425524</v>
      </c>
      <c r="X162" s="76">
        <v>-0.87886206896551722</v>
      </c>
      <c r="Y162" s="76">
        <v>-1.9260770569973995E-2</v>
      </c>
      <c r="Z162" s="76">
        <v>-2.872531418312374E-2</v>
      </c>
      <c r="AA162" s="76">
        <v>-0.66666666666666674</v>
      </c>
      <c r="AB162" s="76">
        <v>-0.69696870522694709</v>
      </c>
      <c r="AC162" s="76">
        <v>-9.0906115680841282E-2</v>
      </c>
      <c r="AD162" s="142"/>
      <c r="AE162" s="142"/>
      <c r="AF162" s="142"/>
    </row>
    <row r="163" spans="1:32" x14ac:dyDescent="0.35">
      <c r="A163" t="s">
        <v>85</v>
      </c>
      <c r="B163" t="s">
        <v>385</v>
      </c>
      <c r="C163" s="31">
        <v>7</v>
      </c>
      <c r="D163" s="31">
        <v>7</v>
      </c>
      <c r="E163" s="72">
        <v>8</v>
      </c>
      <c r="F163" s="31">
        <v>10</v>
      </c>
      <c r="G163" s="73">
        <v>666.56999999999994</v>
      </c>
      <c r="H163" s="31">
        <v>2383.31</v>
      </c>
      <c r="I163" s="72">
        <v>101.06</v>
      </c>
      <c r="J163" s="72">
        <v>1676.44</v>
      </c>
      <c r="K163" s="31">
        <v>329.28571428571428</v>
      </c>
      <c r="L163" s="31">
        <v>1313.4285714285713</v>
      </c>
      <c r="M163" s="74">
        <v>41.160714285714285</v>
      </c>
      <c r="N163" s="74">
        <v>135.80000000000001</v>
      </c>
      <c r="O163" s="75">
        <v>83.321249999999992</v>
      </c>
      <c r="P163" s="75">
        <v>238.33099999999999</v>
      </c>
      <c r="Q163" s="76">
        <v>0.15161198373764198</v>
      </c>
      <c r="R163" s="76">
        <v>0.70340828511607811</v>
      </c>
      <c r="S163" s="31">
        <v>4</v>
      </c>
      <c r="T163" s="31"/>
      <c r="U163" s="76">
        <v>-0.74951055035892966</v>
      </c>
      <c r="V163" s="76">
        <v>-0.19999999999999996</v>
      </c>
      <c r="W163" s="76">
        <v>-0.72031754157033712</v>
      </c>
      <c r="X163" s="76">
        <v>-0.93971749659993797</v>
      </c>
      <c r="Y163" s="76">
        <v>-2.9973580957479928E-2</v>
      </c>
      <c r="Z163" s="76">
        <v>-2.9882154882154954E-2</v>
      </c>
      <c r="AA163" s="76">
        <v>-0.27272727272727271</v>
      </c>
      <c r="AB163" s="76">
        <v>-0.27274810159727669</v>
      </c>
      <c r="AC163" s="76">
        <v>-2.8639696255550184E-5</v>
      </c>
      <c r="AD163" s="142"/>
      <c r="AE163" s="142"/>
      <c r="AF163" s="142"/>
    </row>
    <row r="164" spans="1:32" x14ac:dyDescent="0.35">
      <c r="A164" t="s">
        <v>85</v>
      </c>
      <c r="B164" t="s">
        <v>391</v>
      </c>
      <c r="C164" s="31">
        <v>2</v>
      </c>
      <c r="D164" s="31">
        <v>4</v>
      </c>
      <c r="E164" s="72">
        <v>7</v>
      </c>
      <c r="F164" s="31">
        <v>6</v>
      </c>
      <c r="G164" s="73">
        <v>622.66000000000008</v>
      </c>
      <c r="H164" s="31">
        <v>821.81</v>
      </c>
      <c r="I164" s="72">
        <v>-52.339999999999996</v>
      </c>
      <c r="J164" s="72">
        <v>24.92999999999995</v>
      </c>
      <c r="K164" s="31">
        <v>127</v>
      </c>
      <c r="L164" s="31">
        <v>317.28571428571428</v>
      </c>
      <c r="M164" s="74">
        <v>18.142857142857142</v>
      </c>
      <c r="N164" s="74">
        <v>46.04081632653061</v>
      </c>
      <c r="O164" s="75">
        <v>88.951428571428579</v>
      </c>
      <c r="P164" s="75">
        <v>136.96833333333333</v>
      </c>
      <c r="Q164" s="76">
        <v>-8.4058715832075276E-2</v>
      </c>
      <c r="R164" s="76">
        <v>2.7776230320992003E-2</v>
      </c>
      <c r="S164" s="31">
        <v>50.285714285714285</v>
      </c>
      <c r="T164" s="31"/>
      <c r="U164" s="76">
        <v>-0.60063034669067994</v>
      </c>
      <c r="V164" s="76">
        <v>0.16666666666666674</v>
      </c>
      <c r="W164" s="76">
        <v>-0.24233095240992431</v>
      </c>
      <c r="X164" s="76">
        <v>8.0397236614851852</v>
      </c>
      <c r="Y164" s="76">
        <v>-1.7453271451883579E-2</v>
      </c>
      <c r="Z164" s="76">
        <v>-3.3695652173912904E-2</v>
      </c>
      <c r="AA164" s="76">
        <v>1.3333333333333335</v>
      </c>
      <c r="AB164" s="76">
        <v>1.8247516218300599</v>
      </c>
      <c r="AC164" s="76">
        <v>0.21060783792716831</v>
      </c>
      <c r="AD164" s="142"/>
      <c r="AE164" s="142"/>
      <c r="AF164" s="142"/>
    </row>
    <row r="165" spans="1:32" x14ac:dyDescent="0.35">
      <c r="A165" t="s">
        <v>85</v>
      </c>
      <c r="B165" t="s">
        <v>374</v>
      </c>
      <c r="C165" s="31">
        <v>1</v>
      </c>
      <c r="D165" s="31">
        <v>34</v>
      </c>
      <c r="E165" s="72">
        <v>1</v>
      </c>
      <c r="F165" s="31">
        <v>38</v>
      </c>
      <c r="G165" s="73">
        <v>366.86</v>
      </c>
      <c r="H165" s="31">
        <v>19289.749999999989</v>
      </c>
      <c r="I165" s="72">
        <v>43.6</v>
      </c>
      <c r="J165" s="72">
        <v>8787.689999999986</v>
      </c>
      <c r="K165" s="31">
        <v>20.285714285714285</v>
      </c>
      <c r="L165" s="31">
        <v>369</v>
      </c>
      <c r="M165" s="74">
        <v>20.285714285714285</v>
      </c>
      <c r="N165" s="74">
        <v>9.9849624060150379</v>
      </c>
      <c r="O165" s="75">
        <v>366.86</v>
      </c>
      <c r="P165" s="75">
        <v>507.62499999999972</v>
      </c>
      <c r="Q165" s="76">
        <v>0.1188464264297007</v>
      </c>
      <c r="R165" s="76">
        <v>0.45556266929327704</v>
      </c>
      <c r="S165" s="31">
        <v>1</v>
      </c>
      <c r="T165" s="31"/>
      <c r="U165" s="76">
        <v>-0.94502516453735963</v>
      </c>
      <c r="V165" s="76">
        <v>-0.97368421052631582</v>
      </c>
      <c r="W165" s="76">
        <v>-0.98098160940395807</v>
      </c>
      <c r="X165" s="76">
        <v>-0.99503851410325128</v>
      </c>
      <c r="Y165" s="76">
        <v>-4.2414614646227422E-2</v>
      </c>
      <c r="Z165" s="76">
        <v>-4.6979865771812124E-2</v>
      </c>
      <c r="AA165" s="76">
        <v>0</v>
      </c>
      <c r="AB165" s="76">
        <v>-0.55976623906495626</v>
      </c>
      <c r="AC165" s="76">
        <v>-0.55976623906495626</v>
      </c>
      <c r="AD165" s="142"/>
      <c r="AE165" s="142"/>
      <c r="AF165" s="142"/>
    </row>
    <row r="166" spans="1:32" x14ac:dyDescent="0.35">
      <c r="A166" t="s">
        <v>85</v>
      </c>
      <c r="B166" t="s">
        <v>388</v>
      </c>
      <c r="C166" s="31">
        <v>1</v>
      </c>
      <c r="D166" s="31">
        <v>11</v>
      </c>
      <c r="E166" s="72">
        <v>1</v>
      </c>
      <c r="F166" s="31">
        <v>12</v>
      </c>
      <c r="G166" s="73">
        <v>333.33</v>
      </c>
      <c r="H166" s="31">
        <v>3466.65</v>
      </c>
      <c r="I166" s="72">
        <v>63.29</v>
      </c>
      <c r="J166" s="72">
        <v>1170.6800000000003</v>
      </c>
      <c r="K166" s="31">
        <v>37</v>
      </c>
      <c r="L166" s="31">
        <v>217</v>
      </c>
      <c r="M166" s="74">
        <v>37</v>
      </c>
      <c r="N166" s="74">
        <v>18.166666666666668</v>
      </c>
      <c r="O166" s="75">
        <v>333.33</v>
      </c>
      <c r="P166" s="75">
        <v>288.88749999999999</v>
      </c>
      <c r="Q166" s="76">
        <v>0.18987189871898719</v>
      </c>
      <c r="R166" s="76">
        <v>0.33769777739316059</v>
      </c>
      <c r="S166" s="31"/>
      <c r="T166" s="31"/>
      <c r="U166" s="76">
        <v>-0.83870967741935487</v>
      </c>
      <c r="V166" s="76">
        <v>-0.91666666666666663</v>
      </c>
      <c r="W166" s="76">
        <v>-0.90384665310890921</v>
      </c>
      <c r="X166" s="76">
        <v>-0.94593740390200576</v>
      </c>
      <c r="Y166" s="76">
        <v>-6.6557899003775511E-2</v>
      </c>
      <c r="Z166" s="76">
        <v>-9.1228070175438658E-2</v>
      </c>
      <c r="AA166" s="76">
        <v>-0.75</v>
      </c>
      <c r="AB166" s="76">
        <v>-0.52940761237858591</v>
      </c>
      <c r="AC166" s="76">
        <v>0.88236955048565635</v>
      </c>
      <c r="AD166" s="142"/>
      <c r="AE166" s="142"/>
      <c r="AF166" s="142"/>
    </row>
    <row r="167" spans="1:32" x14ac:dyDescent="0.35">
      <c r="A167" t="s">
        <v>85</v>
      </c>
      <c r="B167" t="s">
        <v>378</v>
      </c>
      <c r="C167" s="31">
        <v>6</v>
      </c>
      <c r="D167" s="31">
        <v>97</v>
      </c>
      <c r="E167" s="72">
        <v>10</v>
      </c>
      <c r="F167" s="31">
        <v>147</v>
      </c>
      <c r="G167" s="73">
        <v>287.79999999999995</v>
      </c>
      <c r="H167" s="31">
        <v>12225.739999999991</v>
      </c>
      <c r="I167" s="72">
        <v>16.090000000000003</v>
      </c>
      <c r="J167" s="72">
        <v>5636.4199999999955</v>
      </c>
      <c r="K167" s="31">
        <v>694.57142857142856</v>
      </c>
      <c r="L167" s="31">
        <v>2629.2857142857142</v>
      </c>
      <c r="M167" s="74">
        <v>69.457142857142856</v>
      </c>
      <c r="N167" s="74">
        <v>18.543624161073826</v>
      </c>
      <c r="O167" s="75">
        <v>28.779999999999994</v>
      </c>
      <c r="P167" s="75">
        <v>83.168299319727822</v>
      </c>
      <c r="Q167" s="76">
        <v>5.5906879777623368E-2</v>
      </c>
      <c r="R167" s="76">
        <v>0.45852884709251246</v>
      </c>
      <c r="S167" s="31">
        <v>275.57142857142856</v>
      </c>
      <c r="T167" s="31"/>
      <c r="U167" s="76">
        <v>-0.73632165172507469</v>
      </c>
      <c r="V167" s="76">
        <v>-0.93197278911564629</v>
      </c>
      <c r="W167" s="76">
        <v>-0.97645950265587189</v>
      </c>
      <c r="X167" s="76">
        <v>-0.99712727818088331</v>
      </c>
      <c r="Y167" s="76">
        <v>5.8867175187378384E-2</v>
      </c>
      <c r="Z167" s="76">
        <v>-2.467402206619862E-2</v>
      </c>
      <c r="AA167" s="76">
        <v>0.25</v>
      </c>
      <c r="AB167" s="76">
        <v>-0.36135274276584417</v>
      </c>
      <c r="AC167" s="76">
        <v>-0.4890821942126754</v>
      </c>
      <c r="AD167" s="142"/>
      <c r="AE167" s="142"/>
      <c r="AF167" s="142"/>
    </row>
    <row r="168" spans="1:32" x14ac:dyDescent="0.35">
      <c r="A168" t="s">
        <v>85</v>
      </c>
      <c r="B168" t="s">
        <v>393</v>
      </c>
      <c r="C168" s="31">
        <v>3</v>
      </c>
      <c r="D168" s="31">
        <v>4</v>
      </c>
      <c r="E168" s="72">
        <v>3</v>
      </c>
      <c r="F168" s="31">
        <v>4</v>
      </c>
      <c r="G168" s="73">
        <v>227.06</v>
      </c>
      <c r="H168" s="31">
        <v>546.55999999999995</v>
      </c>
      <c r="I168" s="72">
        <v>-99.830000000000013</v>
      </c>
      <c r="J168" s="72">
        <v>150.55999999999995</v>
      </c>
      <c r="K168" s="31">
        <v>9.4285714285714288</v>
      </c>
      <c r="L168" s="31">
        <v>142.14285714285714</v>
      </c>
      <c r="M168" s="74">
        <v>3.1428571428571428</v>
      </c>
      <c r="N168" s="74">
        <v>36.285714285714285</v>
      </c>
      <c r="O168" s="75">
        <v>75.686666666666667</v>
      </c>
      <c r="P168" s="75">
        <v>136.63999999999999</v>
      </c>
      <c r="Q168" s="76">
        <v>-0.43966352505945572</v>
      </c>
      <c r="R168" s="76">
        <v>0.2754683840749414</v>
      </c>
      <c r="S168" s="31">
        <v>67.285714285714292</v>
      </c>
      <c r="T168" s="31"/>
      <c r="U168" s="76">
        <v>-0.94070351758793969</v>
      </c>
      <c r="V168" s="76">
        <v>-0.25</v>
      </c>
      <c r="W168" s="76">
        <v>-0.58456528103044492</v>
      </c>
      <c r="X168" s="76">
        <v>-1.6630579171094582</v>
      </c>
      <c r="Y168" s="76">
        <v>-0.18164105243369799</v>
      </c>
      <c r="Z168" s="76">
        <v>-8.333333333333337E-2</v>
      </c>
      <c r="AA168" s="76">
        <v>0</v>
      </c>
      <c r="AB168" s="76">
        <v>0.81677068330932956</v>
      </c>
      <c r="AC168" s="76">
        <v>0.81677068330932956</v>
      </c>
      <c r="AD168" s="142"/>
      <c r="AE168" s="142"/>
      <c r="AF168" s="142"/>
    </row>
    <row r="169" spans="1:32" x14ac:dyDescent="0.35">
      <c r="A169" t="s">
        <v>85</v>
      </c>
      <c r="B169" t="s">
        <v>395</v>
      </c>
      <c r="C169" s="31">
        <v>3</v>
      </c>
      <c r="D169" s="31">
        <v>3</v>
      </c>
      <c r="E169" s="72">
        <v>3</v>
      </c>
      <c r="F169" s="31">
        <v>3</v>
      </c>
      <c r="G169" s="73">
        <v>189.06</v>
      </c>
      <c r="H169" s="31">
        <v>190.91000000000003</v>
      </c>
      <c r="I169" s="72">
        <v>27.590000000000003</v>
      </c>
      <c r="J169" s="72">
        <v>15.650000000000034</v>
      </c>
      <c r="K169" s="31">
        <v>19.857142857142858</v>
      </c>
      <c r="L169" s="31">
        <v>117.14285714285714</v>
      </c>
      <c r="M169" s="74">
        <v>6.6190476190476195</v>
      </c>
      <c r="N169" s="74">
        <v>39.047619047619044</v>
      </c>
      <c r="O169" s="75">
        <v>63.02</v>
      </c>
      <c r="P169" s="75">
        <v>63.636666666666677</v>
      </c>
      <c r="Q169" s="76">
        <v>0.14593250819845555</v>
      </c>
      <c r="R169" s="76">
        <v>8.197580011523771E-2</v>
      </c>
      <c r="S169" s="31">
        <v>6</v>
      </c>
      <c r="T169" s="31"/>
      <c r="U169" s="76">
        <v>-0.83048780487804874</v>
      </c>
      <c r="V169" s="76">
        <v>0</v>
      </c>
      <c r="W169" s="76">
        <v>-9.6904300455713521E-3</v>
      </c>
      <c r="X169" s="76">
        <v>0.76293929712459696</v>
      </c>
      <c r="Y169" s="76">
        <v>-7.446219783850927E-2</v>
      </c>
      <c r="Z169" s="76">
        <v>-9.1503267973856217E-2</v>
      </c>
      <c r="AA169" s="76">
        <v>0</v>
      </c>
      <c r="AB169" s="76">
        <v>-0.13338833883388335</v>
      </c>
      <c r="AC169" s="76">
        <v>-0.13338833883388335</v>
      </c>
      <c r="AD169" s="142"/>
      <c r="AE169" s="142"/>
      <c r="AF169" s="142"/>
    </row>
    <row r="170" spans="1:32" x14ac:dyDescent="0.35">
      <c r="A170" t="s">
        <v>85</v>
      </c>
      <c r="B170" t="s">
        <v>413</v>
      </c>
      <c r="C170" s="31">
        <v>2</v>
      </c>
      <c r="D170" s="31"/>
      <c r="E170" s="72">
        <v>2</v>
      </c>
      <c r="F170" s="31"/>
      <c r="G170" s="73">
        <v>118.17</v>
      </c>
      <c r="H170" s="31"/>
      <c r="I170" s="72">
        <v>100.37</v>
      </c>
      <c r="J170" s="72"/>
      <c r="K170" s="31">
        <v>36.571428571428569</v>
      </c>
      <c r="L170" s="31">
        <v>76</v>
      </c>
      <c r="M170" s="74">
        <v>18.285714285714285</v>
      </c>
      <c r="N170" s="74"/>
      <c r="O170" s="75">
        <v>59.085000000000001</v>
      </c>
      <c r="P170" s="75"/>
      <c r="Q170" s="76">
        <v>0.84936955233984934</v>
      </c>
      <c r="R170" s="76"/>
      <c r="S170" s="31"/>
      <c r="T170" s="31"/>
      <c r="U170" s="76">
        <v>-0.51879699248120303</v>
      </c>
      <c r="V170" s="76"/>
      <c r="W170" s="76"/>
      <c r="X170" s="76"/>
      <c r="Y170" s="76">
        <v>-3.3962264150943278E-2</v>
      </c>
      <c r="Z170" s="76">
        <v>-3.3962264150943389E-2</v>
      </c>
      <c r="AA170" s="76"/>
      <c r="AB170" s="76"/>
      <c r="AC170" s="76"/>
      <c r="AD170" s="142"/>
      <c r="AE170" s="142"/>
      <c r="AF170" s="142"/>
    </row>
    <row r="171" spans="1:32" x14ac:dyDescent="0.35">
      <c r="A171" t="s">
        <v>85</v>
      </c>
      <c r="B171" t="s">
        <v>397</v>
      </c>
      <c r="C171" s="31">
        <v>3</v>
      </c>
      <c r="D171" s="31">
        <v>2</v>
      </c>
      <c r="E171" s="72">
        <v>3</v>
      </c>
      <c r="F171" s="31">
        <v>3</v>
      </c>
      <c r="G171" s="73">
        <v>94.960000000000008</v>
      </c>
      <c r="H171" s="31">
        <v>86.66</v>
      </c>
      <c r="I171" s="72">
        <v>39.43</v>
      </c>
      <c r="J171" s="72">
        <v>39.289999999999992</v>
      </c>
      <c r="K171" s="31">
        <v>503.57142857142856</v>
      </c>
      <c r="L171" s="31">
        <v>804</v>
      </c>
      <c r="M171" s="74">
        <v>167.85714285714286</v>
      </c>
      <c r="N171" s="74">
        <v>204.96428571428572</v>
      </c>
      <c r="O171" s="75">
        <v>31.653333333333336</v>
      </c>
      <c r="P171" s="75">
        <v>28.886666666666667</v>
      </c>
      <c r="Q171" s="76">
        <v>0.4152274641954507</v>
      </c>
      <c r="R171" s="76">
        <v>0.3466866672549192</v>
      </c>
      <c r="S171" s="31"/>
      <c r="T171" s="31"/>
      <c r="U171" s="76">
        <v>-0.37455579246624027</v>
      </c>
      <c r="V171" s="76">
        <v>0</v>
      </c>
      <c r="W171" s="76">
        <v>9.5776598199861729E-2</v>
      </c>
      <c r="X171" s="76">
        <v>0.26662383552842961</v>
      </c>
      <c r="Y171" s="76">
        <v>-2.0570879296778255E-2</v>
      </c>
      <c r="Z171" s="76">
        <v>-2.0561267018616269E-2</v>
      </c>
      <c r="AA171" s="76"/>
      <c r="AB171" s="76"/>
      <c r="AC171" s="76"/>
      <c r="AD171" s="142"/>
      <c r="AE171" s="142"/>
      <c r="AF171" s="142"/>
    </row>
    <row r="172" spans="1:32" x14ac:dyDescent="0.35">
      <c r="A172" t="s">
        <v>85</v>
      </c>
      <c r="B172" t="s">
        <v>394</v>
      </c>
      <c r="C172" s="31">
        <v>1</v>
      </c>
      <c r="D172" s="31">
        <v>4</v>
      </c>
      <c r="E172" s="72">
        <v>2</v>
      </c>
      <c r="F172" s="31">
        <v>9</v>
      </c>
      <c r="G172" s="73">
        <v>83.32</v>
      </c>
      <c r="H172" s="31">
        <v>443.31</v>
      </c>
      <c r="I172" s="72">
        <v>22.86</v>
      </c>
      <c r="J172" s="72">
        <v>187.68</v>
      </c>
      <c r="K172" s="31">
        <v>138.42857142857142</v>
      </c>
      <c r="L172" s="31">
        <v>305.85714285714283</v>
      </c>
      <c r="M172" s="74">
        <v>69.214285714285708</v>
      </c>
      <c r="N172" s="74">
        <v>30.857142857142854</v>
      </c>
      <c r="O172" s="75">
        <v>41.66</v>
      </c>
      <c r="P172" s="75">
        <v>49.256666666666668</v>
      </c>
      <c r="Q172" s="76">
        <v>0.27436389822371582</v>
      </c>
      <c r="R172" s="76">
        <v>0.38303604228744031</v>
      </c>
      <c r="S172" s="31">
        <v>1</v>
      </c>
      <c r="T172" s="31"/>
      <c r="U172" s="76">
        <v>-0.54927603923400281</v>
      </c>
      <c r="V172" s="76">
        <v>-0.77777777777777779</v>
      </c>
      <c r="W172" s="76">
        <v>-0.81205025828427058</v>
      </c>
      <c r="X172" s="76">
        <v>-0.86650315346881579</v>
      </c>
      <c r="Y172" s="76">
        <v>1.6803628931385317E-2</v>
      </c>
      <c r="Z172" s="76">
        <v>1.6789087093389332E-2</v>
      </c>
      <c r="AA172" s="76"/>
      <c r="AB172" s="76"/>
      <c r="AC172" s="76"/>
      <c r="AD172" s="142"/>
      <c r="AE172" s="142"/>
      <c r="AF172" s="142"/>
    </row>
    <row r="173" spans="1:32" x14ac:dyDescent="0.35">
      <c r="A173" t="s">
        <v>85</v>
      </c>
      <c r="B173" t="s">
        <v>399</v>
      </c>
      <c r="C173" s="31">
        <v>1</v>
      </c>
      <c r="D173" s="31">
        <v>1</v>
      </c>
      <c r="E173" s="72">
        <v>1</v>
      </c>
      <c r="F173" s="31">
        <v>1</v>
      </c>
      <c r="G173" s="73">
        <v>41.66</v>
      </c>
      <c r="H173" s="31">
        <v>75</v>
      </c>
      <c r="I173" s="72">
        <v>30.99</v>
      </c>
      <c r="J173" s="72">
        <v>66.53</v>
      </c>
      <c r="K173" s="31">
        <v>86.714285714285708</v>
      </c>
      <c r="L173" s="31">
        <v>233.28571428571428</v>
      </c>
      <c r="M173" s="74">
        <v>86.714285714285708</v>
      </c>
      <c r="N173" s="74">
        <v>233.28571428571428</v>
      </c>
      <c r="O173" s="75">
        <v>41.66</v>
      </c>
      <c r="P173" s="75">
        <v>75</v>
      </c>
      <c r="Q173" s="76">
        <v>0.74387902064330291</v>
      </c>
      <c r="R173" s="76">
        <v>0.88706666666666667</v>
      </c>
      <c r="S173" s="31">
        <v>146</v>
      </c>
      <c r="T173" s="31"/>
      <c r="U173" s="76">
        <v>-0.62829148805878754</v>
      </c>
      <c r="V173" s="76">
        <v>0</v>
      </c>
      <c r="W173" s="76">
        <v>-0.44453333333333334</v>
      </c>
      <c r="X173" s="76">
        <v>-0.53419509995490766</v>
      </c>
      <c r="Y173" s="76">
        <v>-1.2456140496502011E-2</v>
      </c>
      <c r="Z173" s="76">
        <v>-5.1562500000000067E-2</v>
      </c>
      <c r="AA173" s="76">
        <v>0</v>
      </c>
      <c r="AB173" s="76">
        <v>0</v>
      </c>
      <c r="AC173" s="76">
        <v>0</v>
      </c>
      <c r="AD173" s="142"/>
      <c r="AE173" s="142"/>
      <c r="AF173" s="142"/>
    </row>
    <row r="174" spans="1:32" x14ac:dyDescent="0.35">
      <c r="A174" t="s">
        <v>85</v>
      </c>
      <c r="B174" t="s">
        <v>398</v>
      </c>
      <c r="C174" s="31">
        <v>1</v>
      </c>
      <c r="D174" s="31"/>
      <c r="E174" s="72">
        <v>1</v>
      </c>
      <c r="F174" s="31"/>
      <c r="G174" s="73">
        <v>41.66</v>
      </c>
      <c r="H174" s="31"/>
      <c r="I174" s="72">
        <v>23.25</v>
      </c>
      <c r="J174" s="72"/>
      <c r="K174" s="31">
        <v>59.571428571428569</v>
      </c>
      <c r="L174" s="31">
        <v>156.85714285714286</v>
      </c>
      <c r="M174" s="74">
        <v>59.571428571428569</v>
      </c>
      <c r="N174" s="74"/>
      <c r="O174" s="75">
        <v>41.66</v>
      </c>
      <c r="P174" s="75"/>
      <c r="Q174" s="76">
        <v>0.55808929428708598</v>
      </c>
      <c r="R174" s="76"/>
      <c r="S174" s="31">
        <v>16</v>
      </c>
      <c r="T174" s="31"/>
      <c r="U174" s="76">
        <v>-0.62112932604735882</v>
      </c>
      <c r="V174" s="76"/>
      <c r="W174" s="76"/>
      <c r="X174" s="76"/>
      <c r="Y174" s="76">
        <v>-4.7342963619319445E-2</v>
      </c>
      <c r="Z174" s="76">
        <v>-5.2272727272727249E-2</v>
      </c>
      <c r="AA174" s="76">
        <v>-0.5</v>
      </c>
      <c r="AB174" s="76">
        <v>-0.5</v>
      </c>
      <c r="AC174" s="76">
        <v>0</v>
      </c>
      <c r="AD174" s="142"/>
      <c r="AE174" s="142"/>
      <c r="AF174" s="142"/>
    </row>
    <row r="175" spans="1:32" x14ac:dyDescent="0.35">
      <c r="A175" t="s">
        <v>85</v>
      </c>
      <c r="B175" t="s">
        <v>380</v>
      </c>
      <c r="C175" s="31">
        <v>3</v>
      </c>
      <c r="D175" s="31"/>
      <c r="E175" s="72">
        <v>4</v>
      </c>
      <c r="F175" s="31"/>
      <c r="G175" s="73">
        <v>33.299999999999997</v>
      </c>
      <c r="H175" s="31"/>
      <c r="I175" s="72">
        <v>-341.67</v>
      </c>
      <c r="J175" s="72"/>
      <c r="K175" s="31">
        <v>999.14285714285711</v>
      </c>
      <c r="L175" s="31">
        <v>962.85714285714289</v>
      </c>
      <c r="M175" s="74">
        <v>249.78571428571428</v>
      </c>
      <c r="N175" s="74"/>
      <c r="O175" s="75">
        <v>8.3249999999999993</v>
      </c>
      <c r="P175" s="75"/>
      <c r="Q175" s="76">
        <v>-10.260360360360362</v>
      </c>
      <c r="R175" s="76"/>
      <c r="S175" s="31">
        <v>53</v>
      </c>
      <c r="T175" s="31"/>
      <c r="U175" s="76">
        <v>2.8189910979228516E-2</v>
      </c>
      <c r="V175" s="76"/>
      <c r="W175" s="76"/>
      <c r="X175" s="76"/>
      <c r="Y175" s="76">
        <v>-2.9075921052188147E-2</v>
      </c>
      <c r="Z175" s="76">
        <v>-3.8096547930133506E-2</v>
      </c>
      <c r="AA175" s="76">
        <v>-0.5</v>
      </c>
      <c r="AB175" s="76">
        <v>-0.91496424923391217</v>
      </c>
      <c r="AC175" s="76">
        <v>-0.82992849846782435</v>
      </c>
      <c r="AD175" s="142"/>
      <c r="AE175" s="142"/>
      <c r="AF175" s="142"/>
    </row>
    <row r="176" spans="1:32" x14ac:dyDescent="0.35">
      <c r="A176" t="s">
        <v>85</v>
      </c>
      <c r="B176" t="s">
        <v>411</v>
      </c>
      <c r="C176" s="31">
        <v>2</v>
      </c>
      <c r="D176" s="31">
        <v>1</v>
      </c>
      <c r="E176" s="72">
        <v>73</v>
      </c>
      <c r="F176" s="31">
        <v>2</v>
      </c>
      <c r="G176" s="73">
        <v>0.66</v>
      </c>
      <c r="H176" s="31">
        <v>18.16</v>
      </c>
      <c r="I176" s="72">
        <v>-419.09000000000003</v>
      </c>
      <c r="J176" s="72">
        <v>6.66</v>
      </c>
      <c r="K176" s="31">
        <v>283.42857142857144</v>
      </c>
      <c r="L176" s="31">
        <v>917.71428571428567</v>
      </c>
      <c r="M176" s="74">
        <v>3.8825831702544034</v>
      </c>
      <c r="N176" s="74">
        <v>471.85714285714283</v>
      </c>
      <c r="O176" s="75">
        <v>9.0410958904109592E-3</v>
      </c>
      <c r="P176" s="75">
        <v>9.08</v>
      </c>
      <c r="Q176" s="76">
        <v>-634.9848484848485</v>
      </c>
      <c r="R176" s="76">
        <v>0.36674008810572689</v>
      </c>
      <c r="S176" s="31">
        <v>75.285714285714292</v>
      </c>
      <c r="T176" s="31"/>
      <c r="U176" s="76">
        <v>-0.69178082191780821</v>
      </c>
      <c r="V176" s="76">
        <v>35.5</v>
      </c>
      <c r="W176" s="76">
        <v>-0.96365638766519823</v>
      </c>
      <c r="X176" s="76">
        <v>-63.926426426426424</v>
      </c>
      <c r="Y176" s="76">
        <v>-9.6549820747442117E-2</v>
      </c>
      <c r="Z176" s="76">
        <v>-9.4890510948905105E-2</v>
      </c>
      <c r="AA176" s="76"/>
      <c r="AB176" s="76"/>
      <c r="AC176" s="76"/>
      <c r="AD176" s="142"/>
      <c r="AE176" s="142"/>
      <c r="AF176" s="142"/>
    </row>
    <row r="177" spans="1:32" x14ac:dyDescent="0.35">
      <c r="A177" t="s">
        <v>85</v>
      </c>
      <c r="B177" t="s">
        <v>402</v>
      </c>
      <c r="C177" s="31">
        <v>3</v>
      </c>
      <c r="D177" s="31">
        <v>27</v>
      </c>
      <c r="E177" s="72">
        <v>12</v>
      </c>
      <c r="F177" s="31">
        <v>44</v>
      </c>
      <c r="G177" s="73">
        <v>0.11</v>
      </c>
      <c r="H177" s="31">
        <v>295.29999999999995</v>
      </c>
      <c r="I177" s="72">
        <v>-55.790000000000006</v>
      </c>
      <c r="J177" s="72">
        <v>92.800000000000097</v>
      </c>
      <c r="K177" s="31">
        <v>242.85714285714286</v>
      </c>
      <c r="L177" s="31">
        <v>10263.714285714286</v>
      </c>
      <c r="M177" s="74">
        <v>20.238095238095237</v>
      </c>
      <c r="N177" s="74">
        <v>254.58766233766235</v>
      </c>
      <c r="O177" s="75">
        <v>9.1666666666666667E-3</v>
      </c>
      <c r="P177" s="75">
        <v>6.7113636363636351</v>
      </c>
      <c r="Q177" s="76">
        <v>-507.18181818181824</v>
      </c>
      <c r="R177" s="76">
        <v>0.31425668811378299</v>
      </c>
      <c r="S177" s="31">
        <v>1354</v>
      </c>
      <c r="T177" s="31"/>
      <c r="U177" s="76">
        <v>-0.9765331403279236</v>
      </c>
      <c r="V177" s="76">
        <v>-0.72727272727272729</v>
      </c>
      <c r="W177" s="76">
        <v>-0.99962749746020996</v>
      </c>
      <c r="X177" s="76">
        <v>-1.6011853448275857</v>
      </c>
      <c r="Y177" s="76">
        <v>0.69525280272185364</v>
      </c>
      <c r="Z177" s="76">
        <v>0.35242641209228309</v>
      </c>
      <c r="AA177" s="76">
        <v>5</v>
      </c>
      <c r="AB177" s="76">
        <v>4.5</v>
      </c>
      <c r="AC177" s="76">
        <v>-8.333333333333337E-2</v>
      </c>
      <c r="AD177" s="142"/>
      <c r="AE177" s="142"/>
      <c r="AF177" s="142"/>
    </row>
    <row r="178" spans="1:32" x14ac:dyDescent="0.35">
      <c r="A178" t="s">
        <v>85</v>
      </c>
      <c r="B178" t="s">
        <v>410</v>
      </c>
      <c r="C178" s="31">
        <v>1</v>
      </c>
      <c r="D178" s="31">
        <v>22</v>
      </c>
      <c r="E178" s="72">
        <v>12</v>
      </c>
      <c r="F178" s="31">
        <v>69</v>
      </c>
      <c r="G178" s="73">
        <v>0.1</v>
      </c>
      <c r="H178" s="31">
        <v>24.040000000000006</v>
      </c>
      <c r="I178" s="72">
        <v>-26.9</v>
      </c>
      <c r="J178" s="72">
        <v>-131.20999999999998</v>
      </c>
      <c r="K178" s="31">
        <v>175.28571428571428</v>
      </c>
      <c r="L178" s="31">
        <v>1158.5714285714287</v>
      </c>
      <c r="M178" s="74">
        <v>14.607142857142856</v>
      </c>
      <c r="N178" s="74">
        <v>16.863354037267083</v>
      </c>
      <c r="O178" s="75">
        <v>8.3333333333333332E-3</v>
      </c>
      <c r="P178" s="75">
        <v>0.34840579710144937</v>
      </c>
      <c r="Q178" s="76">
        <v>-268.99999999999994</v>
      </c>
      <c r="R178" s="76">
        <v>-5.4579866888519115</v>
      </c>
      <c r="S178" s="31">
        <v>93</v>
      </c>
      <c r="T178" s="31"/>
      <c r="U178" s="76">
        <v>-0.84870530209617756</v>
      </c>
      <c r="V178" s="76">
        <v>-0.82608695652173914</v>
      </c>
      <c r="W178" s="76">
        <v>-0.99584026622296173</v>
      </c>
      <c r="X178" s="76">
        <v>-0.79498513832787132</v>
      </c>
      <c r="Y178" s="76">
        <v>-3.7647058823529367E-2</v>
      </c>
      <c r="Z178" s="76">
        <v>-3.7647058823529478E-2</v>
      </c>
      <c r="AA178" s="76"/>
      <c r="AB178" s="76"/>
      <c r="AC178" s="76"/>
      <c r="AD178" s="142"/>
      <c r="AE178" s="142"/>
      <c r="AF178" s="142"/>
    </row>
    <row r="179" spans="1:32" x14ac:dyDescent="0.35">
      <c r="A179" t="s">
        <v>85</v>
      </c>
      <c r="B179" t="s">
        <v>450</v>
      </c>
      <c r="C179" s="31"/>
      <c r="D179" s="31">
        <v>1</v>
      </c>
      <c r="E179" s="72"/>
      <c r="F179" s="31">
        <v>1</v>
      </c>
      <c r="G179" s="73"/>
      <c r="H179" s="31">
        <v>218.17</v>
      </c>
      <c r="I179" s="72"/>
      <c r="J179" s="72">
        <v>-156.83000000000001</v>
      </c>
      <c r="K179" s="31">
        <v>-0.2857142857142857</v>
      </c>
      <c r="L179" s="31">
        <v>5.8571428571428568</v>
      </c>
      <c r="M179" s="74"/>
      <c r="N179" s="74">
        <v>5.8571428571428568</v>
      </c>
      <c r="O179" s="75"/>
      <c r="P179" s="75">
        <v>218.17</v>
      </c>
      <c r="Q179" s="76"/>
      <c r="R179" s="76">
        <v>-0.71884310400146689</v>
      </c>
      <c r="S179" s="31"/>
      <c r="T179" s="31"/>
      <c r="U179" s="76"/>
      <c r="V179" s="76"/>
      <c r="W179" s="76"/>
      <c r="X179" s="76"/>
      <c r="Y179" s="76">
        <v>-0.7142857142857143</v>
      </c>
      <c r="Z179" s="76">
        <v>-0.7142857142857143</v>
      </c>
      <c r="AA179" s="76"/>
      <c r="AB179" s="76"/>
      <c r="AC179" s="76"/>
      <c r="AD179" s="142"/>
      <c r="AE179" s="142"/>
      <c r="AF179" s="142"/>
    </row>
    <row r="180" spans="1:32" x14ac:dyDescent="0.35">
      <c r="A180" t="s">
        <v>85</v>
      </c>
      <c r="B180" t="s">
        <v>387</v>
      </c>
      <c r="C180" s="31"/>
      <c r="D180" s="31">
        <v>6</v>
      </c>
      <c r="E180" s="72"/>
      <c r="F180" s="31">
        <v>6</v>
      </c>
      <c r="G180" s="73"/>
      <c r="H180" s="31">
        <v>1209.1499999999999</v>
      </c>
      <c r="I180" s="72"/>
      <c r="J180" s="72">
        <v>545</v>
      </c>
      <c r="K180" s="31">
        <v>5</v>
      </c>
      <c r="L180" s="31">
        <v>106.42857142857143</v>
      </c>
      <c r="M180" s="74"/>
      <c r="N180" s="74">
        <v>17.738095238095237</v>
      </c>
      <c r="O180" s="75"/>
      <c r="P180" s="75">
        <v>201.52499999999998</v>
      </c>
      <c r="Q180" s="76"/>
      <c r="R180" s="76">
        <v>0.45072985154860856</v>
      </c>
      <c r="S180" s="31">
        <v>23</v>
      </c>
      <c r="T180" s="31"/>
      <c r="U180" s="76">
        <v>-0.96241610738255035</v>
      </c>
      <c r="V180" s="76"/>
      <c r="W180" s="76"/>
      <c r="X180" s="76"/>
      <c r="Y180" s="76">
        <v>0</v>
      </c>
      <c r="Z180" s="76">
        <v>0</v>
      </c>
      <c r="AA180" s="76"/>
      <c r="AB180" s="76"/>
      <c r="AC180" s="76"/>
      <c r="AD180" s="142"/>
      <c r="AE180" s="142"/>
      <c r="AF180" s="142"/>
    </row>
    <row r="181" spans="1:32" x14ac:dyDescent="0.35">
      <c r="A181" t="s">
        <v>85</v>
      </c>
      <c r="B181" t="s">
        <v>443</v>
      </c>
      <c r="C181" s="31"/>
      <c r="D181" s="31"/>
      <c r="E181" s="72"/>
      <c r="F181" s="31"/>
      <c r="G181" s="73"/>
      <c r="H181" s="31"/>
      <c r="I181" s="72"/>
      <c r="J181" s="72"/>
      <c r="K181" s="31">
        <v>38</v>
      </c>
      <c r="L181" s="31">
        <v>3</v>
      </c>
      <c r="M181" s="74"/>
      <c r="N181" s="74"/>
      <c r="O181" s="75"/>
      <c r="P181" s="75"/>
      <c r="Q181" s="76"/>
      <c r="R181" s="76"/>
      <c r="S181" s="31">
        <v>874</v>
      </c>
      <c r="T181" s="31"/>
      <c r="U181" s="76">
        <v>11.666666666666666</v>
      </c>
      <c r="V181" s="76"/>
      <c r="W181" s="76"/>
      <c r="X181" s="76"/>
      <c r="Y181" s="76">
        <v>9.8853912452523396E-4</v>
      </c>
      <c r="Z181" s="76">
        <v>-7.4626865671642006E-3</v>
      </c>
      <c r="AA181" s="76"/>
      <c r="AB181" s="76"/>
      <c r="AC181" s="76"/>
      <c r="AD181" s="142"/>
      <c r="AE181" s="142"/>
      <c r="AF181" s="142"/>
    </row>
    <row r="182" spans="1:32" x14ac:dyDescent="0.35">
      <c r="A182" t="s">
        <v>85</v>
      </c>
      <c r="B182" t="s">
        <v>404</v>
      </c>
      <c r="C182" s="31"/>
      <c r="D182" s="31"/>
      <c r="E182" s="72"/>
      <c r="F182" s="31"/>
      <c r="G182" s="73"/>
      <c r="H182" s="31"/>
      <c r="I182" s="72"/>
      <c r="J182" s="72"/>
      <c r="K182" s="31">
        <v>3</v>
      </c>
      <c r="L182" s="31">
        <v>7</v>
      </c>
      <c r="M182" s="74"/>
      <c r="N182" s="74"/>
      <c r="O182" s="75"/>
      <c r="P182" s="75"/>
      <c r="Q182" s="76"/>
      <c r="R182" s="76"/>
      <c r="S182" s="31">
        <v>27</v>
      </c>
      <c r="T182" s="31"/>
      <c r="U182" s="76">
        <v>-0.5714285714285714</v>
      </c>
      <c r="V182" s="76"/>
      <c r="W182" s="76"/>
      <c r="X182" s="76"/>
      <c r="Y182" s="76">
        <v>0</v>
      </c>
      <c r="Z182" s="76">
        <v>0</v>
      </c>
      <c r="AA182" s="76"/>
      <c r="AB182" s="76"/>
      <c r="AC182" s="76"/>
      <c r="AD182" s="142"/>
      <c r="AE182" s="142"/>
      <c r="AF182" s="142"/>
    </row>
    <row r="183" spans="1:32" x14ac:dyDescent="0.35">
      <c r="A183" t="s">
        <v>85</v>
      </c>
      <c r="B183" t="s">
        <v>408</v>
      </c>
      <c r="C183" s="31"/>
      <c r="D183" s="31"/>
      <c r="E183" s="72"/>
      <c r="F183" s="31"/>
      <c r="G183" s="73"/>
      <c r="H183" s="31"/>
      <c r="I183" s="72"/>
      <c r="J183" s="72"/>
      <c r="K183" s="31">
        <v>78</v>
      </c>
      <c r="L183" s="31">
        <v>146.28571428571428</v>
      </c>
      <c r="M183" s="74"/>
      <c r="N183" s="74"/>
      <c r="O183" s="75"/>
      <c r="P183" s="75"/>
      <c r="Q183" s="76"/>
      <c r="R183" s="76"/>
      <c r="S183" s="31"/>
      <c r="T183" s="31"/>
      <c r="U183" s="76">
        <v>-0.46777343749999989</v>
      </c>
      <c r="V183" s="76"/>
      <c r="W183" s="76"/>
      <c r="X183" s="76"/>
      <c r="Y183" s="76">
        <v>5.6349114066704953E-3</v>
      </c>
      <c r="Z183" s="76">
        <v>5.5248618784531356E-3</v>
      </c>
      <c r="AA183" s="76"/>
      <c r="AB183" s="76"/>
      <c r="AC183" s="76"/>
      <c r="AD183" s="142"/>
      <c r="AE183" s="142"/>
      <c r="AF183" s="142"/>
    </row>
    <row r="184" spans="1:32" x14ac:dyDescent="0.35">
      <c r="A184" t="s">
        <v>85</v>
      </c>
      <c r="B184" t="s">
        <v>434</v>
      </c>
      <c r="C184" s="31"/>
      <c r="D184" s="31"/>
      <c r="E184" s="72"/>
      <c r="F184" s="31"/>
      <c r="G184" s="73"/>
      <c r="H184" s="31"/>
      <c r="I184" s="72"/>
      <c r="J184" s="72"/>
      <c r="K184" s="31"/>
      <c r="L184" s="31">
        <v>2</v>
      </c>
      <c r="M184" s="74"/>
      <c r="N184" s="74"/>
      <c r="O184" s="75"/>
      <c r="P184" s="75"/>
      <c r="Q184" s="76"/>
      <c r="R184" s="76"/>
      <c r="S184" s="31"/>
      <c r="T184" s="31"/>
      <c r="U184" s="76"/>
      <c r="V184" s="76"/>
      <c r="W184" s="76"/>
      <c r="X184" s="76"/>
      <c r="Y184" s="76"/>
      <c r="Z184" s="76"/>
      <c r="AA184" s="76"/>
      <c r="AB184" s="76"/>
      <c r="AC184" s="76"/>
      <c r="AD184" s="142"/>
      <c r="AE184" s="142"/>
      <c r="AF184" s="142"/>
    </row>
    <row r="185" spans="1:32" x14ac:dyDescent="0.35">
      <c r="A185" t="s">
        <v>85</v>
      </c>
      <c r="B185" t="s">
        <v>424</v>
      </c>
      <c r="C185" s="31"/>
      <c r="D185" s="31"/>
      <c r="E185" s="72"/>
      <c r="F185" s="31"/>
      <c r="G185" s="73"/>
      <c r="H185" s="31"/>
      <c r="I185" s="72"/>
      <c r="J185" s="72"/>
      <c r="K185" s="31">
        <v>66</v>
      </c>
      <c r="L185" s="31">
        <v>108</v>
      </c>
      <c r="M185" s="74"/>
      <c r="N185" s="74"/>
      <c r="O185" s="75"/>
      <c r="P185" s="75"/>
      <c r="Q185" s="76"/>
      <c r="R185" s="76"/>
      <c r="S185" s="31"/>
      <c r="T185" s="31"/>
      <c r="U185" s="76">
        <v>-0.38888888888888884</v>
      </c>
      <c r="V185" s="76"/>
      <c r="W185" s="76"/>
      <c r="X185" s="76"/>
      <c r="Y185" s="76">
        <v>0</v>
      </c>
      <c r="Z185" s="76">
        <v>0</v>
      </c>
      <c r="AA185" s="76"/>
      <c r="AB185" s="76"/>
      <c r="AC185" s="76"/>
      <c r="AD185" s="142"/>
      <c r="AE185" s="142"/>
      <c r="AF185" s="142"/>
    </row>
    <row r="186" spans="1:32" x14ac:dyDescent="0.35">
      <c r="A186" t="s">
        <v>85</v>
      </c>
      <c r="B186" t="s">
        <v>392</v>
      </c>
      <c r="C186" s="31"/>
      <c r="D186" s="31"/>
      <c r="E186" s="72"/>
      <c r="F186" s="31"/>
      <c r="G186" s="73"/>
      <c r="H186" s="31"/>
      <c r="I186" s="72"/>
      <c r="J186" s="72"/>
      <c r="K186" s="31">
        <v>35.142857142857146</v>
      </c>
      <c r="L186" s="31">
        <v>51.857142857142854</v>
      </c>
      <c r="M186" s="74"/>
      <c r="N186" s="74"/>
      <c r="O186" s="75"/>
      <c r="P186" s="75"/>
      <c r="Q186" s="76"/>
      <c r="R186" s="76"/>
      <c r="S186" s="31"/>
      <c r="T186" s="31"/>
      <c r="U186" s="76">
        <v>-0.34435261707988973</v>
      </c>
      <c r="V186" s="76"/>
      <c r="W186" s="76"/>
      <c r="X186" s="76"/>
      <c r="Y186" s="76">
        <v>-4.6510090931521697E-2</v>
      </c>
      <c r="Z186" s="76">
        <v>-4.6511627906976605E-2</v>
      </c>
      <c r="AA186" s="76"/>
      <c r="AB186" s="76"/>
      <c r="AC186" s="76"/>
      <c r="AD186" s="142"/>
      <c r="AE186" s="142"/>
      <c r="AF186" s="142"/>
    </row>
    <row r="187" spans="1:32" x14ac:dyDescent="0.35">
      <c r="A187" t="s">
        <v>85</v>
      </c>
      <c r="B187" t="s">
        <v>403</v>
      </c>
      <c r="C187" s="31"/>
      <c r="D187" s="31"/>
      <c r="E187" s="72"/>
      <c r="F187" s="31"/>
      <c r="G187" s="73"/>
      <c r="H187" s="31"/>
      <c r="I187" s="72"/>
      <c r="J187" s="72"/>
      <c r="K187" s="31">
        <v>1</v>
      </c>
      <c r="L187" s="31">
        <v>2</v>
      </c>
      <c r="M187" s="74"/>
      <c r="N187" s="74"/>
      <c r="O187" s="75"/>
      <c r="P187" s="75"/>
      <c r="Q187" s="76"/>
      <c r="R187" s="76"/>
      <c r="S187" s="31"/>
      <c r="T187" s="31"/>
      <c r="U187" s="76">
        <v>-0.5</v>
      </c>
      <c r="V187" s="76"/>
      <c r="W187" s="76"/>
      <c r="X187" s="76"/>
      <c r="Y187" s="76">
        <v>0</v>
      </c>
      <c r="Z187" s="76">
        <v>0</v>
      </c>
      <c r="AA187" s="76"/>
      <c r="AB187" s="76"/>
      <c r="AC187" s="76"/>
      <c r="AD187" s="142"/>
      <c r="AE187" s="142"/>
      <c r="AF187" s="142"/>
    </row>
    <row r="188" spans="1:32" x14ac:dyDescent="0.35">
      <c r="A188" t="s">
        <v>85</v>
      </c>
      <c r="B188" t="s">
        <v>401</v>
      </c>
      <c r="C188" s="31"/>
      <c r="D188" s="31"/>
      <c r="E188" s="72"/>
      <c r="F188" s="31"/>
      <c r="G188" s="73"/>
      <c r="H188" s="31"/>
      <c r="I188" s="72"/>
      <c r="J188" s="72"/>
      <c r="K188" s="31">
        <v>1</v>
      </c>
      <c r="L188" s="31">
        <v>3</v>
      </c>
      <c r="M188" s="74"/>
      <c r="N188" s="74"/>
      <c r="O188" s="75"/>
      <c r="P188" s="75"/>
      <c r="Q188" s="76"/>
      <c r="R188" s="76"/>
      <c r="S188" s="31"/>
      <c r="T188" s="31"/>
      <c r="U188" s="76">
        <v>-0.66666666666666674</v>
      </c>
      <c r="V188" s="76"/>
      <c r="W188" s="76"/>
      <c r="X188" s="76"/>
      <c r="Y188" s="76">
        <v>0</v>
      </c>
      <c r="Z188" s="76">
        <v>0</v>
      </c>
      <c r="AA188" s="76"/>
      <c r="AB188" s="76"/>
      <c r="AC188" s="76"/>
      <c r="AD188" s="142"/>
      <c r="AE188" s="142"/>
      <c r="AF188" s="142"/>
    </row>
    <row r="189" spans="1:32" x14ac:dyDescent="0.35">
      <c r="A189" t="s">
        <v>85</v>
      </c>
      <c r="B189" t="s">
        <v>418</v>
      </c>
      <c r="C189" s="31"/>
      <c r="D189" s="31"/>
      <c r="E189" s="72"/>
      <c r="F189" s="31"/>
      <c r="G189" s="73"/>
      <c r="H189" s="31"/>
      <c r="I189" s="72"/>
      <c r="J189" s="72"/>
      <c r="K189" s="31">
        <v>-1</v>
      </c>
      <c r="L189" s="31"/>
      <c r="M189" s="74"/>
      <c r="N189" s="74"/>
      <c r="O189" s="75"/>
      <c r="P189" s="75"/>
      <c r="Q189" s="76"/>
      <c r="R189" s="76"/>
      <c r="S189" s="31"/>
      <c r="T189" s="31"/>
      <c r="U189" s="76"/>
      <c r="V189" s="76"/>
      <c r="W189" s="76"/>
      <c r="X189" s="76"/>
      <c r="Y189" s="76">
        <v>0</v>
      </c>
      <c r="Z189" s="76">
        <v>0</v>
      </c>
      <c r="AA189" s="76"/>
      <c r="AB189" s="76"/>
      <c r="AC189" s="76"/>
      <c r="AD189" s="142"/>
      <c r="AE189" s="142"/>
      <c r="AF189" s="142"/>
    </row>
    <row r="190" spans="1:32" x14ac:dyDescent="0.35">
      <c r="A190" t="s">
        <v>85</v>
      </c>
      <c r="B190" t="s">
        <v>441</v>
      </c>
      <c r="C190" s="31"/>
      <c r="D190" s="31"/>
      <c r="E190" s="72"/>
      <c r="F190" s="31"/>
      <c r="G190" s="73"/>
      <c r="H190" s="31"/>
      <c r="I190" s="72"/>
      <c r="J190" s="72"/>
      <c r="K190" s="31">
        <v>12</v>
      </c>
      <c r="L190" s="31">
        <v>29</v>
      </c>
      <c r="M190" s="74"/>
      <c r="N190" s="74"/>
      <c r="O190" s="75"/>
      <c r="P190" s="75"/>
      <c r="Q190" s="76"/>
      <c r="R190" s="76"/>
      <c r="S190" s="31"/>
      <c r="T190" s="31"/>
      <c r="U190" s="76">
        <v>-0.5862068965517242</v>
      </c>
      <c r="V190" s="76"/>
      <c r="W190" s="76"/>
      <c r="X190" s="76"/>
      <c r="Y190" s="76">
        <v>0</v>
      </c>
      <c r="Z190" s="76">
        <v>0</v>
      </c>
      <c r="AA190" s="76"/>
      <c r="AB190" s="76"/>
      <c r="AC190" s="76"/>
      <c r="AD190" s="142"/>
      <c r="AE190" s="142"/>
      <c r="AF190" s="142"/>
    </row>
    <row r="191" spans="1:32" x14ac:dyDescent="0.35">
      <c r="A191" t="s">
        <v>85</v>
      </c>
      <c r="B191" t="s">
        <v>451</v>
      </c>
      <c r="C191" s="31"/>
      <c r="D191" s="31"/>
      <c r="E191" s="72"/>
      <c r="F191" s="31"/>
      <c r="G191" s="73"/>
      <c r="H191" s="31"/>
      <c r="I191" s="72"/>
      <c r="J191" s="72"/>
      <c r="K191" s="31">
        <v>6</v>
      </c>
      <c r="L191" s="31">
        <v>6</v>
      </c>
      <c r="M191" s="74"/>
      <c r="N191" s="74"/>
      <c r="O191" s="75"/>
      <c r="P191" s="75"/>
      <c r="Q191" s="76"/>
      <c r="R191" s="76"/>
      <c r="S191" s="31"/>
      <c r="T191" s="31"/>
      <c r="U191" s="76">
        <v>0</v>
      </c>
      <c r="V191" s="76"/>
      <c r="W191" s="76"/>
      <c r="X191" s="76"/>
      <c r="Y191" s="76">
        <v>0</v>
      </c>
      <c r="Z191" s="76">
        <v>0</v>
      </c>
      <c r="AA191" s="76"/>
      <c r="AB191" s="76"/>
      <c r="AC191" s="76"/>
      <c r="AD191" s="142"/>
      <c r="AE191" s="142"/>
      <c r="AF191" s="142"/>
    </row>
    <row r="192" spans="1:32" x14ac:dyDescent="0.35">
      <c r="A192" t="s">
        <v>85</v>
      </c>
      <c r="B192" t="s">
        <v>431</v>
      </c>
      <c r="C192" s="31"/>
      <c r="D192" s="31"/>
      <c r="E192" s="72"/>
      <c r="F192" s="31"/>
      <c r="G192" s="73"/>
      <c r="H192" s="31"/>
      <c r="I192" s="72"/>
      <c r="J192" s="72"/>
      <c r="K192" s="31">
        <v>-4</v>
      </c>
      <c r="L192" s="31">
        <v>25</v>
      </c>
      <c r="M192" s="74"/>
      <c r="N192" s="74"/>
      <c r="O192" s="75"/>
      <c r="P192" s="75"/>
      <c r="Q192" s="76"/>
      <c r="R192" s="76"/>
      <c r="S192" s="31">
        <v>12</v>
      </c>
      <c r="T192" s="31"/>
      <c r="U192" s="76">
        <v>-1.1599999999999999</v>
      </c>
      <c r="V192" s="76"/>
      <c r="W192" s="76"/>
      <c r="X192" s="76"/>
      <c r="Y192" s="76">
        <v>0.30190920622788431</v>
      </c>
      <c r="Z192" s="76">
        <v>0.55555555555555536</v>
      </c>
      <c r="AA192" s="76"/>
      <c r="AB192" s="76"/>
      <c r="AC192" s="76"/>
      <c r="AD192" s="142"/>
      <c r="AE192" s="142"/>
      <c r="AF192" s="142"/>
    </row>
    <row r="193" spans="1:32" x14ac:dyDescent="0.35">
      <c r="A193" t="s">
        <v>85</v>
      </c>
      <c r="B193" t="s">
        <v>386</v>
      </c>
      <c r="C193" s="31"/>
      <c r="D193" s="31"/>
      <c r="E193" s="72"/>
      <c r="F193" s="31"/>
      <c r="G193" s="73"/>
      <c r="H193" s="31"/>
      <c r="I193" s="72"/>
      <c r="J193" s="72"/>
      <c r="K193" s="31">
        <v>60</v>
      </c>
      <c r="L193" s="31">
        <v>36</v>
      </c>
      <c r="M193" s="74"/>
      <c r="N193" s="74"/>
      <c r="O193" s="75"/>
      <c r="P193" s="75"/>
      <c r="Q193" s="76"/>
      <c r="R193" s="76"/>
      <c r="S193" s="31"/>
      <c r="T193" s="31"/>
      <c r="U193" s="76">
        <v>0.61111111111111116</v>
      </c>
      <c r="V193" s="76"/>
      <c r="W193" s="76"/>
      <c r="X193" s="76"/>
      <c r="Y193" s="76">
        <v>0</v>
      </c>
      <c r="Z193" s="76">
        <v>0</v>
      </c>
      <c r="AA193" s="76"/>
      <c r="AB193" s="76"/>
      <c r="AC193" s="76"/>
      <c r="AD193" s="142"/>
      <c r="AE193" s="142"/>
      <c r="AF193" s="142"/>
    </row>
    <row r="194" spans="1:32" x14ac:dyDescent="0.35">
      <c r="A194" t="s">
        <v>85</v>
      </c>
      <c r="B194" t="s">
        <v>384</v>
      </c>
      <c r="C194" s="31"/>
      <c r="D194" s="31">
        <v>1</v>
      </c>
      <c r="E194" s="72"/>
      <c r="F194" s="31">
        <v>2</v>
      </c>
      <c r="G194" s="73"/>
      <c r="H194" s="31">
        <v>666.67</v>
      </c>
      <c r="I194" s="72"/>
      <c r="J194" s="72">
        <v>326.66999999999996</v>
      </c>
      <c r="K194" s="31">
        <v>16</v>
      </c>
      <c r="L194" s="31">
        <v>196.71428571428572</v>
      </c>
      <c r="M194" s="74"/>
      <c r="N194" s="74">
        <v>98.357142857142861</v>
      </c>
      <c r="O194" s="75"/>
      <c r="P194" s="75">
        <v>333.33499999999998</v>
      </c>
      <c r="Q194" s="76"/>
      <c r="R194" s="76">
        <v>0.49000254998725001</v>
      </c>
      <c r="S194" s="31"/>
      <c r="T194" s="31"/>
      <c r="U194" s="76">
        <v>-0.91866376180101672</v>
      </c>
      <c r="V194" s="76"/>
      <c r="W194" s="76"/>
      <c r="X194" s="76"/>
      <c r="Y194" s="76">
        <v>0</v>
      </c>
      <c r="Z194" s="76">
        <v>0</v>
      </c>
      <c r="AA194" s="76"/>
      <c r="AB194" s="76"/>
      <c r="AC194" s="76"/>
      <c r="AD194" s="142"/>
      <c r="AE194" s="142"/>
      <c r="AF194" s="142"/>
    </row>
    <row r="195" spans="1:32" x14ac:dyDescent="0.35">
      <c r="A195" t="s">
        <v>85</v>
      </c>
      <c r="B195" t="s">
        <v>449</v>
      </c>
      <c r="C195" s="31"/>
      <c r="D195" s="31"/>
      <c r="E195" s="72"/>
      <c r="F195" s="31"/>
      <c r="G195" s="73"/>
      <c r="H195" s="31"/>
      <c r="I195" s="72"/>
      <c r="J195" s="72"/>
      <c r="K195" s="31">
        <v>1</v>
      </c>
      <c r="L195" s="31">
        <v>5</v>
      </c>
      <c r="M195" s="74"/>
      <c r="N195" s="74"/>
      <c r="O195" s="75"/>
      <c r="P195" s="75"/>
      <c r="Q195" s="76"/>
      <c r="R195" s="76"/>
      <c r="S195" s="31">
        <v>2</v>
      </c>
      <c r="T195" s="31"/>
      <c r="U195" s="76">
        <v>-0.8</v>
      </c>
      <c r="V195" s="76"/>
      <c r="W195" s="76"/>
      <c r="X195" s="76"/>
      <c r="Y195" s="76">
        <v>0</v>
      </c>
      <c r="Z195" s="76">
        <v>0</v>
      </c>
      <c r="AA195" s="76"/>
      <c r="AB195" s="76"/>
      <c r="AC195" s="76"/>
      <c r="AD195" s="142"/>
      <c r="AE195" s="142"/>
      <c r="AF195" s="142"/>
    </row>
    <row r="196" spans="1:32" x14ac:dyDescent="0.35">
      <c r="A196" t="s">
        <v>85</v>
      </c>
      <c r="B196" t="s">
        <v>417</v>
      </c>
      <c r="C196" s="31"/>
      <c r="D196" s="31"/>
      <c r="E196" s="72"/>
      <c r="F196" s="31"/>
      <c r="G196" s="73"/>
      <c r="H196" s="31"/>
      <c r="I196" s="72"/>
      <c r="J196" s="72"/>
      <c r="K196" s="31"/>
      <c r="L196" s="31">
        <v>2</v>
      </c>
      <c r="M196" s="74"/>
      <c r="N196" s="74"/>
      <c r="O196" s="75"/>
      <c r="P196" s="75"/>
      <c r="Q196" s="76"/>
      <c r="R196" s="76"/>
      <c r="S196" s="31">
        <v>18</v>
      </c>
      <c r="T196" s="31"/>
      <c r="U196" s="76"/>
      <c r="V196" s="76"/>
      <c r="W196" s="76"/>
      <c r="X196" s="76"/>
      <c r="Y196" s="76"/>
      <c r="Z196" s="76"/>
      <c r="AA196" s="76"/>
      <c r="AB196" s="76"/>
      <c r="AC196" s="76"/>
      <c r="AD196" s="142"/>
      <c r="AE196" s="142"/>
      <c r="AF196" s="142"/>
    </row>
    <row r="197" spans="1:32" x14ac:dyDescent="0.35">
      <c r="A197" t="s">
        <v>85</v>
      </c>
      <c r="B197" t="s">
        <v>400</v>
      </c>
      <c r="C197" s="31"/>
      <c r="D197" s="31">
        <v>3</v>
      </c>
      <c r="E197" s="72"/>
      <c r="F197" s="31">
        <v>4</v>
      </c>
      <c r="G197" s="73"/>
      <c r="H197" s="31">
        <v>249.96</v>
      </c>
      <c r="I197" s="72"/>
      <c r="J197" s="72">
        <v>54.52000000000001</v>
      </c>
      <c r="K197" s="31">
        <v>5</v>
      </c>
      <c r="L197" s="31">
        <v>6</v>
      </c>
      <c r="M197" s="74"/>
      <c r="N197" s="74">
        <v>1.7857142857142858</v>
      </c>
      <c r="O197" s="75"/>
      <c r="P197" s="75">
        <v>62.49</v>
      </c>
      <c r="Q197" s="76"/>
      <c r="R197" s="76">
        <v>0.21811489838374143</v>
      </c>
      <c r="S197" s="31">
        <v>159</v>
      </c>
      <c r="T197" s="31"/>
      <c r="U197" s="76">
        <v>-0.16666666666666663</v>
      </c>
      <c r="V197" s="76"/>
      <c r="W197" s="76"/>
      <c r="X197" s="76"/>
      <c r="Y197" s="76">
        <v>0.28093591047812816</v>
      </c>
      <c r="Z197" s="76">
        <v>0.12903225806451601</v>
      </c>
      <c r="AA197" s="76"/>
      <c r="AB197" s="76"/>
      <c r="AC197" s="76"/>
      <c r="AD197" s="142"/>
      <c r="AE197" s="142"/>
      <c r="AF197" s="142"/>
    </row>
    <row r="198" spans="1:32" x14ac:dyDescent="0.35">
      <c r="A198" t="s">
        <v>85</v>
      </c>
      <c r="B198" t="s">
        <v>409</v>
      </c>
      <c r="C198" s="31"/>
      <c r="D198" s="31">
        <v>3</v>
      </c>
      <c r="E198" s="72"/>
      <c r="F198" s="31">
        <v>3</v>
      </c>
      <c r="G198" s="73"/>
      <c r="H198" s="31">
        <v>99.99</v>
      </c>
      <c r="I198" s="72"/>
      <c r="J198" s="72">
        <v>-80.440000000000012</v>
      </c>
      <c r="K198" s="31">
        <v>-1</v>
      </c>
      <c r="L198" s="31">
        <v>55.857142857142854</v>
      </c>
      <c r="M198" s="74"/>
      <c r="N198" s="74">
        <v>19.619047619047617</v>
      </c>
      <c r="O198" s="75"/>
      <c r="P198" s="75">
        <v>33.33</v>
      </c>
      <c r="Q198" s="76"/>
      <c r="R198" s="76">
        <v>-0.80448044804480467</v>
      </c>
      <c r="S198" s="31">
        <v>5</v>
      </c>
      <c r="T198" s="31"/>
      <c r="U198" s="76">
        <v>-1.0179028132992327</v>
      </c>
      <c r="V198" s="76"/>
      <c r="W198" s="76"/>
      <c r="X198" s="76"/>
      <c r="Y198" s="76">
        <v>-2.5914545609665938</v>
      </c>
      <c r="Z198" s="76">
        <v>-2</v>
      </c>
      <c r="AA198" s="76"/>
      <c r="AB198" s="76"/>
      <c r="AC198" s="76"/>
      <c r="AD198" s="142"/>
      <c r="AE198" s="142"/>
      <c r="AF198" s="142"/>
    </row>
    <row r="199" spans="1:32" x14ac:dyDescent="0.35">
      <c r="A199" t="s">
        <v>85</v>
      </c>
      <c r="B199" t="s">
        <v>416</v>
      </c>
      <c r="C199" s="31"/>
      <c r="D199" s="31"/>
      <c r="E199" s="72"/>
      <c r="F199" s="31"/>
      <c r="G199" s="73"/>
      <c r="H199" s="31"/>
      <c r="I199" s="72"/>
      <c r="J199" s="72"/>
      <c r="K199" s="31"/>
      <c r="L199" s="31">
        <v>1439</v>
      </c>
      <c r="M199" s="74"/>
      <c r="N199" s="74"/>
      <c r="O199" s="75"/>
      <c r="P199" s="75"/>
      <c r="Q199" s="76"/>
      <c r="R199" s="76"/>
      <c r="S199" s="31"/>
      <c r="T199" s="31"/>
      <c r="U199" s="76"/>
      <c r="V199" s="76"/>
      <c r="W199" s="76"/>
      <c r="X199" s="76"/>
      <c r="Y199" s="76"/>
      <c r="Z199" s="76"/>
      <c r="AA199" s="76"/>
      <c r="AB199" s="76"/>
      <c r="AC199" s="76"/>
      <c r="AD199" s="142"/>
      <c r="AE199" s="142"/>
      <c r="AF199" s="142"/>
    </row>
    <row r="200" spans="1:32" x14ac:dyDescent="0.35">
      <c r="A200" t="s">
        <v>85</v>
      </c>
      <c r="B200" t="s">
        <v>430</v>
      </c>
      <c r="C200" s="31"/>
      <c r="D200" s="31"/>
      <c r="E200" s="72"/>
      <c r="F200" s="31"/>
      <c r="G200" s="73"/>
      <c r="H200" s="31"/>
      <c r="I200" s="72"/>
      <c r="J200" s="72"/>
      <c r="K200" s="31"/>
      <c r="L200" s="31"/>
      <c r="M200" s="74"/>
      <c r="N200" s="74"/>
      <c r="O200" s="75"/>
      <c r="P200" s="75"/>
      <c r="Q200" s="76"/>
      <c r="R200" s="76"/>
      <c r="S200" s="31">
        <v>25</v>
      </c>
      <c r="T200" s="31"/>
      <c r="U200" s="76"/>
      <c r="V200" s="76"/>
      <c r="W200" s="76"/>
      <c r="X200" s="76"/>
      <c r="Y200" s="76"/>
      <c r="Z200" s="76"/>
      <c r="AA200" s="76"/>
      <c r="AB200" s="76"/>
      <c r="AC200" s="76"/>
      <c r="AD200" s="142"/>
      <c r="AE200" s="142"/>
      <c r="AF200" s="142"/>
    </row>
    <row r="201" spans="1:32" x14ac:dyDescent="0.35">
      <c r="A201" t="s">
        <v>85</v>
      </c>
      <c r="B201" t="s">
        <v>446</v>
      </c>
      <c r="C201" s="31"/>
      <c r="D201" s="31"/>
      <c r="E201" s="72"/>
      <c r="F201" s="31"/>
      <c r="G201" s="73"/>
      <c r="H201" s="31"/>
      <c r="I201" s="72"/>
      <c r="J201" s="72"/>
      <c r="K201" s="31"/>
      <c r="L201" s="31">
        <v>2</v>
      </c>
      <c r="M201" s="74"/>
      <c r="N201" s="74"/>
      <c r="O201" s="75"/>
      <c r="P201" s="75"/>
      <c r="Q201" s="76"/>
      <c r="R201" s="76"/>
      <c r="S201" s="31"/>
      <c r="T201" s="31"/>
      <c r="U201" s="76"/>
      <c r="V201" s="76"/>
      <c r="W201" s="76"/>
      <c r="X201" s="76"/>
      <c r="Y201" s="76"/>
      <c r="Z201" s="76"/>
      <c r="AA201" s="76"/>
      <c r="AB201" s="76"/>
      <c r="AC201" s="76"/>
      <c r="AD201" s="142"/>
      <c r="AE201" s="142"/>
      <c r="AF201" s="142"/>
    </row>
    <row r="202" spans="1:32" x14ac:dyDescent="0.35">
      <c r="A202" t="s">
        <v>85</v>
      </c>
      <c r="B202" t="s">
        <v>454</v>
      </c>
      <c r="C202" s="31"/>
      <c r="D202" s="31">
        <v>1</v>
      </c>
      <c r="E202" s="72"/>
      <c r="F202" s="31">
        <v>1</v>
      </c>
      <c r="G202" s="73"/>
      <c r="H202" s="31">
        <v>2624.99</v>
      </c>
      <c r="I202" s="72"/>
      <c r="J202" s="72">
        <v>1234.9899999999998</v>
      </c>
      <c r="K202" s="31">
        <v>52</v>
      </c>
      <c r="L202" s="31">
        <v>86.714285714285708</v>
      </c>
      <c r="M202" s="74"/>
      <c r="N202" s="74">
        <v>92.714285714285708</v>
      </c>
      <c r="O202" s="75"/>
      <c r="P202" s="75">
        <v>2624.99</v>
      </c>
      <c r="Q202" s="76"/>
      <c r="R202" s="76">
        <v>0.47047417323494561</v>
      </c>
      <c r="S202" s="31">
        <v>1</v>
      </c>
      <c r="T202" s="31"/>
      <c r="U202" s="76">
        <v>-0.42339373970345962</v>
      </c>
      <c r="V202" s="76"/>
      <c r="W202" s="76"/>
      <c r="X202" s="76"/>
      <c r="Y202" s="76">
        <v>1.9618397290148915E-2</v>
      </c>
      <c r="Z202" s="76">
        <v>1.6759776536312776E-2</v>
      </c>
      <c r="AA202" s="76"/>
      <c r="AB202" s="76"/>
      <c r="AC202" s="76"/>
      <c r="AD202" s="142"/>
      <c r="AE202" s="142"/>
      <c r="AF202" s="142"/>
    </row>
    <row r="203" spans="1:32" x14ac:dyDescent="0.35">
      <c r="A203" t="s">
        <v>85</v>
      </c>
      <c r="B203" t="s">
        <v>423</v>
      </c>
      <c r="C203" s="31"/>
      <c r="D203" s="31"/>
      <c r="E203" s="72"/>
      <c r="F203" s="31"/>
      <c r="G203" s="73"/>
      <c r="H203" s="31"/>
      <c r="I203" s="72"/>
      <c r="J203" s="72"/>
      <c r="K203" s="31">
        <v>1</v>
      </c>
      <c r="L203" s="31">
        <v>1</v>
      </c>
      <c r="M203" s="74"/>
      <c r="N203" s="74"/>
      <c r="O203" s="75"/>
      <c r="P203" s="75"/>
      <c r="Q203" s="76"/>
      <c r="R203" s="76"/>
      <c r="S203" s="31"/>
      <c r="T203" s="31"/>
      <c r="U203" s="76">
        <v>0</v>
      </c>
      <c r="V203" s="76"/>
      <c r="W203" s="76"/>
      <c r="X203" s="76"/>
      <c r="Y203" s="76">
        <v>0</v>
      </c>
      <c r="Z203" s="76">
        <v>0</v>
      </c>
      <c r="AA203" s="76"/>
      <c r="AB203" s="76"/>
      <c r="AC203" s="76"/>
      <c r="AD203" s="142"/>
      <c r="AE203" s="142"/>
      <c r="AF203" s="142"/>
    </row>
    <row r="204" spans="1:32" x14ac:dyDescent="0.35">
      <c r="A204" t="s">
        <v>85</v>
      </c>
      <c r="B204" t="s">
        <v>768</v>
      </c>
      <c r="C204" s="31"/>
      <c r="D204" s="31"/>
      <c r="E204" s="72"/>
      <c r="F204" s="31"/>
      <c r="G204" s="73"/>
      <c r="H204" s="31"/>
      <c r="I204" s="72"/>
      <c r="J204" s="72"/>
      <c r="K204" s="31">
        <v>-1</v>
      </c>
      <c r="L204" s="31"/>
      <c r="M204" s="74"/>
      <c r="N204" s="74"/>
      <c r="O204" s="75"/>
      <c r="P204" s="75"/>
      <c r="Q204" s="76"/>
      <c r="R204" s="76"/>
      <c r="S204" s="31"/>
      <c r="T204" s="31"/>
      <c r="U204" s="76"/>
      <c r="V204" s="76"/>
      <c r="W204" s="76"/>
      <c r="X204" s="76"/>
      <c r="Y204" s="76">
        <v>0</v>
      </c>
      <c r="Z204" s="76">
        <v>0</v>
      </c>
      <c r="AA204" s="76"/>
      <c r="AB204" s="76"/>
      <c r="AC204" s="76"/>
      <c r="AD204" s="142"/>
      <c r="AE204" s="142"/>
      <c r="AF204" s="142"/>
    </row>
    <row r="205" spans="1:32" x14ac:dyDescent="0.35">
      <c r="A205" t="s">
        <v>85</v>
      </c>
      <c r="B205" t="s">
        <v>445</v>
      </c>
      <c r="C205" s="31"/>
      <c r="D205" s="31"/>
      <c r="E205" s="72"/>
      <c r="F205" s="31"/>
      <c r="G205" s="73"/>
      <c r="H205" s="31"/>
      <c r="I205" s="72"/>
      <c r="J205" s="72"/>
      <c r="K205" s="31">
        <v>4</v>
      </c>
      <c r="L205" s="31">
        <v>6</v>
      </c>
      <c r="M205" s="74"/>
      <c r="N205" s="74"/>
      <c r="O205" s="75"/>
      <c r="P205" s="75"/>
      <c r="Q205" s="76"/>
      <c r="R205" s="76"/>
      <c r="S205" s="31"/>
      <c r="T205" s="31"/>
      <c r="U205" s="76">
        <v>-0.33333333333333337</v>
      </c>
      <c r="V205" s="76"/>
      <c r="W205" s="76"/>
      <c r="X205" s="76"/>
      <c r="Y205" s="76">
        <v>0</v>
      </c>
      <c r="Z205" s="76">
        <v>0</v>
      </c>
      <c r="AA205" s="76"/>
      <c r="AB205" s="76"/>
      <c r="AC205" s="76"/>
      <c r="AD205" s="142"/>
      <c r="AE205" s="142"/>
      <c r="AF205" s="142"/>
    </row>
    <row r="206" spans="1:32" x14ac:dyDescent="0.35">
      <c r="A206" t="s">
        <v>85</v>
      </c>
      <c r="B206" t="s">
        <v>405</v>
      </c>
      <c r="C206" s="31"/>
      <c r="D206" s="31"/>
      <c r="E206" s="72"/>
      <c r="F206" s="31"/>
      <c r="G206" s="73"/>
      <c r="H206" s="31"/>
      <c r="I206" s="72"/>
      <c r="J206" s="72"/>
      <c r="K206" s="31">
        <v>51</v>
      </c>
      <c r="L206" s="31">
        <v>126</v>
      </c>
      <c r="M206" s="74"/>
      <c r="N206" s="74"/>
      <c r="O206" s="75"/>
      <c r="P206" s="75"/>
      <c r="Q206" s="76"/>
      <c r="R206" s="76"/>
      <c r="S206" s="31"/>
      <c r="T206" s="31"/>
      <c r="U206" s="76">
        <v>-0.59523809523809523</v>
      </c>
      <c r="V206" s="76"/>
      <c r="W206" s="76"/>
      <c r="X206" s="76"/>
      <c r="Y206" s="76">
        <v>-3.7945616119800518E-2</v>
      </c>
      <c r="Z206" s="76">
        <v>-4.0322580645161366E-2</v>
      </c>
      <c r="AA206" s="76"/>
      <c r="AB206" s="76"/>
      <c r="AC206" s="76"/>
      <c r="AD206" s="142"/>
      <c r="AE206" s="142"/>
      <c r="AF206" s="142"/>
    </row>
    <row r="207" spans="1:32" x14ac:dyDescent="0.35">
      <c r="A207" t="s">
        <v>85</v>
      </c>
      <c r="B207" t="s">
        <v>444</v>
      </c>
      <c r="C207" s="31"/>
      <c r="D207" s="31"/>
      <c r="E207" s="72"/>
      <c r="F207" s="31"/>
      <c r="G207" s="73"/>
      <c r="H207" s="31"/>
      <c r="I207" s="72"/>
      <c r="J207" s="72"/>
      <c r="K207" s="31">
        <v>1</v>
      </c>
      <c r="L207" s="31"/>
      <c r="M207" s="74"/>
      <c r="N207" s="74"/>
      <c r="O207" s="75"/>
      <c r="P207" s="75"/>
      <c r="Q207" s="76"/>
      <c r="R207" s="76"/>
      <c r="S207" s="31">
        <v>20</v>
      </c>
      <c r="T207" s="31"/>
      <c r="U207" s="76"/>
      <c r="V207" s="76"/>
      <c r="W207" s="76"/>
      <c r="X207" s="76"/>
      <c r="Y207" s="76">
        <v>0</v>
      </c>
      <c r="Z207" s="76">
        <v>0</v>
      </c>
      <c r="AA207" s="76"/>
      <c r="AB207" s="76"/>
      <c r="AC207" s="76"/>
      <c r="AD207" s="142"/>
      <c r="AE207" s="142"/>
      <c r="AF207" s="142"/>
    </row>
    <row r="208" spans="1:32" x14ac:dyDescent="0.35">
      <c r="A208" t="s">
        <v>85</v>
      </c>
      <c r="B208" t="s">
        <v>452</v>
      </c>
      <c r="C208" s="31"/>
      <c r="D208" s="31"/>
      <c r="E208" s="72"/>
      <c r="F208" s="31"/>
      <c r="G208" s="73"/>
      <c r="H208" s="31"/>
      <c r="I208" s="72"/>
      <c r="J208" s="72"/>
      <c r="K208" s="31">
        <v>7</v>
      </c>
      <c r="L208" s="31">
        <v>16</v>
      </c>
      <c r="M208" s="74"/>
      <c r="N208" s="74"/>
      <c r="O208" s="75"/>
      <c r="P208" s="75"/>
      <c r="Q208" s="76"/>
      <c r="R208" s="76"/>
      <c r="S208" s="31"/>
      <c r="T208" s="31"/>
      <c r="U208" s="76">
        <v>-0.5625</v>
      </c>
      <c r="V208" s="76"/>
      <c r="W208" s="76"/>
      <c r="X208" s="76"/>
      <c r="Y208" s="76">
        <v>0</v>
      </c>
      <c r="Z208" s="76">
        <v>0</v>
      </c>
      <c r="AA208" s="76"/>
      <c r="AB208" s="76"/>
      <c r="AC208" s="76"/>
      <c r="AD208" s="142"/>
      <c r="AE208" s="142"/>
      <c r="AF208" s="142"/>
    </row>
    <row r="209" spans="1:32" x14ac:dyDescent="0.35">
      <c r="A209" t="s">
        <v>85</v>
      </c>
      <c r="B209" t="s">
        <v>406</v>
      </c>
      <c r="C209" s="31"/>
      <c r="D209" s="31"/>
      <c r="E209" s="72"/>
      <c r="F209" s="31"/>
      <c r="G209" s="73"/>
      <c r="H209" s="31"/>
      <c r="I209" s="72"/>
      <c r="J209" s="72"/>
      <c r="K209" s="31">
        <v>-1</v>
      </c>
      <c r="L209" s="31">
        <v>46.571428571428569</v>
      </c>
      <c r="M209" s="74"/>
      <c r="N209" s="74"/>
      <c r="O209" s="75"/>
      <c r="P209" s="75"/>
      <c r="Q209" s="76"/>
      <c r="R209" s="76"/>
      <c r="S209" s="31">
        <v>1</v>
      </c>
      <c r="T209" s="31"/>
      <c r="U209" s="76">
        <v>-1.0214723926380369</v>
      </c>
      <c r="V209" s="76"/>
      <c r="W209" s="76"/>
      <c r="X209" s="76"/>
      <c r="Y209" s="76">
        <v>2.8030237285038959</v>
      </c>
      <c r="Z209" s="76">
        <v>6</v>
      </c>
      <c r="AA209" s="76"/>
      <c r="AB209" s="76"/>
      <c r="AC209" s="76"/>
      <c r="AD209" s="142"/>
      <c r="AE209" s="142"/>
      <c r="AF209" s="142"/>
    </row>
    <row r="210" spans="1:32" x14ac:dyDescent="0.35">
      <c r="A210" t="s">
        <v>85</v>
      </c>
      <c r="B210" t="s">
        <v>422</v>
      </c>
      <c r="C210" s="31"/>
      <c r="D210" s="31">
        <v>1</v>
      </c>
      <c r="E210" s="72"/>
      <c r="F210" s="31">
        <v>6</v>
      </c>
      <c r="G210" s="73"/>
      <c r="H210" s="31">
        <v>89.94</v>
      </c>
      <c r="I210" s="72"/>
      <c r="J210" s="72">
        <v>74.94</v>
      </c>
      <c r="K210" s="31">
        <v>0.42857142857142855</v>
      </c>
      <c r="L210" s="31">
        <v>30.571428571428573</v>
      </c>
      <c r="M210" s="74"/>
      <c r="N210" s="74">
        <v>5.0952380952380958</v>
      </c>
      <c r="O210" s="75"/>
      <c r="P210" s="75">
        <v>14.99</v>
      </c>
      <c r="Q210" s="76"/>
      <c r="R210" s="76">
        <v>0.83322214809873252</v>
      </c>
      <c r="S210" s="31">
        <v>72</v>
      </c>
      <c r="T210" s="31"/>
      <c r="U210" s="76">
        <v>-0.98598130841121501</v>
      </c>
      <c r="V210" s="76"/>
      <c r="W210" s="76"/>
      <c r="X210" s="76"/>
      <c r="Y210" s="76">
        <v>-1.2203389830508475</v>
      </c>
      <c r="Z210" s="76">
        <v>-1.1428571428571428</v>
      </c>
      <c r="AA210" s="76"/>
      <c r="AB210" s="76"/>
      <c r="AC210" s="76"/>
      <c r="AD210" s="142"/>
      <c r="AE210" s="142"/>
      <c r="AF210" s="142"/>
    </row>
    <row r="211" spans="1:32" x14ac:dyDescent="0.35">
      <c r="A211" t="s">
        <v>85</v>
      </c>
      <c r="B211" t="s">
        <v>412</v>
      </c>
      <c r="C211" s="31"/>
      <c r="D211" s="31"/>
      <c r="E211" s="72"/>
      <c r="F211" s="31"/>
      <c r="G211" s="73"/>
      <c r="H211" s="31"/>
      <c r="I211" s="72"/>
      <c r="J211" s="72"/>
      <c r="K211" s="31">
        <v>1</v>
      </c>
      <c r="L211" s="31">
        <v>1</v>
      </c>
      <c r="M211" s="74"/>
      <c r="N211" s="74"/>
      <c r="O211" s="75"/>
      <c r="P211" s="75"/>
      <c r="Q211" s="76"/>
      <c r="R211" s="76"/>
      <c r="S211" s="31">
        <v>4</v>
      </c>
      <c r="T211" s="31"/>
      <c r="U211" s="76">
        <v>0</v>
      </c>
      <c r="V211" s="76"/>
      <c r="W211" s="76"/>
      <c r="X211" s="76"/>
      <c r="Y211" s="76">
        <v>0</v>
      </c>
      <c r="Z211" s="76">
        <v>0</v>
      </c>
      <c r="AA211" s="76"/>
      <c r="AB211" s="76"/>
      <c r="AC211" s="76"/>
      <c r="AD211" s="142"/>
      <c r="AE211" s="142"/>
      <c r="AF211" s="142"/>
    </row>
    <row r="212" spans="1:32" x14ac:dyDescent="0.35">
      <c r="A212" t="s">
        <v>85</v>
      </c>
      <c r="B212" t="s">
        <v>435</v>
      </c>
      <c r="C212" s="31"/>
      <c r="D212" s="31"/>
      <c r="E212" s="72"/>
      <c r="F212" s="31"/>
      <c r="G212" s="73"/>
      <c r="H212" s="31"/>
      <c r="I212" s="72"/>
      <c r="J212" s="72"/>
      <c r="K212" s="31">
        <v>2</v>
      </c>
      <c r="L212" s="31"/>
      <c r="M212" s="74"/>
      <c r="N212" s="74"/>
      <c r="O212" s="75"/>
      <c r="P212" s="75"/>
      <c r="Q212" s="76"/>
      <c r="R212" s="76"/>
      <c r="S212" s="31"/>
      <c r="T212" s="31"/>
      <c r="U212" s="76"/>
      <c r="V212" s="76"/>
      <c r="W212" s="76"/>
      <c r="X212" s="76"/>
      <c r="Y212" s="76">
        <v>0</v>
      </c>
      <c r="Z212" s="76">
        <v>0</v>
      </c>
      <c r="AA212" s="76"/>
      <c r="AB212" s="76"/>
      <c r="AC212" s="76"/>
      <c r="AD212" s="142"/>
      <c r="AE212" s="142"/>
      <c r="AF212" s="142"/>
    </row>
    <row r="213" spans="1:32" x14ac:dyDescent="0.35">
      <c r="A213" t="s">
        <v>85</v>
      </c>
      <c r="B213" t="s">
        <v>427</v>
      </c>
      <c r="C213" s="31"/>
      <c r="D213" s="31"/>
      <c r="E213" s="72"/>
      <c r="F213" s="31"/>
      <c r="G213" s="73"/>
      <c r="H213" s="31"/>
      <c r="I213" s="72"/>
      <c r="J213" s="72"/>
      <c r="K213" s="31">
        <v>4</v>
      </c>
      <c r="L213" s="31">
        <v>11</v>
      </c>
      <c r="M213" s="74"/>
      <c r="N213" s="74"/>
      <c r="O213" s="75"/>
      <c r="P213" s="75"/>
      <c r="Q213" s="76"/>
      <c r="R213" s="76"/>
      <c r="S213" s="31"/>
      <c r="T213" s="31"/>
      <c r="U213" s="76">
        <v>-0.63636363636363635</v>
      </c>
      <c r="V213" s="76"/>
      <c r="W213" s="76"/>
      <c r="X213" s="76"/>
      <c r="Y213" s="76">
        <v>-0.12174136381148082</v>
      </c>
      <c r="Z213" s="76">
        <v>-0.125</v>
      </c>
      <c r="AA213" s="76"/>
      <c r="AB213" s="76"/>
      <c r="AC213" s="76"/>
      <c r="AD213" s="142"/>
      <c r="AE213" s="142"/>
      <c r="AF213" s="142"/>
    </row>
    <row r="214" spans="1:32" x14ac:dyDescent="0.35">
      <c r="A214" t="s">
        <v>85</v>
      </c>
      <c r="B214" t="s">
        <v>770</v>
      </c>
      <c r="C214" s="31"/>
      <c r="D214" s="31"/>
      <c r="E214" s="72"/>
      <c r="F214" s="31"/>
      <c r="G214" s="73"/>
      <c r="H214" s="31"/>
      <c r="I214" s="72"/>
      <c r="J214" s="72"/>
      <c r="K214" s="31">
        <v>-1</v>
      </c>
      <c r="L214" s="31"/>
      <c r="M214" s="74"/>
      <c r="N214" s="74"/>
      <c r="O214" s="75"/>
      <c r="P214" s="75"/>
      <c r="Q214" s="76"/>
      <c r="R214" s="76"/>
      <c r="S214" s="31"/>
      <c r="T214" s="31"/>
      <c r="U214" s="76"/>
      <c r="V214" s="76"/>
      <c r="W214" s="76"/>
      <c r="X214" s="76"/>
      <c r="Y214" s="76">
        <v>0</v>
      </c>
      <c r="Z214" s="76">
        <v>0</v>
      </c>
      <c r="AA214" s="76"/>
      <c r="AB214" s="76"/>
      <c r="AC214" s="76"/>
      <c r="AD214" s="142"/>
      <c r="AE214" s="142"/>
      <c r="AF214" s="142"/>
    </row>
    <row r="215" spans="1:32" x14ac:dyDescent="0.35">
      <c r="A215" t="s">
        <v>85</v>
      </c>
      <c r="B215" t="s">
        <v>425</v>
      </c>
      <c r="C215" s="31"/>
      <c r="D215" s="31"/>
      <c r="E215" s="72"/>
      <c r="F215" s="31"/>
      <c r="G215" s="73"/>
      <c r="H215" s="31"/>
      <c r="I215" s="72"/>
      <c r="J215" s="72"/>
      <c r="K215" s="31"/>
      <c r="L215" s="31"/>
      <c r="M215" s="74"/>
      <c r="N215" s="74"/>
      <c r="O215" s="75"/>
      <c r="P215" s="75"/>
      <c r="Q215" s="76"/>
      <c r="R215" s="76"/>
      <c r="S215" s="31">
        <v>12</v>
      </c>
      <c r="T215" s="31"/>
      <c r="U215" s="76"/>
      <c r="V215" s="76"/>
      <c r="W215" s="76"/>
      <c r="X215" s="76"/>
      <c r="Y215" s="76"/>
      <c r="Z215" s="76"/>
      <c r="AA215" s="76"/>
      <c r="AB215" s="76"/>
      <c r="AC215" s="76"/>
      <c r="AD215" s="142"/>
      <c r="AE215" s="142"/>
      <c r="AF215" s="142"/>
    </row>
    <row r="216" spans="1:32" x14ac:dyDescent="0.35">
      <c r="A216" t="s">
        <v>85</v>
      </c>
      <c r="B216" t="s">
        <v>426</v>
      </c>
      <c r="C216" s="31"/>
      <c r="D216" s="31"/>
      <c r="E216" s="72"/>
      <c r="F216" s="31"/>
      <c r="G216" s="73"/>
      <c r="H216" s="31"/>
      <c r="I216" s="72"/>
      <c r="J216" s="72"/>
      <c r="K216" s="31">
        <v>-1</v>
      </c>
      <c r="L216" s="31"/>
      <c r="M216" s="74"/>
      <c r="N216" s="74"/>
      <c r="O216" s="75"/>
      <c r="P216" s="75"/>
      <c r="Q216" s="76"/>
      <c r="R216" s="76"/>
      <c r="S216" s="31"/>
      <c r="T216" s="31"/>
      <c r="U216" s="76"/>
      <c r="V216" s="76"/>
      <c r="W216" s="76"/>
      <c r="X216" s="76"/>
      <c r="Y216" s="76">
        <v>0.74999999999999978</v>
      </c>
      <c r="Z216" s="76">
        <v>0.75</v>
      </c>
      <c r="AA216" s="76"/>
      <c r="AB216" s="76"/>
      <c r="AC216" s="76"/>
      <c r="AD216" s="142"/>
      <c r="AE216" s="142"/>
      <c r="AF216" s="142"/>
    </row>
    <row r="217" spans="1:32" x14ac:dyDescent="0.35">
      <c r="A217" t="s">
        <v>85</v>
      </c>
      <c r="B217" t="s">
        <v>447</v>
      </c>
      <c r="C217" s="31"/>
      <c r="D217" s="31"/>
      <c r="E217" s="72"/>
      <c r="F217" s="31"/>
      <c r="G217" s="73"/>
      <c r="H217" s="31"/>
      <c r="I217" s="72"/>
      <c r="J217" s="72"/>
      <c r="K217" s="31"/>
      <c r="L217" s="31">
        <v>1</v>
      </c>
      <c r="M217" s="74"/>
      <c r="N217" s="74"/>
      <c r="O217" s="75"/>
      <c r="P217" s="75"/>
      <c r="Q217" s="76"/>
      <c r="R217" s="76"/>
      <c r="S217" s="31">
        <v>2</v>
      </c>
      <c r="T217" s="31"/>
      <c r="U217" s="76"/>
      <c r="V217" s="76"/>
      <c r="W217" s="76"/>
      <c r="X217" s="76"/>
      <c r="Y217" s="76"/>
      <c r="Z217" s="76"/>
      <c r="AA217" s="76"/>
      <c r="AB217" s="76"/>
      <c r="AC217" s="76"/>
      <c r="AD217" s="142"/>
      <c r="AE217" s="142"/>
      <c r="AF217" s="142"/>
    </row>
    <row r="218" spans="1:32" x14ac:dyDescent="0.35">
      <c r="A218" t="s">
        <v>85</v>
      </c>
      <c r="B218" t="s">
        <v>420</v>
      </c>
      <c r="C218" s="31"/>
      <c r="D218" s="31"/>
      <c r="E218" s="72"/>
      <c r="F218" s="31"/>
      <c r="G218" s="73"/>
      <c r="H218" s="31"/>
      <c r="I218" s="72"/>
      <c r="J218" s="72"/>
      <c r="K218" s="31">
        <v>28</v>
      </c>
      <c r="L218" s="31">
        <v>28</v>
      </c>
      <c r="M218" s="74"/>
      <c r="N218" s="74"/>
      <c r="O218" s="75"/>
      <c r="P218" s="75"/>
      <c r="Q218" s="76"/>
      <c r="R218" s="76"/>
      <c r="S218" s="31"/>
      <c r="T218" s="31"/>
      <c r="U218" s="76">
        <v>0</v>
      </c>
      <c r="V218" s="76"/>
      <c r="W218" s="76"/>
      <c r="X218" s="76"/>
      <c r="Y218" s="76">
        <v>0</v>
      </c>
      <c r="Z218" s="76">
        <v>0</v>
      </c>
      <c r="AA218" s="76"/>
      <c r="AB218" s="76"/>
      <c r="AC218" s="76"/>
      <c r="AD218" s="142"/>
      <c r="AE218" s="142"/>
      <c r="AF218" s="142"/>
    </row>
    <row r="219" spans="1:32" x14ac:dyDescent="0.35">
      <c r="A219" t="s">
        <v>85</v>
      </c>
      <c r="B219" t="s">
        <v>439</v>
      </c>
      <c r="C219" s="31"/>
      <c r="D219" s="31"/>
      <c r="E219" s="72"/>
      <c r="F219" s="31"/>
      <c r="G219" s="73"/>
      <c r="H219" s="31"/>
      <c r="I219" s="72"/>
      <c r="J219" s="72"/>
      <c r="K219" s="31"/>
      <c r="L219" s="31">
        <v>3</v>
      </c>
      <c r="M219" s="74"/>
      <c r="N219" s="74"/>
      <c r="O219" s="75"/>
      <c r="P219" s="75"/>
      <c r="Q219" s="76"/>
      <c r="R219" s="76"/>
      <c r="S219" s="31">
        <v>-4</v>
      </c>
      <c r="T219" s="31"/>
      <c r="U219" s="76"/>
      <c r="V219" s="76"/>
      <c r="W219" s="76"/>
      <c r="X219" s="76"/>
      <c r="Y219" s="76"/>
      <c r="Z219" s="76"/>
      <c r="AA219" s="76"/>
      <c r="AB219" s="76"/>
      <c r="AC219" s="76"/>
      <c r="AD219" s="142"/>
      <c r="AE219" s="142"/>
      <c r="AF219" s="142"/>
    </row>
    <row r="220" spans="1:32" x14ac:dyDescent="0.35">
      <c r="A220" t="s">
        <v>85</v>
      </c>
      <c r="B220" t="s">
        <v>428</v>
      </c>
      <c r="C220" s="31"/>
      <c r="D220" s="31"/>
      <c r="E220" s="72"/>
      <c r="F220" s="31"/>
      <c r="G220" s="73"/>
      <c r="H220" s="31"/>
      <c r="I220" s="72"/>
      <c r="J220" s="72"/>
      <c r="K220" s="31">
        <v>1</v>
      </c>
      <c r="L220" s="31">
        <v>1</v>
      </c>
      <c r="M220" s="74"/>
      <c r="N220" s="74"/>
      <c r="O220" s="75"/>
      <c r="P220" s="75"/>
      <c r="Q220" s="76"/>
      <c r="R220" s="76"/>
      <c r="S220" s="31"/>
      <c r="T220" s="31"/>
      <c r="U220" s="76">
        <v>0</v>
      </c>
      <c r="V220" s="76"/>
      <c r="W220" s="76"/>
      <c r="X220" s="76"/>
      <c r="Y220" s="76">
        <v>0</v>
      </c>
      <c r="Z220" s="76">
        <v>0</v>
      </c>
      <c r="AA220" s="76"/>
      <c r="AB220" s="76"/>
      <c r="AC220" s="76"/>
      <c r="AD220" s="142"/>
      <c r="AE220" s="142"/>
      <c r="AF220" s="142"/>
    </row>
    <row r="221" spans="1:32" x14ac:dyDescent="0.35">
      <c r="A221" t="s">
        <v>85</v>
      </c>
      <c r="B221" t="s">
        <v>438</v>
      </c>
      <c r="C221" s="31"/>
      <c r="D221" s="31"/>
      <c r="E221" s="72"/>
      <c r="F221" s="31"/>
      <c r="G221" s="73"/>
      <c r="H221" s="31"/>
      <c r="I221" s="72"/>
      <c r="J221" s="72"/>
      <c r="K221" s="31">
        <v>1</v>
      </c>
      <c r="L221" s="31"/>
      <c r="M221" s="74"/>
      <c r="N221" s="74"/>
      <c r="O221" s="75"/>
      <c r="P221" s="75"/>
      <c r="Q221" s="76"/>
      <c r="R221" s="76"/>
      <c r="S221" s="31"/>
      <c r="T221" s="31"/>
      <c r="U221" s="76"/>
      <c r="V221" s="76"/>
      <c r="W221" s="76"/>
      <c r="X221" s="76"/>
      <c r="Y221" s="76">
        <v>0.18807339449541272</v>
      </c>
      <c r="Z221" s="76">
        <v>-0.125</v>
      </c>
      <c r="AA221" s="76"/>
      <c r="AB221" s="76"/>
      <c r="AC221" s="76"/>
      <c r="AD221" s="142"/>
      <c r="AE221" s="142"/>
      <c r="AF221" s="142"/>
    </row>
    <row r="222" spans="1:32" x14ac:dyDescent="0.35">
      <c r="A222" t="s">
        <v>85</v>
      </c>
      <c r="B222" t="s">
        <v>442</v>
      </c>
      <c r="C222" s="31"/>
      <c r="D222" s="31">
        <v>2</v>
      </c>
      <c r="E222" s="72"/>
      <c r="F222" s="31">
        <v>3</v>
      </c>
      <c r="G222" s="73"/>
      <c r="H222" s="31">
        <v>40</v>
      </c>
      <c r="I222" s="72"/>
      <c r="J222" s="72">
        <v>15.73</v>
      </c>
      <c r="K222" s="31"/>
      <c r="L222" s="31">
        <v>3</v>
      </c>
      <c r="M222" s="74"/>
      <c r="N222" s="74">
        <v>1</v>
      </c>
      <c r="O222" s="75"/>
      <c r="P222" s="75">
        <v>13.333333333333334</v>
      </c>
      <c r="Q222" s="76"/>
      <c r="R222" s="76">
        <v>0.39324999999999999</v>
      </c>
      <c r="S222" s="31"/>
      <c r="T222" s="31"/>
      <c r="U222" s="76"/>
      <c r="V222" s="76"/>
      <c r="W222" s="76"/>
      <c r="X222" s="76"/>
      <c r="Y222" s="76"/>
      <c r="Z222" s="76"/>
      <c r="AA222" s="76"/>
      <c r="AB222" s="76"/>
      <c r="AC222" s="76"/>
      <c r="AD222" s="142"/>
      <c r="AE222" s="142"/>
      <c r="AF222" s="142"/>
    </row>
    <row r="223" spans="1:32" x14ac:dyDescent="0.35">
      <c r="A223" t="s">
        <v>85</v>
      </c>
      <c r="B223" t="s">
        <v>436</v>
      </c>
      <c r="C223" s="31"/>
      <c r="D223" s="31"/>
      <c r="E223" s="72"/>
      <c r="F223" s="31"/>
      <c r="G223" s="73"/>
      <c r="H223" s="31"/>
      <c r="I223" s="72"/>
      <c r="J223" s="72"/>
      <c r="K223" s="31"/>
      <c r="L223" s="31">
        <v>1</v>
      </c>
      <c r="M223" s="74"/>
      <c r="N223" s="74"/>
      <c r="O223" s="75"/>
      <c r="P223" s="75"/>
      <c r="Q223" s="76"/>
      <c r="R223" s="76"/>
      <c r="S223" s="31">
        <v>2</v>
      </c>
      <c r="T223" s="31"/>
      <c r="U223" s="76"/>
      <c r="V223" s="76"/>
      <c r="W223" s="76"/>
      <c r="X223" s="76"/>
      <c r="Y223" s="76"/>
      <c r="Z223" s="76"/>
      <c r="AA223" s="76"/>
      <c r="AB223" s="76"/>
      <c r="AC223" s="76"/>
      <c r="AD223" s="142"/>
      <c r="AE223" s="142"/>
      <c r="AF223" s="142"/>
    </row>
    <row r="224" spans="1:32" x14ac:dyDescent="0.35">
      <c r="A224" t="s">
        <v>85</v>
      </c>
      <c r="B224" t="s">
        <v>407</v>
      </c>
      <c r="C224" s="31"/>
      <c r="D224" s="31"/>
      <c r="E224" s="72"/>
      <c r="F224" s="31"/>
      <c r="G224" s="73"/>
      <c r="H224" s="31"/>
      <c r="I224" s="72"/>
      <c r="J224" s="72"/>
      <c r="K224" s="31">
        <v>1.7142857142857142</v>
      </c>
      <c r="L224" s="31">
        <v>34</v>
      </c>
      <c r="M224" s="74"/>
      <c r="N224" s="74"/>
      <c r="O224" s="75"/>
      <c r="P224" s="75"/>
      <c r="Q224" s="76"/>
      <c r="R224" s="76"/>
      <c r="S224" s="31">
        <v>62</v>
      </c>
      <c r="T224" s="31"/>
      <c r="U224" s="76">
        <v>-0.88235294117647056</v>
      </c>
      <c r="V224" s="76"/>
      <c r="W224" s="76"/>
      <c r="X224" s="76"/>
      <c r="Y224" s="76">
        <v>-3.1585195856760784</v>
      </c>
      <c r="Z224" s="76">
        <v>5</v>
      </c>
      <c r="AA224" s="76"/>
      <c r="AB224" s="76"/>
      <c r="AC224" s="76"/>
      <c r="AD224" s="142"/>
      <c r="AE224" s="142"/>
      <c r="AF224" s="142"/>
    </row>
    <row r="225" spans="1:32" x14ac:dyDescent="0.35">
      <c r="A225" t="s">
        <v>85</v>
      </c>
      <c r="B225" t="s">
        <v>453</v>
      </c>
      <c r="C225" s="31"/>
      <c r="D225" s="31"/>
      <c r="E225" s="72"/>
      <c r="F225" s="31"/>
      <c r="G225" s="73"/>
      <c r="H225" s="31"/>
      <c r="I225" s="72"/>
      <c r="J225" s="72"/>
      <c r="K225" s="31"/>
      <c r="L225" s="31">
        <v>-1</v>
      </c>
      <c r="M225" s="74"/>
      <c r="N225" s="74"/>
      <c r="O225" s="75"/>
      <c r="P225" s="75"/>
      <c r="Q225" s="76"/>
      <c r="R225" s="76"/>
      <c r="S225" s="31"/>
      <c r="T225" s="31"/>
      <c r="U225" s="76"/>
      <c r="V225" s="76"/>
      <c r="W225" s="76"/>
      <c r="X225" s="76"/>
      <c r="Y225" s="76"/>
      <c r="Z225" s="76"/>
      <c r="AA225" s="76"/>
      <c r="AB225" s="76"/>
      <c r="AC225" s="76"/>
      <c r="AD225" s="142"/>
      <c r="AE225" s="142"/>
      <c r="AF225" s="142"/>
    </row>
    <row r="226" spans="1:32" x14ac:dyDescent="0.35">
      <c r="A226" t="s">
        <v>85</v>
      </c>
      <c r="B226" t="s">
        <v>415</v>
      </c>
      <c r="C226" s="31"/>
      <c r="D226" s="31">
        <v>1</v>
      </c>
      <c r="E226" s="72"/>
      <c r="F226" s="31">
        <v>1</v>
      </c>
      <c r="G226" s="73"/>
      <c r="H226" s="31">
        <v>6.17</v>
      </c>
      <c r="I226" s="72"/>
      <c r="J226" s="72">
        <v>1.4000000000000004</v>
      </c>
      <c r="K226" s="31">
        <v>1</v>
      </c>
      <c r="L226" s="31">
        <v>3.1428571428571428</v>
      </c>
      <c r="M226" s="74"/>
      <c r="N226" s="74">
        <v>3.1428571428571428</v>
      </c>
      <c r="O226" s="75"/>
      <c r="P226" s="75">
        <v>6.17</v>
      </c>
      <c r="Q226" s="76"/>
      <c r="R226" s="76">
        <v>0.22690437601296604</v>
      </c>
      <c r="S226" s="31"/>
      <c r="T226" s="31"/>
      <c r="U226" s="76">
        <v>-0.68181818181818188</v>
      </c>
      <c r="V226" s="76"/>
      <c r="W226" s="76"/>
      <c r="X226" s="76"/>
      <c r="Y226" s="76">
        <v>0</v>
      </c>
      <c r="Z226" s="76">
        <v>0</v>
      </c>
      <c r="AA226" s="76"/>
      <c r="AB226" s="76"/>
      <c r="AC226" s="76"/>
      <c r="AD226" s="142"/>
      <c r="AE226" s="142"/>
      <c r="AF226" s="142"/>
    </row>
    <row r="227" spans="1:32" x14ac:dyDescent="0.35">
      <c r="A227" t="s">
        <v>85</v>
      </c>
      <c r="B227" t="s">
        <v>771</v>
      </c>
      <c r="C227" s="31"/>
      <c r="D227" s="31"/>
      <c r="E227" s="72"/>
      <c r="F227" s="31"/>
      <c r="G227" s="73"/>
      <c r="H227" s="31"/>
      <c r="I227" s="72"/>
      <c r="J227" s="72"/>
      <c r="K227" s="31">
        <v>1</v>
      </c>
      <c r="L227" s="31"/>
      <c r="M227" s="74"/>
      <c r="N227" s="74"/>
      <c r="O227" s="75"/>
      <c r="P227" s="75"/>
      <c r="Q227" s="76"/>
      <c r="R227" s="76"/>
      <c r="S227" s="31"/>
      <c r="T227" s="31"/>
      <c r="U227" s="76"/>
      <c r="V227" s="76"/>
      <c r="W227" s="76"/>
      <c r="X227" s="76"/>
      <c r="Y227" s="76">
        <v>0</v>
      </c>
      <c r="Z227" s="76">
        <v>0</v>
      </c>
      <c r="AA227" s="76"/>
      <c r="AB227" s="76"/>
      <c r="AC227" s="76"/>
      <c r="AD227" s="142"/>
      <c r="AE227" s="142"/>
      <c r="AF227" s="142"/>
    </row>
    <row r="228" spans="1:32" x14ac:dyDescent="0.35">
      <c r="A228" t="s">
        <v>85</v>
      </c>
      <c r="B228" t="s">
        <v>767</v>
      </c>
      <c r="C228" s="31"/>
      <c r="D228" s="31"/>
      <c r="E228" s="72"/>
      <c r="F228" s="31"/>
      <c r="G228" s="73"/>
      <c r="H228" s="31"/>
      <c r="I228" s="72"/>
      <c r="J228" s="72"/>
      <c r="K228" s="31">
        <v>-1</v>
      </c>
      <c r="L228" s="31"/>
      <c r="M228" s="74"/>
      <c r="N228" s="74"/>
      <c r="O228" s="75"/>
      <c r="P228" s="75"/>
      <c r="Q228" s="76"/>
      <c r="R228" s="76"/>
      <c r="S228" s="31"/>
      <c r="T228" s="31"/>
      <c r="U228" s="76"/>
      <c r="V228" s="76"/>
      <c r="W228" s="76"/>
      <c r="X228" s="76"/>
      <c r="Y228" s="76">
        <v>0</v>
      </c>
      <c r="Z228" s="76">
        <v>0</v>
      </c>
      <c r="AA228" s="76"/>
      <c r="AB228" s="76"/>
      <c r="AC228" s="76"/>
      <c r="AD228" s="142"/>
      <c r="AE228" s="142"/>
      <c r="AF228" s="142"/>
    </row>
    <row r="229" spans="1:32" x14ac:dyDescent="0.35">
      <c r="A229" t="s">
        <v>85</v>
      </c>
      <c r="B229" t="s">
        <v>396</v>
      </c>
      <c r="C229" s="31"/>
      <c r="D229" s="31"/>
      <c r="E229" s="72"/>
      <c r="F229" s="31"/>
      <c r="G229" s="73"/>
      <c r="H229" s="31"/>
      <c r="I229" s="72"/>
      <c r="J229" s="72"/>
      <c r="K229" s="31">
        <v>9</v>
      </c>
      <c r="L229" s="31">
        <v>32</v>
      </c>
      <c r="M229" s="74"/>
      <c r="N229" s="74"/>
      <c r="O229" s="75"/>
      <c r="P229" s="75"/>
      <c r="Q229" s="76"/>
      <c r="R229" s="76"/>
      <c r="S229" s="31">
        <v>2</v>
      </c>
      <c r="T229" s="31"/>
      <c r="U229" s="76">
        <v>-0.71875</v>
      </c>
      <c r="V229" s="76"/>
      <c r="W229" s="76"/>
      <c r="X229" s="76"/>
      <c r="Y229" s="76">
        <v>1.778447845936193E-2</v>
      </c>
      <c r="Z229" s="76">
        <v>1.6129032258064502E-2</v>
      </c>
      <c r="AA229" s="76"/>
      <c r="AB229" s="76"/>
      <c r="AC229" s="76"/>
      <c r="AD229" s="142"/>
      <c r="AE229" s="142"/>
      <c r="AF229" s="142"/>
    </row>
    <row r="230" spans="1:32" x14ac:dyDescent="0.35">
      <c r="A230" t="s">
        <v>85</v>
      </c>
      <c r="B230" t="s">
        <v>419</v>
      </c>
      <c r="C230" s="31"/>
      <c r="D230" s="31"/>
      <c r="E230" s="72"/>
      <c r="F230" s="31"/>
      <c r="G230" s="73"/>
      <c r="H230" s="31"/>
      <c r="I230" s="72"/>
      <c r="J230" s="72"/>
      <c r="K230" s="31">
        <v>14</v>
      </c>
      <c r="L230" s="31">
        <v>35</v>
      </c>
      <c r="M230" s="74"/>
      <c r="N230" s="74"/>
      <c r="O230" s="75"/>
      <c r="P230" s="75"/>
      <c r="Q230" s="76"/>
      <c r="R230" s="76"/>
      <c r="S230" s="31"/>
      <c r="T230" s="31"/>
      <c r="U230" s="76">
        <v>-0.6</v>
      </c>
      <c r="V230" s="76"/>
      <c r="W230" s="76"/>
      <c r="X230" s="76"/>
      <c r="Y230" s="76">
        <v>0</v>
      </c>
      <c r="Z230" s="76">
        <v>0</v>
      </c>
      <c r="AA230" s="76"/>
      <c r="AB230" s="76"/>
      <c r="AC230" s="76"/>
      <c r="AD230" s="142"/>
      <c r="AE230" s="142"/>
      <c r="AF230" s="142"/>
    </row>
    <row r="231" spans="1:32" x14ac:dyDescent="0.35">
      <c r="A231" t="s">
        <v>85</v>
      </c>
      <c r="B231" t="s">
        <v>414</v>
      </c>
      <c r="C231" s="31"/>
      <c r="D231" s="31"/>
      <c r="E231" s="72"/>
      <c r="F231" s="31"/>
      <c r="G231" s="73"/>
      <c r="H231" s="31"/>
      <c r="I231" s="72"/>
      <c r="J231" s="72"/>
      <c r="K231" s="31">
        <v>12</v>
      </c>
      <c r="L231" s="31">
        <v>15.571428571428571</v>
      </c>
      <c r="M231" s="74"/>
      <c r="N231" s="74"/>
      <c r="O231" s="75"/>
      <c r="P231" s="75"/>
      <c r="Q231" s="76"/>
      <c r="R231" s="76"/>
      <c r="S231" s="31">
        <v>-6</v>
      </c>
      <c r="T231" s="31"/>
      <c r="U231" s="76">
        <v>-0.22935779816513757</v>
      </c>
      <c r="V231" s="76"/>
      <c r="W231" s="76"/>
      <c r="X231" s="76"/>
      <c r="Y231" s="76">
        <v>6.1501693876353514E-4</v>
      </c>
      <c r="Z231" s="76">
        <v>7.6923076923076872E-2</v>
      </c>
      <c r="AA231" s="76"/>
      <c r="AB231" s="76"/>
      <c r="AC231" s="76"/>
      <c r="AD231" s="142"/>
      <c r="AE231" s="142"/>
      <c r="AF231" s="142"/>
    </row>
    <row r="232" spans="1:32" x14ac:dyDescent="0.35">
      <c r="A232" t="s">
        <v>85</v>
      </c>
      <c r="B232" t="s">
        <v>437</v>
      </c>
      <c r="C232" s="31"/>
      <c r="D232" s="31"/>
      <c r="E232" s="72"/>
      <c r="F232" s="31"/>
      <c r="G232" s="73"/>
      <c r="H232" s="31"/>
      <c r="I232" s="72"/>
      <c r="J232" s="72"/>
      <c r="K232" s="31"/>
      <c r="L232" s="31">
        <v>3</v>
      </c>
      <c r="M232" s="74"/>
      <c r="N232" s="74"/>
      <c r="O232" s="75"/>
      <c r="P232" s="75"/>
      <c r="Q232" s="76"/>
      <c r="R232" s="76"/>
      <c r="S232" s="31"/>
      <c r="T232" s="31"/>
      <c r="U232" s="76"/>
      <c r="V232" s="76"/>
      <c r="W232" s="76"/>
      <c r="X232" s="76"/>
      <c r="Y232" s="76"/>
      <c r="Z232" s="76"/>
      <c r="AA232" s="76"/>
      <c r="AB232" s="76"/>
      <c r="AC232" s="76"/>
      <c r="AD232" s="142"/>
      <c r="AE232" s="142"/>
      <c r="AF232" s="142"/>
    </row>
    <row r="233" spans="1:32" x14ac:dyDescent="0.35">
      <c r="A233" t="s">
        <v>85</v>
      </c>
      <c r="B233" t="s">
        <v>421</v>
      </c>
      <c r="C233" s="31"/>
      <c r="D233" s="31"/>
      <c r="E233" s="72"/>
      <c r="F233" s="31"/>
      <c r="G233" s="73"/>
      <c r="H233" s="31"/>
      <c r="I233" s="72"/>
      <c r="J233" s="72"/>
      <c r="K233" s="31"/>
      <c r="L233" s="31">
        <v>-1</v>
      </c>
      <c r="M233" s="74"/>
      <c r="N233" s="74"/>
      <c r="O233" s="75"/>
      <c r="P233" s="75"/>
      <c r="Q233" s="76"/>
      <c r="R233" s="76"/>
      <c r="S233" s="31"/>
      <c r="T233" s="31"/>
      <c r="U233" s="76"/>
      <c r="V233" s="76"/>
      <c r="W233" s="76"/>
      <c r="X233" s="76"/>
      <c r="Y233" s="76"/>
      <c r="Z233" s="76"/>
      <c r="AA233" s="76"/>
      <c r="AB233" s="76"/>
      <c r="AC233" s="76"/>
      <c r="AD233" s="142"/>
      <c r="AE233" s="142"/>
      <c r="AF233" s="142"/>
    </row>
    <row r="234" spans="1:32" x14ac:dyDescent="0.35">
      <c r="A234" t="s">
        <v>85</v>
      </c>
      <c r="B234" t="s">
        <v>432</v>
      </c>
      <c r="C234" s="31"/>
      <c r="D234" s="31"/>
      <c r="E234" s="72"/>
      <c r="F234" s="31"/>
      <c r="G234" s="73"/>
      <c r="H234" s="31"/>
      <c r="I234" s="72"/>
      <c r="J234" s="72"/>
      <c r="K234" s="31"/>
      <c r="L234" s="31"/>
      <c r="M234" s="74"/>
      <c r="N234" s="74"/>
      <c r="O234" s="75"/>
      <c r="P234" s="75"/>
      <c r="Q234" s="76"/>
      <c r="R234" s="76"/>
      <c r="S234" s="31">
        <v>1</v>
      </c>
      <c r="T234" s="31"/>
      <c r="U234" s="76"/>
      <c r="V234" s="76"/>
      <c r="W234" s="76"/>
      <c r="X234" s="76"/>
      <c r="Y234" s="76"/>
      <c r="Z234" s="76"/>
      <c r="AA234" s="76"/>
      <c r="AB234" s="76"/>
      <c r="AC234" s="76"/>
      <c r="AD234" s="142"/>
      <c r="AE234" s="142"/>
      <c r="AF234" s="142"/>
    </row>
    <row r="235" spans="1:32" x14ac:dyDescent="0.35">
      <c r="A235" t="s">
        <v>85</v>
      </c>
      <c r="B235" t="s">
        <v>429</v>
      </c>
      <c r="C235" s="31"/>
      <c r="D235" s="31"/>
      <c r="E235" s="72"/>
      <c r="F235" s="31"/>
      <c r="G235" s="73"/>
      <c r="H235" s="31"/>
      <c r="I235" s="72"/>
      <c r="J235" s="72"/>
      <c r="K235" s="31"/>
      <c r="L235" s="31">
        <v>2</v>
      </c>
      <c r="M235" s="74"/>
      <c r="N235" s="74"/>
      <c r="O235" s="75"/>
      <c r="P235" s="75"/>
      <c r="Q235" s="76"/>
      <c r="R235" s="76"/>
      <c r="S235" s="31"/>
      <c r="T235" s="31"/>
      <c r="U235" s="76"/>
      <c r="V235" s="76"/>
      <c r="W235" s="76"/>
      <c r="X235" s="76"/>
      <c r="Y235" s="76"/>
      <c r="Z235" s="76"/>
      <c r="AA235" s="76"/>
      <c r="AB235" s="76"/>
      <c r="AC235" s="76"/>
      <c r="AD235" s="142"/>
      <c r="AE235" s="142"/>
      <c r="AF235" s="142"/>
    </row>
    <row r="236" spans="1:32" x14ac:dyDescent="0.35">
      <c r="A236" t="s">
        <v>85</v>
      </c>
      <c r="B236" t="s">
        <v>448</v>
      </c>
      <c r="C236" s="31"/>
      <c r="D236" s="31"/>
      <c r="E236" s="72"/>
      <c r="F236" s="31"/>
      <c r="G236" s="73"/>
      <c r="H236" s="31"/>
      <c r="I236" s="72"/>
      <c r="J236" s="72"/>
      <c r="K236" s="31">
        <v>1</v>
      </c>
      <c r="L236" s="31"/>
      <c r="M236" s="74"/>
      <c r="N236" s="74"/>
      <c r="O236" s="75"/>
      <c r="P236" s="75"/>
      <c r="Q236" s="76"/>
      <c r="R236" s="76"/>
      <c r="S236" s="31">
        <v>4</v>
      </c>
      <c r="T236" s="31"/>
      <c r="U236" s="76"/>
      <c r="V236" s="76"/>
      <c r="W236" s="76"/>
      <c r="X236" s="76"/>
      <c r="Y236" s="76">
        <v>0</v>
      </c>
      <c r="Z236" s="76">
        <v>0</v>
      </c>
      <c r="AA236" s="76"/>
      <c r="AB236" s="76"/>
      <c r="AC236" s="76"/>
      <c r="AD236" s="142"/>
      <c r="AE236" s="142"/>
      <c r="AF236" s="142"/>
    </row>
    <row r="237" spans="1:32" x14ac:dyDescent="0.35">
      <c r="A237" t="s">
        <v>85</v>
      </c>
      <c r="B237" t="s">
        <v>769</v>
      </c>
      <c r="C237" s="31"/>
      <c r="D237" s="31"/>
      <c r="E237" s="72"/>
      <c r="F237" s="31"/>
      <c r="G237" s="73"/>
      <c r="H237" s="31"/>
      <c r="I237" s="72"/>
      <c r="J237" s="72"/>
      <c r="K237" s="31">
        <v>4</v>
      </c>
      <c r="L237" s="31"/>
      <c r="M237" s="74"/>
      <c r="N237" s="74"/>
      <c r="O237" s="75"/>
      <c r="P237" s="75"/>
      <c r="Q237" s="76"/>
      <c r="R237" s="76"/>
      <c r="S237" s="31"/>
      <c r="T237" s="31"/>
      <c r="U237" s="76"/>
      <c r="V237" s="76"/>
      <c r="W237" s="76"/>
      <c r="X237" s="76"/>
      <c r="Y237" s="76">
        <v>0</v>
      </c>
      <c r="Z237" s="76">
        <v>0</v>
      </c>
      <c r="AA237" s="76"/>
      <c r="AB237" s="76"/>
      <c r="AC237" s="76"/>
      <c r="AD237" s="142"/>
      <c r="AE237" s="142"/>
      <c r="AF237" s="142"/>
    </row>
    <row r="238" spans="1:32" x14ac:dyDescent="0.35">
      <c r="A238" t="s">
        <v>85</v>
      </c>
      <c r="B238" t="s">
        <v>440</v>
      </c>
      <c r="C238" s="31"/>
      <c r="D238" s="31"/>
      <c r="E238" s="72"/>
      <c r="F238" s="31"/>
      <c r="G238" s="73"/>
      <c r="H238" s="31"/>
      <c r="I238" s="72"/>
      <c r="J238" s="72"/>
      <c r="K238" s="31"/>
      <c r="L238" s="31">
        <v>2</v>
      </c>
      <c r="M238" s="74"/>
      <c r="N238" s="74"/>
      <c r="O238" s="75"/>
      <c r="P238" s="75"/>
      <c r="Q238" s="76"/>
      <c r="R238" s="76"/>
      <c r="S238" s="31"/>
      <c r="T238" s="31"/>
      <c r="U238" s="76"/>
      <c r="V238" s="76"/>
      <c r="W238" s="76"/>
      <c r="X238" s="76"/>
      <c r="Y238" s="76"/>
      <c r="Z238" s="76"/>
      <c r="AA238" s="76"/>
      <c r="AB238" s="76"/>
      <c r="AC238" s="76"/>
      <c r="AD238" s="142"/>
      <c r="AE238" s="142"/>
      <c r="AF238" s="142"/>
    </row>
    <row r="239" spans="1:32" x14ac:dyDescent="0.35">
      <c r="A239" t="s">
        <v>85</v>
      </c>
      <c r="B239" t="s">
        <v>433</v>
      </c>
      <c r="C239" s="31"/>
      <c r="D239" s="31"/>
      <c r="E239" s="72"/>
      <c r="F239" s="31"/>
      <c r="G239" s="73"/>
      <c r="H239" s="31"/>
      <c r="I239" s="72"/>
      <c r="J239" s="72"/>
      <c r="K239" s="31">
        <v>33</v>
      </c>
      <c r="L239" s="31">
        <v>39</v>
      </c>
      <c r="M239" s="74"/>
      <c r="N239" s="74"/>
      <c r="O239" s="75"/>
      <c r="P239" s="75"/>
      <c r="Q239" s="76"/>
      <c r="R239" s="76"/>
      <c r="S239" s="31"/>
      <c r="T239" s="31"/>
      <c r="U239" s="76">
        <v>-0.15384615384615385</v>
      </c>
      <c r="V239" s="76"/>
      <c r="W239" s="76"/>
      <c r="X239" s="76"/>
      <c r="Y239" s="76">
        <v>0</v>
      </c>
      <c r="Z239" s="76">
        <v>0</v>
      </c>
      <c r="AA239" s="76"/>
      <c r="AB239" s="76"/>
      <c r="AC239" s="76"/>
      <c r="AD239" s="142"/>
      <c r="AE239" s="142"/>
      <c r="AF239" s="142"/>
    </row>
    <row r="240" spans="1:32" x14ac:dyDescent="0.35">
      <c r="A240" s="138" t="s">
        <v>838</v>
      </c>
      <c r="B240" s="138"/>
      <c r="C240" s="127">
        <v>23051</v>
      </c>
      <c r="D240" s="127">
        <v>20338</v>
      </c>
      <c r="E240" s="126">
        <v>39655</v>
      </c>
      <c r="F240" s="127">
        <v>35431</v>
      </c>
      <c r="G240" s="127">
        <v>14305974.740001872</v>
      </c>
      <c r="H240" s="127">
        <v>8322819.9000013014</v>
      </c>
      <c r="I240" s="126">
        <v>8702863.389999954</v>
      </c>
      <c r="J240" s="126">
        <v>4129773.4300012672</v>
      </c>
      <c r="K240" s="127">
        <v>476333.71428571426</v>
      </c>
      <c r="L240" s="127">
        <v>586688.42857142852</v>
      </c>
      <c r="M240" s="140">
        <v>12.01194589044797</v>
      </c>
      <c r="N240" s="140">
        <v>16.773564855993641</v>
      </c>
      <c r="O240" s="139">
        <v>360.76093153453212</v>
      </c>
      <c r="P240" s="139">
        <v>234.90220146203328</v>
      </c>
      <c r="Q240" s="141">
        <v>0.60833767346626899</v>
      </c>
      <c r="R240" s="141">
        <v>0.48563543683774912</v>
      </c>
      <c r="S240" s="127">
        <v>215056.57142857142</v>
      </c>
      <c r="T240" s="127"/>
      <c r="U240" s="141">
        <v>-0.21300695258300884</v>
      </c>
      <c r="V240" s="141">
        <v>7.2309559425361991E-2</v>
      </c>
      <c r="W240" s="141">
        <v>0.64972499404920492</v>
      </c>
      <c r="X240" s="141">
        <v>1.0654048366283027</v>
      </c>
      <c r="Y240" s="141">
        <v>-3.2460834347516454E-2</v>
      </c>
      <c r="Z240" s="141">
        <v>-1.8892507759943E-2</v>
      </c>
      <c r="AA240" s="141">
        <v>7.693770028787128E-2</v>
      </c>
      <c r="AB240" s="141">
        <v>6.436461449905817E-2</v>
      </c>
      <c r="AC240" s="141">
        <v>-1.167484970156818E-2</v>
      </c>
      <c r="AD240" s="143">
        <v>-1.35391410840148E-2</v>
      </c>
      <c r="AE240" s="143">
        <v>0.2145449444460861</v>
      </c>
      <c r="AF240" s="143">
        <v>0.43528463238339232</v>
      </c>
    </row>
    <row r="241" spans="1:32" x14ac:dyDescent="0.35">
      <c r="A241" t="s">
        <v>80</v>
      </c>
      <c r="B241" t="s">
        <v>482</v>
      </c>
      <c r="C241" s="31">
        <v>1002</v>
      </c>
      <c r="D241" s="31">
        <v>575</v>
      </c>
      <c r="E241" s="72">
        <v>1060</v>
      </c>
      <c r="F241" s="31">
        <v>595</v>
      </c>
      <c r="G241" s="73">
        <v>2203955.8700000118</v>
      </c>
      <c r="H241" s="31">
        <v>881830.95999999472</v>
      </c>
      <c r="I241" s="72">
        <v>998869.21999999683</v>
      </c>
      <c r="J241" s="72">
        <v>406855.52999999316</v>
      </c>
      <c r="K241" s="31">
        <v>16841.142857142859</v>
      </c>
      <c r="L241" s="31">
        <v>14642.142857142857</v>
      </c>
      <c r="M241" s="74">
        <v>15.887870619946094</v>
      </c>
      <c r="N241" s="74">
        <v>24.932663081599252</v>
      </c>
      <c r="O241" s="75">
        <v>2079.2036509434074</v>
      </c>
      <c r="P241" s="75">
        <v>1482.0688403361255</v>
      </c>
      <c r="Q241" s="76">
        <v>0.4532165247029159</v>
      </c>
      <c r="R241" s="76">
        <v>0.44927995321765107</v>
      </c>
      <c r="S241" s="31">
        <v>4153.5714285714284</v>
      </c>
      <c r="T241" s="31"/>
      <c r="U241" s="76">
        <v>0.11072735255378308</v>
      </c>
      <c r="V241" s="76">
        <v>0.72100840336134464</v>
      </c>
      <c r="W241" s="76">
        <v>1.4215950186190152</v>
      </c>
      <c r="X241" s="76">
        <v>1.4484586684833656</v>
      </c>
      <c r="Y241" s="76">
        <v>9.3155303438208215E-4</v>
      </c>
      <c r="Z241" s="76">
        <v>-7.1837023437565373E-3</v>
      </c>
      <c r="AA241" s="76">
        <v>7.6045627376426506E-3</v>
      </c>
      <c r="AB241" s="76">
        <v>8.9861303866750619E-2</v>
      </c>
      <c r="AC241" s="76">
        <v>8.1635935535680826E-2</v>
      </c>
      <c r="AD241" s="142">
        <v>5.2029195596642493E-2</v>
      </c>
      <c r="AE241" s="142">
        <v>-0.12315598769048727</v>
      </c>
      <c r="AF241" s="142">
        <v>-5.4987040803611753E-3</v>
      </c>
    </row>
    <row r="242" spans="1:32" x14ac:dyDescent="0.35">
      <c r="A242" t="s">
        <v>80</v>
      </c>
      <c r="B242" t="s">
        <v>481</v>
      </c>
      <c r="C242" s="31">
        <v>1545</v>
      </c>
      <c r="D242" s="31">
        <v>1447</v>
      </c>
      <c r="E242" s="72">
        <v>1830</v>
      </c>
      <c r="F242" s="31">
        <v>1720</v>
      </c>
      <c r="G242" s="73">
        <v>2172879.7699999977</v>
      </c>
      <c r="H242" s="31">
        <v>1640265.0499999837</v>
      </c>
      <c r="I242" s="72">
        <v>1092902.3799999943</v>
      </c>
      <c r="J242" s="72">
        <v>800141.17999998073</v>
      </c>
      <c r="K242" s="31">
        <v>24204</v>
      </c>
      <c r="L242" s="31">
        <v>32018.142857142859</v>
      </c>
      <c r="M242" s="74">
        <v>13.226229508196722</v>
      </c>
      <c r="N242" s="74">
        <v>18.861284820920979</v>
      </c>
      <c r="O242" s="75">
        <v>1187.3659945355178</v>
      </c>
      <c r="P242" s="75">
        <v>953.64247093022311</v>
      </c>
      <c r="Q242" s="76">
        <v>0.50297416133613115</v>
      </c>
      <c r="R242" s="76">
        <v>0.47796481741135843</v>
      </c>
      <c r="S242" s="31">
        <v>1427.4285714285713</v>
      </c>
      <c r="T242" s="31"/>
      <c r="U242" s="76">
        <v>-0.26724580260298847</v>
      </c>
      <c r="V242" s="76">
        <v>1.8023255813953476E-2</v>
      </c>
      <c r="W242" s="76">
        <v>0.26130570787934859</v>
      </c>
      <c r="X242" s="76">
        <v>0.33291261459540511</v>
      </c>
      <c r="Y242" s="76">
        <v>1.5410756656404345E-2</v>
      </c>
      <c r="Z242" s="76">
        <v>-1.1032115714635915E-2</v>
      </c>
      <c r="AA242" s="76">
        <v>0.1254612546125462</v>
      </c>
      <c r="AB242" s="76">
        <v>0.14630762930091001</v>
      </c>
      <c r="AC242" s="76">
        <v>1.852251652638226E-2</v>
      </c>
      <c r="AD242" s="142">
        <v>-0.13091349255378082</v>
      </c>
      <c r="AE242" s="142">
        <v>-0.10978223968243228</v>
      </c>
      <c r="AF242" s="142">
        <v>2.2354453328477963E-2</v>
      </c>
    </row>
    <row r="243" spans="1:32" x14ac:dyDescent="0.35">
      <c r="A243" t="s">
        <v>80</v>
      </c>
      <c r="B243" t="s">
        <v>483</v>
      </c>
      <c r="C243" s="31">
        <v>2165</v>
      </c>
      <c r="D243" s="31">
        <v>1436</v>
      </c>
      <c r="E243" s="72">
        <v>2415</v>
      </c>
      <c r="F243" s="31">
        <v>1635</v>
      </c>
      <c r="G243" s="73">
        <v>1805787.4599999699</v>
      </c>
      <c r="H243" s="31">
        <v>1089234.1199999994</v>
      </c>
      <c r="I243" s="72">
        <v>979054.46999999147</v>
      </c>
      <c r="J243" s="72">
        <v>536024.3400000016</v>
      </c>
      <c r="K243" s="31">
        <v>35934.857142857145</v>
      </c>
      <c r="L243" s="31">
        <v>28607.714285714286</v>
      </c>
      <c r="M243" s="74">
        <v>14.87985803016859</v>
      </c>
      <c r="N243" s="74">
        <v>17.823288022569891</v>
      </c>
      <c r="O243" s="75">
        <v>747.73807867493576</v>
      </c>
      <c r="P243" s="75">
        <v>666.19823853210971</v>
      </c>
      <c r="Q243" s="76">
        <v>0.54217591587440073</v>
      </c>
      <c r="R243" s="76">
        <v>0.48203968420136534</v>
      </c>
      <c r="S243" s="31">
        <v>2921.8571428571427</v>
      </c>
      <c r="T243" s="31"/>
      <c r="U243" s="76">
        <v>0.21646009567848812</v>
      </c>
      <c r="V243" s="76">
        <v>0.42935779816513753</v>
      </c>
      <c r="W243" s="76">
        <v>0.60409724403416587</v>
      </c>
      <c r="X243" s="76">
        <v>0.80246257157912781</v>
      </c>
      <c r="Y243" s="76">
        <v>1.1519875002546476E-2</v>
      </c>
      <c r="Z243" s="76">
        <v>4.7332031203193292E-3</v>
      </c>
      <c r="AA243" s="76">
        <v>8.7348041422782519E-2</v>
      </c>
      <c r="AB243" s="76">
        <v>0.11602275503259118</v>
      </c>
      <c r="AC243" s="76">
        <v>2.6371237651090951E-2</v>
      </c>
      <c r="AD243" s="142">
        <v>5.9711146875570019E-2</v>
      </c>
      <c r="AE243" s="142">
        <v>-0.1474720256418158</v>
      </c>
      <c r="AF243" s="142">
        <v>1.6290556051399497E-2</v>
      </c>
    </row>
    <row r="244" spans="1:32" x14ac:dyDescent="0.35">
      <c r="A244" t="s">
        <v>80</v>
      </c>
      <c r="B244" t="s">
        <v>486</v>
      </c>
      <c r="C244" s="31">
        <v>1264</v>
      </c>
      <c r="D244" s="31">
        <v>1480</v>
      </c>
      <c r="E244" s="72">
        <v>2303</v>
      </c>
      <c r="F244" s="31">
        <v>1762</v>
      </c>
      <c r="G244" s="73">
        <v>1031868.3699999872</v>
      </c>
      <c r="H244" s="31">
        <v>475573.72999999794</v>
      </c>
      <c r="I244" s="72">
        <v>502970.16999999894</v>
      </c>
      <c r="J244" s="72">
        <v>229739.63999999739</v>
      </c>
      <c r="K244" s="31">
        <v>33791.714285714283</v>
      </c>
      <c r="L244" s="31">
        <v>25863</v>
      </c>
      <c r="M244" s="74">
        <v>14.672911109732645</v>
      </c>
      <c r="N244" s="74">
        <v>14.850051788702096</v>
      </c>
      <c r="O244" s="75">
        <v>448.05400347372438</v>
      </c>
      <c r="P244" s="75">
        <v>269.90563564131554</v>
      </c>
      <c r="Q244" s="76">
        <v>0.48743636748939712</v>
      </c>
      <c r="R244" s="76">
        <v>0.47343531023074703</v>
      </c>
      <c r="S244" s="31">
        <v>6470.2857142857147</v>
      </c>
      <c r="T244" s="31"/>
      <c r="U244" s="76">
        <v>0.26664125805756722</v>
      </c>
      <c r="V244" s="76">
        <v>0.25936435868331431</v>
      </c>
      <c r="W244" s="76">
        <v>1.1040077213684412</v>
      </c>
      <c r="X244" s="76">
        <v>1.166072048648497</v>
      </c>
      <c r="Y244" s="76">
        <v>8.6800115863354677E-3</v>
      </c>
      <c r="Z244" s="76">
        <v>8.5323887568480083E-2</v>
      </c>
      <c r="AA244" s="76">
        <v>0.2335297268344938</v>
      </c>
      <c r="AB244" s="76">
        <v>0.11579777482621556</v>
      </c>
      <c r="AC244" s="76">
        <v>-9.5443141293727884E-2</v>
      </c>
      <c r="AD244" s="142">
        <v>0.34348243013162177</v>
      </c>
      <c r="AE244" s="142">
        <v>0.13031469373684887</v>
      </c>
      <c r="AF244" s="142">
        <v>0.16581698882682824</v>
      </c>
    </row>
    <row r="245" spans="1:32" x14ac:dyDescent="0.35">
      <c r="A245" t="s">
        <v>80</v>
      </c>
      <c r="B245" t="s">
        <v>484</v>
      </c>
      <c r="C245" s="31">
        <v>1993</v>
      </c>
      <c r="D245" s="31">
        <v>1468</v>
      </c>
      <c r="E245" s="72">
        <v>2220</v>
      </c>
      <c r="F245" s="31">
        <v>1588</v>
      </c>
      <c r="G245" s="73">
        <v>979283.59999997984</v>
      </c>
      <c r="H245" s="31">
        <v>682131.28999999783</v>
      </c>
      <c r="I245" s="72">
        <v>440737.79999999818</v>
      </c>
      <c r="J245" s="72">
        <v>360689.54999999952</v>
      </c>
      <c r="K245" s="31">
        <v>37841.571428571428</v>
      </c>
      <c r="L245" s="31">
        <v>25883.714285714286</v>
      </c>
      <c r="M245" s="74">
        <v>17.045752895752894</v>
      </c>
      <c r="N245" s="74">
        <v>16.375218302479915</v>
      </c>
      <c r="O245" s="75">
        <v>441.11873873872963</v>
      </c>
      <c r="P245" s="75">
        <v>429.55370906800869</v>
      </c>
      <c r="Q245" s="76">
        <v>0.45006145308673323</v>
      </c>
      <c r="R245" s="76">
        <v>0.51383638941168408</v>
      </c>
      <c r="S245" s="31">
        <v>7442.4285714285716</v>
      </c>
      <c r="T245" s="31"/>
      <c r="U245" s="76">
        <v>0.41745499100371997</v>
      </c>
      <c r="V245" s="76">
        <v>0.35012594458438295</v>
      </c>
      <c r="W245" s="76">
        <v>0.38827267401849297</v>
      </c>
      <c r="X245" s="76">
        <v>0.21624160129148273</v>
      </c>
      <c r="Y245" s="76">
        <v>-3.3054991053527161E-4</v>
      </c>
      <c r="Z245" s="76">
        <v>-2.8233593458840689E-3</v>
      </c>
      <c r="AA245" s="76">
        <v>5.3630754627432387E-2</v>
      </c>
      <c r="AB245" s="76">
        <v>3.859279466062393E-2</v>
      </c>
      <c r="AC245" s="76">
        <v>-1.4272514256786439E-2</v>
      </c>
      <c r="AD245" s="142">
        <v>-5.8830232814875927E-2</v>
      </c>
      <c r="AE245" s="142">
        <v>-6.5178942199043022E-2</v>
      </c>
      <c r="AF245" s="142">
        <v>-5.3522986105995367E-2</v>
      </c>
    </row>
    <row r="246" spans="1:32" x14ac:dyDescent="0.35">
      <c r="A246" t="s">
        <v>80</v>
      </c>
      <c r="B246" t="s">
        <v>485</v>
      </c>
      <c r="C246" s="31">
        <v>1027</v>
      </c>
      <c r="D246" s="31">
        <v>939</v>
      </c>
      <c r="E246" s="72">
        <v>1233</v>
      </c>
      <c r="F246" s="31">
        <v>1117</v>
      </c>
      <c r="G246" s="73">
        <v>898998.25999999407</v>
      </c>
      <c r="H246" s="31">
        <v>650010.00999999861</v>
      </c>
      <c r="I246" s="72">
        <v>465421.82999999536</v>
      </c>
      <c r="J246" s="72">
        <v>334879.5699999964</v>
      </c>
      <c r="K246" s="31">
        <v>16520.428571428572</v>
      </c>
      <c r="L246" s="31">
        <v>17476.571428571428</v>
      </c>
      <c r="M246" s="74">
        <v>13.398563318271348</v>
      </c>
      <c r="N246" s="74">
        <v>15.869597708307387</v>
      </c>
      <c r="O246" s="75">
        <v>729.11456609894083</v>
      </c>
      <c r="P246" s="75">
        <v>581.92480752014205</v>
      </c>
      <c r="Q246" s="76">
        <v>0.51771160268986327</v>
      </c>
      <c r="R246" s="76">
        <v>0.50145326998474216</v>
      </c>
      <c r="S246" s="31">
        <v>4941.4285714285716</v>
      </c>
      <c r="T246" s="31"/>
      <c r="U246" s="76">
        <v>-8.9425843578341491E-2</v>
      </c>
      <c r="V246" s="76">
        <v>7.6096687555953446E-2</v>
      </c>
      <c r="W246" s="76">
        <v>0.34825254460311483</v>
      </c>
      <c r="X246" s="76">
        <v>0.39284254803062679</v>
      </c>
      <c r="Y246" s="76">
        <v>3.5382118441940502E-2</v>
      </c>
      <c r="Z246" s="76">
        <v>4.8516664853298641E-2</v>
      </c>
      <c r="AA246" s="76">
        <v>6.2931034482758719E-2</v>
      </c>
      <c r="AB246" s="76">
        <v>9.1574896589461607E-2</v>
      </c>
      <c r="AC246" s="76">
        <v>2.6947996791383266E-2</v>
      </c>
      <c r="AD246" s="142">
        <v>0.21091045047145462</v>
      </c>
      <c r="AE246" s="142">
        <v>0.44907212600316976</v>
      </c>
      <c r="AF246" s="142">
        <v>0.75032426207085789</v>
      </c>
    </row>
    <row r="247" spans="1:32" x14ac:dyDescent="0.35">
      <c r="A247" t="s">
        <v>80</v>
      </c>
      <c r="B247" t="s">
        <v>488</v>
      </c>
      <c r="C247" s="31">
        <v>610</v>
      </c>
      <c r="D247" s="31">
        <v>136</v>
      </c>
      <c r="E247" s="72">
        <v>630</v>
      </c>
      <c r="F247" s="31">
        <v>137</v>
      </c>
      <c r="G247" s="73">
        <v>718269.21999999601</v>
      </c>
      <c r="H247" s="31">
        <v>151756.88000000006</v>
      </c>
      <c r="I247" s="72">
        <v>329535.59999999939</v>
      </c>
      <c r="J247" s="72">
        <v>81381.110000000088</v>
      </c>
      <c r="K247" s="31">
        <v>8855.5714285714294</v>
      </c>
      <c r="L247" s="31">
        <v>3550.4285714285716</v>
      </c>
      <c r="M247" s="74">
        <v>14.056462585034016</v>
      </c>
      <c r="N247" s="74">
        <v>27.013555787278413</v>
      </c>
      <c r="O247" s="75">
        <v>1140.1098730158667</v>
      </c>
      <c r="P247" s="75">
        <v>1107.7144525547451</v>
      </c>
      <c r="Q247" s="76">
        <v>0.45879120366594744</v>
      </c>
      <c r="R247" s="76">
        <v>0.53625977286828808</v>
      </c>
      <c r="S247" s="31">
        <v>238.57142857142858</v>
      </c>
      <c r="T247" s="31"/>
      <c r="U247" s="76">
        <v>1.4232084657787789</v>
      </c>
      <c r="V247" s="76">
        <v>3.4817518248175183</v>
      </c>
      <c r="W247" s="76">
        <v>3.6155141038745349</v>
      </c>
      <c r="X247" s="76">
        <v>2.9439744677849125</v>
      </c>
      <c r="Y247" s="76">
        <v>-3.7357047798833087E-2</v>
      </c>
      <c r="Z247" s="76">
        <v>-2.9298465393047257E-2</v>
      </c>
      <c r="AA247" s="76">
        <v>-0.20953575909661226</v>
      </c>
      <c r="AB247" s="76">
        <v>-0.15270230420822462</v>
      </c>
      <c r="AC247" s="76">
        <v>7.1898831025468235E-2</v>
      </c>
      <c r="AD247" s="142">
        <v>-0.25839243729796346</v>
      </c>
      <c r="AE247" s="142">
        <v>-0.19616433714043724</v>
      </c>
      <c r="AF247" s="142">
        <v>-0.1223083428760684</v>
      </c>
    </row>
    <row r="248" spans="1:32" x14ac:dyDescent="0.35">
      <c r="A248" t="s">
        <v>80</v>
      </c>
      <c r="B248" t="s">
        <v>490</v>
      </c>
      <c r="C248" s="31">
        <v>632</v>
      </c>
      <c r="D248" s="31">
        <v>165</v>
      </c>
      <c r="E248" s="72">
        <v>661</v>
      </c>
      <c r="F248" s="31">
        <v>169</v>
      </c>
      <c r="G248" s="73">
        <v>351546.28999999864</v>
      </c>
      <c r="H248" s="31">
        <v>71407.510000000271</v>
      </c>
      <c r="I248" s="72">
        <v>205598.03000000012</v>
      </c>
      <c r="J248" s="72">
        <v>47129.130000000288</v>
      </c>
      <c r="K248" s="31">
        <v>7687.4285714285716</v>
      </c>
      <c r="L248" s="31">
        <v>2552.5714285714284</v>
      </c>
      <c r="M248" s="74">
        <v>11.629997838772423</v>
      </c>
      <c r="N248" s="74">
        <v>14.96709470304976</v>
      </c>
      <c r="O248" s="75">
        <v>531.84007564296314</v>
      </c>
      <c r="P248" s="75">
        <v>422.5296449704158</v>
      </c>
      <c r="Q248" s="76">
        <v>0.58483914024523176</v>
      </c>
      <c r="R248" s="76">
        <v>0.62916495733467426</v>
      </c>
      <c r="S248" s="31">
        <v>2589.7142857142858</v>
      </c>
      <c r="T248" s="31"/>
      <c r="U248" s="76">
        <v>1.9247817327065144</v>
      </c>
      <c r="V248" s="76">
        <v>2.7692307692307692</v>
      </c>
      <c r="W248" s="76">
        <v>3.7337529343902043</v>
      </c>
      <c r="X248" s="76">
        <v>3.3990039563521197</v>
      </c>
      <c r="Y248" s="76">
        <v>0.29741655140065593</v>
      </c>
      <c r="Z248" s="76">
        <v>0.24691815738251921</v>
      </c>
      <c r="AA248" s="76">
        <v>0.27360308285163781</v>
      </c>
      <c r="AB248" s="76">
        <v>0.41105742841571824</v>
      </c>
      <c r="AC248" s="76">
        <v>0.10792557541264425</v>
      </c>
      <c r="AD248" s="142">
        <v>1.1730597141029275</v>
      </c>
      <c r="AE248" s="142">
        <v>1.0035542658374745</v>
      </c>
      <c r="AF248" s="142">
        <v>1.3059142916643411</v>
      </c>
    </row>
    <row r="249" spans="1:32" x14ac:dyDescent="0.35">
      <c r="A249" t="s">
        <v>80</v>
      </c>
      <c r="B249" t="s">
        <v>489</v>
      </c>
      <c r="C249" s="31">
        <v>338</v>
      </c>
      <c r="D249" s="31">
        <v>109</v>
      </c>
      <c r="E249" s="72">
        <v>384</v>
      </c>
      <c r="F249" s="31">
        <v>121</v>
      </c>
      <c r="G249" s="73">
        <v>224685.87000000046</v>
      </c>
      <c r="H249" s="31">
        <v>73401.180000000037</v>
      </c>
      <c r="I249" s="72">
        <v>109736.87000000037</v>
      </c>
      <c r="J249" s="72">
        <v>36006.540000000059</v>
      </c>
      <c r="K249" s="31">
        <v>4081.1428571428573</v>
      </c>
      <c r="L249" s="31">
        <v>2016.7142857142858</v>
      </c>
      <c r="M249" s="74">
        <v>10.627976190476192</v>
      </c>
      <c r="N249" s="74">
        <v>17.041142857142859</v>
      </c>
      <c r="O249" s="75">
        <v>585.1194531250012</v>
      </c>
      <c r="P249" s="75">
        <v>606.62132231404985</v>
      </c>
      <c r="Q249" s="76">
        <v>0.48840129555098477</v>
      </c>
      <c r="R249" s="76">
        <v>0.47763876003091393</v>
      </c>
      <c r="S249" s="31">
        <v>2631.4285714285716</v>
      </c>
      <c r="T249" s="31"/>
      <c r="U249" s="76">
        <v>0.95133526953318692</v>
      </c>
      <c r="V249" s="76">
        <v>2.0247933884297522</v>
      </c>
      <c r="W249" s="76">
        <v>1.9083687755428507</v>
      </c>
      <c r="X249" s="76">
        <v>1.9761760467936456</v>
      </c>
      <c r="Y249" s="76">
        <v>2.5133291810865988E-3</v>
      </c>
      <c r="Z249" s="76">
        <v>9.0064634620139472E-3</v>
      </c>
      <c r="AA249" s="76">
        <v>0.52380952380952372</v>
      </c>
      <c r="AB249" s="76">
        <v>0.42200873802426808</v>
      </c>
      <c r="AC249" s="76">
        <v>-6.6806765671574064E-2</v>
      </c>
      <c r="AD249" s="142">
        <v>0.25309112126201955</v>
      </c>
      <c r="AE249" s="142">
        <v>0.10193584019561536</v>
      </c>
      <c r="AF249" s="142">
        <v>0.11021843702365908</v>
      </c>
    </row>
    <row r="250" spans="1:32" x14ac:dyDescent="0.35">
      <c r="A250" t="s">
        <v>80</v>
      </c>
      <c r="B250" t="s">
        <v>487</v>
      </c>
      <c r="C250" s="31">
        <v>22</v>
      </c>
      <c r="D250" s="31">
        <v>157</v>
      </c>
      <c r="E250" s="72">
        <v>26</v>
      </c>
      <c r="F250" s="31">
        <v>189</v>
      </c>
      <c r="G250" s="73">
        <v>10075.579999999998</v>
      </c>
      <c r="H250" s="31">
        <v>116623.94000000021</v>
      </c>
      <c r="I250" s="72">
        <v>2427.4300000000003</v>
      </c>
      <c r="J250" s="72">
        <v>40371.190000000308</v>
      </c>
      <c r="K250" s="31">
        <v>755.57142857142856</v>
      </c>
      <c r="L250" s="31">
        <v>6249.8571428571431</v>
      </c>
      <c r="M250" s="74">
        <v>29.060439560439558</v>
      </c>
      <c r="N250" s="74">
        <v>33.34475218658892</v>
      </c>
      <c r="O250" s="75">
        <v>387.52230769230761</v>
      </c>
      <c r="P250" s="75">
        <v>617.05788359788471</v>
      </c>
      <c r="Q250" s="76">
        <v>0.24092211068742453</v>
      </c>
      <c r="R250" s="76">
        <v>0.33324633029177825</v>
      </c>
      <c r="S250" s="31">
        <v>28</v>
      </c>
      <c r="T250" s="31"/>
      <c r="U250" s="76">
        <v>-0.88228302361196831</v>
      </c>
      <c r="V250" s="76">
        <v>-0.89417989417989419</v>
      </c>
      <c r="W250" s="76">
        <v>-0.92432402815408243</v>
      </c>
      <c r="X250" s="76">
        <v>-0.94186132229609143</v>
      </c>
      <c r="Y250" s="76">
        <v>-2.7654127641421833E-2</v>
      </c>
      <c r="Z250" s="76">
        <v>-3.0430797433547263E-2</v>
      </c>
      <c r="AA250" s="76">
        <v>-0.39534883720930236</v>
      </c>
      <c r="AB250" s="76">
        <v>-0.54545790844177067</v>
      </c>
      <c r="AC250" s="76">
        <v>-0.24825731011523611</v>
      </c>
      <c r="AD250" s="142"/>
      <c r="AE250" s="142"/>
      <c r="AF250" s="142"/>
    </row>
    <row r="251" spans="1:32" x14ac:dyDescent="0.35">
      <c r="A251" t="s">
        <v>80</v>
      </c>
      <c r="B251" t="s">
        <v>492</v>
      </c>
      <c r="C251" s="31">
        <v>2</v>
      </c>
      <c r="D251" s="31">
        <v>1</v>
      </c>
      <c r="E251" s="72">
        <v>2</v>
      </c>
      <c r="F251" s="31">
        <v>1</v>
      </c>
      <c r="G251" s="73">
        <v>833.32</v>
      </c>
      <c r="H251" s="31">
        <v>605</v>
      </c>
      <c r="I251" s="72">
        <v>193.67000000000002</v>
      </c>
      <c r="J251" s="72">
        <v>375.84000000000003</v>
      </c>
      <c r="K251" s="31">
        <v>8.7142857142857135</v>
      </c>
      <c r="L251" s="31">
        <v>17.714285714285715</v>
      </c>
      <c r="M251" s="74">
        <v>4.3571428571428568</v>
      </c>
      <c r="N251" s="74">
        <v>18.714285714285715</v>
      </c>
      <c r="O251" s="75">
        <v>416.66</v>
      </c>
      <c r="P251" s="75">
        <v>605</v>
      </c>
      <c r="Q251" s="76">
        <v>0.23240771852349637</v>
      </c>
      <c r="R251" s="76">
        <v>0.6212231404958678</v>
      </c>
      <c r="S251" s="31">
        <v>36</v>
      </c>
      <c r="T251" s="31"/>
      <c r="U251" s="76">
        <v>-0.50806451612903225</v>
      </c>
      <c r="V251" s="76">
        <v>1</v>
      </c>
      <c r="W251" s="76">
        <v>0.37738842975206621</v>
      </c>
      <c r="X251" s="76">
        <v>-0.48470093656875279</v>
      </c>
      <c r="Y251" s="76">
        <v>-0.21332627488313971</v>
      </c>
      <c r="Z251" s="76">
        <v>-0.20779220779220786</v>
      </c>
      <c r="AA251" s="76"/>
      <c r="AB251" s="76"/>
      <c r="AC251" s="76"/>
      <c r="AD251" s="142"/>
      <c r="AE251" s="142"/>
      <c r="AF251" s="142"/>
    </row>
    <row r="252" spans="1:32" x14ac:dyDescent="0.35">
      <c r="A252" t="s">
        <v>80</v>
      </c>
      <c r="B252" t="s">
        <v>496</v>
      </c>
      <c r="C252" s="31">
        <v>1</v>
      </c>
      <c r="D252" s="31"/>
      <c r="E252" s="72">
        <v>1</v>
      </c>
      <c r="F252" s="31"/>
      <c r="G252" s="73">
        <v>249.99</v>
      </c>
      <c r="H252" s="31"/>
      <c r="I252" s="72">
        <v>210.99</v>
      </c>
      <c r="J252" s="72"/>
      <c r="K252" s="31">
        <v>1</v>
      </c>
      <c r="L252" s="31"/>
      <c r="M252" s="74">
        <v>1</v>
      </c>
      <c r="N252" s="74"/>
      <c r="O252" s="75">
        <v>249.99</v>
      </c>
      <c r="P252" s="75"/>
      <c r="Q252" s="76">
        <v>0.84399375975039004</v>
      </c>
      <c r="R252" s="76"/>
      <c r="S252" s="31">
        <v>37</v>
      </c>
      <c r="T252" s="31"/>
      <c r="U252" s="76"/>
      <c r="V252" s="76"/>
      <c r="W252" s="76"/>
      <c r="X252" s="76"/>
      <c r="Y252" s="76">
        <v>0</v>
      </c>
      <c r="Z252" s="76">
        <v>0</v>
      </c>
      <c r="AA252" s="76"/>
      <c r="AB252" s="76"/>
      <c r="AC252" s="76"/>
      <c r="AD252" s="142"/>
      <c r="AE252" s="142"/>
      <c r="AF252" s="142"/>
    </row>
    <row r="253" spans="1:32" x14ac:dyDescent="0.35">
      <c r="A253" t="s">
        <v>80</v>
      </c>
      <c r="B253" t="s">
        <v>497</v>
      </c>
      <c r="C253" s="31"/>
      <c r="D253" s="31"/>
      <c r="E253" s="72"/>
      <c r="F253" s="31"/>
      <c r="G253" s="73"/>
      <c r="H253" s="31"/>
      <c r="I253" s="72"/>
      <c r="J253" s="72"/>
      <c r="K253" s="31"/>
      <c r="L253" s="31">
        <v>2</v>
      </c>
      <c r="M253" s="74"/>
      <c r="N253" s="74"/>
      <c r="O253" s="75"/>
      <c r="P253" s="75"/>
      <c r="Q253" s="76"/>
      <c r="R253" s="76"/>
      <c r="S253" s="31"/>
      <c r="T253" s="31"/>
      <c r="U253" s="76"/>
      <c r="V253" s="76"/>
      <c r="W253" s="76"/>
      <c r="X253" s="76"/>
      <c r="Y253" s="76"/>
      <c r="Z253" s="76"/>
      <c r="AA253" s="76"/>
      <c r="AB253" s="76"/>
      <c r="AC253" s="76"/>
      <c r="AD253" s="142"/>
      <c r="AE253" s="142"/>
      <c r="AF253" s="142"/>
    </row>
    <row r="254" spans="1:32" x14ac:dyDescent="0.35">
      <c r="A254" t="s">
        <v>80</v>
      </c>
      <c r="B254" t="s">
        <v>494</v>
      </c>
      <c r="C254" s="31"/>
      <c r="D254" s="31"/>
      <c r="E254" s="72"/>
      <c r="F254" s="31"/>
      <c r="G254" s="73"/>
      <c r="H254" s="31"/>
      <c r="I254" s="72"/>
      <c r="J254" s="72"/>
      <c r="K254" s="31">
        <v>4</v>
      </c>
      <c r="L254" s="31">
        <v>1</v>
      </c>
      <c r="M254" s="74"/>
      <c r="N254" s="74"/>
      <c r="O254" s="75"/>
      <c r="P254" s="75"/>
      <c r="Q254" s="76"/>
      <c r="R254" s="76"/>
      <c r="S254" s="31">
        <v>2</v>
      </c>
      <c r="T254" s="31"/>
      <c r="U254" s="76">
        <v>3</v>
      </c>
      <c r="V254" s="76"/>
      <c r="W254" s="76"/>
      <c r="X254" s="76"/>
      <c r="Y254" s="76">
        <v>0</v>
      </c>
      <c r="Z254" s="76">
        <v>0</v>
      </c>
      <c r="AA254" s="76"/>
      <c r="AB254" s="76"/>
      <c r="AC254" s="76"/>
      <c r="AD254" s="142"/>
      <c r="AE254" s="142"/>
      <c r="AF254" s="142"/>
    </row>
    <row r="255" spans="1:32" x14ac:dyDescent="0.35">
      <c r="A255" t="s">
        <v>80</v>
      </c>
      <c r="B255" t="s">
        <v>500</v>
      </c>
      <c r="C255" s="31"/>
      <c r="D255" s="31"/>
      <c r="E255" s="72"/>
      <c r="F255" s="31"/>
      <c r="G255" s="73"/>
      <c r="H255" s="31"/>
      <c r="I255" s="72"/>
      <c r="J255" s="72"/>
      <c r="K255" s="31"/>
      <c r="L255" s="31">
        <v>-3</v>
      </c>
      <c r="M255" s="74"/>
      <c r="N255" s="74"/>
      <c r="O255" s="75"/>
      <c r="P255" s="75"/>
      <c r="Q255" s="76"/>
      <c r="R255" s="76"/>
      <c r="S255" s="31"/>
      <c r="T255" s="31"/>
      <c r="U255" s="76"/>
      <c r="V255" s="76"/>
      <c r="W255" s="76"/>
      <c r="X255" s="76"/>
      <c r="Y255" s="76"/>
      <c r="Z255" s="76"/>
      <c r="AA255" s="76"/>
      <c r="AB255" s="76"/>
      <c r="AC255" s="76"/>
      <c r="AD255" s="142"/>
      <c r="AE255" s="142"/>
      <c r="AF255" s="142"/>
    </row>
    <row r="256" spans="1:32" x14ac:dyDescent="0.35">
      <c r="A256" t="s">
        <v>80</v>
      </c>
      <c r="B256" t="s">
        <v>498</v>
      </c>
      <c r="C256" s="31"/>
      <c r="D256" s="31">
        <v>1</v>
      </c>
      <c r="E256" s="72"/>
      <c r="F256" s="31">
        <v>2</v>
      </c>
      <c r="G256" s="73"/>
      <c r="H256" s="31">
        <v>127.48</v>
      </c>
      <c r="I256" s="72"/>
      <c r="J256" s="72">
        <v>-426.86</v>
      </c>
      <c r="K256" s="31">
        <v>1</v>
      </c>
      <c r="L256" s="31">
        <v>2</v>
      </c>
      <c r="M256" s="74"/>
      <c r="N256" s="74">
        <v>1</v>
      </c>
      <c r="O256" s="75"/>
      <c r="P256" s="75">
        <v>63.74</v>
      </c>
      <c r="Q256" s="76"/>
      <c r="R256" s="76">
        <v>-3.348446815186696</v>
      </c>
      <c r="S256" s="31">
        <v>1</v>
      </c>
      <c r="T256" s="31"/>
      <c r="U256" s="76">
        <v>-0.5</v>
      </c>
      <c r="V256" s="76"/>
      <c r="W256" s="76"/>
      <c r="X256" s="76"/>
      <c r="Y256" s="76">
        <v>0</v>
      </c>
      <c r="Z256" s="76">
        <v>0</v>
      </c>
      <c r="AA256" s="76"/>
      <c r="AB256" s="76"/>
      <c r="AC256" s="76"/>
      <c r="AD256" s="142"/>
      <c r="AE256" s="142"/>
      <c r="AF256" s="142"/>
    </row>
    <row r="257" spans="1:32" x14ac:dyDescent="0.35">
      <c r="A257" t="s">
        <v>80</v>
      </c>
      <c r="B257" t="s">
        <v>495</v>
      </c>
      <c r="C257" s="31"/>
      <c r="D257" s="31">
        <v>1</v>
      </c>
      <c r="E257" s="72"/>
      <c r="F257" s="31">
        <v>1</v>
      </c>
      <c r="G257" s="73"/>
      <c r="H257" s="31">
        <v>416.65</v>
      </c>
      <c r="I257" s="72"/>
      <c r="J257" s="72">
        <v>294.08</v>
      </c>
      <c r="K257" s="31">
        <v>2.4285714285714284</v>
      </c>
      <c r="L257" s="31">
        <v>4</v>
      </c>
      <c r="M257" s="74"/>
      <c r="N257" s="74">
        <v>4</v>
      </c>
      <c r="O257" s="75"/>
      <c r="P257" s="75">
        <v>416.65</v>
      </c>
      <c r="Q257" s="76"/>
      <c r="R257" s="76">
        <v>0.70582023280931239</v>
      </c>
      <c r="S257" s="31">
        <v>28</v>
      </c>
      <c r="T257" s="31"/>
      <c r="U257" s="76">
        <v>-0.3928571428571429</v>
      </c>
      <c r="V257" s="76"/>
      <c r="W257" s="76"/>
      <c r="X257" s="76"/>
      <c r="Y257" s="76">
        <v>7.4990363888135736E-2</v>
      </c>
      <c r="Z257" s="76">
        <v>0.21428571428571419</v>
      </c>
      <c r="AA257" s="76"/>
      <c r="AB257" s="76"/>
      <c r="AC257" s="76"/>
      <c r="AD257" s="142"/>
      <c r="AE257" s="142"/>
      <c r="AF257" s="142"/>
    </row>
    <row r="258" spans="1:32" x14ac:dyDescent="0.35">
      <c r="A258" t="s">
        <v>80</v>
      </c>
      <c r="B258" t="s">
        <v>493</v>
      </c>
      <c r="C258" s="31"/>
      <c r="D258" s="31">
        <v>1</v>
      </c>
      <c r="E258" s="72"/>
      <c r="F258" s="31">
        <v>1</v>
      </c>
      <c r="G258" s="73"/>
      <c r="H258" s="31">
        <v>522.5</v>
      </c>
      <c r="I258" s="72"/>
      <c r="J258" s="72">
        <v>210.51999999999998</v>
      </c>
      <c r="K258" s="31">
        <v>5</v>
      </c>
      <c r="L258" s="31">
        <v>8.7142857142857135</v>
      </c>
      <c r="M258" s="74"/>
      <c r="N258" s="74">
        <v>8.7142857142857135</v>
      </c>
      <c r="O258" s="75"/>
      <c r="P258" s="75">
        <v>522.5</v>
      </c>
      <c r="Q258" s="76"/>
      <c r="R258" s="76">
        <v>0.40290909090909088</v>
      </c>
      <c r="S258" s="31">
        <v>2.2857142857142856</v>
      </c>
      <c r="T258" s="31"/>
      <c r="U258" s="76">
        <v>-0.42622950819672123</v>
      </c>
      <c r="V258" s="76"/>
      <c r="W258" s="76"/>
      <c r="X258" s="76"/>
      <c r="Y258" s="76">
        <v>-0.12561501491233051</v>
      </c>
      <c r="Z258" s="76">
        <v>-0.22222222222222221</v>
      </c>
      <c r="AA258" s="76"/>
      <c r="AB258" s="76"/>
      <c r="AC258" s="76"/>
      <c r="AD258" s="142"/>
      <c r="AE258" s="142"/>
      <c r="AF258" s="142"/>
    </row>
    <row r="259" spans="1:32" x14ac:dyDescent="0.35">
      <c r="A259" t="s">
        <v>80</v>
      </c>
      <c r="B259" t="s">
        <v>499</v>
      </c>
      <c r="C259" s="31"/>
      <c r="D259" s="31"/>
      <c r="E259" s="72"/>
      <c r="F259" s="31"/>
      <c r="G259" s="73"/>
      <c r="H259" s="31"/>
      <c r="I259" s="72"/>
      <c r="J259" s="72"/>
      <c r="K259" s="31"/>
      <c r="L259" s="31">
        <v>-1</v>
      </c>
      <c r="M259" s="74"/>
      <c r="N259" s="74"/>
      <c r="O259" s="75"/>
      <c r="P259" s="75"/>
      <c r="Q259" s="76"/>
      <c r="R259" s="76"/>
      <c r="S259" s="31"/>
      <c r="T259" s="31"/>
      <c r="U259" s="76"/>
      <c r="V259" s="76"/>
      <c r="W259" s="76"/>
      <c r="X259" s="76"/>
      <c r="Y259" s="76"/>
      <c r="Z259" s="76"/>
      <c r="AA259" s="76"/>
      <c r="AB259" s="76"/>
      <c r="AC259" s="76"/>
      <c r="AD259" s="142"/>
      <c r="AE259" s="142"/>
      <c r="AF259" s="142"/>
    </row>
    <row r="260" spans="1:32" x14ac:dyDescent="0.35">
      <c r="A260" t="s">
        <v>80</v>
      </c>
      <c r="B260" t="s">
        <v>491</v>
      </c>
      <c r="C260" s="31">
        <v>-1</v>
      </c>
      <c r="D260" s="31">
        <v>22</v>
      </c>
      <c r="E260" s="72">
        <v>-1</v>
      </c>
      <c r="F260" s="31">
        <v>22</v>
      </c>
      <c r="G260" s="73">
        <v>-712.49</v>
      </c>
      <c r="H260" s="31">
        <v>15126.429999999997</v>
      </c>
      <c r="I260" s="72">
        <v>-289.49</v>
      </c>
      <c r="J260" s="72">
        <v>5017.6699999999946</v>
      </c>
      <c r="K260" s="31">
        <v>52</v>
      </c>
      <c r="L260" s="31">
        <v>324.28571428571428</v>
      </c>
      <c r="M260" s="74">
        <v>-52</v>
      </c>
      <c r="N260" s="74">
        <v>14.608695652173912</v>
      </c>
      <c r="O260" s="75">
        <v>712.49</v>
      </c>
      <c r="P260" s="75">
        <v>687.56499999999983</v>
      </c>
      <c r="Q260" s="76">
        <v>0.40630745694676418</v>
      </c>
      <c r="R260" s="76">
        <v>0.31439527561521929</v>
      </c>
      <c r="S260" s="31">
        <v>1</v>
      </c>
      <c r="T260" s="31"/>
      <c r="U260" s="76">
        <v>-0.84889867841409694</v>
      </c>
      <c r="V260" s="76">
        <v>-1.0454545454545454</v>
      </c>
      <c r="W260" s="76">
        <v>-1.0471023235489141</v>
      </c>
      <c r="X260" s="76">
        <v>-1.0609235871868745</v>
      </c>
      <c r="Y260" s="76">
        <v>1.5798455001735157E-2</v>
      </c>
      <c r="Z260" s="76">
        <v>8.3102493074793671E-3</v>
      </c>
      <c r="AA260" s="76">
        <v>-1.25</v>
      </c>
      <c r="AB260" s="76">
        <v>-1.4275008400134404</v>
      </c>
      <c r="AC260" s="76">
        <v>0.71000336005376097</v>
      </c>
      <c r="AD260" s="142"/>
      <c r="AE260" s="142"/>
      <c r="AF260" s="142"/>
    </row>
    <row r="261" spans="1:32" x14ac:dyDescent="0.35">
      <c r="A261" s="138" t="s">
        <v>839</v>
      </c>
      <c r="B261" s="138"/>
      <c r="C261" s="127">
        <v>9508</v>
      </c>
      <c r="D261" s="127">
        <v>7117</v>
      </c>
      <c r="E261" s="126">
        <v>12764</v>
      </c>
      <c r="F261" s="127">
        <v>9060</v>
      </c>
      <c r="G261" s="127">
        <v>10397721.110000439</v>
      </c>
      <c r="H261" s="127">
        <v>5849032.7300004046</v>
      </c>
      <c r="I261" s="126">
        <v>5127368.9700002177</v>
      </c>
      <c r="J261" s="126">
        <v>2878689.0300004561</v>
      </c>
      <c r="K261" s="127">
        <v>186587.42857142858</v>
      </c>
      <c r="L261" s="127">
        <v>159214.85714285713</v>
      </c>
      <c r="M261" s="140">
        <v>14.618256704123205</v>
      </c>
      <c r="N261" s="140">
        <v>17.800929702772176</v>
      </c>
      <c r="O261" s="139">
        <v>814.61306095271379</v>
      </c>
      <c r="P261" s="139">
        <v>645.5886015452985</v>
      </c>
      <c r="Q261" s="141">
        <v>0.49312430250401296</v>
      </c>
      <c r="R261" s="141">
        <v>0.48078460598889972</v>
      </c>
      <c r="S261" s="127">
        <v>32950.857142857145</v>
      </c>
      <c r="T261" s="127"/>
      <c r="U261" s="141">
        <v>0.13493177233998277</v>
      </c>
      <c r="V261" s="141">
        <v>0.35938189845474611</v>
      </c>
      <c r="W261" s="141">
        <v>0.71595191945523107</v>
      </c>
      <c r="X261" s="141">
        <v>0.76168321195360478</v>
      </c>
      <c r="Y261" s="141">
        <v>1.1036831162047234E-2</v>
      </c>
      <c r="Z261" s="141">
        <v>2.390367037205432E-2</v>
      </c>
      <c r="AA261" s="141">
        <v>9.5622317596566475E-2</v>
      </c>
      <c r="AB261" s="141">
        <v>9.369650895148518E-2</v>
      </c>
      <c r="AC261" s="141">
        <v>-1.7577303913505204E-3</v>
      </c>
      <c r="AD261" s="143">
        <v>6.8698732613226204E-2</v>
      </c>
      <c r="AE261" s="143">
        <v>-4.8375300079730246E-2</v>
      </c>
      <c r="AF261" s="143">
        <v>7.6450604486795276E-2</v>
      </c>
    </row>
    <row r="262" spans="1:32" x14ac:dyDescent="0.35">
      <c r="A262" t="s">
        <v>77</v>
      </c>
      <c r="B262" t="s">
        <v>558</v>
      </c>
      <c r="C262" s="31">
        <v>1385</v>
      </c>
      <c r="D262" s="31">
        <v>1025</v>
      </c>
      <c r="E262" s="72">
        <v>1781</v>
      </c>
      <c r="F262" s="31">
        <v>1272</v>
      </c>
      <c r="G262" s="73">
        <v>5123262.0700001363</v>
      </c>
      <c r="H262" s="31">
        <v>2751032.22</v>
      </c>
      <c r="I262" s="72">
        <v>2063848.4599999948</v>
      </c>
      <c r="J262" s="72">
        <v>1168825.4700000009</v>
      </c>
      <c r="K262" s="31">
        <v>27057.285714285714</v>
      </c>
      <c r="L262" s="31">
        <v>23697.571428571428</v>
      </c>
      <c r="M262" s="74">
        <v>15.192187374669126</v>
      </c>
      <c r="N262" s="74">
        <v>18.853725749559082</v>
      </c>
      <c r="O262" s="75">
        <v>2876.6210387423562</v>
      </c>
      <c r="P262" s="75">
        <v>2162.7611792452831</v>
      </c>
      <c r="Q262" s="76">
        <v>0.40283874449544604</v>
      </c>
      <c r="R262" s="76">
        <v>0.41762183759601645</v>
      </c>
      <c r="S262" s="31">
        <v>7497.2857142857147</v>
      </c>
      <c r="T262" s="31"/>
      <c r="U262" s="76">
        <v>0.10958326049082801</v>
      </c>
      <c r="V262" s="76">
        <v>0.34276729559748431</v>
      </c>
      <c r="W262" s="76">
        <v>0.79001492392558004</v>
      </c>
      <c r="X262" s="76">
        <v>0.72253021732252409</v>
      </c>
      <c r="Y262" s="76">
        <v>2.6926866285576834E-2</v>
      </c>
      <c r="Z262" s="76">
        <v>1.623608316566072E-2</v>
      </c>
      <c r="AA262" s="76">
        <v>4.6415981198589806E-2</v>
      </c>
      <c r="AB262" s="76">
        <v>0.21035415144817637</v>
      </c>
      <c r="AC262" s="76">
        <v>0.15666634798697143</v>
      </c>
      <c r="AD262" s="142">
        <v>7.9053547047734277E-2</v>
      </c>
      <c r="AE262" s="142">
        <v>0.24700667866315223</v>
      </c>
      <c r="AF262" s="142">
        <v>0.30892351463196605</v>
      </c>
    </row>
    <row r="263" spans="1:32" x14ac:dyDescent="0.35">
      <c r="A263" t="s">
        <v>77</v>
      </c>
      <c r="B263" t="s">
        <v>559</v>
      </c>
      <c r="C263" s="31">
        <v>1312</v>
      </c>
      <c r="D263" s="31">
        <v>812</v>
      </c>
      <c r="E263" s="72">
        <v>1410</v>
      </c>
      <c r="F263" s="31">
        <v>885</v>
      </c>
      <c r="G263" s="73">
        <v>1998936.3100000008</v>
      </c>
      <c r="H263" s="31">
        <v>1200944.4899999872</v>
      </c>
      <c r="I263" s="72">
        <v>1024631.3199999962</v>
      </c>
      <c r="J263" s="72">
        <v>633661.17999998725</v>
      </c>
      <c r="K263" s="31">
        <v>17166.571428571428</v>
      </c>
      <c r="L263" s="31">
        <v>15457.428571428571</v>
      </c>
      <c r="M263" s="74">
        <v>12.174873353596757</v>
      </c>
      <c r="N263" s="74">
        <v>17.774394132653061</v>
      </c>
      <c r="O263" s="75">
        <v>1417.6853262411353</v>
      </c>
      <c r="P263" s="75">
        <v>1356.999423728799</v>
      </c>
      <c r="Q263" s="76">
        <v>0.51258827751245151</v>
      </c>
      <c r="R263" s="76">
        <v>0.5197233990076604</v>
      </c>
      <c r="S263" s="31">
        <v>6289.5714285714284</v>
      </c>
      <c r="T263" s="31"/>
      <c r="U263" s="76">
        <v>7.5756455518382504E-2</v>
      </c>
      <c r="V263" s="76">
        <v>0.53785310734463287</v>
      </c>
      <c r="W263" s="76">
        <v>0.60992814080859215</v>
      </c>
      <c r="X263" s="76">
        <v>0.58612221055820202</v>
      </c>
      <c r="Y263" s="76">
        <v>2.6283446503371222E-2</v>
      </c>
      <c r="Z263" s="76">
        <v>3.3268270032760894E-2</v>
      </c>
      <c r="AA263" s="76">
        <v>0.13071371291098632</v>
      </c>
      <c r="AB263" s="76">
        <v>0.16412947269998779</v>
      </c>
      <c r="AC263" s="76">
        <v>2.9552803160911134E-2</v>
      </c>
      <c r="AD263" s="142">
        <v>-9.8030116966303038E-2</v>
      </c>
      <c r="AE263" s="142">
        <v>-0.24395179156128294</v>
      </c>
      <c r="AF263" s="142">
        <v>-0.17341804665438826</v>
      </c>
    </row>
    <row r="264" spans="1:32" x14ac:dyDescent="0.35">
      <c r="A264" t="s">
        <v>77</v>
      </c>
      <c r="B264" t="s">
        <v>560</v>
      </c>
      <c r="C264" s="31">
        <v>1991</v>
      </c>
      <c r="D264" s="31">
        <v>642</v>
      </c>
      <c r="E264" s="72">
        <v>2264</v>
      </c>
      <c r="F264" s="31">
        <v>733</v>
      </c>
      <c r="G264" s="73">
        <v>1789707.5299999933</v>
      </c>
      <c r="H264" s="31">
        <v>699986.54999999679</v>
      </c>
      <c r="I264" s="72">
        <v>955964.7099999924</v>
      </c>
      <c r="J264" s="72">
        <v>361998.30999999662</v>
      </c>
      <c r="K264" s="31">
        <v>22471.285714285714</v>
      </c>
      <c r="L264" s="31">
        <v>9004.8571428571431</v>
      </c>
      <c r="M264" s="74">
        <v>9.9254795557799085</v>
      </c>
      <c r="N264" s="74">
        <v>12.512016919823109</v>
      </c>
      <c r="O264" s="75">
        <v>790.50685954063306</v>
      </c>
      <c r="P264" s="75">
        <v>954.96118690313335</v>
      </c>
      <c r="Q264" s="76">
        <v>0.53414577185133483</v>
      </c>
      <c r="R264" s="76">
        <v>0.50846996935653255</v>
      </c>
      <c r="S264" s="31">
        <v>6866.4285714285716</v>
      </c>
      <c r="T264" s="31"/>
      <c r="U264" s="76">
        <v>1.4200590157692674</v>
      </c>
      <c r="V264" s="76">
        <v>1.9481582537517053</v>
      </c>
      <c r="W264" s="76">
        <v>1.4475024270109147</v>
      </c>
      <c r="X264" s="76">
        <v>1.5743860623363233</v>
      </c>
      <c r="Y264" s="76">
        <v>8.0135848938337473E-2</v>
      </c>
      <c r="Z264" s="76">
        <v>0.15019962269117726</v>
      </c>
      <c r="AA264" s="76">
        <v>0.10926016658500726</v>
      </c>
      <c r="AB264" s="76">
        <v>6.3829760801522584E-2</v>
      </c>
      <c r="AC264" s="76">
        <v>-4.0955591079546161E-2</v>
      </c>
      <c r="AD264" s="142">
        <v>6.9613609642623392E-2</v>
      </c>
      <c r="AE264" s="142">
        <v>-0.15420995048839201</v>
      </c>
      <c r="AF264" s="142">
        <v>-4.9691899471143747E-2</v>
      </c>
    </row>
    <row r="265" spans="1:32" x14ac:dyDescent="0.35">
      <c r="A265" t="s">
        <v>77</v>
      </c>
      <c r="B265" t="s">
        <v>561</v>
      </c>
      <c r="C265" s="31">
        <v>559</v>
      </c>
      <c r="D265" s="31">
        <v>304</v>
      </c>
      <c r="E265" s="72">
        <v>749</v>
      </c>
      <c r="F265" s="31">
        <v>391</v>
      </c>
      <c r="G265" s="73">
        <v>445961.84999999928</v>
      </c>
      <c r="H265" s="31">
        <v>423767.31000000046</v>
      </c>
      <c r="I265" s="72">
        <v>197903.04999999978</v>
      </c>
      <c r="J265" s="72">
        <v>217958.03000000003</v>
      </c>
      <c r="K265" s="31">
        <v>15759.714285714286</v>
      </c>
      <c r="L265" s="31">
        <v>8478.2857142857138</v>
      </c>
      <c r="M265" s="74">
        <v>21.04100705702842</v>
      </c>
      <c r="N265" s="74">
        <v>22.049767275331185</v>
      </c>
      <c r="O265" s="75">
        <v>595.40967957276268</v>
      </c>
      <c r="P265" s="75">
        <v>1083.8038618925843</v>
      </c>
      <c r="Q265" s="76">
        <v>0.44376677063295911</v>
      </c>
      <c r="R265" s="76">
        <v>0.50296007463334036</v>
      </c>
      <c r="S265" s="31">
        <v>860</v>
      </c>
      <c r="T265" s="31"/>
      <c r="U265" s="76">
        <v>0.79872952753252013</v>
      </c>
      <c r="V265" s="76">
        <v>0.81585677749360608</v>
      </c>
      <c r="W265" s="76">
        <v>-4.9971528006754751E-3</v>
      </c>
      <c r="X265" s="76">
        <v>-0.12242047410766876</v>
      </c>
      <c r="Y265" s="76">
        <v>-9.5222823656546662E-3</v>
      </c>
      <c r="Z265" s="76">
        <v>-2.9514484530187457E-2</v>
      </c>
      <c r="AA265" s="76">
        <v>6.2411347517730587E-2</v>
      </c>
      <c r="AB265" s="76">
        <v>5.9570439532920849E-2</v>
      </c>
      <c r="AC265" s="76">
        <v>-2.6740188642067064E-3</v>
      </c>
      <c r="AD265" s="142">
        <v>-5.7483087232394092E-2</v>
      </c>
      <c r="AE265" s="142">
        <v>-5.607189380436297E-2</v>
      </c>
      <c r="AF265" s="142">
        <v>-0.10656856235805247</v>
      </c>
    </row>
    <row r="266" spans="1:32" x14ac:dyDescent="0.35">
      <c r="A266" t="s">
        <v>77</v>
      </c>
      <c r="B266" t="s">
        <v>562</v>
      </c>
      <c r="C266" s="31">
        <v>18</v>
      </c>
      <c r="D266" s="31">
        <v>99</v>
      </c>
      <c r="E266" s="72">
        <v>72</v>
      </c>
      <c r="F266" s="31">
        <v>583</v>
      </c>
      <c r="G266" s="73">
        <v>4207.6499999999996</v>
      </c>
      <c r="H266" s="31">
        <v>19782.550000000003</v>
      </c>
      <c r="I266" s="72">
        <v>2384.4900000000002</v>
      </c>
      <c r="J266" s="72">
        <v>7308.7800000000025</v>
      </c>
      <c r="K266" s="31">
        <v>3160.5714285714284</v>
      </c>
      <c r="L266" s="31">
        <v>11790.857142857143</v>
      </c>
      <c r="M266" s="74">
        <v>43.896825396825392</v>
      </c>
      <c r="N266" s="74">
        <v>20.642976788705433</v>
      </c>
      <c r="O266" s="75">
        <v>58.439583333333331</v>
      </c>
      <c r="P266" s="75">
        <v>33.932332761578053</v>
      </c>
      <c r="Q266" s="76">
        <v>0.56670350433139649</v>
      </c>
      <c r="R266" s="76">
        <v>0.35846347991263999</v>
      </c>
      <c r="S266" s="31">
        <v>3739</v>
      </c>
      <c r="T266" s="31"/>
      <c r="U266" s="76">
        <v>-0.73260153145294171</v>
      </c>
      <c r="V266" s="76">
        <v>-0.87650085763293306</v>
      </c>
      <c r="W266" s="76">
        <v>-0.78730497332244842</v>
      </c>
      <c r="X266" s="76">
        <v>-0.66239317449440183</v>
      </c>
      <c r="Y266" s="76">
        <v>-1.1863862198441821E-2</v>
      </c>
      <c r="Z266" s="76">
        <v>-1.1438784629133281E-2</v>
      </c>
      <c r="AA266" s="76">
        <v>0.56521739130434789</v>
      </c>
      <c r="AB266" s="76">
        <v>0.6071449033455687</v>
      </c>
      <c r="AC266" s="76">
        <v>2.6787021581891279E-2</v>
      </c>
      <c r="AD266" s="142"/>
      <c r="AE266" s="142"/>
      <c r="AF266" s="142"/>
    </row>
    <row r="267" spans="1:32" x14ac:dyDescent="0.35">
      <c r="A267" t="s">
        <v>77</v>
      </c>
      <c r="B267" t="s">
        <v>569</v>
      </c>
      <c r="C267" s="31">
        <v>3</v>
      </c>
      <c r="D267" s="31"/>
      <c r="E267" s="72">
        <v>5</v>
      </c>
      <c r="F267" s="31"/>
      <c r="G267" s="73">
        <v>624.93999999999994</v>
      </c>
      <c r="H267" s="31"/>
      <c r="I267" s="72">
        <v>164.39</v>
      </c>
      <c r="J267" s="72"/>
      <c r="K267" s="31">
        <v>52.142857142857146</v>
      </c>
      <c r="L267" s="31">
        <v>9</v>
      </c>
      <c r="M267" s="74">
        <v>10.428571428571429</v>
      </c>
      <c r="N267" s="74"/>
      <c r="O267" s="75">
        <v>124.98799999999999</v>
      </c>
      <c r="P267" s="75"/>
      <c r="Q267" s="76">
        <v>0.26304925272826191</v>
      </c>
      <c r="R267" s="76"/>
      <c r="S267" s="31">
        <v>32</v>
      </c>
      <c r="T267" s="31"/>
      <c r="U267" s="76">
        <v>-0.88888888888888884</v>
      </c>
      <c r="V267" s="76"/>
      <c r="W267" s="76"/>
      <c r="X267" s="76"/>
      <c r="Y267" s="76">
        <v>-8.4763124921600541E-2</v>
      </c>
      <c r="Z267" s="76">
        <v>-8.7500000000000022E-2</v>
      </c>
      <c r="AA267" s="76">
        <v>0</v>
      </c>
      <c r="AB267" s="76">
        <v>0.1363991780772098</v>
      </c>
      <c r="AC267" s="76">
        <v>0.1363991780772098</v>
      </c>
      <c r="AD267" s="142"/>
      <c r="AE267" s="142"/>
      <c r="AF267" s="142"/>
    </row>
    <row r="268" spans="1:32" x14ac:dyDescent="0.35">
      <c r="A268" t="s">
        <v>77</v>
      </c>
      <c r="B268" t="s">
        <v>568</v>
      </c>
      <c r="C268" s="31">
        <v>1</v>
      </c>
      <c r="D268" s="31"/>
      <c r="E268" s="72">
        <v>1</v>
      </c>
      <c r="F268" s="31"/>
      <c r="G268" s="73">
        <v>208.33</v>
      </c>
      <c r="H268" s="31"/>
      <c r="I268" s="72">
        <v>62</v>
      </c>
      <c r="J268" s="72"/>
      <c r="K268" s="31">
        <v>9.7142857142857135</v>
      </c>
      <c r="L268" s="31">
        <v>-1</v>
      </c>
      <c r="M268" s="74">
        <v>9.7142857142857135</v>
      </c>
      <c r="N268" s="74"/>
      <c r="O268" s="75">
        <v>208.33</v>
      </c>
      <c r="P268" s="75"/>
      <c r="Q268" s="76">
        <v>0.29760476167618682</v>
      </c>
      <c r="R268" s="76"/>
      <c r="S268" s="31">
        <v>-1</v>
      </c>
      <c r="T268" s="31"/>
      <c r="U268" s="76"/>
      <c r="V268" s="76"/>
      <c r="W268" s="76"/>
      <c r="X268" s="76"/>
      <c r="Y268" s="76">
        <v>-2.8571428571428581E-2</v>
      </c>
      <c r="Z268" s="76">
        <v>-2.8571428571428692E-2</v>
      </c>
      <c r="AA268" s="76"/>
      <c r="AB268" s="76"/>
      <c r="AC268" s="76"/>
      <c r="AD268" s="142"/>
      <c r="AE268" s="142"/>
      <c r="AF268" s="142"/>
    </row>
    <row r="269" spans="1:32" x14ac:dyDescent="0.35">
      <c r="A269" t="s">
        <v>77</v>
      </c>
      <c r="B269" t="s">
        <v>563</v>
      </c>
      <c r="C269" s="31">
        <v>1</v>
      </c>
      <c r="D269" s="31">
        <v>1</v>
      </c>
      <c r="E269" s="72">
        <v>1</v>
      </c>
      <c r="F269" s="31">
        <v>1</v>
      </c>
      <c r="G269" s="73">
        <v>177.08</v>
      </c>
      <c r="H269" s="31">
        <v>276.67</v>
      </c>
      <c r="I269" s="72">
        <v>24.04</v>
      </c>
      <c r="J269" s="72">
        <v>102.55000000000001</v>
      </c>
      <c r="K269" s="31">
        <v>57.142857142857146</v>
      </c>
      <c r="L269" s="31">
        <v>143.85714285714286</v>
      </c>
      <c r="M269" s="74">
        <v>57.142857142857146</v>
      </c>
      <c r="N269" s="74">
        <v>146.57142857142858</v>
      </c>
      <c r="O269" s="75">
        <v>177.08</v>
      </c>
      <c r="P269" s="75">
        <v>276.67</v>
      </c>
      <c r="Q269" s="76">
        <v>0.13575784955952111</v>
      </c>
      <c r="R269" s="76">
        <v>0.37065818484114649</v>
      </c>
      <c r="S269" s="31">
        <v>4.4285714285714288</v>
      </c>
      <c r="T269" s="31"/>
      <c r="U269" s="76">
        <v>-0.74280039721946378</v>
      </c>
      <c r="V269" s="76">
        <v>0</v>
      </c>
      <c r="W269" s="76">
        <v>-0.35995951856001729</v>
      </c>
      <c r="X269" s="76">
        <v>-0.76557776694295443</v>
      </c>
      <c r="Y269" s="76">
        <v>-7.2716228391236593E-2</v>
      </c>
      <c r="Z269" s="76">
        <v>-7.407407407407407E-2</v>
      </c>
      <c r="AA269" s="76">
        <v>-0.5</v>
      </c>
      <c r="AB269" s="76">
        <v>-0.5750012000192003</v>
      </c>
      <c r="AC269" s="76">
        <v>-0.1500024000384006</v>
      </c>
      <c r="AD269" s="142"/>
      <c r="AE269" s="142"/>
      <c r="AF269" s="142"/>
    </row>
    <row r="270" spans="1:32" x14ac:dyDescent="0.35">
      <c r="A270" t="s">
        <v>77</v>
      </c>
      <c r="B270" t="s">
        <v>564</v>
      </c>
      <c r="C270" s="31">
        <v>1</v>
      </c>
      <c r="D270" s="31"/>
      <c r="E270" s="72">
        <v>1</v>
      </c>
      <c r="F270" s="31"/>
      <c r="G270" s="73">
        <v>166.66</v>
      </c>
      <c r="H270" s="31"/>
      <c r="I270" s="72">
        <v>55.75</v>
      </c>
      <c r="J270" s="72"/>
      <c r="K270" s="31">
        <v>34.857142857142854</v>
      </c>
      <c r="L270" s="31">
        <v>60.428571428571431</v>
      </c>
      <c r="M270" s="74">
        <v>34.857142857142854</v>
      </c>
      <c r="N270" s="74"/>
      <c r="O270" s="75">
        <v>166.66</v>
      </c>
      <c r="P270" s="75"/>
      <c r="Q270" s="76">
        <v>0.33451338053522139</v>
      </c>
      <c r="R270" s="76"/>
      <c r="S270" s="31">
        <v>0</v>
      </c>
      <c r="T270" s="31"/>
      <c r="U270" s="76">
        <v>-0.42316784869976365</v>
      </c>
      <c r="V270" s="76"/>
      <c r="W270" s="76"/>
      <c r="X270" s="76"/>
      <c r="Y270" s="76">
        <v>-5.7457185984729486E-2</v>
      </c>
      <c r="Z270" s="76">
        <v>-5.7915057915058021E-2</v>
      </c>
      <c r="AA270" s="76">
        <v>-0.5</v>
      </c>
      <c r="AB270" s="76">
        <v>-0.33333333333333337</v>
      </c>
      <c r="AC270" s="76">
        <v>0.33333333333333326</v>
      </c>
      <c r="AD270" s="142"/>
      <c r="AE270" s="142"/>
      <c r="AF270" s="142"/>
    </row>
    <row r="271" spans="1:32" x14ac:dyDescent="0.35">
      <c r="A271" t="s">
        <v>77</v>
      </c>
      <c r="B271" t="s">
        <v>565</v>
      </c>
      <c r="C271" s="31"/>
      <c r="D271" s="31">
        <v>2</v>
      </c>
      <c r="E271" s="72"/>
      <c r="F271" s="31">
        <v>3</v>
      </c>
      <c r="G271" s="73"/>
      <c r="H271" s="31">
        <v>533.31999999999994</v>
      </c>
      <c r="I271" s="72"/>
      <c r="J271" s="72">
        <v>191.58999999999992</v>
      </c>
      <c r="K271" s="31">
        <v>5</v>
      </c>
      <c r="L271" s="31">
        <v>29.857142857142858</v>
      </c>
      <c r="M271" s="74"/>
      <c r="N271" s="74">
        <v>9.9523809523809526</v>
      </c>
      <c r="O271" s="75"/>
      <c r="P271" s="75">
        <v>177.77333333333331</v>
      </c>
      <c r="Q271" s="76"/>
      <c r="R271" s="76">
        <v>0.35924023100577501</v>
      </c>
      <c r="S271" s="31">
        <v>-1</v>
      </c>
      <c r="T271" s="31"/>
      <c r="U271" s="76">
        <v>-0.83253588516746413</v>
      </c>
      <c r="V271" s="76"/>
      <c r="W271" s="76"/>
      <c r="X271" s="76"/>
      <c r="Y271" s="76">
        <v>-0.1027993790085211</v>
      </c>
      <c r="Z271" s="76">
        <v>-0.10256410256410253</v>
      </c>
      <c r="AA271" s="76"/>
      <c r="AB271" s="76"/>
      <c r="AC271" s="76"/>
      <c r="AD271" s="142"/>
      <c r="AE271" s="142"/>
      <c r="AF271" s="142"/>
    </row>
    <row r="272" spans="1:32" x14ac:dyDescent="0.35">
      <c r="A272" t="s">
        <v>77</v>
      </c>
      <c r="B272" t="s">
        <v>567</v>
      </c>
      <c r="C272" s="31"/>
      <c r="D272" s="31"/>
      <c r="E272" s="72"/>
      <c r="F272" s="31"/>
      <c r="G272" s="73"/>
      <c r="H272" s="31"/>
      <c r="I272" s="72"/>
      <c r="J272" s="72"/>
      <c r="K272" s="31"/>
      <c r="L272" s="31"/>
      <c r="M272" s="74"/>
      <c r="N272" s="74"/>
      <c r="O272" s="75"/>
      <c r="P272" s="75"/>
      <c r="Q272" s="76"/>
      <c r="R272" s="76"/>
      <c r="S272" s="31">
        <v>2</v>
      </c>
      <c r="T272" s="31"/>
      <c r="U272" s="76"/>
      <c r="V272" s="76"/>
      <c r="W272" s="76"/>
      <c r="X272" s="76"/>
      <c r="Y272" s="76"/>
      <c r="Z272" s="76"/>
      <c r="AA272" s="76"/>
      <c r="AB272" s="76"/>
      <c r="AC272" s="76"/>
      <c r="AD272" s="142"/>
      <c r="AE272" s="142"/>
      <c r="AF272" s="142"/>
    </row>
    <row r="273" spans="1:32" x14ac:dyDescent="0.35">
      <c r="A273" t="s">
        <v>77</v>
      </c>
      <c r="B273" t="s">
        <v>566</v>
      </c>
      <c r="C273" s="31"/>
      <c r="D273" s="31"/>
      <c r="E273" s="72"/>
      <c r="F273" s="31"/>
      <c r="G273" s="73"/>
      <c r="H273" s="31"/>
      <c r="I273" s="72"/>
      <c r="J273" s="72"/>
      <c r="K273" s="31"/>
      <c r="L273" s="31">
        <v>5</v>
      </c>
      <c r="M273" s="74"/>
      <c r="N273" s="74"/>
      <c r="O273" s="75"/>
      <c r="P273" s="75"/>
      <c r="Q273" s="76"/>
      <c r="R273" s="76"/>
      <c r="S273" s="31">
        <v>45</v>
      </c>
      <c r="T273" s="31"/>
      <c r="U273" s="76"/>
      <c r="V273" s="76"/>
      <c r="W273" s="76"/>
      <c r="X273" s="76"/>
      <c r="Y273" s="76"/>
      <c r="Z273" s="76"/>
      <c r="AA273" s="76"/>
      <c r="AB273" s="76"/>
      <c r="AC273" s="76"/>
      <c r="AD273" s="142"/>
      <c r="AE273" s="142"/>
      <c r="AF273" s="142"/>
    </row>
    <row r="274" spans="1:32" x14ac:dyDescent="0.35">
      <c r="A274" t="s">
        <v>77</v>
      </c>
      <c r="B274" t="s">
        <v>570</v>
      </c>
      <c r="C274" s="31"/>
      <c r="D274" s="31"/>
      <c r="E274" s="72"/>
      <c r="F274" s="31"/>
      <c r="G274" s="73"/>
      <c r="H274" s="31"/>
      <c r="I274" s="72"/>
      <c r="J274" s="72"/>
      <c r="K274" s="31"/>
      <c r="L274" s="31">
        <v>2</v>
      </c>
      <c r="M274" s="74"/>
      <c r="N274" s="74"/>
      <c r="O274" s="75"/>
      <c r="P274" s="75"/>
      <c r="Q274" s="76"/>
      <c r="R274" s="76"/>
      <c r="S274" s="31">
        <v>-1</v>
      </c>
      <c r="T274" s="31"/>
      <c r="U274" s="76"/>
      <c r="V274" s="76"/>
      <c r="W274" s="76"/>
      <c r="X274" s="76"/>
      <c r="Y274" s="76"/>
      <c r="Z274" s="76"/>
      <c r="AA274" s="76"/>
      <c r="AB274" s="76"/>
      <c r="AC274" s="76"/>
      <c r="AD274" s="142"/>
      <c r="AE274" s="142"/>
      <c r="AF274" s="142"/>
    </row>
    <row r="275" spans="1:32" x14ac:dyDescent="0.35">
      <c r="A275" t="s">
        <v>77</v>
      </c>
      <c r="B275" t="s">
        <v>571</v>
      </c>
      <c r="C275" s="31"/>
      <c r="D275" s="31"/>
      <c r="E275" s="72"/>
      <c r="F275" s="31"/>
      <c r="G275" s="73"/>
      <c r="H275" s="31"/>
      <c r="I275" s="72"/>
      <c r="J275" s="72"/>
      <c r="K275" s="31"/>
      <c r="L275" s="31"/>
      <c r="M275" s="74"/>
      <c r="N275" s="74"/>
      <c r="O275" s="75"/>
      <c r="P275" s="75"/>
      <c r="Q275" s="76"/>
      <c r="R275" s="76"/>
      <c r="S275" s="31">
        <v>-1</v>
      </c>
      <c r="T275" s="31"/>
      <c r="U275" s="76"/>
      <c r="V275" s="76"/>
      <c r="W275" s="76"/>
      <c r="X275" s="76"/>
      <c r="Y275" s="76"/>
      <c r="Z275" s="76"/>
      <c r="AA275" s="76"/>
      <c r="AB275" s="76"/>
      <c r="AC275" s="76"/>
      <c r="AD275" s="142"/>
      <c r="AE275" s="142"/>
      <c r="AF275" s="142"/>
    </row>
    <row r="276" spans="1:32" x14ac:dyDescent="0.35">
      <c r="A276" s="138" t="s">
        <v>840</v>
      </c>
      <c r="B276" s="138"/>
      <c r="C276" s="127">
        <v>5110</v>
      </c>
      <c r="D276" s="127">
        <v>2758</v>
      </c>
      <c r="E276" s="126">
        <v>6284</v>
      </c>
      <c r="F276" s="127">
        <v>3868</v>
      </c>
      <c r="G276" s="127">
        <v>9363252.420000352</v>
      </c>
      <c r="H276" s="127">
        <v>5096323.1100001074</v>
      </c>
      <c r="I276" s="126">
        <v>4245038.2100000195</v>
      </c>
      <c r="J276" s="126">
        <v>2390045.9100001156</v>
      </c>
      <c r="K276" s="127">
        <v>85774.28571428571</v>
      </c>
      <c r="L276" s="127">
        <v>68678.142857142855</v>
      </c>
      <c r="M276" s="140">
        <v>13.649631717741201</v>
      </c>
      <c r="N276" s="140">
        <v>18.051660918497003</v>
      </c>
      <c r="O276" s="139">
        <v>1490.0147071929268</v>
      </c>
      <c r="P276" s="139">
        <v>1317.5602662875149</v>
      </c>
      <c r="Q276" s="141">
        <v>0.45337218517493089</v>
      </c>
      <c r="R276" s="141">
        <v>0.46100019798711434</v>
      </c>
      <c r="S276" s="127">
        <v>25331.714285714286</v>
      </c>
      <c r="T276" s="127"/>
      <c r="U276" s="141">
        <v>0.21138977466318054</v>
      </c>
      <c r="V276" s="141">
        <v>0.55480868665977257</v>
      </c>
      <c r="W276" s="141">
        <v>0.76543808463515539</v>
      </c>
      <c r="X276" s="141">
        <v>0.73401071585778577</v>
      </c>
      <c r="Y276" s="141">
        <v>2.9434094302975167E-2</v>
      </c>
      <c r="Z276" s="141">
        <v>4.1161261906454749E-2</v>
      </c>
      <c r="AA276" s="141">
        <v>9.2869565217391203E-2</v>
      </c>
      <c r="AB276" s="141">
        <v>0.16212361809787179</v>
      </c>
      <c r="AC276" s="141">
        <v>6.3369001283062332E-2</v>
      </c>
      <c r="AD276" s="143">
        <v>2.5942684840088836E-2</v>
      </c>
      <c r="AE276" s="143">
        <v>2.3986615737742506E-3</v>
      </c>
      <c r="AF276" s="143">
        <v>4.976092742223108E-2</v>
      </c>
    </row>
    <row r="277" spans="1:32" x14ac:dyDescent="0.35">
      <c r="A277" t="s">
        <v>68</v>
      </c>
      <c r="B277" t="s">
        <v>257</v>
      </c>
      <c r="C277" s="31">
        <v>1247</v>
      </c>
      <c r="D277" s="31">
        <v>1653</v>
      </c>
      <c r="E277" s="72">
        <v>1276</v>
      </c>
      <c r="F277" s="31">
        <v>1695</v>
      </c>
      <c r="G277" s="73">
        <v>2411814.1300000185</v>
      </c>
      <c r="H277" s="31">
        <v>2717569.350000055</v>
      </c>
      <c r="I277" s="72">
        <v>893762.48999999871</v>
      </c>
      <c r="J277" s="72">
        <v>815400.07000004919</v>
      </c>
      <c r="K277" s="31">
        <v>17457.142857142859</v>
      </c>
      <c r="L277" s="31">
        <v>18814.571428571428</v>
      </c>
      <c r="M277" s="74">
        <v>13.681146439767131</v>
      </c>
      <c r="N277" s="74">
        <v>11.242189432033634</v>
      </c>
      <c r="O277" s="75">
        <v>1890.1364655172558</v>
      </c>
      <c r="P277" s="75">
        <v>1603.2857522124218</v>
      </c>
      <c r="Q277" s="76">
        <v>0.3705768528688369</v>
      </c>
      <c r="R277" s="76">
        <v>0.29362687918847008</v>
      </c>
      <c r="S277" s="31">
        <v>27629</v>
      </c>
      <c r="T277" s="31"/>
      <c r="U277" s="76">
        <v>-0.10153983994168636</v>
      </c>
      <c r="V277" s="76">
        <v>-0.26489675516224187</v>
      </c>
      <c r="W277" s="76">
        <v>-0.13326432313494985</v>
      </c>
      <c r="X277" s="76">
        <v>9.4555573503186441E-2</v>
      </c>
      <c r="Y277" s="76">
        <v>-3.4829895559133961E-2</v>
      </c>
      <c r="Z277" s="76">
        <v>-3.7401140624507612E-2</v>
      </c>
      <c r="AA277" s="76">
        <v>0.17495395948434633</v>
      </c>
      <c r="AB277" s="76">
        <v>0.17491958889747905</v>
      </c>
      <c r="AC277" s="76">
        <v>-2.925270951237291E-5</v>
      </c>
      <c r="AD277" s="142">
        <v>-0.33298522410677134</v>
      </c>
      <c r="AE277" s="142">
        <v>-0.34815033271552959</v>
      </c>
      <c r="AF277" s="142">
        <v>-0.35144246943435031</v>
      </c>
    </row>
    <row r="278" spans="1:32" x14ac:dyDescent="0.35">
      <c r="A278" t="s">
        <v>68</v>
      </c>
      <c r="B278" t="s">
        <v>259</v>
      </c>
      <c r="C278" s="31">
        <v>411</v>
      </c>
      <c r="D278" s="31">
        <v>409</v>
      </c>
      <c r="E278" s="72">
        <v>421</v>
      </c>
      <c r="F278" s="31">
        <v>416</v>
      </c>
      <c r="G278" s="73">
        <v>1702413.3799999868</v>
      </c>
      <c r="H278" s="31">
        <v>1496434.0000000019</v>
      </c>
      <c r="I278" s="72">
        <v>515913.70999999915</v>
      </c>
      <c r="J278" s="72">
        <v>500212.96000000171</v>
      </c>
      <c r="K278" s="31">
        <v>2822.7142857142858</v>
      </c>
      <c r="L278" s="31">
        <v>1059</v>
      </c>
      <c r="M278" s="74">
        <v>6.7047845266372583</v>
      </c>
      <c r="N278" s="74">
        <v>2.601700680272109</v>
      </c>
      <c r="O278" s="75">
        <v>4043.7372446555505</v>
      </c>
      <c r="P278" s="75">
        <v>3597.1971153846198</v>
      </c>
      <c r="Q278" s="76">
        <v>0.30304843468746889</v>
      </c>
      <c r="R278" s="76">
        <v>0.33109861020822257</v>
      </c>
      <c r="S278" s="31">
        <v>1861.8571428571429</v>
      </c>
      <c r="T278" s="31"/>
      <c r="U278" s="76">
        <v>1.5820855254283019</v>
      </c>
      <c r="V278" s="76">
        <v>-9.6153846153845812E-3</v>
      </c>
      <c r="W278" s="76">
        <v>0.11314416806888006</v>
      </c>
      <c r="X278" s="76">
        <v>1.7458684565715865E-2</v>
      </c>
      <c r="Y278" s="76">
        <v>-7.1878445448959938E-2</v>
      </c>
      <c r="Z278" s="76">
        <v>-7.1344644451755368E-2</v>
      </c>
      <c r="AA278" s="76">
        <v>0.53649635036496357</v>
      </c>
      <c r="AB278" s="76">
        <v>0.56006129680449357</v>
      </c>
      <c r="AC278" s="76">
        <v>1.5336805996273517E-2</v>
      </c>
      <c r="AD278" s="142">
        <v>0.62798998148113039</v>
      </c>
      <c r="AE278" s="142">
        <v>0.55303666741820323</v>
      </c>
      <c r="AF278" s="142">
        <v>0.5239971216473458</v>
      </c>
    </row>
    <row r="279" spans="1:32" x14ac:dyDescent="0.35">
      <c r="A279" t="s">
        <v>68</v>
      </c>
      <c r="B279" t="s">
        <v>258</v>
      </c>
      <c r="C279" s="31">
        <v>852</v>
      </c>
      <c r="D279" s="31">
        <v>1822</v>
      </c>
      <c r="E279" s="72">
        <v>883</v>
      </c>
      <c r="F279" s="31">
        <v>1880</v>
      </c>
      <c r="G279" s="73">
        <v>1304266.5300000024</v>
      </c>
      <c r="H279" s="31">
        <v>1956057.4400000195</v>
      </c>
      <c r="I279" s="72">
        <v>466920.67000000225</v>
      </c>
      <c r="J279" s="72">
        <v>650020.05000001774</v>
      </c>
      <c r="K279" s="31">
        <v>18191.857142857141</v>
      </c>
      <c r="L279" s="31">
        <v>16757.142857142859</v>
      </c>
      <c r="M279" s="74">
        <v>20.602329720110014</v>
      </c>
      <c r="N279" s="74">
        <v>9.156109613656783</v>
      </c>
      <c r="O279" s="75">
        <v>1477.0855379388474</v>
      </c>
      <c r="P279" s="75">
        <v>1040.4560851063934</v>
      </c>
      <c r="Q279" s="76">
        <v>0.35799482641021341</v>
      </c>
      <c r="R279" s="76">
        <v>0.32738807869806563</v>
      </c>
      <c r="S279" s="31">
        <v>15680.285714285714</v>
      </c>
      <c r="T279" s="31"/>
      <c r="U279" s="76">
        <v>5.5319693094629141E-2</v>
      </c>
      <c r="V279" s="76">
        <v>-0.54574468085106376</v>
      </c>
      <c r="W279" s="76">
        <v>-0.35498651818732241</v>
      </c>
      <c r="X279" s="76">
        <v>-0.29484449136233704</v>
      </c>
      <c r="Y279" s="76">
        <v>-1.0217354545877244E-2</v>
      </c>
      <c r="Z279" s="76">
        <v>-6.9637231354691131E-3</v>
      </c>
      <c r="AA279" s="76">
        <v>0.19810040705563092</v>
      </c>
      <c r="AB279" s="76">
        <v>0.14290518689148124</v>
      </c>
      <c r="AC279" s="76">
        <v>-4.606894367041714E-2</v>
      </c>
      <c r="AD279" s="142">
        <v>-0.50252758802839115</v>
      </c>
      <c r="AE279" s="142">
        <v>-0.53404342993285137</v>
      </c>
      <c r="AF279" s="142">
        <v>-0.56096256872296901</v>
      </c>
    </row>
    <row r="280" spans="1:32" x14ac:dyDescent="0.35">
      <c r="A280" t="s">
        <v>68</v>
      </c>
      <c r="B280" t="s">
        <v>260</v>
      </c>
      <c r="C280" s="31">
        <v>360</v>
      </c>
      <c r="D280" s="31">
        <v>930</v>
      </c>
      <c r="E280" s="72">
        <v>367</v>
      </c>
      <c r="F280" s="31">
        <v>953</v>
      </c>
      <c r="G280" s="73">
        <v>558336.93999999913</v>
      </c>
      <c r="H280" s="31">
        <v>1135968.4299999923</v>
      </c>
      <c r="I280" s="72">
        <v>256789.66999999987</v>
      </c>
      <c r="J280" s="72">
        <v>496251.32999999274</v>
      </c>
      <c r="K280" s="31">
        <v>6549.7142857142853</v>
      </c>
      <c r="L280" s="31">
        <v>12486.857142857143</v>
      </c>
      <c r="M280" s="74">
        <v>17.846632931101595</v>
      </c>
      <c r="N280" s="74">
        <v>13.339285714285714</v>
      </c>
      <c r="O280" s="75">
        <v>1521.3540599455016</v>
      </c>
      <c r="P280" s="75">
        <v>1191.9920566631608</v>
      </c>
      <c r="Q280" s="76">
        <v>0.45991882607659862</v>
      </c>
      <c r="R280" s="76">
        <v>0.43024123320704322</v>
      </c>
      <c r="S280" s="31">
        <v>6684.8571428571431</v>
      </c>
      <c r="T280" s="31"/>
      <c r="U280" s="76">
        <v>-0.49169412410763325</v>
      </c>
      <c r="V280" s="76">
        <v>-0.62644281217208819</v>
      </c>
      <c r="W280" s="76">
        <v>-0.52331094271695311</v>
      </c>
      <c r="X280" s="76">
        <v>-0.49138181337504472</v>
      </c>
      <c r="Y280" s="76">
        <v>-1.3989018625561345E-2</v>
      </c>
      <c r="Z280" s="76">
        <v>-1.3745778389657404E-2</v>
      </c>
      <c r="AA280" s="76">
        <v>0.20327868852459008</v>
      </c>
      <c r="AB280" s="76">
        <v>0.20183874543654734</v>
      </c>
      <c r="AC280" s="76">
        <v>-1.1966829478287089E-3</v>
      </c>
      <c r="AD280" s="142">
        <v>-0.59175169336836775</v>
      </c>
      <c r="AE280" s="142">
        <v>-0.60815435868983891</v>
      </c>
      <c r="AF280" s="142">
        <v>-0.60698778982987678</v>
      </c>
    </row>
    <row r="281" spans="1:32" x14ac:dyDescent="0.35">
      <c r="A281" t="s">
        <v>68</v>
      </c>
      <c r="B281" t="s">
        <v>261</v>
      </c>
      <c r="C281" s="31">
        <v>201</v>
      </c>
      <c r="D281" s="31">
        <v>326</v>
      </c>
      <c r="E281" s="72">
        <v>217</v>
      </c>
      <c r="F281" s="31">
        <v>332</v>
      </c>
      <c r="G281" s="73">
        <v>407000.56000000023</v>
      </c>
      <c r="H281" s="31">
        <v>509509.26999999909</v>
      </c>
      <c r="I281" s="72">
        <v>113246.65000000002</v>
      </c>
      <c r="J281" s="72">
        <v>191970.22999999876</v>
      </c>
      <c r="K281" s="31">
        <v>3691.8571428571427</v>
      </c>
      <c r="L281" s="31">
        <v>3560.4285714285716</v>
      </c>
      <c r="M281" s="74">
        <v>17.013166556945357</v>
      </c>
      <c r="N281" s="74">
        <v>10.733027905039567</v>
      </c>
      <c r="O281" s="75">
        <v>1875.5786175115218</v>
      </c>
      <c r="P281" s="75">
        <v>1534.6664759036116</v>
      </c>
      <c r="Q281" s="76">
        <v>0.2782469144514198</v>
      </c>
      <c r="R281" s="76">
        <v>0.36511800608567169</v>
      </c>
      <c r="S281" s="31">
        <v>2361.4285714285716</v>
      </c>
      <c r="T281" s="31"/>
      <c r="U281" s="76">
        <v>-1.6851903863900342E-3</v>
      </c>
      <c r="V281" s="76">
        <v>-0.37048192771084343</v>
      </c>
      <c r="W281" s="76">
        <v>-0.23028760595464515</v>
      </c>
      <c r="X281" s="76">
        <v>-0.42435364696528299</v>
      </c>
      <c r="Y281" s="76">
        <v>-2.4802907175643485E-2</v>
      </c>
      <c r="Z281" s="76">
        <v>-1.73390623217613E-2</v>
      </c>
      <c r="AA281" s="76">
        <v>0.12435233160621761</v>
      </c>
      <c r="AB281" s="76">
        <v>0.13940541707863918</v>
      </c>
      <c r="AC281" s="76">
        <v>1.3388228092983123E-2</v>
      </c>
      <c r="AD281" s="142">
        <v>-0.38581579794981347</v>
      </c>
      <c r="AE281" s="142">
        <v>-0.4109043600868108</v>
      </c>
      <c r="AF281" s="142">
        <v>-0.5926630358828372</v>
      </c>
    </row>
    <row r="282" spans="1:32" x14ac:dyDescent="0.35">
      <c r="A282" t="s">
        <v>68</v>
      </c>
      <c r="B282" t="s">
        <v>264</v>
      </c>
      <c r="C282" s="31">
        <v>199</v>
      </c>
      <c r="D282" s="31">
        <v>289</v>
      </c>
      <c r="E282" s="72">
        <v>200</v>
      </c>
      <c r="F282" s="31">
        <v>292</v>
      </c>
      <c r="G282" s="73">
        <v>384515.2899999987</v>
      </c>
      <c r="H282" s="31">
        <v>476599.57999999821</v>
      </c>
      <c r="I282" s="72">
        <v>132189.18</v>
      </c>
      <c r="J282" s="72">
        <v>209110.61999999778</v>
      </c>
      <c r="K282" s="31">
        <v>2305.5714285714284</v>
      </c>
      <c r="L282" s="31">
        <v>2292.7142857142858</v>
      </c>
      <c r="M282" s="74">
        <v>11.527857142857142</v>
      </c>
      <c r="N282" s="74">
        <v>7.9137104506232019</v>
      </c>
      <c r="O282" s="75">
        <v>1922.5764499999934</v>
      </c>
      <c r="P282" s="75">
        <v>1632.1903424657473</v>
      </c>
      <c r="Q282" s="76">
        <v>0.34378133571749631</v>
      </c>
      <c r="R282" s="76">
        <v>0.42959149587625151</v>
      </c>
      <c r="S282" s="31">
        <v>761.42857142857144</v>
      </c>
      <c r="T282" s="31"/>
      <c r="U282" s="76">
        <v>-1.806966166116275E-2</v>
      </c>
      <c r="V282" s="76">
        <v>-0.33561643835616439</v>
      </c>
      <c r="W282" s="76">
        <v>-0.21693804262269745</v>
      </c>
      <c r="X282" s="76">
        <v>-0.37255010541511369</v>
      </c>
      <c r="Y282" s="76">
        <v>-2.9539177392526317E-2</v>
      </c>
      <c r="Z282" s="76">
        <v>-2.8941034897713602E-2</v>
      </c>
      <c r="AA282" s="76">
        <v>0.58730158730158721</v>
      </c>
      <c r="AB282" s="76">
        <v>0.58545837469310946</v>
      </c>
      <c r="AC282" s="76">
        <v>-1.1612239433410609E-3</v>
      </c>
      <c r="AD282" s="142">
        <v>0.55847232309001416</v>
      </c>
      <c r="AE282" s="142">
        <v>0.58222024933580241</v>
      </c>
      <c r="AF282" s="142">
        <v>0.49035380862620864</v>
      </c>
    </row>
    <row r="283" spans="1:32" x14ac:dyDescent="0.35">
      <c r="A283" t="s">
        <v>68</v>
      </c>
      <c r="B283" t="s">
        <v>265</v>
      </c>
      <c r="C283" s="31">
        <v>104</v>
      </c>
      <c r="D283" s="31">
        <v>98</v>
      </c>
      <c r="E283" s="72">
        <v>108</v>
      </c>
      <c r="F283" s="31">
        <v>100</v>
      </c>
      <c r="G283" s="73">
        <v>360391.80000000005</v>
      </c>
      <c r="H283" s="31">
        <v>309565.46000000037</v>
      </c>
      <c r="I283" s="72">
        <v>144442.32</v>
      </c>
      <c r="J283" s="72">
        <v>157778.6700000003</v>
      </c>
      <c r="K283" s="31">
        <v>1187.4285714285713</v>
      </c>
      <c r="L283" s="31">
        <v>1323.5714285714287</v>
      </c>
      <c r="M283" s="74">
        <v>10.994708994708994</v>
      </c>
      <c r="N283" s="74">
        <v>13.601428571428571</v>
      </c>
      <c r="O283" s="75">
        <v>3336.9611111111117</v>
      </c>
      <c r="P283" s="75">
        <v>3095.6546000000035</v>
      </c>
      <c r="Q283" s="76">
        <v>0.40079247086087971</v>
      </c>
      <c r="R283" s="76">
        <v>0.50967788848277873</v>
      </c>
      <c r="S283" s="31">
        <v>289.57142857142856</v>
      </c>
      <c r="T283" s="31"/>
      <c r="U283" s="76">
        <v>-0.1341608202914194</v>
      </c>
      <c r="V283" s="76">
        <v>5.0000000000000044E-2</v>
      </c>
      <c r="W283" s="76">
        <v>0.13056375863121072</v>
      </c>
      <c r="X283" s="76">
        <v>-0.1130384734514509</v>
      </c>
      <c r="Y283" s="76">
        <v>-3.4963015182476687E-2</v>
      </c>
      <c r="Z283" s="76">
        <v>-3.371308997907474E-2</v>
      </c>
      <c r="AA283" s="76">
        <v>-0.22857142857142854</v>
      </c>
      <c r="AB283" s="76">
        <v>-0.20409846497709527</v>
      </c>
      <c r="AC283" s="76">
        <v>3.1724212066728263E-2</v>
      </c>
      <c r="AD283" s="142">
        <v>-0.13890430356493616</v>
      </c>
      <c r="AE283" s="142">
        <v>-9.3841550738102422E-2</v>
      </c>
      <c r="AF283" s="142">
        <v>8.0116369961824967E-3</v>
      </c>
    </row>
    <row r="284" spans="1:32" x14ac:dyDescent="0.35">
      <c r="A284" t="s">
        <v>68</v>
      </c>
      <c r="B284" t="s">
        <v>263</v>
      </c>
      <c r="C284" s="31">
        <v>199</v>
      </c>
      <c r="D284" s="31">
        <v>255</v>
      </c>
      <c r="E284" s="72">
        <v>205</v>
      </c>
      <c r="F284" s="31">
        <v>257</v>
      </c>
      <c r="G284" s="73">
        <v>343646.49999999953</v>
      </c>
      <c r="H284" s="31">
        <v>365077.55999999959</v>
      </c>
      <c r="I284" s="72">
        <v>143562.20000000004</v>
      </c>
      <c r="J284" s="72">
        <v>158432.93999999901</v>
      </c>
      <c r="K284" s="31">
        <v>3387</v>
      </c>
      <c r="L284" s="31">
        <v>2487.7142857142858</v>
      </c>
      <c r="M284" s="74">
        <v>16.521951219512196</v>
      </c>
      <c r="N284" s="74">
        <v>9.6804798255179936</v>
      </c>
      <c r="O284" s="75">
        <v>1676.3243902439001</v>
      </c>
      <c r="P284" s="75">
        <v>1420.5352529182862</v>
      </c>
      <c r="Q284" s="76">
        <v>0.41776127503117372</v>
      </c>
      <c r="R284" s="76">
        <v>0.42613080383324814</v>
      </c>
      <c r="S284" s="31">
        <v>13.428571428571429</v>
      </c>
      <c r="T284" s="31"/>
      <c r="U284" s="76">
        <v>0.32726541862868941</v>
      </c>
      <c r="V284" s="76">
        <v>-0.24124513618677046</v>
      </c>
      <c r="W284" s="76">
        <v>-0.10166141134503048</v>
      </c>
      <c r="X284" s="76">
        <v>-0.1200409456779431</v>
      </c>
      <c r="Y284" s="76">
        <v>-5.025983762665176E-2</v>
      </c>
      <c r="Z284" s="76">
        <v>-4.9053425316861854E-2</v>
      </c>
      <c r="AA284" s="76">
        <v>0.39455782312925169</v>
      </c>
      <c r="AB284" s="76">
        <v>0.42838681798978318</v>
      </c>
      <c r="AC284" s="76">
        <v>2.4257864607307944E-2</v>
      </c>
      <c r="AD284" s="142">
        <v>-0.27356098632700038</v>
      </c>
      <c r="AE284" s="142">
        <v>-0.33265848861185376</v>
      </c>
      <c r="AF284" s="142">
        <v>-0.36615521004651519</v>
      </c>
    </row>
    <row r="285" spans="1:32" x14ac:dyDescent="0.35">
      <c r="A285" t="s">
        <v>68</v>
      </c>
      <c r="B285" t="s">
        <v>270</v>
      </c>
      <c r="C285" s="31">
        <v>138</v>
      </c>
      <c r="D285" s="31">
        <v>43</v>
      </c>
      <c r="E285" s="72">
        <v>142</v>
      </c>
      <c r="F285" s="31">
        <v>43</v>
      </c>
      <c r="G285" s="73">
        <v>329362.07000000007</v>
      </c>
      <c r="H285" s="31">
        <v>134491.20000000007</v>
      </c>
      <c r="I285" s="72">
        <v>45517.789999999964</v>
      </c>
      <c r="J285" s="72">
        <v>41596.24000000002</v>
      </c>
      <c r="K285" s="31">
        <v>3690.5714285714284</v>
      </c>
      <c r="L285" s="31">
        <v>1693.2857142857142</v>
      </c>
      <c r="M285" s="74">
        <v>25.989939637826961</v>
      </c>
      <c r="N285" s="74">
        <v>40.074675324675326</v>
      </c>
      <c r="O285" s="75">
        <v>2319.4511971830989</v>
      </c>
      <c r="P285" s="75">
        <v>3127.702325581397</v>
      </c>
      <c r="Q285" s="76">
        <v>0.13819985403905177</v>
      </c>
      <c r="R285" s="76">
        <v>0.30364171593808331</v>
      </c>
      <c r="S285" s="31">
        <v>1588.1428571428571</v>
      </c>
      <c r="T285" s="31"/>
      <c r="U285" s="76">
        <v>1.1252847380410023</v>
      </c>
      <c r="V285" s="76">
        <v>2.3023255813953489</v>
      </c>
      <c r="W285" s="76">
        <v>1.4489488531591652</v>
      </c>
      <c r="X285" s="76">
        <v>0.11414548822600867</v>
      </c>
      <c r="Y285" s="76">
        <v>-2.6104448364357768E-2</v>
      </c>
      <c r="Z285" s="76">
        <v>-2.9234931609800174E-2</v>
      </c>
      <c r="AA285" s="76">
        <v>0.25663716814159288</v>
      </c>
      <c r="AB285" s="76">
        <v>0.2384645587633003</v>
      </c>
      <c r="AC285" s="76">
        <v>-1.4461301829204798E-2</v>
      </c>
      <c r="AD285" s="142">
        <v>-0.16485375236502245</v>
      </c>
      <c r="AE285" s="142">
        <v>7.939186971031835E-2</v>
      </c>
      <c r="AF285" s="142">
        <v>-0.58704312139880033</v>
      </c>
    </row>
    <row r="286" spans="1:32" x14ac:dyDescent="0.35">
      <c r="A286" t="s">
        <v>68</v>
      </c>
      <c r="B286" t="s">
        <v>267</v>
      </c>
      <c r="C286" s="31">
        <v>144</v>
      </c>
      <c r="D286" s="31">
        <v>95</v>
      </c>
      <c r="E286" s="72">
        <v>146</v>
      </c>
      <c r="F286" s="31">
        <v>98</v>
      </c>
      <c r="G286" s="73">
        <v>173710.89</v>
      </c>
      <c r="H286" s="31">
        <v>94870.5900000002</v>
      </c>
      <c r="I286" s="72">
        <v>82191.34000000004</v>
      </c>
      <c r="J286" s="72">
        <v>53971.020000000244</v>
      </c>
      <c r="K286" s="31">
        <v>2201.4285714285716</v>
      </c>
      <c r="L286" s="31">
        <v>1252.8571428571429</v>
      </c>
      <c r="M286" s="74">
        <v>15.078277886497066</v>
      </c>
      <c r="N286" s="74">
        <v>12.936350777934937</v>
      </c>
      <c r="O286" s="75">
        <v>1189.8006164383562</v>
      </c>
      <c r="P286" s="75">
        <v>968.06724489796125</v>
      </c>
      <c r="Q286" s="76">
        <v>0.47315018649665563</v>
      </c>
      <c r="R286" s="76">
        <v>0.55239376855926747</v>
      </c>
      <c r="S286" s="31">
        <v>1510.8571428571429</v>
      </c>
      <c r="T286" s="31"/>
      <c r="U286" s="76">
        <v>0.70456100342075234</v>
      </c>
      <c r="V286" s="76">
        <v>0.43877551020408156</v>
      </c>
      <c r="W286" s="76">
        <v>0.76866487285469254</v>
      </c>
      <c r="X286" s="76">
        <v>0.51467141916538184</v>
      </c>
      <c r="Y286" s="76">
        <v>6.7661807355523518E-3</v>
      </c>
      <c r="Z286" s="76">
        <v>2.7982039435154871E-3</v>
      </c>
      <c r="AA286" s="76">
        <v>0.39047619047619042</v>
      </c>
      <c r="AB286" s="76">
        <v>0.38512893769184364</v>
      </c>
      <c r="AC286" s="76">
        <v>-3.8456270024413985E-3</v>
      </c>
      <c r="AD286" s="142">
        <v>-0.154192453658726</v>
      </c>
      <c r="AE286" s="142">
        <v>-0.32015056577356527</v>
      </c>
      <c r="AF286" s="142">
        <v>-0.38619766835224378</v>
      </c>
    </row>
    <row r="287" spans="1:32" x14ac:dyDescent="0.35">
      <c r="A287" t="s">
        <v>68</v>
      </c>
      <c r="B287" t="s">
        <v>271</v>
      </c>
      <c r="C287" s="31">
        <v>135</v>
      </c>
      <c r="D287" s="31">
        <v>55</v>
      </c>
      <c r="E287" s="72">
        <v>141</v>
      </c>
      <c r="F287" s="31">
        <v>56</v>
      </c>
      <c r="G287" s="73">
        <v>155532.00000000041</v>
      </c>
      <c r="H287" s="31">
        <v>69093.090000000026</v>
      </c>
      <c r="I287" s="72">
        <v>36133.17</v>
      </c>
      <c r="J287" s="72">
        <v>33349.41000000004</v>
      </c>
      <c r="K287" s="31">
        <v>3348.4285714285716</v>
      </c>
      <c r="L287" s="31">
        <v>2613.4285714285716</v>
      </c>
      <c r="M287" s="74">
        <v>23.747720364741642</v>
      </c>
      <c r="N287" s="74">
        <v>48.140306122448976</v>
      </c>
      <c r="O287" s="75">
        <v>1103.063829787237</v>
      </c>
      <c r="P287" s="75">
        <v>1233.805178571429</v>
      </c>
      <c r="Q287" s="76">
        <v>0.23231984414782747</v>
      </c>
      <c r="R287" s="76">
        <v>0.48267359297434848</v>
      </c>
      <c r="S287" s="31">
        <v>23.571428571428573</v>
      </c>
      <c r="T287" s="31"/>
      <c r="U287" s="76">
        <v>0.23324587296381316</v>
      </c>
      <c r="V287" s="76">
        <v>1.4464285714285716</v>
      </c>
      <c r="W287" s="76">
        <v>1.2086217304798539</v>
      </c>
      <c r="X287" s="76">
        <v>2.0126892799612994E-2</v>
      </c>
      <c r="Y287" s="76">
        <v>-2.4764216024609431E-2</v>
      </c>
      <c r="Z287" s="76">
        <v>-3.4279592929833957E-2</v>
      </c>
      <c r="AA287" s="76">
        <v>7.6335877862595325E-2</v>
      </c>
      <c r="AB287" s="76">
        <v>0.10210007844204627</v>
      </c>
      <c r="AC287" s="76">
        <v>2.393695231140458E-2</v>
      </c>
      <c r="AD287" s="142">
        <v>0.79502586874159786</v>
      </c>
      <c r="AE287" s="142">
        <v>0.85317575149960767</v>
      </c>
      <c r="AF287" s="142">
        <v>0.12207688127930408</v>
      </c>
    </row>
    <row r="288" spans="1:32" x14ac:dyDescent="0.35">
      <c r="A288" t="s">
        <v>68</v>
      </c>
      <c r="B288" t="s">
        <v>272</v>
      </c>
      <c r="C288" s="31">
        <v>89</v>
      </c>
      <c r="D288" s="31">
        <v>44</v>
      </c>
      <c r="E288" s="72">
        <v>104</v>
      </c>
      <c r="F288" s="31">
        <v>44</v>
      </c>
      <c r="G288" s="73">
        <v>154260.43000000017</v>
      </c>
      <c r="H288" s="31">
        <v>63124.549999999959</v>
      </c>
      <c r="I288" s="72">
        <v>11356.539999999999</v>
      </c>
      <c r="J288" s="72">
        <v>31209.149999999943</v>
      </c>
      <c r="K288" s="31">
        <v>1745.8571428571429</v>
      </c>
      <c r="L288" s="31">
        <v>1528.8571428571429</v>
      </c>
      <c r="M288" s="74">
        <v>16.787087912087912</v>
      </c>
      <c r="N288" s="74">
        <v>34.015527950310563</v>
      </c>
      <c r="O288" s="75">
        <v>1483.2733653846169</v>
      </c>
      <c r="P288" s="75">
        <v>1434.6488636363626</v>
      </c>
      <c r="Q288" s="76">
        <v>7.3619268402142959E-2</v>
      </c>
      <c r="R288" s="76">
        <v>0.47557140599711667</v>
      </c>
      <c r="S288" s="31">
        <v>7</v>
      </c>
      <c r="T288" s="31"/>
      <c r="U288" s="76">
        <v>0.1149317884507568</v>
      </c>
      <c r="V288" s="76">
        <v>1.3409090909090908</v>
      </c>
      <c r="W288" s="76">
        <v>1.4239450419844619</v>
      </c>
      <c r="X288" s="76">
        <v>-0.63817160439149689</v>
      </c>
      <c r="Y288" s="76">
        <v>-5.5956996006060078E-2</v>
      </c>
      <c r="Z288" s="76">
        <v>-5.0058297706956911E-2</v>
      </c>
      <c r="AA288" s="76">
        <v>7.2164948453608213E-2</v>
      </c>
      <c r="AB288" s="76">
        <v>6.8547483247278995E-2</v>
      </c>
      <c r="AC288" s="76">
        <v>-3.3739819712879093E-3</v>
      </c>
      <c r="AD288" s="142">
        <v>0.94988788144681691</v>
      </c>
      <c r="AE288" s="142">
        <v>1.1955324631235322</v>
      </c>
      <c r="AF288" s="142">
        <v>-0.5983330425489064</v>
      </c>
    </row>
    <row r="289" spans="1:32" x14ac:dyDescent="0.35">
      <c r="A289" t="s">
        <v>68</v>
      </c>
      <c r="B289" t="s">
        <v>273</v>
      </c>
      <c r="C289" s="31">
        <v>89</v>
      </c>
      <c r="D289" s="31">
        <v>26</v>
      </c>
      <c r="E289" s="72">
        <v>98</v>
      </c>
      <c r="F289" s="31">
        <v>29</v>
      </c>
      <c r="G289" s="73">
        <v>129862.65000000018</v>
      </c>
      <c r="H289" s="31">
        <v>36499.700000000012</v>
      </c>
      <c r="I289" s="72">
        <v>25661.840000000018</v>
      </c>
      <c r="J289" s="72">
        <v>16556.290000000008</v>
      </c>
      <c r="K289" s="31">
        <v>1444.8571428571429</v>
      </c>
      <c r="L289" s="31">
        <v>919.14285714285711</v>
      </c>
      <c r="M289" s="74">
        <v>14.743440233236152</v>
      </c>
      <c r="N289" s="74">
        <v>32.694581280788178</v>
      </c>
      <c r="O289" s="75">
        <v>1325.129081632655</v>
      </c>
      <c r="P289" s="75">
        <v>1258.6103448275867</v>
      </c>
      <c r="Q289" s="76">
        <v>0.19760754920679643</v>
      </c>
      <c r="R289" s="76">
        <v>0.45360071452642076</v>
      </c>
      <c r="S289" s="31">
        <v>49.571428571428569</v>
      </c>
      <c r="T289" s="31"/>
      <c r="U289" s="76">
        <v>0.50450730494249307</v>
      </c>
      <c r="V289" s="76">
        <v>2.3793103448275863</v>
      </c>
      <c r="W289" s="76">
        <v>2.5656232790954476</v>
      </c>
      <c r="X289" s="76">
        <v>0.50070154605893968</v>
      </c>
      <c r="Y289" s="76">
        <v>-5.4870687523916439E-2</v>
      </c>
      <c r="Z289" s="76">
        <v>-5.5737092708430525E-2</v>
      </c>
      <c r="AA289" s="76">
        <v>0.28947368421052633</v>
      </c>
      <c r="AB289" s="76">
        <v>0.28436643633070924</v>
      </c>
      <c r="AC289" s="76">
        <v>-3.960722845572473E-3</v>
      </c>
      <c r="AD289" s="142">
        <v>0.56272673490573422</v>
      </c>
      <c r="AE289" s="142">
        <v>0.75014830640899821</v>
      </c>
      <c r="AF289" s="142">
        <v>0.10315581392790391</v>
      </c>
    </row>
    <row r="290" spans="1:32" x14ac:dyDescent="0.35">
      <c r="A290" t="s">
        <v>68</v>
      </c>
      <c r="B290" t="s">
        <v>268</v>
      </c>
      <c r="C290" s="31">
        <v>99</v>
      </c>
      <c r="D290" s="31">
        <v>184</v>
      </c>
      <c r="E290" s="72">
        <v>115</v>
      </c>
      <c r="F290" s="31">
        <v>184</v>
      </c>
      <c r="G290" s="73">
        <v>125685.18000000009</v>
      </c>
      <c r="H290" s="31">
        <v>199587.24999999956</v>
      </c>
      <c r="I290" s="72">
        <v>25083.059999999994</v>
      </c>
      <c r="J290" s="72">
        <v>105385.54999999946</v>
      </c>
      <c r="K290" s="31">
        <v>1867.5714285714287</v>
      </c>
      <c r="L290" s="31">
        <v>2445.7142857142858</v>
      </c>
      <c r="M290" s="74">
        <v>16.239751552795031</v>
      </c>
      <c r="N290" s="74">
        <v>13.232804232804233</v>
      </c>
      <c r="O290" s="75">
        <v>1092.914608695653</v>
      </c>
      <c r="P290" s="75">
        <v>1084.713315217389</v>
      </c>
      <c r="Q290" s="76">
        <v>0.19957054602619001</v>
      </c>
      <c r="R290" s="76">
        <v>0.51595372386561134</v>
      </c>
      <c r="S290" s="31">
        <v>672.28571428571433</v>
      </c>
      <c r="T290" s="31"/>
      <c r="U290" s="76">
        <v>-0.25648364485981312</v>
      </c>
      <c r="V290" s="76">
        <v>-0.39673913043478259</v>
      </c>
      <c r="W290" s="76">
        <v>-0.39031566395147821</v>
      </c>
      <c r="X290" s="76">
        <v>-0.76933918976542326</v>
      </c>
      <c r="Y290" s="76">
        <v>-4.0205359918631278E-2</v>
      </c>
      <c r="Z290" s="76">
        <v>-5.1030778164924406E-2</v>
      </c>
      <c r="AA290" s="76">
        <v>-8.6206896551723755E-3</v>
      </c>
      <c r="AB290" s="76">
        <v>8.0508406266570631E-3</v>
      </c>
      <c r="AC290" s="76">
        <v>1.6816500110367061E-2</v>
      </c>
      <c r="AD290" s="142">
        <v>-0.28274055478458821</v>
      </c>
      <c r="AE290" s="142">
        <v>-0.41688377208517208</v>
      </c>
      <c r="AF290" s="142">
        <v>-0.79274457446102164</v>
      </c>
    </row>
    <row r="291" spans="1:32" x14ac:dyDescent="0.35">
      <c r="A291" t="s">
        <v>68</v>
      </c>
      <c r="B291" t="s">
        <v>269</v>
      </c>
      <c r="C291" s="31">
        <v>62</v>
      </c>
      <c r="D291" s="31">
        <v>59</v>
      </c>
      <c r="E291" s="72">
        <v>62</v>
      </c>
      <c r="F291" s="31">
        <v>60</v>
      </c>
      <c r="G291" s="73">
        <v>124449.38000000014</v>
      </c>
      <c r="H291" s="31">
        <v>105524.39000000009</v>
      </c>
      <c r="I291" s="72">
        <v>69334.609999999957</v>
      </c>
      <c r="J291" s="72">
        <v>64712.260000000089</v>
      </c>
      <c r="K291" s="31">
        <v>796.14285714285711</v>
      </c>
      <c r="L291" s="31">
        <v>843.42857142857144</v>
      </c>
      <c r="M291" s="74">
        <v>12.841013824884792</v>
      </c>
      <c r="N291" s="74">
        <v>14.01814058956916</v>
      </c>
      <c r="O291" s="75">
        <v>2007.2480645161313</v>
      </c>
      <c r="P291" s="75">
        <v>1758.7398333333347</v>
      </c>
      <c r="Q291" s="76">
        <v>0.55713101985722935</v>
      </c>
      <c r="R291" s="76">
        <v>0.58418085195888314</v>
      </c>
      <c r="S291" s="31">
        <v>7</v>
      </c>
      <c r="T291" s="31"/>
      <c r="U291" s="76">
        <v>-9.1971544715447107E-2</v>
      </c>
      <c r="V291" s="76">
        <v>1.6666666666666607E-2</v>
      </c>
      <c r="W291" s="76">
        <v>0.16038946067349946</v>
      </c>
      <c r="X291" s="76">
        <v>0.10460633585880874</v>
      </c>
      <c r="Y291" s="76">
        <v>-7.1305216234330726E-2</v>
      </c>
      <c r="Z291" s="76">
        <v>-6.9926568758344465E-2</v>
      </c>
      <c r="AA291" s="76">
        <v>0.24</v>
      </c>
      <c r="AB291" s="76">
        <v>0.25255373275956239</v>
      </c>
      <c r="AC291" s="76">
        <v>1.0123978031905123E-2</v>
      </c>
      <c r="AD291" s="142">
        <v>-0.44725867046096851</v>
      </c>
      <c r="AE291" s="142">
        <v>-0.39257447090804432</v>
      </c>
      <c r="AF291" s="142">
        <v>-0.30188762572680794</v>
      </c>
    </row>
    <row r="292" spans="1:32" x14ac:dyDescent="0.35">
      <c r="A292" t="s">
        <v>68</v>
      </c>
      <c r="B292" t="s">
        <v>776</v>
      </c>
      <c r="C292" s="31">
        <v>11</v>
      </c>
      <c r="D292" s="31"/>
      <c r="E292" s="72">
        <v>11</v>
      </c>
      <c r="F292" s="31"/>
      <c r="G292" s="73">
        <v>44458.260000000009</v>
      </c>
      <c r="H292" s="31"/>
      <c r="I292" s="72">
        <v>18890.89</v>
      </c>
      <c r="J292" s="72"/>
      <c r="K292" s="31">
        <v>908.42857142857144</v>
      </c>
      <c r="L292" s="31"/>
      <c r="M292" s="74">
        <v>82.584415584415581</v>
      </c>
      <c r="N292" s="74"/>
      <c r="O292" s="75">
        <v>4041.6600000000008</v>
      </c>
      <c r="P292" s="75"/>
      <c r="Q292" s="76">
        <v>0.42491294081234837</v>
      </c>
      <c r="R292" s="76"/>
      <c r="S292" s="31">
        <v>163.42857142857142</v>
      </c>
      <c r="T292" s="31"/>
      <c r="U292" s="76"/>
      <c r="V292" s="76"/>
      <c r="W292" s="76"/>
      <c r="X292" s="76"/>
      <c r="Y292" s="76">
        <v>3.9391956767092617E-2</v>
      </c>
      <c r="Z292" s="76">
        <v>3.9391958156260287E-2</v>
      </c>
      <c r="AA292" s="76">
        <v>0.22222222222222232</v>
      </c>
      <c r="AB292" s="76">
        <v>0.18555549688879514</v>
      </c>
      <c r="AC292" s="76">
        <v>-3.0000048000076607E-2</v>
      </c>
      <c r="AD292" s="142">
        <v>-0.64918547245149183</v>
      </c>
      <c r="AE292" s="142">
        <v>-0.62740587964716255</v>
      </c>
      <c r="AF292" s="142">
        <v>-0.57386281672033701</v>
      </c>
    </row>
    <row r="293" spans="1:32" x14ac:dyDescent="0.35">
      <c r="A293" t="s">
        <v>68</v>
      </c>
      <c r="B293" t="s">
        <v>262</v>
      </c>
      <c r="C293" s="31">
        <v>16</v>
      </c>
      <c r="D293" s="31">
        <v>173</v>
      </c>
      <c r="E293" s="72">
        <v>17</v>
      </c>
      <c r="F293" s="31">
        <v>175</v>
      </c>
      <c r="G293" s="73">
        <v>41866.489999999991</v>
      </c>
      <c r="H293" s="31">
        <v>459914.38999999914</v>
      </c>
      <c r="I293" s="72">
        <v>2854.1600000000008</v>
      </c>
      <c r="J293" s="72">
        <v>90697.719999999157</v>
      </c>
      <c r="K293" s="31">
        <v>873</v>
      </c>
      <c r="L293" s="31">
        <v>4231.5714285714284</v>
      </c>
      <c r="M293" s="74">
        <v>51.352941176470587</v>
      </c>
      <c r="N293" s="74">
        <v>24.101026045777431</v>
      </c>
      <c r="O293" s="75">
        <v>2462.7347058823525</v>
      </c>
      <c r="P293" s="75">
        <v>2628.0822285714235</v>
      </c>
      <c r="Q293" s="76">
        <v>6.817289913723365E-2</v>
      </c>
      <c r="R293" s="76">
        <v>0.19097702067558109</v>
      </c>
      <c r="S293" s="31">
        <v>5.7142857142857144</v>
      </c>
      <c r="T293" s="31"/>
      <c r="U293" s="76">
        <v>-0.7991289963201782</v>
      </c>
      <c r="V293" s="76">
        <v>-0.90857142857142859</v>
      </c>
      <c r="W293" s="76">
        <v>-0.9136980688949522</v>
      </c>
      <c r="X293" s="76">
        <v>-0.97170135487879528</v>
      </c>
      <c r="Y293" s="76">
        <v>5.9107574519838835E-3</v>
      </c>
      <c r="Z293" s="76">
        <v>8.5822743026902071E-3</v>
      </c>
      <c r="AA293" s="76">
        <v>2.4</v>
      </c>
      <c r="AB293" s="76">
        <v>2.1345146710130787</v>
      </c>
      <c r="AC293" s="76">
        <v>-7.8083920290271003E-2</v>
      </c>
      <c r="AD293" s="142">
        <v>-0.36638091688408486</v>
      </c>
      <c r="AE293" s="142">
        <v>-0.48781423507648747</v>
      </c>
      <c r="AF293" s="142">
        <v>-0.76824977597042732</v>
      </c>
    </row>
    <row r="294" spans="1:32" x14ac:dyDescent="0.35">
      <c r="A294" t="s">
        <v>68</v>
      </c>
      <c r="B294" t="s">
        <v>266</v>
      </c>
      <c r="C294" s="31">
        <v>32</v>
      </c>
      <c r="D294" s="31">
        <v>208</v>
      </c>
      <c r="E294" s="72">
        <v>32</v>
      </c>
      <c r="F294" s="31">
        <v>209</v>
      </c>
      <c r="G294" s="73">
        <v>38403.870000000024</v>
      </c>
      <c r="H294" s="31">
        <v>290281.10000000044</v>
      </c>
      <c r="I294" s="72">
        <v>3383.1200000000008</v>
      </c>
      <c r="J294" s="72">
        <v>89596.360000000452</v>
      </c>
      <c r="K294" s="31">
        <v>330.57142857142856</v>
      </c>
      <c r="L294" s="31">
        <v>3506.5714285714284</v>
      </c>
      <c r="M294" s="74">
        <v>10.330357142857142</v>
      </c>
      <c r="N294" s="74">
        <v>16.845899470899472</v>
      </c>
      <c r="O294" s="75">
        <v>1200.1209375000008</v>
      </c>
      <c r="P294" s="75">
        <v>1388.9047846889973</v>
      </c>
      <c r="Q294" s="76">
        <v>8.8093205189997748E-2</v>
      </c>
      <c r="R294" s="76">
        <v>0.29854071965964285</v>
      </c>
      <c r="S294" s="31">
        <v>2751</v>
      </c>
      <c r="T294" s="31"/>
      <c r="U294" s="76">
        <v>-0.91187973600586658</v>
      </c>
      <c r="V294" s="76">
        <v>-0.86124401913875603</v>
      </c>
      <c r="W294" s="76">
        <v>-0.87906928835532183</v>
      </c>
      <c r="X294" s="76">
        <v>-0.95990282806879434</v>
      </c>
      <c r="Y294" s="76">
        <v>0.27133162356799678</v>
      </c>
      <c r="Z294" s="76">
        <v>0.23743315508021379</v>
      </c>
      <c r="AA294" s="76">
        <v>0.60000000000000009</v>
      </c>
      <c r="AB294" s="76">
        <v>0.87413933700217816</v>
      </c>
      <c r="AC294" s="76">
        <v>0.17133708562636141</v>
      </c>
      <c r="AD294" s="142">
        <v>-0.86888196057526401</v>
      </c>
      <c r="AE294" s="142">
        <v>-0.93165121499079517</v>
      </c>
      <c r="AF294" s="142">
        <v>-0.98207810466368428</v>
      </c>
    </row>
    <row r="295" spans="1:32" x14ac:dyDescent="0.35">
      <c r="A295" t="s">
        <v>68</v>
      </c>
      <c r="B295" t="s">
        <v>275</v>
      </c>
      <c r="C295" s="31">
        <v>5</v>
      </c>
      <c r="D295" s="31">
        <v>16</v>
      </c>
      <c r="E295" s="72">
        <v>10</v>
      </c>
      <c r="F295" s="31">
        <v>20</v>
      </c>
      <c r="G295" s="73">
        <v>958.23</v>
      </c>
      <c r="H295" s="31">
        <v>5868.5499999999984</v>
      </c>
      <c r="I295" s="72">
        <v>423.15</v>
      </c>
      <c r="J295" s="72">
        <v>3817.4099999999985</v>
      </c>
      <c r="K295" s="31">
        <v>869</v>
      </c>
      <c r="L295" s="31">
        <v>1463</v>
      </c>
      <c r="M295" s="74">
        <v>86.9</v>
      </c>
      <c r="N295" s="74">
        <v>74.2</v>
      </c>
      <c r="O295" s="75">
        <v>95.823000000000008</v>
      </c>
      <c r="P295" s="75">
        <v>293.4274999999999</v>
      </c>
      <c r="Q295" s="76">
        <v>0.44159544159544156</v>
      </c>
      <c r="R295" s="76">
        <v>0.65048606555281963</v>
      </c>
      <c r="S295" s="31"/>
      <c r="T295" s="31"/>
      <c r="U295" s="76">
        <v>-0.43950786056049218</v>
      </c>
      <c r="V295" s="76">
        <v>-0.5</v>
      </c>
      <c r="W295" s="76">
        <v>-0.83671775821966232</v>
      </c>
      <c r="X295" s="76">
        <v>-0.88915259298843974</v>
      </c>
      <c r="Y295" s="76">
        <v>-4.182629855882769E-2</v>
      </c>
      <c r="Z295" s="76">
        <v>-3.1369426751592266E-2</v>
      </c>
      <c r="AA295" s="76">
        <v>-0.56521739130434789</v>
      </c>
      <c r="AB295" s="76">
        <v>-0.61017769677639833</v>
      </c>
      <c r="AC295" s="76">
        <v>-0.10340870258571599</v>
      </c>
      <c r="AD295" s="142"/>
      <c r="AE295" s="142"/>
      <c r="AF295" s="142"/>
    </row>
    <row r="296" spans="1:32" x14ac:dyDescent="0.35">
      <c r="A296" t="s">
        <v>68</v>
      </c>
      <c r="B296" t="s">
        <v>274</v>
      </c>
      <c r="C296" s="31">
        <v>1</v>
      </c>
      <c r="D296" s="31">
        <v>17</v>
      </c>
      <c r="E296" s="72">
        <v>1</v>
      </c>
      <c r="F296" s="31">
        <v>18</v>
      </c>
      <c r="G296" s="73">
        <v>291.66000000000003</v>
      </c>
      <c r="H296" s="31">
        <v>11354.009999999998</v>
      </c>
      <c r="I296" s="72">
        <v>59.79</v>
      </c>
      <c r="J296" s="72">
        <v>6787.9499999999989</v>
      </c>
      <c r="K296" s="31">
        <v>97.285714285714292</v>
      </c>
      <c r="L296" s="31">
        <v>259.57142857142856</v>
      </c>
      <c r="M296" s="74">
        <v>97.285714285714292</v>
      </c>
      <c r="N296" s="74">
        <v>14.865079365079364</v>
      </c>
      <c r="O296" s="75">
        <v>291.66000000000003</v>
      </c>
      <c r="P296" s="75">
        <v>630.77833333333319</v>
      </c>
      <c r="Q296" s="76">
        <v>0.20499897140506065</v>
      </c>
      <c r="R296" s="76">
        <v>0.59784604734362568</v>
      </c>
      <c r="S296" s="31"/>
      <c r="T296" s="31"/>
      <c r="U296" s="76">
        <v>-0.65602641717116117</v>
      </c>
      <c r="V296" s="76">
        <v>-0.94444444444444442</v>
      </c>
      <c r="W296" s="76">
        <v>-0.97431215931640014</v>
      </c>
      <c r="X296" s="76">
        <v>-0.99119174419375511</v>
      </c>
      <c r="Y296" s="76">
        <v>-3.2062675076740987E-2</v>
      </c>
      <c r="Z296" s="76">
        <v>-4.7552447552447474E-2</v>
      </c>
      <c r="AA296" s="76">
        <v>0</v>
      </c>
      <c r="AB296" s="76">
        <v>-0.12498499939997587</v>
      </c>
      <c r="AC296" s="76">
        <v>-0.12498499939997587</v>
      </c>
      <c r="AD296" s="142"/>
      <c r="AE296" s="142"/>
      <c r="AF296" s="142"/>
    </row>
    <row r="297" spans="1:32" x14ac:dyDescent="0.35">
      <c r="A297" t="s">
        <v>68</v>
      </c>
      <c r="B297" t="s">
        <v>777</v>
      </c>
      <c r="C297" s="31"/>
      <c r="D297" s="31"/>
      <c r="E297" s="72"/>
      <c r="F297" s="31"/>
      <c r="G297" s="73"/>
      <c r="H297" s="31"/>
      <c r="I297" s="72"/>
      <c r="J297" s="72"/>
      <c r="K297" s="31">
        <v>-1</v>
      </c>
      <c r="L297" s="31"/>
      <c r="M297" s="74"/>
      <c r="N297" s="74"/>
      <c r="O297" s="75"/>
      <c r="P297" s="75"/>
      <c r="Q297" s="76"/>
      <c r="R297" s="76"/>
      <c r="S297" s="31">
        <v>26</v>
      </c>
      <c r="T297" s="31"/>
      <c r="U297" s="76"/>
      <c r="V297" s="76"/>
      <c r="W297" s="76"/>
      <c r="X297" s="76"/>
      <c r="Y297" s="76">
        <v>0</v>
      </c>
      <c r="Z297" s="76">
        <v>0</v>
      </c>
      <c r="AA297" s="76"/>
      <c r="AB297" s="76"/>
      <c r="AC297" s="76"/>
      <c r="AD297" s="142"/>
      <c r="AE297" s="142"/>
      <c r="AF297" s="142"/>
    </row>
    <row r="298" spans="1:32" x14ac:dyDescent="0.35">
      <c r="A298" t="s">
        <v>68</v>
      </c>
      <c r="B298" t="s">
        <v>778</v>
      </c>
      <c r="C298" s="31"/>
      <c r="D298" s="31"/>
      <c r="E298" s="72"/>
      <c r="F298" s="31"/>
      <c r="G298" s="73"/>
      <c r="H298" s="31"/>
      <c r="I298" s="72"/>
      <c r="J298" s="72"/>
      <c r="K298" s="31">
        <v>5</v>
      </c>
      <c r="L298" s="31"/>
      <c r="M298" s="74"/>
      <c r="N298" s="74"/>
      <c r="O298" s="75"/>
      <c r="P298" s="75"/>
      <c r="Q298" s="76"/>
      <c r="R298" s="76"/>
      <c r="S298" s="31"/>
      <c r="T298" s="31"/>
      <c r="U298" s="76"/>
      <c r="V298" s="76"/>
      <c r="W298" s="76"/>
      <c r="X298" s="76"/>
      <c r="Y298" s="76">
        <v>0</v>
      </c>
      <c r="Z298" s="76">
        <v>0</v>
      </c>
      <c r="AA298" s="76"/>
      <c r="AB298" s="76"/>
      <c r="AC298" s="76"/>
      <c r="AD298" s="142"/>
      <c r="AE298" s="142"/>
      <c r="AF298" s="142"/>
    </row>
    <row r="299" spans="1:32" x14ac:dyDescent="0.35">
      <c r="A299" t="s">
        <v>68</v>
      </c>
      <c r="B299" t="s">
        <v>779</v>
      </c>
      <c r="C299" s="31"/>
      <c r="D299" s="31"/>
      <c r="E299" s="72"/>
      <c r="F299" s="31"/>
      <c r="G299" s="73"/>
      <c r="H299" s="31"/>
      <c r="I299" s="72"/>
      <c r="J299" s="72"/>
      <c r="K299" s="31"/>
      <c r="L299" s="31"/>
      <c r="M299" s="74"/>
      <c r="N299" s="74"/>
      <c r="O299" s="75"/>
      <c r="P299" s="75"/>
      <c r="Q299" s="76"/>
      <c r="R299" s="76"/>
      <c r="S299" s="31">
        <v>36</v>
      </c>
      <c r="T299" s="31"/>
      <c r="U299" s="76"/>
      <c r="V299" s="76"/>
      <c r="W299" s="76"/>
      <c r="X299" s="76"/>
      <c r="Y299" s="76"/>
      <c r="Z299" s="76"/>
      <c r="AA299" s="76"/>
      <c r="AB299" s="76"/>
      <c r="AC299" s="76"/>
      <c r="AD299" s="142"/>
      <c r="AE299" s="142"/>
      <c r="AF299" s="142"/>
    </row>
    <row r="300" spans="1:32" x14ac:dyDescent="0.35">
      <c r="A300" t="s">
        <v>68</v>
      </c>
      <c r="B300" t="s">
        <v>780</v>
      </c>
      <c r="C300" s="31"/>
      <c r="D300" s="31"/>
      <c r="E300" s="72"/>
      <c r="F300" s="31"/>
      <c r="G300" s="73"/>
      <c r="H300" s="31"/>
      <c r="I300" s="72"/>
      <c r="J300" s="72"/>
      <c r="K300" s="31"/>
      <c r="L300" s="31"/>
      <c r="M300" s="74"/>
      <c r="N300" s="74"/>
      <c r="O300" s="75"/>
      <c r="P300" s="75"/>
      <c r="Q300" s="76"/>
      <c r="R300" s="76"/>
      <c r="S300" s="31">
        <v>72</v>
      </c>
      <c r="T300" s="31"/>
      <c r="U300" s="76"/>
      <c r="V300" s="76"/>
      <c r="W300" s="76"/>
      <c r="X300" s="76"/>
      <c r="Y300" s="76"/>
      <c r="Z300" s="76"/>
      <c r="AA300" s="76"/>
      <c r="AB300" s="76"/>
      <c r="AC300" s="76"/>
      <c r="AD300" s="142"/>
      <c r="AE300" s="142"/>
      <c r="AF300" s="142"/>
    </row>
    <row r="301" spans="1:32" x14ac:dyDescent="0.35">
      <c r="A301" s="138" t="s">
        <v>843</v>
      </c>
      <c r="B301" s="138"/>
      <c r="C301" s="127">
        <v>4160</v>
      </c>
      <c r="D301" s="127">
        <v>6251</v>
      </c>
      <c r="E301" s="126">
        <v>4556</v>
      </c>
      <c r="F301" s="127">
        <v>6861</v>
      </c>
      <c r="G301" s="127">
        <v>8791226.2400001679</v>
      </c>
      <c r="H301" s="127">
        <v>10437389.91000055</v>
      </c>
      <c r="I301" s="126">
        <v>2987716.3499999945</v>
      </c>
      <c r="J301" s="126">
        <v>3716856.2300004587</v>
      </c>
      <c r="K301" s="127">
        <v>73770.428571428565</v>
      </c>
      <c r="L301" s="127">
        <v>79539.428571428565</v>
      </c>
      <c r="M301" s="140">
        <v>16.191929010410131</v>
      </c>
      <c r="N301" s="140">
        <v>11.766853875216992</v>
      </c>
      <c r="O301" s="139">
        <v>1929.5931167691326</v>
      </c>
      <c r="P301" s="139">
        <v>1521.2636510713526</v>
      </c>
      <c r="Q301" s="141">
        <v>0.33985206027412368</v>
      </c>
      <c r="R301" s="141">
        <v>0.34953380716850702</v>
      </c>
      <c r="S301" s="127">
        <v>62194.428571428572</v>
      </c>
      <c r="T301" s="127"/>
      <c r="U301" s="141">
        <v>-0.10112684454789711</v>
      </c>
      <c r="V301" s="141">
        <v>-0.35417577612592921</v>
      </c>
      <c r="W301" s="141">
        <v>-0.17937077335843499</v>
      </c>
      <c r="X301" s="141">
        <v>-0.20482853412382518</v>
      </c>
      <c r="Y301" s="141">
        <v>-2.7906589420674366E-2</v>
      </c>
      <c r="Z301" s="141">
        <v>-2.5793063114901149E-2</v>
      </c>
      <c r="AA301" s="141">
        <v>0.2136387852956847</v>
      </c>
      <c r="AB301" s="141">
        <v>0.23489540824467703</v>
      </c>
      <c r="AC301" s="141">
        <v>1.7514785458849325E-2</v>
      </c>
      <c r="AD301" s="143">
        <v>-0.33457848168482018</v>
      </c>
      <c r="AE301" s="143">
        <v>-0.31527826730657749</v>
      </c>
      <c r="AF301" s="143">
        <v>-0.39807839897115571</v>
      </c>
    </row>
    <row r="302" spans="1:32" x14ac:dyDescent="0.35">
      <c r="A302" t="s">
        <v>87</v>
      </c>
      <c r="B302" t="s">
        <v>579</v>
      </c>
      <c r="C302" s="31">
        <v>9001</v>
      </c>
      <c r="D302" s="31">
        <v>14046</v>
      </c>
      <c r="E302" s="72">
        <v>19749</v>
      </c>
      <c r="F302" s="31">
        <v>19531</v>
      </c>
      <c r="G302" s="73">
        <v>6639245.0800011391</v>
      </c>
      <c r="H302" s="31">
        <v>4534940.4399998747</v>
      </c>
      <c r="I302" s="72">
        <v>4054698.6399999158</v>
      </c>
      <c r="J302" s="72">
        <v>2378012.8699998925</v>
      </c>
      <c r="K302" s="31">
        <v>198220.57142857142</v>
      </c>
      <c r="L302" s="31">
        <v>292455.14285714284</v>
      </c>
      <c r="M302" s="74">
        <v>10.036992831463436</v>
      </c>
      <c r="N302" s="74">
        <v>15.086202820896698</v>
      </c>
      <c r="O302" s="75">
        <v>336.18132968763678</v>
      </c>
      <c r="P302" s="75">
        <v>232.19192258460268</v>
      </c>
      <c r="Q302" s="76">
        <v>0.61071681962962276</v>
      </c>
      <c r="R302" s="76">
        <v>0.51405330582442821</v>
      </c>
      <c r="S302" s="31">
        <v>66436.142857142855</v>
      </c>
      <c r="T302" s="31"/>
      <c r="U302" s="76">
        <v>-0.34575851925521173</v>
      </c>
      <c r="V302" s="76">
        <v>-1.909784445240903E-2</v>
      </c>
      <c r="W302" s="76">
        <v>0.42319453924319661</v>
      </c>
      <c r="X302" s="76">
        <v>0.69238950038966451</v>
      </c>
      <c r="Y302" s="76">
        <v>-3.7821788688175983E-2</v>
      </c>
      <c r="Z302" s="76">
        <v>-5.818629061379188E-2</v>
      </c>
      <c r="AA302" s="76">
        <v>4.0900226637853754E-2</v>
      </c>
      <c r="AB302" s="76">
        <v>6.0384450000316114E-2</v>
      </c>
      <c r="AC302" s="76">
        <v>1.8718627264975085E-2</v>
      </c>
      <c r="AD302" s="142">
        <v>-0.11032582765747651</v>
      </c>
      <c r="AE302" s="142">
        <v>7.2887772253055289E-2</v>
      </c>
      <c r="AF302" s="142">
        <v>0.38646512441295067</v>
      </c>
    </row>
    <row r="303" spans="1:32" x14ac:dyDescent="0.35">
      <c r="A303" t="s">
        <v>87</v>
      </c>
      <c r="B303" t="s">
        <v>581</v>
      </c>
      <c r="C303" s="31">
        <v>2790</v>
      </c>
      <c r="D303" s="31">
        <v>799</v>
      </c>
      <c r="E303" s="72">
        <v>3828</v>
      </c>
      <c r="F303" s="31">
        <v>1104</v>
      </c>
      <c r="G303" s="73">
        <v>924629.67999999179</v>
      </c>
      <c r="H303" s="31">
        <v>197934.83999999985</v>
      </c>
      <c r="I303" s="72">
        <v>535964.65999998804</v>
      </c>
      <c r="J303" s="72">
        <v>97570.85000000021</v>
      </c>
      <c r="K303" s="31">
        <v>34726.571428571428</v>
      </c>
      <c r="L303" s="31">
        <v>11488.857142857143</v>
      </c>
      <c r="M303" s="74">
        <v>9.0717271234512609</v>
      </c>
      <c r="N303" s="74">
        <v>10.530756599722116</v>
      </c>
      <c r="O303" s="75">
        <v>241.54380355276692</v>
      </c>
      <c r="P303" s="75">
        <v>179.28880434782596</v>
      </c>
      <c r="Q303" s="76">
        <v>0.57965331590912461</v>
      </c>
      <c r="R303" s="76">
        <v>0.47980520579933322</v>
      </c>
      <c r="S303" s="31">
        <v>3937.1428571428573</v>
      </c>
      <c r="T303" s="31"/>
      <c r="U303" s="76">
        <v>1.8898684439581213</v>
      </c>
      <c r="V303" s="76">
        <v>2.3333333333333335</v>
      </c>
      <c r="W303" s="76">
        <v>3.4889228697686008</v>
      </c>
      <c r="X303" s="76">
        <v>4.4220101219250338</v>
      </c>
      <c r="Y303" s="76">
        <v>9.4106419247273143E-2</v>
      </c>
      <c r="Z303" s="76">
        <v>1.6454039498057682E-2</v>
      </c>
      <c r="AA303" s="76">
        <v>0.15266485998193313</v>
      </c>
      <c r="AB303" s="76">
        <v>0.2666873682896469</v>
      </c>
      <c r="AC303" s="76">
        <v>9.8920781110218625E-2</v>
      </c>
      <c r="AD303" s="142">
        <v>0.60964955473510707</v>
      </c>
      <c r="AE303" s="142">
        <v>1.6364637583732826</v>
      </c>
      <c r="AF303" s="142">
        <v>2.1647819036551619</v>
      </c>
    </row>
    <row r="304" spans="1:32" x14ac:dyDescent="0.35">
      <c r="A304" t="s">
        <v>87</v>
      </c>
      <c r="B304" t="s">
        <v>580</v>
      </c>
      <c r="C304" s="31">
        <v>931</v>
      </c>
      <c r="D304" s="31">
        <v>2121</v>
      </c>
      <c r="E304" s="72">
        <v>1122</v>
      </c>
      <c r="F304" s="31">
        <v>2826</v>
      </c>
      <c r="G304" s="73">
        <v>263035.20999999804</v>
      </c>
      <c r="H304" s="31">
        <v>323515.64999999799</v>
      </c>
      <c r="I304" s="72">
        <v>163681.0000000007</v>
      </c>
      <c r="J304" s="72">
        <v>135314.79999999655</v>
      </c>
      <c r="K304" s="31">
        <v>14958.428571428571</v>
      </c>
      <c r="L304" s="31">
        <v>52307.857142857145</v>
      </c>
      <c r="M304" s="74">
        <v>13.331932773109243</v>
      </c>
      <c r="N304" s="74">
        <v>18.532182103610673</v>
      </c>
      <c r="O304" s="75">
        <v>234.43423351158469</v>
      </c>
      <c r="P304" s="75">
        <v>114.47829087048761</v>
      </c>
      <c r="Q304" s="76">
        <v>0.62227790720490206</v>
      </c>
      <c r="R304" s="76">
        <v>0.4070455763271752</v>
      </c>
      <c r="S304" s="31">
        <v>2964.4285714285716</v>
      </c>
      <c r="T304" s="31"/>
      <c r="U304" s="76">
        <v>-0.7257090576395242</v>
      </c>
      <c r="V304" s="76">
        <v>-0.62172682236376509</v>
      </c>
      <c r="W304" s="76">
        <v>-0.22676949322235318</v>
      </c>
      <c r="X304" s="76">
        <v>0.18003864343104281</v>
      </c>
      <c r="Y304" s="76">
        <v>-8.1712435140780415E-2</v>
      </c>
      <c r="Z304" s="76">
        <v>-8.1427481116930323E-2</v>
      </c>
      <c r="AA304" s="76">
        <v>-9.8070739549839248E-2</v>
      </c>
      <c r="AB304" s="76">
        <v>-7.8141123799527534E-2</v>
      </c>
      <c r="AC304" s="76">
        <v>2.2096650617992708E-2</v>
      </c>
      <c r="AD304" s="142">
        <v>-0.69706943840750757</v>
      </c>
      <c r="AE304" s="142">
        <v>-0.5920579358566963</v>
      </c>
      <c r="AF304" s="142">
        <v>-0.46602234034437445</v>
      </c>
    </row>
    <row r="305" spans="1:32" x14ac:dyDescent="0.35">
      <c r="A305" t="s">
        <v>87</v>
      </c>
      <c r="B305" t="s">
        <v>582</v>
      </c>
      <c r="C305" s="31">
        <v>3889</v>
      </c>
      <c r="D305" s="31">
        <v>1878</v>
      </c>
      <c r="E305" s="72">
        <v>8785</v>
      </c>
      <c r="F305" s="31">
        <v>4202</v>
      </c>
      <c r="G305" s="73">
        <v>252081.41000001083</v>
      </c>
      <c r="H305" s="31">
        <v>107506.68000000142</v>
      </c>
      <c r="I305" s="72">
        <v>125228.71999999991</v>
      </c>
      <c r="J305" s="72">
        <v>69068.390000001353</v>
      </c>
      <c r="K305" s="31">
        <v>50443.571428571428</v>
      </c>
      <c r="L305" s="31">
        <v>77177</v>
      </c>
      <c r="M305" s="74">
        <v>5.7420115456541181</v>
      </c>
      <c r="N305" s="74">
        <v>18.618582394576812</v>
      </c>
      <c r="O305" s="75">
        <v>28.694525896415577</v>
      </c>
      <c r="P305" s="75">
        <v>25.584645406949409</v>
      </c>
      <c r="Q305" s="76">
        <v>0.49677887790295416</v>
      </c>
      <c r="R305" s="76">
        <v>0.62829690727351895</v>
      </c>
      <c r="S305" s="31">
        <v>9015</v>
      </c>
      <c r="T305" s="31"/>
      <c r="U305" s="76">
        <v>-0.36729854749471991</v>
      </c>
      <c r="V305" s="76">
        <v>1.0104712041884816</v>
      </c>
      <c r="W305" s="76">
        <v>1.2559280967471604</v>
      </c>
      <c r="X305" s="76">
        <v>0.78266276595816975</v>
      </c>
      <c r="Y305" s="76">
        <v>-9.1450592272512399E-2</v>
      </c>
      <c r="Z305" s="76">
        <v>-8.960707471768159E-2</v>
      </c>
      <c r="AA305" s="76">
        <v>2.11554109031733E-2</v>
      </c>
      <c r="AB305" s="76">
        <v>1.4697657171738321E-2</v>
      </c>
      <c r="AC305" s="76">
        <v>-6.3239675983535193E-3</v>
      </c>
      <c r="AD305" s="142">
        <v>-7.3279869511054391E-2</v>
      </c>
      <c r="AE305" s="142">
        <v>-8.9940439588378829E-2</v>
      </c>
      <c r="AF305" s="142">
        <v>-9.0206000324788538E-2</v>
      </c>
    </row>
    <row r="306" spans="1:32" x14ac:dyDescent="0.35">
      <c r="A306" t="s">
        <v>87</v>
      </c>
      <c r="B306" t="s">
        <v>584</v>
      </c>
      <c r="C306" s="31">
        <v>1595</v>
      </c>
      <c r="D306" s="31">
        <v>434</v>
      </c>
      <c r="E306" s="72">
        <v>2197</v>
      </c>
      <c r="F306" s="31">
        <v>623</v>
      </c>
      <c r="G306" s="73">
        <v>218779.27000000072</v>
      </c>
      <c r="H306" s="31">
        <v>58078.070000000313</v>
      </c>
      <c r="I306" s="72">
        <v>118674.89000000086</v>
      </c>
      <c r="J306" s="72">
        <v>29654.950000000288</v>
      </c>
      <c r="K306" s="31">
        <v>24014.571428571428</v>
      </c>
      <c r="L306" s="31">
        <v>7303.4285714285716</v>
      </c>
      <c r="M306" s="74">
        <v>10.930619676181806</v>
      </c>
      <c r="N306" s="74">
        <v>12.167043399638336</v>
      </c>
      <c r="O306" s="75">
        <v>99.580914883932962</v>
      </c>
      <c r="P306" s="75">
        <v>93.223226324238055</v>
      </c>
      <c r="Q306" s="76">
        <v>0.54244120112477046</v>
      </c>
      <c r="R306" s="76">
        <v>0.50238810516438448</v>
      </c>
      <c r="S306" s="31">
        <v>25410.571428571428</v>
      </c>
      <c r="T306" s="31"/>
      <c r="U306" s="76">
        <v>2.1898130036773336</v>
      </c>
      <c r="V306" s="76">
        <v>2.4141252006420544</v>
      </c>
      <c r="W306" s="76">
        <v>2.667129262387673</v>
      </c>
      <c r="X306" s="76">
        <v>2.9603533386363901</v>
      </c>
      <c r="Y306" s="76">
        <v>-1.0198574864388354E-2</v>
      </c>
      <c r="Z306" s="76">
        <v>-2.444900720415033E-3</v>
      </c>
      <c r="AA306" s="76">
        <v>0.10513078470824944</v>
      </c>
      <c r="AB306" s="76">
        <v>9.1047787883007825E-2</v>
      </c>
      <c r="AC306" s="76">
        <v>-1.2743285247419411E-2</v>
      </c>
      <c r="AD306" s="142">
        <v>1.3558275366965442</v>
      </c>
      <c r="AE306" s="142">
        <v>0.40904451871948094</v>
      </c>
      <c r="AF306" s="142">
        <v>0.5556933253759867</v>
      </c>
    </row>
    <row r="307" spans="1:32" x14ac:dyDescent="0.35">
      <c r="A307" t="s">
        <v>87</v>
      </c>
      <c r="B307" t="s">
        <v>608</v>
      </c>
      <c r="C307" s="31">
        <v>494</v>
      </c>
      <c r="D307" s="31"/>
      <c r="E307" s="72">
        <v>570</v>
      </c>
      <c r="F307" s="31"/>
      <c r="G307" s="73">
        <v>189230.30999999924</v>
      </c>
      <c r="H307" s="31"/>
      <c r="I307" s="72">
        <v>100880.31000000055</v>
      </c>
      <c r="J307" s="72"/>
      <c r="K307" s="31">
        <v>3958.7142857142858</v>
      </c>
      <c r="L307" s="31"/>
      <c r="M307" s="74">
        <v>6.9451127819548875</v>
      </c>
      <c r="N307" s="74"/>
      <c r="O307" s="75">
        <v>331.9829999999987</v>
      </c>
      <c r="P307" s="75"/>
      <c r="Q307" s="76">
        <v>0.53310862303190731</v>
      </c>
      <c r="R307" s="76"/>
      <c r="S307" s="31">
        <v>166</v>
      </c>
      <c r="T307" s="31"/>
      <c r="U307" s="76"/>
      <c r="V307" s="76"/>
      <c r="W307" s="76"/>
      <c r="X307" s="76"/>
      <c r="Y307" s="76">
        <v>-0.12894099896268818</v>
      </c>
      <c r="Z307" s="76">
        <v>-0.12894099896268807</v>
      </c>
      <c r="AA307" s="76">
        <v>-5.4726368159203953E-2</v>
      </c>
      <c r="AB307" s="76">
        <v>-5.6260365384192879E-2</v>
      </c>
      <c r="AC307" s="76">
        <v>-1.622807590646036E-3</v>
      </c>
      <c r="AD307" s="142">
        <v>1.7128207910585429</v>
      </c>
      <c r="AE307" s="142">
        <v>1.9000842905060575</v>
      </c>
      <c r="AF307" s="142">
        <v>2.1468326637007307</v>
      </c>
    </row>
    <row r="308" spans="1:32" x14ac:dyDescent="0.35">
      <c r="A308" t="s">
        <v>87</v>
      </c>
      <c r="B308" t="s">
        <v>586</v>
      </c>
      <c r="C308" s="31">
        <v>801</v>
      </c>
      <c r="D308" s="31">
        <v>163</v>
      </c>
      <c r="E308" s="72">
        <v>1019</v>
      </c>
      <c r="F308" s="31">
        <v>206</v>
      </c>
      <c r="G308" s="73">
        <v>110234.99000000059</v>
      </c>
      <c r="H308" s="31">
        <v>14845.13999999999</v>
      </c>
      <c r="I308" s="72">
        <v>79666.660000000644</v>
      </c>
      <c r="J308" s="72">
        <v>9409.6099999999897</v>
      </c>
      <c r="K308" s="31">
        <v>10352.571428571429</v>
      </c>
      <c r="L308" s="31">
        <v>2076.5714285714284</v>
      </c>
      <c r="M308" s="74">
        <v>10.159540165428291</v>
      </c>
      <c r="N308" s="74">
        <v>9.7490347490347489</v>
      </c>
      <c r="O308" s="75">
        <v>108.17957801766495</v>
      </c>
      <c r="P308" s="75">
        <v>72.063786407766941</v>
      </c>
      <c r="Q308" s="76">
        <v>0.72269848257799285</v>
      </c>
      <c r="R308" s="76">
        <v>0.58889415988043858</v>
      </c>
      <c r="S308" s="31">
        <v>162</v>
      </c>
      <c r="T308" s="31"/>
      <c r="U308" s="76">
        <v>3.8395019262520647</v>
      </c>
      <c r="V308" s="76">
        <v>3.8009708737864081</v>
      </c>
      <c r="W308" s="76">
        <v>6.2067464503534922</v>
      </c>
      <c r="X308" s="76">
        <v>7.8298493655996992</v>
      </c>
      <c r="Y308" s="76">
        <v>-8.8029752962339836E-2</v>
      </c>
      <c r="Z308" s="76">
        <v>-8.7993959224767049E-2</v>
      </c>
      <c r="AA308" s="76">
        <v>-2.1133525456291991E-2</v>
      </c>
      <c r="AB308" s="76">
        <v>-1.9776533749526815E-2</v>
      </c>
      <c r="AC308" s="76">
        <v>1.3862888780593607E-3</v>
      </c>
      <c r="AD308" s="142">
        <v>0.17888593312581547</v>
      </c>
      <c r="AE308" s="142">
        <v>0.77864413171865965</v>
      </c>
      <c r="AF308" s="142">
        <v>1.444074451083118</v>
      </c>
    </row>
    <row r="309" spans="1:32" x14ac:dyDescent="0.35">
      <c r="A309" t="s">
        <v>87</v>
      </c>
      <c r="B309" t="s">
        <v>585</v>
      </c>
      <c r="C309" s="31">
        <v>1061</v>
      </c>
      <c r="D309" s="31">
        <v>1119</v>
      </c>
      <c r="E309" s="72">
        <v>1538</v>
      </c>
      <c r="F309" s="31">
        <v>1763</v>
      </c>
      <c r="G309" s="73">
        <v>42937.020000001015</v>
      </c>
      <c r="H309" s="31">
        <v>57729.780000000035</v>
      </c>
      <c r="I309" s="72">
        <v>27218.400000000103</v>
      </c>
      <c r="J309" s="72">
        <v>28083.640000000054</v>
      </c>
      <c r="K309" s="31">
        <v>15307.428571428571</v>
      </c>
      <c r="L309" s="31">
        <v>28289.428571428572</v>
      </c>
      <c r="M309" s="74">
        <v>9.9528144157532967</v>
      </c>
      <c r="N309" s="74">
        <v>16.062790881123295</v>
      </c>
      <c r="O309" s="75">
        <v>27.917438231470101</v>
      </c>
      <c r="P309" s="75">
        <v>32.745195689166216</v>
      </c>
      <c r="Q309" s="76">
        <v>0.63391451013599587</v>
      </c>
      <c r="R309" s="76">
        <v>0.47349105668056052</v>
      </c>
      <c r="S309" s="31">
        <v>3043.4285714285716</v>
      </c>
      <c r="T309" s="31"/>
      <c r="U309" s="76">
        <v>-0.46618120852817313</v>
      </c>
      <c r="V309" s="76">
        <v>-0.15484968803176402</v>
      </c>
      <c r="W309" s="76">
        <v>-0.28048435313626807</v>
      </c>
      <c r="X309" s="76">
        <v>-3.532449075221733E-2</v>
      </c>
      <c r="Y309" s="76">
        <v>-0.10739984071985709</v>
      </c>
      <c r="Z309" s="76">
        <v>-0.1087526096467516</v>
      </c>
      <c r="AA309" s="76">
        <v>-0.22205361659079415</v>
      </c>
      <c r="AB309" s="76">
        <v>-0.22132371823235064</v>
      </c>
      <c r="AC309" s="76">
        <v>9.3823735672482478E-4</v>
      </c>
      <c r="AD309" s="142">
        <v>-9.4422312680548917E-2</v>
      </c>
      <c r="AE309" s="142">
        <v>-0.4910096686199108</v>
      </c>
      <c r="AF309" s="142">
        <v>-0.33822831974907536</v>
      </c>
    </row>
    <row r="310" spans="1:32" x14ac:dyDescent="0.35">
      <c r="A310" t="s">
        <v>87</v>
      </c>
      <c r="B310" t="s">
        <v>595</v>
      </c>
      <c r="C310" s="31">
        <v>169</v>
      </c>
      <c r="D310" s="31">
        <v>41</v>
      </c>
      <c r="E310" s="72">
        <v>205</v>
      </c>
      <c r="F310" s="31">
        <v>50</v>
      </c>
      <c r="G310" s="73">
        <v>18072.249999999989</v>
      </c>
      <c r="H310" s="31">
        <v>4534.8099999999995</v>
      </c>
      <c r="I310" s="72">
        <v>7510.4300000000076</v>
      </c>
      <c r="J310" s="72">
        <v>2289.1899999999987</v>
      </c>
      <c r="K310" s="31">
        <v>6685.7142857142853</v>
      </c>
      <c r="L310" s="31">
        <v>1889.4285714285713</v>
      </c>
      <c r="M310" s="74">
        <v>32.613240418118465</v>
      </c>
      <c r="N310" s="74">
        <v>37.024258760107813</v>
      </c>
      <c r="O310" s="75">
        <v>88.157317073170674</v>
      </c>
      <c r="P310" s="75">
        <v>90.69619999999999</v>
      </c>
      <c r="Q310" s="76">
        <v>0.415578027085726</v>
      </c>
      <c r="R310" s="76">
        <v>0.48094247657464589</v>
      </c>
      <c r="S310" s="31">
        <v>565.85714285714289</v>
      </c>
      <c r="T310" s="31"/>
      <c r="U310" s="76">
        <v>2.4737637985785574</v>
      </c>
      <c r="V310" s="76">
        <v>3</v>
      </c>
      <c r="W310" s="76">
        <v>2.8933516508960659</v>
      </c>
      <c r="X310" s="76">
        <v>2.3621188535848421</v>
      </c>
      <c r="Y310" s="76">
        <v>-3.8523606141595446E-2</v>
      </c>
      <c r="Z310" s="76">
        <v>-3.7908066770824811E-2</v>
      </c>
      <c r="AA310" s="76">
        <v>5.6701030927835072E-2</v>
      </c>
      <c r="AB310" s="76">
        <v>4.2928446241625062E-2</v>
      </c>
      <c r="AC310" s="76">
        <v>-1.3033567946949876E-2</v>
      </c>
      <c r="AD310" s="142">
        <v>0.31572866979189645</v>
      </c>
      <c r="AE310" s="142">
        <v>-6.7636649573678834E-2</v>
      </c>
      <c r="AF310" s="142">
        <v>-0.17521787360213742</v>
      </c>
    </row>
    <row r="311" spans="1:32" x14ac:dyDescent="0.35">
      <c r="A311" t="s">
        <v>87</v>
      </c>
      <c r="B311" t="s">
        <v>590</v>
      </c>
      <c r="C311" s="31">
        <v>222</v>
      </c>
      <c r="D311" s="31">
        <v>308</v>
      </c>
      <c r="E311" s="72">
        <v>382</v>
      </c>
      <c r="F311" s="31">
        <v>744</v>
      </c>
      <c r="G311" s="73">
        <v>11186.809999999939</v>
      </c>
      <c r="H311" s="31">
        <v>16106.869999999948</v>
      </c>
      <c r="I311" s="72">
        <v>5203.4199999999892</v>
      </c>
      <c r="J311" s="72">
        <v>6129.0499999999829</v>
      </c>
      <c r="K311" s="31">
        <v>6417.2857142857147</v>
      </c>
      <c r="L311" s="31">
        <v>12358.571428571429</v>
      </c>
      <c r="M311" s="74">
        <v>16.799177262528048</v>
      </c>
      <c r="N311" s="74">
        <v>17.149060150375938</v>
      </c>
      <c r="O311" s="75">
        <v>29.284842931937014</v>
      </c>
      <c r="P311" s="75">
        <v>21.649018817204229</v>
      </c>
      <c r="Q311" s="76">
        <v>0.46513885549142403</v>
      </c>
      <c r="R311" s="76">
        <v>0.37375629020179879</v>
      </c>
      <c r="S311" s="31">
        <v>3858.8571428571427</v>
      </c>
      <c r="T311" s="31"/>
      <c r="U311" s="76">
        <v>-0.49583863137209583</v>
      </c>
      <c r="V311" s="76">
        <v>-0.4946236559139785</v>
      </c>
      <c r="W311" s="76">
        <v>-0.3145396964152577</v>
      </c>
      <c r="X311" s="76">
        <v>-0.14292533321802581</v>
      </c>
      <c r="Y311" s="76">
        <v>-6.8794774024052874E-2</v>
      </c>
      <c r="Z311" s="76">
        <v>-6.1545532412726867E-2</v>
      </c>
      <c r="AA311" s="76">
        <v>-8.1730769230769273E-2</v>
      </c>
      <c r="AB311" s="76">
        <v>-6.7127593128303742E-2</v>
      </c>
      <c r="AC311" s="76">
        <v>1.5902935232004367E-2</v>
      </c>
      <c r="AD311" s="142">
        <v>-0.4386029266423031</v>
      </c>
      <c r="AE311" s="142"/>
      <c r="AF311" s="142"/>
    </row>
    <row r="312" spans="1:32" x14ac:dyDescent="0.35">
      <c r="A312" t="s">
        <v>87</v>
      </c>
      <c r="B312" t="s">
        <v>591</v>
      </c>
      <c r="C312" s="31">
        <v>40</v>
      </c>
      <c r="D312" s="31">
        <v>76</v>
      </c>
      <c r="E312" s="72">
        <v>52</v>
      </c>
      <c r="F312" s="31">
        <v>112</v>
      </c>
      <c r="G312" s="73">
        <v>8666.2999999999956</v>
      </c>
      <c r="H312" s="31">
        <v>13802.849999999984</v>
      </c>
      <c r="I312" s="72">
        <v>3901.8299999999995</v>
      </c>
      <c r="J312" s="72">
        <v>6166.7499999999845</v>
      </c>
      <c r="K312" s="31">
        <v>1478.4285714285713</v>
      </c>
      <c r="L312" s="31">
        <v>2457.4285714285716</v>
      </c>
      <c r="M312" s="74">
        <v>28.431318681318679</v>
      </c>
      <c r="N312" s="74">
        <v>22.808673469387752</v>
      </c>
      <c r="O312" s="75">
        <v>166.65961538461531</v>
      </c>
      <c r="P312" s="75">
        <v>123.23973214285699</v>
      </c>
      <c r="Q312" s="76">
        <v>0.45023020204700986</v>
      </c>
      <c r="R312" s="76">
        <v>0.44677367355292508</v>
      </c>
      <c r="S312" s="31"/>
      <c r="T312" s="31"/>
      <c r="U312" s="76">
        <v>-0.45919079176839905</v>
      </c>
      <c r="V312" s="76">
        <v>-0.5357142857142857</v>
      </c>
      <c r="W312" s="76">
        <v>-0.3721369137533187</v>
      </c>
      <c r="X312" s="76">
        <v>-0.36727936108971415</v>
      </c>
      <c r="Y312" s="76">
        <v>-6.0219912757565441E-2</v>
      </c>
      <c r="Z312" s="76">
        <v>-6.1059698784249772E-2</v>
      </c>
      <c r="AA312" s="76">
        <v>-8.7719298245614086E-2</v>
      </c>
      <c r="AB312" s="76">
        <v>-9.9178415956027499E-2</v>
      </c>
      <c r="AC312" s="76">
        <v>-1.2560955951799291E-2</v>
      </c>
      <c r="AD312" s="142">
        <v>-0.27863039657293959</v>
      </c>
      <c r="AE312" s="142">
        <v>-0.40303720792767278</v>
      </c>
      <c r="AF312" s="142">
        <v>-0.44555714407086477</v>
      </c>
    </row>
    <row r="313" spans="1:32" x14ac:dyDescent="0.35">
      <c r="A313" t="s">
        <v>87</v>
      </c>
      <c r="B313" t="s">
        <v>592</v>
      </c>
      <c r="C313" s="31">
        <v>120</v>
      </c>
      <c r="D313" s="31">
        <v>109</v>
      </c>
      <c r="E313" s="72">
        <v>169</v>
      </c>
      <c r="F313" s="31">
        <v>132</v>
      </c>
      <c r="G313" s="73">
        <v>8398.5099999999784</v>
      </c>
      <c r="H313" s="31">
        <v>8504.3199999999888</v>
      </c>
      <c r="I313" s="72">
        <v>804.21000000000106</v>
      </c>
      <c r="J313" s="72">
        <v>4683.8399999999865</v>
      </c>
      <c r="K313" s="31">
        <v>9545.2857142857138</v>
      </c>
      <c r="L313" s="31">
        <v>6570.2857142857147</v>
      </c>
      <c r="M313" s="74">
        <v>56.480980557903635</v>
      </c>
      <c r="N313" s="74">
        <v>49.152988855116512</v>
      </c>
      <c r="O313" s="75">
        <v>49.695325443786857</v>
      </c>
      <c r="P313" s="75">
        <v>64.426666666666577</v>
      </c>
      <c r="Q313" s="76">
        <v>9.5756271052841888E-2</v>
      </c>
      <c r="R313" s="76">
        <v>0.51362062272596587</v>
      </c>
      <c r="S313" s="31">
        <v>940</v>
      </c>
      <c r="T313" s="31"/>
      <c r="U313" s="76">
        <v>0.41298486693337977</v>
      </c>
      <c r="V313" s="76">
        <v>0.26515151515151514</v>
      </c>
      <c r="W313" s="76">
        <v>-2.4198289810356433E-2</v>
      </c>
      <c r="X313" s="76">
        <v>-0.81797576157605201</v>
      </c>
      <c r="Y313" s="76">
        <v>-2.0411379873946478E-2</v>
      </c>
      <c r="Z313" s="76">
        <v>-2.0422225480134837E-2</v>
      </c>
      <c r="AA313" s="76">
        <v>6.9620253164556889E-2</v>
      </c>
      <c r="AB313" s="76">
        <v>8.6253480831335327E-2</v>
      </c>
      <c r="AC313" s="76">
        <v>1.555059154645555E-2</v>
      </c>
      <c r="AD313" s="142">
        <v>-0.58006903267535037</v>
      </c>
      <c r="AE313" s="142"/>
      <c r="AF313" s="142"/>
    </row>
    <row r="314" spans="1:32" x14ac:dyDescent="0.35">
      <c r="A314" t="s">
        <v>87</v>
      </c>
      <c r="B314" t="s">
        <v>583</v>
      </c>
      <c r="C314" s="31">
        <v>5</v>
      </c>
      <c r="D314" s="31">
        <v>65</v>
      </c>
      <c r="E314" s="72">
        <v>6</v>
      </c>
      <c r="F314" s="31">
        <v>65</v>
      </c>
      <c r="G314" s="73">
        <v>3499.98</v>
      </c>
      <c r="H314" s="31">
        <v>36815.449999999997</v>
      </c>
      <c r="I314" s="72">
        <v>1397.54</v>
      </c>
      <c r="J314" s="72">
        <v>15484.579999999994</v>
      </c>
      <c r="K314" s="31">
        <v>263.71428571428572</v>
      </c>
      <c r="L314" s="31">
        <v>1771</v>
      </c>
      <c r="M314" s="74">
        <v>43.952380952380956</v>
      </c>
      <c r="N314" s="74">
        <v>26.571428571428569</v>
      </c>
      <c r="O314" s="75">
        <v>583.33000000000004</v>
      </c>
      <c r="P314" s="75">
        <v>566.3915384615384</v>
      </c>
      <c r="Q314" s="76">
        <v>0.39929942456814038</v>
      </c>
      <c r="R314" s="76">
        <v>0.39553221663441351</v>
      </c>
      <c r="S314" s="31"/>
      <c r="T314" s="31"/>
      <c r="U314" s="76">
        <v>-0.85173832378801317</v>
      </c>
      <c r="V314" s="76">
        <v>-0.90769230769230769</v>
      </c>
      <c r="W314" s="76">
        <v>-0.90493176098621642</v>
      </c>
      <c r="X314" s="76">
        <v>-0.90419113236327486</v>
      </c>
      <c r="Y314" s="76">
        <v>-2.9125891085459377E-2</v>
      </c>
      <c r="Z314" s="76">
        <v>-2.8421052631579014E-2</v>
      </c>
      <c r="AA314" s="76">
        <v>-0.64705882352941169</v>
      </c>
      <c r="AB314" s="76">
        <v>-0.6470588235294118</v>
      </c>
      <c r="AC314" s="76">
        <v>0</v>
      </c>
      <c r="AD314" s="142">
        <v>-0.79824676438248376</v>
      </c>
      <c r="AE314" s="142">
        <v>-0.85767437088510112</v>
      </c>
      <c r="AF314" s="142">
        <v>-0.88344014817081296</v>
      </c>
    </row>
    <row r="315" spans="1:32" x14ac:dyDescent="0.35">
      <c r="A315" t="s">
        <v>87</v>
      </c>
      <c r="B315" t="s">
        <v>593</v>
      </c>
      <c r="C315" s="31">
        <v>14</v>
      </c>
      <c r="D315" s="31">
        <v>97</v>
      </c>
      <c r="E315" s="72">
        <v>17</v>
      </c>
      <c r="F315" s="31">
        <v>140</v>
      </c>
      <c r="G315" s="73">
        <v>1798.2500000000002</v>
      </c>
      <c r="H315" s="31">
        <v>7413.6699999999964</v>
      </c>
      <c r="I315" s="72">
        <v>950.55</v>
      </c>
      <c r="J315" s="72">
        <v>3399.3399999999947</v>
      </c>
      <c r="K315" s="31">
        <v>565.71428571428567</v>
      </c>
      <c r="L315" s="31">
        <v>4241.4285714285716</v>
      </c>
      <c r="M315" s="74">
        <v>33.277310924369743</v>
      </c>
      <c r="N315" s="74">
        <v>30.790273556231003</v>
      </c>
      <c r="O315" s="75">
        <v>105.7794117647059</v>
      </c>
      <c r="P315" s="75">
        <v>52.954785714285691</v>
      </c>
      <c r="Q315" s="76">
        <v>0.52859724732378688</v>
      </c>
      <c r="R315" s="76">
        <v>0.4546900351383123</v>
      </c>
      <c r="S315" s="31">
        <v>1325.4285714285713</v>
      </c>
      <c r="T315" s="31"/>
      <c r="U315" s="76">
        <v>-0.87702930279555402</v>
      </c>
      <c r="V315" s="76">
        <v>-0.87857142857142856</v>
      </c>
      <c r="W315" s="76">
        <v>-0.75744132123496177</v>
      </c>
      <c r="X315" s="76">
        <v>-0.7176687586692363</v>
      </c>
      <c r="Y315" s="76">
        <v>-4.9605898782247193E-2</v>
      </c>
      <c r="Z315" s="76">
        <v>-4.7389944671638373E-2</v>
      </c>
      <c r="AA315" s="76">
        <v>0.30769230769230771</v>
      </c>
      <c r="AB315" s="76">
        <v>0.51975491231776916</v>
      </c>
      <c r="AC315" s="76">
        <v>0.16216552118417638</v>
      </c>
      <c r="AD315" s="142"/>
      <c r="AE315" s="142"/>
      <c r="AF315" s="142"/>
    </row>
    <row r="316" spans="1:32" x14ac:dyDescent="0.35">
      <c r="A316" t="s">
        <v>87</v>
      </c>
      <c r="B316" t="s">
        <v>587</v>
      </c>
      <c r="C316" s="31">
        <v>29</v>
      </c>
      <c r="D316" s="31">
        <v>466</v>
      </c>
      <c r="E316" s="72">
        <v>37</v>
      </c>
      <c r="F316" s="31">
        <v>709</v>
      </c>
      <c r="G316" s="73">
        <v>1254.5500000000009</v>
      </c>
      <c r="H316" s="31">
        <v>29295.690000000024</v>
      </c>
      <c r="I316" s="72">
        <v>22.049999999999997</v>
      </c>
      <c r="J316" s="72">
        <v>5676.2699999998767</v>
      </c>
      <c r="K316" s="31">
        <v>1104</v>
      </c>
      <c r="L316" s="31">
        <v>12401.142857142857</v>
      </c>
      <c r="M316" s="74">
        <v>29.837837837837839</v>
      </c>
      <c r="N316" s="74">
        <v>17.694615537452812</v>
      </c>
      <c r="O316" s="75">
        <v>33.906756756756778</v>
      </c>
      <c r="P316" s="75">
        <v>41.319732016925279</v>
      </c>
      <c r="Q316" s="76">
        <v>1.7576023275277974E-2</v>
      </c>
      <c r="R316" s="76">
        <v>0.19104140548090001</v>
      </c>
      <c r="S316" s="31"/>
      <c r="T316" s="31"/>
      <c r="U316" s="76">
        <v>-0.91276149663625472</v>
      </c>
      <c r="V316" s="76">
        <v>-0.94781382228490829</v>
      </c>
      <c r="W316" s="76">
        <v>-0.95717629453342801</v>
      </c>
      <c r="X316" s="76">
        <v>-0.99605828377139083</v>
      </c>
      <c r="Y316" s="76">
        <v>-4.6281740088698675E-2</v>
      </c>
      <c r="Z316" s="76">
        <v>-4.6396841066140282E-2</v>
      </c>
      <c r="AA316" s="76">
        <v>-0.43076923076923079</v>
      </c>
      <c r="AB316" s="76">
        <v>-0.42824785117262587</v>
      </c>
      <c r="AC316" s="76">
        <v>4.4294506426842961E-3</v>
      </c>
      <c r="AD316" s="142"/>
      <c r="AE316" s="142"/>
      <c r="AF316" s="142"/>
    </row>
    <row r="317" spans="1:32" x14ac:dyDescent="0.35">
      <c r="A317" t="s">
        <v>87</v>
      </c>
      <c r="B317" t="s">
        <v>597</v>
      </c>
      <c r="C317" s="31">
        <v>8</v>
      </c>
      <c r="D317" s="31">
        <v>7</v>
      </c>
      <c r="E317" s="72">
        <v>11</v>
      </c>
      <c r="F317" s="31">
        <v>7</v>
      </c>
      <c r="G317" s="73">
        <v>916.59999999999991</v>
      </c>
      <c r="H317" s="31">
        <v>2333.33</v>
      </c>
      <c r="I317" s="72">
        <v>-891.90999999999985</v>
      </c>
      <c r="J317" s="72">
        <v>1398.3200000000002</v>
      </c>
      <c r="K317" s="31">
        <v>29.571428571428573</v>
      </c>
      <c r="L317" s="31">
        <v>215.57142857142858</v>
      </c>
      <c r="M317" s="74">
        <v>2.6883116883116887</v>
      </c>
      <c r="N317" s="74">
        <v>24.841269841269842</v>
      </c>
      <c r="O317" s="75">
        <v>83.327272727272714</v>
      </c>
      <c r="P317" s="75">
        <v>333.33285714285711</v>
      </c>
      <c r="Q317" s="76">
        <v>-0.97306349552694738</v>
      </c>
      <c r="R317" s="76">
        <v>0.43247188648200613</v>
      </c>
      <c r="S317" s="31">
        <v>237</v>
      </c>
      <c r="T317" s="31"/>
      <c r="U317" s="76">
        <v>-0.87210072895957591</v>
      </c>
      <c r="V317" s="76">
        <v>0.5714285714285714</v>
      </c>
      <c r="W317" s="76">
        <v>-0.60717086738695336</v>
      </c>
      <c r="X317" s="76">
        <v>-1.9607682612863959</v>
      </c>
      <c r="Y317" s="76">
        <v>-0.16817330400949171</v>
      </c>
      <c r="Z317" s="76">
        <v>-0.16532258064516125</v>
      </c>
      <c r="AA317" s="76">
        <v>10</v>
      </c>
      <c r="AB317" s="76">
        <v>9.9996399855994227</v>
      </c>
      <c r="AC317" s="76">
        <v>-3.2728581870644646E-5</v>
      </c>
      <c r="AD317" s="142"/>
      <c r="AE317" s="142"/>
      <c r="AF317" s="142"/>
    </row>
    <row r="318" spans="1:32" x14ac:dyDescent="0.35">
      <c r="A318" t="s">
        <v>87</v>
      </c>
      <c r="B318" t="s">
        <v>596</v>
      </c>
      <c r="C318" s="31">
        <v>11</v>
      </c>
      <c r="D318" s="31">
        <v>92</v>
      </c>
      <c r="E318" s="72">
        <v>22</v>
      </c>
      <c r="F318" s="31">
        <v>219</v>
      </c>
      <c r="G318" s="73">
        <v>733.1099999999999</v>
      </c>
      <c r="H318" s="31">
        <v>3333.2699999999995</v>
      </c>
      <c r="I318" s="72">
        <v>534.53</v>
      </c>
      <c r="J318" s="72">
        <v>1294.2300000000018</v>
      </c>
      <c r="K318" s="31">
        <v>1723.2857142857142</v>
      </c>
      <c r="L318" s="31">
        <v>8696.5714285714294</v>
      </c>
      <c r="M318" s="74">
        <v>78.331168831168824</v>
      </c>
      <c r="N318" s="74">
        <v>38.411801242236024</v>
      </c>
      <c r="O318" s="75">
        <v>33.323181818181816</v>
      </c>
      <c r="P318" s="75">
        <v>15.220410958904107</v>
      </c>
      <c r="Q318" s="76">
        <v>0.72912659764564669</v>
      </c>
      <c r="R318" s="76">
        <v>0.3719233410827546</v>
      </c>
      <c r="S318" s="31">
        <v>1343</v>
      </c>
      <c r="T318" s="31"/>
      <c r="U318" s="76">
        <v>-0.80989223996320392</v>
      </c>
      <c r="V318" s="76">
        <v>-0.8995433789954338</v>
      </c>
      <c r="W318" s="76">
        <v>-0.78006282119360271</v>
      </c>
      <c r="X318" s="76">
        <v>-0.57318864881266118</v>
      </c>
      <c r="Y318" s="76">
        <v>-5.2780504138334461E-2</v>
      </c>
      <c r="Z318" s="76">
        <v>-5.1800031441597172E-2</v>
      </c>
      <c r="AA318" s="76">
        <v>-0.57692307692307687</v>
      </c>
      <c r="AB318" s="76">
        <v>-0.57692418672560764</v>
      </c>
      <c r="AC318" s="76">
        <v>-2.6231696181877595E-6</v>
      </c>
      <c r="AD318" s="142"/>
      <c r="AE318" s="142"/>
      <c r="AF318" s="142"/>
    </row>
    <row r="319" spans="1:32" x14ac:dyDescent="0.35">
      <c r="A319" t="s">
        <v>87</v>
      </c>
      <c r="B319" t="s">
        <v>594</v>
      </c>
      <c r="C319" s="31">
        <v>5</v>
      </c>
      <c r="D319" s="31">
        <v>124</v>
      </c>
      <c r="E319" s="72">
        <v>13</v>
      </c>
      <c r="F319" s="31">
        <v>144</v>
      </c>
      <c r="G319" s="73">
        <v>390.58000000000004</v>
      </c>
      <c r="H319" s="31">
        <v>9590.4499999999916</v>
      </c>
      <c r="I319" s="72">
        <v>-59.45</v>
      </c>
      <c r="J319" s="72">
        <v>5196.4799999999923</v>
      </c>
      <c r="K319" s="31">
        <v>90.857142857142861</v>
      </c>
      <c r="L319" s="31">
        <v>4763.4285714285716</v>
      </c>
      <c r="M319" s="74">
        <v>6.9890109890109891</v>
      </c>
      <c r="N319" s="74">
        <v>33.450623202301053</v>
      </c>
      <c r="O319" s="75">
        <v>30.044615384615387</v>
      </c>
      <c r="P319" s="75">
        <v>66.600347222222169</v>
      </c>
      <c r="Q319" s="76">
        <v>-0.15220953453837882</v>
      </c>
      <c r="R319" s="76">
        <v>0.5211896790706908</v>
      </c>
      <c r="S319" s="31">
        <v>577</v>
      </c>
      <c r="T319" s="31"/>
      <c r="U319" s="76">
        <v>-0.98155590211132437</v>
      </c>
      <c r="V319" s="76">
        <v>-0.90972222222222221</v>
      </c>
      <c r="W319" s="76">
        <v>-0.95927406951707161</v>
      </c>
      <c r="X319" s="76">
        <v>-1.0119069793525568</v>
      </c>
      <c r="Y319" s="76">
        <v>-8.2872223977440096E-2</v>
      </c>
      <c r="Z319" s="76">
        <v>-7.0175438596491113E-2</v>
      </c>
      <c r="AA319" s="76">
        <v>5.5</v>
      </c>
      <c r="AB319" s="76">
        <v>4.8610444177671077</v>
      </c>
      <c r="AC319" s="76">
        <v>-9.8300858805060454E-2</v>
      </c>
      <c r="AD319" s="142"/>
      <c r="AE319" s="142"/>
      <c r="AF319" s="142"/>
    </row>
    <row r="320" spans="1:32" x14ac:dyDescent="0.35">
      <c r="A320" t="s">
        <v>87</v>
      </c>
      <c r="B320" t="s">
        <v>588</v>
      </c>
      <c r="C320" s="31">
        <v>5</v>
      </c>
      <c r="D320" s="31">
        <v>117</v>
      </c>
      <c r="E320" s="72">
        <v>5</v>
      </c>
      <c r="F320" s="31">
        <v>136</v>
      </c>
      <c r="G320" s="73">
        <v>323.29999999999995</v>
      </c>
      <c r="H320" s="31">
        <v>16785.579999999973</v>
      </c>
      <c r="I320" s="72">
        <v>54.55</v>
      </c>
      <c r="J320" s="72">
        <v>9367.5399999999754</v>
      </c>
      <c r="K320" s="31">
        <v>134</v>
      </c>
      <c r="L320" s="31">
        <v>1985.5714285714287</v>
      </c>
      <c r="M320" s="74">
        <v>26.8</v>
      </c>
      <c r="N320" s="74">
        <v>15.268367346938774</v>
      </c>
      <c r="O320" s="75">
        <v>64.66</v>
      </c>
      <c r="P320" s="75">
        <v>123.42338235294098</v>
      </c>
      <c r="Q320" s="76">
        <v>0.16872873492112592</v>
      </c>
      <c r="R320" s="76">
        <v>0.54192989276573622</v>
      </c>
      <c r="S320" s="31">
        <v>170</v>
      </c>
      <c r="T320" s="31"/>
      <c r="U320" s="76">
        <v>-0.93294481617382541</v>
      </c>
      <c r="V320" s="76">
        <v>-0.96323529411764708</v>
      </c>
      <c r="W320" s="76">
        <v>-0.98073942038344819</v>
      </c>
      <c r="X320" s="76">
        <v>-0.99399516751336092</v>
      </c>
      <c r="Y320" s="76">
        <v>-2.1220338713075826E-2</v>
      </c>
      <c r="Z320" s="76">
        <v>-2.2916666666666585E-2</v>
      </c>
      <c r="AA320" s="76"/>
      <c r="AB320" s="76"/>
      <c r="AC320" s="76"/>
      <c r="AD320" s="142">
        <v>-0.9741340868246281</v>
      </c>
      <c r="AE320" s="142">
        <v>-0.98972350196797487</v>
      </c>
      <c r="AF320" s="142">
        <v>-0.99641614539704038</v>
      </c>
    </row>
    <row r="321" spans="1:32" x14ac:dyDescent="0.35">
      <c r="A321" t="s">
        <v>87</v>
      </c>
      <c r="B321" t="s">
        <v>599</v>
      </c>
      <c r="C321" s="31">
        <v>6</v>
      </c>
      <c r="D321" s="31">
        <v>43</v>
      </c>
      <c r="E321" s="72">
        <v>6</v>
      </c>
      <c r="F321" s="31">
        <v>71</v>
      </c>
      <c r="G321" s="73">
        <v>218.1</v>
      </c>
      <c r="H321" s="31">
        <v>3340.6599999999994</v>
      </c>
      <c r="I321" s="72">
        <v>85.15</v>
      </c>
      <c r="J321" s="72">
        <v>1825.5799999999995</v>
      </c>
      <c r="K321" s="31">
        <v>88.428571428571431</v>
      </c>
      <c r="L321" s="31">
        <v>3135.8571428571427</v>
      </c>
      <c r="M321" s="74">
        <v>14.738095238095239</v>
      </c>
      <c r="N321" s="74">
        <v>45.24404761904762</v>
      </c>
      <c r="O321" s="75">
        <v>36.35</v>
      </c>
      <c r="P321" s="75">
        <v>47.051549295774642</v>
      </c>
      <c r="Q321" s="76">
        <v>0.39041723979825771</v>
      </c>
      <c r="R321" s="76">
        <v>0.53913783072611343</v>
      </c>
      <c r="S321" s="31">
        <v>-9</v>
      </c>
      <c r="T321" s="31"/>
      <c r="U321" s="76">
        <v>-0.97180082911940235</v>
      </c>
      <c r="V321" s="76">
        <v>-0.91549295774647887</v>
      </c>
      <c r="W321" s="76">
        <v>-0.93471349972759876</v>
      </c>
      <c r="X321" s="76">
        <v>-0.95277996517418451</v>
      </c>
      <c r="Y321" s="76">
        <v>-8.4560741286035412E-2</v>
      </c>
      <c r="Z321" s="76">
        <v>-8.1602373887240343E-2</v>
      </c>
      <c r="AA321" s="76">
        <v>0.5</v>
      </c>
      <c r="AB321" s="76">
        <v>0.5</v>
      </c>
      <c r="AC321" s="76">
        <v>0</v>
      </c>
      <c r="AD321" s="142"/>
      <c r="AE321" s="142"/>
      <c r="AF321" s="142"/>
    </row>
    <row r="322" spans="1:32" x14ac:dyDescent="0.35">
      <c r="A322" t="s">
        <v>87</v>
      </c>
      <c r="B322" t="s">
        <v>589</v>
      </c>
      <c r="C322" s="31">
        <v>2</v>
      </c>
      <c r="D322" s="31">
        <v>118</v>
      </c>
      <c r="E322" s="72">
        <v>3</v>
      </c>
      <c r="F322" s="31">
        <v>135</v>
      </c>
      <c r="G322" s="73">
        <v>199.98</v>
      </c>
      <c r="H322" s="31">
        <v>16492.059999999976</v>
      </c>
      <c r="I322" s="72">
        <v>21.57</v>
      </c>
      <c r="J322" s="72">
        <v>9352.329999999969</v>
      </c>
      <c r="K322" s="31">
        <v>188</v>
      </c>
      <c r="L322" s="31">
        <v>3297.8571428571427</v>
      </c>
      <c r="M322" s="74">
        <v>62.666666666666664</v>
      </c>
      <c r="N322" s="74">
        <v>24.978417266187051</v>
      </c>
      <c r="O322" s="75">
        <v>66.66</v>
      </c>
      <c r="P322" s="75">
        <v>122.16340740740723</v>
      </c>
      <c r="Q322" s="76">
        <v>0.10786078607860787</v>
      </c>
      <c r="R322" s="76">
        <v>0.55039574482359555</v>
      </c>
      <c r="S322" s="31">
        <v>154.57142857142858</v>
      </c>
      <c r="T322" s="31"/>
      <c r="U322" s="76">
        <v>-0.94152046783625731</v>
      </c>
      <c r="V322" s="76">
        <v>-0.97777777777777775</v>
      </c>
      <c r="W322" s="76">
        <v>-0.98787416490117064</v>
      </c>
      <c r="X322" s="76">
        <v>-0.99762637333615045</v>
      </c>
      <c r="Y322" s="76">
        <v>-7.0593030171101967E-2</v>
      </c>
      <c r="Z322" s="76">
        <v>-7.9076277116864935E-2</v>
      </c>
      <c r="AA322" s="76">
        <v>-0.5714285714285714</v>
      </c>
      <c r="AB322" s="76">
        <v>-0.5714285714285714</v>
      </c>
      <c r="AC322" s="76">
        <v>0</v>
      </c>
      <c r="AD322" s="142"/>
      <c r="AE322" s="142"/>
      <c r="AF322" s="142"/>
    </row>
    <row r="323" spans="1:32" x14ac:dyDescent="0.35">
      <c r="A323" t="s">
        <v>87</v>
      </c>
      <c r="B323" t="s">
        <v>598</v>
      </c>
      <c r="C323" s="31">
        <v>1</v>
      </c>
      <c r="D323" s="31">
        <v>25</v>
      </c>
      <c r="E323" s="72">
        <v>1</v>
      </c>
      <c r="F323" s="31">
        <v>32</v>
      </c>
      <c r="G323" s="73">
        <v>33.32</v>
      </c>
      <c r="H323" s="31">
        <v>2270.7799999999997</v>
      </c>
      <c r="I323" s="72">
        <v>5.92</v>
      </c>
      <c r="J323" s="72">
        <v>1476.2899999999997</v>
      </c>
      <c r="K323" s="31">
        <v>445.14285714285717</v>
      </c>
      <c r="L323" s="31">
        <v>2832.8571428571427</v>
      </c>
      <c r="M323" s="74">
        <v>445.14285714285717</v>
      </c>
      <c r="N323" s="74">
        <v>91.0625</v>
      </c>
      <c r="O323" s="75">
        <v>33.32</v>
      </c>
      <c r="P323" s="75">
        <v>70.961874999999992</v>
      </c>
      <c r="Q323" s="76">
        <v>0.17767106842737093</v>
      </c>
      <c r="R323" s="76">
        <v>0.6501246267802252</v>
      </c>
      <c r="S323" s="31">
        <v>24</v>
      </c>
      <c r="T323" s="31"/>
      <c r="U323" s="76">
        <v>-0.84604135148764503</v>
      </c>
      <c r="V323" s="76">
        <v>-0.96875</v>
      </c>
      <c r="W323" s="76">
        <v>-0.9853266278547459</v>
      </c>
      <c r="X323" s="76">
        <v>-0.99598994777448879</v>
      </c>
      <c r="Y323" s="76">
        <v>-5.3758252961285002E-2</v>
      </c>
      <c r="Z323" s="76">
        <v>-4.8840048840048778E-2</v>
      </c>
      <c r="AA323" s="76">
        <v>-0.75</v>
      </c>
      <c r="AB323" s="76">
        <v>-0.75001875609573121</v>
      </c>
      <c r="AC323" s="76">
        <v>-7.5024382924615551E-5</v>
      </c>
      <c r="AD323" s="142"/>
      <c r="AE323" s="142"/>
      <c r="AF323" s="142"/>
    </row>
    <row r="324" spans="1:32" x14ac:dyDescent="0.35">
      <c r="A324" t="s">
        <v>87</v>
      </c>
      <c r="B324" t="s">
        <v>600</v>
      </c>
      <c r="C324" s="31"/>
      <c r="D324" s="31"/>
      <c r="E324" s="72"/>
      <c r="F324" s="31"/>
      <c r="G324" s="73"/>
      <c r="H324" s="31"/>
      <c r="I324" s="72"/>
      <c r="J324" s="72"/>
      <c r="K324" s="31">
        <v>2</v>
      </c>
      <c r="L324" s="31">
        <v>17.142857142857142</v>
      </c>
      <c r="M324" s="74"/>
      <c r="N324" s="74"/>
      <c r="O324" s="75"/>
      <c r="P324" s="75"/>
      <c r="Q324" s="76"/>
      <c r="R324" s="76"/>
      <c r="S324" s="31">
        <v>935</v>
      </c>
      <c r="T324" s="31"/>
      <c r="U324" s="76">
        <v>-0.8833333333333333</v>
      </c>
      <c r="V324" s="76"/>
      <c r="W324" s="76"/>
      <c r="X324" s="76"/>
      <c r="Y324" s="76">
        <v>-0.49463262026110644</v>
      </c>
      <c r="Z324" s="76">
        <v>-0.36363636363636365</v>
      </c>
      <c r="AA324" s="76"/>
      <c r="AB324" s="76"/>
      <c r="AC324" s="76"/>
      <c r="AD324" s="142"/>
      <c r="AE324" s="142"/>
      <c r="AF324" s="142"/>
    </row>
    <row r="325" spans="1:32" x14ac:dyDescent="0.35">
      <c r="A325" t="s">
        <v>87</v>
      </c>
      <c r="B325" t="s">
        <v>601</v>
      </c>
      <c r="C325" s="31"/>
      <c r="D325" s="31"/>
      <c r="E325" s="72"/>
      <c r="F325" s="31"/>
      <c r="G325" s="73"/>
      <c r="H325" s="31"/>
      <c r="I325" s="72"/>
      <c r="J325" s="72"/>
      <c r="K325" s="31"/>
      <c r="L325" s="31">
        <v>-6</v>
      </c>
      <c r="M325" s="74"/>
      <c r="N325" s="74"/>
      <c r="O325" s="75"/>
      <c r="P325" s="75"/>
      <c r="Q325" s="76"/>
      <c r="R325" s="76"/>
      <c r="S325" s="31">
        <v>3</v>
      </c>
      <c r="T325" s="31"/>
      <c r="U325" s="76"/>
      <c r="V325" s="76"/>
      <c r="W325" s="76"/>
      <c r="X325" s="76"/>
      <c r="Y325" s="76"/>
      <c r="Z325" s="76"/>
      <c r="AA325" s="76"/>
      <c r="AB325" s="76"/>
      <c r="AC325" s="76"/>
      <c r="AD325" s="142"/>
      <c r="AE325" s="142"/>
      <c r="AF325" s="142"/>
    </row>
    <row r="326" spans="1:32" x14ac:dyDescent="0.35">
      <c r="A326" t="s">
        <v>87</v>
      </c>
      <c r="B326" t="s">
        <v>602</v>
      </c>
      <c r="C326" s="31"/>
      <c r="D326" s="31"/>
      <c r="E326" s="72"/>
      <c r="F326" s="31"/>
      <c r="G326" s="73"/>
      <c r="H326" s="31"/>
      <c r="I326" s="72"/>
      <c r="J326" s="72"/>
      <c r="K326" s="31"/>
      <c r="L326" s="31"/>
      <c r="M326" s="74"/>
      <c r="N326" s="74"/>
      <c r="O326" s="75"/>
      <c r="P326" s="75"/>
      <c r="Q326" s="76"/>
      <c r="R326" s="76"/>
      <c r="S326" s="31">
        <v>18</v>
      </c>
      <c r="T326" s="31"/>
      <c r="U326" s="76"/>
      <c r="V326" s="76"/>
      <c r="W326" s="76"/>
      <c r="X326" s="76"/>
      <c r="Y326" s="76"/>
      <c r="Z326" s="76"/>
      <c r="AA326" s="76"/>
      <c r="AB326" s="76"/>
      <c r="AC326" s="76"/>
      <c r="AD326" s="142"/>
      <c r="AE326" s="142"/>
      <c r="AF326" s="142"/>
    </row>
    <row r="327" spans="1:32" x14ac:dyDescent="0.35">
      <c r="A327" t="s">
        <v>87</v>
      </c>
      <c r="B327" t="s">
        <v>775</v>
      </c>
      <c r="C327" s="31"/>
      <c r="D327" s="31"/>
      <c r="E327" s="72"/>
      <c r="F327" s="31"/>
      <c r="G327" s="73"/>
      <c r="H327" s="31"/>
      <c r="I327" s="72"/>
      <c r="J327" s="72"/>
      <c r="K327" s="31">
        <v>-1</v>
      </c>
      <c r="L327" s="31"/>
      <c r="M327" s="74"/>
      <c r="N327" s="74"/>
      <c r="O327" s="75"/>
      <c r="P327" s="75"/>
      <c r="Q327" s="76"/>
      <c r="R327" s="76"/>
      <c r="S327" s="31"/>
      <c r="T327" s="31"/>
      <c r="U327" s="76"/>
      <c r="V327" s="76"/>
      <c r="W327" s="76"/>
      <c r="X327" s="76"/>
      <c r="Y327" s="76">
        <v>0</v>
      </c>
      <c r="Z327" s="76">
        <v>0</v>
      </c>
      <c r="AA327" s="76"/>
      <c r="AB327" s="76"/>
      <c r="AC327" s="76"/>
      <c r="AD327" s="142"/>
      <c r="AE327" s="142"/>
      <c r="AF327" s="142"/>
    </row>
    <row r="328" spans="1:32" x14ac:dyDescent="0.35">
      <c r="A328" t="s">
        <v>87</v>
      </c>
      <c r="B328" t="s">
        <v>605</v>
      </c>
      <c r="C328" s="31"/>
      <c r="D328" s="31"/>
      <c r="E328" s="72"/>
      <c r="F328" s="31"/>
      <c r="G328" s="73"/>
      <c r="H328" s="31"/>
      <c r="I328" s="72"/>
      <c r="J328" s="72"/>
      <c r="K328" s="31">
        <v>-1</v>
      </c>
      <c r="L328" s="31"/>
      <c r="M328" s="74"/>
      <c r="N328" s="74"/>
      <c r="O328" s="75"/>
      <c r="P328" s="75"/>
      <c r="Q328" s="76"/>
      <c r="R328" s="76"/>
      <c r="S328" s="31"/>
      <c r="T328" s="31"/>
      <c r="U328" s="76"/>
      <c r="V328" s="76"/>
      <c r="W328" s="76"/>
      <c r="X328" s="76"/>
      <c r="Y328" s="76">
        <v>0</v>
      </c>
      <c r="Z328" s="76">
        <v>0</v>
      </c>
      <c r="AA328" s="76"/>
      <c r="AB328" s="76"/>
      <c r="AC328" s="76"/>
      <c r="AD328" s="142"/>
      <c r="AE328" s="142"/>
      <c r="AF328" s="142"/>
    </row>
    <row r="329" spans="1:32" x14ac:dyDescent="0.35">
      <c r="A329" t="s">
        <v>87</v>
      </c>
      <c r="B329" t="s">
        <v>606</v>
      </c>
      <c r="C329" s="31"/>
      <c r="D329" s="31"/>
      <c r="E329" s="72"/>
      <c r="F329" s="31"/>
      <c r="G329" s="73"/>
      <c r="H329" s="31"/>
      <c r="I329" s="72"/>
      <c r="J329" s="72"/>
      <c r="K329" s="31"/>
      <c r="L329" s="31"/>
      <c r="M329" s="74"/>
      <c r="N329" s="74"/>
      <c r="O329" s="75"/>
      <c r="P329" s="75"/>
      <c r="Q329" s="76"/>
      <c r="R329" s="76"/>
      <c r="S329" s="31">
        <v>73</v>
      </c>
      <c r="T329" s="31"/>
      <c r="U329" s="76"/>
      <c r="V329" s="76"/>
      <c r="W329" s="76"/>
      <c r="X329" s="76"/>
      <c r="Y329" s="76"/>
      <c r="Z329" s="76"/>
      <c r="AA329" s="76"/>
      <c r="AB329" s="76"/>
      <c r="AC329" s="76"/>
      <c r="AD329" s="142"/>
      <c r="AE329" s="142"/>
      <c r="AF329" s="142"/>
    </row>
    <row r="330" spans="1:32" x14ac:dyDescent="0.35">
      <c r="A330" t="s">
        <v>87</v>
      </c>
      <c r="B330" t="s">
        <v>607</v>
      </c>
      <c r="C330" s="31"/>
      <c r="D330" s="31"/>
      <c r="E330" s="72"/>
      <c r="F330" s="31"/>
      <c r="G330" s="73"/>
      <c r="H330" s="31"/>
      <c r="I330" s="72"/>
      <c r="J330" s="72"/>
      <c r="K330" s="31">
        <v>1</v>
      </c>
      <c r="L330" s="31">
        <v>2</v>
      </c>
      <c r="M330" s="74"/>
      <c r="N330" s="74"/>
      <c r="O330" s="75"/>
      <c r="P330" s="75"/>
      <c r="Q330" s="76"/>
      <c r="R330" s="76"/>
      <c r="S330" s="31"/>
      <c r="T330" s="31"/>
      <c r="U330" s="76">
        <v>-0.5</v>
      </c>
      <c r="V330" s="76"/>
      <c r="W330" s="76"/>
      <c r="X330" s="76"/>
      <c r="Y330" s="76">
        <v>0</v>
      </c>
      <c r="Z330" s="76">
        <v>0</v>
      </c>
      <c r="AA330" s="76"/>
      <c r="AB330" s="76"/>
      <c r="AC330" s="76"/>
      <c r="AD330" s="142"/>
      <c r="AE330" s="142"/>
      <c r="AF330" s="142"/>
    </row>
    <row r="331" spans="1:32" x14ac:dyDescent="0.35">
      <c r="A331" t="s">
        <v>87</v>
      </c>
      <c r="B331" t="s">
        <v>603</v>
      </c>
      <c r="C331" s="31"/>
      <c r="D331" s="31"/>
      <c r="E331" s="72"/>
      <c r="F331" s="31"/>
      <c r="G331" s="73"/>
      <c r="H331" s="31"/>
      <c r="I331" s="72"/>
      <c r="J331" s="72"/>
      <c r="K331" s="31">
        <v>16</v>
      </c>
      <c r="L331" s="31">
        <v>30</v>
      </c>
      <c r="M331" s="74"/>
      <c r="N331" s="74"/>
      <c r="O331" s="75"/>
      <c r="P331" s="75"/>
      <c r="Q331" s="76"/>
      <c r="R331" s="76"/>
      <c r="S331" s="31"/>
      <c r="T331" s="31"/>
      <c r="U331" s="76">
        <v>-0.46666666666666667</v>
      </c>
      <c r="V331" s="76"/>
      <c r="W331" s="76"/>
      <c r="X331" s="76"/>
      <c r="Y331" s="76">
        <v>-0.10531291978899959</v>
      </c>
      <c r="Z331" s="76">
        <v>-5.084745762711862E-2</v>
      </c>
      <c r="AA331" s="76"/>
      <c r="AB331" s="76"/>
      <c r="AC331" s="76"/>
      <c r="AD331" s="142"/>
      <c r="AE331" s="142"/>
      <c r="AF331" s="142"/>
    </row>
    <row r="332" spans="1:32" x14ac:dyDescent="0.35">
      <c r="A332" t="s">
        <v>87</v>
      </c>
      <c r="B332" t="s">
        <v>610</v>
      </c>
      <c r="C332" s="31"/>
      <c r="D332" s="31"/>
      <c r="E332" s="72"/>
      <c r="F332" s="31"/>
      <c r="G332" s="73"/>
      <c r="H332" s="31"/>
      <c r="I332" s="72"/>
      <c r="J332" s="72"/>
      <c r="K332" s="31"/>
      <c r="L332" s="31"/>
      <c r="M332" s="74"/>
      <c r="N332" s="74"/>
      <c r="O332" s="75"/>
      <c r="P332" s="75"/>
      <c r="Q332" s="76"/>
      <c r="R332" s="76"/>
      <c r="S332" s="31">
        <v>27</v>
      </c>
      <c r="T332" s="31"/>
      <c r="U332" s="76"/>
      <c r="V332" s="76"/>
      <c r="W332" s="76"/>
      <c r="X332" s="76"/>
      <c r="Y332" s="76"/>
      <c r="Z332" s="76"/>
      <c r="AA332" s="76"/>
      <c r="AB332" s="76"/>
      <c r="AC332" s="76"/>
      <c r="AD332" s="142"/>
      <c r="AE332" s="142"/>
      <c r="AF332" s="142"/>
    </row>
    <row r="333" spans="1:32" x14ac:dyDescent="0.35">
      <c r="A333" t="s">
        <v>87</v>
      </c>
      <c r="B333" t="s">
        <v>604</v>
      </c>
      <c r="C333" s="31"/>
      <c r="D333" s="31"/>
      <c r="E333" s="72"/>
      <c r="F333" s="31"/>
      <c r="G333" s="73"/>
      <c r="H333" s="31"/>
      <c r="I333" s="72"/>
      <c r="J333" s="72"/>
      <c r="K333" s="31">
        <v>1</v>
      </c>
      <c r="L333" s="31">
        <v>1</v>
      </c>
      <c r="M333" s="74"/>
      <c r="N333" s="74"/>
      <c r="O333" s="75"/>
      <c r="P333" s="75"/>
      <c r="Q333" s="76"/>
      <c r="R333" s="76"/>
      <c r="S333" s="31"/>
      <c r="T333" s="31"/>
      <c r="U333" s="76">
        <v>0</v>
      </c>
      <c r="V333" s="76"/>
      <c r="W333" s="76"/>
      <c r="X333" s="76"/>
      <c r="Y333" s="76">
        <v>0</v>
      </c>
      <c r="Z333" s="76">
        <v>0</v>
      </c>
      <c r="AA333" s="76"/>
      <c r="AB333" s="76"/>
      <c r="AC333" s="76"/>
      <c r="AD333" s="142"/>
      <c r="AE333" s="142"/>
      <c r="AF333" s="142"/>
    </row>
    <row r="334" spans="1:32" x14ac:dyDescent="0.35">
      <c r="A334" t="s">
        <v>87</v>
      </c>
      <c r="B334" t="s">
        <v>773</v>
      </c>
      <c r="C334" s="31"/>
      <c r="D334" s="31"/>
      <c r="E334" s="72"/>
      <c r="F334" s="31"/>
      <c r="G334" s="73"/>
      <c r="H334" s="31"/>
      <c r="I334" s="72"/>
      <c r="J334" s="72"/>
      <c r="K334" s="31">
        <v>-2</v>
      </c>
      <c r="L334" s="31"/>
      <c r="M334" s="74"/>
      <c r="N334" s="74"/>
      <c r="O334" s="75"/>
      <c r="P334" s="75"/>
      <c r="Q334" s="76"/>
      <c r="R334" s="76"/>
      <c r="S334" s="31"/>
      <c r="T334" s="31"/>
      <c r="U334" s="76"/>
      <c r="V334" s="76"/>
      <c r="W334" s="76"/>
      <c r="X334" s="76"/>
      <c r="Y334" s="76">
        <v>0</v>
      </c>
      <c r="Z334" s="76">
        <v>0</v>
      </c>
      <c r="AA334" s="76"/>
      <c r="AB334" s="76"/>
      <c r="AC334" s="76"/>
      <c r="AD334" s="142"/>
      <c r="AE334" s="142"/>
      <c r="AF334" s="142"/>
    </row>
    <row r="335" spans="1:32" x14ac:dyDescent="0.35">
      <c r="A335" t="s">
        <v>87</v>
      </c>
      <c r="B335" t="s">
        <v>772</v>
      </c>
      <c r="C335" s="31"/>
      <c r="D335" s="31"/>
      <c r="E335" s="72"/>
      <c r="F335" s="31"/>
      <c r="G335" s="73"/>
      <c r="H335" s="31"/>
      <c r="I335" s="72"/>
      <c r="J335" s="72"/>
      <c r="K335" s="31">
        <v>-1</v>
      </c>
      <c r="L335" s="31"/>
      <c r="M335" s="74"/>
      <c r="N335" s="74"/>
      <c r="O335" s="75"/>
      <c r="P335" s="75"/>
      <c r="Q335" s="76"/>
      <c r="R335" s="76"/>
      <c r="S335" s="31"/>
      <c r="T335" s="31"/>
      <c r="U335" s="76"/>
      <c r="V335" s="76"/>
      <c r="W335" s="76"/>
      <c r="X335" s="76"/>
      <c r="Y335" s="76">
        <v>0</v>
      </c>
      <c r="Z335" s="76">
        <v>0</v>
      </c>
      <c r="AA335" s="76"/>
      <c r="AB335" s="76"/>
      <c r="AC335" s="76"/>
      <c r="AD335" s="142"/>
      <c r="AE335" s="142"/>
      <c r="AF335" s="142"/>
    </row>
    <row r="336" spans="1:32" x14ac:dyDescent="0.35">
      <c r="A336" t="s">
        <v>87</v>
      </c>
      <c r="B336" t="s">
        <v>774</v>
      </c>
      <c r="C336" s="31"/>
      <c r="D336" s="31"/>
      <c r="E336" s="72"/>
      <c r="F336" s="31"/>
      <c r="G336" s="73"/>
      <c r="H336" s="31"/>
      <c r="I336" s="72"/>
      <c r="J336" s="72"/>
      <c r="K336" s="31">
        <v>-1</v>
      </c>
      <c r="L336" s="31"/>
      <c r="M336" s="74"/>
      <c r="N336" s="74"/>
      <c r="O336" s="75"/>
      <c r="P336" s="75"/>
      <c r="Q336" s="76"/>
      <c r="R336" s="76"/>
      <c r="S336" s="31"/>
      <c r="T336" s="31"/>
      <c r="U336" s="76"/>
      <c r="V336" s="76"/>
      <c r="W336" s="76"/>
      <c r="X336" s="76"/>
      <c r="Y336" s="76">
        <v>0</v>
      </c>
      <c r="Z336" s="76">
        <v>0</v>
      </c>
      <c r="AA336" s="76"/>
      <c r="AB336" s="76"/>
      <c r="AC336" s="76"/>
      <c r="AD336" s="142"/>
      <c r="AE336" s="142"/>
      <c r="AF336" s="142"/>
    </row>
    <row r="337" spans="1:32" x14ac:dyDescent="0.35">
      <c r="A337" t="s">
        <v>87</v>
      </c>
      <c r="B337" t="s">
        <v>609</v>
      </c>
      <c r="C337" s="31"/>
      <c r="D337" s="31"/>
      <c r="E337" s="72"/>
      <c r="F337" s="31"/>
      <c r="G337" s="73"/>
      <c r="H337" s="31"/>
      <c r="I337" s="72"/>
      <c r="J337" s="72"/>
      <c r="K337" s="31">
        <v>-112</v>
      </c>
      <c r="L337" s="31"/>
      <c r="M337" s="74"/>
      <c r="N337" s="74"/>
      <c r="O337" s="75"/>
      <c r="P337" s="75"/>
      <c r="Q337" s="76"/>
      <c r="R337" s="76"/>
      <c r="S337" s="31"/>
      <c r="T337" s="31"/>
      <c r="U337" s="76"/>
      <c r="V337" s="76"/>
      <c r="W337" s="76"/>
      <c r="X337" s="76"/>
      <c r="Y337" s="76">
        <v>0</v>
      </c>
      <c r="Z337" s="76">
        <v>0</v>
      </c>
      <c r="AA337" s="76"/>
      <c r="AB337" s="76"/>
      <c r="AC337" s="76"/>
      <c r="AD337" s="142"/>
      <c r="AE337" s="142"/>
      <c r="AF337" s="142"/>
    </row>
    <row r="338" spans="1:32" x14ac:dyDescent="0.35">
      <c r="A338" t="s">
        <v>87</v>
      </c>
      <c r="B338" t="s">
        <v>611</v>
      </c>
      <c r="C338" s="31"/>
      <c r="D338" s="31"/>
      <c r="E338" s="72"/>
      <c r="F338" s="31"/>
      <c r="G338" s="73"/>
      <c r="H338" s="31"/>
      <c r="I338" s="72"/>
      <c r="J338" s="72"/>
      <c r="K338" s="31">
        <v>1</v>
      </c>
      <c r="L338" s="31"/>
      <c r="M338" s="74"/>
      <c r="N338" s="74"/>
      <c r="O338" s="75"/>
      <c r="P338" s="75"/>
      <c r="Q338" s="76"/>
      <c r="R338" s="76"/>
      <c r="S338" s="31"/>
      <c r="T338" s="31"/>
      <c r="U338" s="76"/>
      <c r="V338" s="76"/>
      <c r="W338" s="76"/>
      <c r="X338" s="76"/>
      <c r="Y338" s="76">
        <v>-0.29999999999999993</v>
      </c>
      <c r="Z338" s="76">
        <v>-0.30000000000000004</v>
      </c>
      <c r="AA338" s="76"/>
      <c r="AB338" s="76"/>
      <c r="AC338" s="76"/>
      <c r="AD338" s="142"/>
      <c r="AE338" s="142"/>
      <c r="AF338" s="142"/>
    </row>
    <row r="339" spans="1:32" x14ac:dyDescent="0.35">
      <c r="A339" s="138" t="s">
        <v>841</v>
      </c>
      <c r="B339" s="138"/>
      <c r="C339" s="127">
        <v>18333</v>
      </c>
      <c r="D339" s="127">
        <v>19925</v>
      </c>
      <c r="E339" s="126">
        <v>39737</v>
      </c>
      <c r="F339" s="127">
        <v>32951</v>
      </c>
      <c r="G339" s="127">
        <v>8695864.6100010313</v>
      </c>
      <c r="H339" s="127">
        <v>5465170.3900002465</v>
      </c>
      <c r="I339" s="126">
        <v>5225553.6700001871</v>
      </c>
      <c r="J339" s="126">
        <v>2820854.9000004921</v>
      </c>
      <c r="K339" s="127">
        <v>380644.85714285716</v>
      </c>
      <c r="L339" s="127">
        <v>537759.42857142852</v>
      </c>
      <c r="M339" s="140">
        <v>9.579104037618773</v>
      </c>
      <c r="N339" s="140">
        <v>16.460158805484468</v>
      </c>
      <c r="O339" s="139">
        <v>218.83545838893301</v>
      </c>
      <c r="P339" s="139">
        <v>165.85749719280892</v>
      </c>
      <c r="Q339" s="141">
        <v>0.60092399138670205</v>
      </c>
      <c r="R339" s="141">
        <v>0.505251164917778</v>
      </c>
      <c r="S339" s="127">
        <v>121377.42857142857</v>
      </c>
      <c r="T339" s="127"/>
      <c r="U339" s="141">
        <v>-0.3160029604315896</v>
      </c>
      <c r="V339" s="141">
        <v>0.16630754757063526</v>
      </c>
      <c r="W339" s="141">
        <v>0.54354282447188385</v>
      </c>
      <c r="X339" s="141">
        <v>0.83684422547582571</v>
      </c>
      <c r="Y339" s="141">
        <v>-3.1353042184655178E-2</v>
      </c>
      <c r="Z339" s="141">
        <v>-5.63141442696663E-2</v>
      </c>
      <c r="AA339" s="141">
        <v>2.573567372225094E-2</v>
      </c>
      <c r="AB339" s="141">
        <v>6.6177168557931543E-2</v>
      </c>
      <c r="AC339" s="141">
        <v>3.942681908383272E-2</v>
      </c>
      <c r="AD339" s="143">
        <v>-7.5860542223135E-2</v>
      </c>
      <c r="AE339" s="143">
        <v>9.8310314656233341E-2</v>
      </c>
      <c r="AF339" s="143">
        <v>0.3885054116701715</v>
      </c>
    </row>
    <row r="340" spans="1:32" x14ac:dyDescent="0.35">
      <c r="A340" t="s">
        <v>95</v>
      </c>
      <c r="B340" t="s">
        <v>572</v>
      </c>
      <c r="C340" s="31">
        <v>7405</v>
      </c>
      <c r="D340" s="31">
        <v>6677</v>
      </c>
      <c r="E340" s="72">
        <v>13128</v>
      </c>
      <c r="F340" s="31">
        <v>9724</v>
      </c>
      <c r="G340" s="73">
        <v>5894011.0000002105</v>
      </c>
      <c r="H340" s="31">
        <v>4177798.8500000411</v>
      </c>
      <c r="I340" s="72">
        <v>3056489.6299999901</v>
      </c>
      <c r="J340" s="72">
        <v>2115388.6000000532</v>
      </c>
      <c r="K340" s="31">
        <v>125807.28571428571</v>
      </c>
      <c r="L340" s="31">
        <v>209942.42857142858</v>
      </c>
      <c r="M340" s="74">
        <v>9.5831265778706367</v>
      </c>
      <c r="N340" s="74">
        <v>21.848859192126188</v>
      </c>
      <c r="O340" s="75">
        <v>448.96488421695693</v>
      </c>
      <c r="P340" s="75">
        <v>429.63789078568914</v>
      </c>
      <c r="Q340" s="76">
        <v>0.51857548789777974</v>
      </c>
      <c r="R340" s="76">
        <v>0.4979271886050477</v>
      </c>
      <c r="S340" s="31">
        <v>78845.71428571429</v>
      </c>
      <c r="T340" s="31"/>
      <c r="U340" s="76">
        <v>-0.42293227326947458</v>
      </c>
      <c r="V340" s="76">
        <v>0.29884821061291644</v>
      </c>
      <c r="W340" s="76">
        <v>0.36029347607296525</v>
      </c>
      <c r="X340" s="76">
        <v>0.41895782507946655</v>
      </c>
      <c r="Y340" s="76">
        <v>2.9643178362762646E-2</v>
      </c>
      <c r="Z340" s="76">
        <v>2.7737742492265571E-2</v>
      </c>
      <c r="AA340" s="76">
        <v>-0.10645249115164712</v>
      </c>
      <c r="AB340" s="76">
        <v>-6.5923932770505234E-3</v>
      </c>
      <c r="AC340" s="76">
        <v>0.11175689807842581</v>
      </c>
      <c r="AD340" s="142">
        <v>-0.29516951124934271</v>
      </c>
      <c r="AE340" s="142">
        <v>-0.20582584216715719</v>
      </c>
      <c r="AF340" s="142">
        <v>-5.3586307836525696E-2</v>
      </c>
    </row>
    <row r="341" spans="1:32" x14ac:dyDescent="0.35">
      <c r="A341" t="s">
        <v>95</v>
      </c>
      <c r="B341" t="s">
        <v>573</v>
      </c>
      <c r="C341" s="31">
        <v>5520</v>
      </c>
      <c r="D341" s="31">
        <v>6113</v>
      </c>
      <c r="E341" s="72">
        <v>9867</v>
      </c>
      <c r="F341" s="31">
        <v>10901</v>
      </c>
      <c r="G341" s="73">
        <v>2317247.7299998798</v>
      </c>
      <c r="H341" s="31">
        <v>1385522.5700000685</v>
      </c>
      <c r="I341" s="72">
        <v>1411357.8899999943</v>
      </c>
      <c r="J341" s="72">
        <v>459954.27000008058</v>
      </c>
      <c r="K341" s="31">
        <v>113784.14285714286</v>
      </c>
      <c r="L341" s="31">
        <v>122778.57142857143</v>
      </c>
      <c r="M341" s="74">
        <v>11.531787053526184</v>
      </c>
      <c r="N341" s="74">
        <v>11.422268718791317</v>
      </c>
      <c r="O341" s="75">
        <v>234.84825478867739</v>
      </c>
      <c r="P341" s="75">
        <v>127.100501788833</v>
      </c>
      <c r="Q341" s="76">
        <v>0.6090664678308122</v>
      </c>
      <c r="R341" s="76">
        <v>0.32496969638910217</v>
      </c>
      <c r="S341" s="31">
        <v>36795.428571428572</v>
      </c>
      <c r="T341" s="31"/>
      <c r="U341" s="76">
        <v>-0.10294490662633082</v>
      </c>
      <c r="V341" s="76">
        <v>-0.12228235941656729</v>
      </c>
      <c r="W341" s="76">
        <v>0.62210805414722703</v>
      </c>
      <c r="X341" s="76">
        <v>2.034527105414897</v>
      </c>
      <c r="Y341" s="76">
        <v>-3.2128197678713222E-2</v>
      </c>
      <c r="Z341" s="76">
        <v>-3.0870221205558157E-2</v>
      </c>
      <c r="AA341" s="76">
        <v>-8.2822085889570518E-2</v>
      </c>
      <c r="AB341" s="76">
        <v>-2.0162842181698171E-2</v>
      </c>
      <c r="AC341" s="76">
        <v>6.8317436283499733E-2</v>
      </c>
      <c r="AD341" s="142">
        <v>-0.35670726751994258</v>
      </c>
      <c r="AE341" s="142">
        <v>-0.24111559303101079</v>
      </c>
      <c r="AF341" s="142">
        <v>-5.2002014804834469E-2</v>
      </c>
    </row>
    <row r="342" spans="1:32" x14ac:dyDescent="0.35">
      <c r="A342" t="s">
        <v>95</v>
      </c>
      <c r="B342" t="s">
        <v>574</v>
      </c>
      <c r="C342" s="31">
        <v>315</v>
      </c>
      <c r="D342" s="31">
        <v>923</v>
      </c>
      <c r="E342" s="72">
        <v>382</v>
      </c>
      <c r="F342" s="31">
        <v>1125</v>
      </c>
      <c r="G342" s="73">
        <v>163593.55999999997</v>
      </c>
      <c r="H342" s="31">
        <v>544581.08000000252</v>
      </c>
      <c r="I342" s="72">
        <v>60223.599999999962</v>
      </c>
      <c r="J342" s="72">
        <v>244946.28000000352</v>
      </c>
      <c r="K342" s="31">
        <v>6354</v>
      </c>
      <c r="L342" s="31">
        <v>23616.714285714286</v>
      </c>
      <c r="M342" s="74">
        <v>16.633507853403142</v>
      </c>
      <c r="N342" s="74">
        <v>21.039757994814174</v>
      </c>
      <c r="O342" s="75">
        <v>428.25539267015699</v>
      </c>
      <c r="P342" s="75">
        <v>484.07207111111336</v>
      </c>
      <c r="Q342" s="76">
        <v>0.36812940558295798</v>
      </c>
      <c r="R342" s="76">
        <v>0.43876526230393392</v>
      </c>
      <c r="S342" s="31">
        <v>1010.1428571428571</v>
      </c>
      <c r="T342" s="31"/>
      <c r="U342" s="76">
        <v>-0.76168815064391437</v>
      </c>
      <c r="V342" s="76">
        <v>-0.68088888888888888</v>
      </c>
      <c r="W342" s="76">
        <v>-0.71386157962006447</v>
      </c>
      <c r="X342" s="76">
        <v>-0.75649490628465643</v>
      </c>
      <c r="Y342" s="76">
        <v>-7.3473167524920058E-2</v>
      </c>
      <c r="Z342" s="76">
        <v>-7.0800342615998435E-2</v>
      </c>
      <c r="AA342" s="76">
        <v>-0.11162790697674418</v>
      </c>
      <c r="AB342" s="76">
        <v>-0.12746155132776193</v>
      </c>
      <c r="AC342" s="76">
        <v>-1.7823212227585317E-2</v>
      </c>
      <c r="AD342" s="142"/>
      <c r="AE342" s="142"/>
      <c r="AF342" s="142"/>
    </row>
    <row r="343" spans="1:32" x14ac:dyDescent="0.35">
      <c r="A343" t="s">
        <v>95</v>
      </c>
      <c r="B343" t="s">
        <v>95</v>
      </c>
      <c r="C343" s="31">
        <v>133</v>
      </c>
      <c r="D343" s="31">
        <v>339</v>
      </c>
      <c r="E343" s="72">
        <v>194</v>
      </c>
      <c r="F343" s="31">
        <v>438</v>
      </c>
      <c r="G343" s="73">
        <v>48166.090000000069</v>
      </c>
      <c r="H343" s="31">
        <v>104224.55999999984</v>
      </c>
      <c r="I343" s="72">
        <v>9524.6300000000047</v>
      </c>
      <c r="J343" s="72">
        <v>41722.099999999744</v>
      </c>
      <c r="K343" s="31">
        <v>1884.8571428571429</v>
      </c>
      <c r="L343" s="31">
        <v>9082.5714285714294</v>
      </c>
      <c r="M343" s="74">
        <v>9.7157584683357889</v>
      </c>
      <c r="N343" s="74">
        <v>21.048463731390562</v>
      </c>
      <c r="O343" s="75">
        <v>248.27881443299006</v>
      </c>
      <c r="P343" s="75">
        <v>237.9556164383558</v>
      </c>
      <c r="Q343" s="76">
        <v>0.19774555086368836</v>
      </c>
      <c r="R343" s="76">
        <v>0.3869444179353233</v>
      </c>
      <c r="S343" s="31">
        <v>676.42857142857144</v>
      </c>
      <c r="T343" s="31"/>
      <c r="U343" s="76">
        <v>-0.81663468495391489</v>
      </c>
      <c r="V343" s="76">
        <v>-0.60502283105022836</v>
      </c>
      <c r="W343" s="76">
        <v>-0.59063084555118173</v>
      </c>
      <c r="X343" s="76">
        <v>-0.79035729713949698</v>
      </c>
      <c r="Y343" s="76">
        <v>-5.8150184081447343E-2</v>
      </c>
      <c r="Z343" s="76">
        <v>-5.5547602004294983E-2</v>
      </c>
      <c r="AA343" s="76">
        <v>0.38571428571428568</v>
      </c>
      <c r="AB343" s="76">
        <v>0.31537977744600254</v>
      </c>
      <c r="AC343" s="76">
        <v>-5.0756861636905293E-2</v>
      </c>
      <c r="AD343" s="142"/>
      <c r="AE343" s="142"/>
      <c r="AF343" s="142"/>
    </row>
    <row r="344" spans="1:32" x14ac:dyDescent="0.35">
      <c r="A344" t="s">
        <v>95</v>
      </c>
      <c r="B344" t="s">
        <v>575</v>
      </c>
      <c r="C344" s="31">
        <v>293</v>
      </c>
      <c r="D344" s="31">
        <v>52</v>
      </c>
      <c r="E344" s="72">
        <v>457</v>
      </c>
      <c r="F344" s="31">
        <v>56</v>
      </c>
      <c r="G344" s="73">
        <v>40686.240000000056</v>
      </c>
      <c r="H344" s="31">
        <v>17079.789999999994</v>
      </c>
      <c r="I344" s="72">
        <v>-34660.30000000001</v>
      </c>
      <c r="J344" s="72">
        <v>7422.3199999999961</v>
      </c>
      <c r="K344" s="31">
        <v>3138.1428571428573</v>
      </c>
      <c r="L344" s="31">
        <v>5803.5714285714284</v>
      </c>
      <c r="M344" s="74">
        <v>6.8668333854329484</v>
      </c>
      <c r="N344" s="74">
        <v>105.34729064039408</v>
      </c>
      <c r="O344" s="75">
        <v>89.028971553610631</v>
      </c>
      <c r="P344" s="75">
        <v>304.99624999999986</v>
      </c>
      <c r="Q344" s="76">
        <v>-0.8518924334123763</v>
      </c>
      <c r="R344" s="76">
        <v>0.41852835714684439</v>
      </c>
      <c r="S344" s="31">
        <v>1743.5714285714287</v>
      </c>
      <c r="T344" s="31"/>
      <c r="U344" s="76">
        <v>-0.47436307692307689</v>
      </c>
      <c r="V344" s="76">
        <v>6.9642857142857144</v>
      </c>
      <c r="W344" s="76">
        <v>1.3235847747542606</v>
      </c>
      <c r="X344" s="76">
        <v>-5.7498409424057204</v>
      </c>
      <c r="Y344" s="76">
        <v>-0.11736076267189199</v>
      </c>
      <c r="Z344" s="76">
        <v>-0.11626503600595395</v>
      </c>
      <c r="AA344" s="76">
        <v>-9.3253968253968256E-2</v>
      </c>
      <c r="AB344" s="76">
        <v>-0.10643145493826156</v>
      </c>
      <c r="AC344" s="76">
        <v>-1.4532720544603417E-2</v>
      </c>
      <c r="AD344" s="142"/>
      <c r="AE344" s="142"/>
      <c r="AF344" s="142"/>
    </row>
    <row r="345" spans="1:32" x14ac:dyDescent="0.35">
      <c r="A345" t="s">
        <v>95</v>
      </c>
      <c r="B345" t="s">
        <v>576</v>
      </c>
      <c r="C345" s="31">
        <v>78</v>
      </c>
      <c r="D345" s="31">
        <v>48</v>
      </c>
      <c r="E345" s="72">
        <v>108</v>
      </c>
      <c r="F345" s="31">
        <v>60</v>
      </c>
      <c r="G345" s="73">
        <v>27314.240000000031</v>
      </c>
      <c r="H345" s="31">
        <v>22816.459999999992</v>
      </c>
      <c r="I345" s="72">
        <v>1987.8499999999997</v>
      </c>
      <c r="J345" s="72">
        <v>8815.4599999999919</v>
      </c>
      <c r="K345" s="31">
        <v>928.57142857142856</v>
      </c>
      <c r="L345" s="31">
        <v>4947</v>
      </c>
      <c r="M345" s="74">
        <v>8.5978835978835981</v>
      </c>
      <c r="N345" s="74">
        <v>85.645238095238085</v>
      </c>
      <c r="O345" s="75">
        <v>252.9096296296299</v>
      </c>
      <c r="P345" s="75">
        <v>380.27433333333317</v>
      </c>
      <c r="Q345" s="76">
        <v>7.2777056949049193E-2</v>
      </c>
      <c r="R345" s="76">
        <v>0.38636405472189794</v>
      </c>
      <c r="S345" s="31">
        <v>2</v>
      </c>
      <c r="T345" s="31"/>
      <c r="U345" s="76">
        <v>-0.81798492592913452</v>
      </c>
      <c r="V345" s="76">
        <v>0.58333333333333326</v>
      </c>
      <c r="W345" s="76">
        <v>5.2102298077792764E-2</v>
      </c>
      <c r="X345" s="76">
        <v>-0.80331599258575004</v>
      </c>
      <c r="Y345" s="76">
        <v>-0.11760378862541621</v>
      </c>
      <c r="Z345" s="76">
        <v>-0.11780673181324652</v>
      </c>
      <c r="AA345" s="76">
        <v>-4.4247787610619427E-2</v>
      </c>
      <c r="AB345" s="76">
        <v>-3.9258708466083481E-2</v>
      </c>
      <c r="AC345" s="76">
        <v>5.2200550308569849E-3</v>
      </c>
      <c r="AD345" s="142"/>
      <c r="AE345" s="142"/>
      <c r="AF345" s="142"/>
    </row>
    <row r="346" spans="1:32" x14ac:dyDescent="0.35">
      <c r="A346" t="s">
        <v>95</v>
      </c>
      <c r="B346" t="s">
        <v>577</v>
      </c>
      <c r="C346" s="31">
        <v>2</v>
      </c>
      <c r="D346" s="31">
        <v>6</v>
      </c>
      <c r="E346" s="72">
        <v>2</v>
      </c>
      <c r="F346" s="31">
        <v>6</v>
      </c>
      <c r="G346" s="73">
        <v>302.08</v>
      </c>
      <c r="H346" s="31">
        <v>579.54999999999995</v>
      </c>
      <c r="I346" s="72">
        <v>94.080000000000013</v>
      </c>
      <c r="J346" s="72">
        <v>48.829999999999927</v>
      </c>
      <c r="K346" s="31">
        <v>238.42857142857142</v>
      </c>
      <c r="L346" s="31">
        <v>176.71428571428572</v>
      </c>
      <c r="M346" s="74">
        <v>119.21428571428571</v>
      </c>
      <c r="N346" s="74">
        <v>29.785714285714288</v>
      </c>
      <c r="O346" s="75">
        <v>151.04</v>
      </c>
      <c r="P346" s="75">
        <v>96.591666666666654</v>
      </c>
      <c r="Q346" s="76">
        <v>0.31144067796610175</v>
      </c>
      <c r="R346" s="76">
        <v>8.425502545078066E-2</v>
      </c>
      <c r="S346" s="31">
        <v>116</v>
      </c>
      <c r="T346" s="31"/>
      <c r="U346" s="76">
        <v>0.3548908649959579</v>
      </c>
      <c r="V346" s="76">
        <v>-0.66666666666666674</v>
      </c>
      <c r="W346" s="76">
        <v>-0.4787680096626693</v>
      </c>
      <c r="X346" s="76">
        <v>0.92668441531845436</v>
      </c>
      <c r="Y346" s="76">
        <v>4.2312061588871686E-3</v>
      </c>
      <c r="Z346" s="76">
        <v>2.141982864137093E-2</v>
      </c>
      <c r="AA346" s="76">
        <v>-0.33333333333333337</v>
      </c>
      <c r="AB346" s="76">
        <v>-0.12549575890918574</v>
      </c>
      <c r="AC346" s="76">
        <v>0.31175636163622156</v>
      </c>
      <c r="AD346" s="142"/>
      <c r="AE346" s="142"/>
      <c r="AF346" s="142"/>
    </row>
    <row r="347" spans="1:32" x14ac:dyDescent="0.35">
      <c r="A347" t="s">
        <v>95</v>
      </c>
      <c r="B347" t="s">
        <v>578</v>
      </c>
      <c r="C347" s="31"/>
      <c r="D347" s="31"/>
      <c r="E347" s="72"/>
      <c r="F347" s="31"/>
      <c r="G347" s="73"/>
      <c r="H347" s="31"/>
      <c r="I347" s="72"/>
      <c r="J347" s="72"/>
      <c r="K347" s="31">
        <v>1</v>
      </c>
      <c r="L347" s="31">
        <v>-2</v>
      </c>
      <c r="M347" s="74"/>
      <c r="N347" s="74"/>
      <c r="O347" s="75"/>
      <c r="P347" s="75"/>
      <c r="Q347" s="76"/>
      <c r="R347" s="76"/>
      <c r="S347" s="31"/>
      <c r="T347" s="31"/>
      <c r="U347" s="76">
        <v>-1.5</v>
      </c>
      <c r="V347" s="76"/>
      <c r="W347" s="76"/>
      <c r="X347" s="76"/>
      <c r="Y347" s="76">
        <v>0</v>
      </c>
      <c r="Z347" s="76">
        <v>0</v>
      </c>
      <c r="AA347" s="76"/>
      <c r="AB347" s="76"/>
      <c r="AC347" s="76"/>
      <c r="AD347" s="142"/>
      <c r="AE347" s="142"/>
      <c r="AF347" s="142"/>
    </row>
    <row r="348" spans="1:32" x14ac:dyDescent="0.35">
      <c r="A348" s="138" t="s">
        <v>842</v>
      </c>
      <c r="B348" s="138"/>
      <c r="C348" s="127">
        <v>11305</v>
      </c>
      <c r="D348" s="127">
        <v>12077</v>
      </c>
      <c r="E348" s="126">
        <v>24138</v>
      </c>
      <c r="F348" s="127">
        <v>22310</v>
      </c>
      <c r="G348" s="127">
        <v>8491320.9400001392</v>
      </c>
      <c r="H348" s="127">
        <v>6252602.8599996818</v>
      </c>
      <c r="I348" s="126">
        <v>4505017.3799999822</v>
      </c>
      <c r="J348" s="126">
        <v>2878297.8599996455</v>
      </c>
      <c r="K348" s="127">
        <v>252136.42857142858</v>
      </c>
      <c r="L348" s="127">
        <v>376345.57142857142</v>
      </c>
      <c r="M348" s="140">
        <v>10.44562219618148</v>
      </c>
      <c r="N348" s="140">
        <v>17.076525232237007</v>
      </c>
      <c r="O348" s="139">
        <v>351.78229099346009</v>
      </c>
      <c r="P348" s="139">
        <v>280.26010129985127</v>
      </c>
      <c r="Q348" s="141">
        <v>0.53054376484324806</v>
      </c>
      <c r="R348" s="141">
        <v>0.45178238879800964</v>
      </c>
      <c r="S348" s="127">
        <v>119189.28571428571</v>
      </c>
      <c r="T348" s="127"/>
      <c r="U348" s="141">
        <v>-0.3549143093790319</v>
      </c>
      <c r="V348" s="141">
        <v>4.3164500224114777E-2</v>
      </c>
      <c r="W348" s="141">
        <v>0.31033196629419568</v>
      </c>
      <c r="X348" s="141">
        <v>0.54100471401964034</v>
      </c>
      <c r="Y348" s="141">
        <v>3.4637199206457581E-3</v>
      </c>
      <c r="Z348" s="141">
        <v>-5.3487116542288993E-3</v>
      </c>
      <c r="AA348" s="141">
        <v>-9.3918918918918903E-2</v>
      </c>
      <c r="AB348" s="141">
        <v>-1.2232026691232356E-2</v>
      </c>
      <c r="AC348" s="141">
        <v>9.0154064501846376E-2</v>
      </c>
      <c r="AD348" s="143">
        <v>-0.28930692488785942</v>
      </c>
      <c r="AE348" s="143">
        <v>-0.18937673781888978</v>
      </c>
      <c r="AF348" s="143">
        <v>-4.5208651263828212E-2</v>
      </c>
    </row>
    <row r="349" spans="1:32" x14ac:dyDescent="0.35">
      <c r="A349" t="s">
        <v>81</v>
      </c>
      <c r="B349" t="s">
        <v>501</v>
      </c>
      <c r="C349" s="31">
        <v>707</v>
      </c>
      <c r="D349" s="31">
        <v>1391</v>
      </c>
      <c r="E349" s="72">
        <v>722</v>
      </c>
      <c r="F349" s="31">
        <v>1447</v>
      </c>
      <c r="G349" s="73">
        <v>1075700.539999997</v>
      </c>
      <c r="H349" s="31">
        <v>1473236.0700000017</v>
      </c>
      <c r="I349" s="72">
        <v>485307.30999999761</v>
      </c>
      <c r="J349" s="72">
        <v>576327.78000000329</v>
      </c>
      <c r="K349" s="31">
        <v>11118.857142857143</v>
      </c>
      <c r="L349" s="31">
        <v>17834.285714285714</v>
      </c>
      <c r="M349" s="74">
        <v>15.4000791452315</v>
      </c>
      <c r="N349" s="74">
        <v>12.497104247104247</v>
      </c>
      <c r="O349" s="75">
        <v>1489.8899445983338</v>
      </c>
      <c r="P349" s="75">
        <v>1018.131354526608</v>
      </c>
      <c r="Q349" s="76">
        <v>0.4511546587119859</v>
      </c>
      <c r="R349" s="76">
        <v>0.38314916345643379</v>
      </c>
      <c r="S349" s="31">
        <v>4171.5714285714284</v>
      </c>
      <c r="T349" s="31"/>
      <c r="U349" s="76">
        <v>-0.39655559115668049</v>
      </c>
      <c r="V349" s="76">
        <v>-0.52176917760884589</v>
      </c>
      <c r="W349" s="76">
        <v>-0.29880068032817053</v>
      </c>
      <c r="X349" s="76">
        <v>-0.17561913258603823</v>
      </c>
      <c r="Y349" s="76">
        <v>2.148218142531988E-2</v>
      </c>
      <c r="Z349" s="76">
        <v>2.8503468780971319E-2</v>
      </c>
      <c r="AA349" s="76">
        <v>0.17589576547231278</v>
      </c>
      <c r="AB349" s="76">
        <v>0.21166025914940589</v>
      </c>
      <c r="AC349" s="76">
        <v>3.0414680218469936E-2</v>
      </c>
      <c r="AD349" s="142">
        <v>-0.37610154370797549</v>
      </c>
      <c r="AE349" s="142">
        <v>-0.39678070559087503</v>
      </c>
      <c r="AF349" s="142">
        <v>-0.33605446929495864</v>
      </c>
    </row>
    <row r="350" spans="1:32" x14ac:dyDescent="0.35">
      <c r="A350" t="s">
        <v>81</v>
      </c>
      <c r="B350" t="s">
        <v>508</v>
      </c>
      <c r="C350" s="31">
        <v>3619</v>
      </c>
      <c r="D350" s="31">
        <v>4459</v>
      </c>
      <c r="E350" s="72">
        <v>4267</v>
      </c>
      <c r="F350" s="31">
        <v>5643</v>
      </c>
      <c r="G350" s="73">
        <v>967522.97999998042</v>
      </c>
      <c r="H350" s="31">
        <v>601641.32999999903</v>
      </c>
      <c r="I350" s="72">
        <v>571342.31999998447</v>
      </c>
      <c r="J350" s="72">
        <v>270482.91999999894</v>
      </c>
      <c r="K350" s="31">
        <v>41109.857142857145</v>
      </c>
      <c r="L350" s="31">
        <v>71611.71428571429</v>
      </c>
      <c r="M350" s="74">
        <v>9.6343700826944332</v>
      </c>
      <c r="N350" s="74">
        <v>12.916117152312935</v>
      </c>
      <c r="O350" s="75">
        <v>226.74548394656208</v>
      </c>
      <c r="P350" s="75">
        <v>106.61728335991477</v>
      </c>
      <c r="Q350" s="76">
        <v>0.59052067166404254</v>
      </c>
      <c r="R350" s="76">
        <v>0.44227634863806209</v>
      </c>
      <c r="S350" s="31">
        <v>17336.285714285714</v>
      </c>
      <c r="T350" s="31"/>
      <c r="U350" s="76">
        <v>-0.44751656752087643</v>
      </c>
      <c r="V350" s="76">
        <v>-0.27875243664717353</v>
      </c>
      <c r="W350" s="76">
        <v>0.53587312560456102</v>
      </c>
      <c r="X350" s="76">
        <v>1.054195767408058</v>
      </c>
      <c r="Y350" s="76">
        <v>0.19053730560689419</v>
      </c>
      <c r="Z350" s="76">
        <v>0.17969057457693838</v>
      </c>
      <c r="AA350" s="76">
        <v>0.32515527950310563</v>
      </c>
      <c r="AB350" s="76">
        <v>0.27730893255507838</v>
      </c>
      <c r="AC350" s="76">
        <v>-3.6106219163967279E-2</v>
      </c>
      <c r="AD350" s="142">
        <v>0.17241923722629734</v>
      </c>
      <c r="AE350" s="142">
        <v>0.54878399432587111</v>
      </c>
      <c r="AF350" s="142">
        <v>0.95071447601392089</v>
      </c>
    </row>
    <row r="351" spans="1:32" x14ac:dyDescent="0.35">
      <c r="A351" t="s">
        <v>81</v>
      </c>
      <c r="B351" t="s">
        <v>506</v>
      </c>
      <c r="C351" s="31">
        <v>3006</v>
      </c>
      <c r="D351" s="31">
        <v>3265</v>
      </c>
      <c r="E351" s="72">
        <v>3465</v>
      </c>
      <c r="F351" s="31">
        <v>3964</v>
      </c>
      <c r="G351" s="73">
        <v>940917.91999999247</v>
      </c>
      <c r="H351" s="31">
        <v>512315.48999999563</v>
      </c>
      <c r="I351" s="72">
        <v>567331.41999999247</v>
      </c>
      <c r="J351" s="72">
        <v>235158.33999999595</v>
      </c>
      <c r="K351" s="31">
        <v>43111.285714285717</v>
      </c>
      <c r="L351" s="31">
        <v>73576.71428571429</v>
      </c>
      <c r="M351" s="74">
        <v>12.441929499072357</v>
      </c>
      <c r="N351" s="74">
        <v>18.589503378143064</v>
      </c>
      <c r="O351" s="75">
        <v>271.5491832611811</v>
      </c>
      <c r="P351" s="75">
        <v>129.24205095862655</v>
      </c>
      <c r="Q351" s="76">
        <v>0.60295527159265605</v>
      </c>
      <c r="R351" s="76">
        <v>0.44314455379017481</v>
      </c>
      <c r="S351" s="31">
        <v>18557.285714285714</v>
      </c>
      <c r="T351" s="31"/>
      <c r="U351" s="76">
        <v>-0.42924877241829229</v>
      </c>
      <c r="V351" s="76">
        <v>-0.15211907164480321</v>
      </c>
      <c r="W351" s="76">
        <v>0.7839360469073422</v>
      </c>
      <c r="X351" s="76">
        <v>1.4206500155387838</v>
      </c>
      <c r="Y351" s="76">
        <v>1.4671349048488214E-2</v>
      </c>
      <c r="Z351" s="76">
        <v>2.689578902594647E-2</v>
      </c>
      <c r="AA351" s="76">
        <v>-2.0356234096692072E-2</v>
      </c>
      <c r="AB351" s="76">
        <v>-2.842485951872642E-3</v>
      </c>
      <c r="AC351" s="76">
        <v>1.7877670184192507E-2</v>
      </c>
      <c r="AD351" s="142">
        <v>-0.1738558296642837</v>
      </c>
      <c r="AE351" s="142">
        <v>0.30723266177845399</v>
      </c>
      <c r="AF351" s="142">
        <v>0.64502742785467415</v>
      </c>
    </row>
    <row r="352" spans="1:32" x14ac:dyDescent="0.35">
      <c r="A352" t="s">
        <v>81</v>
      </c>
      <c r="B352" t="s">
        <v>504</v>
      </c>
      <c r="C352" s="31">
        <v>1768</v>
      </c>
      <c r="D352" s="31">
        <v>3183</v>
      </c>
      <c r="E352" s="72">
        <v>3269</v>
      </c>
      <c r="F352" s="31">
        <v>8184</v>
      </c>
      <c r="G352" s="73">
        <v>922491.3099999883</v>
      </c>
      <c r="H352" s="31">
        <v>865130.06999998877</v>
      </c>
      <c r="I352" s="72">
        <v>480568.05000000016</v>
      </c>
      <c r="J352" s="72">
        <v>362705.63999998971</v>
      </c>
      <c r="K352" s="31">
        <v>52800.142857142855</v>
      </c>
      <c r="L352" s="31">
        <v>169613.57142857142</v>
      </c>
      <c r="M352" s="74">
        <v>16.151772057859546</v>
      </c>
      <c r="N352" s="74">
        <v>20.987166983214411</v>
      </c>
      <c r="O352" s="75">
        <v>282.19373202813961</v>
      </c>
      <c r="P352" s="75">
        <v>105.70993035190479</v>
      </c>
      <c r="Q352" s="76">
        <v>0.52094588294821575</v>
      </c>
      <c r="R352" s="76">
        <v>0.41152958391045652</v>
      </c>
      <c r="S352" s="31">
        <v>22727.571428571428</v>
      </c>
      <c r="T352" s="31"/>
      <c r="U352" s="76">
        <v>-0.69958434929819457</v>
      </c>
      <c r="V352" s="76">
        <v>-0.61889051808406648</v>
      </c>
      <c r="W352" s="76">
        <v>1.7074657918200842E-2</v>
      </c>
      <c r="X352" s="76">
        <v>0.29648919830667819</v>
      </c>
      <c r="Y352" s="76">
        <v>4.0554879810195121E-3</v>
      </c>
      <c r="Z352" s="76">
        <v>-1.0567796060455548E-3</v>
      </c>
      <c r="AA352" s="76">
        <v>4.4742729306487705E-2</v>
      </c>
      <c r="AB352" s="76">
        <v>7.6142531748937259E-2</v>
      </c>
      <c r="AC352" s="76">
        <v>3.0055057155835119E-2</v>
      </c>
      <c r="AD352" s="142">
        <v>-0.34327955102901708</v>
      </c>
      <c r="AE352" s="142">
        <v>-0.2600592321996244</v>
      </c>
      <c r="AF352" s="142">
        <v>-0.14215913864771615</v>
      </c>
    </row>
    <row r="353" spans="1:32" x14ac:dyDescent="0.35">
      <c r="A353" t="s">
        <v>81</v>
      </c>
      <c r="B353" t="s">
        <v>509</v>
      </c>
      <c r="C353" s="31">
        <v>2320</v>
      </c>
      <c r="D353" s="31">
        <v>2138</v>
      </c>
      <c r="E353" s="72">
        <v>3348</v>
      </c>
      <c r="F353" s="31">
        <v>2776</v>
      </c>
      <c r="G353" s="73">
        <v>797835.8799999957</v>
      </c>
      <c r="H353" s="31">
        <v>288593.13000000379</v>
      </c>
      <c r="I353" s="72">
        <v>419304.96999999916</v>
      </c>
      <c r="J353" s="72">
        <v>123478.32000000289</v>
      </c>
      <c r="K353" s="31">
        <v>38955.714285714283</v>
      </c>
      <c r="L353" s="31">
        <v>65433.285714285717</v>
      </c>
      <c r="M353" s="74">
        <v>11.635518006485748</v>
      </c>
      <c r="N353" s="74">
        <v>23.850587464071406</v>
      </c>
      <c r="O353" s="75">
        <v>238.30223416965225</v>
      </c>
      <c r="P353" s="75">
        <v>103.96006123919445</v>
      </c>
      <c r="Q353" s="76">
        <v>0.52555291195978981</v>
      </c>
      <c r="R353" s="76">
        <v>0.41962865213667849</v>
      </c>
      <c r="S353" s="31">
        <v>23615.142857142859</v>
      </c>
      <c r="T353" s="31"/>
      <c r="U353" s="76">
        <v>-0.42132990417720995</v>
      </c>
      <c r="V353" s="76">
        <v>0.14805475504322763</v>
      </c>
      <c r="W353" s="76">
        <v>1.6552527428493713</v>
      </c>
      <c r="X353" s="76">
        <v>2.3350419021825988</v>
      </c>
      <c r="Y353" s="76">
        <v>0.11719091410643623</v>
      </c>
      <c r="Z353" s="76">
        <v>0.39970228929268026</v>
      </c>
      <c r="AA353" s="76">
        <v>0.90011350737797957</v>
      </c>
      <c r="AB353" s="76">
        <v>0.28719287298288498</v>
      </c>
      <c r="AC353" s="76">
        <v>-0.32257053697854132</v>
      </c>
      <c r="AD353" s="142">
        <v>0.22079944715433414</v>
      </c>
      <c r="AE353" s="142">
        <v>0.9198926077411278</v>
      </c>
      <c r="AF353" s="142">
        <v>1.2230829528380718</v>
      </c>
    </row>
    <row r="354" spans="1:32" x14ac:dyDescent="0.35">
      <c r="A354" t="s">
        <v>81</v>
      </c>
      <c r="B354" t="s">
        <v>505</v>
      </c>
      <c r="C354" s="31">
        <v>1202</v>
      </c>
      <c r="D354" s="31">
        <v>2068</v>
      </c>
      <c r="E354" s="72">
        <v>1371</v>
      </c>
      <c r="F354" s="31">
        <v>2481</v>
      </c>
      <c r="G354" s="73">
        <v>796261.25999999186</v>
      </c>
      <c r="H354" s="31">
        <v>653418.05999999074</v>
      </c>
      <c r="I354" s="72">
        <v>418493.28000000259</v>
      </c>
      <c r="J354" s="72">
        <v>211300.67999998975</v>
      </c>
      <c r="K354" s="31">
        <v>19277.428571428572</v>
      </c>
      <c r="L354" s="31">
        <v>45054</v>
      </c>
      <c r="M354" s="74">
        <v>14.060852349692613</v>
      </c>
      <c r="N354" s="74">
        <v>18.475737500707776</v>
      </c>
      <c r="O354" s="75">
        <v>580.78866520787153</v>
      </c>
      <c r="P354" s="75">
        <v>263.36882708584875</v>
      </c>
      <c r="Q354" s="76">
        <v>0.52557282518052795</v>
      </c>
      <c r="R354" s="76">
        <v>0.31716014429853451</v>
      </c>
      <c r="S354" s="31">
        <v>7991.2857142857147</v>
      </c>
      <c r="T354" s="31"/>
      <c r="U354" s="76">
        <v>-0.58898845195289462</v>
      </c>
      <c r="V354" s="76">
        <v>-0.47803305118903672</v>
      </c>
      <c r="W354" s="76">
        <v>0.16044415729801687</v>
      </c>
      <c r="X354" s="76">
        <v>0.92871484415240046</v>
      </c>
      <c r="Y354" s="76">
        <v>-4.3165293960489626E-2</v>
      </c>
      <c r="Z354" s="76">
        <v>-5.0152392885047137E-2</v>
      </c>
      <c r="AA354" s="76">
        <v>5.1319648093841597E-3</v>
      </c>
      <c r="AB354" s="76">
        <v>3.5180385805513303E-2</v>
      </c>
      <c r="AC354" s="76">
        <v>2.9895000903515712E-2</v>
      </c>
      <c r="AD354" s="142">
        <v>-0.46643837026538487</v>
      </c>
      <c r="AE354" s="142">
        <v>-0.56692967427126262</v>
      </c>
      <c r="AF354" s="142">
        <v>-0.48470557212051241</v>
      </c>
    </row>
    <row r="355" spans="1:32" x14ac:dyDescent="0.35">
      <c r="A355" t="s">
        <v>81</v>
      </c>
      <c r="B355" t="s">
        <v>502</v>
      </c>
      <c r="C355" s="31">
        <v>1580</v>
      </c>
      <c r="D355" s="31">
        <v>3776</v>
      </c>
      <c r="E355" s="72">
        <v>2771</v>
      </c>
      <c r="F355" s="31">
        <v>7738</v>
      </c>
      <c r="G355" s="73">
        <v>789301.25999999279</v>
      </c>
      <c r="H355" s="31">
        <v>1177697.3599999908</v>
      </c>
      <c r="I355" s="72">
        <v>392005.16000000044</v>
      </c>
      <c r="J355" s="72">
        <v>458784.78999999491</v>
      </c>
      <c r="K355" s="31">
        <v>41329.857142857145</v>
      </c>
      <c r="L355" s="31">
        <v>131189.57142857142</v>
      </c>
      <c r="M355" s="74">
        <v>14.915141516729392</v>
      </c>
      <c r="N355" s="74">
        <v>17.14238727749164</v>
      </c>
      <c r="O355" s="75">
        <v>284.84347167087435</v>
      </c>
      <c r="P355" s="75">
        <v>152.1966089428781</v>
      </c>
      <c r="Q355" s="76">
        <v>0.49664833931723867</v>
      </c>
      <c r="R355" s="76">
        <v>0.38134957705865674</v>
      </c>
      <c r="S355" s="31">
        <v>6151.7142857142853</v>
      </c>
      <c r="T355" s="31"/>
      <c r="U355" s="76">
        <v>-0.69458155972763513</v>
      </c>
      <c r="V355" s="76">
        <v>-0.65740501421555964</v>
      </c>
      <c r="W355" s="76">
        <v>-0.35498765149647638</v>
      </c>
      <c r="X355" s="76">
        <v>-0.15970823687937996</v>
      </c>
      <c r="Y355" s="76">
        <v>0.43002910162521513</v>
      </c>
      <c r="Z355" s="76">
        <v>0.12954850699650189</v>
      </c>
      <c r="AA355" s="76">
        <v>-1.2473271560940802E-2</v>
      </c>
      <c r="AB355" s="76">
        <v>0.24690800719820327</v>
      </c>
      <c r="AC355" s="76">
        <v>0.26265747679471607</v>
      </c>
      <c r="AD355" s="142">
        <v>-0.56914524558464441</v>
      </c>
      <c r="AE355" s="142">
        <v>-0.46099537260213186</v>
      </c>
      <c r="AF355" s="142">
        <v>-0.38483305321451239</v>
      </c>
    </row>
    <row r="356" spans="1:32" x14ac:dyDescent="0.35">
      <c r="A356" t="s">
        <v>81</v>
      </c>
      <c r="B356" t="s">
        <v>510</v>
      </c>
      <c r="C356" s="31">
        <v>2102</v>
      </c>
      <c r="D356" s="31">
        <v>2080</v>
      </c>
      <c r="E356" s="72">
        <v>2396</v>
      </c>
      <c r="F356" s="31">
        <v>2385</v>
      </c>
      <c r="G356" s="73">
        <v>757124.01999999292</v>
      </c>
      <c r="H356" s="31">
        <v>312224.89000000467</v>
      </c>
      <c r="I356" s="72">
        <v>416362.89999999764</v>
      </c>
      <c r="J356" s="72">
        <v>103571.21000000474</v>
      </c>
      <c r="K356" s="31">
        <v>24689.285714285714</v>
      </c>
      <c r="L356" s="31">
        <v>36309.142857142855</v>
      </c>
      <c r="M356" s="74">
        <v>10.304376341521584</v>
      </c>
      <c r="N356" s="74">
        <v>15.482084116541353</v>
      </c>
      <c r="O356" s="75">
        <v>315.99499999999705</v>
      </c>
      <c r="P356" s="75">
        <v>130.91190356394327</v>
      </c>
      <c r="Q356" s="76">
        <v>0.5499269459183207</v>
      </c>
      <c r="R356" s="76">
        <v>0.32552797178862758</v>
      </c>
      <c r="S356" s="31">
        <v>6120.1428571428569</v>
      </c>
      <c r="T356" s="31"/>
      <c r="U356" s="76">
        <v>-0.3411891534599707</v>
      </c>
      <c r="V356" s="76">
        <v>-2.0964360587002129E-2</v>
      </c>
      <c r="W356" s="76">
        <v>1.3589819825061928</v>
      </c>
      <c r="X356" s="76">
        <v>2.9780899572983084</v>
      </c>
      <c r="Y356" s="76">
        <v>0.36785099561640178</v>
      </c>
      <c r="Z356" s="76">
        <v>0.36707008384749251</v>
      </c>
      <c r="AA356" s="76">
        <v>0.41859088217880402</v>
      </c>
      <c r="AB356" s="76">
        <v>0.50944131469979581</v>
      </c>
      <c r="AC356" s="76">
        <v>6.4042729769597351E-2</v>
      </c>
      <c r="AD356" s="142">
        <v>0.37849837111661572</v>
      </c>
      <c r="AE356" s="142">
        <v>0.79107418151754083</v>
      </c>
      <c r="AF356" s="142">
        <v>1.2880535807023532</v>
      </c>
    </row>
    <row r="357" spans="1:32" x14ac:dyDescent="0.35">
      <c r="A357" t="s">
        <v>81</v>
      </c>
      <c r="B357" t="s">
        <v>507</v>
      </c>
      <c r="C357" s="31">
        <v>2276</v>
      </c>
      <c r="D357" s="31">
        <v>3242</v>
      </c>
      <c r="E357" s="72">
        <v>2707</v>
      </c>
      <c r="F357" s="31">
        <v>3920</v>
      </c>
      <c r="G357" s="73">
        <v>570007.1699999721</v>
      </c>
      <c r="H357" s="31">
        <v>492538.70999999734</v>
      </c>
      <c r="I357" s="72">
        <v>311366.31000000291</v>
      </c>
      <c r="J357" s="72">
        <v>198029.11999999627</v>
      </c>
      <c r="K357" s="31">
        <v>33662.142857142855</v>
      </c>
      <c r="L357" s="31">
        <v>78494.857142857145</v>
      </c>
      <c r="M357" s="74">
        <v>12.435220855981845</v>
      </c>
      <c r="N357" s="74">
        <v>20.188843942942302</v>
      </c>
      <c r="O357" s="75">
        <v>210.56785001846032</v>
      </c>
      <c r="P357" s="75">
        <v>125.64763010204014</v>
      </c>
      <c r="Q357" s="76">
        <v>0.54624981296291086</v>
      </c>
      <c r="R357" s="76">
        <v>0.38946222212440607</v>
      </c>
      <c r="S357" s="31">
        <v>13333.714285714286</v>
      </c>
      <c r="T357" s="31"/>
      <c r="U357" s="76">
        <v>-0.58515207547719239</v>
      </c>
      <c r="V357" s="76">
        <v>-0.33418367346938771</v>
      </c>
      <c r="W357" s="76">
        <v>0.10662420827791963</v>
      </c>
      <c r="X357" s="76">
        <v>0.56456012895646501</v>
      </c>
      <c r="Y357" s="76">
        <v>9.8477808070294159E-3</v>
      </c>
      <c r="Z357" s="76">
        <v>0.13766831948474545</v>
      </c>
      <c r="AA357" s="76">
        <v>0.30836152730787814</v>
      </c>
      <c r="AB357" s="76">
        <v>0.2092169813931819</v>
      </c>
      <c r="AC357" s="76">
        <v>-7.5777637789991359E-2</v>
      </c>
      <c r="AD357" s="142">
        <v>-7.3948544174929395E-2</v>
      </c>
      <c r="AE357" s="142">
        <v>-0.28968379100672775</v>
      </c>
      <c r="AF357" s="142">
        <v>-0.1362104845317039</v>
      </c>
    </row>
    <row r="358" spans="1:32" x14ac:dyDescent="0.35">
      <c r="A358" t="s">
        <v>81</v>
      </c>
      <c r="B358" t="s">
        <v>503</v>
      </c>
      <c r="C358" s="31">
        <v>546</v>
      </c>
      <c r="D358" s="31">
        <v>1786</v>
      </c>
      <c r="E358" s="72">
        <v>588</v>
      </c>
      <c r="F358" s="31">
        <v>1937</v>
      </c>
      <c r="G358" s="73">
        <v>304833.63999999926</v>
      </c>
      <c r="H358" s="31">
        <v>680500.62999999512</v>
      </c>
      <c r="I358" s="72">
        <v>143836.14999999988</v>
      </c>
      <c r="J358" s="72">
        <v>284619.11000000197</v>
      </c>
      <c r="K358" s="31">
        <v>9260.2857142857138</v>
      </c>
      <c r="L358" s="31">
        <v>27709</v>
      </c>
      <c r="M358" s="74">
        <v>15.748785228377065</v>
      </c>
      <c r="N358" s="74">
        <v>14.510173377274681</v>
      </c>
      <c r="O358" s="75">
        <v>518.424557823128</v>
      </c>
      <c r="P358" s="75">
        <v>351.31679401135523</v>
      </c>
      <c r="Q358" s="76">
        <v>0.47185130223816579</v>
      </c>
      <c r="R358" s="76">
        <v>0.40677848398350619</v>
      </c>
      <c r="S358" s="31">
        <v>10400.285714285714</v>
      </c>
      <c r="T358" s="31"/>
      <c r="U358" s="76">
        <v>-0.6740821703108324</v>
      </c>
      <c r="V358" s="76">
        <v>-0.70934434692823956</v>
      </c>
      <c r="W358" s="76">
        <v>-0.57555674856612282</v>
      </c>
      <c r="X358" s="76">
        <v>-0.50843480024788024</v>
      </c>
      <c r="Y358" s="76">
        <v>-5.0960614551569527E-2</v>
      </c>
      <c r="Z358" s="76">
        <v>-6.3874647989024536E-2</v>
      </c>
      <c r="AA358" s="76">
        <v>8.287292817679548E-2</v>
      </c>
      <c r="AB358" s="76">
        <v>9.1611085276138926E-2</v>
      </c>
      <c r="AC358" s="76">
        <v>8.0694205866385094E-3</v>
      </c>
      <c r="AD358" s="142">
        <v>-0.6527931345629141</v>
      </c>
      <c r="AE358" s="142">
        <v>-0.60934999902246501</v>
      </c>
      <c r="AF358" s="142">
        <v>-0.57457984646948401</v>
      </c>
    </row>
    <row r="359" spans="1:32" x14ac:dyDescent="0.35">
      <c r="A359" t="s">
        <v>81</v>
      </c>
      <c r="B359" t="s">
        <v>511</v>
      </c>
      <c r="C359" s="31">
        <v>420</v>
      </c>
      <c r="D359" s="31">
        <v>255</v>
      </c>
      <c r="E359" s="72">
        <v>639</v>
      </c>
      <c r="F359" s="31">
        <v>377</v>
      </c>
      <c r="G359" s="73">
        <v>202071.76000000112</v>
      </c>
      <c r="H359" s="31">
        <v>63260.550000000047</v>
      </c>
      <c r="I359" s="72">
        <v>110265.15000000013</v>
      </c>
      <c r="J359" s="72">
        <v>24681.740000000049</v>
      </c>
      <c r="K359" s="31">
        <v>14848.857142857143</v>
      </c>
      <c r="L359" s="31">
        <v>8100.2857142857147</v>
      </c>
      <c r="M359" s="74">
        <v>23.237648110887548</v>
      </c>
      <c r="N359" s="74">
        <v>21.877128053293859</v>
      </c>
      <c r="O359" s="75">
        <v>316.23123630673103</v>
      </c>
      <c r="P359" s="75">
        <v>167.79986737400543</v>
      </c>
      <c r="Q359" s="76">
        <v>0.54567323014358615</v>
      </c>
      <c r="R359" s="76">
        <v>0.38119671267269289</v>
      </c>
      <c r="S359" s="31">
        <v>6174.5714285714284</v>
      </c>
      <c r="T359" s="31"/>
      <c r="U359" s="76">
        <v>0.76464674967373281</v>
      </c>
      <c r="V359" s="76">
        <v>0.63395225464190985</v>
      </c>
      <c r="W359" s="76">
        <v>2.0855691264145015</v>
      </c>
      <c r="X359" s="76">
        <v>3.40602916222866</v>
      </c>
      <c r="Y359" s="76">
        <v>-5.078071419755914E-3</v>
      </c>
      <c r="Z359" s="76">
        <v>-3.0405048964597947E-3</v>
      </c>
      <c r="AA359" s="76">
        <v>4.5826513911620292E-2</v>
      </c>
      <c r="AB359" s="76">
        <v>2.9755742556891063E-2</v>
      </c>
      <c r="AC359" s="76">
        <v>-1.5366574800844357E-2</v>
      </c>
      <c r="AD359" s="142">
        <v>-0.49597390422636534</v>
      </c>
      <c r="AE359" s="142">
        <v>-0.45065698489937439</v>
      </c>
      <c r="AF359" s="142">
        <v>-0.36945300171201961</v>
      </c>
    </row>
    <row r="360" spans="1:32" x14ac:dyDescent="0.35">
      <c r="A360" t="s">
        <v>81</v>
      </c>
      <c r="B360" t="s">
        <v>513</v>
      </c>
      <c r="C360" s="31">
        <v>13</v>
      </c>
      <c r="D360" s="31">
        <v>37</v>
      </c>
      <c r="E360" s="72">
        <v>13</v>
      </c>
      <c r="F360" s="31">
        <v>39</v>
      </c>
      <c r="G360" s="73">
        <v>8666.58</v>
      </c>
      <c r="H360" s="31">
        <v>30320.629999999997</v>
      </c>
      <c r="I360" s="72">
        <v>145.02000000000001</v>
      </c>
      <c r="J360" s="72">
        <v>4767.0600000000049</v>
      </c>
      <c r="K360" s="31">
        <v>292.85714285714283</v>
      </c>
      <c r="L360" s="31">
        <v>1751.2857142857142</v>
      </c>
      <c r="M360" s="74">
        <v>22.527472527472526</v>
      </c>
      <c r="N360" s="74">
        <v>44.557142857142857</v>
      </c>
      <c r="O360" s="75">
        <v>666.66</v>
      </c>
      <c r="P360" s="75">
        <v>777.45205128205123</v>
      </c>
      <c r="Q360" s="76">
        <v>1.6733244255519478E-2</v>
      </c>
      <c r="R360" s="76">
        <v>0.15383915345964333</v>
      </c>
      <c r="S360" s="31">
        <v>6.2857142857142856</v>
      </c>
      <c r="T360" s="31"/>
      <c r="U360" s="76">
        <v>-0.83522310139489353</v>
      </c>
      <c r="V360" s="76">
        <v>-0.66666666666666674</v>
      </c>
      <c r="W360" s="76">
        <v>-0.71416886786323364</v>
      </c>
      <c r="X360" s="76">
        <v>-0.96950728465124336</v>
      </c>
      <c r="Y360" s="76">
        <v>-6.9893891349456561E-2</v>
      </c>
      <c r="Z360" s="76">
        <v>-6.9872958257713225E-2</v>
      </c>
      <c r="AA360" s="76">
        <v>-0.38095238095238093</v>
      </c>
      <c r="AB360" s="76">
        <v>-0.38534283319125151</v>
      </c>
      <c r="AC360" s="76">
        <v>-7.0922690012523715E-3</v>
      </c>
      <c r="AD360" s="142"/>
      <c r="AE360" s="142"/>
      <c r="AF360" s="142"/>
    </row>
    <row r="361" spans="1:32" x14ac:dyDescent="0.35">
      <c r="A361" t="s">
        <v>81</v>
      </c>
      <c r="B361" t="s">
        <v>512</v>
      </c>
      <c r="C361" s="31">
        <v>13</v>
      </c>
      <c r="D361" s="31">
        <v>157</v>
      </c>
      <c r="E361" s="72">
        <v>13</v>
      </c>
      <c r="F361" s="31">
        <v>162</v>
      </c>
      <c r="G361" s="73">
        <v>3791.5399999999991</v>
      </c>
      <c r="H361" s="31">
        <v>42896.900000000081</v>
      </c>
      <c r="I361" s="72">
        <v>493.42999999999989</v>
      </c>
      <c r="J361" s="72">
        <v>18675.680000000099</v>
      </c>
      <c r="K361" s="31">
        <v>240</v>
      </c>
      <c r="L361" s="31">
        <v>3406.4285714285716</v>
      </c>
      <c r="M361" s="74">
        <v>18.46153846153846</v>
      </c>
      <c r="N361" s="74">
        <v>21.01530612244898</v>
      </c>
      <c r="O361" s="75">
        <v>291.65692307692302</v>
      </c>
      <c r="P361" s="75">
        <v>264.79567901234617</v>
      </c>
      <c r="Q361" s="76">
        <v>0.13013973214050228</v>
      </c>
      <c r="R361" s="76">
        <v>0.4193149530013901</v>
      </c>
      <c r="S361" s="31">
        <v>4.7142857142857144</v>
      </c>
      <c r="T361" s="31"/>
      <c r="U361" s="76">
        <v>-0.92618997693436778</v>
      </c>
      <c r="V361" s="76">
        <v>-0.92592592592592593</v>
      </c>
      <c r="W361" s="76">
        <v>-0.91452645762281204</v>
      </c>
      <c r="X361" s="76">
        <v>-0.97340958738536953</v>
      </c>
      <c r="Y361" s="76">
        <v>-5.4499041977536744E-2</v>
      </c>
      <c r="Z361" s="76">
        <v>-6.6147859922178975E-2</v>
      </c>
      <c r="AA361" s="76">
        <v>-0.1875</v>
      </c>
      <c r="AB361" s="76">
        <v>-0.22454355620184774</v>
      </c>
      <c r="AC361" s="76">
        <v>-4.5592069171504823E-2</v>
      </c>
      <c r="AD361" s="142"/>
      <c r="AE361" s="142"/>
      <c r="AF361" s="142"/>
    </row>
    <row r="362" spans="1:32" x14ac:dyDescent="0.35">
      <c r="A362" t="s">
        <v>81</v>
      </c>
      <c r="B362" t="s">
        <v>514</v>
      </c>
      <c r="C362" s="31">
        <v>70</v>
      </c>
      <c r="D362" s="31">
        <v>290</v>
      </c>
      <c r="E362" s="72">
        <v>71</v>
      </c>
      <c r="F362" s="31">
        <v>300</v>
      </c>
      <c r="G362" s="73">
        <v>3706.07</v>
      </c>
      <c r="H362" s="31">
        <v>12964.279999999992</v>
      </c>
      <c r="I362" s="72">
        <v>1999.5600000000015</v>
      </c>
      <c r="J362" s="72">
        <v>7254.3799999999837</v>
      </c>
      <c r="K362" s="31">
        <v>1048.8571428571429</v>
      </c>
      <c r="L362" s="31">
        <v>6292.5714285714284</v>
      </c>
      <c r="M362" s="74">
        <v>14.772635814889336</v>
      </c>
      <c r="N362" s="74">
        <v>21.235128805620608</v>
      </c>
      <c r="O362" s="75">
        <v>52.198169014084506</v>
      </c>
      <c r="P362" s="75">
        <v>43.214266666666639</v>
      </c>
      <c r="Q362" s="76">
        <v>0.53953649013645222</v>
      </c>
      <c r="R362" s="76">
        <v>0.54691095181947225</v>
      </c>
      <c r="S362" s="31">
        <v>258.14285714285717</v>
      </c>
      <c r="T362" s="31"/>
      <c r="U362" s="76">
        <v>-0.83729113694151835</v>
      </c>
      <c r="V362" s="76">
        <v>-0.76333333333333331</v>
      </c>
      <c r="W362" s="76">
        <v>-0.7141322155954668</v>
      </c>
      <c r="X362" s="76">
        <v>-0.71931666643271197</v>
      </c>
      <c r="Y362" s="76">
        <v>-6.4095294851807982E-2</v>
      </c>
      <c r="Z362" s="76">
        <v>-6.411727214786489E-2</v>
      </c>
      <c r="AA362" s="76">
        <v>-0.12345679012345678</v>
      </c>
      <c r="AB362" s="76">
        <v>-0.14337258890288584</v>
      </c>
      <c r="AC362" s="76">
        <v>-2.2720840861038871E-2</v>
      </c>
      <c r="AD362" s="142"/>
      <c r="AE362" s="142"/>
      <c r="AF362" s="142"/>
    </row>
    <row r="363" spans="1:32" x14ac:dyDescent="0.35">
      <c r="A363" t="s">
        <v>81</v>
      </c>
      <c r="B363" t="s">
        <v>519</v>
      </c>
      <c r="C363" s="31">
        <v>43</v>
      </c>
      <c r="D363" s="31">
        <v>71</v>
      </c>
      <c r="E363" s="72">
        <v>53</v>
      </c>
      <c r="F363" s="31">
        <v>80</v>
      </c>
      <c r="G363" s="73">
        <v>2194.2300000000018</v>
      </c>
      <c r="H363" s="31">
        <v>3630.2899999999977</v>
      </c>
      <c r="I363" s="72">
        <v>389.41</v>
      </c>
      <c r="J363" s="72">
        <v>1065.9299999999976</v>
      </c>
      <c r="K363" s="31">
        <v>1105.5714285714287</v>
      </c>
      <c r="L363" s="31">
        <v>4248.2857142857147</v>
      </c>
      <c r="M363" s="74">
        <v>20.859838274932617</v>
      </c>
      <c r="N363" s="74">
        <v>50.990147783251231</v>
      </c>
      <c r="O363" s="75">
        <v>41.400566037735885</v>
      </c>
      <c r="P363" s="75">
        <v>45.378624999999971</v>
      </c>
      <c r="Q363" s="76">
        <v>0.17747000086590728</v>
      </c>
      <c r="R363" s="76">
        <v>0.27006970080088738</v>
      </c>
      <c r="S363" s="31">
        <v>114.57142857142857</v>
      </c>
      <c r="T363" s="31"/>
      <c r="U363" s="76">
        <v>-0.73905440850090787</v>
      </c>
      <c r="V363" s="76">
        <v>-0.33750000000000002</v>
      </c>
      <c r="W363" s="76">
        <v>-0.39557721283974467</v>
      </c>
      <c r="X363" s="76">
        <v>-0.60761968098505448</v>
      </c>
      <c r="Y363" s="76">
        <v>-4.8532867609847874E-2</v>
      </c>
      <c r="Z363" s="76">
        <v>-4.3977764051883694E-2</v>
      </c>
      <c r="AA363" s="76">
        <v>-0.4044943820224719</v>
      </c>
      <c r="AB363" s="76">
        <v>-0.40849000145570558</v>
      </c>
      <c r="AC363" s="76">
        <v>-6.7096250859960405E-3</v>
      </c>
      <c r="AD363" s="142"/>
      <c r="AE363" s="142"/>
      <c r="AF363" s="142"/>
    </row>
    <row r="364" spans="1:32" x14ac:dyDescent="0.35">
      <c r="A364" t="s">
        <v>81</v>
      </c>
      <c r="B364" t="s">
        <v>517</v>
      </c>
      <c r="C364" s="31">
        <v>12</v>
      </c>
      <c r="D364" s="31">
        <v>20</v>
      </c>
      <c r="E364" s="72">
        <v>12</v>
      </c>
      <c r="F364" s="31">
        <v>20</v>
      </c>
      <c r="G364" s="73">
        <v>1583.22</v>
      </c>
      <c r="H364" s="31">
        <v>4287.47</v>
      </c>
      <c r="I364" s="72">
        <v>-214.12000000000003</v>
      </c>
      <c r="J364" s="72">
        <v>1292.9600000000005</v>
      </c>
      <c r="K364" s="31">
        <v>96</v>
      </c>
      <c r="L364" s="31">
        <v>1000.5714285714286</v>
      </c>
      <c r="M364" s="74">
        <v>8</v>
      </c>
      <c r="N364" s="74">
        <v>50.864285714285714</v>
      </c>
      <c r="O364" s="75">
        <v>131.935</v>
      </c>
      <c r="P364" s="75">
        <v>214.37350000000001</v>
      </c>
      <c r="Q364" s="76">
        <v>-0.13524336478821644</v>
      </c>
      <c r="R364" s="76">
        <v>0.30156712466792779</v>
      </c>
      <c r="S364" s="31">
        <v>4</v>
      </c>
      <c r="T364" s="31"/>
      <c r="U364" s="76">
        <v>-0.90405482581382068</v>
      </c>
      <c r="V364" s="76">
        <v>-0.4</v>
      </c>
      <c r="W364" s="76">
        <v>-0.63073327626782227</v>
      </c>
      <c r="X364" s="76">
        <v>-1.1656045043930208</v>
      </c>
      <c r="Y364" s="76">
        <v>-0.13537507065398569</v>
      </c>
      <c r="Z364" s="76">
        <v>-0.13513513513513509</v>
      </c>
      <c r="AA364" s="76">
        <v>-7.6923076923076872E-2</v>
      </c>
      <c r="AB364" s="76">
        <v>-5.0001500105007257E-2</v>
      </c>
      <c r="AC364" s="76">
        <v>2.9165041552908777E-2</v>
      </c>
      <c r="AD364" s="142"/>
      <c r="AE364" s="142"/>
      <c r="AF364" s="142"/>
    </row>
    <row r="365" spans="1:32" x14ac:dyDescent="0.35">
      <c r="A365" t="s">
        <v>81</v>
      </c>
      <c r="B365" t="s">
        <v>515</v>
      </c>
      <c r="C365" s="31">
        <v>2</v>
      </c>
      <c r="D365" s="31">
        <v>18</v>
      </c>
      <c r="E365" s="72">
        <v>2</v>
      </c>
      <c r="F365" s="31">
        <v>18</v>
      </c>
      <c r="G365" s="73">
        <v>833.32</v>
      </c>
      <c r="H365" s="31">
        <v>8179.0999999999985</v>
      </c>
      <c r="I365" s="72">
        <v>371.84000000000003</v>
      </c>
      <c r="J365" s="72">
        <v>4201.5199999999986</v>
      </c>
      <c r="K365" s="31">
        <v>34.571428571428569</v>
      </c>
      <c r="L365" s="31">
        <v>324.14285714285717</v>
      </c>
      <c r="M365" s="74">
        <v>17.285714285714285</v>
      </c>
      <c r="N365" s="74">
        <v>18.865079365079364</v>
      </c>
      <c r="O365" s="75">
        <v>416.66</v>
      </c>
      <c r="P365" s="75">
        <v>454.39444444444439</v>
      </c>
      <c r="Q365" s="76">
        <v>0.44621513944223107</v>
      </c>
      <c r="R365" s="76">
        <v>0.51368977026812235</v>
      </c>
      <c r="S365" s="31">
        <v>1</v>
      </c>
      <c r="T365" s="31"/>
      <c r="U365" s="76">
        <v>-0.89951520493609527</v>
      </c>
      <c r="V365" s="76">
        <v>-0.88888888888888884</v>
      </c>
      <c r="W365" s="76">
        <v>-0.8981159296255089</v>
      </c>
      <c r="X365" s="76">
        <v>-0.91149869571012387</v>
      </c>
      <c r="Y365" s="76">
        <v>-7.7558884746683376E-2</v>
      </c>
      <c r="Z365" s="76">
        <v>-5.8365758754863939E-2</v>
      </c>
      <c r="AA365" s="76">
        <v>-0.66666666666666674</v>
      </c>
      <c r="AB365" s="76">
        <v>-0.5698882551807789</v>
      </c>
      <c r="AC365" s="76">
        <v>0.29033523445766329</v>
      </c>
      <c r="AD365" s="142"/>
      <c r="AE365" s="142"/>
      <c r="AF365" s="142"/>
    </row>
    <row r="366" spans="1:32" x14ac:dyDescent="0.35">
      <c r="A366" t="s">
        <v>81</v>
      </c>
      <c r="B366" t="s">
        <v>530</v>
      </c>
      <c r="C366" s="31">
        <v>8</v>
      </c>
      <c r="D366" s="31">
        <v>9</v>
      </c>
      <c r="E366" s="72">
        <v>8</v>
      </c>
      <c r="F366" s="31">
        <v>10</v>
      </c>
      <c r="G366" s="73">
        <v>399.92</v>
      </c>
      <c r="H366" s="31">
        <v>679.41000000000008</v>
      </c>
      <c r="I366" s="72">
        <v>9.92</v>
      </c>
      <c r="J366" s="72">
        <v>105.66000000000008</v>
      </c>
      <c r="K366" s="31">
        <v>84.571428571428569</v>
      </c>
      <c r="L366" s="31">
        <v>372.85714285714283</v>
      </c>
      <c r="M366" s="74">
        <v>10.571428571428571</v>
      </c>
      <c r="N366" s="74">
        <v>37.6</v>
      </c>
      <c r="O366" s="75">
        <v>49.99</v>
      </c>
      <c r="P366" s="75">
        <v>67.941000000000003</v>
      </c>
      <c r="Q366" s="76">
        <v>2.4804960992198439E-2</v>
      </c>
      <c r="R366" s="76">
        <v>0.15551728705788856</v>
      </c>
      <c r="S366" s="31">
        <v>10.285714285714286</v>
      </c>
      <c r="T366" s="31"/>
      <c r="U366" s="76">
        <v>-0.77318007662835253</v>
      </c>
      <c r="V366" s="76">
        <v>-0.19999999999999996</v>
      </c>
      <c r="W366" s="76">
        <v>-0.41137163126830634</v>
      </c>
      <c r="X366" s="76">
        <v>-0.90611395040696563</v>
      </c>
      <c r="Y366" s="76">
        <v>-0.16088302846780533</v>
      </c>
      <c r="Z366" s="76">
        <v>-0.14697406340057639</v>
      </c>
      <c r="AA366" s="76">
        <v>-0.46666666666666667</v>
      </c>
      <c r="AB366" s="76">
        <v>-0.46127837273523276</v>
      </c>
      <c r="AC366" s="76">
        <v>1.0103051121438611E-2</v>
      </c>
      <c r="AD366" s="142"/>
      <c r="AE366" s="142"/>
      <c r="AF366" s="142"/>
    </row>
    <row r="367" spans="1:32" x14ac:dyDescent="0.35">
      <c r="A367" t="s">
        <v>81</v>
      </c>
      <c r="B367" t="s">
        <v>521</v>
      </c>
      <c r="C367" s="31">
        <v>18</v>
      </c>
      <c r="D367" s="31">
        <v>55</v>
      </c>
      <c r="E367" s="72">
        <v>21</v>
      </c>
      <c r="F367" s="31">
        <v>64</v>
      </c>
      <c r="G367" s="73">
        <v>374.85999999999996</v>
      </c>
      <c r="H367" s="31">
        <v>1542.1400000000006</v>
      </c>
      <c r="I367" s="72">
        <v>-0.94000000000000838</v>
      </c>
      <c r="J367" s="72">
        <v>324.44000000000051</v>
      </c>
      <c r="K367" s="31">
        <v>349.14285714285717</v>
      </c>
      <c r="L367" s="31">
        <v>1439</v>
      </c>
      <c r="M367" s="74">
        <v>16.625850340136054</v>
      </c>
      <c r="N367" s="74">
        <v>22.854910714285715</v>
      </c>
      <c r="O367" s="75">
        <v>17.85047619047619</v>
      </c>
      <c r="P367" s="75">
        <v>24.095937500000009</v>
      </c>
      <c r="Q367" s="76">
        <v>-2.5076028383930228E-3</v>
      </c>
      <c r="R367" s="76">
        <v>0.21038297430842881</v>
      </c>
      <c r="S367" s="31">
        <v>116</v>
      </c>
      <c r="T367" s="31"/>
      <c r="U367" s="76">
        <v>-0.75786756676263278</v>
      </c>
      <c r="V367" s="76">
        <v>-0.671875</v>
      </c>
      <c r="W367" s="76">
        <v>-0.7569221990221382</v>
      </c>
      <c r="X367" s="76">
        <v>-1.0028972999630135</v>
      </c>
      <c r="Y367" s="76">
        <v>-8.2106306568271781E-2</v>
      </c>
      <c r="Z367" s="76">
        <v>-7.6341647770219123E-2</v>
      </c>
      <c r="AA367" s="76">
        <v>-0.16000000000000003</v>
      </c>
      <c r="AB367" s="76">
        <v>-9.440981784799729E-2</v>
      </c>
      <c r="AC367" s="76">
        <v>7.8083550180955807E-2</v>
      </c>
      <c r="AD367" s="142"/>
      <c r="AE367" s="142"/>
      <c r="AF367" s="142"/>
    </row>
    <row r="368" spans="1:32" x14ac:dyDescent="0.35">
      <c r="A368" t="s">
        <v>81</v>
      </c>
      <c r="B368" t="s">
        <v>523</v>
      </c>
      <c r="C368" s="31">
        <v>4</v>
      </c>
      <c r="D368" s="31">
        <v>31</v>
      </c>
      <c r="E368" s="72">
        <v>4</v>
      </c>
      <c r="F368" s="31">
        <v>32</v>
      </c>
      <c r="G368" s="73">
        <v>341.61</v>
      </c>
      <c r="H368" s="31">
        <v>674.97</v>
      </c>
      <c r="I368" s="72">
        <v>118.63</v>
      </c>
      <c r="J368" s="72">
        <v>162.47000000000003</v>
      </c>
      <c r="K368" s="31">
        <v>153.85714285714286</v>
      </c>
      <c r="L368" s="31">
        <v>1006.8571428571429</v>
      </c>
      <c r="M368" s="74">
        <v>38.464285714285715</v>
      </c>
      <c r="N368" s="74">
        <v>31.310924369747902</v>
      </c>
      <c r="O368" s="75">
        <v>85.402500000000003</v>
      </c>
      <c r="P368" s="75">
        <v>21.092812500000001</v>
      </c>
      <c r="Q368" s="76">
        <v>0.34726735165832379</v>
      </c>
      <c r="R368" s="76">
        <v>0.2272403037889702</v>
      </c>
      <c r="S368" s="31"/>
      <c r="T368" s="31"/>
      <c r="U368" s="76">
        <v>-0.8952894438138479</v>
      </c>
      <c r="V368" s="76">
        <v>-0.96875</v>
      </c>
      <c r="W368" s="76">
        <v>-0.97531742151503031</v>
      </c>
      <c r="X368" s="76">
        <v>-0.99735432664386658</v>
      </c>
      <c r="Y368" s="76">
        <v>-2.9022089641538851E-2</v>
      </c>
      <c r="Z368" s="76">
        <v>-2.3572076155938371E-2</v>
      </c>
      <c r="AA368" s="76">
        <v>-0.5</v>
      </c>
      <c r="AB368" s="76">
        <v>-0.16329479768786115</v>
      </c>
      <c r="AC368" s="76">
        <v>0.6734104046242777</v>
      </c>
      <c r="AD368" s="142"/>
      <c r="AE368" s="142"/>
      <c r="AF368" s="142"/>
    </row>
    <row r="369" spans="1:32" x14ac:dyDescent="0.35">
      <c r="A369" t="s">
        <v>81</v>
      </c>
      <c r="B369" t="s">
        <v>520</v>
      </c>
      <c r="C369" s="31">
        <v>7</v>
      </c>
      <c r="D369" s="31">
        <v>34</v>
      </c>
      <c r="E369" s="72">
        <v>7</v>
      </c>
      <c r="F369" s="31">
        <v>37</v>
      </c>
      <c r="G369" s="73">
        <v>291.62</v>
      </c>
      <c r="H369" s="31">
        <v>1488.1200000000003</v>
      </c>
      <c r="I369" s="72">
        <v>22.43</v>
      </c>
      <c r="J369" s="72">
        <v>155.63000000000011</v>
      </c>
      <c r="K369" s="31">
        <v>339.71428571428572</v>
      </c>
      <c r="L369" s="31">
        <v>1304.5714285714287</v>
      </c>
      <c r="M369" s="74">
        <v>48.530612244897959</v>
      </c>
      <c r="N369" s="74">
        <v>36.096525096525099</v>
      </c>
      <c r="O369" s="75">
        <v>41.660000000000004</v>
      </c>
      <c r="P369" s="75">
        <v>40.219459459459472</v>
      </c>
      <c r="Q369" s="76">
        <v>7.691516356902818E-2</v>
      </c>
      <c r="R369" s="76">
        <v>0.10458161976184721</v>
      </c>
      <c r="S369" s="31">
        <v>47</v>
      </c>
      <c r="T369" s="31"/>
      <c r="U369" s="76">
        <v>-0.74036355672360932</v>
      </c>
      <c r="V369" s="76">
        <v>-0.81081081081081074</v>
      </c>
      <c r="W369" s="76">
        <v>-0.80403462086390887</v>
      </c>
      <c r="X369" s="76">
        <v>-0.85587611642999428</v>
      </c>
      <c r="Y369" s="76">
        <v>-2.5708970454210056E-2</v>
      </c>
      <c r="Z369" s="76">
        <v>-2.5409836065573677E-2</v>
      </c>
      <c r="AA369" s="76">
        <v>-0.41666666666666663</v>
      </c>
      <c r="AB369" s="76">
        <v>-0.40424923391215528</v>
      </c>
      <c r="AC369" s="76">
        <v>2.1287027579162565E-2</v>
      </c>
      <c r="AD369" s="142"/>
      <c r="AE369" s="142"/>
      <c r="AF369" s="142"/>
    </row>
    <row r="370" spans="1:32" x14ac:dyDescent="0.35">
      <c r="A370" t="s">
        <v>81</v>
      </c>
      <c r="B370" t="s">
        <v>522</v>
      </c>
      <c r="C370" s="31">
        <v>4</v>
      </c>
      <c r="D370" s="31">
        <v>33</v>
      </c>
      <c r="E370" s="72">
        <v>6</v>
      </c>
      <c r="F370" s="31">
        <v>36</v>
      </c>
      <c r="G370" s="73">
        <v>234.62999999999997</v>
      </c>
      <c r="H370" s="31">
        <v>1442.53</v>
      </c>
      <c r="I370" s="72">
        <v>52.889999999999993</v>
      </c>
      <c r="J370" s="72">
        <v>364.33000000000038</v>
      </c>
      <c r="K370" s="31">
        <v>360.14285714285717</v>
      </c>
      <c r="L370" s="31">
        <v>1085.8571428571429</v>
      </c>
      <c r="M370" s="74">
        <v>60.023809523809526</v>
      </c>
      <c r="N370" s="74">
        <v>29.884169884169886</v>
      </c>
      <c r="O370" s="75">
        <v>39.104999999999997</v>
      </c>
      <c r="P370" s="75">
        <v>40.070277777777775</v>
      </c>
      <c r="Q370" s="76">
        <v>0.22541874440608617</v>
      </c>
      <c r="R370" s="76">
        <v>0.24547396222855589</v>
      </c>
      <c r="S370" s="31">
        <v>3</v>
      </c>
      <c r="T370" s="31"/>
      <c r="U370" s="76">
        <v>-0.66833311406393892</v>
      </c>
      <c r="V370" s="76">
        <v>-0.83333333333333337</v>
      </c>
      <c r="W370" s="76">
        <v>-0.83734827005330914</v>
      </c>
      <c r="X370" s="76">
        <v>-0.85015299184043536</v>
      </c>
      <c r="Y370" s="76">
        <v>-1.2148623710450113E-2</v>
      </c>
      <c r="Z370" s="76">
        <v>-1.2147335423197347E-2</v>
      </c>
      <c r="AA370" s="76">
        <v>-0.5</v>
      </c>
      <c r="AB370" s="76">
        <v>-0.53065551799323873</v>
      </c>
      <c r="AC370" s="76">
        <v>-6.1311035986477469E-2</v>
      </c>
      <c r="AD370" s="142"/>
      <c r="AE370" s="142"/>
      <c r="AF370" s="142"/>
    </row>
    <row r="371" spans="1:32" x14ac:dyDescent="0.35">
      <c r="A371" t="s">
        <v>81</v>
      </c>
      <c r="B371" t="s">
        <v>541</v>
      </c>
      <c r="C371" s="31">
        <v>2</v>
      </c>
      <c r="D371" s="31"/>
      <c r="E371" s="72">
        <v>2</v>
      </c>
      <c r="F371" s="31"/>
      <c r="G371" s="73">
        <v>216.66</v>
      </c>
      <c r="H371" s="31"/>
      <c r="I371" s="72">
        <v>123.1</v>
      </c>
      <c r="J371" s="72"/>
      <c r="K371" s="31">
        <v>33.571428571428569</v>
      </c>
      <c r="L371" s="31">
        <v>18</v>
      </c>
      <c r="M371" s="74">
        <v>16.785714285714285</v>
      </c>
      <c r="N371" s="74"/>
      <c r="O371" s="75">
        <v>108.33</v>
      </c>
      <c r="P371" s="75"/>
      <c r="Q371" s="76">
        <v>0.56817132834856454</v>
      </c>
      <c r="R371" s="76"/>
      <c r="S371" s="31">
        <v>61</v>
      </c>
      <c r="T371" s="31"/>
      <c r="U371" s="76">
        <v>-0.5</v>
      </c>
      <c r="V371" s="76"/>
      <c r="W371" s="76"/>
      <c r="X371" s="76"/>
      <c r="Y371" s="76">
        <v>-4.5154698806457838E-2</v>
      </c>
      <c r="Z371" s="76">
        <v>-3.688524590163933E-2</v>
      </c>
      <c r="AA371" s="76">
        <v>0</v>
      </c>
      <c r="AB371" s="76">
        <v>4.6157396722756872E-5</v>
      </c>
      <c r="AC371" s="76">
        <v>4.6157396722756872E-5</v>
      </c>
      <c r="AD371" s="142"/>
      <c r="AE371" s="142"/>
      <c r="AF371" s="142"/>
    </row>
    <row r="372" spans="1:32" x14ac:dyDescent="0.35">
      <c r="A372" t="s">
        <v>81</v>
      </c>
      <c r="B372" t="s">
        <v>534</v>
      </c>
      <c r="C372" s="31">
        <v>3</v>
      </c>
      <c r="D372" s="31">
        <v>3</v>
      </c>
      <c r="E372" s="72">
        <v>4</v>
      </c>
      <c r="F372" s="31">
        <v>5</v>
      </c>
      <c r="G372" s="73">
        <v>208.31</v>
      </c>
      <c r="H372" s="31">
        <v>57.980000000000004</v>
      </c>
      <c r="I372" s="72">
        <v>99.61</v>
      </c>
      <c r="J372" s="72">
        <v>6.4200000000000017</v>
      </c>
      <c r="K372" s="31">
        <v>63.285714285714285</v>
      </c>
      <c r="L372" s="31">
        <v>353.57142857142856</v>
      </c>
      <c r="M372" s="74">
        <v>15.821428571428571</v>
      </c>
      <c r="N372" s="74">
        <v>72.114285714285714</v>
      </c>
      <c r="O372" s="75">
        <v>52.077500000000001</v>
      </c>
      <c r="P372" s="75">
        <v>11.596</v>
      </c>
      <c r="Q372" s="76">
        <v>0.47818155633430942</v>
      </c>
      <c r="R372" s="76">
        <v>0.11072783718523631</v>
      </c>
      <c r="S372" s="31">
        <v>213.85714285714286</v>
      </c>
      <c r="T372" s="31"/>
      <c r="U372" s="76">
        <v>-0.82383838383838381</v>
      </c>
      <c r="V372" s="76">
        <v>-0.19999999999999996</v>
      </c>
      <c r="W372" s="76">
        <v>2.5927906174542943</v>
      </c>
      <c r="X372" s="76">
        <v>14.515576323987537</v>
      </c>
      <c r="Y372" s="76">
        <v>-1.6750912278138519E-2</v>
      </c>
      <c r="Z372" s="76">
        <v>-3.6956521739130332E-2</v>
      </c>
      <c r="AA372" s="76">
        <v>0.33333333333333326</v>
      </c>
      <c r="AB372" s="76">
        <v>2.1259003601440578</v>
      </c>
      <c r="AC372" s="76">
        <v>1.3444252701080432</v>
      </c>
      <c r="AD372" s="142"/>
      <c r="AE372" s="142"/>
      <c r="AF372" s="142"/>
    </row>
    <row r="373" spans="1:32" x14ac:dyDescent="0.35">
      <c r="A373" t="s">
        <v>81</v>
      </c>
      <c r="B373" t="s">
        <v>524</v>
      </c>
      <c r="C373" s="31">
        <v>5</v>
      </c>
      <c r="D373" s="31">
        <v>22</v>
      </c>
      <c r="E373" s="72">
        <v>6</v>
      </c>
      <c r="F373" s="31">
        <v>25</v>
      </c>
      <c r="G373" s="73">
        <v>149.94</v>
      </c>
      <c r="H373" s="31">
        <v>579.50000000000011</v>
      </c>
      <c r="I373" s="72">
        <v>43.44</v>
      </c>
      <c r="J373" s="72">
        <v>148.98000000000013</v>
      </c>
      <c r="K373" s="31">
        <v>82.142857142857139</v>
      </c>
      <c r="L373" s="31">
        <v>591.28571428571433</v>
      </c>
      <c r="M373" s="74">
        <v>13.69047619047619</v>
      </c>
      <c r="N373" s="74">
        <v>22.857142857142858</v>
      </c>
      <c r="O373" s="75">
        <v>24.99</v>
      </c>
      <c r="P373" s="75">
        <v>23.180000000000003</v>
      </c>
      <c r="Q373" s="76">
        <v>0.28971588635454182</v>
      </c>
      <c r="R373" s="76">
        <v>0.23714244782961671</v>
      </c>
      <c r="S373" s="31"/>
      <c r="T373" s="31"/>
      <c r="U373" s="76">
        <v>-0.85286301038898282</v>
      </c>
      <c r="V373" s="76">
        <v>-0.76</v>
      </c>
      <c r="W373" s="76">
        <v>-0.74125970664365837</v>
      </c>
      <c r="X373" s="76">
        <v>-0.68000000000000027</v>
      </c>
      <c r="Y373" s="76">
        <v>-9.8509085681028896E-2</v>
      </c>
      <c r="Z373" s="76">
        <v>-9.874608150470221E-2</v>
      </c>
      <c r="AA373" s="76">
        <v>0.19999999999999996</v>
      </c>
      <c r="AB373" s="76">
        <v>-3.2270556344391355E-2</v>
      </c>
      <c r="AC373" s="76">
        <v>-0.19355879695365952</v>
      </c>
      <c r="AD373" s="142"/>
      <c r="AE373" s="142"/>
      <c r="AF373" s="142"/>
    </row>
    <row r="374" spans="1:32" x14ac:dyDescent="0.35">
      <c r="A374" t="s">
        <v>81</v>
      </c>
      <c r="B374" t="s">
        <v>783</v>
      </c>
      <c r="C374" s="31">
        <v>2</v>
      </c>
      <c r="D374" s="31"/>
      <c r="E374" s="72">
        <v>2</v>
      </c>
      <c r="F374" s="31"/>
      <c r="G374" s="73">
        <v>133.32</v>
      </c>
      <c r="H374" s="31"/>
      <c r="I374" s="72">
        <v>41.46</v>
      </c>
      <c r="J374" s="72"/>
      <c r="K374" s="31">
        <v>20.428571428571427</v>
      </c>
      <c r="L374" s="31"/>
      <c r="M374" s="74">
        <v>10.214285714285714</v>
      </c>
      <c r="N374" s="74"/>
      <c r="O374" s="75">
        <v>66.66</v>
      </c>
      <c r="P374" s="75"/>
      <c r="Q374" s="76">
        <v>0.310981098109811</v>
      </c>
      <c r="R374" s="76"/>
      <c r="S374" s="31"/>
      <c r="T374" s="31"/>
      <c r="U374" s="76"/>
      <c r="V374" s="76"/>
      <c r="W374" s="76"/>
      <c r="X374" s="76"/>
      <c r="Y374" s="76">
        <v>-2.747235493349498E-2</v>
      </c>
      <c r="Z374" s="76">
        <v>-2.7210884353741527E-2</v>
      </c>
      <c r="AA374" s="76"/>
      <c r="AB374" s="76"/>
      <c r="AC374" s="76"/>
      <c r="AD374" s="142"/>
      <c r="AE374" s="142"/>
      <c r="AF374" s="142"/>
    </row>
    <row r="375" spans="1:32" x14ac:dyDescent="0.35">
      <c r="A375" t="s">
        <v>81</v>
      </c>
      <c r="B375" t="s">
        <v>540</v>
      </c>
      <c r="C375" s="31">
        <v>2</v>
      </c>
      <c r="D375" s="31">
        <v>1</v>
      </c>
      <c r="E375" s="72">
        <v>3</v>
      </c>
      <c r="F375" s="31">
        <v>3</v>
      </c>
      <c r="G375" s="73">
        <v>124.97999999999999</v>
      </c>
      <c r="H375" s="31">
        <v>24.99</v>
      </c>
      <c r="I375" s="72">
        <v>62.550000000000004</v>
      </c>
      <c r="J375" s="72">
        <v>-37.980000000000004</v>
      </c>
      <c r="K375" s="31">
        <v>-7.5714285714285712</v>
      </c>
      <c r="L375" s="31">
        <v>28.714285714285715</v>
      </c>
      <c r="M375" s="74">
        <v>-2.5238095238095237</v>
      </c>
      <c r="N375" s="74">
        <v>9.5714285714285712</v>
      </c>
      <c r="O375" s="75">
        <v>41.66</v>
      </c>
      <c r="P375" s="75">
        <v>8.33</v>
      </c>
      <c r="Q375" s="76">
        <v>0.50048007681229001</v>
      </c>
      <c r="R375" s="76">
        <v>-1.519807923169268</v>
      </c>
      <c r="S375" s="31">
        <v>137</v>
      </c>
      <c r="T375" s="31"/>
      <c r="U375" s="76">
        <v>-1.263681592039801</v>
      </c>
      <c r="V375" s="76">
        <v>0</v>
      </c>
      <c r="W375" s="76">
        <v>4.0012004801920771</v>
      </c>
      <c r="X375" s="76">
        <v>-2.6469194312796205</v>
      </c>
      <c r="Y375" s="76">
        <v>0.34490956949987295</v>
      </c>
      <c r="Z375" s="76">
        <v>0.51428571428571423</v>
      </c>
      <c r="AA375" s="76"/>
      <c r="AB375" s="76"/>
      <c r="AC375" s="76"/>
      <c r="AD375" s="142"/>
      <c r="AE375" s="142"/>
      <c r="AF375" s="142"/>
    </row>
    <row r="376" spans="1:32" x14ac:dyDescent="0.35">
      <c r="A376" t="s">
        <v>81</v>
      </c>
      <c r="B376" t="s">
        <v>543</v>
      </c>
      <c r="C376" s="31">
        <v>1</v>
      </c>
      <c r="D376" s="31"/>
      <c r="E376" s="72">
        <v>3</v>
      </c>
      <c r="F376" s="31"/>
      <c r="G376" s="73">
        <v>124.97</v>
      </c>
      <c r="H376" s="31"/>
      <c r="I376" s="72">
        <v>112.37</v>
      </c>
      <c r="J376" s="72"/>
      <c r="K376" s="31">
        <v>18.857142857142858</v>
      </c>
      <c r="L376" s="31">
        <v>40</v>
      </c>
      <c r="M376" s="74">
        <v>6.2857142857142856</v>
      </c>
      <c r="N376" s="74"/>
      <c r="O376" s="75">
        <v>41.656666666666666</v>
      </c>
      <c r="P376" s="75"/>
      <c r="Q376" s="76">
        <v>0.89917580219252624</v>
      </c>
      <c r="R376" s="76"/>
      <c r="S376" s="31">
        <v>12</v>
      </c>
      <c r="T376" s="31"/>
      <c r="U376" s="76">
        <v>-0.52857142857142858</v>
      </c>
      <c r="V376" s="76"/>
      <c r="W376" s="76"/>
      <c r="X376" s="76"/>
      <c r="Y376" s="76">
        <v>-0.10204081632653073</v>
      </c>
      <c r="Z376" s="76">
        <v>-0.10204081632653061</v>
      </c>
      <c r="AA376" s="76"/>
      <c r="AB376" s="76"/>
      <c r="AC376" s="76"/>
      <c r="AD376" s="142"/>
      <c r="AE376" s="142"/>
      <c r="AF376" s="142"/>
    </row>
    <row r="377" spans="1:32" x14ac:dyDescent="0.35">
      <c r="A377" t="s">
        <v>81</v>
      </c>
      <c r="B377" t="s">
        <v>518</v>
      </c>
      <c r="C377" s="31">
        <v>2</v>
      </c>
      <c r="D377" s="31">
        <v>41</v>
      </c>
      <c r="E377" s="72">
        <v>2</v>
      </c>
      <c r="F377" s="31">
        <v>49</v>
      </c>
      <c r="G377" s="73">
        <v>99.98</v>
      </c>
      <c r="H377" s="31">
        <v>3415.75</v>
      </c>
      <c r="I377" s="72">
        <v>54.03</v>
      </c>
      <c r="J377" s="72">
        <v>1613.5900000000001</v>
      </c>
      <c r="K377" s="31">
        <v>82.142857142857139</v>
      </c>
      <c r="L377" s="31">
        <v>878</v>
      </c>
      <c r="M377" s="74">
        <v>41.071428571428569</v>
      </c>
      <c r="N377" s="74">
        <v>18.504373177842563</v>
      </c>
      <c r="O377" s="75">
        <v>49.99</v>
      </c>
      <c r="P377" s="75">
        <v>69.709183673469383</v>
      </c>
      <c r="Q377" s="76">
        <v>0.54040808161632325</v>
      </c>
      <c r="R377" s="76">
        <v>0.47239698455683238</v>
      </c>
      <c r="S377" s="31">
        <v>114</v>
      </c>
      <c r="T377" s="31"/>
      <c r="U377" s="76">
        <v>-0.90644321509925152</v>
      </c>
      <c r="V377" s="76">
        <v>-0.95918367346938771</v>
      </c>
      <c r="W377" s="76">
        <v>-0.97072970797043112</v>
      </c>
      <c r="X377" s="76">
        <v>-0.96651565763297986</v>
      </c>
      <c r="Y377" s="76">
        <v>-9.8101328615421646E-2</v>
      </c>
      <c r="Z377" s="76">
        <v>-0.10714285714285721</v>
      </c>
      <c r="AA377" s="76">
        <v>-0.77777777777777779</v>
      </c>
      <c r="AB377" s="76">
        <v>-0.89092535619995195</v>
      </c>
      <c r="AC377" s="76">
        <v>-0.50916410289978398</v>
      </c>
      <c r="AD377" s="142"/>
      <c r="AE377" s="142"/>
      <c r="AF377" s="142"/>
    </row>
    <row r="378" spans="1:32" x14ac:dyDescent="0.35">
      <c r="A378" t="s">
        <v>81</v>
      </c>
      <c r="B378" t="s">
        <v>526</v>
      </c>
      <c r="C378" s="31">
        <v>1</v>
      </c>
      <c r="D378" s="31">
        <v>9</v>
      </c>
      <c r="E378" s="72">
        <v>1</v>
      </c>
      <c r="F378" s="31">
        <v>9</v>
      </c>
      <c r="G378" s="73">
        <v>41.65</v>
      </c>
      <c r="H378" s="31">
        <v>377.01999999999992</v>
      </c>
      <c r="I378" s="72">
        <v>13.58</v>
      </c>
      <c r="J378" s="72">
        <v>120.6699999999999</v>
      </c>
      <c r="K378" s="31">
        <v>15.142857142857142</v>
      </c>
      <c r="L378" s="31">
        <v>261</v>
      </c>
      <c r="M378" s="74">
        <v>15.142857142857142</v>
      </c>
      <c r="N378" s="74">
        <v>29.111111111111111</v>
      </c>
      <c r="O378" s="75">
        <v>41.65</v>
      </c>
      <c r="P378" s="75">
        <v>41.891111111111101</v>
      </c>
      <c r="Q378" s="76">
        <v>0.32605042016806723</v>
      </c>
      <c r="R378" s="76">
        <v>0.32006259614874522</v>
      </c>
      <c r="S378" s="31">
        <v>89</v>
      </c>
      <c r="T378" s="31"/>
      <c r="U378" s="76">
        <v>-0.94198139025725236</v>
      </c>
      <c r="V378" s="76">
        <v>-0.88888888888888884</v>
      </c>
      <c r="W378" s="76">
        <v>-0.88952840698106195</v>
      </c>
      <c r="X378" s="76">
        <v>-0.88746167232949358</v>
      </c>
      <c r="Y378" s="76">
        <v>-9.6264607885665376E-2</v>
      </c>
      <c r="Z378" s="76">
        <v>-9.4017094017094127E-2</v>
      </c>
      <c r="AA378" s="76">
        <v>0</v>
      </c>
      <c r="AB378" s="76">
        <v>-2.4003840614494898E-4</v>
      </c>
      <c r="AC378" s="76">
        <v>-2.4003840614494898E-4</v>
      </c>
      <c r="AD378" s="142"/>
      <c r="AE378" s="142"/>
      <c r="AF378" s="142"/>
    </row>
    <row r="379" spans="1:32" x14ac:dyDescent="0.35">
      <c r="A379" t="s">
        <v>81</v>
      </c>
      <c r="B379" t="s">
        <v>536</v>
      </c>
      <c r="C379" s="31">
        <v>1</v>
      </c>
      <c r="D379" s="31"/>
      <c r="E379" s="72">
        <v>1</v>
      </c>
      <c r="F379" s="31"/>
      <c r="G379" s="73">
        <v>33.32</v>
      </c>
      <c r="H379" s="31"/>
      <c r="I379" s="72">
        <v>18.13</v>
      </c>
      <c r="J379" s="72"/>
      <c r="K379" s="31">
        <v>19.285714285714285</v>
      </c>
      <c r="L379" s="31">
        <v>52</v>
      </c>
      <c r="M379" s="74">
        <v>19.285714285714285</v>
      </c>
      <c r="N379" s="74"/>
      <c r="O379" s="75">
        <v>33.32</v>
      </c>
      <c r="P379" s="75"/>
      <c r="Q379" s="76">
        <v>0.54411764705882348</v>
      </c>
      <c r="R379" s="76"/>
      <c r="S379" s="31">
        <v>11</v>
      </c>
      <c r="T379" s="31"/>
      <c r="U379" s="76">
        <v>-0.62912087912087911</v>
      </c>
      <c r="V379" s="76"/>
      <c r="W379" s="76"/>
      <c r="X379" s="76"/>
      <c r="Y379" s="76">
        <v>-7.0385724971974373E-2</v>
      </c>
      <c r="Z379" s="76">
        <v>-6.8965517241379448E-2</v>
      </c>
      <c r="AA379" s="76">
        <v>0</v>
      </c>
      <c r="AB379" s="76">
        <v>-0.20019203072491587</v>
      </c>
      <c r="AC379" s="76">
        <v>-0.20019203072491587</v>
      </c>
      <c r="AD379" s="142"/>
      <c r="AE379" s="142"/>
      <c r="AF379" s="142"/>
    </row>
    <row r="380" spans="1:32" x14ac:dyDescent="0.35">
      <c r="A380" t="s">
        <v>81</v>
      </c>
      <c r="B380" t="s">
        <v>528</v>
      </c>
      <c r="C380" s="31"/>
      <c r="D380" s="31">
        <v>1</v>
      </c>
      <c r="E380" s="72"/>
      <c r="F380" s="31">
        <v>1</v>
      </c>
      <c r="G380" s="73"/>
      <c r="H380" s="31">
        <v>479.16</v>
      </c>
      <c r="I380" s="72"/>
      <c r="J380" s="72">
        <v>105.41000000000003</v>
      </c>
      <c r="K380" s="31">
        <v>3</v>
      </c>
      <c r="L380" s="31">
        <v>13</v>
      </c>
      <c r="M380" s="74"/>
      <c r="N380" s="74">
        <v>13</v>
      </c>
      <c r="O380" s="75"/>
      <c r="P380" s="75">
        <v>479.16</v>
      </c>
      <c r="Q380" s="76"/>
      <c r="R380" s="76">
        <v>0.21998914767509814</v>
      </c>
      <c r="S380" s="31">
        <v>1</v>
      </c>
      <c r="T380" s="31"/>
      <c r="U380" s="76">
        <v>-0.76923076923076916</v>
      </c>
      <c r="V380" s="76"/>
      <c r="W380" s="76"/>
      <c r="X380" s="76"/>
      <c r="Y380" s="76">
        <v>0</v>
      </c>
      <c r="Z380" s="76">
        <v>0</v>
      </c>
      <c r="AA380" s="76"/>
      <c r="AB380" s="76"/>
      <c r="AC380" s="76"/>
      <c r="AD380" s="142"/>
      <c r="AE380" s="142"/>
      <c r="AF380" s="142"/>
    </row>
    <row r="381" spans="1:32" x14ac:dyDescent="0.35">
      <c r="A381" t="s">
        <v>81</v>
      </c>
      <c r="B381" t="s">
        <v>548</v>
      </c>
      <c r="C381" s="31"/>
      <c r="D381" s="31"/>
      <c r="E381" s="72"/>
      <c r="F381" s="31"/>
      <c r="G381" s="73"/>
      <c r="H381" s="31"/>
      <c r="I381" s="72"/>
      <c r="J381" s="72"/>
      <c r="K381" s="31"/>
      <c r="L381" s="31">
        <v>1</v>
      </c>
      <c r="M381" s="74"/>
      <c r="N381" s="74"/>
      <c r="O381" s="75"/>
      <c r="P381" s="75"/>
      <c r="Q381" s="76"/>
      <c r="R381" s="76"/>
      <c r="S381" s="31"/>
      <c r="T381" s="31"/>
      <c r="U381" s="76"/>
      <c r="V381" s="76"/>
      <c r="W381" s="76"/>
      <c r="X381" s="76"/>
      <c r="Y381" s="76"/>
      <c r="Z381" s="76"/>
      <c r="AA381" s="76"/>
      <c r="AB381" s="76"/>
      <c r="AC381" s="76"/>
      <c r="AD381" s="142"/>
      <c r="AE381" s="142"/>
      <c r="AF381" s="142"/>
    </row>
    <row r="382" spans="1:32" x14ac:dyDescent="0.35">
      <c r="A382" t="s">
        <v>81</v>
      </c>
      <c r="B382" t="s">
        <v>516</v>
      </c>
      <c r="C382" s="31"/>
      <c r="D382" s="31">
        <v>38</v>
      </c>
      <c r="E382" s="72"/>
      <c r="F382" s="31">
        <v>40</v>
      </c>
      <c r="G382" s="73"/>
      <c r="H382" s="31">
        <v>9121.5999999999967</v>
      </c>
      <c r="I382" s="72"/>
      <c r="J382" s="72">
        <v>5921.7199999999966</v>
      </c>
      <c r="K382" s="31">
        <v>25</v>
      </c>
      <c r="L382" s="31">
        <v>523.85714285714289</v>
      </c>
      <c r="M382" s="74"/>
      <c r="N382" s="74">
        <v>13.369337979094077</v>
      </c>
      <c r="O382" s="75"/>
      <c r="P382" s="75">
        <v>228.03999999999991</v>
      </c>
      <c r="Q382" s="76"/>
      <c r="R382" s="76">
        <v>0.62769382102566318</v>
      </c>
      <c r="S382" s="31">
        <v>77.285714285714292</v>
      </c>
      <c r="T382" s="31"/>
      <c r="U382" s="76">
        <v>-0.95418598309244618</v>
      </c>
      <c r="V382" s="76"/>
      <c r="W382" s="76"/>
      <c r="X382" s="76"/>
      <c r="Y382" s="76">
        <v>-0.11606837477875642</v>
      </c>
      <c r="Z382" s="76">
        <v>-0.12060301507537685</v>
      </c>
      <c r="AA382" s="76"/>
      <c r="AB382" s="76"/>
      <c r="AC382" s="76"/>
      <c r="AD382" s="142"/>
      <c r="AE382" s="142"/>
      <c r="AF382" s="142"/>
    </row>
    <row r="383" spans="1:32" x14ac:dyDescent="0.35">
      <c r="A383" t="s">
        <v>81</v>
      </c>
      <c r="B383" t="s">
        <v>532</v>
      </c>
      <c r="C383" s="31"/>
      <c r="D383" s="31">
        <v>4</v>
      </c>
      <c r="E383" s="72"/>
      <c r="F383" s="31">
        <v>4</v>
      </c>
      <c r="G383" s="73"/>
      <c r="H383" s="31">
        <v>152.5</v>
      </c>
      <c r="I383" s="72"/>
      <c r="J383" s="72">
        <v>29.580000000000013</v>
      </c>
      <c r="K383" s="31">
        <v>6</v>
      </c>
      <c r="L383" s="31">
        <v>93.571428571428569</v>
      </c>
      <c r="M383" s="74"/>
      <c r="N383" s="74">
        <v>23.642857142857142</v>
      </c>
      <c r="O383" s="75"/>
      <c r="P383" s="75">
        <v>38.125</v>
      </c>
      <c r="Q383" s="76"/>
      <c r="R383" s="76">
        <v>0.19396721311475418</v>
      </c>
      <c r="S383" s="31">
        <v>89</v>
      </c>
      <c r="T383" s="31"/>
      <c r="U383" s="76">
        <v>-0.93587786259541983</v>
      </c>
      <c r="V383" s="76"/>
      <c r="W383" s="76"/>
      <c r="X383" s="76"/>
      <c r="Y383" s="76">
        <v>-0.24386788854867003</v>
      </c>
      <c r="Z383" s="76">
        <v>-0.22222222222222221</v>
      </c>
      <c r="AA383" s="76"/>
      <c r="AB383" s="76"/>
      <c r="AC383" s="76"/>
      <c r="AD383" s="142"/>
      <c r="AE383" s="142"/>
      <c r="AF383" s="142"/>
    </row>
    <row r="384" spans="1:32" x14ac:dyDescent="0.35">
      <c r="A384" t="s">
        <v>81</v>
      </c>
      <c r="B384" t="s">
        <v>550</v>
      </c>
      <c r="C384" s="31"/>
      <c r="D384" s="31"/>
      <c r="E384" s="72"/>
      <c r="F384" s="31"/>
      <c r="G384" s="73"/>
      <c r="H384" s="31"/>
      <c r="I384" s="72"/>
      <c r="J384" s="72"/>
      <c r="K384" s="31">
        <v>5</v>
      </c>
      <c r="L384" s="31">
        <v>1</v>
      </c>
      <c r="M384" s="74"/>
      <c r="N384" s="74"/>
      <c r="O384" s="75"/>
      <c r="P384" s="75"/>
      <c r="Q384" s="76"/>
      <c r="R384" s="76"/>
      <c r="S384" s="31">
        <v>9</v>
      </c>
      <c r="T384" s="31"/>
      <c r="U384" s="76">
        <v>4</v>
      </c>
      <c r="V384" s="76"/>
      <c r="W384" s="76"/>
      <c r="X384" s="76"/>
      <c r="Y384" s="76">
        <v>-0.5</v>
      </c>
      <c r="Z384" s="76">
        <v>-0.16666666666666663</v>
      </c>
      <c r="AA384" s="76"/>
      <c r="AB384" s="76"/>
      <c r="AC384" s="76"/>
      <c r="AD384" s="142"/>
      <c r="AE384" s="142"/>
      <c r="AF384" s="142"/>
    </row>
    <row r="385" spans="1:32" x14ac:dyDescent="0.35">
      <c r="A385" t="s">
        <v>81</v>
      </c>
      <c r="B385" t="s">
        <v>785</v>
      </c>
      <c r="C385" s="31"/>
      <c r="D385" s="31"/>
      <c r="E385" s="72"/>
      <c r="F385" s="31"/>
      <c r="G385" s="73"/>
      <c r="H385" s="31"/>
      <c r="I385" s="72"/>
      <c r="J385" s="72"/>
      <c r="K385" s="31">
        <v>0</v>
      </c>
      <c r="L385" s="31"/>
      <c r="M385" s="74"/>
      <c r="N385" s="74"/>
      <c r="O385" s="75"/>
      <c r="P385" s="75"/>
      <c r="Q385" s="76"/>
      <c r="R385" s="76"/>
      <c r="S385" s="31"/>
      <c r="T385" s="31"/>
      <c r="U385" s="76"/>
      <c r="V385" s="76"/>
      <c r="W385" s="76"/>
      <c r="X385" s="76"/>
      <c r="Y385" s="76"/>
      <c r="Z385" s="76"/>
      <c r="AA385" s="76"/>
      <c r="AB385" s="76"/>
      <c r="AC385" s="76"/>
      <c r="AD385" s="142"/>
      <c r="AE385" s="142"/>
      <c r="AF385" s="142"/>
    </row>
    <row r="386" spans="1:32" x14ac:dyDescent="0.35">
      <c r="A386" t="s">
        <v>81</v>
      </c>
      <c r="B386" t="s">
        <v>555</v>
      </c>
      <c r="C386" s="31"/>
      <c r="D386" s="31"/>
      <c r="E386" s="72"/>
      <c r="F386" s="31"/>
      <c r="G386" s="73"/>
      <c r="H386" s="31"/>
      <c r="I386" s="72"/>
      <c r="J386" s="72"/>
      <c r="K386" s="31">
        <v>2</v>
      </c>
      <c r="L386" s="31">
        <v>5</v>
      </c>
      <c r="M386" s="74"/>
      <c r="N386" s="74"/>
      <c r="O386" s="75"/>
      <c r="P386" s="75"/>
      <c r="Q386" s="76"/>
      <c r="R386" s="76"/>
      <c r="S386" s="31">
        <v>2</v>
      </c>
      <c r="T386" s="31"/>
      <c r="U386" s="76">
        <v>-0.6</v>
      </c>
      <c r="V386" s="76"/>
      <c r="W386" s="76"/>
      <c r="X386" s="76"/>
      <c r="Y386" s="76">
        <v>0</v>
      </c>
      <c r="Z386" s="76">
        <v>0</v>
      </c>
      <c r="AA386" s="76"/>
      <c r="AB386" s="76"/>
      <c r="AC386" s="76"/>
      <c r="AD386" s="142"/>
      <c r="AE386" s="142"/>
      <c r="AF386" s="142"/>
    </row>
    <row r="387" spans="1:32" x14ac:dyDescent="0.35">
      <c r="A387" t="s">
        <v>81</v>
      </c>
      <c r="B387" t="s">
        <v>554</v>
      </c>
      <c r="C387" s="31"/>
      <c r="D387" s="31"/>
      <c r="E387" s="72"/>
      <c r="F387" s="31"/>
      <c r="G387" s="73"/>
      <c r="H387" s="31"/>
      <c r="I387" s="72"/>
      <c r="J387" s="72"/>
      <c r="K387" s="31">
        <v>2</v>
      </c>
      <c r="L387" s="31">
        <v>1</v>
      </c>
      <c r="M387" s="74"/>
      <c r="N387" s="74"/>
      <c r="O387" s="75"/>
      <c r="P387" s="75"/>
      <c r="Q387" s="76"/>
      <c r="R387" s="76"/>
      <c r="S387" s="31"/>
      <c r="T387" s="31"/>
      <c r="U387" s="76">
        <v>1</v>
      </c>
      <c r="V387" s="76"/>
      <c r="W387" s="76"/>
      <c r="X387" s="76"/>
      <c r="Y387" s="76">
        <v>0</v>
      </c>
      <c r="Z387" s="76">
        <v>0</v>
      </c>
      <c r="AA387" s="76"/>
      <c r="AB387" s="76"/>
      <c r="AC387" s="76"/>
      <c r="AD387" s="142"/>
      <c r="AE387" s="142"/>
      <c r="AF387" s="142"/>
    </row>
    <row r="388" spans="1:32" x14ac:dyDescent="0.35">
      <c r="A388" t="s">
        <v>81</v>
      </c>
      <c r="B388" t="s">
        <v>537</v>
      </c>
      <c r="C388" s="31"/>
      <c r="D388" s="31">
        <v>2</v>
      </c>
      <c r="E388" s="72"/>
      <c r="F388" s="31">
        <v>2</v>
      </c>
      <c r="G388" s="73"/>
      <c r="H388" s="31">
        <v>83.99</v>
      </c>
      <c r="I388" s="72"/>
      <c r="J388" s="72">
        <v>-239.17000000000002</v>
      </c>
      <c r="K388" s="31">
        <v>1</v>
      </c>
      <c r="L388" s="31">
        <v>8.8571428571428577</v>
      </c>
      <c r="M388" s="74"/>
      <c r="N388" s="74">
        <v>4.4285714285714288</v>
      </c>
      <c r="O388" s="75"/>
      <c r="P388" s="75">
        <v>41.994999999999997</v>
      </c>
      <c r="Q388" s="76"/>
      <c r="R388" s="76">
        <v>-2.8476009048696276</v>
      </c>
      <c r="S388" s="31"/>
      <c r="T388" s="31"/>
      <c r="U388" s="76">
        <v>-0.88709677419354838</v>
      </c>
      <c r="V388" s="76"/>
      <c r="W388" s="76"/>
      <c r="X388" s="76"/>
      <c r="Y388" s="76">
        <v>0</v>
      </c>
      <c r="Z388" s="76">
        <v>0</v>
      </c>
      <c r="AA388" s="76"/>
      <c r="AB388" s="76"/>
      <c r="AC388" s="76"/>
      <c r="AD388" s="142"/>
      <c r="AE388" s="142"/>
      <c r="AF388" s="142"/>
    </row>
    <row r="389" spans="1:32" x14ac:dyDescent="0.35">
      <c r="A389" t="s">
        <v>81</v>
      </c>
      <c r="B389" t="s">
        <v>547</v>
      </c>
      <c r="C389" s="31"/>
      <c r="D389" s="31"/>
      <c r="E389" s="72"/>
      <c r="F389" s="31"/>
      <c r="G389" s="73"/>
      <c r="H389" s="31"/>
      <c r="I389" s="72"/>
      <c r="J389" s="72"/>
      <c r="K389" s="31">
        <v>-7</v>
      </c>
      <c r="L389" s="31">
        <v>-1</v>
      </c>
      <c r="M389" s="74"/>
      <c r="N389" s="74"/>
      <c r="O389" s="75"/>
      <c r="P389" s="75"/>
      <c r="Q389" s="76"/>
      <c r="R389" s="76"/>
      <c r="S389" s="31"/>
      <c r="T389" s="31"/>
      <c r="U389" s="76">
        <v>6</v>
      </c>
      <c r="V389" s="76"/>
      <c r="W389" s="76"/>
      <c r="X389" s="76"/>
      <c r="Y389" s="76">
        <v>0</v>
      </c>
      <c r="Z389" s="76">
        <v>0</v>
      </c>
      <c r="AA389" s="76"/>
      <c r="AB389" s="76"/>
      <c r="AC389" s="76"/>
      <c r="AD389" s="142"/>
      <c r="AE389" s="142"/>
      <c r="AF389" s="142"/>
    </row>
    <row r="390" spans="1:32" x14ac:dyDescent="0.35">
      <c r="A390" t="s">
        <v>81</v>
      </c>
      <c r="B390" t="s">
        <v>781</v>
      </c>
      <c r="C390" s="31"/>
      <c r="D390" s="31"/>
      <c r="E390" s="72"/>
      <c r="F390" s="31"/>
      <c r="G390" s="73"/>
      <c r="H390" s="31"/>
      <c r="I390" s="72"/>
      <c r="J390" s="72"/>
      <c r="K390" s="31">
        <v>29</v>
      </c>
      <c r="L390" s="31"/>
      <c r="M390" s="74"/>
      <c r="N390" s="74"/>
      <c r="O390" s="75"/>
      <c r="P390" s="75"/>
      <c r="Q390" s="76"/>
      <c r="R390" s="76"/>
      <c r="S390" s="31"/>
      <c r="T390" s="31"/>
      <c r="U390" s="76"/>
      <c r="V390" s="76"/>
      <c r="W390" s="76"/>
      <c r="X390" s="76"/>
      <c r="Y390" s="76">
        <v>-0.13617021276595731</v>
      </c>
      <c r="Z390" s="76">
        <v>-0.13617021276595742</v>
      </c>
      <c r="AA390" s="76"/>
      <c r="AB390" s="76"/>
      <c r="AC390" s="76"/>
      <c r="AD390" s="142"/>
      <c r="AE390" s="142"/>
      <c r="AF390" s="142"/>
    </row>
    <row r="391" spans="1:32" x14ac:dyDescent="0.35">
      <c r="A391" t="s">
        <v>81</v>
      </c>
      <c r="B391" t="s">
        <v>544</v>
      </c>
      <c r="C391" s="31"/>
      <c r="D391" s="31"/>
      <c r="E391" s="72"/>
      <c r="F391" s="31"/>
      <c r="G391" s="73"/>
      <c r="H391" s="31"/>
      <c r="I391" s="72"/>
      <c r="J391" s="72"/>
      <c r="K391" s="31"/>
      <c r="L391" s="31"/>
      <c r="M391" s="74"/>
      <c r="N391" s="74"/>
      <c r="O391" s="75"/>
      <c r="P391" s="75"/>
      <c r="Q391" s="76"/>
      <c r="R391" s="76"/>
      <c r="S391" s="31">
        <v>10</v>
      </c>
      <c r="T391" s="31"/>
      <c r="U391" s="76"/>
      <c r="V391" s="76"/>
      <c r="W391" s="76"/>
      <c r="X391" s="76"/>
      <c r="Y391" s="76"/>
      <c r="Z391" s="76"/>
      <c r="AA391" s="76"/>
      <c r="AB391" s="76"/>
      <c r="AC391" s="76"/>
      <c r="AD391" s="142"/>
      <c r="AE391" s="142"/>
      <c r="AF391" s="142"/>
    </row>
    <row r="392" spans="1:32" x14ac:dyDescent="0.35">
      <c r="A392" t="s">
        <v>81</v>
      </c>
      <c r="B392" t="s">
        <v>535</v>
      </c>
      <c r="C392" s="31"/>
      <c r="D392" s="31">
        <v>3</v>
      </c>
      <c r="E392" s="72"/>
      <c r="F392" s="31">
        <v>7</v>
      </c>
      <c r="G392" s="73"/>
      <c r="H392" s="31">
        <v>274.92999999999995</v>
      </c>
      <c r="I392" s="72"/>
      <c r="J392" s="72">
        <v>98.479999999999961</v>
      </c>
      <c r="K392" s="31">
        <v>36</v>
      </c>
      <c r="L392" s="31">
        <v>71.857142857142861</v>
      </c>
      <c r="M392" s="74"/>
      <c r="N392" s="74">
        <v>11.122448979591837</v>
      </c>
      <c r="O392" s="75"/>
      <c r="P392" s="75">
        <v>39.27571428571428</v>
      </c>
      <c r="Q392" s="76"/>
      <c r="R392" s="76">
        <v>0.35820026915942232</v>
      </c>
      <c r="S392" s="31">
        <v>69</v>
      </c>
      <c r="T392" s="31"/>
      <c r="U392" s="76">
        <v>-0.49900596421471177</v>
      </c>
      <c r="V392" s="76"/>
      <c r="W392" s="76"/>
      <c r="X392" s="76"/>
      <c r="Y392" s="76">
        <v>-2.7357753057576373E-2</v>
      </c>
      <c r="Z392" s="76">
        <v>-1.5625E-2</v>
      </c>
      <c r="AA392" s="76"/>
      <c r="AB392" s="76"/>
      <c r="AC392" s="76"/>
      <c r="AD392" s="142"/>
      <c r="AE392" s="142"/>
      <c r="AF392" s="142"/>
    </row>
    <row r="393" spans="1:32" x14ac:dyDescent="0.35">
      <c r="A393" t="s">
        <v>81</v>
      </c>
      <c r="B393" t="s">
        <v>782</v>
      </c>
      <c r="C393" s="31"/>
      <c r="D393" s="31"/>
      <c r="E393" s="72"/>
      <c r="F393" s="31"/>
      <c r="G393" s="73"/>
      <c r="H393" s="31"/>
      <c r="I393" s="72"/>
      <c r="J393" s="72"/>
      <c r="K393" s="31">
        <v>1</v>
      </c>
      <c r="L393" s="31"/>
      <c r="M393" s="74"/>
      <c r="N393" s="74"/>
      <c r="O393" s="75"/>
      <c r="P393" s="75"/>
      <c r="Q393" s="76"/>
      <c r="R393" s="76"/>
      <c r="S393" s="31"/>
      <c r="T393" s="31"/>
      <c r="U393" s="76"/>
      <c r="V393" s="76"/>
      <c r="W393" s="76"/>
      <c r="X393" s="76"/>
      <c r="Y393" s="76">
        <v>0</v>
      </c>
      <c r="Z393" s="76">
        <v>0</v>
      </c>
      <c r="AA393" s="76"/>
      <c r="AB393" s="76"/>
      <c r="AC393" s="76"/>
      <c r="AD393" s="142"/>
      <c r="AE393" s="142"/>
      <c r="AF393" s="142"/>
    </row>
    <row r="394" spans="1:32" x14ac:dyDescent="0.35">
      <c r="A394" t="s">
        <v>81</v>
      </c>
      <c r="B394" t="s">
        <v>531</v>
      </c>
      <c r="C394" s="31"/>
      <c r="D394" s="31">
        <v>4</v>
      </c>
      <c r="E394" s="72"/>
      <c r="F394" s="31">
        <v>4</v>
      </c>
      <c r="G394" s="73"/>
      <c r="H394" s="31">
        <v>240.82</v>
      </c>
      <c r="I394" s="72"/>
      <c r="J394" s="72">
        <v>41.550000000000011</v>
      </c>
      <c r="K394" s="31">
        <v>16</v>
      </c>
      <c r="L394" s="31">
        <v>80.285714285714292</v>
      </c>
      <c r="M394" s="74"/>
      <c r="N394" s="74">
        <v>20.321428571428573</v>
      </c>
      <c r="O394" s="75"/>
      <c r="P394" s="75">
        <v>60.204999999999998</v>
      </c>
      <c r="Q394" s="76"/>
      <c r="R394" s="76">
        <v>0.17253550369570639</v>
      </c>
      <c r="S394" s="31">
        <v>16</v>
      </c>
      <c r="T394" s="31"/>
      <c r="U394" s="76">
        <v>-0.81316725978647686</v>
      </c>
      <c r="V394" s="76"/>
      <c r="W394" s="76"/>
      <c r="X394" s="76"/>
      <c r="Y394" s="76">
        <v>0</v>
      </c>
      <c r="Z394" s="76">
        <v>0</v>
      </c>
      <c r="AA394" s="76"/>
      <c r="AB394" s="76"/>
      <c r="AC394" s="76"/>
      <c r="AD394" s="142"/>
      <c r="AE394" s="142"/>
      <c r="AF394" s="142"/>
    </row>
    <row r="395" spans="1:32" x14ac:dyDescent="0.35">
      <c r="A395" t="s">
        <v>81</v>
      </c>
      <c r="B395" t="s">
        <v>784</v>
      </c>
      <c r="C395" s="31"/>
      <c r="D395" s="31"/>
      <c r="E395" s="72"/>
      <c r="F395" s="31"/>
      <c r="G395" s="73"/>
      <c r="H395" s="31"/>
      <c r="I395" s="72"/>
      <c r="J395" s="72"/>
      <c r="K395" s="31"/>
      <c r="L395" s="31"/>
      <c r="M395" s="74"/>
      <c r="N395" s="74"/>
      <c r="O395" s="75"/>
      <c r="P395" s="75"/>
      <c r="Q395" s="76"/>
      <c r="R395" s="76"/>
      <c r="S395" s="31">
        <v>2</v>
      </c>
      <c r="T395" s="31"/>
      <c r="U395" s="76"/>
      <c r="V395" s="76"/>
      <c r="W395" s="76"/>
      <c r="X395" s="76"/>
      <c r="Y395" s="76"/>
      <c r="Z395" s="76"/>
      <c r="AA395" s="76"/>
      <c r="AB395" s="76"/>
      <c r="AC395" s="76"/>
      <c r="AD395" s="142"/>
      <c r="AE395" s="142"/>
      <c r="AF395" s="142"/>
    </row>
    <row r="396" spans="1:32" x14ac:dyDescent="0.35">
      <c r="A396" t="s">
        <v>81</v>
      </c>
      <c r="B396" t="s">
        <v>553</v>
      </c>
      <c r="C396" s="31"/>
      <c r="D396" s="31"/>
      <c r="E396" s="72"/>
      <c r="F396" s="31"/>
      <c r="G396" s="73"/>
      <c r="H396" s="31"/>
      <c r="I396" s="72"/>
      <c r="J396" s="72"/>
      <c r="K396" s="31"/>
      <c r="L396" s="31">
        <v>6</v>
      </c>
      <c r="M396" s="74"/>
      <c r="N396" s="74"/>
      <c r="O396" s="75"/>
      <c r="P396" s="75"/>
      <c r="Q396" s="76"/>
      <c r="R396" s="76"/>
      <c r="S396" s="31">
        <v>5</v>
      </c>
      <c r="T396" s="31"/>
      <c r="U396" s="76"/>
      <c r="V396" s="76"/>
      <c r="W396" s="76"/>
      <c r="X396" s="76"/>
      <c r="Y396" s="76"/>
      <c r="Z396" s="76"/>
      <c r="AA396" s="76"/>
      <c r="AB396" s="76"/>
      <c r="AC396" s="76"/>
      <c r="AD396" s="142"/>
      <c r="AE396" s="142"/>
      <c r="AF396" s="142"/>
    </row>
    <row r="397" spans="1:32" x14ac:dyDescent="0.35">
      <c r="A397" t="s">
        <v>81</v>
      </c>
      <c r="B397" t="s">
        <v>545</v>
      </c>
      <c r="C397" s="31"/>
      <c r="D397" s="31"/>
      <c r="E397" s="72"/>
      <c r="F397" s="31"/>
      <c r="G397" s="73"/>
      <c r="H397" s="31"/>
      <c r="I397" s="72"/>
      <c r="J397" s="72"/>
      <c r="K397" s="31">
        <v>3</v>
      </c>
      <c r="L397" s="31">
        <v>14</v>
      </c>
      <c r="M397" s="74"/>
      <c r="N397" s="74"/>
      <c r="O397" s="75"/>
      <c r="P397" s="75"/>
      <c r="Q397" s="76"/>
      <c r="R397" s="76"/>
      <c r="S397" s="31">
        <v>6</v>
      </c>
      <c r="T397" s="31"/>
      <c r="U397" s="76">
        <v>-0.7857142857142857</v>
      </c>
      <c r="V397" s="76"/>
      <c r="W397" s="76"/>
      <c r="X397" s="76"/>
      <c r="Y397" s="76">
        <v>0</v>
      </c>
      <c r="Z397" s="76">
        <v>0</v>
      </c>
      <c r="AA397" s="76"/>
      <c r="AB397" s="76"/>
      <c r="AC397" s="76"/>
      <c r="AD397" s="142"/>
      <c r="AE397" s="142"/>
      <c r="AF397" s="142"/>
    </row>
    <row r="398" spans="1:32" x14ac:dyDescent="0.35">
      <c r="A398" t="s">
        <v>81</v>
      </c>
      <c r="B398" t="s">
        <v>533</v>
      </c>
      <c r="C398" s="31"/>
      <c r="D398" s="31"/>
      <c r="E398" s="72"/>
      <c r="F398" s="31"/>
      <c r="G398" s="73"/>
      <c r="H398" s="31"/>
      <c r="I398" s="72"/>
      <c r="J398" s="72"/>
      <c r="K398" s="31">
        <v>3</v>
      </c>
      <c r="L398" s="31">
        <v>18</v>
      </c>
      <c r="M398" s="74"/>
      <c r="N398" s="74"/>
      <c r="O398" s="75"/>
      <c r="P398" s="75"/>
      <c r="Q398" s="76"/>
      <c r="R398" s="76"/>
      <c r="S398" s="31"/>
      <c r="T398" s="31"/>
      <c r="U398" s="76">
        <v>-0.83333333333333337</v>
      </c>
      <c r="V398" s="76"/>
      <c r="W398" s="76"/>
      <c r="X398" s="76"/>
      <c r="Y398" s="76">
        <v>-0.19230145748244065</v>
      </c>
      <c r="Z398" s="76">
        <v>-0.19230769230769229</v>
      </c>
      <c r="AA398" s="76"/>
      <c r="AB398" s="76"/>
      <c r="AC398" s="76"/>
      <c r="AD398" s="142"/>
      <c r="AE398" s="142"/>
      <c r="AF398" s="142"/>
    </row>
    <row r="399" spans="1:32" x14ac:dyDescent="0.35">
      <c r="A399" t="s">
        <v>81</v>
      </c>
      <c r="B399" t="s">
        <v>552</v>
      </c>
      <c r="C399" s="31"/>
      <c r="D399" s="31"/>
      <c r="E399" s="72"/>
      <c r="F399" s="31"/>
      <c r="G399" s="73"/>
      <c r="H399" s="31"/>
      <c r="I399" s="72"/>
      <c r="J399" s="72"/>
      <c r="K399" s="31">
        <v>1</v>
      </c>
      <c r="L399" s="31">
        <v>5</v>
      </c>
      <c r="M399" s="74"/>
      <c r="N399" s="74"/>
      <c r="O399" s="75"/>
      <c r="P399" s="75"/>
      <c r="Q399" s="76"/>
      <c r="R399" s="76"/>
      <c r="S399" s="31"/>
      <c r="T399" s="31"/>
      <c r="U399" s="76">
        <v>-0.8</v>
      </c>
      <c r="V399" s="76"/>
      <c r="W399" s="76"/>
      <c r="X399" s="76"/>
      <c r="Y399" s="76">
        <v>0</v>
      </c>
      <c r="Z399" s="76">
        <v>0</v>
      </c>
      <c r="AA399" s="76"/>
      <c r="AB399" s="76"/>
      <c r="AC399" s="76"/>
      <c r="AD399" s="142"/>
      <c r="AE399" s="142"/>
      <c r="AF399" s="142"/>
    </row>
    <row r="400" spans="1:32" x14ac:dyDescent="0.35">
      <c r="A400" t="s">
        <v>81</v>
      </c>
      <c r="B400" t="s">
        <v>551</v>
      </c>
      <c r="C400" s="31"/>
      <c r="D400" s="31"/>
      <c r="E400" s="72"/>
      <c r="F400" s="31"/>
      <c r="G400" s="73"/>
      <c r="H400" s="31"/>
      <c r="I400" s="72"/>
      <c r="J400" s="72"/>
      <c r="K400" s="31">
        <v>3</v>
      </c>
      <c r="L400" s="31">
        <v>7</v>
      </c>
      <c r="M400" s="74"/>
      <c r="N400" s="74"/>
      <c r="O400" s="75"/>
      <c r="P400" s="75"/>
      <c r="Q400" s="76"/>
      <c r="R400" s="76"/>
      <c r="S400" s="31">
        <v>16</v>
      </c>
      <c r="T400" s="31"/>
      <c r="U400" s="76">
        <v>-0.5714285714285714</v>
      </c>
      <c r="V400" s="76"/>
      <c r="W400" s="76"/>
      <c r="X400" s="76"/>
      <c r="Y400" s="76">
        <v>-0.14490853651969959</v>
      </c>
      <c r="Z400" s="76">
        <v>-0.19230769230769229</v>
      </c>
      <c r="AA400" s="76"/>
      <c r="AB400" s="76"/>
      <c r="AC400" s="76"/>
      <c r="AD400" s="142"/>
      <c r="AE400" s="142"/>
      <c r="AF400" s="142"/>
    </row>
    <row r="401" spans="1:32" x14ac:dyDescent="0.35">
      <c r="A401" t="s">
        <v>81</v>
      </c>
      <c r="B401" t="s">
        <v>538</v>
      </c>
      <c r="C401" s="31"/>
      <c r="D401" s="31"/>
      <c r="E401" s="72"/>
      <c r="F401" s="31"/>
      <c r="G401" s="73"/>
      <c r="H401" s="31"/>
      <c r="I401" s="72"/>
      <c r="J401" s="72"/>
      <c r="K401" s="31">
        <v>-1</v>
      </c>
      <c r="L401" s="31">
        <v>-1</v>
      </c>
      <c r="M401" s="74"/>
      <c r="N401" s="74"/>
      <c r="O401" s="75"/>
      <c r="P401" s="75"/>
      <c r="Q401" s="76"/>
      <c r="R401" s="76"/>
      <c r="S401" s="31">
        <v>4</v>
      </c>
      <c r="T401" s="31"/>
      <c r="U401" s="76">
        <v>0</v>
      </c>
      <c r="V401" s="76"/>
      <c r="W401" s="76"/>
      <c r="X401" s="76"/>
      <c r="Y401" s="76">
        <v>0</v>
      </c>
      <c r="Z401" s="76">
        <v>0</v>
      </c>
      <c r="AA401" s="76"/>
      <c r="AB401" s="76"/>
      <c r="AC401" s="76"/>
      <c r="AD401" s="142"/>
      <c r="AE401" s="142"/>
      <c r="AF401" s="142"/>
    </row>
    <row r="402" spans="1:32" x14ac:dyDescent="0.35">
      <c r="A402" t="s">
        <v>81</v>
      </c>
      <c r="B402" t="s">
        <v>549</v>
      </c>
      <c r="C402" s="31"/>
      <c r="D402" s="31"/>
      <c r="E402" s="72"/>
      <c r="F402" s="31"/>
      <c r="G402" s="73"/>
      <c r="H402" s="31"/>
      <c r="I402" s="72"/>
      <c r="J402" s="72"/>
      <c r="K402" s="31">
        <v>1</v>
      </c>
      <c r="L402" s="31">
        <v>2</v>
      </c>
      <c r="M402" s="74"/>
      <c r="N402" s="74"/>
      <c r="O402" s="75"/>
      <c r="P402" s="75"/>
      <c r="Q402" s="76"/>
      <c r="R402" s="76"/>
      <c r="S402" s="31"/>
      <c r="T402" s="31"/>
      <c r="U402" s="76">
        <v>-0.5</v>
      </c>
      <c r="V402" s="76"/>
      <c r="W402" s="76"/>
      <c r="X402" s="76"/>
      <c r="Y402" s="76">
        <v>-0.53609467455621296</v>
      </c>
      <c r="Z402" s="76">
        <v>-0.30000000000000004</v>
      </c>
      <c r="AA402" s="76"/>
      <c r="AB402" s="76"/>
      <c r="AC402" s="76"/>
      <c r="AD402" s="142"/>
      <c r="AE402" s="142"/>
      <c r="AF402" s="142"/>
    </row>
    <row r="403" spans="1:32" x14ac:dyDescent="0.35">
      <c r="A403" t="s">
        <v>81</v>
      </c>
      <c r="B403" t="s">
        <v>539</v>
      </c>
      <c r="C403" s="31"/>
      <c r="D403" s="31">
        <v>2</v>
      </c>
      <c r="E403" s="72"/>
      <c r="F403" s="31">
        <v>3</v>
      </c>
      <c r="G403" s="73"/>
      <c r="H403" s="31">
        <v>88.300000000000011</v>
      </c>
      <c r="I403" s="72"/>
      <c r="J403" s="72">
        <v>38.800000000000011</v>
      </c>
      <c r="K403" s="31">
        <v>5.7142857142857144</v>
      </c>
      <c r="L403" s="31">
        <v>40.428571428571431</v>
      </c>
      <c r="M403" s="74"/>
      <c r="N403" s="74">
        <v>14.142857142857144</v>
      </c>
      <c r="O403" s="75"/>
      <c r="P403" s="75">
        <v>29.433333333333337</v>
      </c>
      <c r="Q403" s="76"/>
      <c r="R403" s="76">
        <v>0.4394110985277464</v>
      </c>
      <c r="S403" s="31">
        <v>27.285714285714285</v>
      </c>
      <c r="T403" s="31"/>
      <c r="U403" s="76">
        <v>-0.85865724381625441</v>
      </c>
      <c r="V403" s="76"/>
      <c r="W403" s="76"/>
      <c r="X403" s="76"/>
      <c r="Y403" s="76">
        <v>-0.13043478260869557</v>
      </c>
      <c r="Z403" s="76">
        <v>-0.13043478260869557</v>
      </c>
      <c r="AA403" s="76"/>
      <c r="AB403" s="76"/>
      <c r="AC403" s="76"/>
      <c r="AD403" s="142"/>
      <c r="AE403" s="142"/>
      <c r="AF403" s="142"/>
    </row>
    <row r="404" spans="1:32" x14ac:dyDescent="0.35">
      <c r="A404" t="s">
        <v>81</v>
      </c>
      <c r="B404" t="s">
        <v>529</v>
      </c>
      <c r="C404" s="31"/>
      <c r="D404" s="31">
        <v>3</v>
      </c>
      <c r="E404" s="72"/>
      <c r="F404" s="31">
        <v>4</v>
      </c>
      <c r="G404" s="73"/>
      <c r="H404" s="31">
        <v>749.97</v>
      </c>
      <c r="I404" s="72"/>
      <c r="J404" s="72">
        <v>31.860000000000014</v>
      </c>
      <c r="K404" s="31">
        <v>-2</v>
      </c>
      <c r="L404" s="31">
        <v>14.571428571428571</v>
      </c>
      <c r="M404" s="74"/>
      <c r="N404" s="74">
        <v>3.6428571428571428</v>
      </c>
      <c r="O404" s="75"/>
      <c r="P404" s="75">
        <v>187.49250000000001</v>
      </c>
      <c r="Q404" s="76"/>
      <c r="R404" s="76">
        <v>4.2481699267970734E-2</v>
      </c>
      <c r="S404" s="31">
        <v>1</v>
      </c>
      <c r="T404" s="31"/>
      <c r="U404" s="76">
        <v>-1.1372549019607843</v>
      </c>
      <c r="V404" s="76"/>
      <c r="W404" s="76"/>
      <c r="X404" s="76"/>
      <c r="Y404" s="76">
        <v>0</v>
      </c>
      <c r="Z404" s="76">
        <v>0</v>
      </c>
      <c r="AA404" s="76"/>
      <c r="AB404" s="76"/>
      <c r="AC404" s="76"/>
      <c r="AD404" s="142"/>
      <c r="AE404" s="142"/>
      <c r="AF404" s="142"/>
    </row>
    <row r="405" spans="1:32" x14ac:dyDescent="0.35">
      <c r="A405" t="s">
        <v>81</v>
      </c>
      <c r="B405" t="s">
        <v>527</v>
      </c>
      <c r="C405" s="31"/>
      <c r="D405" s="31">
        <v>5</v>
      </c>
      <c r="E405" s="72"/>
      <c r="F405" s="31">
        <v>5</v>
      </c>
      <c r="G405" s="73"/>
      <c r="H405" s="31">
        <v>412.47</v>
      </c>
      <c r="I405" s="72"/>
      <c r="J405" s="72">
        <v>12.470000000000027</v>
      </c>
      <c r="K405" s="31">
        <v>15</v>
      </c>
      <c r="L405" s="31">
        <v>113.57142857142857</v>
      </c>
      <c r="M405" s="74"/>
      <c r="N405" s="74">
        <v>23.914285714285715</v>
      </c>
      <c r="O405" s="75"/>
      <c r="P405" s="75">
        <v>82.494</v>
      </c>
      <c r="Q405" s="76"/>
      <c r="R405" s="76">
        <v>3.0232501757703655E-2</v>
      </c>
      <c r="S405" s="31"/>
      <c r="T405" s="31"/>
      <c r="U405" s="76">
        <v>-0.86792452830188682</v>
      </c>
      <c r="V405" s="76"/>
      <c r="W405" s="76"/>
      <c r="X405" s="76"/>
      <c r="Y405" s="76">
        <v>-1.8691588785046731E-2</v>
      </c>
      <c r="Z405" s="76">
        <v>-1.8691588785046731E-2</v>
      </c>
      <c r="AA405" s="76"/>
      <c r="AB405" s="76"/>
      <c r="AC405" s="76"/>
      <c r="AD405" s="142"/>
      <c r="AE405" s="142"/>
      <c r="AF405" s="142"/>
    </row>
    <row r="406" spans="1:32" x14ac:dyDescent="0.35">
      <c r="A406" t="s">
        <v>81</v>
      </c>
      <c r="B406" t="s">
        <v>546</v>
      </c>
      <c r="C406" s="31"/>
      <c r="D406" s="31"/>
      <c r="E406" s="72"/>
      <c r="F406" s="31"/>
      <c r="G406" s="73"/>
      <c r="H406" s="31"/>
      <c r="I406" s="72"/>
      <c r="J406" s="72"/>
      <c r="K406" s="31"/>
      <c r="L406" s="31"/>
      <c r="M406" s="74"/>
      <c r="N406" s="74"/>
      <c r="O406" s="75"/>
      <c r="P406" s="75"/>
      <c r="Q406" s="76"/>
      <c r="R406" s="76"/>
      <c r="S406" s="31">
        <v>5</v>
      </c>
      <c r="T406" s="31"/>
      <c r="U406" s="76"/>
      <c r="V406" s="76"/>
      <c r="W406" s="76"/>
      <c r="X406" s="76"/>
      <c r="Y406" s="76"/>
      <c r="Z406" s="76"/>
      <c r="AA406" s="76"/>
      <c r="AB406" s="76"/>
      <c r="AC406" s="76"/>
      <c r="AD406" s="142"/>
      <c r="AE406" s="142"/>
      <c r="AF406" s="142"/>
    </row>
    <row r="407" spans="1:32" x14ac:dyDescent="0.35">
      <c r="A407" t="s">
        <v>81</v>
      </c>
      <c r="B407" t="s">
        <v>525</v>
      </c>
      <c r="C407" s="31"/>
      <c r="D407" s="31"/>
      <c r="E407" s="72"/>
      <c r="F407" s="31"/>
      <c r="G407" s="73"/>
      <c r="H407" s="31"/>
      <c r="I407" s="72"/>
      <c r="J407" s="72"/>
      <c r="K407" s="31">
        <v>12</v>
      </c>
      <c r="L407" s="31">
        <v>33</v>
      </c>
      <c r="M407" s="74"/>
      <c r="N407" s="74"/>
      <c r="O407" s="75"/>
      <c r="P407" s="75"/>
      <c r="Q407" s="76"/>
      <c r="R407" s="76"/>
      <c r="S407" s="31">
        <v>6</v>
      </c>
      <c r="T407" s="31"/>
      <c r="U407" s="76">
        <v>-0.63636363636363635</v>
      </c>
      <c r="V407" s="76"/>
      <c r="W407" s="76"/>
      <c r="X407" s="76"/>
      <c r="Y407" s="76">
        <v>4.1422857080788633E-2</v>
      </c>
      <c r="Z407" s="76">
        <v>2.4390243902439046E-2</v>
      </c>
      <c r="AA407" s="76"/>
      <c r="AB407" s="76"/>
      <c r="AC407" s="76"/>
      <c r="AD407" s="142"/>
      <c r="AE407" s="142"/>
      <c r="AF407" s="142"/>
    </row>
    <row r="408" spans="1:32" x14ac:dyDescent="0.35">
      <c r="A408" t="s">
        <v>81</v>
      </c>
      <c r="B408" t="s">
        <v>557</v>
      </c>
      <c r="C408" s="31"/>
      <c r="D408" s="31"/>
      <c r="E408" s="72"/>
      <c r="F408" s="31"/>
      <c r="G408" s="73"/>
      <c r="H408" s="31"/>
      <c r="I408" s="72"/>
      <c r="J408" s="72"/>
      <c r="K408" s="31"/>
      <c r="L408" s="31">
        <v>1</v>
      </c>
      <c r="M408" s="74"/>
      <c r="N408" s="74"/>
      <c r="O408" s="75"/>
      <c r="P408" s="75"/>
      <c r="Q408" s="76"/>
      <c r="R408" s="76"/>
      <c r="S408" s="31"/>
      <c r="T408" s="31"/>
      <c r="U408" s="76"/>
      <c r="V408" s="76"/>
      <c r="W408" s="76"/>
      <c r="X408" s="76"/>
      <c r="Y408" s="76"/>
      <c r="Z408" s="76"/>
      <c r="AA408" s="76"/>
      <c r="AB408" s="76"/>
      <c r="AC408" s="76"/>
      <c r="AD408" s="142"/>
      <c r="AE408" s="142"/>
      <c r="AF408" s="142"/>
    </row>
    <row r="409" spans="1:32" x14ac:dyDescent="0.35">
      <c r="A409" t="s">
        <v>81</v>
      </c>
      <c r="B409" t="s">
        <v>542</v>
      </c>
      <c r="C409" s="31"/>
      <c r="D409" s="31"/>
      <c r="E409" s="72"/>
      <c r="F409" s="31"/>
      <c r="G409" s="73"/>
      <c r="H409" s="31"/>
      <c r="I409" s="72"/>
      <c r="J409" s="72"/>
      <c r="K409" s="31"/>
      <c r="L409" s="31">
        <v>-1</v>
      </c>
      <c r="M409" s="74"/>
      <c r="N409" s="74"/>
      <c r="O409" s="75"/>
      <c r="P409" s="75"/>
      <c r="Q409" s="76"/>
      <c r="R409" s="76"/>
      <c r="S409" s="31">
        <v>1</v>
      </c>
      <c r="T409" s="31"/>
      <c r="U409" s="76"/>
      <c r="V409" s="76"/>
      <c r="W409" s="76"/>
      <c r="X409" s="76"/>
      <c r="Y409" s="76"/>
      <c r="Z409" s="76"/>
      <c r="AA409" s="76"/>
      <c r="AB409" s="76"/>
      <c r="AC409" s="76"/>
      <c r="AD409" s="142"/>
      <c r="AE409" s="142"/>
      <c r="AF409" s="142"/>
    </row>
    <row r="410" spans="1:32" x14ac:dyDescent="0.35">
      <c r="A410" t="s">
        <v>81</v>
      </c>
      <c r="B410" t="s">
        <v>556</v>
      </c>
      <c r="C410" s="31"/>
      <c r="D410" s="31"/>
      <c r="E410" s="72"/>
      <c r="F410" s="31"/>
      <c r="G410" s="73"/>
      <c r="H410" s="31"/>
      <c r="I410" s="72"/>
      <c r="J410" s="72"/>
      <c r="K410" s="31"/>
      <c r="L410" s="31"/>
      <c r="M410" s="74"/>
      <c r="N410" s="74"/>
      <c r="O410" s="75"/>
      <c r="P410" s="75"/>
      <c r="Q410" s="76"/>
      <c r="R410" s="76"/>
      <c r="S410" s="31">
        <v>-1</v>
      </c>
      <c r="T410" s="31"/>
      <c r="U410" s="76"/>
      <c r="V410" s="76"/>
      <c r="W410" s="76"/>
      <c r="X410" s="76"/>
      <c r="Y410" s="76"/>
      <c r="Z410" s="76"/>
      <c r="AA410" s="76"/>
      <c r="AB410" s="76"/>
      <c r="AC410" s="76"/>
      <c r="AD410" s="142"/>
      <c r="AE410" s="142"/>
      <c r="AF410" s="142"/>
    </row>
    <row r="411" spans="1:32" x14ac:dyDescent="0.35">
      <c r="A411" s="138" t="s">
        <v>844</v>
      </c>
      <c r="B411" s="138"/>
      <c r="C411" s="127">
        <v>16424</v>
      </c>
      <c r="D411" s="127">
        <v>22910</v>
      </c>
      <c r="E411" s="126">
        <v>25777</v>
      </c>
      <c r="F411" s="127">
        <v>41811</v>
      </c>
      <c r="G411" s="127">
        <v>8147618.4700005641</v>
      </c>
      <c r="H411" s="127">
        <v>7244721.1100009494</v>
      </c>
      <c r="I411" s="126">
        <v>4320139.3600003514</v>
      </c>
      <c r="J411" s="126">
        <v>2895402.0900008781</v>
      </c>
      <c r="K411" s="127">
        <v>334756</v>
      </c>
      <c r="L411" s="127">
        <v>750432.42857142852</v>
      </c>
      <c r="M411" s="140">
        <v>12.986615975482019</v>
      </c>
      <c r="N411" s="140">
        <v>18.160001336518704</v>
      </c>
      <c r="O411" s="139">
        <v>316.08094308882198</v>
      </c>
      <c r="P411" s="139">
        <v>173.27308866090141</v>
      </c>
      <c r="Q411" s="141">
        <v>0.53023338978218659</v>
      </c>
      <c r="R411" s="141">
        <v>0.39074691487429442</v>
      </c>
      <c r="S411" s="127">
        <v>138128</v>
      </c>
      <c r="T411" s="127"/>
      <c r="U411" s="141">
        <v>-0.56826759123834691</v>
      </c>
      <c r="V411" s="141">
        <v>-0.40864844179761306</v>
      </c>
      <c r="W411" s="141">
        <v>7.9883762426830929E-2</v>
      </c>
      <c r="X411" s="141">
        <v>0.46759755145034587</v>
      </c>
      <c r="Y411" s="141">
        <v>7.5885252616141541E-2</v>
      </c>
      <c r="Z411" s="141">
        <v>0.1065410004283005</v>
      </c>
      <c r="AA411" s="141">
        <v>0.18919542350987273</v>
      </c>
      <c r="AB411" s="141">
        <v>0.17188507569647582</v>
      </c>
      <c r="AC411" s="141">
        <v>-1.4556352531450045E-2</v>
      </c>
      <c r="AD411" s="143">
        <v>-0.2267206860430156</v>
      </c>
      <c r="AE411" s="143">
        <v>-0.22154399362226959</v>
      </c>
      <c r="AF411" s="143">
        <v>-6.537469401024093E-2</v>
      </c>
    </row>
    <row r="412" spans="1:32" x14ac:dyDescent="0.35">
      <c r="A412" t="s">
        <v>99</v>
      </c>
      <c r="B412" t="s">
        <v>458</v>
      </c>
      <c r="C412" s="31">
        <v>8976</v>
      </c>
      <c r="D412" s="31">
        <v>8287</v>
      </c>
      <c r="E412" s="72">
        <v>20130</v>
      </c>
      <c r="F412" s="31">
        <v>19312</v>
      </c>
      <c r="G412" s="73">
        <v>3051467.129999808</v>
      </c>
      <c r="H412" s="31">
        <v>3049631.6400000094</v>
      </c>
      <c r="I412" s="72">
        <v>1592469.5000000624</v>
      </c>
      <c r="J412" s="72">
        <v>1277010.3600000467</v>
      </c>
      <c r="K412" s="31">
        <v>233145.28571428571</v>
      </c>
      <c r="L412" s="31">
        <v>288808.14285714284</v>
      </c>
      <c r="M412" s="74">
        <v>11.58198140657157</v>
      </c>
      <c r="N412" s="74">
        <v>15.184479232622285</v>
      </c>
      <c r="O412" s="75">
        <v>151.58803427718868</v>
      </c>
      <c r="P412" s="75">
        <v>157.91381731565914</v>
      </c>
      <c r="Q412" s="76">
        <v>0.52187011432764885</v>
      </c>
      <c r="R412" s="76">
        <v>0.41227702596034216</v>
      </c>
      <c r="S412" s="31">
        <v>100992.28571428571</v>
      </c>
      <c r="T412" s="31"/>
      <c r="U412" s="76">
        <v>-0.21919939930462984</v>
      </c>
      <c r="V412" s="76">
        <v>3.7800331400166254E-3</v>
      </c>
      <c r="W412" s="76">
        <v>-3.7429651667746922E-2</v>
      </c>
      <c r="X412" s="76">
        <v>0.21892789829585602</v>
      </c>
      <c r="Y412" s="76">
        <v>-4.821563867034695E-2</v>
      </c>
      <c r="Z412" s="76">
        <v>-3.793911255523541E-2</v>
      </c>
      <c r="AA412" s="76">
        <v>-0.13270142180094791</v>
      </c>
      <c r="AB412" s="76">
        <v>-3.9642671469430235E-2</v>
      </c>
      <c r="AC412" s="76">
        <v>0.10729724765000137</v>
      </c>
      <c r="AD412" s="142">
        <v>-0.16186391372979073</v>
      </c>
      <c r="AE412" s="142">
        <v>1.2733477488600497E-3</v>
      </c>
      <c r="AF412" s="142">
        <v>0.17551099188636307</v>
      </c>
    </row>
    <row r="413" spans="1:32" x14ac:dyDescent="0.35">
      <c r="A413" t="s">
        <v>99</v>
      </c>
      <c r="B413" t="s">
        <v>101</v>
      </c>
      <c r="C413" s="31">
        <v>1344</v>
      </c>
      <c r="D413" s="31">
        <v>1826</v>
      </c>
      <c r="E413" s="72">
        <v>1631</v>
      </c>
      <c r="F413" s="31">
        <v>2317</v>
      </c>
      <c r="G413" s="73">
        <v>1435654.4699999983</v>
      </c>
      <c r="H413" s="31">
        <v>1874537.8400000338</v>
      </c>
      <c r="I413" s="72">
        <v>606134.13999999792</v>
      </c>
      <c r="J413" s="72">
        <v>798235.5600000429</v>
      </c>
      <c r="K413" s="31">
        <v>18460.857142857141</v>
      </c>
      <c r="L413" s="31">
        <v>42811.714285714283</v>
      </c>
      <c r="M413" s="74">
        <v>11.318735219409652</v>
      </c>
      <c r="N413" s="74">
        <v>18.674020494273659</v>
      </c>
      <c r="O413" s="75">
        <v>880.22959534028098</v>
      </c>
      <c r="P413" s="75">
        <v>809.03661631421403</v>
      </c>
      <c r="Q413" s="76">
        <v>0.42220057309472148</v>
      </c>
      <c r="R413" s="76">
        <v>0.41590308362195616</v>
      </c>
      <c r="S413" s="31">
        <v>4165</v>
      </c>
      <c r="T413" s="31"/>
      <c r="U413" s="76">
        <v>-0.58861726763702849</v>
      </c>
      <c r="V413" s="76">
        <v>-0.33146309883470004</v>
      </c>
      <c r="W413" s="76">
        <v>-0.26705545725341162</v>
      </c>
      <c r="X413" s="76">
        <v>-0.24890719679954665</v>
      </c>
      <c r="Y413" s="76">
        <v>-6.6504233794461576E-2</v>
      </c>
      <c r="Z413" s="76">
        <v>-6.6562651237711434E-2</v>
      </c>
      <c r="AA413" s="76">
        <v>8.5163007318695971E-2</v>
      </c>
      <c r="AB413" s="76">
        <v>9.7089920446956191E-2</v>
      </c>
      <c r="AC413" s="76">
        <v>1.0990895421076008E-2</v>
      </c>
      <c r="AD413" s="142">
        <v>-0.25261372116892117</v>
      </c>
      <c r="AE413" s="142">
        <v>-0.16804509196234818</v>
      </c>
      <c r="AF413" s="142">
        <v>-0.16591283398671419</v>
      </c>
    </row>
    <row r="414" spans="1:32" x14ac:dyDescent="0.35">
      <c r="A414" t="s">
        <v>99</v>
      </c>
      <c r="B414" t="s">
        <v>459</v>
      </c>
      <c r="C414" s="31">
        <v>2066</v>
      </c>
      <c r="D414" s="31">
        <v>2446</v>
      </c>
      <c r="E414" s="72">
        <v>3451</v>
      </c>
      <c r="F414" s="31">
        <v>4295</v>
      </c>
      <c r="G414" s="73">
        <v>1151286.3699999976</v>
      </c>
      <c r="H414" s="31">
        <v>1328847.2900000096</v>
      </c>
      <c r="I414" s="72">
        <v>620283.68999999354</v>
      </c>
      <c r="J414" s="72">
        <v>496480.96000000986</v>
      </c>
      <c r="K414" s="31">
        <v>44588.857142857145</v>
      </c>
      <c r="L414" s="31">
        <v>76314.71428571429</v>
      </c>
      <c r="M414" s="74">
        <v>12.920561327979469</v>
      </c>
      <c r="N414" s="74">
        <v>18.038558065252111</v>
      </c>
      <c r="O414" s="75">
        <v>333.60949579831862</v>
      </c>
      <c r="P414" s="75">
        <v>309.39401396973449</v>
      </c>
      <c r="Q414" s="76">
        <v>0.53877445800039725</v>
      </c>
      <c r="R414" s="76">
        <v>0.36674601094309084</v>
      </c>
      <c r="S414" s="31">
        <v>17508.428571428572</v>
      </c>
      <c r="T414" s="31"/>
      <c r="U414" s="76">
        <v>-0.44056285719099297</v>
      </c>
      <c r="V414" s="76">
        <v>-0.23143189755529681</v>
      </c>
      <c r="W414" s="76">
        <v>-0.17392744955668427</v>
      </c>
      <c r="X414" s="76">
        <v>0.21434479051083022</v>
      </c>
      <c r="Y414" s="76">
        <v>-4.4869895553418693E-2</v>
      </c>
      <c r="Z414" s="76">
        <v>-4.1211778655640741E-2</v>
      </c>
      <c r="AA414" s="76">
        <v>-3.6571747627023976E-2</v>
      </c>
      <c r="AB414" s="76">
        <v>-2.2277484009340265E-2</v>
      </c>
      <c r="AC414" s="76">
        <v>1.4836874030293545E-2</v>
      </c>
      <c r="AD414" s="142">
        <v>-0.28084442326733988</v>
      </c>
      <c r="AE414" s="142">
        <v>-0.23367018053428165</v>
      </c>
      <c r="AF414" s="142">
        <v>-5.1201711886490288E-2</v>
      </c>
    </row>
    <row r="415" spans="1:32" x14ac:dyDescent="0.35">
      <c r="A415" t="s">
        <v>99</v>
      </c>
      <c r="B415" t="s">
        <v>460</v>
      </c>
      <c r="C415" s="31">
        <v>2778</v>
      </c>
      <c r="D415" s="31">
        <v>3970</v>
      </c>
      <c r="E415" s="72">
        <v>8680</v>
      </c>
      <c r="F415" s="31">
        <v>10279</v>
      </c>
      <c r="G415" s="73">
        <v>579799.37000000547</v>
      </c>
      <c r="H415" s="31">
        <v>539922.71000000869</v>
      </c>
      <c r="I415" s="72">
        <v>292352.64000000269</v>
      </c>
      <c r="J415" s="72">
        <v>218002.6300000099</v>
      </c>
      <c r="K415" s="31">
        <v>96154</v>
      </c>
      <c r="L415" s="31">
        <v>141130.57142857142</v>
      </c>
      <c r="M415" s="74">
        <v>11.077649769585253</v>
      </c>
      <c r="N415" s="74">
        <v>13.873335322357537</v>
      </c>
      <c r="O415" s="75">
        <v>66.797162442396939</v>
      </c>
      <c r="P415" s="75">
        <v>52.526774005254275</v>
      </c>
      <c r="Q415" s="76">
        <v>0.50423069621479566</v>
      </c>
      <c r="R415" s="76">
        <v>0.39434837936349548</v>
      </c>
      <c r="S415" s="31">
        <v>51452.428571428572</v>
      </c>
      <c r="T415" s="31"/>
      <c r="U415" s="76">
        <v>-0.33762048113499754</v>
      </c>
      <c r="V415" s="76">
        <v>-0.19213931316275901</v>
      </c>
      <c r="W415" s="76">
        <v>2.4866874001274075E-2</v>
      </c>
      <c r="X415" s="76">
        <v>0.31286181197323271</v>
      </c>
      <c r="Y415" s="76">
        <v>-5.2661192107984256E-2</v>
      </c>
      <c r="Z415" s="76">
        <v>-4.5175146789081855E-2</v>
      </c>
      <c r="AA415" s="76">
        <v>-2.2192182043483166E-2</v>
      </c>
      <c r="AB415" s="76">
        <v>-3.4027854536877733E-5</v>
      </c>
      <c r="AC415" s="76">
        <v>2.2661052388856406E-2</v>
      </c>
      <c r="AD415" s="142">
        <v>-0.29243269895767426</v>
      </c>
      <c r="AE415" s="142">
        <v>-0.1407412754614441</v>
      </c>
      <c r="AF415" s="142">
        <v>1.7529350075844153E-2</v>
      </c>
    </row>
    <row r="416" spans="1:32" x14ac:dyDescent="0.35">
      <c r="A416" t="s">
        <v>99</v>
      </c>
      <c r="B416" t="s">
        <v>461</v>
      </c>
      <c r="C416" s="31">
        <v>659</v>
      </c>
      <c r="D416" s="31">
        <v>848</v>
      </c>
      <c r="E416" s="72">
        <v>1178</v>
      </c>
      <c r="F416" s="31">
        <v>1305</v>
      </c>
      <c r="G416" s="73">
        <v>207630</v>
      </c>
      <c r="H416" s="31">
        <v>252046.46000000086</v>
      </c>
      <c r="I416" s="72">
        <v>109248.58000000032</v>
      </c>
      <c r="J416" s="72">
        <v>97368.540000000357</v>
      </c>
      <c r="K416" s="31">
        <v>21827.714285714286</v>
      </c>
      <c r="L416" s="31">
        <v>22022.857142857141</v>
      </c>
      <c r="M416" s="74">
        <v>18.529468833373759</v>
      </c>
      <c r="N416" s="74">
        <v>17.190404636685628</v>
      </c>
      <c r="O416" s="75">
        <v>176.25636672325976</v>
      </c>
      <c r="P416" s="75">
        <v>193.13904980842977</v>
      </c>
      <c r="Q416" s="76">
        <v>0.52616953234118535</v>
      </c>
      <c r="R416" s="76">
        <v>0.37898522838454674</v>
      </c>
      <c r="S416" s="31">
        <v>1144.1428571428571</v>
      </c>
      <c r="T416" s="31"/>
      <c r="U416" s="76">
        <v>-4.5673326414115145E-2</v>
      </c>
      <c r="V416" s="76">
        <v>-0.15325670498084287</v>
      </c>
      <c r="W416" s="76">
        <v>-0.22660290487714307</v>
      </c>
      <c r="X416" s="76">
        <v>7.9598465638829552E-2</v>
      </c>
      <c r="Y416" s="76">
        <v>-4.4377571200877486E-2</v>
      </c>
      <c r="Z416" s="76">
        <v>-4.3752542478956102E-2</v>
      </c>
      <c r="AA416" s="76">
        <v>-0.11826347305389218</v>
      </c>
      <c r="AB416" s="76">
        <v>-0.10303331814556693</v>
      </c>
      <c r="AC416" s="76">
        <v>1.7272909132022507E-2</v>
      </c>
      <c r="AD416" s="142">
        <v>-0.28544686988120943</v>
      </c>
      <c r="AE416" s="142">
        <v>-0.18960239269341278</v>
      </c>
      <c r="AF416" s="142">
        <v>1.4236331745506076E-3</v>
      </c>
    </row>
    <row r="417" spans="1:32" x14ac:dyDescent="0.35">
      <c r="A417" t="s">
        <v>99</v>
      </c>
      <c r="B417" t="s">
        <v>469</v>
      </c>
      <c r="C417" s="31">
        <v>88</v>
      </c>
      <c r="D417" s="31">
        <v>95</v>
      </c>
      <c r="E417" s="72">
        <v>146</v>
      </c>
      <c r="F417" s="31">
        <v>146</v>
      </c>
      <c r="G417" s="73">
        <v>39305.320000000014</v>
      </c>
      <c r="H417" s="31">
        <v>29428.62</v>
      </c>
      <c r="I417" s="72">
        <v>22789.019999999997</v>
      </c>
      <c r="J417" s="72">
        <v>15818.829999999998</v>
      </c>
      <c r="K417" s="31">
        <v>8178.1428571428569</v>
      </c>
      <c r="L417" s="31">
        <v>10202.285714285714</v>
      </c>
      <c r="M417" s="74">
        <v>56.014677103718199</v>
      </c>
      <c r="N417" s="74">
        <v>69.731660231660229</v>
      </c>
      <c r="O417" s="75">
        <v>269.21452054794531</v>
      </c>
      <c r="P417" s="75">
        <v>201.5658904109589</v>
      </c>
      <c r="Q417" s="76">
        <v>0.57979479622605767</v>
      </c>
      <c r="R417" s="76">
        <v>0.52871269325176329</v>
      </c>
      <c r="S417" s="31">
        <v>407.42857142857144</v>
      </c>
      <c r="T417" s="31"/>
      <c r="U417" s="76">
        <v>-0.22172902430827823</v>
      </c>
      <c r="V417" s="76">
        <v>-2.0547945205479423E-2</v>
      </c>
      <c r="W417" s="76">
        <v>0.31244788236757337</v>
      </c>
      <c r="X417" s="76">
        <v>0.43542518990509915</v>
      </c>
      <c r="Y417" s="76">
        <v>-2.1863701267965108E-2</v>
      </c>
      <c r="Z417" s="76">
        <v>-2.503533899892707E-2</v>
      </c>
      <c r="AA417" s="76">
        <v>0.24786324786324787</v>
      </c>
      <c r="AB417" s="76">
        <v>0.32305907753187646</v>
      </c>
      <c r="AC417" s="76">
        <v>6.0259671720750418E-2</v>
      </c>
      <c r="AD417" s="142"/>
      <c r="AE417" s="142"/>
      <c r="AF417" s="142"/>
    </row>
    <row r="418" spans="1:32" x14ac:dyDescent="0.35">
      <c r="A418" t="s">
        <v>99</v>
      </c>
      <c r="B418" t="s">
        <v>463</v>
      </c>
      <c r="C418" s="31">
        <v>55</v>
      </c>
      <c r="D418" s="31">
        <v>261</v>
      </c>
      <c r="E418" s="72">
        <v>60</v>
      </c>
      <c r="F418" s="31">
        <v>292</v>
      </c>
      <c r="G418" s="73">
        <v>17393.079999999987</v>
      </c>
      <c r="H418" s="31">
        <v>129282.19999999976</v>
      </c>
      <c r="I418" s="72">
        <v>1486.55</v>
      </c>
      <c r="J418" s="72">
        <v>40218.999999999694</v>
      </c>
      <c r="K418" s="31">
        <v>1004</v>
      </c>
      <c r="L418" s="31">
        <v>7022.4285714285716</v>
      </c>
      <c r="M418" s="74">
        <v>16.733333333333334</v>
      </c>
      <c r="N418" s="74">
        <v>24.343915343915342</v>
      </c>
      <c r="O418" s="75">
        <v>289.88466666666648</v>
      </c>
      <c r="P418" s="75">
        <v>442.74726027397179</v>
      </c>
      <c r="Q418" s="76">
        <v>8.5467898727539973E-2</v>
      </c>
      <c r="R418" s="76">
        <v>0.30510882611808449</v>
      </c>
      <c r="S418" s="31">
        <v>173</v>
      </c>
      <c r="T418" s="31"/>
      <c r="U418" s="76">
        <v>-0.85776186504465279</v>
      </c>
      <c r="V418" s="76">
        <v>-0.79452054794520555</v>
      </c>
      <c r="W418" s="76">
        <v>-0.86546423250841942</v>
      </c>
      <c r="X418" s="76">
        <v>-0.96210394666536148</v>
      </c>
      <c r="Y418" s="76">
        <v>-9.0884935278010781E-2</v>
      </c>
      <c r="Z418" s="76">
        <v>-8.1787300757773629E-2</v>
      </c>
      <c r="AA418" s="76">
        <v>-0.52380952380952384</v>
      </c>
      <c r="AB418" s="76">
        <v>-0.55754485202127324</v>
      </c>
      <c r="AC418" s="76">
        <v>-7.0844189244673617E-2</v>
      </c>
      <c r="AD418" s="142"/>
      <c r="AE418" s="142"/>
      <c r="AF418" s="142"/>
    </row>
    <row r="419" spans="1:32" x14ac:dyDescent="0.35">
      <c r="A419" t="s">
        <v>99</v>
      </c>
      <c r="B419" t="s">
        <v>465</v>
      </c>
      <c r="C419" s="31">
        <v>18</v>
      </c>
      <c r="D419" s="31">
        <v>134</v>
      </c>
      <c r="E419" s="72">
        <v>20</v>
      </c>
      <c r="F419" s="31">
        <v>157</v>
      </c>
      <c r="G419" s="73">
        <v>15636.140000000001</v>
      </c>
      <c r="H419" s="31">
        <v>119944.36</v>
      </c>
      <c r="I419" s="72">
        <v>2585.7200000000007</v>
      </c>
      <c r="J419" s="72">
        <v>6147.9000000000815</v>
      </c>
      <c r="K419" s="31">
        <v>556.42857142857144</v>
      </c>
      <c r="L419" s="31">
        <v>2627.5714285714284</v>
      </c>
      <c r="M419" s="74">
        <v>27.821428571428573</v>
      </c>
      <c r="N419" s="74">
        <v>16.638864241348713</v>
      </c>
      <c r="O419" s="75">
        <v>781.80700000000002</v>
      </c>
      <c r="P419" s="75">
        <v>763.97681528662417</v>
      </c>
      <c r="Q419" s="76">
        <v>0.16536817910302673</v>
      </c>
      <c r="R419" s="76">
        <v>5.0057365794940113E-2</v>
      </c>
      <c r="S419" s="31">
        <v>171</v>
      </c>
      <c r="T419" s="31"/>
      <c r="U419" s="76">
        <v>-0.79138802805415098</v>
      </c>
      <c r="V419" s="76">
        <v>-0.87261146496815289</v>
      </c>
      <c r="W419" s="76">
        <v>-0.86963838899969947</v>
      </c>
      <c r="X419" s="76">
        <v>-0.54240065691907025</v>
      </c>
      <c r="Y419" s="76">
        <v>-1.5631604445530578E-2</v>
      </c>
      <c r="Z419" s="76">
        <v>-2.4542950162784849E-2</v>
      </c>
      <c r="AA419" s="76">
        <v>0.81818181818181812</v>
      </c>
      <c r="AB419" s="76">
        <v>1.0113326181306452</v>
      </c>
      <c r="AC419" s="76">
        <v>0.1062329399718549</v>
      </c>
      <c r="AD419" s="142"/>
      <c r="AE419" s="142"/>
      <c r="AF419" s="142"/>
    </row>
    <row r="420" spans="1:32" x14ac:dyDescent="0.35">
      <c r="A420" t="s">
        <v>99</v>
      </c>
      <c r="B420" t="s">
        <v>467</v>
      </c>
      <c r="C420" s="31">
        <v>56</v>
      </c>
      <c r="D420" s="31">
        <v>196</v>
      </c>
      <c r="E420" s="72">
        <v>69</v>
      </c>
      <c r="F420" s="31">
        <v>209</v>
      </c>
      <c r="G420" s="73">
        <v>15350.20000000001</v>
      </c>
      <c r="H420" s="31">
        <v>52913.390000000029</v>
      </c>
      <c r="I420" s="72">
        <v>4864.0799999999981</v>
      </c>
      <c r="J420" s="72">
        <v>22428.340000000047</v>
      </c>
      <c r="K420" s="31">
        <v>1068.7142857142858</v>
      </c>
      <c r="L420" s="31">
        <v>8430</v>
      </c>
      <c r="M420" s="74">
        <v>15.488612836438925</v>
      </c>
      <c r="N420" s="74">
        <v>39.997354497354493</v>
      </c>
      <c r="O420" s="75">
        <v>222.46666666666681</v>
      </c>
      <c r="P420" s="75">
        <v>253.17411483253602</v>
      </c>
      <c r="Q420" s="76">
        <v>0.31687404724368379</v>
      </c>
      <c r="R420" s="76">
        <v>0.40965214068674743</v>
      </c>
      <c r="S420" s="31">
        <v>7.8571428571428568</v>
      </c>
      <c r="T420" s="31"/>
      <c r="U420" s="76">
        <v>-0.87408913743433314</v>
      </c>
      <c r="V420" s="76">
        <v>-0.66985645933014348</v>
      </c>
      <c r="W420" s="76">
        <v>-0.70989951692756781</v>
      </c>
      <c r="X420" s="76">
        <v>-0.7754382206726399</v>
      </c>
      <c r="Y420" s="76">
        <v>-5.582710226218679E-2</v>
      </c>
      <c r="Z420" s="76">
        <v>-5.8875330230217626E-2</v>
      </c>
      <c r="AA420" s="76">
        <v>-4.166666666666663E-2</v>
      </c>
      <c r="AB420" s="76">
        <v>-3.7145018497864779E-2</v>
      </c>
      <c r="AC420" s="76">
        <v>4.7182415674456024E-3</v>
      </c>
      <c r="AD420" s="142"/>
      <c r="AE420" s="142"/>
      <c r="AF420" s="142"/>
    </row>
    <row r="421" spans="1:32" x14ac:dyDescent="0.35">
      <c r="A421" t="s">
        <v>99</v>
      </c>
      <c r="B421" t="s">
        <v>462</v>
      </c>
      <c r="C421" s="31">
        <v>23</v>
      </c>
      <c r="D421" s="31">
        <v>272</v>
      </c>
      <c r="E421" s="72">
        <v>27</v>
      </c>
      <c r="F421" s="31">
        <v>364</v>
      </c>
      <c r="G421" s="73">
        <v>9286.14</v>
      </c>
      <c r="H421" s="31">
        <v>102795.29999999987</v>
      </c>
      <c r="I421" s="72">
        <v>4893.0500000000011</v>
      </c>
      <c r="J421" s="72">
        <v>31036.85999999987</v>
      </c>
      <c r="K421" s="31">
        <v>1035.4285714285713</v>
      </c>
      <c r="L421" s="31">
        <v>5724.4285714285716</v>
      </c>
      <c r="M421" s="74">
        <v>38.349206349206348</v>
      </c>
      <c r="N421" s="74">
        <v>15.637218045112782</v>
      </c>
      <c r="O421" s="75">
        <v>343.93111111111108</v>
      </c>
      <c r="P421" s="75">
        <v>282.40467032966995</v>
      </c>
      <c r="Q421" s="76">
        <v>0.52691968891272389</v>
      </c>
      <c r="R421" s="76">
        <v>0.28880105289055363</v>
      </c>
      <c r="S421" s="31">
        <v>844</v>
      </c>
      <c r="T421" s="31"/>
      <c r="U421" s="76">
        <v>-0.82371290958548582</v>
      </c>
      <c r="V421" s="76">
        <v>-0.9285714285714286</v>
      </c>
      <c r="W421" s="76">
        <v>-0.91496994512395013</v>
      </c>
      <c r="X421" s="76">
        <v>-0.84661534871930333</v>
      </c>
      <c r="Y421" s="76">
        <v>3.1944480242382944E-3</v>
      </c>
      <c r="Z421" s="76">
        <v>1.2432656444258949E-3</v>
      </c>
      <c r="AA421" s="76">
        <v>8.0000000000000071E-2</v>
      </c>
      <c r="AB421" s="76">
        <v>-0.10785938477235213</v>
      </c>
      <c r="AC421" s="76">
        <v>-0.17394387478921502</v>
      </c>
      <c r="AD421" s="142"/>
      <c r="AE421" s="142"/>
      <c r="AF421" s="142"/>
    </row>
    <row r="422" spans="1:32" x14ac:dyDescent="0.35">
      <c r="A422" t="s">
        <v>99</v>
      </c>
      <c r="B422" t="s">
        <v>464</v>
      </c>
      <c r="C422" s="31">
        <v>26</v>
      </c>
      <c r="D422" s="31">
        <v>456</v>
      </c>
      <c r="E422" s="72">
        <v>28</v>
      </c>
      <c r="F422" s="31">
        <v>581</v>
      </c>
      <c r="G422" s="73">
        <v>8699.7800000000025</v>
      </c>
      <c r="H422" s="31">
        <v>107136.77000000011</v>
      </c>
      <c r="I422" s="72">
        <v>6024.4900000000007</v>
      </c>
      <c r="J422" s="72">
        <v>40935.340000000098</v>
      </c>
      <c r="K422" s="31">
        <v>1029.8571428571429</v>
      </c>
      <c r="L422" s="31">
        <v>7496.1428571428569</v>
      </c>
      <c r="M422" s="74">
        <v>36.780612244897959</v>
      </c>
      <c r="N422" s="74">
        <v>13.109397247271001</v>
      </c>
      <c r="O422" s="75">
        <v>310.70642857142866</v>
      </c>
      <c r="P422" s="75">
        <v>184.40063683304666</v>
      </c>
      <c r="Q422" s="76">
        <v>0.69248762612387893</v>
      </c>
      <c r="R422" s="76">
        <v>0.36911858802109049</v>
      </c>
      <c r="S422" s="31">
        <v>343.57142857142856</v>
      </c>
      <c r="T422" s="31"/>
      <c r="U422" s="76">
        <v>-0.86898023745545327</v>
      </c>
      <c r="V422" s="76">
        <v>-0.95697074010327021</v>
      </c>
      <c r="W422" s="76">
        <v>-0.92897965843099439</v>
      </c>
      <c r="X422" s="76">
        <v>-0.86814903657674813</v>
      </c>
      <c r="Y422" s="76">
        <v>-1.662349961657883E-2</v>
      </c>
      <c r="Z422" s="76">
        <v>-2.051630434782592E-2</v>
      </c>
      <c r="AA422" s="76">
        <v>0.75</v>
      </c>
      <c r="AB422" s="76">
        <v>0.858260282633585</v>
      </c>
      <c r="AC422" s="76">
        <v>6.1863018647762891E-2</v>
      </c>
      <c r="AD422" s="142"/>
      <c r="AE422" s="142"/>
      <c r="AF422" s="142"/>
    </row>
    <row r="423" spans="1:32" x14ac:dyDescent="0.35">
      <c r="A423" t="s">
        <v>99</v>
      </c>
      <c r="B423" t="s">
        <v>468</v>
      </c>
      <c r="C423" s="31">
        <v>54</v>
      </c>
      <c r="D423" s="31">
        <v>203</v>
      </c>
      <c r="E423" s="72">
        <v>73</v>
      </c>
      <c r="F423" s="31">
        <v>300</v>
      </c>
      <c r="G423" s="73">
        <v>8370.8000000000029</v>
      </c>
      <c r="H423" s="31">
        <v>42984.430000000058</v>
      </c>
      <c r="I423" s="72">
        <v>2154.4600000000005</v>
      </c>
      <c r="J423" s="72">
        <v>15297.58000000006</v>
      </c>
      <c r="K423" s="31">
        <v>1168.4285714285713</v>
      </c>
      <c r="L423" s="31">
        <v>8561.8571428571431</v>
      </c>
      <c r="M423" s="74">
        <v>16.00587084148728</v>
      </c>
      <c r="N423" s="74">
        <v>28.717123935666983</v>
      </c>
      <c r="O423" s="75">
        <v>114.66849315068497</v>
      </c>
      <c r="P423" s="75">
        <v>143.28143333333352</v>
      </c>
      <c r="Q423" s="76">
        <v>0.25737802838438378</v>
      </c>
      <c r="R423" s="76">
        <v>0.3530492122295294</v>
      </c>
      <c r="S423" s="31">
        <v>588.57142857142856</v>
      </c>
      <c r="T423" s="31"/>
      <c r="U423" s="76">
        <v>-0.86391470475364152</v>
      </c>
      <c r="V423" s="76">
        <v>-0.7566666666666666</v>
      </c>
      <c r="W423" s="76">
        <v>-0.80525971846084754</v>
      </c>
      <c r="X423" s="76">
        <v>-0.85875199878319308</v>
      </c>
      <c r="Y423" s="76">
        <v>-8.8987046264613401E-2</v>
      </c>
      <c r="Z423" s="76">
        <v>-8.4918326247482745E-2</v>
      </c>
      <c r="AA423" s="76">
        <v>-0.21505376344086025</v>
      </c>
      <c r="AB423" s="76">
        <v>-6.5293661800404634E-2</v>
      </c>
      <c r="AC423" s="76">
        <v>0.19079026647345709</v>
      </c>
      <c r="AD423" s="142"/>
      <c r="AE423" s="142"/>
      <c r="AF423" s="142"/>
    </row>
    <row r="424" spans="1:32" x14ac:dyDescent="0.35">
      <c r="A424" t="s">
        <v>99</v>
      </c>
      <c r="B424" t="s">
        <v>466</v>
      </c>
      <c r="C424" s="31">
        <v>40</v>
      </c>
      <c r="D424" s="31">
        <v>284</v>
      </c>
      <c r="E424" s="72">
        <v>49</v>
      </c>
      <c r="F424" s="31">
        <v>413</v>
      </c>
      <c r="G424" s="73">
        <v>6765.4400000000023</v>
      </c>
      <c r="H424" s="31">
        <v>79996.950000000128</v>
      </c>
      <c r="I424" s="72">
        <v>3007.4000000000019</v>
      </c>
      <c r="J424" s="72">
        <v>29486.980000000105</v>
      </c>
      <c r="K424" s="31">
        <v>1585.8571428571429</v>
      </c>
      <c r="L424" s="31">
        <v>8076.4285714285716</v>
      </c>
      <c r="M424" s="74">
        <v>32.36443148688047</v>
      </c>
      <c r="N424" s="74">
        <v>20.477560808496058</v>
      </c>
      <c r="O424" s="75">
        <v>138.07020408163271</v>
      </c>
      <c r="P424" s="75">
        <v>193.69721549636836</v>
      </c>
      <c r="Q424" s="76">
        <v>0.44452393340270563</v>
      </c>
      <c r="R424" s="76">
        <v>0.3664359958772046</v>
      </c>
      <c r="S424" s="31">
        <v>24.857142857142858</v>
      </c>
      <c r="T424" s="31"/>
      <c r="U424" s="76">
        <v>-0.80856106836472985</v>
      </c>
      <c r="V424" s="76">
        <v>-0.88135593220338981</v>
      </c>
      <c r="W424" s="76">
        <v>-0.91542877572207448</v>
      </c>
      <c r="X424" s="76">
        <v>-0.89744506095017995</v>
      </c>
      <c r="Y424" s="76">
        <v>-9.4111311725761926E-3</v>
      </c>
      <c r="Z424" s="76">
        <v>-8.9277743058655545E-3</v>
      </c>
      <c r="AA424" s="76">
        <v>0.32432432432432434</v>
      </c>
      <c r="AB424" s="76">
        <v>0.10054397334790899</v>
      </c>
      <c r="AC424" s="76">
        <v>-0.16897699971688496</v>
      </c>
      <c r="AD424" s="142"/>
      <c r="AE424" s="142"/>
      <c r="AF424" s="142"/>
    </row>
    <row r="425" spans="1:32" x14ac:dyDescent="0.35">
      <c r="A425" t="s">
        <v>99</v>
      </c>
      <c r="B425" t="s">
        <v>471</v>
      </c>
      <c r="C425" s="31">
        <v>44</v>
      </c>
      <c r="D425" s="31">
        <v>34</v>
      </c>
      <c r="E425" s="72">
        <v>66</v>
      </c>
      <c r="F425" s="31">
        <v>41</v>
      </c>
      <c r="G425" s="73">
        <v>5888.88</v>
      </c>
      <c r="H425" s="31">
        <v>2474.9499999999998</v>
      </c>
      <c r="I425" s="72">
        <v>1632.3999999999994</v>
      </c>
      <c r="J425" s="72">
        <v>791.13999999999942</v>
      </c>
      <c r="K425" s="31">
        <v>1338.4285714285713</v>
      </c>
      <c r="L425" s="31">
        <v>905</v>
      </c>
      <c r="M425" s="74">
        <v>20.279220779220779</v>
      </c>
      <c r="N425" s="74">
        <v>22.744897959183675</v>
      </c>
      <c r="O425" s="75">
        <v>89.225454545454554</v>
      </c>
      <c r="P425" s="75">
        <v>60.364634146341459</v>
      </c>
      <c r="Q425" s="76">
        <v>0.27720041841572579</v>
      </c>
      <c r="R425" s="76">
        <v>0.30964989530127773</v>
      </c>
      <c r="S425" s="31">
        <v>162.14285714285714</v>
      </c>
      <c r="T425" s="31"/>
      <c r="U425" s="76">
        <v>0.46803472770323618</v>
      </c>
      <c r="V425" s="76">
        <v>0.60975609756097571</v>
      </c>
      <c r="W425" s="76">
        <v>1.3793935231014771</v>
      </c>
      <c r="X425" s="76">
        <v>1.193968066232999</v>
      </c>
      <c r="Y425" s="76">
        <v>-4.5758745948480728E-2</v>
      </c>
      <c r="Z425" s="76">
        <v>-4.319852941176483E-2</v>
      </c>
      <c r="AA425" s="76">
        <v>6.4516129032258007E-2</v>
      </c>
      <c r="AB425" s="76">
        <v>8.2624162369357101E-2</v>
      </c>
      <c r="AC425" s="76">
        <v>1.7010576771214314E-2</v>
      </c>
      <c r="AD425" s="142"/>
      <c r="AE425" s="142"/>
      <c r="AF425" s="142"/>
    </row>
    <row r="426" spans="1:32" x14ac:dyDescent="0.35">
      <c r="A426" t="s">
        <v>99</v>
      </c>
      <c r="B426" t="s">
        <v>470</v>
      </c>
      <c r="C426" s="31">
        <v>5</v>
      </c>
      <c r="D426" s="31">
        <v>30</v>
      </c>
      <c r="E426" s="72">
        <v>5</v>
      </c>
      <c r="F426" s="31">
        <v>49</v>
      </c>
      <c r="G426" s="73">
        <v>2772.6699999999996</v>
      </c>
      <c r="H426" s="31">
        <v>12378.749999999998</v>
      </c>
      <c r="I426" s="72">
        <v>1594.9299999999998</v>
      </c>
      <c r="J426" s="72">
        <v>7745.909999999998</v>
      </c>
      <c r="K426" s="31">
        <v>1219.2857142857142</v>
      </c>
      <c r="L426" s="31">
        <v>4667.2857142857147</v>
      </c>
      <c r="M426" s="74">
        <v>243.85714285714283</v>
      </c>
      <c r="N426" s="74">
        <v>86.602597402597397</v>
      </c>
      <c r="O426" s="75">
        <v>554.53399999999988</v>
      </c>
      <c r="P426" s="75">
        <v>252.62755102040813</v>
      </c>
      <c r="Q426" s="76">
        <v>0.57523253759012072</v>
      </c>
      <c r="R426" s="76">
        <v>0.49576489232061111</v>
      </c>
      <c r="S426" s="31">
        <v>265</v>
      </c>
      <c r="T426" s="31"/>
      <c r="U426" s="76">
        <v>-0.75387958740167127</v>
      </c>
      <c r="V426" s="76">
        <v>-0.89795918367346939</v>
      </c>
      <c r="W426" s="76">
        <v>-0.77601373321215794</v>
      </c>
      <c r="X426" s="76">
        <v>-0.73514813258784084</v>
      </c>
      <c r="Y426" s="76">
        <v>-5.0886811065619098E-3</v>
      </c>
      <c r="Z426" s="76">
        <v>2.2310944105212727E-3</v>
      </c>
      <c r="AA426" s="76">
        <v>-0.64285714285714279</v>
      </c>
      <c r="AB426" s="76">
        <v>-0.46017619858846437</v>
      </c>
      <c r="AC426" s="76">
        <v>0.5115066439522995</v>
      </c>
      <c r="AD426" s="142"/>
      <c r="AE426" s="142"/>
      <c r="AF426" s="142"/>
    </row>
    <row r="427" spans="1:32" x14ac:dyDescent="0.35">
      <c r="A427" t="s">
        <v>99</v>
      </c>
      <c r="B427" t="s">
        <v>477</v>
      </c>
      <c r="C427" s="31"/>
      <c r="D427" s="31"/>
      <c r="E427" s="72"/>
      <c r="F427" s="31"/>
      <c r="G427" s="73"/>
      <c r="H427" s="31"/>
      <c r="I427" s="72"/>
      <c r="J427" s="72"/>
      <c r="K427" s="31">
        <v>5</v>
      </c>
      <c r="L427" s="31">
        <v>9</v>
      </c>
      <c r="M427" s="74"/>
      <c r="N427" s="74"/>
      <c r="O427" s="75"/>
      <c r="P427" s="75"/>
      <c r="Q427" s="76"/>
      <c r="R427" s="76"/>
      <c r="S427" s="31">
        <v>45</v>
      </c>
      <c r="T427" s="31"/>
      <c r="U427" s="76">
        <v>-0.44444444444444442</v>
      </c>
      <c r="V427" s="76"/>
      <c r="W427" s="76"/>
      <c r="X427" s="76"/>
      <c r="Y427" s="76">
        <v>0</v>
      </c>
      <c r="Z427" s="76">
        <v>0</v>
      </c>
      <c r="AA427" s="76"/>
      <c r="AB427" s="76"/>
      <c r="AC427" s="76"/>
      <c r="AD427" s="142"/>
      <c r="AE427" s="142"/>
      <c r="AF427" s="142"/>
    </row>
    <row r="428" spans="1:32" x14ac:dyDescent="0.35">
      <c r="A428" t="s">
        <v>99</v>
      </c>
      <c r="B428" t="s">
        <v>476</v>
      </c>
      <c r="C428" s="31"/>
      <c r="D428" s="31"/>
      <c r="E428" s="72"/>
      <c r="F428" s="31"/>
      <c r="G428" s="73"/>
      <c r="H428" s="31"/>
      <c r="I428" s="72"/>
      <c r="J428" s="72"/>
      <c r="K428" s="31">
        <v>1</v>
      </c>
      <c r="L428" s="31">
        <v>5</v>
      </c>
      <c r="M428" s="74"/>
      <c r="N428" s="74"/>
      <c r="O428" s="75"/>
      <c r="P428" s="75"/>
      <c r="Q428" s="76"/>
      <c r="R428" s="76"/>
      <c r="S428" s="31">
        <v>56</v>
      </c>
      <c r="T428" s="31"/>
      <c r="U428" s="76">
        <v>-0.8</v>
      </c>
      <c r="V428" s="76"/>
      <c r="W428" s="76"/>
      <c r="X428" s="76"/>
      <c r="Y428" s="76">
        <v>0</v>
      </c>
      <c r="Z428" s="76">
        <v>0</v>
      </c>
      <c r="AA428" s="76"/>
      <c r="AB428" s="76"/>
      <c r="AC428" s="76"/>
      <c r="AD428" s="142"/>
      <c r="AE428" s="142"/>
      <c r="AF428" s="142"/>
    </row>
    <row r="429" spans="1:32" x14ac:dyDescent="0.35">
      <c r="A429" t="s">
        <v>99</v>
      </c>
      <c r="B429" t="s">
        <v>479</v>
      </c>
      <c r="C429" s="31"/>
      <c r="D429" s="31"/>
      <c r="E429" s="72"/>
      <c r="F429" s="31"/>
      <c r="G429" s="73"/>
      <c r="H429" s="31"/>
      <c r="I429" s="72"/>
      <c r="J429" s="72"/>
      <c r="K429" s="31">
        <v>2</v>
      </c>
      <c r="L429" s="31">
        <v>6</v>
      </c>
      <c r="M429" s="74"/>
      <c r="N429" s="74"/>
      <c r="O429" s="75"/>
      <c r="P429" s="75"/>
      <c r="Q429" s="76"/>
      <c r="R429" s="76"/>
      <c r="S429" s="31">
        <v>20</v>
      </c>
      <c r="T429" s="31"/>
      <c r="U429" s="76">
        <v>-0.66666666666666674</v>
      </c>
      <c r="V429" s="76"/>
      <c r="W429" s="76"/>
      <c r="X429" s="76"/>
      <c r="Y429" s="76">
        <v>0</v>
      </c>
      <c r="Z429" s="76">
        <v>0</v>
      </c>
      <c r="AA429" s="76"/>
      <c r="AB429" s="76"/>
      <c r="AC429" s="76"/>
      <c r="AD429" s="142"/>
      <c r="AE429" s="142"/>
      <c r="AF429" s="142"/>
    </row>
    <row r="430" spans="1:32" x14ac:dyDescent="0.35">
      <c r="A430" t="s">
        <v>99</v>
      </c>
      <c r="B430" t="s">
        <v>472</v>
      </c>
      <c r="C430" s="31"/>
      <c r="D430" s="31">
        <v>6</v>
      </c>
      <c r="E430" s="72"/>
      <c r="F430" s="31">
        <v>16</v>
      </c>
      <c r="G430" s="73"/>
      <c r="H430" s="31">
        <v>595.41000000000008</v>
      </c>
      <c r="I430" s="72"/>
      <c r="J430" s="72">
        <v>272.32000000000005</v>
      </c>
      <c r="K430" s="31">
        <v>29</v>
      </c>
      <c r="L430" s="31">
        <v>196.57142857142858</v>
      </c>
      <c r="M430" s="74"/>
      <c r="N430" s="74">
        <v>12.410714285714286</v>
      </c>
      <c r="O430" s="75"/>
      <c r="P430" s="75">
        <v>37.213125000000005</v>
      </c>
      <c r="Q430" s="76"/>
      <c r="R430" s="76">
        <v>0.45736551283989185</v>
      </c>
      <c r="S430" s="31">
        <v>109.14285714285714</v>
      </c>
      <c r="T430" s="31"/>
      <c r="U430" s="76">
        <v>-0.85247093023255816</v>
      </c>
      <c r="V430" s="76"/>
      <c r="W430" s="76"/>
      <c r="X430" s="76"/>
      <c r="Y430" s="76">
        <v>-2.752134961750774E-2</v>
      </c>
      <c r="Z430" s="76">
        <v>-1.4563106796116498E-2</v>
      </c>
      <c r="AA430" s="76"/>
      <c r="AB430" s="76"/>
      <c r="AC430" s="76"/>
      <c r="AD430" s="142"/>
      <c r="AE430" s="142"/>
      <c r="AF430" s="142"/>
    </row>
    <row r="431" spans="1:32" x14ac:dyDescent="0.35">
      <c r="A431" t="s">
        <v>99</v>
      </c>
      <c r="B431" t="s">
        <v>478</v>
      </c>
      <c r="C431" s="31"/>
      <c r="D431" s="31"/>
      <c r="E431" s="72"/>
      <c r="F431" s="31"/>
      <c r="G431" s="73"/>
      <c r="H431" s="31"/>
      <c r="I431" s="72"/>
      <c r="J431" s="72"/>
      <c r="K431" s="31">
        <v>2.7142857142857144</v>
      </c>
      <c r="L431" s="31">
        <v>10</v>
      </c>
      <c r="M431" s="74"/>
      <c r="N431" s="74"/>
      <c r="O431" s="75"/>
      <c r="P431" s="75"/>
      <c r="Q431" s="76"/>
      <c r="R431" s="76"/>
      <c r="S431" s="31"/>
      <c r="T431" s="31"/>
      <c r="U431" s="76">
        <v>-0.72857142857142854</v>
      </c>
      <c r="V431" s="76"/>
      <c r="W431" s="76"/>
      <c r="X431" s="76"/>
      <c r="Y431" s="76">
        <v>0.17316017316017307</v>
      </c>
      <c r="Z431" s="76">
        <v>0.35714285714285721</v>
      </c>
      <c r="AA431" s="76"/>
      <c r="AB431" s="76"/>
      <c r="AC431" s="76"/>
      <c r="AD431" s="142"/>
      <c r="AE431" s="142"/>
      <c r="AF431" s="142"/>
    </row>
    <row r="432" spans="1:32" x14ac:dyDescent="0.35">
      <c r="A432" t="s">
        <v>99</v>
      </c>
      <c r="B432" t="s">
        <v>473</v>
      </c>
      <c r="C432" s="31"/>
      <c r="D432" s="31">
        <v>1</v>
      </c>
      <c r="E432" s="72"/>
      <c r="F432" s="31">
        <v>1</v>
      </c>
      <c r="G432" s="73"/>
      <c r="H432" s="31">
        <v>72.73</v>
      </c>
      <c r="I432" s="72"/>
      <c r="J432" s="72">
        <v>-34.269999999999996</v>
      </c>
      <c r="K432" s="31">
        <v>14</v>
      </c>
      <c r="L432" s="31">
        <v>44.714285714285715</v>
      </c>
      <c r="M432" s="74"/>
      <c r="N432" s="74">
        <v>44.714285714285715</v>
      </c>
      <c r="O432" s="75"/>
      <c r="P432" s="75">
        <v>72.73</v>
      </c>
      <c r="Q432" s="76"/>
      <c r="R432" s="76">
        <v>-0.47119483019386765</v>
      </c>
      <c r="S432" s="31">
        <v>43</v>
      </c>
      <c r="T432" s="31"/>
      <c r="U432" s="76">
        <v>-0.6869009584664536</v>
      </c>
      <c r="V432" s="76"/>
      <c r="W432" s="76"/>
      <c r="X432" s="76"/>
      <c r="Y432" s="76">
        <v>0</v>
      </c>
      <c r="Z432" s="76">
        <v>0</v>
      </c>
      <c r="AA432" s="76"/>
      <c r="AB432" s="76"/>
      <c r="AC432" s="76"/>
      <c r="AD432" s="142"/>
      <c r="AE432" s="142"/>
      <c r="AF432" s="142"/>
    </row>
    <row r="433" spans="1:32" x14ac:dyDescent="0.35">
      <c r="A433" t="s">
        <v>99</v>
      </c>
      <c r="B433" t="s">
        <v>786</v>
      </c>
      <c r="C433" s="31"/>
      <c r="D433" s="31"/>
      <c r="E433" s="72"/>
      <c r="F433" s="31"/>
      <c r="G433" s="73"/>
      <c r="H433" s="31"/>
      <c r="I433" s="72"/>
      <c r="J433" s="72"/>
      <c r="K433" s="31">
        <v>-1</v>
      </c>
      <c r="L433" s="31"/>
      <c r="M433" s="74"/>
      <c r="N433" s="74"/>
      <c r="O433" s="75"/>
      <c r="P433" s="75"/>
      <c r="Q433" s="76"/>
      <c r="R433" s="76"/>
      <c r="S433" s="31"/>
      <c r="T433" s="31"/>
      <c r="U433" s="76"/>
      <c r="V433" s="76"/>
      <c r="W433" s="76"/>
      <c r="X433" s="76"/>
      <c r="Y433" s="76">
        <v>0</v>
      </c>
      <c r="Z433" s="76">
        <v>0</v>
      </c>
      <c r="AA433" s="76"/>
      <c r="AB433" s="76"/>
      <c r="AC433" s="76"/>
      <c r="AD433" s="142"/>
      <c r="AE433" s="142"/>
      <c r="AF433" s="142"/>
    </row>
    <row r="434" spans="1:32" x14ac:dyDescent="0.35">
      <c r="A434" t="s">
        <v>99</v>
      </c>
      <c r="B434" t="s">
        <v>474</v>
      </c>
      <c r="C434" s="31"/>
      <c r="D434" s="31"/>
      <c r="E434" s="72"/>
      <c r="F434" s="31"/>
      <c r="G434" s="73"/>
      <c r="H434" s="31"/>
      <c r="I434" s="72"/>
      <c r="J434" s="72"/>
      <c r="K434" s="31">
        <v>1</v>
      </c>
      <c r="L434" s="31">
        <v>3</v>
      </c>
      <c r="M434" s="74"/>
      <c r="N434" s="74"/>
      <c r="O434" s="75"/>
      <c r="P434" s="75"/>
      <c r="Q434" s="76"/>
      <c r="R434" s="76"/>
      <c r="S434" s="31">
        <v>60</v>
      </c>
      <c r="T434" s="31"/>
      <c r="U434" s="76">
        <v>-0.66666666666666674</v>
      </c>
      <c r="V434" s="76"/>
      <c r="W434" s="76"/>
      <c r="X434" s="76"/>
      <c r="Y434" s="76">
        <v>0</v>
      </c>
      <c r="Z434" s="76">
        <v>0</v>
      </c>
      <c r="AA434" s="76"/>
      <c r="AB434" s="76"/>
      <c r="AC434" s="76"/>
      <c r="AD434" s="142"/>
      <c r="AE434" s="142"/>
      <c r="AF434" s="142"/>
    </row>
    <row r="435" spans="1:32" x14ac:dyDescent="0.35">
      <c r="A435" t="s">
        <v>99</v>
      </c>
      <c r="B435" t="s">
        <v>475</v>
      </c>
      <c r="C435" s="31"/>
      <c r="D435" s="31"/>
      <c r="E435" s="72"/>
      <c r="F435" s="31"/>
      <c r="G435" s="73"/>
      <c r="H435" s="31"/>
      <c r="I435" s="72"/>
      <c r="J435" s="72"/>
      <c r="K435" s="31">
        <v>14</v>
      </c>
      <c r="L435" s="31">
        <v>22</v>
      </c>
      <c r="M435" s="74"/>
      <c r="N435" s="74"/>
      <c r="O435" s="75"/>
      <c r="P435" s="75"/>
      <c r="Q435" s="76"/>
      <c r="R435" s="76"/>
      <c r="S435" s="31">
        <v>78</v>
      </c>
      <c r="T435" s="31"/>
      <c r="U435" s="76">
        <v>-0.36363636363636365</v>
      </c>
      <c r="V435" s="76"/>
      <c r="W435" s="76"/>
      <c r="X435" s="76"/>
      <c r="Y435" s="76">
        <v>0.12296682336332143</v>
      </c>
      <c r="Z435" s="76">
        <v>0.11363636363636376</v>
      </c>
      <c r="AA435" s="76"/>
      <c r="AB435" s="76"/>
      <c r="AC435" s="76"/>
      <c r="AD435" s="142"/>
      <c r="AE435" s="142"/>
      <c r="AF435" s="142"/>
    </row>
    <row r="436" spans="1:32" x14ac:dyDescent="0.35">
      <c r="A436" t="s">
        <v>99</v>
      </c>
      <c r="B436" t="s">
        <v>480</v>
      </c>
      <c r="C436" s="31"/>
      <c r="D436" s="31"/>
      <c r="E436" s="72"/>
      <c r="F436" s="31"/>
      <c r="G436" s="73"/>
      <c r="H436" s="31"/>
      <c r="I436" s="72"/>
      <c r="J436" s="72"/>
      <c r="K436" s="31"/>
      <c r="L436" s="31"/>
      <c r="M436" s="74"/>
      <c r="N436" s="74"/>
      <c r="O436" s="75"/>
      <c r="P436" s="75"/>
      <c r="Q436" s="76"/>
      <c r="R436" s="76"/>
      <c r="S436" s="31">
        <v>1</v>
      </c>
      <c r="T436" s="31"/>
      <c r="U436" s="76"/>
      <c r="V436" s="76"/>
      <c r="W436" s="76"/>
      <c r="X436" s="76"/>
      <c r="Y436" s="76"/>
      <c r="Z436" s="76"/>
      <c r="AA436" s="76"/>
      <c r="AB436" s="76"/>
      <c r="AC436" s="76"/>
      <c r="AD436" s="142"/>
      <c r="AE436" s="142"/>
      <c r="AF436" s="142"/>
    </row>
    <row r="437" spans="1:32" x14ac:dyDescent="0.35">
      <c r="A437" s="138" t="s">
        <v>845</v>
      </c>
      <c r="B437" s="138"/>
      <c r="C437" s="127">
        <v>12537</v>
      </c>
      <c r="D437" s="127">
        <v>15352</v>
      </c>
      <c r="E437" s="126">
        <v>35613</v>
      </c>
      <c r="F437" s="127">
        <v>40077</v>
      </c>
      <c r="G437" s="127">
        <v>6555305.7900001872</v>
      </c>
      <c r="H437" s="127">
        <v>7724989.7999995258</v>
      </c>
      <c r="I437" s="126">
        <v>3271520.6499999259</v>
      </c>
      <c r="J437" s="126">
        <v>3097243.9799994081</v>
      </c>
      <c r="K437" s="127">
        <v>432429</v>
      </c>
      <c r="L437" s="127">
        <v>635097.71428571432</v>
      </c>
      <c r="M437" s="140">
        <v>12.142447982478309</v>
      </c>
      <c r="N437" s="140">
        <v>16.053464855269961</v>
      </c>
      <c r="O437" s="139">
        <v>184.07058630275986</v>
      </c>
      <c r="P437" s="139">
        <v>192.75369413877101</v>
      </c>
      <c r="Q437" s="141">
        <v>0.49906453715560878</v>
      </c>
      <c r="R437" s="141">
        <v>0.39302423510849116</v>
      </c>
      <c r="S437" s="127">
        <v>178661.85714285713</v>
      </c>
      <c r="T437" s="127"/>
      <c r="U437" s="141">
        <v>-0.34167295741217774</v>
      </c>
      <c r="V437" s="141">
        <v>-0.14714175212715519</v>
      </c>
      <c r="W437" s="141">
        <v>-0.18672089897120125</v>
      </c>
      <c r="X437" s="141">
        <v>3.5087236216820639E-2</v>
      </c>
      <c r="Y437" s="141">
        <v>-5.082585050816868E-2</v>
      </c>
      <c r="Z437" s="141">
        <v>-4.114215156464418E-2</v>
      </c>
      <c r="AA437" s="141">
        <v>-8.8785405419235963E-2</v>
      </c>
      <c r="AB437" s="141">
        <v>-8.0348425830325532E-3</v>
      </c>
      <c r="AC437" s="141">
        <v>8.861860127839094E-2</v>
      </c>
      <c r="AD437" s="143">
        <v>-0.20709350938408963</v>
      </c>
      <c r="AE437" s="143">
        <v>-9.0366948434117661E-2</v>
      </c>
      <c r="AF437" s="143">
        <v>4.4688829016362223E-2</v>
      </c>
    </row>
    <row r="438" spans="1:32" x14ac:dyDescent="0.35">
      <c r="A438" t="s">
        <v>106</v>
      </c>
      <c r="B438" t="s">
        <v>106</v>
      </c>
      <c r="C438" s="31">
        <v>4378</v>
      </c>
      <c r="D438" s="31">
        <v>7222</v>
      </c>
      <c r="E438" s="72">
        <v>5269</v>
      </c>
      <c r="F438" s="31">
        <v>8937</v>
      </c>
      <c r="G438" s="73">
        <v>3226339.3600000199</v>
      </c>
      <c r="H438" s="31">
        <v>5061719.9200001303</v>
      </c>
      <c r="I438" s="72">
        <v>1194781.1499999736</v>
      </c>
      <c r="J438" s="72">
        <v>1574322.090000167</v>
      </c>
      <c r="K438" s="31">
        <v>28523</v>
      </c>
      <c r="L438" s="31">
        <v>52547.428571428572</v>
      </c>
      <c r="M438" s="74">
        <v>5.4133611691022967</v>
      </c>
      <c r="N438" s="74">
        <v>5.9689591253259602</v>
      </c>
      <c r="O438" s="75">
        <v>612.32479787436318</v>
      </c>
      <c r="P438" s="75">
        <v>566.37797023611165</v>
      </c>
      <c r="Q438" s="76">
        <v>0.37032097888176468</v>
      </c>
      <c r="R438" s="76">
        <v>0.30578910022269301</v>
      </c>
      <c r="S438" s="31">
        <v>24681.814285714288</v>
      </c>
      <c r="T438" s="31"/>
      <c r="U438" s="76">
        <v>-0.48154320450640509</v>
      </c>
      <c r="V438" s="76">
        <v>-0.43314311290142105</v>
      </c>
      <c r="W438" s="76">
        <v>-0.37939661623949827</v>
      </c>
      <c r="X438" s="76">
        <v>-0.24485395200337656</v>
      </c>
      <c r="Y438" s="76">
        <v>-0.24119259234570811</v>
      </c>
      <c r="Z438" s="76">
        <v>-0.23910839773783943</v>
      </c>
      <c r="AA438" s="76">
        <v>-0.51090689687180912</v>
      </c>
      <c r="AB438" s="76">
        <v>-0.36480582612054102</v>
      </c>
      <c r="AC438" s="76">
        <v>0.29871832135194731</v>
      </c>
      <c r="AD438" s="142">
        <v>-0.54532781790980567</v>
      </c>
      <c r="AE438" s="142">
        <v>-0.50152886884794257</v>
      </c>
      <c r="AF438" s="142">
        <v>-0.49422045737855763</v>
      </c>
    </row>
    <row r="439" spans="1:32" x14ac:dyDescent="0.35">
      <c r="A439" t="s">
        <v>106</v>
      </c>
      <c r="B439" t="s">
        <v>455</v>
      </c>
      <c r="C439" s="31">
        <v>3481</v>
      </c>
      <c r="D439" s="31">
        <v>6040</v>
      </c>
      <c r="E439" s="72">
        <v>6095</v>
      </c>
      <c r="F439" s="31">
        <v>7367</v>
      </c>
      <c r="G439" s="73">
        <v>1675460.5999999898</v>
      </c>
      <c r="H439" s="31">
        <v>2420164.9199998332</v>
      </c>
      <c r="I439" s="72">
        <v>347553.61999999394</v>
      </c>
      <c r="J439" s="72">
        <v>811858.65999982599</v>
      </c>
      <c r="K439" s="31">
        <v>21048.571428571428</v>
      </c>
      <c r="L439" s="31">
        <v>45484.142857142855</v>
      </c>
      <c r="M439" s="74">
        <v>3.4534161490683228</v>
      </c>
      <c r="N439" s="74">
        <v>6.3300768951897579</v>
      </c>
      <c r="O439" s="75">
        <v>274.89099261689745</v>
      </c>
      <c r="P439" s="75">
        <v>328.51430975971675</v>
      </c>
      <c r="Q439" s="76">
        <v>0.20743765624807653</v>
      </c>
      <c r="R439" s="76">
        <v>0.3302996349821663</v>
      </c>
      <c r="S439" s="31">
        <v>11289.896571428573</v>
      </c>
      <c r="T439" s="31"/>
      <c r="U439" s="76">
        <v>-0.55622838728724933</v>
      </c>
      <c r="V439" s="76">
        <v>-0.18555721460567398</v>
      </c>
      <c r="W439" s="76">
        <v>-0.32329748007416581</v>
      </c>
      <c r="X439" s="76">
        <v>-0.58787244767748836</v>
      </c>
      <c r="Y439" s="76">
        <v>-0.16465022218485659</v>
      </c>
      <c r="Z439" s="76">
        <v>-0.16158805487745898</v>
      </c>
      <c r="AA439" s="76">
        <v>1.4389755902360943</v>
      </c>
      <c r="AB439" s="76">
        <v>0.63783198342206093</v>
      </c>
      <c r="AC439" s="76">
        <v>-0.32847545093162744</v>
      </c>
      <c r="AD439" s="142">
        <v>-8.2469051545624145E-2</v>
      </c>
      <c r="AE439" s="142">
        <v>-9.7467504258458959E-2</v>
      </c>
      <c r="AF439" s="142">
        <v>-0.45930389747090122</v>
      </c>
    </row>
    <row r="440" spans="1:32" x14ac:dyDescent="0.35">
      <c r="A440" t="s">
        <v>106</v>
      </c>
      <c r="B440" t="s">
        <v>456</v>
      </c>
      <c r="C440" s="31">
        <v>123</v>
      </c>
      <c r="D440" s="31">
        <v>146</v>
      </c>
      <c r="E440" s="72">
        <v>132</v>
      </c>
      <c r="F440" s="31">
        <v>156</v>
      </c>
      <c r="G440" s="73">
        <v>42566.109999999979</v>
      </c>
      <c r="H440" s="31">
        <v>48411.080000000016</v>
      </c>
      <c r="I440" s="72">
        <v>14321.110000000022</v>
      </c>
      <c r="J440" s="72">
        <v>18216.580000000016</v>
      </c>
      <c r="K440" s="31">
        <v>3353.7142857142858</v>
      </c>
      <c r="L440" s="31">
        <v>3962.7142857142858</v>
      </c>
      <c r="M440" s="74">
        <v>25.406926406926406</v>
      </c>
      <c r="N440" s="74">
        <v>26.035714285714285</v>
      </c>
      <c r="O440" s="75">
        <v>322.47053030303016</v>
      </c>
      <c r="P440" s="75">
        <v>310.32743589743598</v>
      </c>
      <c r="Q440" s="76">
        <v>0.33644394566475605</v>
      </c>
      <c r="R440" s="76">
        <v>0.37628947753282949</v>
      </c>
      <c r="S440" s="31">
        <v>1538.7142857142858</v>
      </c>
      <c r="T440" s="31"/>
      <c r="U440" s="76">
        <v>-0.1613612603194059</v>
      </c>
      <c r="V440" s="76">
        <v>-0.16666666666666663</v>
      </c>
      <c r="W440" s="76">
        <v>-0.13425624877610742</v>
      </c>
      <c r="X440" s="76">
        <v>-0.22616704123386711</v>
      </c>
      <c r="Y440" s="76">
        <v>-4.4852605310324312E-2</v>
      </c>
      <c r="Z440" s="76">
        <v>-4.483684595980153E-2</v>
      </c>
      <c r="AA440" s="76">
        <v>-4.3478260869565188E-2</v>
      </c>
      <c r="AB440" s="76">
        <v>-1.7253770943562619E-2</v>
      </c>
      <c r="AC440" s="76">
        <v>2.7416512195366227E-2</v>
      </c>
      <c r="AD440" s="142"/>
      <c r="AE440" s="142"/>
      <c r="AF440" s="142"/>
    </row>
    <row r="441" spans="1:32" x14ac:dyDescent="0.35">
      <c r="A441" t="s">
        <v>106</v>
      </c>
      <c r="B441" t="s">
        <v>457</v>
      </c>
      <c r="C441" s="31">
        <v>29</v>
      </c>
      <c r="D441" s="31">
        <v>89</v>
      </c>
      <c r="E441" s="72">
        <v>40</v>
      </c>
      <c r="F441" s="31">
        <v>97</v>
      </c>
      <c r="G441" s="73">
        <v>9046.31</v>
      </c>
      <c r="H441" s="31">
        <v>39606.180000000044</v>
      </c>
      <c r="I441" s="72">
        <v>1517.7799999999997</v>
      </c>
      <c r="J441" s="72">
        <v>12609.280000000042</v>
      </c>
      <c r="K441" s="31">
        <v>401.14285714285717</v>
      </c>
      <c r="L441" s="31">
        <v>1902.2857142857142</v>
      </c>
      <c r="M441" s="74">
        <v>10.028571428571428</v>
      </c>
      <c r="N441" s="74">
        <v>19.969696969696969</v>
      </c>
      <c r="O441" s="75">
        <v>226.15774999999999</v>
      </c>
      <c r="P441" s="75">
        <v>408.31113402061902</v>
      </c>
      <c r="Q441" s="76">
        <v>0.16777890653758271</v>
      </c>
      <c r="R441" s="76">
        <v>0.3119228880612806</v>
      </c>
      <c r="S441" s="31">
        <v>152.28571428571428</v>
      </c>
      <c r="T441" s="31"/>
      <c r="U441" s="76">
        <v>-0.79122859717632921</v>
      </c>
      <c r="V441" s="76">
        <v>-0.59793814432989689</v>
      </c>
      <c r="W441" s="76">
        <v>-0.78306996534379247</v>
      </c>
      <c r="X441" s="76">
        <v>-0.88998241481190987</v>
      </c>
      <c r="Y441" s="76">
        <v>-5.1218879999398448E-2</v>
      </c>
      <c r="Z441" s="76">
        <v>-5.2951096121416463E-2</v>
      </c>
      <c r="AA441" s="76">
        <v>1</v>
      </c>
      <c r="AB441" s="76">
        <v>0.30182776341105755</v>
      </c>
      <c r="AC441" s="76">
        <v>-0.34908611829447123</v>
      </c>
      <c r="AD441" s="142"/>
      <c r="AE441" s="142"/>
      <c r="AF441" s="142"/>
    </row>
    <row r="442" spans="1:32" x14ac:dyDescent="0.35">
      <c r="A442" s="138" t="s">
        <v>846</v>
      </c>
      <c r="B442" s="138"/>
      <c r="C442" s="127">
        <v>7877</v>
      </c>
      <c r="D442" s="127">
        <v>13107</v>
      </c>
      <c r="E442" s="126">
        <v>11536</v>
      </c>
      <c r="F442" s="127">
        <v>16557</v>
      </c>
      <c r="G442" s="127">
        <v>4953412.3800000446</v>
      </c>
      <c r="H442" s="127">
        <v>7569902.0999997528</v>
      </c>
      <c r="I442" s="126">
        <v>1558173.6599999936</v>
      </c>
      <c r="J442" s="126">
        <v>2417006.6099997768</v>
      </c>
      <c r="K442" s="127">
        <v>53326.428571428572</v>
      </c>
      <c r="L442" s="127">
        <v>103896.57142857143</v>
      </c>
      <c r="M442" s="140">
        <v>4.6226099663166238</v>
      </c>
      <c r="N442" s="140">
        <v>6.3978125106065242</v>
      </c>
      <c r="O442" s="139">
        <v>429.38734223301356</v>
      </c>
      <c r="P442" s="139">
        <v>457.20251857219017</v>
      </c>
      <c r="Q442" s="141">
        <v>0.31456570551066843</v>
      </c>
      <c r="R442" s="141">
        <v>0.31409385472191553</v>
      </c>
      <c r="S442" s="127">
        <v>37662.710857142862</v>
      </c>
      <c r="T442" s="127"/>
      <c r="U442" s="141">
        <v>-0.50769721536253098</v>
      </c>
      <c r="V442" s="141">
        <v>-0.32143504258017752</v>
      </c>
      <c r="W442" s="141">
        <v>-0.36200554429888421</v>
      </c>
      <c r="X442" s="141">
        <v>-0.36324821828634457</v>
      </c>
      <c r="Y442" s="141">
        <v>-0.21351643849102742</v>
      </c>
      <c r="Z442" s="141">
        <v>-0.19841566384071596</v>
      </c>
      <c r="AA442" s="141">
        <v>-0.14102755026061053</v>
      </c>
      <c r="AB442" s="141">
        <v>-0.19489871848265361</v>
      </c>
      <c r="AC442" s="141">
        <v>-6.2715827775835509E-2</v>
      </c>
      <c r="AD442" s="143">
        <v>-0.36724541040102859</v>
      </c>
      <c r="AE442" s="143">
        <v>-0.4052719089222514</v>
      </c>
      <c r="AF442" s="143">
        <v>-0.48148092588511082</v>
      </c>
    </row>
    <row r="443" spans="1:32" x14ac:dyDescent="0.35">
      <c r="A443" t="s">
        <v>96</v>
      </c>
      <c r="B443" t="s">
        <v>96</v>
      </c>
      <c r="C443" s="31">
        <v>3685</v>
      </c>
      <c r="D443" s="31">
        <v>2691</v>
      </c>
      <c r="E443" s="72">
        <v>4893</v>
      </c>
      <c r="F443" s="31">
        <v>3331</v>
      </c>
      <c r="G443" s="73">
        <v>3400663.6999999839</v>
      </c>
      <c r="H443" s="31">
        <v>2930955.3500000047</v>
      </c>
      <c r="I443" s="72">
        <v>1518413.500000003</v>
      </c>
      <c r="J443" s="72">
        <v>1332020.1000000017</v>
      </c>
      <c r="K443" s="31">
        <v>48347.857142857145</v>
      </c>
      <c r="L443" s="31">
        <v>44911.285714285717</v>
      </c>
      <c r="M443" s="74">
        <v>9.881025371522</v>
      </c>
      <c r="N443" s="74">
        <v>13.618713156904553</v>
      </c>
      <c r="O443" s="75">
        <v>695.00586552217123</v>
      </c>
      <c r="P443" s="75">
        <v>879.90253677574447</v>
      </c>
      <c r="Q443" s="76">
        <v>0.44650504547097969</v>
      </c>
      <c r="R443" s="76">
        <v>0.44369739558755333</v>
      </c>
      <c r="S443" s="31">
        <v>26489</v>
      </c>
      <c r="T443" s="31"/>
      <c r="U443" s="76">
        <v>3.0310548732580544E-2</v>
      </c>
      <c r="V443" s="76">
        <v>0.41939357550285195</v>
      </c>
      <c r="W443" s="76">
        <v>0.12188448043058009</v>
      </c>
      <c r="X443" s="76">
        <v>0.13654196693705156</v>
      </c>
      <c r="Y443" s="76">
        <v>-2.8916518693932192E-3</v>
      </c>
      <c r="Z443" s="76">
        <v>-2.0383411920330441E-2</v>
      </c>
      <c r="AA443" s="76">
        <v>0.13159111933395007</v>
      </c>
      <c r="AB443" s="76">
        <v>6.9467396029385453E-2</v>
      </c>
      <c r="AC443" s="76">
        <v>-5.4899444015723997E-2</v>
      </c>
      <c r="AD443" s="142">
        <v>3.6771375702172683E-2</v>
      </c>
      <c r="AE443" s="142">
        <v>6.2171378548579416E-3</v>
      </c>
      <c r="AF443" s="142">
        <v>-3.0115809555145517E-2</v>
      </c>
    </row>
    <row r="444" spans="1:32" x14ac:dyDescent="0.35">
      <c r="A444" t="s">
        <v>96</v>
      </c>
      <c r="B444" t="s">
        <v>620</v>
      </c>
      <c r="C444" s="31">
        <v>1230</v>
      </c>
      <c r="D444" s="31">
        <v>1092</v>
      </c>
      <c r="E444" s="72">
        <v>1538</v>
      </c>
      <c r="F444" s="31">
        <v>1289</v>
      </c>
      <c r="G444" s="73">
        <v>1086785.6699999969</v>
      </c>
      <c r="H444" s="31">
        <v>685329.56000000099</v>
      </c>
      <c r="I444" s="72">
        <v>711532.3100000032</v>
      </c>
      <c r="J444" s="72">
        <v>399864.2300000008</v>
      </c>
      <c r="K444" s="31">
        <v>18565.714285714286</v>
      </c>
      <c r="L444" s="31">
        <v>15299</v>
      </c>
      <c r="M444" s="74">
        <v>12.071335686420213</v>
      </c>
      <c r="N444" s="74">
        <v>12.149116064565719</v>
      </c>
      <c r="O444" s="75">
        <v>706.62267230168845</v>
      </c>
      <c r="P444" s="75">
        <v>531.67537626066792</v>
      </c>
      <c r="Q444" s="76">
        <v>0.65471263528898505</v>
      </c>
      <c r="R444" s="76">
        <v>0.57703303793063898</v>
      </c>
      <c r="S444" s="31">
        <v>2636.1428571428573</v>
      </c>
      <c r="T444" s="31"/>
      <c r="U444" s="76">
        <v>0.16436181636521519</v>
      </c>
      <c r="V444" s="76">
        <v>0.13964313421256791</v>
      </c>
      <c r="W444" s="76">
        <v>0.52089534850940478</v>
      </c>
      <c r="X444" s="76">
        <v>0.7301883300544969</v>
      </c>
      <c r="Y444" s="76">
        <v>-4.2766552047920015E-2</v>
      </c>
      <c r="Z444" s="76">
        <v>-3.9432351528142062E-2</v>
      </c>
      <c r="AA444" s="76">
        <v>9.622238061297228E-2</v>
      </c>
      <c r="AB444" s="76">
        <v>8.0183909997265213E-2</v>
      </c>
      <c r="AC444" s="76">
        <v>-1.4630672479737816E-2</v>
      </c>
      <c r="AD444" s="142">
        <v>-0.30030802369726606</v>
      </c>
      <c r="AE444" s="142">
        <v>-9.7349981554158568E-2</v>
      </c>
      <c r="AF444" s="142">
        <v>0.14818535300738014</v>
      </c>
    </row>
    <row r="445" spans="1:32" x14ac:dyDescent="0.35">
      <c r="A445" t="s">
        <v>96</v>
      </c>
      <c r="B445" t="s">
        <v>623</v>
      </c>
      <c r="C445" s="31">
        <v>27</v>
      </c>
      <c r="D445" s="31">
        <v>13</v>
      </c>
      <c r="E445" s="72">
        <v>33</v>
      </c>
      <c r="F445" s="31">
        <v>17</v>
      </c>
      <c r="G445" s="73">
        <v>21343.33</v>
      </c>
      <c r="H445" s="31">
        <v>7278.130000000001</v>
      </c>
      <c r="I445" s="72">
        <v>6930.340000000002</v>
      </c>
      <c r="J445" s="72">
        <v>442.70000000000255</v>
      </c>
      <c r="K445" s="31">
        <v>668.71428571428567</v>
      </c>
      <c r="L445" s="31">
        <v>346.85714285714283</v>
      </c>
      <c r="M445" s="74">
        <v>20.264069264069263</v>
      </c>
      <c r="N445" s="74">
        <v>21.764705882352942</v>
      </c>
      <c r="O445" s="75">
        <v>646.76757575757586</v>
      </c>
      <c r="P445" s="75">
        <v>428.12529411764712</v>
      </c>
      <c r="Q445" s="76">
        <v>0.32470753158012367</v>
      </c>
      <c r="R445" s="76">
        <v>6.0826063837826815E-2</v>
      </c>
      <c r="S445" s="31">
        <v>345.14285714285717</v>
      </c>
      <c r="T445" s="31"/>
      <c r="U445" s="76">
        <v>0.74423393739703481</v>
      </c>
      <c r="V445" s="76">
        <v>0.82352941176470584</v>
      </c>
      <c r="W445" s="76">
        <v>1.7451708062373159</v>
      </c>
      <c r="X445" s="76">
        <v>13.550982606731335</v>
      </c>
      <c r="Y445" s="76">
        <v>-5.4697947891122478E-2</v>
      </c>
      <c r="Z445" s="76">
        <v>-5.0121753246753276E-2</v>
      </c>
      <c r="AA445" s="76">
        <v>0.5</v>
      </c>
      <c r="AB445" s="76">
        <v>0.48088711697391084</v>
      </c>
      <c r="AC445" s="76">
        <v>-1.2741922017392548E-2</v>
      </c>
      <c r="AD445" s="142"/>
      <c r="AE445" s="142"/>
      <c r="AF445" s="142"/>
    </row>
    <row r="446" spans="1:32" x14ac:dyDescent="0.35">
      <c r="A446" t="s">
        <v>96</v>
      </c>
      <c r="B446" t="s">
        <v>622</v>
      </c>
      <c r="C446" s="31">
        <v>13</v>
      </c>
      <c r="D446" s="31">
        <v>7</v>
      </c>
      <c r="E446" s="72">
        <v>14</v>
      </c>
      <c r="F446" s="31">
        <v>8</v>
      </c>
      <c r="G446" s="73">
        <v>9833.5</v>
      </c>
      <c r="H446" s="31">
        <v>6738.59</v>
      </c>
      <c r="I446" s="72">
        <v>1915.68</v>
      </c>
      <c r="J446" s="72">
        <v>2020.6400000000003</v>
      </c>
      <c r="K446" s="31">
        <v>122.14285714285714</v>
      </c>
      <c r="L446" s="31">
        <v>316</v>
      </c>
      <c r="M446" s="74">
        <v>8.7244897959183678</v>
      </c>
      <c r="N446" s="74">
        <v>36.253968253968253</v>
      </c>
      <c r="O446" s="75">
        <v>702.39285714285711</v>
      </c>
      <c r="P446" s="75">
        <v>842.32375000000002</v>
      </c>
      <c r="Q446" s="76">
        <v>0.1948116133624854</v>
      </c>
      <c r="R446" s="76">
        <v>0.26820138995811016</v>
      </c>
      <c r="S446" s="31">
        <v>56.428571428571431</v>
      </c>
      <c r="T446" s="31"/>
      <c r="U446" s="76">
        <v>-0.61347197106690776</v>
      </c>
      <c r="V446" s="76">
        <v>0.75</v>
      </c>
      <c r="W446" s="76">
        <v>0.4592815410939084</v>
      </c>
      <c r="X446" s="76">
        <v>0.1260823306038712</v>
      </c>
      <c r="Y446" s="76">
        <v>-0.12304005680733487</v>
      </c>
      <c r="Z446" s="76">
        <v>-0.11855670103092797</v>
      </c>
      <c r="AA446" s="76">
        <v>0.27272727272727271</v>
      </c>
      <c r="AB446" s="76">
        <v>0.17832086131797942</v>
      </c>
      <c r="AC446" s="76">
        <v>-7.4176466107301997E-2</v>
      </c>
      <c r="AD446" s="142"/>
      <c r="AE446" s="142"/>
      <c r="AF446" s="142"/>
    </row>
    <row r="447" spans="1:32" x14ac:dyDescent="0.35">
      <c r="A447" t="s">
        <v>96</v>
      </c>
      <c r="B447" t="s">
        <v>625</v>
      </c>
      <c r="C447" s="31">
        <v>2</v>
      </c>
      <c r="D447" s="31">
        <v>2</v>
      </c>
      <c r="E447" s="72">
        <v>2</v>
      </c>
      <c r="F447" s="31">
        <v>2</v>
      </c>
      <c r="G447" s="73">
        <v>545.44000000000005</v>
      </c>
      <c r="H447" s="31">
        <v>338.37</v>
      </c>
      <c r="I447" s="72">
        <v>151.84</v>
      </c>
      <c r="J447" s="72">
        <v>59.569999999999993</v>
      </c>
      <c r="K447" s="31">
        <v>21.142857142857142</v>
      </c>
      <c r="L447" s="31">
        <v>60.285714285714285</v>
      </c>
      <c r="M447" s="74">
        <v>10.571428571428571</v>
      </c>
      <c r="N447" s="74">
        <v>31.642857142857142</v>
      </c>
      <c r="O447" s="75">
        <v>272.72000000000003</v>
      </c>
      <c r="P447" s="75">
        <v>169.185</v>
      </c>
      <c r="Q447" s="76">
        <v>0.27838075682018187</v>
      </c>
      <c r="R447" s="76">
        <v>0.17604988621922746</v>
      </c>
      <c r="S447" s="31">
        <v>87</v>
      </c>
      <c r="T447" s="31"/>
      <c r="U447" s="76">
        <v>-0.64928909952606628</v>
      </c>
      <c r="V447" s="76">
        <v>0</v>
      </c>
      <c r="W447" s="76">
        <v>0.61196323551142262</v>
      </c>
      <c r="X447" s="76">
        <v>1.5489340271948975</v>
      </c>
      <c r="Y447" s="76">
        <v>-6.4970221981591525E-2</v>
      </c>
      <c r="Z447" s="76">
        <v>-6.3291139240506444E-2</v>
      </c>
      <c r="AA447" s="76">
        <v>1</v>
      </c>
      <c r="AB447" s="76">
        <v>1.35296147707174</v>
      </c>
      <c r="AC447" s="76">
        <v>0.17648073853586999</v>
      </c>
      <c r="AD447" s="142"/>
      <c r="AE447" s="142"/>
      <c r="AF447" s="142"/>
    </row>
    <row r="448" spans="1:32" x14ac:dyDescent="0.35">
      <c r="A448" t="s">
        <v>96</v>
      </c>
      <c r="B448" t="s">
        <v>624</v>
      </c>
      <c r="C448" s="31">
        <v>3</v>
      </c>
      <c r="D448" s="31">
        <v>7</v>
      </c>
      <c r="E448" s="72">
        <v>3</v>
      </c>
      <c r="F448" s="31">
        <v>12</v>
      </c>
      <c r="G448" s="73">
        <v>454.52000000000004</v>
      </c>
      <c r="H448" s="31">
        <v>1723.5800000000002</v>
      </c>
      <c r="I448" s="72">
        <v>283.34000000000003</v>
      </c>
      <c r="J448" s="72">
        <v>450.25</v>
      </c>
      <c r="K448" s="31">
        <v>187.14285714285714</v>
      </c>
      <c r="L448" s="31">
        <v>508.57142857142856</v>
      </c>
      <c r="M448" s="74">
        <v>62.38095238095238</v>
      </c>
      <c r="N448" s="74">
        <v>44.666666666666664</v>
      </c>
      <c r="O448" s="75">
        <v>151.50666666666669</v>
      </c>
      <c r="P448" s="75">
        <v>143.63166666666669</v>
      </c>
      <c r="Q448" s="76">
        <v>0.62338290944292885</v>
      </c>
      <c r="R448" s="76">
        <v>0.26122953387716263</v>
      </c>
      <c r="S448" s="31">
        <v>22</v>
      </c>
      <c r="T448" s="31"/>
      <c r="U448" s="76">
        <v>-0.63455056179775271</v>
      </c>
      <c r="V448" s="76">
        <v>-0.75</v>
      </c>
      <c r="W448" s="76">
        <v>-0.73629306443565135</v>
      </c>
      <c r="X448" s="76">
        <v>-0.37070516379788998</v>
      </c>
      <c r="Y448" s="76">
        <v>9.1672250668786148E-3</v>
      </c>
      <c r="Z448" s="76">
        <v>2.2953328232593329E-3</v>
      </c>
      <c r="AA448" s="76">
        <v>-0.5714285714285714</v>
      </c>
      <c r="AB448" s="76">
        <v>-0.35895519230497996</v>
      </c>
      <c r="AC448" s="76">
        <v>0.49577121795504686</v>
      </c>
      <c r="AD448" s="142"/>
      <c r="AE448" s="142"/>
      <c r="AF448" s="142"/>
    </row>
    <row r="449" spans="1:32" x14ac:dyDescent="0.35">
      <c r="A449" t="s">
        <v>96</v>
      </c>
      <c r="B449" t="s">
        <v>621</v>
      </c>
      <c r="C449" s="31">
        <v>2</v>
      </c>
      <c r="D449" s="31">
        <v>24</v>
      </c>
      <c r="E449" s="72">
        <v>2</v>
      </c>
      <c r="F449" s="31">
        <v>24</v>
      </c>
      <c r="G449" s="73">
        <v>334.28999999999996</v>
      </c>
      <c r="H449" s="31">
        <v>5086.28</v>
      </c>
      <c r="I449" s="72">
        <v>108.25</v>
      </c>
      <c r="J449" s="72">
        <v>1462.6899999999991</v>
      </c>
      <c r="K449" s="31">
        <v>111</v>
      </c>
      <c r="L449" s="31">
        <v>636.28571428571433</v>
      </c>
      <c r="M449" s="74">
        <v>55.5</v>
      </c>
      <c r="N449" s="74">
        <v>27.553571428571431</v>
      </c>
      <c r="O449" s="75">
        <v>167.14499999999998</v>
      </c>
      <c r="P449" s="75">
        <v>211.92833333333331</v>
      </c>
      <c r="Q449" s="76">
        <v>0.32382063477818662</v>
      </c>
      <c r="R449" s="76">
        <v>0.28757559552364387</v>
      </c>
      <c r="S449" s="31">
        <v>79.285714285714292</v>
      </c>
      <c r="T449" s="31"/>
      <c r="U449" s="76">
        <v>-0.82869330938482266</v>
      </c>
      <c r="V449" s="76">
        <v>-0.91666666666666663</v>
      </c>
      <c r="W449" s="76">
        <v>-0.93427613108204821</v>
      </c>
      <c r="X449" s="76">
        <v>-0.92599252062979853</v>
      </c>
      <c r="Y449" s="76">
        <v>-5.1674799155353668E-2</v>
      </c>
      <c r="Z449" s="76">
        <v>-4.4280442804428E-2</v>
      </c>
      <c r="AA449" s="76">
        <v>-0.83333333333333337</v>
      </c>
      <c r="AB449" s="76">
        <v>-0.83284664233211658</v>
      </c>
      <c r="AC449" s="76">
        <v>2.9201460073002838E-3</v>
      </c>
      <c r="AD449" s="142"/>
      <c r="AE449" s="142"/>
      <c r="AF449" s="142"/>
    </row>
    <row r="450" spans="1:32" x14ac:dyDescent="0.35">
      <c r="A450" t="s">
        <v>96</v>
      </c>
      <c r="B450" t="s">
        <v>626</v>
      </c>
      <c r="C450" s="31"/>
      <c r="D450" s="31"/>
      <c r="E450" s="72"/>
      <c r="F450" s="31"/>
      <c r="G450" s="73"/>
      <c r="H450" s="31"/>
      <c r="I450" s="72"/>
      <c r="J450" s="72"/>
      <c r="K450" s="31">
        <v>7.4285714285714288</v>
      </c>
      <c r="L450" s="31">
        <v>9</v>
      </c>
      <c r="M450" s="74"/>
      <c r="N450" s="74"/>
      <c r="O450" s="75"/>
      <c r="P450" s="75"/>
      <c r="Q450" s="76"/>
      <c r="R450" s="76"/>
      <c r="S450" s="31">
        <v>4</v>
      </c>
      <c r="T450" s="31"/>
      <c r="U450" s="76">
        <v>-0.17460317460317454</v>
      </c>
      <c r="V450" s="76"/>
      <c r="W450" s="76"/>
      <c r="X450" s="76"/>
      <c r="Y450" s="76">
        <v>4.9181236330677613E-2</v>
      </c>
      <c r="Z450" s="76">
        <v>6.1224489795918435E-2</v>
      </c>
      <c r="AA450" s="76"/>
      <c r="AB450" s="76"/>
      <c r="AC450" s="76"/>
      <c r="AD450" s="142"/>
      <c r="AE450" s="142"/>
      <c r="AF450" s="142"/>
    </row>
    <row r="451" spans="1:32" x14ac:dyDescent="0.35">
      <c r="A451" t="s">
        <v>96</v>
      </c>
      <c r="B451" t="s">
        <v>787</v>
      </c>
      <c r="C451" s="31"/>
      <c r="D451" s="31"/>
      <c r="E451" s="72"/>
      <c r="F451" s="31"/>
      <c r="G451" s="73"/>
      <c r="H451" s="31"/>
      <c r="I451" s="72"/>
      <c r="J451" s="72"/>
      <c r="K451" s="31"/>
      <c r="L451" s="31"/>
      <c r="M451" s="74"/>
      <c r="N451" s="74"/>
      <c r="O451" s="75"/>
      <c r="P451" s="75"/>
      <c r="Q451" s="76"/>
      <c r="R451" s="76"/>
      <c r="S451" s="31">
        <v>2</v>
      </c>
      <c r="T451" s="31"/>
      <c r="U451" s="76"/>
      <c r="V451" s="76"/>
      <c r="W451" s="76"/>
      <c r="X451" s="76"/>
      <c r="Y451" s="76"/>
      <c r="Z451" s="76"/>
      <c r="AA451" s="76"/>
      <c r="AB451" s="76"/>
      <c r="AC451" s="76"/>
      <c r="AD451" s="142"/>
      <c r="AE451" s="142"/>
      <c r="AF451" s="142"/>
    </row>
    <row r="452" spans="1:32" x14ac:dyDescent="0.35">
      <c r="A452" s="138" t="s">
        <v>847</v>
      </c>
      <c r="B452" s="138"/>
      <c r="C452" s="127">
        <v>4827</v>
      </c>
      <c r="D452" s="127">
        <v>3737</v>
      </c>
      <c r="E452" s="126">
        <v>6485</v>
      </c>
      <c r="F452" s="127">
        <v>4683</v>
      </c>
      <c r="G452" s="127">
        <v>4519960.4499999816</v>
      </c>
      <c r="H452" s="127">
        <v>3637449.8600000129</v>
      </c>
      <c r="I452" s="126">
        <v>2239335.259999977</v>
      </c>
      <c r="J452" s="126">
        <v>1736320.1800000039</v>
      </c>
      <c r="K452" s="127">
        <v>68031.142857142855</v>
      </c>
      <c r="L452" s="127">
        <v>62087.285714285717</v>
      </c>
      <c r="M452" s="140">
        <v>10.490538605573301</v>
      </c>
      <c r="N452" s="140">
        <v>13.447720618987871</v>
      </c>
      <c r="O452" s="139">
        <v>696.98696222050603</v>
      </c>
      <c r="P452" s="139">
        <v>776.7349690369449</v>
      </c>
      <c r="Q452" s="141">
        <v>0.49543248990154021</v>
      </c>
      <c r="R452" s="141">
        <v>0.46712723698561792</v>
      </c>
      <c r="S452" s="127">
        <v>29721</v>
      </c>
      <c r="T452" s="127"/>
      <c r="U452" s="141">
        <v>4.911518576382079E-2</v>
      </c>
      <c r="V452" s="141">
        <v>0.33440102498398461</v>
      </c>
      <c r="W452" s="141">
        <v>0.19909702892783265</v>
      </c>
      <c r="X452" s="141">
        <v>0.27702687565684458</v>
      </c>
      <c r="Y452" s="141">
        <v>-1.1042159680703212E-2</v>
      </c>
      <c r="Z452" s="141">
        <v>-2.6133084661051131E-2</v>
      </c>
      <c r="AA452" s="141">
        <v>0.12197231833910038</v>
      </c>
      <c r="AB452" s="141">
        <v>7.3221151362386827E-2</v>
      </c>
      <c r="AC452" s="141">
        <v>-4.3451309965366947E-2</v>
      </c>
      <c r="AD452" s="143">
        <v>-6.2531952156430176E-2</v>
      </c>
      <c r="AE452" s="143">
        <v>-1.389417843874028E-2</v>
      </c>
      <c r="AF452" s="143">
        <v>2.4743927088121162E-2</v>
      </c>
    </row>
    <row r="453" spans="1:32" x14ac:dyDescent="0.35">
      <c r="A453" t="s">
        <v>97</v>
      </c>
      <c r="B453" t="s">
        <v>97</v>
      </c>
      <c r="C453" s="31">
        <v>4325</v>
      </c>
      <c r="D453" s="31">
        <v>4525</v>
      </c>
      <c r="E453" s="72">
        <v>6165</v>
      </c>
      <c r="F453" s="31">
        <v>8060</v>
      </c>
      <c r="G453" s="73">
        <v>4079654.4499999718</v>
      </c>
      <c r="H453" s="31">
        <v>3203610.0399999586</v>
      </c>
      <c r="I453" s="72">
        <v>2701934.3099999949</v>
      </c>
      <c r="J453" s="72">
        <v>1566940.8599999559</v>
      </c>
      <c r="K453" s="31">
        <v>54920.714285714283</v>
      </c>
      <c r="L453" s="31">
        <v>74135.428571428565</v>
      </c>
      <c r="M453" s="74">
        <v>8.9084694705132659</v>
      </c>
      <c r="N453" s="74">
        <v>9.3653235653235658</v>
      </c>
      <c r="O453" s="75">
        <v>661.74443633413978</v>
      </c>
      <c r="P453" s="75">
        <v>397.47022828783605</v>
      </c>
      <c r="Q453" s="76">
        <v>0.66229489362757521</v>
      </c>
      <c r="R453" s="76">
        <v>0.48217984806108055</v>
      </c>
      <c r="S453" s="31">
        <v>54723.571428571428</v>
      </c>
      <c r="T453" s="31"/>
      <c r="U453" s="76">
        <v>-0.28210919013080304</v>
      </c>
      <c r="V453" s="76">
        <v>-0.25806451612903225</v>
      </c>
      <c r="W453" s="76">
        <v>0.23623629610051444</v>
      </c>
      <c r="X453" s="76">
        <v>0.69892685212770611</v>
      </c>
      <c r="Y453" s="76">
        <v>3.8889724485529076E-3</v>
      </c>
      <c r="Z453" s="76">
        <v>-2.6539167972439159E-3</v>
      </c>
      <c r="AA453" s="76">
        <v>6.7902303828165644E-2</v>
      </c>
      <c r="AB453" s="76">
        <v>3.6223948425156527E-2</v>
      </c>
      <c r="AC453" s="76">
        <v>-2.9664095010798475E-2</v>
      </c>
      <c r="AD453" s="142">
        <v>-0.40063423689237138</v>
      </c>
      <c r="AE453" s="142">
        <v>-0.15148972880347603</v>
      </c>
      <c r="AF453" s="142">
        <v>7.6165833594204008E-2</v>
      </c>
    </row>
    <row r="454" spans="1:32" x14ac:dyDescent="0.35">
      <c r="A454" t="s">
        <v>97</v>
      </c>
      <c r="B454" t="s">
        <v>612</v>
      </c>
      <c r="C454" s="31">
        <v>675</v>
      </c>
      <c r="D454" s="31">
        <v>836</v>
      </c>
      <c r="E454" s="72">
        <v>1481</v>
      </c>
      <c r="F454" s="31">
        <v>1813</v>
      </c>
      <c r="G454" s="73">
        <v>277161.33999999997</v>
      </c>
      <c r="H454" s="31">
        <v>246271.69000000032</v>
      </c>
      <c r="I454" s="72">
        <v>160226.58999999971</v>
      </c>
      <c r="J454" s="72">
        <v>118495.11000000041</v>
      </c>
      <c r="K454" s="31">
        <v>16134.714285714286</v>
      </c>
      <c r="L454" s="31">
        <v>20059.428571428572</v>
      </c>
      <c r="M454" s="74">
        <v>10.894472846532267</v>
      </c>
      <c r="N454" s="74">
        <v>11.262151022630064</v>
      </c>
      <c r="O454" s="75">
        <v>187.14472653612421</v>
      </c>
      <c r="P454" s="75">
        <v>135.83656370656388</v>
      </c>
      <c r="Q454" s="76">
        <v>0.57809862659777778</v>
      </c>
      <c r="R454" s="76">
        <v>0.4753309121611603</v>
      </c>
      <c r="S454" s="31">
        <v>7563.1428571428569</v>
      </c>
      <c r="T454" s="31"/>
      <c r="U454" s="76">
        <v>-0.23717382634457618</v>
      </c>
      <c r="V454" s="76">
        <v>-0.20959735245449529</v>
      </c>
      <c r="W454" s="76">
        <v>8.8522517549620483E-2</v>
      </c>
      <c r="X454" s="76">
        <v>0.32527307879771583</v>
      </c>
      <c r="Y454" s="76">
        <v>2.6754242587946786E-2</v>
      </c>
      <c r="Z454" s="76">
        <v>-1.7203271841280898E-2</v>
      </c>
      <c r="AA454" s="76">
        <v>-0.10729355033152499</v>
      </c>
      <c r="AB454" s="76">
        <v>6.3970228939444151E-2</v>
      </c>
      <c r="AC454" s="76">
        <v>0.19184781216106539</v>
      </c>
      <c r="AD454" s="142">
        <v>-0.37665684694261337</v>
      </c>
      <c r="AE454" s="142">
        <v>-0.27114813370371843</v>
      </c>
      <c r="AF454" s="142">
        <v>-0.19599365352666914</v>
      </c>
    </row>
    <row r="455" spans="1:32" x14ac:dyDescent="0.35">
      <c r="A455" t="s">
        <v>97</v>
      </c>
      <c r="B455" t="s">
        <v>613</v>
      </c>
      <c r="C455" s="31">
        <v>204</v>
      </c>
      <c r="D455" s="31">
        <v>406</v>
      </c>
      <c r="E455" s="72">
        <v>406</v>
      </c>
      <c r="F455" s="31">
        <v>922</v>
      </c>
      <c r="G455" s="73">
        <v>43633.219999999921</v>
      </c>
      <c r="H455" s="31">
        <v>60874.930000000029</v>
      </c>
      <c r="I455" s="72">
        <v>25714.93</v>
      </c>
      <c r="J455" s="72">
        <v>28963.600000000006</v>
      </c>
      <c r="K455" s="31">
        <v>5345</v>
      </c>
      <c r="L455" s="31">
        <v>13358.571428571429</v>
      </c>
      <c r="M455" s="74">
        <v>13.165024630541872</v>
      </c>
      <c r="N455" s="74">
        <v>14.55979719654041</v>
      </c>
      <c r="O455" s="75">
        <v>107.47098522167468</v>
      </c>
      <c r="P455" s="75">
        <v>66.024869848156214</v>
      </c>
      <c r="Q455" s="76">
        <v>0.58934293641404523</v>
      </c>
      <c r="R455" s="76">
        <v>0.45853780400673583</v>
      </c>
      <c r="S455" s="31">
        <v>1515.5714285714287</v>
      </c>
      <c r="T455" s="31"/>
      <c r="U455" s="76">
        <v>-0.61231953801732431</v>
      </c>
      <c r="V455" s="76">
        <v>-0.57700650759219085</v>
      </c>
      <c r="W455" s="76">
        <v>-0.31115534752976437</v>
      </c>
      <c r="X455" s="76">
        <v>-0.11328883569037806</v>
      </c>
      <c r="Y455" s="76">
        <v>1.4270860579612688E-4</v>
      </c>
      <c r="Z455" s="76">
        <v>-3.8693764291770516E-2</v>
      </c>
      <c r="AA455" s="76">
        <v>2.5252525252525304E-2</v>
      </c>
      <c r="AB455" s="76">
        <v>0.24457964664875131</v>
      </c>
      <c r="AC455" s="76">
        <v>0.21392497554902845</v>
      </c>
      <c r="AD455" s="142">
        <v>-0.57424139464257251</v>
      </c>
      <c r="AE455" s="142">
        <v>-0.58171061154497627</v>
      </c>
      <c r="AF455" s="142">
        <v>-0.51665808925883638</v>
      </c>
    </row>
    <row r="456" spans="1:32" x14ac:dyDescent="0.35">
      <c r="A456" t="s">
        <v>97</v>
      </c>
      <c r="B456" t="s">
        <v>614</v>
      </c>
      <c r="C456" s="31">
        <v>9</v>
      </c>
      <c r="D456" s="31">
        <v>90</v>
      </c>
      <c r="E456" s="72">
        <v>9</v>
      </c>
      <c r="F456" s="31">
        <v>112</v>
      </c>
      <c r="G456" s="73">
        <v>781.74</v>
      </c>
      <c r="H456" s="31">
        <v>9767.3499999999949</v>
      </c>
      <c r="I456" s="72">
        <v>231.31</v>
      </c>
      <c r="J456" s="72">
        <v>1231.3499999999894</v>
      </c>
      <c r="K456" s="31">
        <v>311.14285714285717</v>
      </c>
      <c r="L456" s="31">
        <v>3210.7142857142858</v>
      </c>
      <c r="M456" s="74">
        <v>34.571428571428577</v>
      </c>
      <c r="N456" s="74">
        <v>29.720663265306122</v>
      </c>
      <c r="O456" s="75">
        <v>86.86</v>
      </c>
      <c r="P456" s="75">
        <v>87.208482142857093</v>
      </c>
      <c r="Q456" s="76">
        <v>0.2958912170286796</v>
      </c>
      <c r="R456" s="76">
        <v>0.12606797135353909</v>
      </c>
      <c r="S456" s="31">
        <v>95.428571428571431</v>
      </c>
      <c r="T456" s="31"/>
      <c r="U456" s="76">
        <v>-0.90362625139043384</v>
      </c>
      <c r="V456" s="76">
        <v>-0.9196428571428571</v>
      </c>
      <c r="W456" s="76">
        <v>-0.91996396156582894</v>
      </c>
      <c r="X456" s="76">
        <v>-0.81214926706460233</v>
      </c>
      <c r="Y456" s="76">
        <v>-1.7991346056299262E-2</v>
      </c>
      <c r="Z456" s="76">
        <v>-1.4925373134328179E-2</v>
      </c>
      <c r="AA456" s="76">
        <v>-0.3571428571428571</v>
      </c>
      <c r="AB456" s="76">
        <v>-0.36764705882352955</v>
      </c>
      <c r="AC456" s="76">
        <v>-1.6339869281046027E-2</v>
      </c>
      <c r="AD456" s="142"/>
      <c r="AE456" s="142"/>
      <c r="AF456" s="142"/>
    </row>
    <row r="457" spans="1:32" x14ac:dyDescent="0.35">
      <c r="A457" t="s">
        <v>97</v>
      </c>
      <c r="B457" t="s">
        <v>619</v>
      </c>
      <c r="C457" s="31">
        <v>1</v>
      </c>
      <c r="D457" s="31">
        <v>2</v>
      </c>
      <c r="E457" s="72">
        <v>1</v>
      </c>
      <c r="F457" s="31">
        <v>2</v>
      </c>
      <c r="G457" s="73">
        <v>218.17</v>
      </c>
      <c r="H457" s="31">
        <v>169.34</v>
      </c>
      <c r="I457" s="72">
        <v>18.170000000000002</v>
      </c>
      <c r="J457" s="72">
        <v>18.840000000000003</v>
      </c>
      <c r="K457" s="31">
        <v>121.71428571428571</v>
      </c>
      <c r="L457" s="31">
        <v>4.8571428571428568</v>
      </c>
      <c r="M457" s="74">
        <v>121.71428571428571</v>
      </c>
      <c r="N457" s="74">
        <v>3</v>
      </c>
      <c r="O457" s="75">
        <v>218.17</v>
      </c>
      <c r="P457" s="75">
        <v>84.67</v>
      </c>
      <c r="Q457" s="76">
        <v>8.328367786588442E-2</v>
      </c>
      <c r="R457" s="76">
        <v>0.11125546238337075</v>
      </c>
      <c r="S457" s="31">
        <v>16</v>
      </c>
      <c r="T457" s="31"/>
      <c r="U457" s="76">
        <v>-0.79411764705882348</v>
      </c>
      <c r="V457" s="76">
        <v>-1</v>
      </c>
      <c r="W457" s="76">
        <v>-1</v>
      </c>
      <c r="X457" s="76">
        <v>-1</v>
      </c>
      <c r="Y457" s="76">
        <v>-2.3539069706541849E-3</v>
      </c>
      <c r="Z457" s="76">
        <v>-2.3419203747072626E-3</v>
      </c>
      <c r="AA457" s="76"/>
      <c r="AB457" s="76"/>
      <c r="AC457" s="76"/>
      <c r="AD457" s="142"/>
      <c r="AE457" s="142"/>
      <c r="AF457" s="142"/>
    </row>
    <row r="458" spans="1:32" x14ac:dyDescent="0.35">
      <c r="A458" t="s">
        <v>97</v>
      </c>
      <c r="B458" t="s">
        <v>615</v>
      </c>
      <c r="C458" s="31">
        <v>1</v>
      </c>
      <c r="D458" s="31">
        <v>2</v>
      </c>
      <c r="E458" s="72">
        <v>1</v>
      </c>
      <c r="F458" s="31">
        <v>2</v>
      </c>
      <c r="G458" s="73">
        <v>54.54</v>
      </c>
      <c r="H458" s="31">
        <v>70.34</v>
      </c>
      <c r="I458" s="72">
        <v>14.31</v>
      </c>
      <c r="J458" s="72">
        <v>8.0700000000000074</v>
      </c>
      <c r="K458" s="31">
        <v>11.285714285714286</v>
      </c>
      <c r="L458" s="31">
        <v>22.428571428571427</v>
      </c>
      <c r="M458" s="74">
        <v>11.285714285714286</v>
      </c>
      <c r="N458" s="74">
        <v>11.214285714285714</v>
      </c>
      <c r="O458" s="75">
        <v>54.54</v>
      </c>
      <c r="P458" s="75">
        <v>35.17</v>
      </c>
      <c r="Q458" s="76">
        <v>0.26237623762376239</v>
      </c>
      <c r="R458" s="76">
        <v>0.11472846175717952</v>
      </c>
      <c r="S458" s="31">
        <v>3.2857142857142856</v>
      </c>
      <c r="T458" s="31"/>
      <c r="U458" s="76">
        <v>-0.49681528662420371</v>
      </c>
      <c r="V458" s="76">
        <v>-0.5</v>
      </c>
      <c r="W458" s="76">
        <v>-0.22462325845891384</v>
      </c>
      <c r="X458" s="76">
        <v>0.77323420074349314</v>
      </c>
      <c r="Y458" s="76">
        <v>-0.24647555559421241</v>
      </c>
      <c r="Z458" s="76">
        <v>-0.24761904761904752</v>
      </c>
      <c r="AA458" s="76">
        <v>-0.83333333333333337</v>
      </c>
      <c r="AB458" s="76">
        <v>-0.83332824007578765</v>
      </c>
      <c r="AC458" s="76">
        <v>3.0559545273867172E-5</v>
      </c>
      <c r="AD458" s="142"/>
      <c r="AE458" s="142"/>
      <c r="AF458" s="142"/>
    </row>
    <row r="459" spans="1:32" x14ac:dyDescent="0.35">
      <c r="A459" t="s">
        <v>97</v>
      </c>
      <c r="B459" t="s">
        <v>617</v>
      </c>
      <c r="C459" s="31">
        <v>1</v>
      </c>
      <c r="D459" s="31"/>
      <c r="E459" s="72">
        <v>1</v>
      </c>
      <c r="F459" s="31"/>
      <c r="G459" s="73">
        <v>54.54</v>
      </c>
      <c r="H459" s="31"/>
      <c r="I459" s="72">
        <v>19.54</v>
      </c>
      <c r="J459" s="72"/>
      <c r="K459" s="31">
        <v>1</v>
      </c>
      <c r="L459" s="31">
        <v>1</v>
      </c>
      <c r="M459" s="74">
        <v>1</v>
      </c>
      <c r="N459" s="74"/>
      <c r="O459" s="75">
        <v>54.54</v>
      </c>
      <c r="P459" s="75"/>
      <c r="Q459" s="76">
        <v>0.35826916024935823</v>
      </c>
      <c r="R459" s="76"/>
      <c r="S459" s="31"/>
      <c r="T459" s="31"/>
      <c r="U459" s="76">
        <v>0</v>
      </c>
      <c r="V459" s="76"/>
      <c r="W459" s="76"/>
      <c r="X459" s="76"/>
      <c r="Y459" s="76">
        <v>0.16666666666666674</v>
      </c>
      <c r="Z459" s="76">
        <v>0.16666666666666674</v>
      </c>
      <c r="AA459" s="76"/>
      <c r="AB459" s="76"/>
      <c r="AC459" s="76"/>
      <c r="AD459" s="142"/>
      <c r="AE459" s="142"/>
      <c r="AF459" s="142"/>
    </row>
    <row r="460" spans="1:32" x14ac:dyDescent="0.35">
      <c r="A460" t="s">
        <v>97</v>
      </c>
      <c r="B460" t="s">
        <v>788</v>
      </c>
      <c r="C460" s="31"/>
      <c r="D460" s="31"/>
      <c r="E460" s="72"/>
      <c r="F460" s="31"/>
      <c r="G460" s="73"/>
      <c r="H460" s="31"/>
      <c r="I460" s="72"/>
      <c r="J460" s="72"/>
      <c r="K460" s="31">
        <v>151</v>
      </c>
      <c r="L460" s="31"/>
      <c r="M460" s="74"/>
      <c r="N460" s="74"/>
      <c r="O460" s="75"/>
      <c r="P460" s="75"/>
      <c r="Q460" s="76"/>
      <c r="R460" s="76"/>
      <c r="S460" s="31"/>
      <c r="T460" s="31"/>
      <c r="U460" s="76"/>
      <c r="V460" s="76"/>
      <c r="W460" s="76"/>
      <c r="X460" s="76"/>
      <c r="Y460" s="76">
        <v>0</v>
      </c>
      <c r="Z460" s="76">
        <v>0</v>
      </c>
      <c r="AA460" s="76"/>
      <c r="AB460" s="76"/>
      <c r="AC460" s="76"/>
      <c r="AD460" s="142"/>
      <c r="AE460" s="142"/>
      <c r="AF460" s="142"/>
    </row>
    <row r="461" spans="1:32" x14ac:dyDescent="0.35">
      <c r="A461" t="s">
        <v>97</v>
      </c>
      <c r="B461" t="s">
        <v>618</v>
      </c>
      <c r="C461" s="31"/>
      <c r="D461" s="31"/>
      <c r="E461" s="72"/>
      <c r="F461" s="31"/>
      <c r="G461" s="73"/>
      <c r="H461" s="31"/>
      <c r="I461" s="72"/>
      <c r="J461" s="72"/>
      <c r="K461" s="31"/>
      <c r="L461" s="31">
        <v>-1</v>
      </c>
      <c r="M461" s="74"/>
      <c r="N461" s="74"/>
      <c r="O461" s="75"/>
      <c r="P461" s="75"/>
      <c r="Q461" s="76"/>
      <c r="R461" s="76"/>
      <c r="S461" s="31"/>
      <c r="T461" s="31"/>
      <c r="U461" s="76"/>
      <c r="V461" s="76"/>
      <c r="W461" s="76"/>
      <c r="X461" s="76"/>
      <c r="Y461" s="76"/>
      <c r="Z461" s="76"/>
      <c r="AA461" s="76"/>
      <c r="AB461" s="76"/>
      <c r="AC461" s="76"/>
      <c r="AD461" s="142"/>
      <c r="AE461" s="142"/>
      <c r="AF461" s="142"/>
    </row>
    <row r="462" spans="1:32" x14ac:dyDescent="0.35">
      <c r="A462" t="s">
        <v>97</v>
      </c>
      <c r="B462" t="s">
        <v>616</v>
      </c>
      <c r="C462" s="31"/>
      <c r="D462" s="31"/>
      <c r="E462" s="72"/>
      <c r="F462" s="31"/>
      <c r="G462" s="73"/>
      <c r="H462" s="31"/>
      <c r="I462" s="72"/>
      <c r="J462" s="72"/>
      <c r="K462" s="31"/>
      <c r="L462" s="31">
        <v>1</v>
      </c>
      <c r="M462" s="74"/>
      <c r="N462" s="74"/>
      <c r="O462" s="75"/>
      <c r="P462" s="75"/>
      <c r="Q462" s="76"/>
      <c r="R462" s="76"/>
      <c r="S462" s="31">
        <v>0</v>
      </c>
      <c r="T462" s="31"/>
      <c r="U462" s="76"/>
      <c r="V462" s="76"/>
      <c r="W462" s="76"/>
      <c r="X462" s="76"/>
      <c r="Y462" s="76"/>
      <c r="Z462" s="76"/>
      <c r="AA462" s="76"/>
      <c r="AB462" s="76"/>
      <c r="AC462" s="76"/>
      <c r="AD462" s="142"/>
      <c r="AE462" s="142"/>
      <c r="AF462" s="142"/>
    </row>
    <row r="463" spans="1:32" x14ac:dyDescent="0.35">
      <c r="A463" s="138" t="s">
        <v>848</v>
      </c>
      <c r="B463" s="138"/>
      <c r="C463" s="127">
        <v>5040</v>
      </c>
      <c r="D463" s="127">
        <v>5635</v>
      </c>
      <c r="E463" s="126">
        <v>8064</v>
      </c>
      <c r="F463" s="127">
        <v>10911</v>
      </c>
      <c r="G463" s="127">
        <v>4401558.0000000009</v>
      </c>
      <c r="H463" s="127">
        <v>3520763.6899999632</v>
      </c>
      <c r="I463" s="126">
        <v>2888159.1599999936</v>
      </c>
      <c r="J463" s="126">
        <v>1715657.8299999794</v>
      </c>
      <c r="K463" s="127">
        <v>76995.857142857145</v>
      </c>
      <c r="L463" s="127">
        <v>110792.42857142857</v>
      </c>
      <c r="M463" s="140">
        <v>9.548097363945578</v>
      </c>
      <c r="N463" s="140">
        <v>10.332132240338709</v>
      </c>
      <c r="O463" s="139">
        <v>545.82812500000011</v>
      </c>
      <c r="P463" s="139">
        <v>322.68020254788405</v>
      </c>
      <c r="Q463" s="141">
        <v>0.65616746615630039</v>
      </c>
      <c r="R463" s="141">
        <v>0.48028529608622317</v>
      </c>
      <c r="S463" s="127">
        <v>63917</v>
      </c>
      <c r="T463" s="127"/>
      <c r="U463" s="141">
        <v>-0.33186899053184393</v>
      </c>
      <c r="V463" s="141">
        <v>-0.28384199431766111</v>
      </c>
      <c r="W463" s="141">
        <v>0.2131786896495762</v>
      </c>
      <c r="X463" s="141">
        <v>0.65857624205416432</v>
      </c>
      <c r="Y463" s="141">
        <v>5.835246556425977E-3</v>
      </c>
      <c r="Z463" s="141">
        <v>-8.4023564129830364E-3</v>
      </c>
      <c r="AA463" s="141">
        <v>2.7522935779816571E-2</v>
      </c>
      <c r="AB463" s="141">
        <v>3.9535438478181639E-2</v>
      </c>
      <c r="AC463" s="141">
        <v>1.1690739233230385E-2</v>
      </c>
      <c r="AD463" s="143">
        <v>-0.40772788198554988</v>
      </c>
      <c r="AE463" s="143">
        <v>-0.1683569406310782</v>
      </c>
      <c r="AF463" s="143">
        <v>4.5225650180614134E-2</v>
      </c>
    </row>
    <row r="464" spans="1:32" x14ac:dyDescent="0.35">
      <c r="A464" t="s">
        <v>104</v>
      </c>
      <c r="B464" t="s">
        <v>734</v>
      </c>
      <c r="C464" s="31">
        <v>3574</v>
      </c>
      <c r="D464" s="31">
        <v>1131</v>
      </c>
      <c r="E464" s="72">
        <v>4434</v>
      </c>
      <c r="F464" s="31">
        <v>1491</v>
      </c>
      <c r="G464" s="73">
        <v>3084477.1499999207</v>
      </c>
      <c r="H464" s="31">
        <v>594133.84999999951</v>
      </c>
      <c r="I464" s="72">
        <v>1848463.810000007</v>
      </c>
      <c r="J464" s="72">
        <v>299514.59999999928</v>
      </c>
      <c r="K464" s="31">
        <v>40484.285714285717</v>
      </c>
      <c r="L464" s="31">
        <v>23987.285714285714</v>
      </c>
      <c r="M464" s="74">
        <v>9.1304207745344428</v>
      </c>
      <c r="N464" s="74">
        <v>16.735003295978906</v>
      </c>
      <c r="O464" s="75">
        <v>695.64211772663975</v>
      </c>
      <c r="P464" s="75">
        <v>398.48011401743764</v>
      </c>
      <c r="Q464" s="76">
        <v>0.59927946297156209</v>
      </c>
      <c r="R464" s="76">
        <v>0.49527128274151933</v>
      </c>
      <c r="S464" s="31">
        <v>97569.857142857145</v>
      </c>
      <c r="T464" s="31"/>
      <c r="U464" s="76">
        <v>0.62701073783135119</v>
      </c>
      <c r="V464" s="76">
        <v>1.8819584171696846</v>
      </c>
      <c r="W464" s="76">
        <v>4.0342262942936555</v>
      </c>
      <c r="X464" s="76">
        <v>5.1067761009157904</v>
      </c>
      <c r="Y464" s="76">
        <v>0.19875596426949138</v>
      </c>
      <c r="Z464" s="76">
        <v>0.19326124669462552</v>
      </c>
      <c r="AA464" s="76">
        <v>7.8307392996108893E-2</v>
      </c>
      <c r="AB464" s="76">
        <v>0.20302125747870714</v>
      </c>
      <c r="AC464" s="76">
        <v>0.11565706151385746</v>
      </c>
      <c r="AD464" s="142">
        <v>0.74515021221050215</v>
      </c>
      <c r="AE464" s="142">
        <v>0.8223552059595961</v>
      </c>
      <c r="AF464" s="142">
        <v>0.82342609807891365</v>
      </c>
    </row>
    <row r="465" spans="1:32" x14ac:dyDescent="0.35">
      <c r="A465" t="s">
        <v>104</v>
      </c>
      <c r="B465" t="s">
        <v>733</v>
      </c>
      <c r="C465" s="31">
        <v>536</v>
      </c>
      <c r="D465" s="31">
        <v>1504</v>
      </c>
      <c r="E465" s="72">
        <v>603</v>
      </c>
      <c r="F465" s="31">
        <v>1831</v>
      </c>
      <c r="G465" s="73">
        <v>723247.7099999981</v>
      </c>
      <c r="H465" s="31">
        <v>1565824.8899999964</v>
      </c>
      <c r="I465" s="72">
        <v>331179.17999999959</v>
      </c>
      <c r="J465" s="72">
        <v>754661.46999999834</v>
      </c>
      <c r="K465" s="31">
        <v>9777.2857142857138</v>
      </c>
      <c r="L465" s="31">
        <v>24735.857142857141</v>
      </c>
      <c r="M465" s="74">
        <v>16.21440416962805</v>
      </c>
      <c r="N465" s="74">
        <v>13.794947075639341</v>
      </c>
      <c r="O465" s="75">
        <v>1199.4157711442754</v>
      </c>
      <c r="P465" s="75">
        <v>855.17470780993801</v>
      </c>
      <c r="Q465" s="76">
        <v>0.4579056047063052</v>
      </c>
      <c r="R465" s="76">
        <v>0.47686358334197276</v>
      </c>
      <c r="S465" s="31">
        <v>19055.285714285714</v>
      </c>
      <c r="T465" s="31"/>
      <c r="U465" s="76">
        <v>-0.62152687538622353</v>
      </c>
      <c r="V465" s="76">
        <v>-0.67722555980338606</v>
      </c>
      <c r="W465" s="76">
        <v>-0.54932787535392891</v>
      </c>
      <c r="X465" s="76">
        <v>-0.56546698912851534</v>
      </c>
      <c r="Y465" s="76">
        <v>-6.3985347494446954E-2</v>
      </c>
      <c r="Z465" s="76">
        <v>-6.6416587095894264E-2</v>
      </c>
      <c r="AA465" s="76">
        <v>1.8581081081081141E-2</v>
      </c>
      <c r="AB465" s="76">
        <v>2.1869633577933145E-2</v>
      </c>
      <c r="AC465" s="76">
        <v>3.2285623186341095E-3</v>
      </c>
      <c r="AD465" s="142">
        <v>0.57286307770439204</v>
      </c>
      <c r="AE465" s="142">
        <v>0.13275436351937195</v>
      </c>
      <c r="AF465" s="142">
        <v>-0.13396247561463276</v>
      </c>
    </row>
    <row r="466" spans="1:32" x14ac:dyDescent="0.35">
      <c r="A466" t="s">
        <v>104</v>
      </c>
      <c r="B466" t="s">
        <v>104</v>
      </c>
      <c r="C466" s="31">
        <v>13</v>
      </c>
      <c r="D466" s="31">
        <v>86</v>
      </c>
      <c r="E466" s="72">
        <v>14</v>
      </c>
      <c r="F466" s="31">
        <v>100</v>
      </c>
      <c r="G466" s="73">
        <v>16204.390000000001</v>
      </c>
      <c r="H466" s="31">
        <v>77069.040000000023</v>
      </c>
      <c r="I466" s="72">
        <v>8541.14</v>
      </c>
      <c r="J466" s="72">
        <v>18127.000000000029</v>
      </c>
      <c r="K466" s="31">
        <v>893.42857142857144</v>
      </c>
      <c r="L466" s="31">
        <v>3050.2857142857142</v>
      </c>
      <c r="M466" s="74">
        <v>63.816326530612244</v>
      </c>
      <c r="N466" s="74">
        <v>30.641428571428573</v>
      </c>
      <c r="O466" s="75">
        <v>1157.4564285714287</v>
      </c>
      <c r="P466" s="75">
        <v>770.69040000000018</v>
      </c>
      <c r="Q466" s="76">
        <v>0.5270880298487014</v>
      </c>
      <c r="R466" s="76">
        <v>0.2352046943883046</v>
      </c>
      <c r="S466" s="31">
        <v>524.57142857142856</v>
      </c>
      <c r="T466" s="31"/>
      <c r="U466" s="76">
        <v>-0.73112588984638438</v>
      </c>
      <c r="V466" s="76">
        <v>-0.86</v>
      </c>
      <c r="W466" s="76">
        <v>-0.78974189895190083</v>
      </c>
      <c r="X466" s="76">
        <v>-0.52881668229712653</v>
      </c>
      <c r="Y466" s="76">
        <v>-8.8227610764067821E-3</v>
      </c>
      <c r="Z466" s="76">
        <v>-9.659540775930231E-3</v>
      </c>
      <c r="AA466" s="76">
        <v>7.6923076923076872E-2</v>
      </c>
      <c r="AB466" s="76">
        <v>0.27961284035784706</v>
      </c>
      <c r="AC466" s="76">
        <v>0.18821192318942948</v>
      </c>
      <c r="AD466" s="142"/>
      <c r="AE466" s="142"/>
      <c r="AF466" s="142"/>
    </row>
    <row r="467" spans="1:32" x14ac:dyDescent="0.35">
      <c r="A467" t="s">
        <v>104</v>
      </c>
      <c r="B467" t="s">
        <v>790</v>
      </c>
      <c r="C467" s="31"/>
      <c r="D467" s="31"/>
      <c r="E467" s="72"/>
      <c r="F467" s="31"/>
      <c r="G467" s="73"/>
      <c r="H467" s="31"/>
      <c r="I467" s="72"/>
      <c r="J467" s="72"/>
      <c r="K467" s="31">
        <v>1</v>
      </c>
      <c r="L467" s="31"/>
      <c r="M467" s="74"/>
      <c r="N467" s="74"/>
      <c r="O467" s="75"/>
      <c r="P467" s="75"/>
      <c r="Q467" s="76"/>
      <c r="R467" s="76"/>
      <c r="S467" s="31"/>
      <c r="T467" s="31"/>
      <c r="U467" s="76"/>
      <c r="V467" s="76"/>
      <c r="W467" s="76"/>
      <c r="X467" s="76"/>
      <c r="Y467" s="76">
        <v>0</v>
      </c>
      <c r="Z467" s="76">
        <v>0</v>
      </c>
      <c r="AA467" s="76"/>
      <c r="AB467" s="76"/>
      <c r="AC467" s="76"/>
      <c r="AD467" s="142"/>
      <c r="AE467" s="142"/>
      <c r="AF467" s="142"/>
    </row>
    <row r="468" spans="1:32" x14ac:dyDescent="0.35">
      <c r="A468" t="s">
        <v>104</v>
      </c>
      <c r="B468" t="s">
        <v>735</v>
      </c>
      <c r="C468" s="31"/>
      <c r="D468" s="31"/>
      <c r="E468" s="72"/>
      <c r="F468" s="31"/>
      <c r="G468" s="73"/>
      <c r="H468" s="31"/>
      <c r="I468" s="72"/>
      <c r="J468" s="72"/>
      <c r="K468" s="31"/>
      <c r="L468" s="31">
        <v>-2</v>
      </c>
      <c r="M468" s="74"/>
      <c r="N468" s="74"/>
      <c r="O468" s="75"/>
      <c r="P468" s="75"/>
      <c r="Q468" s="76"/>
      <c r="R468" s="76"/>
      <c r="S468" s="31">
        <v>13</v>
      </c>
      <c r="T468" s="31"/>
      <c r="U468" s="76"/>
      <c r="V468" s="76"/>
      <c r="W468" s="76"/>
      <c r="X468" s="76"/>
      <c r="Y468" s="76"/>
      <c r="Z468" s="76"/>
      <c r="AA468" s="76"/>
      <c r="AB468" s="76"/>
      <c r="AC468" s="76"/>
      <c r="AD468" s="142"/>
      <c r="AE468" s="142"/>
      <c r="AF468" s="142"/>
    </row>
    <row r="469" spans="1:32" x14ac:dyDescent="0.35">
      <c r="A469" t="s">
        <v>104</v>
      </c>
      <c r="B469" t="s">
        <v>789</v>
      </c>
      <c r="C469" s="31"/>
      <c r="D469" s="31"/>
      <c r="E469" s="72"/>
      <c r="F469" s="31"/>
      <c r="G469" s="73"/>
      <c r="H469" s="31"/>
      <c r="I469" s="72"/>
      <c r="J469" s="72"/>
      <c r="K469" s="31">
        <v>1</v>
      </c>
      <c r="L469" s="31"/>
      <c r="M469" s="74"/>
      <c r="N469" s="74"/>
      <c r="O469" s="75"/>
      <c r="P469" s="75"/>
      <c r="Q469" s="76"/>
      <c r="R469" s="76"/>
      <c r="S469" s="31"/>
      <c r="T469" s="31"/>
      <c r="U469" s="76"/>
      <c r="V469" s="76"/>
      <c r="W469" s="76"/>
      <c r="X469" s="76"/>
      <c r="Y469" s="76">
        <v>0</v>
      </c>
      <c r="Z469" s="76">
        <v>0</v>
      </c>
      <c r="AA469" s="76"/>
      <c r="AB469" s="76"/>
      <c r="AC469" s="76"/>
      <c r="AD469" s="142"/>
      <c r="AE469" s="142"/>
      <c r="AF469" s="142"/>
    </row>
    <row r="470" spans="1:32" x14ac:dyDescent="0.35">
      <c r="A470" s="138" t="s">
        <v>849</v>
      </c>
      <c r="B470" s="138"/>
      <c r="C470" s="127">
        <v>4078</v>
      </c>
      <c r="D470" s="127">
        <v>2632</v>
      </c>
      <c r="E470" s="126">
        <v>5051</v>
      </c>
      <c r="F470" s="127">
        <v>3422</v>
      </c>
      <c r="G470" s="127">
        <v>3823929.2499999893</v>
      </c>
      <c r="H470" s="127">
        <v>2237027.7799999826</v>
      </c>
      <c r="I470" s="126">
        <v>2188184.129999999</v>
      </c>
      <c r="J470" s="126">
        <v>1072303.069999987</v>
      </c>
      <c r="K470" s="127">
        <v>51157</v>
      </c>
      <c r="L470" s="127">
        <v>51771.428571428572</v>
      </c>
      <c r="M470" s="140">
        <v>10.128093446842209</v>
      </c>
      <c r="N470" s="140">
        <v>15.567224466243509</v>
      </c>
      <c r="O470" s="139">
        <v>757.06379924767157</v>
      </c>
      <c r="P470" s="139">
        <v>653.71939801285293</v>
      </c>
      <c r="Q470" s="141">
        <v>0.57223447060376575</v>
      </c>
      <c r="R470" s="141">
        <v>0.47355476472278135</v>
      </c>
      <c r="S470" s="127">
        <v>117162.71428571429</v>
      </c>
      <c r="T470" s="127"/>
      <c r="U470" s="141">
        <v>-4.9445364238410616E-2</v>
      </c>
      <c r="V470" s="141">
        <v>0.43249561659848035</v>
      </c>
      <c r="W470" s="141">
        <v>0.65973900869482827</v>
      </c>
      <c r="X470" s="141">
        <v>1.0105524087967659</v>
      </c>
      <c r="Y470" s="141">
        <v>8.1108926163242057E-2</v>
      </c>
      <c r="Z470" s="141">
        <v>0.12918320820102736</v>
      </c>
      <c r="AA470" s="141">
        <v>7.0807716769133E-2</v>
      </c>
      <c r="AB470" s="141">
        <v>0.16427915300241969</v>
      </c>
      <c r="AC470" s="141">
        <v>8.7290588935342361E-2</v>
      </c>
      <c r="AD470" s="143">
        <v>0.72734972912310936</v>
      </c>
      <c r="AE470" s="143">
        <v>0.64042276232322437</v>
      </c>
      <c r="AF470" s="143">
        <v>0.56731157661675824</v>
      </c>
    </row>
    <row r="471" spans="1:32" x14ac:dyDescent="0.35">
      <c r="A471" t="s">
        <v>89</v>
      </c>
      <c r="B471" t="s">
        <v>627</v>
      </c>
      <c r="C471" s="31">
        <v>2882</v>
      </c>
      <c r="D471" s="31">
        <v>2948</v>
      </c>
      <c r="E471" s="72">
        <v>5501</v>
      </c>
      <c r="F471" s="31">
        <v>5890</v>
      </c>
      <c r="G471" s="73">
        <v>2494770.310000049</v>
      </c>
      <c r="H471" s="31">
        <v>1500124.3300000143</v>
      </c>
      <c r="I471" s="72">
        <v>1550704.6600000041</v>
      </c>
      <c r="J471" s="72">
        <v>640183.38000002317</v>
      </c>
      <c r="K471" s="31">
        <v>77393.428571428565</v>
      </c>
      <c r="L471" s="31">
        <v>90109.571428571435</v>
      </c>
      <c r="M471" s="74">
        <v>14.06897447217389</v>
      </c>
      <c r="N471" s="74">
        <v>15.510296010296011</v>
      </c>
      <c r="O471" s="75">
        <v>453.51214506454261</v>
      </c>
      <c r="P471" s="75">
        <v>254.69003904923841</v>
      </c>
      <c r="Q471" s="76">
        <v>0.62158213675389362</v>
      </c>
      <c r="R471" s="76">
        <v>0.41983695737715027</v>
      </c>
      <c r="S471" s="31">
        <v>21887.857142857141</v>
      </c>
      <c r="T471" s="31"/>
      <c r="U471" s="76">
        <v>-0.16876913345181344</v>
      </c>
      <c r="V471" s="76">
        <v>-0.10509337860780987</v>
      </c>
      <c r="W471" s="76">
        <v>0.5890056859487256</v>
      </c>
      <c r="X471" s="76">
        <v>1.3544576514759723</v>
      </c>
      <c r="Y471" s="76">
        <v>-5.3744694874358068E-3</v>
      </c>
      <c r="Z471" s="76">
        <v>-8.9019794372692251E-3</v>
      </c>
      <c r="AA471" s="76">
        <v>2.4776453055141534E-2</v>
      </c>
      <c r="AB471" s="76">
        <v>6.3465120842541189E-2</v>
      </c>
      <c r="AC471" s="76">
        <v>3.7753275528587649E-2</v>
      </c>
      <c r="AD471" s="142">
        <v>-5.1621936817298389E-2</v>
      </c>
      <c r="AE471" s="142">
        <v>0.16789069787721655</v>
      </c>
      <c r="AF471" s="142">
        <v>0.62284856226073537</v>
      </c>
    </row>
    <row r="472" spans="1:32" x14ac:dyDescent="0.35">
      <c r="A472" t="s">
        <v>89</v>
      </c>
      <c r="B472" t="s">
        <v>628</v>
      </c>
      <c r="C472" s="31">
        <v>670</v>
      </c>
      <c r="D472" s="31">
        <v>566</v>
      </c>
      <c r="E472" s="72">
        <v>789</v>
      </c>
      <c r="F472" s="31">
        <v>730</v>
      </c>
      <c r="G472" s="73">
        <v>638131.01999999594</v>
      </c>
      <c r="H472" s="31">
        <v>304150.59000000026</v>
      </c>
      <c r="I472" s="72">
        <v>382141.46000000054</v>
      </c>
      <c r="J472" s="72">
        <v>127243.40000000031</v>
      </c>
      <c r="K472" s="31">
        <v>13286.714285714286</v>
      </c>
      <c r="L472" s="31">
        <v>12576.714285714286</v>
      </c>
      <c r="M472" s="74">
        <v>16.839942060474382</v>
      </c>
      <c r="N472" s="74">
        <v>17.453358561967832</v>
      </c>
      <c r="O472" s="75">
        <v>808.78456273763743</v>
      </c>
      <c r="P472" s="75">
        <v>416.64464383561682</v>
      </c>
      <c r="Q472" s="76">
        <v>0.59884482656869276</v>
      </c>
      <c r="R472" s="76">
        <v>0.40156628125034216</v>
      </c>
      <c r="S472" s="31">
        <v>1715.4285714285713</v>
      </c>
      <c r="T472" s="31"/>
      <c r="U472" s="76">
        <v>2.8760634733123513E-2</v>
      </c>
      <c r="V472" s="76">
        <v>4.5205479452054886E-2</v>
      </c>
      <c r="W472" s="76">
        <v>1.0140872651274333</v>
      </c>
      <c r="X472" s="76">
        <v>2.0009997204588208</v>
      </c>
      <c r="Y472" s="76">
        <v>2.2679262990638271E-2</v>
      </c>
      <c r="Z472" s="76">
        <v>1.3037795447119027E-2</v>
      </c>
      <c r="AA472" s="76">
        <v>3.2722513089005201E-2</v>
      </c>
      <c r="AB472" s="76">
        <v>0.10840978285186353</v>
      </c>
      <c r="AC472" s="76">
        <v>7.3289067298889288E-2</v>
      </c>
      <c r="AD472" s="142">
        <v>0.2383656022529779</v>
      </c>
      <c r="AE472" s="142">
        <v>0.80919951673318569</v>
      </c>
      <c r="AF472" s="142">
        <v>1.3821507244002407</v>
      </c>
    </row>
    <row r="473" spans="1:32" x14ac:dyDescent="0.35">
      <c r="A473" t="s">
        <v>89</v>
      </c>
      <c r="B473" t="s">
        <v>663</v>
      </c>
      <c r="C473" s="31">
        <v>19</v>
      </c>
      <c r="D473" s="31">
        <v>1</v>
      </c>
      <c r="E473" s="72">
        <v>456</v>
      </c>
      <c r="F473" s="31">
        <v>1</v>
      </c>
      <c r="G473" s="73">
        <v>81636.75</v>
      </c>
      <c r="H473" s="31">
        <v>45.45</v>
      </c>
      <c r="I473" s="72">
        <v>38836.840000000011</v>
      </c>
      <c r="J473" s="72">
        <v>0.45000000000000284</v>
      </c>
      <c r="K473" s="31">
        <v>4525.5714285714284</v>
      </c>
      <c r="L473" s="31">
        <v>221</v>
      </c>
      <c r="M473" s="74">
        <v>9.924498746867167</v>
      </c>
      <c r="N473" s="74">
        <v>229</v>
      </c>
      <c r="O473" s="75">
        <v>179.02796052631578</v>
      </c>
      <c r="P473" s="75">
        <v>45.45</v>
      </c>
      <c r="Q473" s="76">
        <v>0.47572741443038841</v>
      </c>
      <c r="R473" s="76">
        <v>9.9009900990099636E-3</v>
      </c>
      <c r="S473" s="31">
        <v>1195.042857142857</v>
      </c>
      <c r="T473" s="31"/>
      <c r="U473" s="76">
        <v>-0.33031674208144801</v>
      </c>
      <c r="V473" s="76">
        <v>0</v>
      </c>
      <c r="W473" s="76">
        <v>1.72013201320132</v>
      </c>
      <c r="X473" s="76">
        <v>93.77777777777716</v>
      </c>
      <c r="Y473" s="76">
        <v>-3.1604146005346223E-3</v>
      </c>
      <c r="Z473" s="76">
        <v>-3.2908996550355618E-2</v>
      </c>
      <c r="AA473" s="76">
        <v>9.8571428571428577</v>
      </c>
      <c r="AB473" s="76">
        <v>16.506706811031979</v>
      </c>
      <c r="AC473" s="76">
        <v>0.61245983785820868</v>
      </c>
      <c r="AD473" s="142"/>
      <c r="AE473" s="142"/>
      <c r="AF473" s="142"/>
    </row>
    <row r="474" spans="1:32" x14ac:dyDescent="0.35">
      <c r="A474" t="s">
        <v>89</v>
      </c>
      <c r="B474" t="s">
        <v>630</v>
      </c>
      <c r="C474" s="31">
        <v>31</v>
      </c>
      <c r="D474" s="31">
        <v>75</v>
      </c>
      <c r="E474" s="72">
        <v>70</v>
      </c>
      <c r="F474" s="31">
        <v>157</v>
      </c>
      <c r="G474" s="73">
        <v>23699.249999999996</v>
      </c>
      <c r="H474" s="31">
        <v>33646.67000000002</v>
      </c>
      <c r="I474" s="72">
        <v>13708.34</v>
      </c>
      <c r="J474" s="72">
        <v>15957.010000000017</v>
      </c>
      <c r="K474" s="31">
        <v>1692.7142857142858</v>
      </c>
      <c r="L474" s="31">
        <v>2750.7142857142858</v>
      </c>
      <c r="M474" s="74">
        <v>24.181632653061225</v>
      </c>
      <c r="N474" s="74">
        <v>17.692585895117542</v>
      </c>
      <c r="O474" s="75">
        <v>338.56071428571425</v>
      </c>
      <c r="P474" s="75">
        <v>214.31000000000012</v>
      </c>
      <c r="Q474" s="76">
        <v>0.57842927518803344</v>
      </c>
      <c r="R474" s="76">
        <v>0.47145020260498482</v>
      </c>
      <c r="S474" s="31">
        <v>95.714285714285708</v>
      </c>
      <c r="T474" s="31"/>
      <c r="U474" s="76">
        <v>-0.39418332900545316</v>
      </c>
      <c r="V474" s="76">
        <v>-0.57324840764331209</v>
      </c>
      <c r="W474" s="76">
        <v>-0.32806515473893905</v>
      </c>
      <c r="X474" s="76">
        <v>-0.17617984583310087</v>
      </c>
      <c r="Y474" s="76">
        <v>-3.9078211355341619E-2</v>
      </c>
      <c r="Z474" s="76">
        <v>-3.7840032480714547E-2</v>
      </c>
      <c r="AA474" s="76">
        <v>4.4776119402984982E-2</v>
      </c>
      <c r="AB474" s="76">
        <v>0.10794585947061885</v>
      </c>
      <c r="AC474" s="76">
        <v>6.0462465493306583E-2</v>
      </c>
      <c r="AD474" s="142">
        <v>-0.2038614991970375</v>
      </c>
      <c r="AE474" s="142">
        <v>-2.4218285176611423E-2</v>
      </c>
      <c r="AF474" s="142">
        <v>0.21353481619218961</v>
      </c>
    </row>
    <row r="475" spans="1:32" x14ac:dyDescent="0.35">
      <c r="A475" t="s">
        <v>89</v>
      </c>
      <c r="B475" t="s">
        <v>643</v>
      </c>
      <c r="C475" s="31">
        <v>15</v>
      </c>
      <c r="D475" s="31">
        <v>3</v>
      </c>
      <c r="E475" s="72">
        <v>19</v>
      </c>
      <c r="F475" s="31">
        <v>3</v>
      </c>
      <c r="G475" s="73">
        <v>8500.75</v>
      </c>
      <c r="H475" s="31">
        <v>1772.71</v>
      </c>
      <c r="I475" s="72">
        <v>-1732</v>
      </c>
      <c r="J475" s="72">
        <v>700.15999999999985</v>
      </c>
      <c r="K475" s="31">
        <v>222.14285714285714</v>
      </c>
      <c r="L475" s="31">
        <v>297.28571428571428</v>
      </c>
      <c r="M475" s="74">
        <v>11.691729323308271</v>
      </c>
      <c r="N475" s="74">
        <v>61</v>
      </c>
      <c r="O475" s="75">
        <v>447.40789473684208</v>
      </c>
      <c r="P475" s="75">
        <v>590.90333333333331</v>
      </c>
      <c r="Q475" s="76">
        <v>-0.20374672822986206</v>
      </c>
      <c r="R475" s="76">
        <v>0.22324181447743058</v>
      </c>
      <c r="S475" s="31">
        <v>1470.8571428571429</v>
      </c>
      <c r="T475" s="31"/>
      <c r="U475" s="76">
        <v>-0.30418068236424789</v>
      </c>
      <c r="V475" s="76">
        <v>5.333333333333333</v>
      </c>
      <c r="W475" s="76">
        <v>3.7953415956360601</v>
      </c>
      <c r="X475" s="76">
        <v>-9.0513201933804339</v>
      </c>
      <c r="Y475" s="76">
        <v>-9.4129731703240238E-2</v>
      </c>
      <c r="Z475" s="76">
        <v>-8.5294117647058854E-2</v>
      </c>
      <c r="AA475" s="76">
        <v>0.11764705882352944</v>
      </c>
      <c r="AB475" s="76">
        <v>0.22187421842883714</v>
      </c>
      <c r="AC475" s="76">
        <v>9.3255879646854112E-2</v>
      </c>
      <c r="AD475" s="142"/>
      <c r="AE475" s="142"/>
      <c r="AF475" s="142"/>
    </row>
    <row r="476" spans="1:32" x14ac:dyDescent="0.35">
      <c r="A476" t="s">
        <v>89</v>
      </c>
      <c r="B476" t="s">
        <v>631</v>
      </c>
      <c r="C476" s="31">
        <v>26</v>
      </c>
      <c r="D476" s="31">
        <v>78</v>
      </c>
      <c r="E476" s="72">
        <v>34</v>
      </c>
      <c r="F476" s="31">
        <v>126</v>
      </c>
      <c r="G476" s="73">
        <v>7785.260000000002</v>
      </c>
      <c r="H476" s="31">
        <v>25532.23</v>
      </c>
      <c r="I476" s="72">
        <v>2697.9900000000007</v>
      </c>
      <c r="J476" s="72">
        <v>7528.3099999999977</v>
      </c>
      <c r="K476" s="31">
        <v>1241.1428571428571</v>
      </c>
      <c r="L476" s="31">
        <v>5651.4285714285716</v>
      </c>
      <c r="M476" s="74">
        <v>36.504201680672267</v>
      </c>
      <c r="N476" s="74">
        <v>45.032366071428569</v>
      </c>
      <c r="O476" s="75">
        <v>228.9782352941177</v>
      </c>
      <c r="P476" s="75">
        <v>202.63674603174601</v>
      </c>
      <c r="Q476" s="76">
        <v>0.34655104646472951</v>
      </c>
      <c r="R476" s="76">
        <v>0.29104186222008471</v>
      </c>
      <c r="S476" s="31">
        <v>130.28571428571428</v>
      </c>
      <c r="T476" s="31"/>
      <c r="U476" s="76">
        <v>-0.78260869565217384</v>
      </c>
      <c r="V476" s="76">
        <v>-0.73015873015873023</v>
      </c>
      <c r="W476" s="76">
        <v>-0.6950810798743392</v>
      </c>
      <c r="X476" s="76">
        <v>-0.63846417726845084</v>
      </c>
      <c r="Y476" s="76">
        <v>-2.3811224739837211E-2</v>
      </c>
      <c r="Z476" s="76">
        <v>-2.0187211007105077E-2</v>
      </c>
      <c r="AA476" s="76">
        <v>0.61904761904761907</v>
      </c>
      <c r="AB476" s="76">
        <v>0.60077558430983924</v>
      </c>
      <c r="AC476" s="76">
        <v>-1.1285668514511071E-2</v>
      </c>
      <c r="AD476" s="142"/>
      <c r="AE476" s="142"/>
      <c r="AF476" s="142"/>
    </row>
    <row r="477" spans="1:32" x14ac:dyDescent="0.35">
      <c r="A477" t="s">
        <v>89</v>
      </c>
      <c r="B477" t="s">
        <v>632</v>
      </c>
      <c r="C477" s="31">
        <v>39</v>
      </c>
      <c r="D477" s="31">
        <v>150</v>
      </c>
      <c r="E477" s="72">
        <v>46</v>
      </c>
      <c r="F477" s="31">
        <v>178</v>
      </c>
      <c r="G477" s="73">
        <v>4734.2299999999977</v>
      </c>
      <c r="H477" s="31">
        <v>30172.710000000014</v>
      </c>
      <c r="I477" s="72">
        <v>-1389.7200000000005</v>
      </c>
      <c r="J477" s="72">
        <v>2608.4399999999878</v>
      </c>
      <c r="K477" s="31">
        <v>780.28571428571433</v>
      </c>
      <c r="L477" s="31">
        <v>8857.7142857142862</v>
      </c>
      <c r="M477" s="74">
        <v>16.962732919254659</v>
      </c>
      <c r="N477" s="74">
        <v>49.767369242779075</v>
      </c>
      <c r="O477" s="75">
        <v>102.91804347826083</v>
      </c>
      <c r="P477" s="75">
        <v>169.50960674157312</v>
      </c>
      <c r="Q477" s="76">
        <v>-0.2935472083105386</v>
      </c>
      <c r="R477" s="76">
        <v>8.4044839122201342E-2</v>
      </c>
      <c r="S477" s="31">
        <v>122.85714285714286</v>
      </c>
      <c r="T477" s="31"/>
      <c r="U477" s="76">
        <v>-0.91186052512741111</v>
      </c>
      <c r="V477" s="76">
        <v>-0.7415730337078652</v>
      </c>
      <c r="W477" s="76">
        <v>-0.84309563178116931</v>
      </c>
      <c r="X477" s="76">
        <v>-1.5268980682830691</v>
      </c>
      <c r="Y477" s="76">
        <v>-6.265659655222966E-2</v>
      </c>
      <c r="Z477" s="76">
        <v>-5.5834053586862553E-2</v>
      </c>
      <c r="AA477" s="76">
        <v>-0.4320987654320988</v>
      </c>
      <c r="AB477" s="76">
        <v>-0.43502911833500435</v>
      </c>
      <c r="AC477" s="76">
        <v>-5.1599692420728482E-3</v>
      </c>
      <c r="AD477" s="142"/>
      <c r="AE477" s="142"/>
      <c r="AF477" s="142"/>
    </row>
    <row r="478" spans="1:32" x14ac:dyDescent="0.35">
      <c r="A478" t="s">
        <v>89</v>
      </c>
      <c r="B478" t="s">
        <v>684</v>
      </c>
      <c r="C478" s="31">
        <v>4</v>
      </c>
      <c r="D478" s="31"/>
      <c r="E478" s="72">
        <v>30</v>
      </c>
      <c r="F478" s="31"/>
      <c r="G478" s="73">
        <v>4472.3900000000003</v>
      </c>
      <c r="H478" s="31"/>
      <c r="I478" s="72">
        <v>1619.3899999999999</v>
      </c>
      <c r="J478" s="72"/>
      <c r="K478" s="31">
        <v>167.14285714285714</v>
      </c>
      <c r="L478" s="31">
        <v>6</v>
      </c>
      <c r="M478" s="74">
        <v>5.5714285714285712</v>
      </c>
      <c r="N478" s="74"/>
      <c r="O478" s="75">
        <v>149.07966666666667</v>
      </c>
      <c r="P478" s="75"/>
      <c r="Q478" s="76">
        <v>0.36208604348010792</v>
      </c>
      <c r="R478" s="76"/>
      <c r="S478" s="31">
        <v>1000</v>
      </c>
      <c r="T478" s="31"/>
      <c r="U478" s="76">
        <v>-0.33333333333333337</v>
      </c>
      <c r="V478" s="76"/>
      <c r="W478" s="76"/>
      <c r="X478" s="76"/>
      <c r="Y478" s="76">
        <v>-0.14407617383568683</v>
      </c>
      <c r="Z478" s="76">
        <v>-0.14222873900293254</v>
      </c>
      <c r="AA478" s="76">
        <v>1.7272727272727271</v>
      </c>
      <c r="AB478" s="76">
        <v>1.9818318798837242</v>
      </c>
      <c r="AC478" s="76">
        <v>9.3338355957365282E-2</v>
      </c>
      <c r="AD478" s="142"/>
      <c r="AE478" s="142"/>
      <c r="AF478" s="142"/>
    </row>
    <row r="479" spans="1:32" x14ac:dyDescent="0.35">
      <c r="A479" t="s">
        <v>89</v>
      </c>
      <c r="B479" t="s">
        <v>640</v>
      </c>
      <c r="C479" s="31">
        <v>5</v>
      </c>
      <c r="D479" s="31">
        <v>7</v>
      </c>
      <c r="E479" s="72">
        <v>7</v>
      </c>
      <c r="F479" s="31">
        <v>8</v>
      </c>
      <c r="G479" s="73">
        <v>2848.37</v>
      </c>
      <c r="H479" s="31">
        <v>3029.01</v>
      </c>
      <c r="I479" s="72">
        <v>441.13000000000011</v>
      </c>
      <c r="J479" s="72">
        <v>1468.65</v>
      </c>
      <c r="K479" s="31">
        <v>95</v>
      </c>
      <c r="L479" s="31">
        <v>352.14285714285717</v>
      </c>
      <c r="M479" s="74">
        <v>13.571428571428571</v>
      </c>
      <c r="N479" s="74">
        <v>40.317460317460316</v>
      </c>
      <c r="O479" s="75">
        <v>406.90999999999997</v>
      </c>
      <c r="P479" s="75">
        <v>378.62625000000003</v>
      </c>
      <c r="Q479" s="76">
        <v>0.15487103150222764</v>
      </c>
      <c r="R479" s="76">
        <v>0.43289169233490044</v>
      </c>
      <c r="S479" s="31">
        <v>24.142857142857142</v>
      </c>
      <c r="T479" s="31"/>
      <c r="U479" s="76">
        <v>-0.73022312373225162</v>
      </c>
      <c r="V479" s="76">
        <v>-0.125</v>
      </c>
      <c r="W479" s="76">
        <v>-5.9636646957256789E-2</v>
      </c>
      <c r="X479" s="76">
        <v>-0.6744452070464424</v>
      </c>
      <c r="Y479" s="76">
        <v>4.5246785033884684E-2</v>
      </c>
      <c r="Z479" s="76">
        <v>-1.6272189349112454E-2</v>
      </c>
      <c r="AA479" s="76">
        <v>0.75</v>
      </c>
      <c r="AB479" s="76">
        <v>0.42421348426968541</v>
      </c>
      <c r="AC479" s="76">
        <v>-0.18616372327446562</v>
      </c>
      <c r="AD479" s="142"/>
      <c r="AE479" s="142"/>
      <c r="AF479" s="142"/>
    </row>
    <row r="480" spans="1:32" x14ac:dyDescent="0.35">
      <c r="A480" t="s">
        <v>89</v>
      </c>
      <c r="B480" t="s">
        <v>635</v>
      </c>
      <c r="C480" s="31">
        <v>30</v>
      </c>
      <c r="D480" s="31">
        <v>124</v>
      </c>
      <c r="E480" s="72">
        <v>38</v>
      </c>
      <c r="F480" s="31">
        <v>189</v>
      </c>
      <c r="G480" s="73">
        <v>2752.5000000000005</v>
      </c>
      <c r="H480" s="31">
        <v>28943.179999999997</v>
      </c>
      <c r="I480" s="72">
        <v>-2727.4499999999994</v>
      </c>
      <c r="J480" s="72">
        <v>-1705.1100000000006</v>
      </c>
      <c r="K480" s="31">
        <v>154.85714285714286</v>
      </c>
      <c r="L480" s="31">
        <v>5599.7142857142853</v>
      </c>
      <c r="M480" s="74">
        <v>4.0751879699248121</v>
      </c>
      <c r="N480" s="74">
        <v>30.090977443609024</v>
      </c>
      <c r="O480" s="75">
        <v>72.434210526315795</v>
      </c>
      <c r="P480" s="75">
        <v>153.13851851851851</v>
      </c>
      <c r="Q480" s="76">
        <v>-0.99089918256130749</v>
      </c>
      <c r="R480" s="76">
        <v>-5.8783072394698932E-2</v>
      </c>
      <c r="S480" s="31">
        <v>85.857142857142861</v>
      </c>
      <c r="T480" s="31"/>
      <c r="U480" s="76">
        <v>-0.97351905709474973</v>
      </c>
      <c r="V480" s="76">
        <v>-0.79894179894179895</v>
      </c>
      <c r="W480" s="76">
        <v>-0.9048998762402749</v>
      </c>
      <c r="X480" s="76">
        <v>0.58872870249017062</v>
      </c>
      <c r="Y480" s="76">
        <v>-0.29757443262794314</v>
      </c>
      <c r="Z480" s="76">
        <v>-0.25651577503429346</v>
      </c>
      <c r="AA480" s="76">
        <v>-7.3170731707317027E-2</v>
      </c>
      <c r="AB480" s="76">
        <v>-4.8966560938698334E-2</v>
      </c>
      <c r="AC480" s="76">
        <v>2.6115026355614912E-2</v>
      </c>
      <c r="AD480" s="142"/>
      <c r="AE480" s="142"/>
      <c r="AF480" s="142"/>
    </row>
    <row r="481" spans="1:32" x14ac:dyDescent="0.35">
      <c r="A481" t="s">
        <v>89</v>
      </c>
      <c r="B481" t="s">
        <v>641</v>
      </c>
      <c r="C481" s="31">
        <v>28</v>
      </c>
      <c r="D481" s="31">
        <v>46</v>
      </c>
      <c r="E481" s="72">
        <v>42</v>
      </c>
      <c r="F481" s="31">
        <v>88</v>
      </c>
      <c r="G481" s="73">
        <v>2360.3300000000008</v>
      </c>
      <c r="H481" s="31">
        <v>6491.62</v>
      </c>
      <c r="I481" s="72">
        <v>598.11</v>
      </c>
      <c r="J481" s="72">
        <v>2373.9400000000005</v>
      </c>
      <c r="K481" s="31">
        <v>422.57142857142856</v>
      </c>
      <c r="L481" s="31">
        <v>5192.4285714285716</v>
      </c>
      <c r="M481" s="74">
        <v>10.061224489795919</v>
      </c>
      <c r="N481" s="74">
        <v>59.891233766233768</v>
      </c>
      <c r="O481" s="75">
        <v>56.198333333333352</v>
      </c>
      <c r="P481" s="75">
        <v>73.768409090909088</v>
      </c>
      <c r="Q481" s="76">
        <v>0.25340100748624123</v>
      </c>
      <c r="R481" s="76">
        <v>0.36569300113068859</v>
      </c>
      <c r="S481" s="31">
        <v>79.285714285714292</v>
      </c>
      <c r="T481" s="31"/>
      <c r="U481" s="76">
        <v>-0.9248356122926239</v>
      </c>
      <c r="V481" s="76">
        <v>-0.52272727272727271</v>
      </c>
      <c r="W481" s="76">
        <v>-0.63640354795875287</v>
      </c>
      <c r="X481" s="76">
        <v>-0.74805176204958812</v>
      </c>
      <c r="Y481" s="76">
        <v>1.4075817391534517E-2</v>
      </c>
      <c r="Z481" s="76">
        <v>-1.7602125539687874E-2</v>
      </c>
      <c r="AA481" s="76">
        <v>2.2307692307692308</v>
      </c>
      <c r="AB481" s="76">
        <v>2.6315562735595055</v>
      </c>
      <c r="AC481" s="76">
        <v>0.12405313229222781</v>
      </c>
      <c r="AD481" s="142"/>
      <c r="AE481" s="142"/>
      <c r="AF481" s="142"/>
    </row>
    <row r="482" spans="1:32" x14ac:dyDescent="0.35">
      <c r="A482" t="s">
        <v>89</v>
      </c>
      <c r="B482" t="s">
        <v>648</v>
      </c>
      <c r="C482" s="31">
        <v>1</v>
      </c>
      <c r="D482" s="31"/>
      <c r="E482" s="72">
        <v>1</v>
      </c>
      <c r="F482" s="31"/>
      <c r="G482" s="73">
        <v>2272.7199999999998</v>
      </c>
      <c r="H482" s="31"/>
      <c r="I482" s="72">
        <v>431.01</v>
      </c>
      <c r="J482" s="72"/>
      <c r="K482" s="31">
        <v>17</v>
      </c>
      <c r="L482" s="31">
        <v>28</v>
      </c>
      <c r="M482" s="74">
        <v>17</v>
      </c>
      <c r="N482" s="74"/>
      <c r="O482" s="75">
        <v>2272.7199999999998</v>
      </c>
      <c r="P482" s="75"/>
      <c r="Q482" s="76">
        <v>0.18964500686402197</v>
      </c>
      <c r="R482" s="76"/>
      <c r="S482" s="31">
        <v>2</v>
      </c>
      <c r="T482" s="31"/>
      <c r="U482" s="76">
        <v>-0.43877551020408168</v>
      </c>
      <c r="V482" s="76"/>
      <c r="W482" s="76"/>
      <c r="X482" s="76"/>
      <c r="Y482" s="76">
        <v>-9.125567348197261E-2</v>
      </c>
      <c r="Z482" s="76">
        <v>-9.8484848484848508E-2</v>
      </c>
      <c r="AA482" s="76">
        <v>-0.5</v>
      </c>
      <c r="AB482" s="76">
        <v>-0.45945920233652748</v>
      </c>
      <c r="AC482" s="76">
        <v>8.1081595326945033E-2</v>
      </c>
      <c r="AD482" s="142"/>
      <c r="AE482" s="142"/>
      <c r="AF482" s="142"/>
    </row>
    <row r="483" spans="1:32" x14ac:dyDescent="0.35">
      <c r="A483" t="s">
        <v>89</v>
      </c>
      <c r="B483" t="s">
        <v>629</v>
      </c>
      <c r="C483" s="31">
        <v>26</v>
      </c>
      <c r="D483" s="31">
        <v>337</v>
      </c>
      <c r="E483" s="72">
        <v>34</v>
      </c>
      <c r="F483" s="31">
        <v>606</v>
      </c>
      <c r="G483" s="73">
        <v>2118.4300000000007</v>
      </c>
      <c r="H483" s="31">
        <v>75446.220000000118</v>
      </c>
      <c r="I483" s="72">
        <v>-408.79999999999995</v>
      </c>
      <c r="J483" s="72">
        <v>13208.170000000071</v>
      </c>
      <c r="K483" s="31">
        <v>942.85714285714289</v>
      </c>
      <c r="L483" s="31">
        <v>7515.4285714285716</v>
      </c>
      <c r="M483" s="74">
        <v>27.731092436974791</v>
      </c>
      <c r="N483" s="74">
        <v>12.154799459215862</v>
      </c>
      <c r="O483" s="75">
        <v>62.306764705882372</v>
      </c>
      <c r="P483" s="75">
        <v>124.49871287128732</v>
      </c>
      <c r="Q483" s="76">
        <v>-0.19297309800182202</v>
      </c>
      <c r="R483" s="76">
        <v>0.16657067453066596</v>
      </c>
      <c r="S483" s="31">
        <v>842.57142857142856</v>
      </c>
      <c r="T483" s="31"/>
      <c r="U483" s="76">
        <v>-0.87674878345498786</v>
      </c>
      <c r="V483" s="76">
        <v>-0.9455445544554455</v>
      </c>
      <c r="W483" s="76">
        <v>-0.97269233634236418</v>
      </c>
      <c r="X483" s="76">
        <v>-1.0288617645081826</v>
      </c>
      <c r="Y483" s="76">
        <v>-7.9198556492043548E-2</v>
      </c>
      <c r="Z483" s="76">
        <v>-5.0632911392405E-2</v>
      </c>
      <c r="AA483" s="76">
        <v>-0.38181818181818183</v>
      </c>
      <c r="AB483" s="76">
        <v>-0.421827451344292</v>
      </c>
      <c r="AC483" s="76">
        <v>-6.4720877174590075E-2</v>
      </c>
      <c r="AD483" s="142"/>
      <c r="AE483" s="142"/>
      <c r="AF483" s="142"/>
    </row>
    <row r="484" spans="1:32" x14ac:dyDescent="0.35">
      <c r="A484" t="s">
        <v>89</v>
      </c>
      <c r="B484" t="s">
        <v>638</v>
      </c>
      <c r="C484" s="31">
        <v>9</v>
      </c>
      <c r="D484" s="31">
        <v>24</v>
      </c>
      <c r="E484" s="72">
        <v>13</v>
      </c>
      <c r="F484" s="31">
        <v>31</v>
      </c>
      <c r="G484" s="73">
        <v>1883.9200000000003</v>
      </c>
      <c r="H484" s="31">
        <v>5642.1799999999994</v>
      </c>
      <c r="I484" s="72">
        <v>140.10000000000002</v>
      </c>
      <c r="J484" s="72">
        <v>1639.4</v>
      </c>
      <c r="K484" s="31">
        <v>801.71428571428567</v>
      </c>
      <c r="L484" s="31">
        <v>2989.4285714285716</v>
      </c>
      <c r="M484" s="74">
        <v>61.670329670329664</v>
      </c>
      <c r="N484" s="74">
        <v>96.437788018433181</v>
      </c>
      <c r="O484" s="75">
        <v>144.9169230769231</v>
      </c>
      <c r="P484" s="75">
        <v>182.00580645161287</v>
      </c>
      <c r="Q484" s="76">
        <v>7.4366215125907686E-2</v>
      </c>
      <c r="R484" s="76">
        <v>0.29056144965243935</v>
      </c>
      <c r="S484" s="31">
        <v>358.85714285714283</v>
      </c>
      <c r="T484" s="31"/>
      <c r="U484" s="76">
        <v>-0.73215139061454648</v>
      </c>
      <c r="V484" s="76">
        <v>-0.58064516129032251</v>
      </c>
      <c r="W484" s="76">
        <v>-0.66610069157666008</v>
      </c>
      <c r="X484" s="76">
        <v>-0.91454190557521042</v>
      </c>
      <c r="Y484" s="76">
        <v>2.0271461471776941E-3</v>
      </c>
      <c r="Z484" s="76">
        <v>5.734767025089571E-3</v>
      </c>
      <c r="AA484" s="76">
        <v>-0.23529411764705888</v>
      </c>
      <c r="AB484" s="76">
        <v>-0.2361351011636863</v>
      </c>
      <c r="AC484" s="76">
        <v>-1.0997476755898461E-3</v>
      </c>
      <c r="AD484" s="142"/>
      <c r="AE484" s="142"/>
      <c r="AF484" s="142"/>
    </row>
    <row r="485" spans="1:32" x14ac:dyDescent="0.35">
      <c r="A485" t="s">
        <v>89</v>
      </c>
      <c r="B485" t="s">
        <v>633</v>
      </c>
      <c r="C485" s="31">
        <v>18</v>
      </c>
      <c r="D485" s="31">
        <v>386</v>
      </c>
      <c r="E485" s="72">
        <v>26</v>
      </c>
      <c r="F485" s="31">
        <v>825</v>
      </c>
      <c r="G485" s="73">
        <v>1869.0500000000004</v>
      </c>
      <c r="H485" s="31">
        <v>76849.190000000628</v>
      </c>
      <c r="I485" s="72">
        <v>-3072.7800000000007</v>
      </c>
      <c r="J485" s="72">
        <v>-78985.989999999336</v>
      </c>
      <c r="K485" s="31">
        <v>34.714285714285715</v>
      </c>
      <c r="L485" s="31">
        <v>3808.7142857142858</v>
      </c>
      <c r="M485" s="74">
        <v>1.3351648351648353</v>
      </c>
      <c r="N485" s="74">
        <v>4.6760173160173162</v>
      </c>
      <c r="O485" s="75">
        <v>71.886538461538478</v>
      </c>
      <c r="P485" s="75">
        <v>93.150533333334096</v>
      </c>
      <c r="Q485" s="76">
        <v>-1.644033064926032</v>
      </c>
      <c r="R485" s="76">
        <v>-1.0278051076400245</v>
      </c>
      <c r="S485" s="31">
        <v>46.571428571428569</v>
      </c>
      <c r="T485" s="31"/>
      <c r="U485" s="76">
        <v>-0.99088556318217624</v>
      </c>
      <c r="V485" s="76">
        <v>-0.9684848484848485</v>
      </c>
      <c r="W485" s="76">
        <v>-0.97567898893924598</v>
      </c>
      <c r="X485" s="76">
        <v>-0.96109715153282216</v>
      </c>
      <c r="Y485" s="76">
        <v>-0.58300828563054963</v>
      </c>
      <c r="Z485" s="76">
        <v>-0.54323308270676685</v>
      </c>
      <c r="AA485" s="76">
        <v>-0.43478260869565222</v>
      </c>
      <c r="AB485" s="76">
        <v>-0.44223446415355583</v>
      </c>
      <c r="AC485" s="76">
        <v>-1.3184051963983423E-2</v>
      </c>
      <c r="AD485" s="142"/>
      <c r="AE485" s="142"/>
      <c r="AF485" s="142"/>
    </row>
    <row r="486" spans="1:32" x14ac:dyDescent="0.35">
      <c r="A486" t="s">
        <v>89</v>
      </c>
      <c r="B486" t="s">
        <v>645</v>
      </c>
      <c r="C486" s="31">
        <v>33</v>
      </c>
      <c r="D486" s="31">
        <v>33</v>
      </c>
      <c r="E486" s="72">
        <v>39</v>
      </c>
      <c r="F486" s="31">
        <v>57</v>
      </c>
      <c r="G486" s="73">
        <v>1815.7300000000012</v>
      </c>
      <c r="H486" s="31">
        <v>2741.6499999999996</v>
      </c>
      <c r="I486" s="72">
        <v>444.70000000000016</v>
      </c>
      <c r="J486" s="72">
        <v>1037.3799999999994</v>
      </c>
      <c r="K486" s="31">
        <v>1085.8571428571429</v>
      </c>
      <c r="L486" s="31">
        <v>6334.7142857142853</v>
      </c>
      <c r="M486" s="74">
        <v>27.842490842490843</v>
      </c>
      <c r="N486" s="74">
        <v>111.80871670702179</v>
      </c>
      <c r="O486" s="75">
        <v>46.557179487179518</v>
      </c>
      <c r="P486" s="75">
        <v>48.099122807017537</v>
      </c>
      <c r="Q486" s="76">
        <v>0.24491526823922052</v>
      </c>
      <c r="R486" s="76">
        <v>0.37148259290824825</v>
      </c>
      <c r="S486" s="31">
        <v>325.85714285714283</v>
      </c>
      <c r="T486" s="31"/>
      <c r="U486" s="76">
        <v>-0.83875696276751688</v>
      </c>
      <c r="V486" s="76">
        <v>-0.31578947368421051</v>
      </c>
      <c r="W486" s="76">
        <v>-0.33772363357831914</v>
      </c>
      <c r="X486" s="76">
        <v>-0.56575234114855277</v>
      </c>
      <c r="Y486" s="76">
        <v>5.3357414885235599E-4</v>
      </c>
      <c r="Z486" s="76">
        <v>-1.9695378151259879E-3</v>
      </c>
      <c r="AA486" s="76">
        <v>0.21875</v>
      </c>
      <c r="AB486" s="76">
        <v>0.21063194249976736</v>
      </c>
      <c r="AC486" s="76">
        <v>-6.660970256601173E-3</v>
      </c>
      <c r="AD486" s="142"/>
      <c r="AE486" s="142"/>
      <c r="AF486" s="142"/>
    </row>
    <row r="487" spans="1:32" x14ac:dyDescent="0.35">
      <c r="A487" t="s">
        <v>89</v>
      </c>
      <c r="B487" t="s">
        <v>672</v>
      </c>
      <c r="C487" s="31">
        <v>10</v>
      </c>
      <c r="D487" s="31"/>
      <c r="E487" s="72">
        <v>31</v>
      </c>
      <c r="F487" s="31"/>
      <c r="G487" s="73">
        <v>1381.5500000000002</v>
      </c>
      <c r="H487" s="31"/>
      <c r="I487" s="72">
        <v>560.04999999999995</v>
      </c>
      <c r="J487" s="72"/>
      <c r="K487" s="31">
        <v>372.28571428571428</v>
      </c>
      <c r="L487" s="31">
        <v>4</v>
      </c>
      <c r="M487" s="74">
        <v>12.009216589861751</v>
      </c>
      <c r="N487" s="74"/>
      <c r="O487" s="75">
        <v>44.566129032258068</v>
      </c>
      <c r="P487" s="75"/>
      <c r="Q487" s="76">
        <v>0.40537801744417495</v>
      </c>
      <c r="R487" s="76"/>
      <c r="S487" s="31"/>
      <c r="T487" s="31"/>
      <c r="U487" s="76">
        <v>-0.5</v>
      </c>
      <c r="V487" s="76"/>
      <c r="W487" s="76"/>
      <c r="X487" s="76"/>
      <c r="Y487" s="76">
        <v>-6.8461049970547583E-2</v>
      </c>
      <c r="Z487" s="76">
        <v>-6.8287450840185948E-2</v>
      </c>
      <c r="AA487" s="76">
        <v>-0.20512820512820518</v>
      </c>
      <c r="AB487" s="76">
        <v>-0.22049820859311076</v>
      </c>
      <c r="AC487" s="76">
        <v>-1.9336455971978195E-2</v>
      </c>
      <c r="AD487" s="142"/>
      <c r="AE487" s="142"/>
      <c r="AF487" s="142"/>
    </row>
    <row r="488" spans="1:32" x14ac:dyDescent="0.35">
      <c r="A488" t="s">
        <v>89</v>
      </c>
      <c r="B488" t="s">
        <v>791</v>
      </c>
      <c r="C488" s="31">
        <v>9</v>
      </c>
      <c r="D488" s="31"/>
      <c r="E488" s="72">
        <v>18</v>
      </c>
      <c r="F488" s="31"/>
      <c r="G488" s="73">
        <v>1363.46</v>
      </c>
      <c r="H488" s="31"/>
      <c r="I488" s="72">
        <v>373.46</v>
      </c>
      <c r="J488" s="72"/>
      <c r="K488" s="31">
        <v>896.71428571428567</v>
      </c>
      <c r="L488" s="31"/>
      <c r="M488" s="74">
        <v>49.817460317460316</v>
      </c>
      <c r="N488" s="74"/>
      <c r="O488" s="75">
        <v>75.747777777777785</v>
      </c>
      <c r="P488" s="75"/>
      <c r="Q488" s="76">
        <v>0.27390609185454651</v>
      </c>
      <c r="R488" s="76"/>
      <c r="S488" s="31"/>
      <c r="T488" s="31"/>
      <c r="U488" s="76"/>
      <c r="V488" s="76"/>
      <c r="W488" s="76"/>
      <c r="X488" s="76"/>
      <c r="Y488" s="76">
        <v>-1.2359002409709774E-2</v>
      </c>
      <c r="Z488" s="76">
        <v>-1.1962852195813056E-2</v>
      </c>
      <c r="AA488" s="76">
        <v>0.8</v>
      </c>
      <c r="AB488" s="76">
        <v>0.50845244944019097</v>
      </c>
      <c r="AC488" s="76">
        <v>-0.16197086142211603</v>
      </c>
      <c r="AD488" s="142"/>
      <c r="AE488" s="142"/>
      <c r="AF488" s="142"/>
    </row>
    <row r="489" spans="1:32" x14ac:dyDescent="0.35">
      <c r="A489" t="s">
        <v>89</v>
      </c>
      <c r="B489" t="s">
        <v>664</v>
      </c>
      <c r="C489" s="31">
        <v>5</v>
      </c>
      <c r="D489" s="31">
        <v>2</v>
      </c>
      <c r="E489" s="72">
        <v>19</v>
      </c>
      <c r="F489" s="31">
        <v>2</v>
      </c>
      <c r="G489" s="73">
        <v>1030.79</v>
      </c>
      <c r="H489" s="31">
        <v>120.9</v>
      </c>
      <c r="I489" s="72">
        <v>350.03999999999996</v>
      </c>
      <c r="J489" s="72">
        <v>34.300000000000011</v>
      </c>
      <c r="K489" s="31">
        <v>6</v>
      </c>
      <c r="L489" s="31">
        <v>37.714285714285715</v>
      </c>
      <c r="M489" s="74">
        <v>0.31578947368421051</v>
      </c>
      <c r="N489" s="74">
        <v>18.857142857142858</v>
      </c>
      <c r="O489" s="75">
        <v>54.252105263157894</v>
      </c>
      <c r="P489" s="75">
        <v>60.45</v>
      </c>
      <c r="Q489" s="76">
        <v>0.33958420240786191</v>
      </c>
      <c r="R489" s="76">
        <v>0.28370554177005797</v>
      </c>
      <c r="S489" s="31">
        <v>4</v>
      </c>
      <c r="T489" s="31"/>
      <c r="U489" s="76">
        <v>-0.84090909090909094</v>
      </c>
      <c r="V489" s="76">
        <v>8.5</v>
      </c>
      <c r="W489" s="76">
        <v>7.5259718775847801</v>
      </c>
      <c r="X489" s="76">
        <v>9.2052478134110736</v>
      </c>
      <c r="Y489" s="76">
        <v>-0.27148121783749335</v>
      </c>
      <c r="Z489" s="76">
        <v>-0.33333333333333337</v>
      </c>
      <c r="AA489" s="76"/>
      <c r="AB489" s="76"/>
      <c r="AC489" s="76"/>
      <c r="AD489" s="142"/>
      <c r="AE489" s="142"/>
      <c r="AF489" s="142"/>
    </row>
    <row r="490" spans="1:32" x14ac:dyDescent="0.35">
      <c r="A490" t="s">
        <v>89</v>
      </c>
      <c r="B490" t="s">
        <v>636</v>
      </c>
      <c r="C490" s="31">
        <v>24</v>
      </c>
      <c r="D490" s="31">
        <v>355</v>
      </c>
      <c r="E490" s="72">
        <v>37</v>
      </c>
      <c r="F490" s="31">
        <v>794</v>
      </c>
      <c r="G490" s="73">
        <v>729.57000000000039</v>
      </c>
      <c r="H490" s="31">
        <v>13994.409999999998</v>
      </c>
      <c r="I490" s="72">
        <v>219.97000000000003</v>
      </c>
      <c r="J490" s="72">
        <v>-3156.899999999996</v>
      </c>
      <c r="K490" s="31">
        <v>176.14285714285714</v>
      </c>
      <c r="L490" s="31">
        <v>13869</v>
      </c>
      <c r="M490" s="74">
        <v>4.7606177606177607</v>
      </c>
      <c r="N490" s="74">
        <v>17.041435506241331</v>
      </c>
      <c r="O490" s="75">
        <v>19.718108108108119</v>
      </c>
      <c r="P490" s="75">
        <v>17.62520151133501</v>
      </c>
      <c r="Q490" s="76">
        <v>0.30150636676398412</v>
      </c>
      <c r="R490" s="76">
        <v>-0.21789065228464566</v>
      </c>
      <c r="S490" s="31">
        <v>920</v>
      </c>
      <c r="T490" s="31"/>
      <c r="U490" s="76">
        <v>-0.9872274239568205</v>
      </c>
      <c r="V490" s="76">
        <v>-0.95340050377833752</v>
      </c>
      <c r="W490" s="76">
        <v>-0.9478670411971637</v>
      </c>
      <c r="X490" s="76">
        <v>-1.0783201595100764</v>
      </c>
      <c r="Y490" s="76">
        <v>-0.11939847363617417</v>
      </c>
      <c r="Z490" s="76">
        <v>-0.14553014553014554</v>
      </c>
      <c r="AA490" s="76">
        <v>0.76190476190476186</v>
      </c>
      <c r="AB490" s="76">
        <v>0.79701470479568526</v>
      </c>
      <c r="AC490" s="76">
        <v>1.9927264884037621E-2</v>
      </c>
      <c r="AD490" s="142"/>
      <c r="AE490" s="142"/>
      <c r="AF490" s="142"/>
    </row>
    <row r="491" spans="1:32" x14ac:dyDescent="0.35">
      <c r="A491" t="s">
        <v>89</v>
      </c>
      <c r="B491" t="s">
        <v>642</v>
      </c>
      <c r="C491" s="31">
        <v>3</v>
      </c>
      <c r="D491" s="31">
        <v>17</v>
      </c>
      <c r="E491" s="72">
        <v>3</v>
      </c>
      <c r="F491" s="31">
        <v>25</v>
      </c>
      <c r="G491" s="73">
        <v>699.98</v>
      </c>
      <c r="H491" s="31">
        <v>7590.59</v>
      </c>
      <c r="I491" s="72">
        <v>-48.139999999999986</v>
      </c>
      <c r="J491" s="72">
        <v>1670.25</v>
      </c>
      <c r="K491" s="31">
        <v>146.71428571428572</v>
      </c>
      <c r="L491" s="31">
        <v>651.71428571428567</v>
      </c>
      <c r="M491" s="74">
        <v>48.904761904761905</v>
      </c>
      <c r="N491" s="74">
        <v>26.914285714285715</v>
      </c>
      <c r="O491" s="75">
        <v>233.32666666666668</v>
      </c>
      <c r="P491" s="75">
        <v>303.62360000000001</v>
      </c>
      <c r="Q491" s="76">
        <v>-6.8773393525529275E-2</v>
      </c>
      <c r="R491" s="76">
        <v>0.22004218380916371</v>
      </c>
      <c r="S491" s="31">
        <v>13.571428571428571</v>
      </c>
      <c r="T491" s="31"/>
      <c r="U491" s="76">
        <v>-0.77553704515563349</v>
      </c>
      <c r="V491" s="76">
        <v>-0.88</v>
      </c>
      <c r="W491" s="76">
        <v>-0.90778318944904157</v>
      </c>
      <c r="X491" s="76">
        <v>-1.0288220326298458</v>
      </c>
      <c r="Y491" s="76">
        <v>5.9101859318442251E-3</v>
      </c>
      <c r="Z491" s="76">
        <v>9.8328416912489836E-3</v>
      </c>
      <c r="AA491" s="76">
        <v>-0.4</v>
      </c>
      <c r="AB491" s="76">
        <v>-0.56497312078555662</v>
      </c>
      <c r="AC491" s="76">
        <v>-0.2749552013092611</v>
      </c>
      <c r="AD491" s="142"/>
      <c r="AE491" s="142"/>
      <c r="AF491" s="142"/>
    </row>
    <row r="492" spans="1:32" x14ac:dyDescent="0.35">
      <c r="A492" t="s">
        <v>89</v>
      </c>
      <c r="B492" t="s">
        <v>650</v>
      </c>
      <c r="C492" s="31">
        <v>3</v>
      </c>
      <c r="D492" s="31">
        <v>4</v>
      </c>
      <c r="E492" s="72">
        <v>4</v>
      </c>
      <c r="F492" s="31">
        <v>5</v>
      </c>
      <c r="G492" s="73">
        <v>565.78000000000009</v>
      </c>
      <c r="H492" s="31">
        <v>367.27000000000004</v>
      </c>
      <c r="I492" s="72">
        <v>261.28000000000003</v>
      </c>
      <c r="J492" s="72">
        <v>63.270000000000039</v>
      </c>
      <c r="K492" s="31">
        <v>52.714285714285715</v>
      </c>
      <c r="L492" s="31">
        <v>148.85714285714286</v>
      </c>
      <c r="M492" s="74">
        <v>13.178571428571429</v>
      </c>
      <c r="N492" s="74">
        <v>29.771428571428572</v>
      </c>
      <c r="O492" s="75">
        <v>141.44500000000002</v>
      </c>
      <c r="P492" s="75">
        <v>73.454000000000008</v>
      </c>
      <c r="Q492" s="76">
        <v>0.46180494185018911</v>
      </c>
      <c r="R492" s="76">
        <v>0.17227108122090024</v>
      </c>
      <c r="S492" s="31">
        <v>55</v>
      </c>
      <c r="T492" s="31"/>
      <c r="U492" s="76">
        <v>-0.67946257197696736</v>
      </c>
      <c r="V492" s="76">
        <v>-0.19999999999999996</v>
      </c>
      <c r="W492" s="76">
        <v>0.54050153837776027</v>
      </c>
      <c r="X492" s="76">
        <v>3.1296032874980231</v>
      </c>
      <c r="Y492" s="76">
        <v>-0.15046743755890324</v>
      </c>
      <c r="Z492" s="76">
        <v>-0.22151898734177211</v>
      </c>
      <c r="AA492" s="76">
        <v>-0.75</v>
      </c>
      <c r="AB492" s="76">
        <v>-0.65707809052779587</v>
      </c>
      <c r="AC492" s="76">
        <v>0.37168763788881654</v>
      </c>
      <c r="AD492" s="142"/>
      <c r="AE492" s="142"/>
      <c r="AF492" s="142"/>
    </row>
    <row r="493" spans="1:32" x14ac:dyDescent="0.35">
      <c r="A493" t="s">
        <v>89</v>
      </c>
      <c r="B493" t="s">
        <v>637</v>
      </c>
      <c r="C493" s="31">
        <v>14</v>
      </c>
      <c r="D493" s="31">
        <v>253</v>
      </c>
      <c r="E493" s="72">
        <v>23</v>
      </c>
      <c r="F493" s="31">
        <v>548</v>
      </c>
      <c r="G493" s="73">
        <v>499.10999999999996</v>
      </c>
      <c r="H493" s="31">
        <v>10007.160000000002</v>
      </c>
      <c r="I493" s="72">
        <v>147.12</v>
      </c>
      <c r="J493" s="72">
        <v>2741.8900000000058</v>
      </c>
      <c r="K493" s="31">
        <v>119.14285714285714</v>
      </c>
      <c r="L493" s="31">
        <v>8153</v>
      </c>
      <c r="M493" s="74">
        <v>5.1801242236024843</v>
      </c>
      <c r="N493" s="74">
        <v>15.092727272727272</v>
      </c>
      <c r="O493" s="75">
        <v>21.700434782608692</v>
      </c>
      <c r="P493" s="75">
        <v>18.26124087591241</v>
      </c>
      <c r="Q493" s="76">
        <v>0.29476468113241572</v>
      </c>
      <c r="R493" s="76">
        <v>0.27300171553912089</v>
      </c>
      <c r="S493" s="31">
        <v>674.57142857142856</v>
      </c>
      <c r="T493" s="31"/>
      <c r="U493" s="76">
        <v>-0.98501866096616497</v>
      </c>
      <c r="V493" s="76">
        <v>-0.95802919708029199</v>
      </c>
      <c r="W493" s="76">
        <v>-0.95012471070713367</v>
      </c>
      <c r="X493" s="76">
        <v>-0.9459715535381803</v>
      </c>
      <c r="Y493" s="76">
        <v>-0.64832418914266565</v>
      </c>
      <c r="Z493" s="76">
        <v>-0.15842583249243203</v>
      </c>
      <c r="AA493" s="76">
        <v>1.0909090909090908</v>
      </c>
      <c r="AB493" s="76">
        <v>1.6370264701220476</v>
      </c>
      <c r="AC493" s="76">
        <v>0.26118657266706613</v>
      </c>
      <c r="AD493" s="142"/>
      <c r="AE493" s="142"/>
      <c r="AF493" s="142"/>
    </row>
    <row r="494" spans="1:32" x14ac:dyDescent="0.35">
      <c r="A494" t="s">
        <v>89</v>
      </c>
      <c r="B494" t="s">
        <v>639</v>
      </c>
      <c r="C494" s="31">
        <v>9</v>
      </c>
      <c r="D494" s="31">
        <v>167</v>
      </c>
      <c r="E494" s="72">
        <v>11</v>
      </c>
      <c r="F494" s="31">
        <v>331</v>
      </c>
      <c r="G494" s="73">
        <v>306.26</v>
      </c>
      <c r="H494" s="31">
        <v>6450.340000000002</v>
      </c>
      <c r="I494" s="72">
        <v>-11.879999999999994</v>
      </c>
      <c r="J494" s="72">
        <v>-2865.7900000000009</v>
      </c>
      <c r="K494" s="31">
        <v>33</v>
      </c>
      <c r="L494" s="31">
        <v>1936</v>
      </c>
      <c r="M494" s="74">
        <v>3</v>
      </c>
      <c r="N494" s="74">
        <v>5.8580060422960729</v>
      </c>
      <c r="O494" s="75">
        <v>27.84181818181818</v>
      </c>
      <c r="P494" s="75">
        <v>19.487432024169191</v>
      </c>
      <c r="Q494" s="76">
        <v>-3.8790570103833327E-2</v>
      </c>
      <c r="R494" s="76">
        <v>-0.44428510745170025</v>
      </c>
      <c r="S494" s="31">
        <v>570</v>
      </c>
      <c r="T494" s="31"/>
      <c r="U494" s="76">
        <v>-0.98406139315230223</v>
      </c>
      <c r="V494" s="76">
        <v>-0.96978851963746227</v>
      </c>
      <c r="W494" s="76">
        <v>-0.95533723803706472</v>
      </c>
      <c r="X494" s="76">
        <v>-0.99998255280393888</v>
      </c>
      <c r="Y494" s="76">
        <v>-0.28749483553854926</v>
      </c>
      <c r="Z494" s="76">
        <v>-0.24509803921568629</v>
      </c>
      <c r="AA494" s="76">
        <v>0.22222222222222232</v>
      </c>
      <c r="AB494" s="76">
        <v>0.32356627339124411</v>
      </c>
      <c r="AC494" s="76">
        <v>8.2917860047381442E-2</v>
      </c>
      <c r="AD494" s="142"/>
      <c r="AE494" s="142"/>
      <c r="AF494" s="142"/>
    </row>
    <row r="495" spans="1:32" x14ac:dyDescent="0.35">
      <c r="A495" t="s">
        <v>89</v>
      </c>
      <c r="B495" t="s">
        <v>651</v>
      </c>
      <c r="C495" s="31">
        <v>4</v>
      </c>
      <c r="D495" s="31">
        <v>4</v>
      </c>
      <c r="E495" s="72">
        <v>5</v>
      </c>
      <c r="F495" s="31">
        <v>4</v>
      </c>
      <c r="G495" s="73">
        <v>290.86</v>
      </c>
      <c r="H495" s="31">
        <v>309.03999999999996</v>
      </c>
      <c r="I495" s="72">
        <v>25.86</v>
      </c>
      <c r="J495" s="72">
        <v>97.899999999999977</v>
      </c>
      <c r="K495" s="31">
        <v>98</v>
      </c>
      <c r="L495" s="31">
        <v>488</v>
      </c>
      <c r="M495" s="74">
        <v>19.600000000000001</v>
      </c>
      <c r="N495" s="74">
        <v>124.25</v>
      </c>
      <c r="O495" s="75">
        <v>58.172000000000004</v>
      </c>
      <c r="P495" s="75">
        <v>77.259999999999991</v>
      </c>
      <c r="Q495" s="76">
        <v>8.8908753352128167E-2</v>
      </c>
      <c r="R495" s="76">
        <v>0.31678747087755627</v>
      </c>
      <c r="S495" s="31"/>
      <c r="T495" s="31"/>
      <c r="U495" s="76">
        <v>-0.79918032786885251</v>
      </c>
      <c r="V495" s="76">
        <v>0.25</v>
      </c>
      <c r="W495" s="76">
        <v>-5.8827336267149755E-2</v>
      </c>
      <c r="X495" s="76">
        <v>-0.73585291113380979</v>
      </c>
      <c r="Y495" s="76">
        <v>-0.19006055874346572</v>
      </c>
      <c r="Z495" s="76">
        <v>-0.18816568047337279</v>
      </c>
      <c r="AA495" s="76">
        <v>-0.81481481481481488</v>
      </c>
      <c r="AB495" s="76">
        <v>-0.81480962689418057</v>
      </c>
      <c r="AC495" s="76">
        <v>2.8014771425111107E-5</v>
      </c>
      <c r="AD495" s="142"/>
      <c r="AE495" s="142"/>
      <c r="AF495" s="142"/>
    </row>
    <row r="496" spans="1:32" x14ac:dyDescent="0.35">
      <c r="A496" t="s">
        <v>89</v>
      </c>
      <c r="B496" t="s">
        <v>680</v>
      </c>
      <c r="C496" s="31">
        <v>2</v>
      </c>
      <c r="D496" s="31"/>
      <c r="E496" s="72">
        <v>2</v>
      </c>
      <c r="F496" s="31"/>
      <c r="G496" s="73">
        <v>261.8</v>
      </c>
      <c r="H496" s="31"/>
      <c r="I496" s="72">
        <v>121.8</v>
      </c>
      <c r="J496" s="72"/>
      <c r="K496" s="31">
        <v>5.1428571428571432</v>
      </c>
      <c r="L496" s="31">
        <v>10</v>
      </c>
      <c r="M496" s="74">
        <v>2.5714285714285716</v>
      </c>
      <c r="N496" s="74"/>
      <c r="O496" s="75">
        <v>130.9</v>
      </c>
      <c r="P496" s="75"/>
      <c r="Q496" s="76">
        <v>0.46524064171122992</v>
      </c>
      <c r="R496" s="76"/>
      <c r="S496" s="31">
        <v>6</v>
      </c>
      <c r="T496" s="31"/>
      <c r="U496" s="76">
        <v>-0.48571428571428565</v>
      </c>
      <c r="V496" s="76"/>
      <c r="W496" s="76"/>
      <c r="X496" s="76"/>
      <c r="Y496" s="76">
        <v>-0.1428571428571429</v>
      </c>
      <c r="Z496" s="76">
        <v>-0.14285714285714279</v>
      </c>
      <c r="AA496" s="76"/>
      <c r="AB496" s="76"/>
      <c r="AC496" s="76"/>
      <c r="AD496" s="142"/>
      <c r="AE496" s="142"/>
      <c r="AF496" s="142"/>
    </row>
    <row r="497" spans="1:32" x14ac:dyDescent="0.35">
      <c r="A497" t="s">
        <v>89</v>
      </c>
      <c r="B497" t="s">
        <v>634</v>
      </c>
      <c r="C497" s="31">
        <v>8</v>
      </c>
      <c r="D497" s="31">
        <v>323</v>
      </c>
      <c r="E497" s="72">
        <v>10</v>
      </c>
      <c r="F497" s="31">
        <v>926</v>
      </c>
      <c r="G497" s="73">
        <v>237.92000000000002</v>
      </c>
      <c r="H497" s="31">
        <v>17220.459999999995</v>
      </c>
      <c r="I497" s="72">
        <v>-2.0799999999999983</v>
      </c>
      <c r="J497" s="72">
        <v>-2294.5699999999961</v>
      </c>
      <c r="K497" s="31">
        <v>39.857142857142854</v>
      </c>
      <c r="L497" s="31">
        <v>4961.2857142857147</v>
      </c>
      <c r="M497" s="74">
        <v>3.9857142857142853</v>
      </c>
      <c r="N497" s="74">
        <v>5.4132983647022517</v>
      </c>
      <c r="O497" s="75">
        <v>23.792000000000002</v>
      </c>
      <c r="P497" s="75">
        <v>18.596609071274294</v>
      </c>
      <c r="Q497" s="76">
        <v>-8.7424344317417538E-3</v>
      </c>
      <c r="R497" s="76">
        <v>-0.13324673092356398</v>
      </c>
      <c r="S497" s="31">
        <v>1431.8571428571429</v>
      </c>
      <c r="T497" s="31"/>
      <c r="U497" s="76">
        <v>-0.99219672319963148</v>
      </c>
      <c r="V497" s="76">
        <v>-0.99028077753779697</v>
      </c>
      <c r="W497" s="76">
        <v>-0.98935103940312863</v>
      </c>
      <c r="X497" s="76">
        <v>-0.9825152425073107</v>
      </c>
      <c r="Y497" s="76">
        <v>-5.3186560163449692E-2</v>
      </c>
      <c r="Z497" s="76">
        <v>-0.12812500000000004</v>
      </c>
      <c r="AA497" s="76">
        <v>1.5</v>
      </c>
      <c r="AB497" s="76">
        <v>2.2735277930654925</v>
      </c>
      <c r="AC497" s="76">
        <v>0.30941111722619707</v>
      </c>
      <c r="AD497" s="142"/>
      <c r="AE497" s="142"/>
      <c r="AF497" s="142"/>
    </row>
    <row r="498" spans="1:32" x14ac:dyDescent="0.35">
      <c r="A498" t="s">
        <v>89</v>
      </c>
      <c r="B498" t="s">
        <v>797</v>
      </c>
      <c r="C498" s="31">
        <v>2</v>
      </c>
      <c r="D498" s="31"/>
      <c r="E498" s="72">
        <v>3</v>
      </c>
      <c r="F498" s="31"/>
      <c r="G498" s="73">
        <v>218.15</v>
      </c>
      <c r="H498" s="31"/>
      <c r="I498" s="72">
        <v>-6.85</v>
      </c>
      <c r="J498" s="72"/>
      <c r="K498" s="31">
        <v>871.57142857142856</v>
      </c>
      <c r="L498" s="31"/>
      <c r="M498" s="74">
        <v>290.52380952380952</v>
      </c>
      <c r="N498" s="74"/>
      <c r="O498" s="75">
        <v>72.716666666666669</v>
      </c>
      <c r="P498" s="75"/>
      <c r="Q498" s="76">
        <v>-3.1400412560165021E-2</v>
      </c>
      <c r="R498" s="76"/>
      <c r="S498" s="31"/>
      <c r="T498" s="31"/>
      <c r="U498" s="76"/>
      <c r="V498" s="76"/>
      <c r="W498" s="76"/>
      <c r="X498" s="76"/>
      <c r="Y498" s="76">
        <v>-1.7832177808211336E-3</v>
      </c>
      <c r="Z498" s="76">
        <v>-1.6363933889707027E-3</v>
      </c>
      <c r="AA498" s="76"/>
      <c r="AB498" s="76"/>
      <c r="AC498" s="76"/>
      <c r="AD498" s="142"/>
      <c r="AE498" s="142"/>
      <c r="AF498" s="142"/>
    </row>
    <row r="499" spans="1:32" x14ac:dyDescent="0.35">
      <c r="A499" t="s">
        <v>89</v>
      </c>
      <c r="B499" t="s">
        <v>656</v>
      </c>
      <c r="C499" s="31">
        <v>2</v>
      </c>
      <c r="D499" s="31"/>
      <c r="E499" s="72">
        <v>2</v>
      </c>
      <c r="F499" s="31"/>
      <c r="G499" s="73">
        <v>176.35000000000002</v>
      </c>
      <c r="H499" s="31"/>
      <c r="I499" s="72">
        <v>-7.8499999999999979</v>
      </c>
      <c r="J499" s="72"/>
      <c r="K499" s="31">
        <v>97.714285714285708</v>
      </c>
      <c r="L499" s="31">
        <v>190</v>
      </c>
      <c r="M499" s="74">
        <v>48.857142857142854</v>
      </c>
      <c r="N499" s="74"/>
      <c r="O499" s="75">
        <v>88.175000000000011</v>
      </c>
      <c r="P499" s="75"/>
      <c r="Q499" s="76">
        <v>-4.4513751063226518E-2</v>
      </c>
      <c r="R499" s="76"/>
      <c r="S499" s="31">
        <v>142.57142857142858</v>
      </c>
      <c r="T499" s="31"/>
      <c r="U499" s="76">
        <v>-0.48571428571428577</v>
      </c>
      <c r="V499" s="76"/>
      <c r="W499" s="76"/>
      <c r="X499" s="76"/>
      <c r="Y499" s="76">
        <v>-2.7569912846876377E-2</v>
      </c>
      <c r="Z499" s="76">
        <v>-1.4409221902017322E-2</v>
      </c>
      <c r="AA499" s="76">
        <v>-0.33333333333333337</v>
      </c>
      <c r="AB499" s="76">
        <v>-0.45921496473474388</v>
      </c>
      <c r="AC499" s="76">
        <v>-0.18882244710211582</v>
      </c>
      <c r="AD499" s="142"/>
      <c r="AE499" s="142"/>
      <c r="AF499" s="142"/>
    </row>
    <row r="500" spans="1:32" x14ac:dyDescent="0.35">
      <c r="A500" t="s">
        <v>89</v>
      </c>
      <c r="B500" t="s">
        <v>644</v>
      </c>
      <c r="C500" s="31">
        <v>2</v>
      </c>
      <c r="D500" s="31">
        <v>13</v>
      </c>
      <c r="E500" s="72">
        <v>2</v>
      </c>
      <c r="F500" s="31">
        <v>16</v>
      </c>
      <c r="G500" s="73">
        <v>168.16000000000003</v>
      </c>
      <c r="H500" s="31">
        <v>2785.2999999999997</v>
      </c>
      <c r="I500" s="72">
        <v>-63.470000000000006</v>
      </c>
      <c r="J500" s="72">
        <v>705.70999999999958</v>
      </c>
      <c r="K500" s="31">
        <v>80</v>
      </c>
      <c r="L500" s="31">
        <v>156.28571428571428</v>
      </c>
      <c r="M500" s="74">
        <v>40</v>
      </c>
      <c r="N500" s="74">
        <v>9.7053571428571423</v>
      </c>
      <c r="O500" s="75">
        <v>84.080000000000013</v>
      </c>
      <c r="P500" s="75">
        <v>174.08124999999998</v>
      </c>
      <c r="Q500" s="76">
        <v>-0.37743815413891529</v>
      </c>
      <c r="R500" s="76">
        <v>0.25336947546045296</v>
      </c>
      <c r="S500" s="31">
        <v>130.28571428571428</v>
      </c>
      <c r="T500" s="31"/>
      <c r="U500" s="76">
        <v>-0.78244972577696525</v>
      </c>
      <c r="V500" s="76">
        <v>-0.875</v>
      </c>
      <c r="W500" s="76">
        <v>-0.93962589308153521</v>
      </c>
      <c r="X500" s="76">
        <v>-1.0899377931444927</v>
      </c>
      <c r="Y500" s="76">
        <v>-1.6595013022867144E-2</v>
      </c>
      <c r="Z500" s="76">
        <v>-3.7800687285223344E-2</v>
      </c>
      <c r="AA500" s="76">
        <v>0</v>
      </c>
      <c r="AB500" s="76">
        <v>-2.6288361320208287E-2</v>
      </c>
      <c r="AC500" s="76">
        <v>-2.6288361320208287E-2</v>
      </c>
      <c r="AD500" s="142"/>
      <c r="AE500" s="142"/>
      <c r="AF500" s="142"/>
    </row>
    <row r="501" spans="1:32" x14ac:dyDescent="0.35">
      <c r="A501" t="s">
        <v>89</v>
      </c>
      <c r="B501" t="s">
        <v>655</v>
      </c>
      <c r="C501" s="31">
        <v>2</v>
      </c>
      <c r="D501" s="31">
        <v>1</v>
      </c>
      <c r="E501" s="72">
        <v>2</v>
      </c>
      <c r="F501" s="31">
        <v>1</v>
      </c>
      <c r="G501" s="73">
        <v>145.44</v>
      </c>
      <c r="H501" s="31">
        <v>90.91</v>
      </c>
      <c r="I501" s="72">
        <v>-64.56</v>
      </c>
      <c r="J501" s="72">
        <v>-22.509999999999991</v>
      </c>
      <c r="K501" s="31">
        <v>82</v>
      </c>
      <c r="L501" s="31">
        <v>205.57142857142858</v>
      </c>
      <c r="M501" s="74">
        <v>41</v>
      </c>
      <c r="N501" s="74">
        <v>103.85714285714286</v>
      </c>
      <c r="O501" s="75">
        <v>72.72</v>
      </c>
      <c r="P501" s="75">
        <v>90.91</v>
      </c>
      <c r="Q501" s="76">
        <v>-0.44389438943894394</v>
      </c>
      <c r="R501" s="76">
        <v>-0.12005973651928098</v>
      </c>
      <c r="S501" s="31">
        <v>12</v>
      </c>
      <c r="T501" s="31"/>
      <c r="U501" s="76">
        <v>-0.60597637248088954</v>
      </c>
      <c r="V501" s="76">
        <v>1</v>
      </c>
      <c r="W501" s="76">
        <v>0.59982400175998252</v>
      </c>
      <c r="X501" s="76">
        <v>3.581973030518097</v>
      </c>
      <c r="Y501" s="76">
        <v>2.85505124450951E-2</v>
      </c>
      <c r="Z501" s="76">
        <v>2.3172905525846721E-2</v>
      </c>
      <c r="AA501" s="76">
        <v>-0.5</v>
      </c>
      <c r="AB501" s="76">
        <v>-0.49998281019011936</v>
      </c>
      <c r="AC501" s="76">
        <v>3.437961976127113E-5</v>
      </c>
      <c r="AD501" s="142"/>
      <c r="AE501" s="142"/>
      <c r="AF501" s="142"/>
    </row>
    <row r="502" spans="1:32" x14ac:dyDescent="0.35">
      <c r="A502" t="s">
        <v>89</v>
      </c>
      <c r="B502" t="s">
        <v>654</v>
      </c>
      <c r="C502" s="31">
        <v>3</v>
      </c>
      <c r="D502" s="31">
        <v>6</v>
      </c>
      <c r="E502" s="72">
        <v>4</v>
      </c>
      <c r="F502" s="31">
        <v>8</v>
      </c>
      <c r="G502" s="73">
        <v>127.22</v>
      </c>
      <c r="H502" s="31">
        <v>243.13999999999996</v>
      </c>
      <c r="I502" s="72">
        <v>3.2200000000000006</v>
      </c>
      <c r="J502" s="72">
        <v>70.729999999999933</v>
      </c>
      <c r="K502" s="31">
        <v>127.42857142857143</v>
      </c>
      <c r="L502" s="31">
        <v>1014.5714285714286</v>
      </c>
      <c r="M502" s="74">
        <v>31.857142857142858</v>
      </c>
      <c r="N502" s="74">
        <v>127.44642857142857</v>
      </c>
      <c r="O502" s="75">
        <v>31.805</v>
      </c>
      <c r="P502" s="75">
        <v>30.392499999999995</v>
      </c>
      <c r="Q502" s="76">
        <v>2.5310485772677256E-2</v>
      </c>
      <c r="R502" s="76">
        <v>0.29090236077979742</v>
      </c>
      <c r="S502" s="31">
        <v>43.857142857142854</v>
      </c>
      <c r="T502" s="31"/>
      <c r="U502" s="76">
        <v>-0.88580681498169533</v>
      </c>
      <c r="V502" s="76">
        <v>-0.5</v>
      </c>
      <c r="W502" s="76">
        <v>-0.47676235913465481</v>
      </c>
      <c r="X502" s="76">
        <v>-0.95447476318393887</v>
      </c>
      <c r="Y502" s="76">
        <v>-3.5326463661942364E-2</v>
      </c>
      <c r="Z502" s="76">
        <v>-3.3586132177681471E-2</v>
      </c>
      <c r="AA502" s="76">
        <v>1</v>
      </c>
      <c r="AB502" s="76">
        <v>0.33368277597232421</v>
      </c>
      <c r="AC502" s="76">
        <v>-0.3331586120138379</v>
      </c>
      <c r="AD502" s="142"/>
      <c r="AE502" s="142"/>
      <c r="AF502" s="142"/>
    </row>
    <row r="503" spans="1:32" x14ac:dyDescent="0.35">
      <c r="A503" t="s">
        <v>89</v>
      </c>
      <c r="B503" t="s">
        <v>653</v>
      </c>
      <c r="C503" s="31">
        <v>3</v>
      </c>
      <c r="D503" s="31">
        <v>13</v>
      </c>
      <c r="E503" s="72">
        <v>4</v>
      </c>
      <c r="F503" s="31">
        <v>27</v>
      </c>
      <c r="G503" s="73">
        <v>109.05000000000001</v>
      </c>
      <c r="H503" s="31">
        <v>861.79</v>
      </c>
      <c r="I503" s="72">
        <v>14.870000000000001</v>
      </c>
      <c r="J503" s="72">
        <v>256.36999999999989</v>
      </c>
      <c r="K503" s="31">
        <v>33.285714285714285</v>
      </c>
      <c r="L503" s="31">
        <v>555.42857142857144</v>
      </c>
      <c r="M503" s="74">
        <v>8.3214285714285712</v>
      </c>
      <c r="N503" s="74">
        <v>20.751322751322753</v>
      </c>
      <c r="O503" s="75">
        <v>27.262500000000003</v>
      </c>
      <c r="P503" s="75">
        <v>31.918148148148148</v>
      </c>
      <c r="Q503" s="76">
        <v>0.13635946813388353</v>
      </c>
      <c r="R503" s="76">
        <v>0.29748546629689354</v>
      </c>
      <c r="S503" s="31">
        <v>207</v>
      </c>
      <c r="T503" s="31"/>
      <c r="U503" s="76">
        <v>-0.94161522633744854</v>
      </c>
      <c r="V503" s="76">
        <v>-0.85185185185185186</v>
      </c>
      <c r="W503" s="76">
        <v>-0.87346105199642599</v>
      </c>
      <c r="X503" s="76">
        <v>-0.94199789366930597</v>
      </c>
      <c r="Y503" s="76">
        <v>-0.12798891859477823</v>
      </c>
      <c r="Z503" s="76">
        <v>0</v>
      </c>
      <c r="AA503" s="76">
        <v>3</v>
      </c>
      <c r="AB503" s="76">
        <v>5.0016510731975785</v>
      </c>
      <c r="AC503" s="76">
        <v>0.50041276829939463</v>
      </c>
      <c r="AD503" s="142"/>
      <c r="AE503" s="142"/>
      <c r="AF503" s="142"/>
    </row>
    <row r="504" spans="1:32" x14ac:dyDescent="0.35">
      <c r="A504" t="s">
        <v>89</v>
      </c>
      <c r="B504" t="s">
        <v>704</v>
      </c>
      <c r="C504" s="31">
        <v>1</v>
      </c>
      <c r="D504" s="31"/>
      <c r="E504" s="72">
        <v>3</v>
      </c>
      <c r="F504" s="31"/>
      <c r="G504" s="73">
        <v>90.88</v>
      </c>
      <c r="H504" s="31"/>
      <c r="I504" s="72">
        <v>23.380000000000003</v>
      </c>
      <c r="J504" s="72"/>
      <c r="K504" s="31">
        <v>9.7142857142857135</v>
      </c>
      <c r="L504" s="31">
        <v>25</v>
      </c>
      <c r="M504" s="74">
        <v>3.2380952380952377</v>
      </c>
      <c r="N504" s="74"/>
      <c r="O504" s="75">
        <v>30.293333333333333</v>
      </c>
      <c r="P504" s="75"/>
      <c r="Q504" s="76">
        <v>0.257262323943662</v>
      </c>
      <c r="R504" s="76"/>
      <c r="S504" s="31">
        <v>2</v>
      </c>
      <c r="T504" s="31"/>
      <c r="U504" s="76">
        <v>-0.61142857142857143</v>
      </c>
      <c r="V504" s="76"/>
      <c r="W504" s="76"/>
      <c r="X504" s="76"/>
      <c r="Y504" s="76">
        <v>-3.0951234610358425E-2</v>
      </c>
      <c r="Z504" s="76">
        <v>-2.8571428571428692E-2</v>
      </c>
      <c r="AA504" s="76"/>
      <c r="AB504" s="76"/>
      <c r="AC504" s="76"/>
      <c r="AD504" s="142"/>
      <c r="AE504" s="142"/>
      <c r="AF504" s="142"/>
    </row>
    <row r="505" spans="1:32" x14ac:dyDescent="0.35">
      <c r="A505" t="s">
        <v>89</v>
      </c>
      <c r="B505" t="s">
        <v>674</v>
      </c>
      <c r="C505" s="31">
        <v>1</v>
      </c>
      <c r="D505" s="31"/>
      <c r="E505" s="72">
        <v>5</v>
      </c>
      <c r="F505" s="31"/>
      <c r="G505" s="73">
        <v>90.84</v>
      </c>
      <c r="H505" s="31"/>
      <c r="I505" s="72">
        <v>44.5</v>
      </c>
      <c r="J505" s="72"/>
      <c r="K505" s="31">
        <v>4.5714285714285712</v>
      </c>
      <c r="L505" s="31">
        <v>5</v>
      </c>
      <c r="M505" s="74">
        <v>0.91428571428571426</v>
      </c>
      <c r="N505" s="74"/>
      <c r="O505" s="75">
        <v>18.167999999999999</v>
      </c>
      <c r="P505" s="75"/>
      <c r="Q505" s="76">
        <v>0.48987230295024214</v>
      </c>
      <c r="R505" s="76"/>
      <c r="S505" s="31"/>
      <c r="T505" s="31"/>
      <c r="U505" s="76">
        <v>-8.5714285714285743E-2</v>
      </c>
      <c r="V505" s="76"/>
      <c r="W505" s="76"/>
      <c r="X505" s="76"/>
      <c r="Y505" s="76">
        <v>-0.18528240125992035</v>
      </c>
      <c r="Z505" s="76">
        <v>-0.15789473684210531</v>
      </c>
      <c r="AA505" s="76"/>
      <c r="AB505" s="76"/>
      <c r="AC505" s="76"/>
      <c r="AD505" s="142"/>
      <c r="AE505" s="142"/>
      <c r="AF505" s="142"/>
    </row>
    <row r="506" spans="1:32" x14ac:dyDescent="0.35">
      <c r="A506" t="s">
        <v>89</v>
      </c>
      <c r="B506" t="s">
        <v>646</v>
      </c>
      <c r="C506" s="31">
        <v>3</v>
      </c>
      <c r="D506" s="31">
        <v>57</v>
      </c>
      <c r="E506" s="72">
        <v>4</v>
      </c>
      <c r="F506" s="31">
        <v>93</v>
      </c>
      <c r="G506" s="73">
        <v>72.69</v>
      </c>
      <c r="H506" s="31">
        <v>1664.9399999999994</v>
      </c>
      <c r="I506" s="72">
        <v>40.03</v>
      </c>
      <c r="J506" s="72">
        <v>451.88000000000011</v>
      </c>
      <c r="K506" s="31">
        <v>59.857142857142854</v>
      </c>
      <c r="L506" s="31">
        <v>2391</v>
      </c>
      <c r="M506" s="74">
        <v>14.964285714285714</v>
      </c>
      <c r="N506" s="74">
        <v>26.066165413533835</v>
      </c>
      <c r="O506" s="75">
        <v>18.172499999999999</v>
      </c>
      <c r="P506" s="75">
        <v>17.902580645161283</v>
      </c>
      <c r="Q506" s="76">
        <v>0.55069473104966293</v>
      </c>
      <c r="R506" s="76">
        <v>0.26561489719384468</v>
      </c>
      <c r="S506" s="31">
        <v>176</v>
      </c>
      <c r="T506" s="31"/>
      <c r="U506" s="76">
        <v>-0.97496564497819205</v>
      </c>
      <c r="V506" s="76">
        <v>-0.956989247311828</v>
      </c>
      <c r="W506" s="76">
        <v>-0.95634076903672205</v>
      </c>
      <c r="X506" s="76">
        <v>-0.90880718060871146</v>
      </c>
      <c r="Y506" s="76">
        <v>-0.10321295182273993</v>
      </c>
      <c r="Z506" s="76">
        <v>-0.11789473684210539</v>
      </c>
      <c r="AA506" s="76"/>
      <c r="AB506" s="76"/>
      <c r="AC506" s="76"/>
      <c r="AD506" s="142"/>
      <c r="AE506" s="142"/>
      <c r="AF506" s="142"/>
    </row>
    <row r="507" spans="1:32" x14ac:dyDescent="0.35">
      <c r="A507" t="s">
        <v>89</v>
      </c>
      <c r="B507" t="s">
        <v>709</v>
      </c>
      <c r="C507" s="31">
        <v>3</v>
      </c>
      <c r="D507" s="31"/>
      <c r="E507" s="72">
        <v>4</v>
      </c>
      <c r="F507" s="31"/>
      <c r="G507" s="73">
        <v>66.05</v>
      </c>
      <c r="H507" s="31"/>
      <c r="I507" s="72">
        <v>8.75</v>
      </c>
      <c r="J507" s="72"/>
      <c r="K507" s="31">
        <v>7.2857142857142856</v>
      </c>
      <c r="L507" s="31">
        <v>-7</v>
      </c>
      <c r="M507" s="74">
        <v>1.8214285714285714</v>
      </c>
      <c r="N507" s="74"/>
      <c r="O507" s="75">
        <v>16.512499999999999</v>
      </c>
      <c r="P507" s="75"/>
      <c r="Q507" s="76">
        <v>0.13247539742619227</v>
      </c>
      <c r="R507" s="76"/>
      <c r="S507" s="31">
        <v>58.857142857142854</v>
      </c>
      <c r="T507" s="31"/>
      <c r="U507" s="76">
        <v>-1.1836734693877551</v>
      </c>
      <c r="V507" s="76"/>
      <c r="W507" s="76"/>
      <c r="X507" s="76"/>
      <c r="Y507" s="76">
        <v>-0.39906123766565738</v>
      </c>
      <c r="Z507" s="76">
        <v>-0.4</v>
      </c>
      <c r="AA507" s="76">
        <v>1</v>
      </c>
      <c r="AB507" s="76">
        <v>0.24622641509433962</v>
      </c>
      <c r="AC507" s="76">
        <v>-0.37688679245283019</v>
      </c>
      <c r="AD507" s="142"/>
      <c r="AE507" s="142"/>
      <c r="AF507" s="142"/>
    </row>
    <row r="508" spans="1:32" x14ac:dyDescent="0.35">
      <c r="A508" t="s">
        <v>89</v>
      </c>
      <c r="B508" t="s">
        <v>647</v>
      </c>
      <c r="C508" s="31">
        <v>2</v>
      </c>
      <c r="D508" s="31">
        <v>38</v>
      </c>
      <c r="E508" s="72">
        <v>2</v>
      </c>
      <c r="F508" s="31">
        <v>65</v>
      </c>
      <c r="G508" s="73">
        <v>30.83</v>
      </c>
      <c r="H508" s="31">
        <v>1132.4700000000003</v>
      </c>
      <c r="I508" s="72">
        <v>-6.4599999999999991</v>
      </c>
      <c r="J508" s="72">
        <v>298.45000000000027</v>
      </c>
      <c r="K508" s="31">
        <v>38.571428571428569</v>
      </c>
      <c r="L508" s="31">
        <v>1352.8571428571429</v>
      </c>
      <c r="M508" s="74">
        <v>19.285714285714285</v>
      </c>
      <c r="N508" s="74">
        <v>20.997802197802198</v>
      </c>
      <c r="O508" s="75">
        <v>15.414999999999999</v>
      </c>
      <c r="P508" s="75">
        <v>17.422615384615387</v>
      </c>
      <c r="Q508" s="76">
        <v>-0.20953616607200776</v>
      </c>
      <c r="R508" s="76">
        <v>0.26353898999532016</v>
      </c>
      <c r="S508" s="31">
        <v>207.28571428571428</v>
      </c>
      <c r="T508" s="31"/>
      <c r="U508" s="76">
        <v>-0.97370644139387541</v>
      </c>
      <c r="V508" s="76">
        <v>-0.96923076923076923</v>
      </c>
      <c r="W508" s="76">
        <v>-0.97277632078553955</v>
      </c>
      <c r="X508" s="76">
        <v>-1.0216451666945887</v>
      </c>
      <c r="Y508" s="76">
        <v>-0.39123200959861892</v>
      </c>
      <c r="Z508" s="76">
        <v>-0.13183279742765286</v>
      </c>
      <c r="AA508" s="76">
        <v>1</v>
      </c>
      <c r="AB508" s="76">
        <v>0.69675288937809543</v>
      </c>
      <c r="AC508" s="76">
        <v>-0.15162355531095228</v>
      </c>
      <c r="AD508" s="142"/>
      <c r="AE508" s="142"/>
      <c r="AF508" s="142"/>
    </row>
    <row r="509" spans="1:32" x14ac:dyDescent="0.35">
      <c r="A509" t="s">
        <v>89</v>
      </c>
      <c r="B509" t="s">
        <v>682</v>
      </c>
      <c r="C509" s="31">
        <v>1</v>
      </c>
      <c r="D509" s="31"/>
      <c r="E509" s="72">
        <v>1</v>
      </c>
      <c r="F509" s="31"/>
      <c r="G509" s="73">
        <v>22.72</v>
      </c>
      <c r="H509" s="31"/>
      <c r="I509" s="72">
        <v>4.42</v>
      </c>
      <c r="J509" s="72"/>
      <c r="K509" s="31">
        <v>-2.5714285714285716</v>
      </c>
      <c r="L509" s="31">
        <v>2</v>
      </c>
      <c r="M509" s="74">
        <v>-2.5714285714285716</v>
      </c>
      <c r="N509" s="74"/>
      <c r="O509" s="75">
        <v>22.72</v>
      </c>
      <c r="P509" s="75"/>
      <c r="Q509" s="76">
        <v>0.19454225352112678</v>
      </c>
      <c r="R509" s="76"/>
      <c r="S509" s="31">
        <v>1</v>
      </c>
      <c r="T509" s="31"/>
      <c r="U509" s="76">
        <v>-2.2857142857142856</v>
      </c>
      <c r="V509" s="76"/>
      <c r="W509" s="76"/>
      <c r="X509" s="76"/>
      <c r="Y509" s="76">
        <v>-0.35714285714285698</v>
      </c>
      <c r="Z509" s="76">
        <v>-0.3571428571428571</v>
      </c>
      <c r="AA509" s="76"/>
      <c r="AB509" s="76"/>
      <c r="AC509" s="76"/>
      <c r="AD509" s="142"/>
      <c r="AE509" s="142"/>
      <c r="AF509" s="142"/>
    </row>
    <row r="510" spans="1:32" x14ac:dyDescent="0.35">
      <c r="A510" t="s">
        <v>89</v>
      </c>
      <c r="B510" t="s">
        <v>657</v>
      </c>
      <c r="C510" s="31">
        <v>1</v>
      </c>
      <c r="D510" s="31">
        <v>1</v>
      </c>
      <c r="E510" s="72">
        <v>3</v>
      </c>
      <c r="F510" s="31">
        <v>1</v>
      </c>
      <c r="G510" s="73">
        <v>13.61</v>
      </c>
      <c r="H510" s="31">
        <v>5.45</v>
      </c>
      <c r="I510" s="72">
        <v>2.5099999999999998</v>
      </c>
      <c r="J510" s="72">
        <v>1.9500000000000002</v>
      </c>
      <c r="K510" s="31">
        <v>287.85714285714283</v>
      </c>
      <c r="L510" s="31">
        <v>616.57142857142856</v>
      </c>
      <c r="M510" s="74">
        <v>95.952380952380949</v>
      </c>
      <c r="N510" s="74">
        <v>616.57142857142856</v>
      </c>
      <c r="O510" s="75">
        <v>4.5366666666666662</v>
      </c>
      <c r="P510" s="75">
        <v>5.45</v>
      </c>
      <c r="Q510" s="76">
        <v>0.18442321822189567</v>
      </c>
      <c r="R510" s="76">
        <v>0.3577981651376147</v>
      </c>
      <c r="S510" s="31">
        <v>4.8571428571428568</v>
      </c>
      <c r="T510" s="31"/>
      <c r="U510" s="76">
        <v>-0.5331325301204819</v>
      </c>
      <c r="V510" s="76">
        <v>2</v>
      </c>
      <c r="W510" s="76">
        <v>1.497247706422018</v>
      </c>
      <c r="X510" s="76">
        <v>0.28717948717948705</v>
      </c>
      <c r="Y510" s="76">
        <v>-8.1826898748138532E-5</v>
      </c>
      <c r="Z510" s="76">
        <v>-4.9382716049383157E-3</v>
      </c>
      <c r="AA510" s="76"/>
      <c r="AB510" s="76"/>
      <c r="AC510" s="76"/>
      <c r="AD510" s="142"/>
      <c r="AE510" s="142"/>
      <c r="AF510" s="142"/>
    </row>
    <row r="511" spans="1:32" x14ac:dyDescent="0.35">
      <c r="A511" t="s">
        <v>89</v>
      </c>
      <c r="B511" t="s">
        <v>694</v>
      </c>
      <c r="C511" s="31"/>
      <c r="D511" s="31"/>
      <c r="E511" s="72"/>
      <c r="F511" s="31"/>
      <c r="G511" s="73"/>
      <c r="H511" s="31"/>
      <c r="I511" s="72"/>
      <c r="J511" s="72"/>
      <c r="K511" s="31">
        <v>2</v>
      </c>
      <c r="L511" s="31">
        <v>3</v>
      </c>
      <c r="M511" s="74"/>
      <c r="N511" s="74"/>
      <c r="O511" s="75"/>
      <c r="P511" s="75"/>
      <c r="Q511" s="76"/>
      <c r="R511" s="76"/>
      <c r="S511" s="31"/>
      <c r="T511" s="31"/>
      <c r="U511" s="76">
        <v>-0.33333333333333337</v>
      </c>
      <c r="V511" s="76"/>
      <c r="W511" s="76"/>
      <c r="X511" s="76"/>
      <c r="Y511" s="76">
        <v>0</v>
      </c>
      <c r="Z511" s="76">
        <v>0</v>
      </c>
      <c r="AA511" s="76"/>
      <c r="AB511" s="76"/>
      <c r="AC511" s="76"/>
      <c r="AD511" s="142"/>
      <c r="AE511" s="142"/>
      <c r="AF511" s="142"/>
    </row>
    <row r="512" spans="1:32" x14ac:dyDescent="0.35">
      <c r="A512" t="s">
        <v>89</v>
      </c>
      <c r="B512" t="s">
        <v>699</v>
      </c>
      <c r="C512" s="31"/>
      <c r="D512" s="31"/>
      <c r="E512" s="72"/>
      <c r="F512" s="31"/>
      <c r="G512" s="73"/>
      <c r="H512" s="31"/>
      <c r="I512" s="72"/>
      <c r="J512" s="72"/>
      <c r="K512" s="31"/>
      <c r="L512" s="31">
        <v>1</v>
      </c>
      <c r="M512" s="74"/>
      <c r="N512" s="74"/>
      <c r="O512" s="75"/>
      <c r="P512" s="75"/>
      <c r="Q512" s="76"/>
      <c r="R512" s="76"/>
      <c r="S512" s="31"/>
      <c r="T512" s="31"/>
      <c r="U512" s="76"/>
      <c r="V512" s="76"/>
      <c r="W512" s="76"/>
      <c r="X512" s="76"/>
      <c r="Y512" s="76"/>
      <c r="Z512" s="76"/>
      <c r="AA512" s="76"/>
      <c r="AB512" s="76"/>
      <c r="AC512" s="76"/>
      <c r="AD512" s="142"/>
      <c r="AE512" s="142"/>
      <c r="AF512" s="142"/>
    </row>
    <row r="513" spans="1:32" x14ac:dyDescent="0.35">
      <c r="A513" t="s">
        <v>89</v>
      </c>
      <c r="B513" t="s">
        <v>712</v>
      </c>
      <c r="C513" s="31"/>
      <c r="D513" s="31"/>
      <c r="E513" s="72"/>
      <c r="F513" s="31"/>
      <c r="G513" s="73"/>
      <c r="H513" s="31"/>
      <c r="I513" s="72"/>
      <c r="J513" s="72"/>
      <c r="K513" s="31"/>
      <c r="L513" s="31">
        <v>1</v>
      </c>
      <c r="M513" s="74"/>
      <c r="N513" s="74"/>
      <c r="O513" s="75"/>
      <c r="P513" s="75"/>
      <c r="Q513" s="76"/>
      <c r="R513" s="76"/>
      <c r="S513" s="31">
        <v>12</v>
      </c>
      <c r="T513" s="31"/>
      <c r="U513" s="76"/>
      <c r="V513" s="76"/>
      <c r="W513" s="76"/>
      <c r="X513" s="76"/>
      <c r="Y513" s="76"/>
      <c r="Z513" s="76"/>
      <c r="AA513" s="76"/>
      <c r="AB513" s="76"/>
      <c r="AC513" s="76"/>
      <c r="AD513" s="142"/>
      <c r="AE513" s="142"/>
      <c r="AF513" s="142"/>
    </row>
    <row r="514" spans="1:32" x14ac:dyDescent="0.35">
      <c r="A514" t="s">
        <v>89</v>
      </c>
      <c r="B514" t="s">
        <v>676</v>
      </c>
      <c r="C514" s="31"/>
      <c r="D514" s="31"/>
      <c r="E514" s="72"/>
      <c r="F514" s="31"/>
      <c r="G514" s="73"/>
      <c r="H514" s="31"/>
      <c r="I514" s="72"/>
      <c r="J514" s="72"/>
      <c r="K514" s="31">
        <v>2</v>
      </c>
      <c r="L514" s="31">
        <v>1</v>
      </c>
      <c r="M514" s="74"/>
      <c r="N514" s="74"/>
      <c r="O514" s="75"/>
      <c r="P514" s="75"/>
      <c r="Q514" s="76"/>
      <c r="R514" s="76"/>
      <c r="S514" s="31"/>
      <c r="T514" s="31"/>
      <c r="U514" s="76">
        <v>1</v>
      </c>
      <c r="V514" s="76"/>
      <c r="W514" s="76"/>
      <c r="X514" s="76"/>
      <c r="Y514" s="76">
        <v>0</v>
      </c>
      <c r="Z514" s="76">
        <v>0</v>
      </c>
      <c r="AA514" s="76"/>
      <c r="AB514" s="76"/>
      <c r="AC514" s="76"/>
      <c r="AD514" s="142"/>
      <c r="AE514" s="142"/>
      <c r="AF514" s="142"/>
    </row>
    <row r="515" spans="1:32" x14ac:dyDescent="0.35">
      <c r="A515" t="s">
        <v>89</v>
      </c>
      <c r="B515" t="s">
        <v>698</v>
      </c>
      <c r="C515" s="31"/>
      <c r="D515" s="31"/>
      <c r="E515" s="72"/>
      <c r="F515" s="31"/>
      <c r="G515" s="73"/>
      <c r="H515" s="31"/>
      <c r="I515" s="72"/>
      <c r="J515" s="72"/>
      <c r="K515" s="31">
        <v>-2</v>
      </c>
      <c r="L515" s="31">
        <v>-1</v>
      </c>
      <c r="M515" s="74"/>
      <c r="N515" s="74"/>
      <c r="O515" s="75"/>
      <c r="P515" s="75"/>
      <c r="Q515" s="76"/>
      <c r="R515" s="76"/>
      <c r="S515" s="31"/>
      <c r="T515" s="31"/>
      <c r="U515" s="76">
        <v>1</v>
      </c>
      <c r="V515" s="76"/>
      <c r="W515" s="76"/>
      <c r="X515" s="76"/>
      <c r="Y515" s="76">
        <v>0</v>
      </c>
      <c r="Z515" s="76">
        <v>0</v>
      </c>
      <c r="AA515" s="76"/>
      <c r="AB515" s="76"/>
      <c r="AC515" s="76"/>
      <c r="AD515" s="142"/>
      <c r="AE515" s="142"/>
      <c r="AF515" s="142"/>
    </row>
    <row r="516" spans="1:32" x14ac:dyDescent="0.35">
      <c r="A516" t="s">
        <v>89</v>
      </c>
      <c r="B516" t="s">
        <v>702</v>
      </c>
      <c r="C516" s="31"/>
      <c r="D516" s="31"/>
      <c r="E516" s="72"/>
      <c r="F516" s="31"/>
      <c r="G516" s="73"/>
      <c r="H516" s="31"/>
      <c r="I516" s="72"/>
      <c r="J516" s="72"/>
      <c r="K516" s="31">
        <v>73</v>
      </c>
      <c r="L516" s="31">
        <v>115</v>
      </c>
      <c r="M516" s="74"/>
      <c r="N516" s="74"/>
      <c r="O516" s="75"/>
      <c r="P516" s="75"/>
      <c r="Q516" s="76"/>
      <c r="R516" s="76"/>
      <c r="S516" s="31"/>
      <c r="T516" s="31"/>
      <c r="U516" s="76">
        <v>-0.36521739130434783</v>
      </c>
      <c r="V516" s="76"/>
      <c r="W516" s="76"/>
      <c r="X516" s="76"/>
      <c r="Y516" s="76">
        <v>0</v>
      </c>
      <c r="Z516" s="76">
        <v>0</v>
      </c>
      <c r="AA516" s="76"/>
      <c r="AB516" s="76"/>
      <c r="AC516" s="76"/>
      <c r="AD516" s="142"/>
      <c r="AE516" s="142"/>
      <c r="AF516" s="142"/>
    </row>
    <row r="517" spans="1:32" x14ac:dyDescent="0.35">
      <c r="A517" t="s">
        <v>89</v>
      </c>
      <c r="B517" t="s">
        <v>673</v>
      </c>
      <c r="C517" s="31"/>
      <c r="D517" s="31"/>
      <c r="E517" s="72"/>
      <c r="F517" s="31"/>
      <c r="G517" s="73"/>
      <c r="H517" s="31"/>
      <c r="I517" s="72"/>
      <c r="J517" s="72"/>
      <c r="K517" s="31">
        <v>3</v>
      </c>
      <c r="L517" s="31">
        <v>5</v>
      </c>
      <c r="M517" s="74"/>
      <c r="N517" s="74"/>
      <c r="O517" s="75"/>
      <c r="P517" s="75"/>
      <c r="Q517" s="76"/>
      <c r="R517" s="76"/>
      <c r="S517" s="31"/>
      <c r="T517" s="31"/>
      <c r="U517" s="76">
        <v>-0.4</v>
      </c>
      <c r="V517" s="76"/>
      <c r="W517" s="76"/>
      <c r="X517" s="76"/>
      <c r="Y517" s="76">
        <v>0</v>
      </c>
      <c r="Z517" s="76">
        <v>0</v>
      </c>
      <c r="AA517" s="76"/>
      <c r="AB517" s="76"/>
      <c r="AC517" s="76"/>
      <c r="AD517" s="142"/>
      <c r="AE517" s="142"/>
      <c r="AF517" s="142"/>
    </row>
    <row r="518" spans="1:32" x14ac:dyDescent="0.35">
      <c r="A518" t="s">
        <v>89</v>
      </c>
      <c r="B518" t="s">
        <v>677</v>
      </c>
      <c r="C518" s="31"/>
      <c r="D518" s="31"/>
      <c r="E518" s="72"/>
      <c r="F518" s="31"/>
      <c r="G518" s="73"/>
      <c r="H518" s="31"/>
      <c r="I518" s="72"/>
      <c r="J518" s="72"/>
      <c r="K518" s="31">
        <v>1</v>
      </c>
      <c r="L518" s="31">
        <v>5</v>
      </c>
      <c r="M518" s="74"/>
      <c r="N518" s="74"/>
      <c r="O518" s="75"/>
      <c r="P518" s="75"/>
      <c r="Q518" s="76"/>
      <c r="R518" s="76"/>
      <c r="S518" s="31"/>
      <c r="T518" s="31"/>
      <c r="U518" s="76">
        <v>-0.8</v>
      </c>
      <c r="V518" s="76"/>
      <c r="W518" s="76"/>
      <c r="X518" s="76"/>
      <c r="Y518" s="76">
        <v>0</v>
      </c>
      <c r="Z518" s="76">
        <v>0</v>
      </c>
      <c r="AA518" s="76"/>
      <c r="AB518" s="76"/>
      <c r="AC518" s="76"/>
      <c r="AD518" s="142"/>
      <c r="AE518" s="142"/>
      <c r="AF518" s="142"/>
    </row>
    <row r="519" spans="1:32" x14ac:dyDescent="0.35">
      <c r="A519" t="s">
        <v>89</v>
      </c>
      <c r="B519" t="s">
        <v>660</v>
      </c>
      <c r="C519" s="31"/>
      <c r="D519" s="31"/>
      <c r="E519" s="72"/>
      <c r="F519" s="31"/>
      <c r="G519" s="73"/>
      <c r="H519" s="31"/>
      <c r="I519" s="72"/>
      <c r="J519" s="72"/>
      <c r="K519" s="31">
        <v>9.8571428571428577</v>
      </c>
      <c r="L519" s="31">
        <v>101</v>
      </c>
      <c r="M519" s="74"/>
      <c r="N519" s="74"/>
      <c r="O519" s="75"/>
      <c r="P519" s="75"/>
      <c r="Q519" s="76"/>
      <c r="R519" s="76"/>
      <c r="S519" s="31">
        <v>4</v>
      </c>
      <c r="T519" s="31"/>
      <c r="U519" s="76">
        <v>-0.90240452616690237</v>
      </c>
      <c r="V519" s="76"/>
      <c r="W519" s="76"/>
      <c r="X519" s="76"/>
      <c r="Y519" s="76">
        <v>0.44696660918639308</v>
      </c>
      <c r="Z519" s="76">
        <v>0.16949152542372881</v>
      </c>
      <c r="AA519" s="76"/>
      <c r="AB519" s="76"/>
      <c r="AC519" s="76"/>
      <c r="AD519" s="142"/>
      <c r="AE519" s="142"/>
      <c r="AF519" s="142"/>
    </row>
    <row r="520" spans="1:32" x14ac:dyDescent="0.35">
      <c r="A520" t="s">
        <v>89</v>
      </c>
      <c r="B520" t="s">
        <v>679</v>
      </c>
      <c r="C520" s="31"/>
      <c r="D520" s="31"/>
      <c r="E520" s="72"/>
      <c r="F520" s="31"/>
      <c r="G520" s="73"/>
      <c r="H520" s="31"/>
      <c r="I520" s="72"/>
      <c r="J520" s="72"/>
      <c r="K520" s="31"/>
      <c r="L520" s="31">
        <v>1</v>
      </c>
      <c r="M520" s="74"/>
      <c r="N520" s="74"/>
      <c r="O520" s="75"/>
      <c r="P520" s="75"/>
      <c r="Q520" s="76"/>
      <c r="R520" s="76"/>
      <c r="S520" s="31"/>
      <c r="T520" s="31"/>
      <c r="U520" s="76"/>
      <c r="V520" s="76"/>
      <c r="W520" s="76"/>
      <c r="X520" s="76"/>
      <c r="Y520" s="76"/>
      <c r="Z520" s="76"/>
      <c r="AA520" s="76"/>
      <c r="AB520" s="76"/>
      <c r="AC520" s="76"/>
      <c r="AD520" s="142"/>
      <c r="AE520" s="142"/>
      <c r="AF520" s="142"/>
    </row>
    <row r="521" spans="1:32" x14ac:dyDescent="0.35">
      <c r="A521" t="s">
        <v>89</v>
      </c>
      <c r="B521" t="s">
        <v>661</v>
      </c>
      <c r="C521" s="31"/>
      <c r="D521" s="31"/>
      <c r="E521" s="72"/>
      <c r="F521" s="31"/>
      <c r="G521" s="73"/>
      <c r="H521" s="31"/>
      <c r="I521" s="72"/>
      <c r="J521" s="72"/>
      <c r="K521" s="31">
        <v>4</v>
      </c>
      <c r="L521" s="31">
        <v>6</v>
      </c>
      <c r="M521" s="74"/>
      <c r="N521" s="74"/>
      <c r="O521" s="75"/>
      <c r="P521" s="75"/>
      <c r="Q521" s="76"/>
      <c r="R521" s="76"/>
      <c r="S521" s="31">
        <v>1</v>
      </c>
      <c r="T521" s="31"/>
      <c r="U521" s="76">
        <v>-0.33333333333333337</v>
      </c>
      <c r="V521" s="76"/>
      <c r="W521" s="76"/>
      <c r="X521" s="76"/>
      <c r="Y521" s="76">
        <v>0</v>
      </c>
      <c r="Z521" s="76">
        <v>0</v>
      </c>
      <c r="AA521" s="76"/>
      <c r="AB521" s="76"/>
      <c r="AC521" s="76"/>
      <c r="AD521" s="142"/>
      <c r="AE521" s="142"/>
      <c r="AF521" s="142"/>
    </row>
    <row r="522" spans="1:32" x14ac:dyDescent="0.35">
      <c r="A522" t="s">
        <v>89</v>
      </c>
      <c r="B522" t="s">
        <v>685</v>
      </c>
      <c r="C522" s="31"/>
      <c r="D522" s="31"/>
      <c r="E522" s="72"/>
      <c r="F522" s="31"/>
      <c r="G522" s="73"/>
      <c r="H522" s="31"/>
      <c r="I522" s="72"/>
      <c r="J522" s="72"/>
      <c r="K522" s="31"/>
      <c r="L522" s="31">
        <v>8</v>
      </c>
      <c r="M522" s="74"/>
      <c r="N522" s="74"/>
      <c r="O522" s="75"/>
      <c r="P522" s="75"/>
      <c r="Q522" s="76"/>
      <c r="R522" s="76"/>
      <c r="S522" s="31">
        <v>7</v>
      </c>
      <c r="T522" s="31"/>
      <c r="U522" s="76"/>
      <c r="V522" s="76"/>
      <c r="W522" s="76"/>
      <c r="X522" s="76"/>
      <c r="Y522" s="76"/>
      <c r="Z522" s="76"/>
      <c r="AA522" s="76"/>
      <c r="AB522" s="76"/>
      <c r="AC522" s="76"/>
      <c r="AD522" s="142"/>
      <c r="AE522" s="142"/>
      <c r="AF522" s="142"/>
    </row>
    <row r="523" spans="1:32" x14ac:dyDescent="0.35">
      <c r="A523" t="s">
        <v>89</v>
      </c>
      <c r="B523" t="s">
        <v>686</v>
      </c>
      <c r="C523" s="31"/>
      <c r="D523" s="31"/>
      <c r="E523" s="72"/>
      <c r="F523" s="31"/>
      <c r="G523" s="73"/>
      <c r="H523" s="31"/>
      <c r="I523" s="72"/>
      <c r="J523" s="72"/>
      <c r="K523" s="31">
        <v>1</v>
      </c>
      <c r="L523" s="31">
        <v>1</v>
      </c>
      <c r="M523" s="74"/>
      <c r="N523" s="74"/>
      <c r="O523" s="75"/>
      <c r="P523" s="75"/>
      <c r="Q523" s="76"/>
      <c r="R523" s="76"/>
      <c r="S523" s="31"/>
      <c r="T523" s="31"/>
      <c r="U523" s="76">
        <v>0</v>
      </c>
      <c r="V523" s="76"/>
      <c r="W523" s="76"/>
      <c r="X523" s="76"/>
      <c r="Y523" s="76">
        <v>0</v>
      </c>
      <c r="Z523" s="76">
        <v>0</v>
      </c>
      <c r="AA523" s="76"/>
      <c r="AB523" s="76"/>
      <c r="AC523" s="76"/>
      <c r="AD523" s="142"/>
      <c r="AE523" s="142"/>
      <c r="AF523" s="142"/>
    </row>
    <row r="524" spans="1:32" x14ac:dyDescent="0.35">
      <c r="A524" t="s">
        <v>89</v>
      </c>
      <c r="B524" t="s">
        <v>715</v>
      </c>
      <c r="C524" s="31"/>
      <c r="D524" s="31"/>
      <c r="E524" s="72"/>
      <c r="F524" s="31"/>
      <c r="G524" s="73"/>
      <c r="H524" s="31"/>
      <c r="I524" s="72"/>
      <c r="J524" s="72"/>
      <c r="K524" s="31">
        <v>20</v>
      </c>
      <c r="L524" s="31">
        <v>25.714285714285715</v>
      </c>
      <c r="M524" s="74"/>
      <c r="N524" s="74"/>
      <c r="O524" s="75"/>
      <c r="P524" s="75"/>
      <c r="Q524" s="76"/>
      <c r="R524" s="76"/>
      <c r="S524" s="31"/>
      <c r="T524" s="31"/>
      <c r="U524" s="76">
        <v>-0.22222222222222221</v>
      </c>
      <c r="V524" s="76"/>
      <c r="W524" s="76"/>
      <c r="X524" s="76"/>
      <c r="Y524" s="76">
        <v>2.2204460492503131E-16</v>
      </c>
      <c r="Z524" s="76">
        <v>0</v>
      </c>
      <c r="AA524" s="76"/>
      <c r="AB524" s="76"/>
      <c r="AC524" s="76"/>
      <c r="AD524" s="142"/>
      <c r="AE524" s="142"/>
      <c r="AF524" s="142"/>
    </row>
    <row r="525" spans="1:32" x14ac:dyDescent="0.35">
      <c r="A525" t="s">
        <v>89</v>
      </c>
      <c r="B525" t="s">
        <v>697</v>
      </c>
      <c r="C525" s="31"/>
      <c r="D525" s="31"/>
      <c r="E525" s="72"/>
      <c r="F525" s="31"/>
      <c r="G525" s="73"/>
      <c r="H525" s="31"/>
      <c r="I525" s="72"/>
      <c r="J525" s="72"/>
      <c r="K525" s="31"/>
      <c r="L525" s="31"/>
      <c r="M525" s="74"/>
      <c r="N525" s="74"/>
      <c r="O525" s="75"/>
      <c r="P525" s="75"/>
      <c r="Q525" s="76"/>
      <c r="R525" s="76"/>
      <c r="S525" s="31">
        <v>-2</v>
      </c>
      <c r="T525" s="31"/>
      <c r="U525" s="76"/>
      <c r="V525" s="76"/>
      <c r="W525" s="76"/>
      <c r="X525" s="76"/>
      <c r="Y525" s="76"/>
      <c r="Z525" s="76"/>
      <c r="AA525" s="76"/>
      <c r="AB525" s="76"/>
      <c r="AC525" s="76"/>
      <c r="AD525" s="142"/>
      <c r="AE525" s="142"/>
      <c r="AF525" s="142"/>
    </row>
    <row r="526" spans="1:32" x14ac:dyDescent="0.35">
      <c r="A526" t="s">
        <v>89</v>
      </c>
      <c r="B526" t="s">
        <v>714</v>
      </c>
      <c r="C526" s="31"/>
      <c r="D526" s="31"/>
      <c r="E526" s="72"/>
      <c r="F526" s="31"/>
      <c r="G526" s="73"/>
      <c r="H526" s="31"/>
      <c r="I526" s="72"/>
      <c r="J526" s="72"/>
      <c r="K526" s="31">
        <v>2</v>
      </c>
      <c r="L526" s="31">
        <v>3</v>
      </c>
      <c r="M526" s="74"/>
      <c r="N526" s="74"/>
      <c r="O526" s="75"/>
      <c r="P526" s="75"/>
      <c r="Q526" s="76"/>
      <c r="R526" s="76"/>
      <c r="S526" s="31">
        <v>8</v>
      </c>
      <c r="T526" s="31"/>
      <c r="U526" s="76">
        <v>-0.66666666666666674</v>
      </c>
      <c r="V526" s="76"/>
      <c r="W526" s="76"/>
      <c r="X526" s="76"/>
      <c r="Y526" s="76">
        <v>-0.17529691211401421</v>
      </c>
      <c r="Z526" s="76">
        <v>-0.17647058823529405</v>
      </c>
      <c r="AA526" s="76"/>
      <c r="AB526" s="76"/>
      <c r="AC526" s="76"/>
      <c r="AD526" s="142"/>
      <c r="AE526" s="142"/>
      <c r="AF526" s="142"/>
    </row>
    <row r="527" spans="1:32" x14ac:dyDescent="0.35">
      <c r="A527" t="s">
        <v>89</v>
      </c>
      <c r="B527" t="s">
        <v>796</v>
      </c>
      <c r="C527" s="31"/>
      <c r="D527" s="31"/>
      <c r="E527" s="72"/>
      <c r="F527" s="31"/>
      <c r="G527" s="73"/>
      <c r="H527" s="31"/>
      <c r="I527" s="72"/>
      <c r="J527" s="72"/>
      <c r="K527" s="31">
        <v>2</v>
      </c>
      <c r="L527" s="31"/>
      <c r="M527" s="74"/>
      <c r="N527" s="74"/>
      <c r="O527" s="75"/>
      <c r="P527" s="75"/>
      <c r="Q527" s="76"/>
      <c r="R527" s="76"/>
      <c r="S527" s="31"/>
      <c r="T527" s="31"/>
      <c r="U527" s="76"/>
      <c r="V527" s="76"/>
      <c r="W527" s="76"/>
      <c r="X527" s="76"/>
      <c r="Y527" s="76">
        <v>0</v>
      </c>
      <c r="Z527" s="76">
        <v>0</v>
      </c>
      <c r="AA527" s="76"/>
      <c r="AB527" s="76"/>
      <c r="AC527" s="76"/>
      <c r="AD527" s="142"/>
      <c r="AE527" s="142"/>
      <c r="AF527" s="142"/>
    </row>
    <row r="528" spans="1:32" x14ac:dyDescent="0.35">
      <c r="A528" t="s">
        <v>89</v>
      </c>
      <c r="B528" t="s">
        <v>670</v>
      </c>
      <c r="C528" s="31"/>
      <c r="D528" s="31"/>
      <c r="E528" s="72"/>
      <c r="F528" s="31"/>
      <c r="G528" s="73"/>
      <c r="H528" s="31"/>
      <c r="I528" s="72"/>
      <c r="J528" s="72"/>
      <c r="K528" s="31">
        <v>5</v>
      </c>
      <c r="L528" s="31">
        <v>6</v>
      </c>
      <c r="M528" s="74"/>
      <c r="N528" s="74"/>
      <c r="O528" s="75"/>
      <c r="P528" s="75"/>
      <c r="Q528" s="76"/>
      <c r="R528" s="76"/>
      <c r="S528" s="31"/>
      <c r="T528" s="31"/>
      <c r="U528" s="76">
        <v>-0.16666666666666663</v>
      </c>
      <c r="V528" s="76"/>
      <c r="W528" s="76"/>
      <c r="X528" s="76"/>
      <c r="Y528" s="76">
        <v>0</v>
      </c>
      <c r="Z528" s="76">
        <v>0</v>
      </c>
      <c r="AA528" s="76"/>
      <c r="AB528" s="76"/>
      <c r="AC528" s="76"/>
      <c r="AD528" s="142"/>
      <c r="AE528" s="142"/>
      <c r="AF528" s="142"/>
    </row>
    <row r="529" spans="1:32" x14ac:dyDescent="0.35">
      <c r="A529" t="s">
        <v>89</v>
      </c>
      <c r="B529" t="s">
        <v>701</v>
      </c>
      <c r="C529" s="31"/>
      <c r="D529" s="31"/>
      <c r="E529" s="72"/>
      <c r="F529" s="31"/>
      <c r="G529" s="73"/>
      <c r="H529" s="31"/>
      <c r="I529" s="72"/>
      <c r="J529" s="72"/>
      <c r="K529" s="31">
        <v>2</v>
      </c>
      <c r="L529" s="31">
        <v>3</v>
      </c>
      <c r="M529" s="74"/>
      <c r="N529" s="74"/>
      <c r="O529" s="75"/>
      <c r="P529" s="75"/>
      <c r="Q529" s="76"/>
      <c r="R529" s="76"/>
      <c r="S529" s="31"/>
      <c r="T529" s="31"/>
      <c r="U529" s="76">
        <v>-0.33333333333333337</v>
      </c>
      <c r="V529" s="76"/>
      <c r="W529" s="76"/>
      <c r="X529" s="76"/>
      <c r="Y529" s="76">
        <v>0</v>
      </c>
      <c r="Z529" s="76">
        <v>0</v>
      </c>
      <c r="AA529" s="76"/>
      <c r="AB529" s="76"/>
      <c r="AC529" s="76"/>
      <c r="AD529" s="142"/>
      <c r="AE529" s="142"/>
      <c r="AF529" s="142"/>
    </row>
    <row r="530" spans="1:32" x14ac:dyDescent="0.35">
      <c r="A530" t="s">
        <v>89</v>
      </c>
      <c r="B530" t="s">
        <v>695</v>
      </c>
      <c r="C530" s="31"/>
      <c r="D530" s="31"/>
      <c r="E530" s="72"/>
      <c r="F530" s="31"/>
      <c r="G530" s="73"/>
      <c r="H530" s="31"/>
      <c r="I530" s="72"/>
      <c r="J530" s="72"/>
      <c r="K530" s="31"/>
      <c r="L530" s="31">
        <v>1</v>
      </c>
      <c r="M530" s="74"/>
      <c r="N530" s="74"/>
      <c r="O530" s="75"/>
      <c r="P530" s="75"/>
      <c r="Q530" s="76"/>
      <c r="R530" s="76"/>
      <c r="S530" s="31"/>
      <c r="T530" s="31"/>
      <c r="U530" s="76"/>
      <c r="V530" s="76"/>
      <c r="W530" s="76"/>
      <c r="X530" s="76"/>
      <c r="Y530" s="76"/>
      <c r="Z530" s="76"/>
      <c r="AA530" s="76"/>
      <c r="AB530" s="76"/>
      <c r="AC530" s="76"/>
      <c r="AD530" s="142"/>
      <c r="AE530" s="142"/>
      <c r="AF530" s="142"/>
    </row>
    <row r="531" spans="1:32" x14ac:dyDescent="0.35">
      <c r="A531" t="s">
        <v>89</v>
      </c>
      <c r="B531" t="s">
        <v>707</v>
      </c>
      <c r="C531" s="31"/>
      <c r="D531" s="31">
        <v>1</v>
      </c>
      <c r="E531" s="72"/>
      <c r="F531" s="31">
        <v>2</v>
      </c>
      <c r="G531" s="73"/>
      <c r="H531" s="31">
        <v>108.6</v>
      </c>
      <c r="I531" s="72"/>
      <c r="J531" s="72">
        <v>54.599999999999994</v>
      </c>
      <c r="K531" s="31">
        <v>1</v>
      </c>
      <c r="L531" s="31">
        <v>2.7142857142857144</v>
      </c>
      <c r="M531" s="74"/>
      <c r="N531" s="74">
        <v>1.3571428571428572</v>
      </c>
      <c r="O531" s="75"/>
      <c r="P531" s="75">
        <v>54.3</v>
      </c>
      <c r="Q531" s="76"/>
      <c r="R531" s="76">
        <v>0.50276243093922646</v>
      </c>
      <c r="S531" s="31"/>
      <c r="T531" s="31"/>
      <c r="U531" s="76">
        <v>-0.63157894736842102</v>
      </c>
      <c r="V531" s="76"/>
      <c r="W531" s="76"/>
      <c r="X531" s="76"/>
      <c r="Y531" s="76">
        <v>0</v>
      </c>
      <c r="Z531" s="76">
        <v>0</v>
      </c>
      <c r="AA531" s="76"/>
      <c r="AB531" s="76"/>
      <c r="AC531" s="76"/>
      <c r="AD531" s="142"/>
      <c r="AE531" s="142"/>
      <c r="AF531" s="142"/>
    </row>
    <row r="532" spans="1:32" x14ac:dyDescent="0.35">
      <c r="A532" t="s">
        <v>89</v>
      </c>
      <c r="B532" t="s">
        <v>687</v>
      </c>
      <c r="C532" s="31"/>
      <c r="D532" s="31"/>
      <c r="E532" s="72"/>
      <c r="F532" s="31"/>
      <c r="G532" s="73"/>
      <c r="H532" s="31"/>
      <c r="I532" s="72"/>
      <c r="J532" s="72"/>
      <c r="K532" s="31">
        <v>5</v>
      </c>
      <c r="L532" s="31">
        <v>16</v>
      </c>
      <c r="M532" s="74"/>
      <c r="N532" s="74"/>
      <c r="O532" s="75"/>
      <c r="P532" s="75"/>
      <c r="Q532" s="76"/>
      <c r="R532" s="76"/>
      <c r="S532" s="31"/>
      <c r="T532" s="31"/>
      <c r="U532" s="76">
        <v>-0.6875</v>
      </c>
      <c r="V532" s="76"/>
      <c r="W532" s="76"/>
      <c r="X532" s="76"/>
      <c r="Y532" s="76">
        <v>0</v>
      </c>
      <c r="Z532" s="76">
        <v>0</v>
      </c>
      <c r="AA532" s="76"/>
      <c r="AB532" s="76"/>
      <c r="AC532" s="76"/>
      <c r="AD532" s="142"/>
      <c r="AE532" s="142"/>
      <c r="AF532" s="142"/>
    </row>
    <row r="533" spans="1:32" x14ac:dyDescent="0.35">
      <c r="A533" t="s">
        <v>89</v>
      </c>
      <c r="B533" t="s">
        <v>668</v>
      </c>
      <c r="C533" s="31"/>
      <c r="D533" s="31">
        <v>1</v>
      </c>
      <c r="E533" s="72"/>
      <c r="F533" s="31">
        <v>1</v>
      </c>
      <c r="G533" s="73"/>
      <c r="H533" s="31">
        <v>61.82</v>
      </c>
      <c r="I533" s="72"/>
      <c r="J533" s="72">
        <v>18.119999999999997</v>
      </c>
      <c r="K533" s="31">
        <v>0.4</v>
      </c>
      <c r="L533" s="31">
        <v>7.5714285714285712</v>
      </c>
      <c r="M533" s="74"/>
      <c r="N533" s="74">
        <v>7.5714285714285712</v>
      </c>
      <c r="O533" s="75"/>
      <c r="P533" s="75">
        <v>61.82</v>
      </c>
      <c r="Q533" s="76"/>
      <c r="R533" s="76">
        <v>0.29310902620511159</v>
      </c>
      <c r="S533" s="31">
        <v>1</v>
      </c>
      <c r="T533" s="31"/>
      <c r="U533" s="76">
        <v>-0.86792452830188682</v>
      </c>
      <c r="V533" s="76"/>
      <c r="W533" s="76"/>
      <c r="X533" s="76"/>
      <c r="Y533" s="76"/>
      <c r="Z533" s="76"/>
      <c r="AA533" s="76"/>
      <c r="AB533" s="76"/>
      <c r="AC533" s="76"/>
      <c r="AD533" s="142"/>
      <c r="AE533" s="142"/>
      <c r="AF533" s="142"/>
    </row>
    <row r="534" spans="1:32" x14ac:dyDescent="0.35">
      <c r="A534" t="s">
        <v>89</v>
      </c>
      <c r="B534" t="s">
        <v>689</v>
      </c>
      <c r="C534" s="31"/>
      <c r="D534" s="31"/>
      <c r="E534" s="72"/>
      <c r="F534" s="31"/>
      <c r="G534" s="73"/>
      <c r="H534" s="31"/>
      <c r="I534" s="72"/>
      <c r="J534" s="72"/>
      <c r="K534" s="31">
        <v>13</v>
      </c>
      <c r="L534" s="31">
        <v>1</v>
      </c>
      <c r="M534" s="74"/>
      <c r="N534" s="74"/>
      <c r="O534" s="75"/>
      <c r="P534" s="75"/>
      <c r="Q534" s="76"/>
      <c r="R534" s="76"/>
      <c r="S534" s="31"/>
      <c r="T534" s="31"/>
      <c r="U534" s="76"/>
      <c r="V534" s="76"/>
      <c r="W534" s="76"/>
      <c r="X534" s="76"/>
      <c r="Y534" s="76">
        <v>0</v>
      </c>
      <c r="Z534" s="76">
        <v>0</v>
      </c>
      <c r="AA534" s="76"/>
      <c r="AB534" s="76"/>
      <c r="AC534" s="76"/>
      <c r="AD534" s="142"/>
      <c r="AE534" s="142"/>
      <c r="AF534" s="142"/>
    </row>
    <row r="535" spans="1:32" x14ac:dyDescent="0.35">
      <c r="A535" t="s">
        <v>89</v>
      </c>
      <c r="B535" t="s">
        <v>793</v>
      </c>
      <c r="C535" s="31"/>
      <c r="D535" s="31"/>
      <c r="E535" s="72"/>
      <c r="F535" s="31"/>
      <c r="G535" s="73"/>
      <c r="H535" s="31"/>
      <c r="I535" s="72"/>
      <c r="J535" s="72"/>
      <c r="K535" s="31">
        <v>-1</v>
      </c>
      <c r="L535" s="31"/>
      <c r="M535" s="74"/>
      <c r="N535" s="74"/>
      <c r="O535" s="75"/>
      <c r="P535" s="75"/>
      <c r="Q535" s="76"/>
      <c r="R535" s="76"/>
      <c r="S535" s="31"/>
      <c r="T535" s="31"/>
      <c r="U535" s="76"/>
      <c r="V535" s="76"/>
      <c r="W535" s="76"/>
      <c r="X535" s="76"/>
      <c r="Y535" s="76">
        <v>0</v>
      </c>
      <c r="Z535" s="76">
        <v>0</v>
      </c>
      <c r="AA535" s="76"/>
      <c r="AB535" s="76"/>
      <c r="AC535" s="76"/>
      <c r="AD535" s="142"/>
      <c r="AE535" s="142"/>
      <c r="AF535" s="142"/>
    </row>
    <row r="536" spans="1:32" x14ac:dyDescent="0.35">
      <c r="A536" t="s">
        <v>89</v>
      </c>
      <c r="B536" t="s">
        <v>675</v>
      </c>
      <c r="C536" s="31"/>
      <c r="D536" s="31"/>
      <c r="E536" s="72"/>
      <c r="F536" s="31"/>
      <c r="G536" s="73"/>
      <c r="H536" s="31"/>
      <c r="I536" s="72"/>
      <c r="J536" s="72"/>
      <c r="K536" s="31">
        <v>1</v>
      </c>
      <c r="L536" s="31">
        <v>1</v>
      </c>
      <c r="M536" s="74"/>
      <c r="N536" s="74"/>
      <c r="O536" s="75"/>
      <c r="P536" s="75"/>
      <c r="Q536" s="76"/>
      <c r="R536" s="76"/>
      <c r="S536" s="31"/>
      <c r="T536" s="31"/>
      <c r="U536" s="76">
        <v>0</v>
      </c>
      <c r="V536" s="76"/>
      <c r="W536" s="76"/>
      <c r="X536" s="76"/>
      <c r="Y536" s="76">
        <v>0</v>
      </c>
      <c r="Z536" s="76">
        <v>0</v>
      </c>
      <c r="AA536" s="76"/>
      <c r="AB536" s="76"/>
      <c r="AC536" s="76"/>
      <c r="AD536" s="142"/>
      <c r="AE536" s="142"/>
      <c r="AF536" s="142"/>
    </row>
    <row r="537" spans="1:32" x14ac:dyDescent="0.35">
      <c r="A537" t="s">
        <v>89</v>
      </c>
      <c r="B537" t="s">
        <v>794</v>
      </c>
      <c r="C537" s="31"/>
      <c r="D537" s="31"/>
      <c r="E537" s="72"/>
      <c r="F537" s="31"/>
      <c r="G537" s="73"/>
      <c r="H537" s="31"/>
      <c r="I537" s="72"/>
      <c r="J537" s="72"/>
      <c r="K537" s="31">
        <v>92</v>
      </c>
      <c r="L537" s="31"/>
      <c r="M537" s="74"/>
      <c r="N537" s="74"/>
      <c r="O537" s="75"/>
      <c r="P537" s="75"/>
      <c r="Q537" s="76"/>
      <c r="R537" s="76"/>
      <c r="S537" s="31"/>
      <c r="T537" s="31"/>
      <c r="U537" s="76"/>
      <c r="V537" s="76"/>
      <c r="W537" s="76"/>
      <c r="X537" s="76"/>
      <c r="Y537" s="76">
        <v>0</v>
      </c>
      <c r="Z537" s="76">
        <v>0</v>
      </c>
      <c r="AA537" s="76"/>
      <c r="AB537" s="76"/>
      <c r="AC537" s="76"/>
      <c r="AD537" s="142"/>
      <c r="AE537" s="142"/>
      <c r="AF537" s="142"/>
    </row>
    <row r="538" spans="1:32" x14ac:dyDescent="0.35">
      <c r="A538" t="s">
        <v>89</v>
      </c>
      <c r="B538" t="s">
        <v>678</v>
      </c>
      <c r="C538" s="31"/>
      <c r="D538" s="31"/>
      <c r="E538" s="72"/>
      <c r="F538" s="31"/>
      <c r="G538" s="73"/>
      <c r="H538" s="31"/>
      <c r="I538" s="72"/>
      <c r="J538" s="72"/>
      <c r="K538" s="31">
        <v>2</v>
      </c>
      <c r="L538" s="31">
        <v>3</v>
      </c>
      <c r="M538" s="74"/>
      <c r="N538" s="74"/>
      <c r="O538" s="75"/>
      <c r="P538" s="75"/>
      <c r="Q538" s="76"/>
      <c r="R538" s="76"/>
      <c r="S538" s="31"/>
      <c r="T538" s="31"/>
      <c r="U538" s="76">
        <v>-0.33333333333333337</v>
      </c>
      <c r="V538" s="76"/>
      <c r="W538" s="76"/>
      <c r="X538" s="76"/>
      <c r="Y538" s="76">
        <v>0</v>
      </c>
      <c r="Z538" s="76">
        <v>0</v>
      </c>
      <c r="AA538" s="76"/>
      <c r="AB538" s="76"/>
      <c r="AC538" s="76"/>
      <c r="AD538" s="142"/>
      <c r="AE538" s="142"/>
      <c r="AF538" s="142"/>
    </row>
    <row r="539" spans="1:32" x14ac:dyDescent="0.35">
      <c r="A539" t="s">
        <v>89</v>
      </c>
      <c r="B539" t="s">
        <v>690</v>
      </c>
      <c r="C539" s="31"/>
      <c r="D539" s="31"/>
      <c r="E539" s="72"/>
      <c r="F539" s="31"/>
      <c r="G539" s="73"/>
      <c r="H539" s="31"/>
      <c r="I539" s="72"/>
      <c r="J539" s="72"/>
      <c r="K539" s="31">
        <v>-1</v>
      </c>
      <c r="L539" s="31">
        <v>6</v>
      </c>
      <c r="M539" s="74"/>
      <c r="N539" s="74"/>
      <c r="O539" s="75"/>
      <c r="P539" s="75"/>
      <c r="Q539" s="76"/>
      <c r="R539" s="76"/>
      <c r="S539" s="31"/>
      <c r="T539" s="31"/>
      <c r="U539" s="76">
        <v>-1.1666666666666667</v>
      </c>
      <c r="V539" s="76"/>
      <c r="W539" s="76"/>
      <c r="X539" s="76"/>
      <c r="Y539" s="76">
        <v>0</v>
      </c>
      <c r="Z539" s="76">
        <v>0</v>
      </c>
      <c r="AA539" s="76"/>
      <c r="AB539" s="76"/>
      <c r="AC539" s="76"/>
      <c r="AD539" s="142"/>
      <c r="AE539" s="142"/>
      <c r="AF539" s="142"/>
    </row>
    <row r="540" spans="1:32" x14ac:dyDescent="0.35">
      <c r="A540" t="s">
        <v>89</v>
      </c>
      <c r="B540" t="s">
        <v>683</v>
      </c>
      <c r="C540" s="31"/>
      <c r="D540" s="31"/>
      <c r="E540" s="72"/>
      <c r="F540" s="31"/>
      <c r="G540" s="73"/>
      <c r="H540" s="31"/>
      <c r="I540" s="72"/>
      <c r="J540" s="72"/>
      <c r="K540" s="31">
        <v>13</v>
      </c>
      <c r="L540" s="31">
        <v>3</v>
      </c>
      <c r="M540" s="74"/>
      <c r="N540" s="74"/>
      <c r="O540" s="75"/>
      <c r="P540" s="75"/>
      <c r="Q540" s="76"/>
      <c r="R540" s="76"/>
      <c r="S540" s="31"/>
      <c r="T540" s="31"/>
      <c r="U540" s="76">
        <v>-0.33333333333333337</v>
      </c>
      <c r="V540" s="76"/>
      <c r="W540" s="76"/>
      <c r="X540" s="76"/>
      <c r="Y540" s="76">
        <v>0</v>
      </c>
      <c r="Z540" s="76">
        <v>0</v>
      </c>
      <c r="AA540" s="76"/>
      <c r="AB540" s="76"/>
      <c r="AC540" s="76"/>
      <c r="AD540" s="142"/>
      <c r="AE540" s="142"/>
      <c r="AF540" s="142"/>
    </row>
    <row r="541" spans="1:32" x14ac:dyDescent="0.35">
      <c r="A541" t="s">
        <v>89</v>
      </c>
      <c r="B541" t="s">
        <v>795</v>
      </c>
      <c r="C541" s="31"/>
      <c r="D541" s="31"/>
      <c r="E541" s="72"/>
      <c r="F541" s="31"/>
      <c r="G541" s="73"/>
      <c r="H541" s="31"/>
      <c r="I541" s="72"/>
      <c r="J541" s="72"/>
      <c r="K541" s="31">
        <v>1</v>
      </c>
      <c r="L541" s="31"/>
      <c r="M541" s="74"/>
      <c r="N541" s="74"/>
      <c r="O541" s="75"/>
      <c r="P541" s="75"/>
      <c r="Q541" s="76"/>
      <c r="R541" s="76"/>
      <c r="S541" s="31"/>
      <c r="T541" s="31"/>
      <c r="U541" s="76"/>
      <c r="V541" s="76"/>
      <c r="W541" s="76"/>
      <c r="X541" s="76"/>
      <c r="Y541" s="76">
        <v>0</v>
      </c>
      <c r="Z541" s="76">
        <v>0</v>
      </c>
      <c r="AA541" s="76"/>
      <c r="AB541" s="76"/>
      <c r="AC541" s="76"/>
      <c r="AD541" s="142"/>
      <c r="AE541" s="142"/>
      <c r="AF541" s="142"/>
    </row>
    <row r="542" spans="1:32" x14ac:dyDescent="0.35">
      <c r="A542" t="s">
        <v>89</v>
      </c>
      <c r="B542" t="s">
        <v>669</v>
      </c>
      <c r="C542" s="31"/>
      <c r="D542" s="31"/>
      <c r="E542" s="72"/>
      <c r="F542" s="31"/>
      <c r="G542" s="73"/>
      <c r="H542" s="31"/>
      <c r="I542" s="72"/>
      <c r="J542" s="72"/>
      <c r="K542" s="31">
        <v>7</v>
      </c>
      <c r="L542" s="31">
        <v>60</v>
      </c>
      <c r="M542" s="74"/>
      <c r="N542" s="74"/>
      <c r="O542" s="75"/>
      <c r="P542" s="75"/>
      <c r="Q542" s="76"/>
      <c r="R542" s="76"/>
      <c r="S542" s="31">
        <v>30</v>
      </c>
      <c r="T542" s="31"/>
      <c r="U542" s="76">
        <v>-0.8833333333333333</v>
      </c>
      <c r="V542" s="76"/>
      <c r="W542" s="76"/>
      <c r="X542" s="76"/>
      <c r="Y542" s="76">
        <v>-0.10909090909090902</v>
      </c>
      <c r="Z542" s="76">
        <v>-0.10909090909090902</v>
      </c>
      <c r="AA542" s="76"/>
      <c r="AB542" s="76"/>
      <c r="AC542" s="76"/>
      <c r="AD542" s="142"/>
      <c r="AE542" s="142"/>
      <c r="AF542" s="142"/>
    </row>
    <row r="543" spans="1:32" x14ac:dyDescent="0.35">
      <c r="A543" t="s">
        <v>89</v>
      </c>
      <c r="B543" t="s">
        <v>706</v>
      </c>
      <c r="C543" s="31"/>
      <c r="D543" s="31"/>
      <c r="E543" s="72"/>
      <c r="F543" s="31"/>
      <c r="G543" s="73"/>
      <c r="H543" s="31"/>
      <c r="I543" s="72"/>
      <c r="J543" s="72"/>
      <c r="K543" s="31">
        <v>3</v>
      </c>
      <c r="L543" s="31">
        <v>2</v>
      </c>
      <c r="M543" s="74"/>
      <c r="N543" s="74"/>
      <c r="O543" s="75"/>
      <c r="P543" s="75"/>
      <c r="Q543" s="76"/>
      <c r="R543" s="76"/>
      <c r="S543" s="31"/>
      <c r="T543" s="31"/>
      <c r="U543" s="76">
        <v>0.5</v>
      </c>
      <c r="V543" s="76"/>
      <c r="W543" s="76"/>
      <c r="X543" s="76"/>
      <c r="Y543" s="76">
        <v>0</v>
      </c>
      <c r="Z543" s="76">
        <v>0</v>
      </c>
      <c r="AA543" s="76"/>
      <c r="AB543" s="76"/>
      <c r="AC543" s="76"/>
      <c r="AD543" s="142"/>
      <c r="AE543" s="142"/>
      <c r="AF543" s="142"/>
    </row>
    <row r="544" spans="1:32" x14ac:dyDescent="0.35">
      <c r="A544" t="s">
        <v>89</v>
      </c>
      <c r="B544" t="s">
        <v>792</v>
      </c>
      <c r="C544" s="31"/>
      <c r="D544" s="31"/>
      <c r="E544" s="72"/>
      <c r="F544" s="31"/>
      <c r="G544" s="73"/>
      <c r="H544" s="31"/>
      <c r="I544" s="72"/>
      <c r="J544" s="72"/>
      <c r="K544" s="31">
        <v>-1</v>
      </c>
      <c r="L544" s="31"/>
      <c r="M544" s="74"/>
      <c r="N544" s="74"/>
      <c r="O544" s="75"/>
      <c r="P544" s="75"/>
      <c r="Q544" s="76"/>
      <c r="R544" s="76"/>
      <c r="S544" s="31"/>
      <c r="T544" s="31"/>
      <c r="U544" s="76"/>
      <c r="V544" s="76"/>
      <c r="W544" s="76"/>
      <c r="X544" s="76"/>
      <c r="Y544" s="76">
        <v>0</v>
      </c>
      <c r="Z544" s="76">
        <v>0</v>
      </c>
      <c r="AA544" s="76"/>
      <c r="AB544" s="76"/>
      <c r="AC544" s="76"/>
      <c r="AD544" s="142"/>
      <c r="AE544" s="142"/>
      <c r="AF544" s="142"/>
    </row>
    <row r="545" spans="1:32" x14ac:dyDescent="0.35">
      <c r="A545" t="s">
        <v>89</v>
      </c>
      <c r="B545" t="s">
        <v>659</v>
      </c>
      <c r="C545" s="31"/>
      <c r="D545" s="31"/>
      <c r="E545" s="72"/>
      <c r="F545" s="31"/>
      <c r="G545" s="73"/>
      <c r="H545" s="31"/>
      <c r="I545" s="72"/>
      <c r="J545" s="72"/>
      <c r="K545" s="31">
        <v>3</v>
      </c>
      <c r="L545" s="31">
        <v>11</v>
      </c>
      <c r="M545" s="74"/>
      <c r="N545" s="74"/>
      <c r="O545" s="75"/>
      <c r="P545" s="75"/>
      <c r="Q545" s="76"/>
      <c r="R545" s="76"/>
      <c r="S545" s="31"/>
      <c r="T545" s="31"/>
      <c r="U545" s="76">
        <v>-0.72727272727272729</v>
      </c>
      <c r="V545" s="76"/>
      <c r="W545" s="76"/>
      <c r="X545" s="76"/>
      <c r="Y545" s="76">
        <v>-0.10976594027441489</v>
      </c>
      <c r="Z545" s="76">
        <v>-8.6956521739130377E-2</v>
      </c>
      <c r="AA545" s="76"/>
      <c r="AB545" s="76"/>
      <c r="AC545" s="76"/>
      <c r="AD545" s="142"/>
      <c r="AE545" s="142"/>
      <c r="AF545" s="142"/>
    </row>
    <row r="546" spans="1:32" x14ac:dyDescent="0.35">
      <c r="A546" t="s">
        <v>89</v>
      </c>
      <c r="B546" t="s">
        <v>710</v>
      </c>
      <c r="C546" s="31"/>
      <c r="D546" s="31"/>
      <c r="E546" s="72"/>
      <c r="F546" s="31"/>
      <c r="G546" s="73"/>
      <c r="H546" s="31"/>
      <c r="I546" s="72"/>
      <c r="J546" s="72"/>
      <c r="K546" s="31"/>
      <c r="L546" s="31">
        <v>1</v>
      </c>
      <c r="M546" s="74"/>
      <c r="N546" s="74"/>
      <c r="O546" s="75"/>
      <c r="P546" s="75"/>
      <c r="Q546" s="76"/>
      <c r="R546" s="76"/>
      <c r="S546" s="31"/>
      <c r="T546" s="31"/>
      <c r="U546" s="76"/>
      <c r="V546" s="76"/>
      <c r="W546" s="76"/>
      <c r="X546" s="76"/>
      <c r="Y546" s="76"/>
      <c r="Z546" s="76"/>
      <c r="AA546" s="76"/>
      <c r="AB546" s="76"/>
      <c r="AC546" s="76"/>
      <c r="AD546" s="142"/>
      <c r="AE546" s="142"/>
      <c r="AF546" s="142"/>
    </row>
    <row r="547" spans="1:32" x14ac:dyDescent="0.35">
      <c r="A547" t="s">
        <v>89</v>
      </c>
      <c r="B547" t="s">
        <v>693</v>
      </c>
      <c r="C547" s="31"/>
      <c r="D547" s="31"/>
      <c r="E547" s="72"/>
      <c r="F547" s="31"/>
      <c r="G547" s="73"/>
      <c r="H547" s="31"/>
      <c r="I547" s="72"/>
      <c r="J547" s="72"/>
      <c r="K547" s="31"/>
      <c r="L547" s="31">
        <v>-3</v>
      </c>
      <c r="M547" s="74"/>
      <c r="N547" s="74"/>
      <c r="O547" s="75"/>
      <c r="P547" s="75"/>
      <c r="Q547" s="76"/>
      <c r="R547" s="76"/>
      <c r="S547" s="31"/>
      <c r="T547" s="31"/>
      <c r="U547" s="76"/>
      <c r="V547" s="76"/>
      <c r="W547" s="76"/>
      <c r="X547" s="76"/>
      <c r="Y547" s="76"/>
      <c r="Z547" s="76"/>
      <c r="AA547" s="76"/>
      <c r="AB547" s="76"/>
      <c r="AC547" s="76"/>
      <c r="AD547" s="142"/>
      <c r="AE547" s="142"/>
      <c r="AF547" s="142"/>
    </row>
    <row r="548" spans="1:32" x14ac:dyDescent="0.35">
      <c r="A548" t="s">
        <v>89</v>
      </c>
      <c r="B548" t="s">
        <v>671</v>
      </c>
      <c r="C548" s="31"/>
      <c r="D548" s="31"/>
      <c r="E548" s="72"/>
      <c r="F548" s="31"/>
      <c r="G548" s="73"/>
      <c r="H548" s="31"/>
      <c r="I548" s="72"/>
      <c r="J548" s="72"/>
      <c r="K548" s="31"/>
      <c r="L548" s="31">
        <v>2</v>
      </c>
      <c r="M548" s="74"/>
      <c r="N548" s="74"/>
      <c r="O548" s="75"/>
      <c r="P548" s="75"/>
      <c r="Q548" s="76"/>
      <c r="R548" s="76"/>
      <c r="S548" s="31"/>
      <c r="T548" s="31"/>
      <c r="U548" s="76"/>
      <c r="V548" s="76"/>
      <c r="W548" s="76"/>
      <c r="X548" s="76"/>
      <c r="Y548" s="76"/>
      <c r="Z548" s="76"/>
      <c r="AA548" s="76"/>
      <c r="AB548" s="76"/>
      <c r="AC548" s="76"/>
      <c r="AD548" s="142"/>
      <c r="AE548" s="142"/>
      <c r="AF548" s="142"/>
    </row>
    <row r="549" spans="1:32" x14ac:dyDescent="0.35">
      <c r="A549" t="s">
        <v>89</v>
      </c>
      <c r="B549" t="s">
        <v>696</v>
      </c>
      <c r="C549" s="31"/>
      <c r="D549" s="31"/>
      <c r="E549" s="72"/>
      <c r="F549" s="31"/>
      <c r="G549" s="73"/>
      <c r="H549" s="31"/>
      <c r="I549" s="72"/>
      <c r="J549" s="72"/>
      <c r="K549" s="31">
        <v>7</v>
      </c>
      <c r="L549" s="31">
        <v>5</v>
      </c>
      <c r="M549" s="74"/>
      <c r="N549" s="74"/>
      <c r="O549" s="75"/>
      <c r="P549" s="75"/>
      <c r="Q549" s="76"/>
      <c r="R549" s="76"/>
      <c r="S549" s="31"/>
      <c r="T549" s="31"/>
      <c r="U549" s="76">
        <v>0.39999999999999991</v>
      </c>
      <c r="V549" s="76"/>
      <c r="W549" s="76"/>
      <c r="X549" s="76"/>
      <c r="Y549" s="76">
        <v>0</v>
      </c>
      <c r="Z549" s="76">
        <v>0</v>
      </c>
      <c r="AA549" s="76"/>
      <c r="AB549" s="76"/>
      <c r="AC549" s="76"/>
      <c r="AD549" s="142"/>
      <c r="AE549" s="142"/>
      <c r="AF549" s="142"/>
    </row>
    <row r="550" spans="1:32" x14ac:dyDescent="0.35">
      <c r="A550" t="s">
        <v>89</v>
      </c>
      <c r="B550" t="s">
        <v>703</v>
      </c>
      <c r="C550" s="31"/>
      <c r="D550" s="31"/>
      <c r="E550" s="72"/>
      <c r="F550" s="31"/>
      <c r="G550" s="73"/>
      <c r="H550" s="31"/>
      <c r="I550" s="72"/>
      <c r="J550" s="72"/>
      <c r="K550" s="31">
        <v>13.857142857142858</v>
      </c>
      <c r="L550" s="31">
        <v>22</v>
      </c>
      <c r="M550" s="74"/>
      <c r="N550" s="74"/>
      <c r="O550" s="75"/>
      <c r="P550" s="75"/>
      <c r="Q550" s="76"/>
      <c r="R550" s="76"/>
      <c r="S550" s="31"/>
      <c r="T550" s="31"/>
      <c r="U550" s="76">
        <v>-0.46103896103896103</v>
      </c>
      <c r="V550" s="76"/>
      <c r="W550" s="76"/>
      <c r="X550" s="76"/>
      <c r="Y550" s="76">
        <v>0</v>
      </c>
      <c r="Z550" s="76">
        <v>-0.34013605442176864</v>
      </c>
      <c r="AA550" s="76"/>
      <c r="AB550" s="76"/>
      <c r="AC550" s="76"/>
      <c r="AD550" s="142"/>
      <c r="AE550" s="142"/>
      <c r="AF550" s="142"/>
    </row>
    <row r="551" spans="1:32" x14ac:dyDescent="0.35">
      <c r="A551" t="s">
        <v>89</v>
      </c>
      <c r="B551" t="s">
        <v>666</v>
      </c>
      <c r="C551" s="31"/>
      <c r="D551" s="31"/>
      <c r="E551" s="72"/>
      <c r="F551" s="31"/>
      <c r="G551" s="73"/>
      <c r="H551" s="31"/>
      <c r="I551" s="72"/>
      <c r="J551" s="72"/>
      <c r="K551" s="31">
        <v>17</v>
      </c>
      <c r="L551" s="31">
        <v>18</v>
      </c>
      <c r="M551" s="74"/>
      <c r="N551" s="74"/>
      <c r="O551" s="75"/>
      <c r="P551" s="75"/>
      <c r="Q551" s="76"/>
      <c r="R551" s="76"/>
      <c r="S551" s="31">
        <v>4</v>
      </c>
      <c r="T551" s="31"/>
      <c r="U551" s="76">
        <v>-0.11111111111111116</v>
      </c>
      <c r="V551" s="76"/>
      <c r="W551" s="76"/>
      <c r="X551" s="76"/>
      <c r="Y551" s="76">
        <v>-6.6806342695661214E-2</v>
      </c>
      <c r="Z551" s="76">
        <v>-6.2992125984251968E-2</v>
      </c>
      <c r="AA551" s="76"/>
      <c r="AB551" s="76"/>
      <c r="AC551" s="76"/>
      <c r="AD551" s="142"/>
      <c r="AE551" s="142"/>
      <c r="AF551" s="142"/>
    </row>
    <row r="552" spans="1:32" x14ac:dyDescent="0.35">
      <c r="A552" t="s">
        <v>89</v>
      </c>
      <c r="B552" t="s">
        <v>700</v>
      </c>
      <c r="C552" s="31"/>
      <c r="D552" s="31"/>
      <c r="E552" s="72"/>
      <c r="F552" s="31"/>
      <c r="G552" s="73"/>
      <c r="H552" s="31"/>
      <c r="I552" s="72"/>
      <c r="J552" s="72"/>
      <c r="K552" s="31">
        <v>2</v>
      </c>
      <c r="L552" s="31">
        <v>4</v>
      </c>
      <c r="M552" s="74"/>
      <c r="N552" s="74"/>
      <c r="O552" s="75"/>
      <c r="P552" s="75"/>
      <c r="Q552" s="76"/>
      <c r="R552" s="76"/>
      <c r="S552" s="31"/>
      <c r="T552" s="31"/>
      <c r="U552" s="76">
        <v>-0.5</v>
      </c>
      <c r="V552" s="76"/>
      <c r="W552" s="76"/>
      <c r="X552" s="76"/>
      <c r="Y552" s="76">
        <v>0</v>
      </c>
      <c r="Z552" s="76">
        <v>0</v>
      </c>
      <c r="AA552" s="76"/>
      <c r="AB552" s="76"/>
      <c r="AC552" s="76"/>
      <c r="AD552" s="142"/>
      <c r="AE552" s="142"/>
      <c r="AF552" s="142"/>
    </row>
    <row r="553" spans="1:32" x14ac:dyDescent="0.35">
      <c r="A553" t="s">
        <v>89</v>
      </c>
      <c r="B553" t="s">
        <v>691</v>
      </c>
      <c r="C553" s="31"/>
      <c r="D553" s="31"/>
      <c r="E553" s="72"/>
      <c r="F553" s="31"/>
      <c r="G553" s="73"/>
      <c r="H553" s="31"/>
      <c r="I553" s="72"/>
      <c r="J553" s="72"/>
      <c r="K553" s="31">
        <v>12</v>
      </c>
      <c r="L553" s="31">
        <v>19</v>
      </c>
      <c r="M553" s="74"/>
      <c r="N553" s="74"/>
      <c r="O553" s="75"/>
      <c r="P553" s="75"/>
      <c r="Q553" s="76"/>
      <c r="R553" s="76"/>
      <c r="S553" s="31"/>
      <c r="T553" s="31"/>
      <c r="U553" s="76">
        <v>-0.36842105263157898</v>
      </c>
      <c r="V553" s="76"/>
      <c r="W553" s="76"/>
      <c r="X553" s="76"/>
      <c r="Y553" s="76">
        <v>-2.3943386198987615E-2</v>
      </c>
      <c r="Z553" s="76">
        <v>-2.3255813953488413E-2</v>
      </c>
      <c r="AA553" s="76"/>
      <c r="AB553" s="76"/>
      <c r="AC553" s="76"/>
      <c r="AD553" s="142"/>
      <c r="AE553" s="142"/>
      <c r="AF553" s="142"/>
    </row>
    <row r="554" spans="1:32" x14ac:dyDescent="0.35">
      <c r="A554" t="s">
        <v>89</v>
      </c>
      <c r="B554" t="s">
        <v>705</v>
      </c>
      <c r="C554" s="31"/>
      <c r="D554" s="31"/>
      <c r="E554" s="72"/>
      <c r="F554" s="31"/>
      <c r="G554" s="73"/>
      <c r="H554" s="31"/>
      <c r="I554" s="72"/>
      <c r="J554" s="72"/>
      <c r="K554" s="31">
        <v>2</v>
      </c>
      <c r="L554" s="31">
        <v>2</v>
      </c>
      <c r="M554" s="74"/>
      <c r="N554" s="74"/>
      <c r="O554" s="75"/>
      <c r="P554" s="75"/>
      <c r="Q554" s="76"/>
      <c r="R554" s="76"/>
      <c r="S554" s="31"/>
      <c r="T554" s="31"/>
      <c r="U554" s="76">
        <v>0</v>
      </c>
      <c r="V554" s="76"/>
      <c r="W554" s="76"/>
      <c r="X554" s="76"/>
      <c r="Y554" s="76">
        <v>0</v>
      </c>
      <c r="Z554" s="76">
        <v>0</v>
      </c>
      <c r="AA554" s="76"/>
      <c r="AB554" s="76"/>
      <c r="AC554" s="76"/>
      <c r="AD554" s="142"/>
      <c r="AE554" s="142"/>
      <c r="AF554" s="142"/>
    </row>
    <row r="555" spans="1:32" x14ac:dyDescent="0.35">
      <c r="A555" t="s">
        <v>89</v>
      </c>
      <c r="B555" t="s">
        <v>711</v>
      </c>
      <c r="C555" s="31"/>
      <c r="D555" s="31"/>
      <c r="E555" s="72"/>
      <c r="F555" s="31"/>
      <c r="G555" s="73"/>
      <c r="H555" s="31"/>
      <c r="I555" s="72"/>
      <c r="J555" s="72"/>
      <c r="K555" s="31"/>
      <c r="L555" s="31">
        <v>1</v>
      </c>
      <c r="M555" s="74"/>
      <c r="N555" s="74"/>
      <c r="O555" s="75"/>
      <c r="P555" s="75"/>
      <c r="Q555" s="76"/>
      <c r="R555" s="76"/>
      <c r="S555" s="31"/>
      <c r="T555" s="31"/>
      <c r="U555" s="76"/>
      <c r="V555" s="76"/>
      <c r="W555" s="76"/>
      <c r="X555" s="76"/>
      <c r="Y555" s="76"/>
      <c r="Z555" s="76"/>
      <c r="AA555" s="76"/>
      <c r="AB555" s="76"/>
      <c r="AC555" s="76"/>
      <c r="AD555" s="142"/>
      <c r="AE555" s="142"/>
      <c r="AF555" s="142"/>
    </row>
    <row r="556" spans="1:32" x14ac:dyDescent="0.35">
      <c r="A556" t="s">
        <v>89</v>
      </c>
      <c r="B556" t="s">
        <v>649</v>
      </c>
      <c r="C556" s="31"/>
      <c r="D556" s="31"/>
      <c r="E556" s="72"/>
      <c r="F556" s="31"/>
      <c r="G556" s="73"/>
      <c r="H556" s="31"/>
      <c r="I556" s="72"/>
      <c r="J556" s="72"/>
      <c r="K556" s="31">
        <v>14</v>
      </c>
      <c r="L556" s="31">
        <v>6</v>
      </c>
      <c r="M556" s="74"/>
      <c r="N556" s="74"/>
      <c r="O556" s="75"/>
      <c r="P556" s="75"/>
      <c r="Q556" s="76"/>
      <c r="R556" s="76"/>
      <c r="S556" s="31">
        <v>8</v>
      </c>
      <c r="T556" s="31"/>
      <c r="U556" s="76">
        <v>0.97619047619047628</v>
      </c>
      <c r="V556" s="76"/>
      <c r="W556" s="76"/>
      <c r="X556" s="76"/>
      <c r="Y556" s="76">
        <v>-7.5155692453838796E-2</v>
      </c>
      <c r="Z556" s="76">
        <v>-4.8543689320388328E-2</v>
      </c>
      <c r="AA556" s="76"/>
      <c r="AB556" s="76"/>
      <c r="AC556" s="76"/>
      <c r="AD556" s="142"/>
      <c r="AE556" s="142"/>
      <c r="AF556" s="142"/>
    </row>
    <row r="557" spans="1:32" x14ac:dyDescent="0.35">
      <c r="A557" t="s">
        <v>89</v>
      </c>
      <c r="B557" t="s">
        <v>713</v>
      </c>
      <c r="C557" s="31"/>
      <c r="D557" s="31"/>
      <c r="E557" s="72"/>
      <c r="F557" s="31"/>
      <c r="G557" s="73"/>
      <c r="H557" s="31"/>
      <c r="I557" s="72"/>
      <c r="J557" s="72"/>
      <c r="K557" s="31">
        <v>2</v>
      </c>
      <c r="L557" s="31"/>
      <c r="M557" s="74"/>
      <c r="N557" s="74"/>
      <c r="O557" s="75"/>
      <c r="P557" s="75"/>
      <c r="Q557" s="76"/>
      <c r="R557" s="76"/>
      <c r="S557" s="31"/>
      <c r="T557" s="31"/>
      <c r="U557" s="76"/>
      <c r="V557" s="76"/>
      <c r="W557" s="76"/>
      <c r="X557" s="76"/>
      <c r="Y557" s="76">
        <v>0</v>
      </c>
      <c r="Z557" s="76">
        <v>0</v>
      </c>
      <c r="AA557" s="76"/>
      <c r="AB557" s="76"/>
      <c r="AC557" s="76"/>
      <c r="AD557" s="142"/>
      <c r="AE557" s="142"/>
      <c r="AF557" s="142"/>
    </row>
    <row r="558" spans="1:32" x14ac:dyDescent="0.35">
      <c r="A558" t="s">
        <v>89</v>
      </c>
      <c r="B558" t="s">
        <v>708</v>
      </c>
      <c r="C558" s="31"/>
      <c r="D558" s="31"/>
      <c r="E558" s="72"/>
      <c r="F558" s="31"/>
      <c r="G558" s="73"/>
      <c r="H558" s="31"/>
      <c r="I558" s="72"/>
      <c r="J558" s="72"/>
      <c r="K558" s="31">
        <v>6.7142857142857144</v>
      </c>
      <c r="L558" s="31">
        <v>28</v>
      </c>
      <c r="M558" s="74"/>
      <c r="N558" s="74"/>
      <c r="O558" s="75"/>
      <c r="P558" s="75"/>
      <c r="Q558" s="76"/>
      <c r="R558" s="76"/>
      <c r="S558" s="31">
        <v>25</v>
      </c>
      <c r="T558" s="31"/>
      <c r="U558" s="76">
        <v>-0.76020408163265307</v>
      </c>
      <c r="V558" s="76"/>
      <c r="W558" s="76"/>
      <c r="X558" s="76"/>
      <c r="Y558" s="76">
        <v>8.6347344411860538E-2</v>
      </c>
      <c r="Z558" s="76">
        <v>0</v>
      </c>
      <c r="AA558" s="76"/>
      <c r="AB558" s="76"/>
      <c r="AC558" s="76"/>
      <c r="AD558" s="142"/>
      <c r="AE558" s="142"/>
      <c r="AF558" s="142"/>
    </row>
    <row r="559" spans="1:32" x14ac:dyDescent="0.35">
      <c r="A559" t="s">
        <v>89</v>
      </c>
      <c r="B559" t="s">
        <v>688</v>
      </c>
      <c r="C559" s="31"/>
      <c r="D559" s="31"/>
      <c r="E559" s="72"/>
      <c r="F559" s="31"/>
      <c r="G559" s="73"/>
      <c r="H559" s="31"/>
      <c r="I559" s="72"/>
      <c r="J559" s="72"/>
      <c r="K559" s="31">
        <v>4</v>
      </c>
      <c r="L559" s="31">
        <v>1</v>
      </c>
      <c r="M559" s="74"/>
      <c r="N559" s="74"/>
      <c r="O559" s="75"/>
      <c r="P559" s="75"/>
      <c r="Q559" s="76"/>
      <c r="R559" s="76"/>
      <c r="S559" s="31"/>
      <c r="T559" s="31"/>
      <c r="U559" s="76"/>
      <c r="V559" s="76"/>
      <c r="W559" s="76"/>
      <c r="X559" s="76"/>
      <c r="Y559" s="76">
        <v>-0.1515151515151516</v>
      </c>
      <c r="Z559" s="76">
        <v>-0.15151515151515149</v>
      </c>
      <c r="AA559" s="76"/>
      <c r="AB559" s="76"/>
      <c r="AC559" s="76"/>
      <c r="AD559" s="142"/>
      <c r="AE559" s="142"/>
      <c r="AF559" s="142"/>
    </row>
    <row r="560" spans="1:32" x14ac:dyDescent="0.35">
      <c r="A560" t="s">
        <v>89</v>
      </c>
      <c r="B560" t="s">
        <v>681</v>
      </c>
      <c r="C560" s="31"/>
      <c r="D560" s="31"/>
      <c r="E560" s="72"/>
      <c r="F560" s="31"/>
      <c r="G560" s="73"/>
      <c r="H560" s="31"/>
      <c r="I560" s="72"/>
      <c r="J560" s="72"/>
      <c r="K560" s="31"/>
      <c r="L560" s="31">
        <v>1</v>
      </c>
      <c r="M560" s="74"/>
      <c r="N560" s="74"/>
      <c r="O560" s="75"/>
      <c r="P560" s="75"/>
      <c r="Q560" s="76"/>
      <c r="R560" s="76"/>
      <c r="S560" s="31">
        <v>8</v>
      </c>
      <c r="T560" s="31"/>
      <c r="U560" s="76"/>
      <c r="V560" s="76"/>
      <c r="W560" s="76"/>
      <c r="X560" s="76"/>
      <c r="Y560" s="76"/>
      <c r="Z560" s="76"/>
      <c r="AA560" s="76"/>
      <c r="AB560" s="76"/>
      <c r="AC560" s="76"/>
      <c r="AD560" s="142"/>
      <c r="AE560" s="142"/>
      <c r="AF560" s="142"/>
    </row>
    <row r="561" spans="1:32" x14ac:dyDescent="0.35">
      <c r="A561" t="s">
        <v>89</v>
      </c>
      <c r="B561" t="s">
        <v>692</v>
      </c>
      <c r="C561" s="31"/>
      <c r="D561" s="31"/>
      <c r="E561" s="72"/>
      <c r="F561" s="31"/>
      <c r="G561" s="73"/>
      <c r="H561" s="31"/>
      <c r="I561" s="72"/>
      <c r="J561" s="72"/>
      <c r="K561" s="31">
        <v>-1</v>
      </c>
      <c r="L561" s="31">
        <v>5</v>
      </c>
      <c r="M561" s="74"/>
      <c r="N561" s="74"/>
      <c r="O561" s="75"/>
      <c r="P561" s="75"/>
      <c r="Q561" s="76"/>
      <c r="R561" s="76"/>
      <c r="S561" s="31">
        <v>15</v>
      </c>
      <c r="T561" s="31"/>
      <c r="U561" s="76">
        <v>-1.2</v>
      </c>
      <c r="V561" s="76"/>
      <c r="W561" s="76"/>
      <c r="X561" s="76"/>
      <c r="Y561" s="76">
        <v>0</v>
      </c>
      <c r="Z561" s="76">
        <v>0</v>
      </c>
      <c r="AA561" s="76"/>
      <c r="AB561" s="76"/>
      <c r="AC561" s="76"/>
      <c r="AD561" s="142"/>
      <c r="AE561" s="142"/>
      <c r="AF561" s="142"/>
    </row>
    <row r="562" spans="1:32" x14ac:dyDescent="0.35">
      <c r="A562" t="s">
        <v>89</v>
      </c>
      <c r="B562" t="s">
        <v>665</v>
      </c>
      <c r="C562" s="31"/>
      <c r="D562" s="31">
        <v>1</v>
      </c>
      <c r="E562" s="72"/>
      <c r="F562" s="31">
        <v>1</v>
      </c>
      <c r="G562" s="73"/>
      <c r="H562" s="31">
        <v>109.09</v>
      </c>
      <c r="I562" s="72"/>
      <c r="J562" s="72">
        <v>29.590000000000003</v>
      </c>
      <c r="K562" s="31">
        <v>0</v>
      </c>
      <c r="L562" s="31">
        <v>14.571428571428571</v>
      </c>
      <c r="M562" s="74"/>
      <c r="N562" s="74">
        <v>14.571428571428571</v>
      </c>
      <c r="O562" s="75"/>
      <c r="P562" s="75">
        <v>109.09</v>
      </c>
      <c r="Q562" s="76"/>
      <c r="R562" s="76">
        <v>0.27124392703272532</v>
      </c>
      <c r="S562" s="31"/>
      <c r="T562" s="31"/>
      <c r="U562" s="76"/>
      <c r="V562" s="76"/>
      <c r="W562" s="76"/>
      <c r="X562" s="76"/>
      <c r="Y562" s="76">
        <v>0</v>
      </c>
      <c r="Z562" s="76"/>
      <c r="AA562" s="76"/>
      <c r="AB562" s="76"/>
      <c r="AC562" s="76"/>
      <c r="AD562" s="142"/>
      <c r="AE562" s="142"/>
      <c r="AF562" s="142"/>
    </row>
    <row r="563" spans="1:32" x14ac:dyDescent="0.35">
      <c r="A563" t="s">
        <v>89</v>
      </c>
      <c r="B563" t="s">
        <v>658</v>
      </c>
      <c r="C563" s="31"/>
      <c r="D563" s="31">
        <v>1</v>
      </c>
      <c r="E563" s="72"/>
      <c r="F563" s="31">
        <v>1</v>
      </c>
      <c r="G563" s="73"/>
      <c r="H563" s="31">
        <v>115.9</v>
      </c>
      <c r="I563" s="72"/>
      <c r="J563" s="72">
        <v>-35.599999999999994</v>
      </c>
      <c r="K563" s="31">
        <v>5</v>
      </c>
      <c r="L563" s="31">
        <v>17.142857142857142</v>
      </c>
      <c r="M563" s="74"/>
      <c r="N563" s="74">
        <v>17.142857142857142</v>
      </c>
      <c r="O563" s="75"/>
      <c r="P563" s="75">
        <v>115.9</v>
      </c>
      <c r="Q563" s="76"/>
      <c r="R563" s="76">
        <v>-0.30716134598792055</v>
      </c>
      <c r="S563" s="31">
        <v>5</v>
      </c>
      <c r="T563" s="31"/>
      <c r="U563" s="76">
        <v>-0.70833333333333326</v>
      </c>
      <c r="V563" s="76"/>
      <c r="W563" s="76"/>
      <c r="X563" s="76"/>
      <c r="Y563" s="76">
        <v>0</v>
      </c>
      <c r="Z563" s="76">
        <v>0</v>
      </c>
      <c r="AA563" s="76"/>
      <c r="AB563" s="76"/>
      <c r="AC563" s="76"/>
      <c r="AD563" s="142"/>
      <c r="AE563" s="142"/>
      <c r="AF563" s="142"/>
    </row>
    <row r="564" spans="1:32" x14ac:dyDescent="0.35">
      <c r="A564" t="s">
        <v>89</v>
      </c>
      <c r="B564" t="s">
        <v>652</v>
      </c>
      <c r="C564" s="31"/>
      <c r="D564" s="31">
        <v>3</v>
      </c>
      <c r="E564" s="72"/>
      <c r="F564" s="31">
        <v>4</v>
      </c>
      <c r="G564" s="73"/>
      <c r="H564" s="31">
        <v>1004.54</v>
      </c>
      <c r="I564" s="72"/>
      <c r="J564" s="72">
        <v>383.93999999999994</v>
      </c>
      <c r="K564" s="31">
        <v>33</v>
      </c>
      <c r="L564" s="31">
        <v>107.14285714285714</v>
      </c>
      <c r="M564" s="74"/>
      <c r="N564" s="74">
        <v>28.785714285714285</v>
      </c>
      <c r="O564" s="75"/>
      <c r="P564" s="75">
        <v>251.13499999999999</v>
      </c>
      <c r="Q564" s="76"/>
      <c r="R564" s="76">
        <v>0.38220479025225473</v>
      </c>
      <c r="S564" s="31">
        <v>2</v>
      </c>
      <c r="T564" s="31"/>
      <c r="U564" s="76">
        <v>-0.70133333333333336</v>
      </c>
      <c r="V564" s="76"/>
      <c r="W564" s="76"/>
      <c r="X564" s="76"/>
      <c r="Y564" s="76">
        <v>2.7769230525217292E-2</v>
      </c>
      <c r="Z564" s="76">
        <v>2.6666666666666616E-2</v>
      </c>
      <c r="AA564" s="76"/>
      <c r="AB564" s="76"/>
      <c r="AC564" s="76"/>
      <c r="AD564" s="142"/>
      <c r="AE564" s="142"/>
      <c r="AF564" s="142"/>
    </row>
    <row r="565" spans="1:32" x14ac:dyDescent="0.35">
      <c r="A565" t="s">
        <v>89</v>
      </c>
      <c r="B565" t="s">
        <v>667</v>
      </c>
      <c r="C565" s="31"/>
      <c r="D565" s="31"/>
      <c r="E565" s="72"/>
      <c r="F565" s="31"/>
      <c r="G565" s="73"/>
      <c r="H565" s="31"/>
      <c r="I565" s="72"/>
      <c r="J565" s="72"/>
      <c r="K565" s="31"/>
      <c r="L565" s="31">
        <v>3</v>
      </c>
      <c r="M565" s="74"/>
      <c r="N565" s="74"/>
      <c r="O565" s="75"/>
      <c r="P565" s="75"/>
      <c r="Q565" s="76"/>
      <c r="R565" s="76"/>
      <c r="S565" s="31"/>
      <c r="T565" s="31"/>
      <c r="U565" s="76"/>
      <c r="V565" s="76"/>
      <c r="W565" s="76"/>
      <c r="X565" s="76"/>
      <c r="Y565" s="76"/>
      <c r="Z565" s="76"/>
      <c r="AA565" s="76"/>
      <c r="AB565" s="76"/>
      <c r="AC565" s="76"/>
      <c r="AD565" s="142"/>
      <c r="AE565" s="142"/>
      <c r="AF565" s="142"/>
    </row>
    <row r="566" spans="1:32" x14ac:dyDescent="0.35">
      <c r="A566" t="s">
        <v>89</v>
      </c>
      <c r="B566" t="s">
        <v>662</v>
      </c>
      <c r="C566" s="31">
        <v>-1</v>
      </c>
      <c r="D566" s="31"/>
      <c r="E566" s="72">
        <v>-1</v>
      </c>
      <c r="F566" s="31"/>
      <c r="G566" s="73">
        <v>-181.81</v>
      </c>
      <c r="H566" s="31"/>
      <c r="I566" s="72">
        <v>79.19</v>
      </c>
      <c r="J566" s="72"/>
      <c r="K566" s="31">
        <v>10.428571428571429</v>
      </c>
      <c r="L566" s="31">
        <v>29</v>
      </c>
      <c r="M566" s="74">
        <v>-10.428571428571429</v>
      </c>
      <c r="N566" s="74"/>
      <c r="O566" s="75">
        <v>181.81</v>
      </c>
      <c r="P566" s="75"/>
      <c r="Q566" s="76">
        <v>-0.43556460040701828</v>
      </c>
      <c r="R566" s="76"/>
      <c r="S566" s="31">
        <v>10</v>
      </c>
      <c r="T566" s="31"/>
      <c r="U566" s="76">
        <v>-0.64039408866995073</v>
      </c>
      <c r="V566" s="76"/>
      <c r="W566" s="76"/>
      <c r="X566" s="76"/>
      <c r="Y566" s="76">
        <v>4.6357968774977332E-2</v>
      </c>
      <c r="Z566" s="76">
        <v>4.2857142857142927E-2</v>
      </c>
      <c r="AA566" s="76"/>
      <c r="AB566" s="76"/>
      <c r="AC566" s="76"/>
      <c r="AD566" s="142"/>
      <c r="AE566" s="142"/>
      <c r="AF566" s="142"/>
    </row>
    <row r="567" spans="1:32" x14ac:dyDescent="0.35">
      <c r="A567" s="138" t="s">
        <v>850</v>
      </c>
      <c r="B567" s="138"/>
      <c r="C567" s="127">
        <v>3782</v>
      </c>
      <c r="D567" s="127">
        <v>5487</v>
      </c>
      <c r="E567" s="126">
        <v>7346</v>
      </c>
      <c r="F567" s="127">
        <v>11744</v>
      </c>
      <c r="G567" s="127">
        <v>3290168.2700000131</v>
      </c>
      <c r="H567" s="127">
        <v>2158831.8600000786</v>
      </c>
      <c r="I567" s="126">
        <v>1984502.1400000153</v>
      </c>
      <c r="J567" s="126">
        <v>731761.17000007443</v>
      </c>
      <c r="K567" s="127">
        <v>106899</v>
      </c>
      <c r="L567" s="127">
        <v>189739.71428571429</v>
      </c>
      <c r="M567" s="140">
        <v>14.552001089028042</v>
      </c>
      <c r="N567" s="140">
        <v>16.305893604303648</v>
      </c>
      <c r="O567" s="139">
        <v>447.88568881023866</v>
      </c>
      <c r="P567" s="139">
        <v>183.82423876022466</v>
      </c>
      <c r="Q567" s="141">
        <v>0.6031612905925956</v>
      </c>
      <c r="R567" s="141">
        <v>0.33201288218451586</v>
      </c>
      <c r="S567" s="127">
        <v>33599.757142857146</v>
      </c>
      <c r="T567" s="127"/>
      <c r="U567" s="141">
        <v>-0.48877484794959714</v>
      </c>
      <c r="V567" s="141">
        <v>-0.44260899182561309</v>
      </c>
      <c r="W567" s="141">
        <v>0.41899016165153835</v>
      </c>
      <c r="X567" s="141">
        <v>1.5986807203037432</v>
      </c>
      <c r="Y567" s="141">
        <v>-2.6279845900993859E-3</v>
      </c>
      <c r="Z567" s="141">
        <v>-1.111269694014283E-2</v>
      </c>
      <c r="AA567" s="141">
        <v>8.8780198606788208E-2</v>
      </c>
      <c r="AB567" s="141">
        <v>9.5649246838944935E-2</v>
      </c>
      <c r="AC567" s="141">
        <v>6.3089393441819741E-3</v>
      </c>
      <c r="AD567" s="143">
        <v>0.12574026885577019</v>
      </c>
      <c r="AE567" s="143">
        <v>0.30918862135611846</v>
      </c>
      <c r="AF567" s="143">
        <v>0.76046567282111466</v>
      </c>
    </row>
    <row r="568" spans="1:32" x14ac:dyDescent="0.35">
      <c r="A568" t="s">
        <v>100</v>
      </c>
      <c r="B568" t="s">
        <v>716</v>
      </c>
      <c r="C568" s="31">
        <v>3678</v>
      </c>
      <c r="D568" s="31">
        <v>2225</v>
      </c>
      <c r="E568" s="72">
        <v>4123</v>
      </c>
      <c r="F568" s="31">
        <v>2481</v>
      </c>
      <c r="G568" s="73">
        <v>1886685.1799998942</v>
      </c>
      <c r="H568" s="31">
        <v>1485007.35</v>
      </c>
      <c r="I568" s="72">
        <v>1150002.7399999921</v>
      </c>
      <c r="J568" s="72">
        <v>708768.09999999544</v>
      </c>
      <c r="K568" s="31">
        <v>31484.714285714286</v>
      </c>
      <c r="L568" s="31">
        <v>40814.571428571428</v>
      </c>
      <c r="M568" s="74">
        <v>7.6363604864696306</v>
      </c>
      <c r="N568" s="74">
        <v>16.625239977413891</v>
      </c>
      <c r="O568" s="75">
        <v>457.60009216587298</v>
      </c>
      <c r="P568" s="75">
        <v>598.55193470374854</v>
      </c>
      <c r="Q568" s="76">
        <v>0.60953610713158646</v>
      </c>
      <c r="R568" s="76">
        <v>0.46926759742482776</v>
      </c>
      <c r="S568" s="31">
        <v>7743.5714285714284</v>
      </c>
      <c r="T568" s="31"/>
      <c r="U568" s="76">
        <v>-0.25286837334005363</v>
      </c>
      <c r="V568" s="76">
        <v>0.59975816203143895</v>
      </c>
      <c r="W568" s="76">
        <v>0.22674955783882211</v>
      </c>
      <c r="X568" s="76">
        <v>0.59276718823993879</v>
      </c>
      <c r="Y568" s="76">
        <v>0.26161129713699527</v>
      </c>
      <c r="Z568" s="76">
        <v>0.16581061852343604</v>
      </c>
      <c r="AA568" s="76">
        <v>0.22416864608076015</v>
      </c>
      <c r="AB568" s="76">
        <v>0.47714946449946738</v>
      </c>
      <c r="AC568" s="76">
        <v>0.20665520165758089</v>
      </c>
      <c r="AD568" s="142">
        <v>-0.41593663704390227</v>
      </c>
      <c r="AE568" s="142">
        <v>-0.27392705470452816</v>
      </c>
      <c r="AF568" s="142">
        <v>6.206648075859033E-3</v>
      </c>
    </row>
    <row r="569" spans="1:32" x14ac:dyDescent="0.35">
      <c r="A569" t="s">
        <v>100</v>
      </c>
      <c r="B569" t="s">
        <v>717</v>
      </c>
      <c r="C569" s="31">
        <v>1199</v>
      </c>
      <c r="D569" s="31">
        <v>1520</v>
      </c>
      <c r="E569" s="72">
        <v>1476</v>
      </c>
      <c r="F569" s="31">
        <v>1965</v>
      </c>
      <c r="G569" s="73">
        <v>549883.71999999729</v>
      </c>
      <c r="H569" s="31">
        <v>613323.86999999487</v>
      </c>
      <c r="I569" s="72">
        <v>359120.98999999795</v>
      </c>
      <c r="J569" s="72">
        <v>269746.09999999369</v>
      </c>
      <c r="K569" s="31">
        <v>17297.571428571428</v>
      </c>
      <c r="L569" s="31">
        <v>33123.428571428572</v>
      </c>
      <c r="M569" s="74">
        <v>11.719221835075492</v>
      </c>
      <c r="N569" s="74">
        <v>16.988242793398967</v>
      </c>
      <c r="O569" s="75">
        <v>372.54994579945617</v>
      </c>
      <c r="P569" s="75">
        <v>312.1241068702264</v>
      </c>
      <c r="Q569" s="76">
        <v>0.65308532865821112</v>
      </c>
      <c r="R569" s="76">
        <v>0.42791258889288242</v>
      </c>
      <c r="S569" s="31">
        <v>4703.2857142857147</v>
      </c>
      <c r="T569" s="31"/>
      <c r="U569" s="76">
        <v>-0.50100489942380011</v>
      </c>
      <c r="V569" s="76">
        <v>-0.28702290076335879</v>
      </c>
      <c r="W569" s="76">
        <v>-0.15174154235998805</v>
      </c>
      <c r="X569" s="76">
        <v>0.29140872218304215</v>
      </c>
      <c r="Y569" s="76">
        <v>0.22165911298580121</v>
      </c>
      <c r="Z569" s="76">
        <v>0.38969803394966074</v>
      </c>
      <c r="AA569" s="76">
        <v>-1.4028056112224463E-2</v>
      </c>
      <c r="AB569" s="76">
        <v>1.5180396288015263E-2</v>
      </c>
      <c r="AC569" s="76">
        <v>2.9624019812438229E-2</v>
      </c>
      <c r="AD569" s="142">
        <v>-0.16524628458247217</v>
      </c>
      <c r="AE569" s="142">
        <v>0.151159635081618</v>
      </c>
      <c r="AF569" s="142">
        <v>0.50161280556414956</v>
      </c>
    </row>
    <row r="570" spans="1:32" x14ac:dyDescent="0.35">
      <c r="A570" t="s">
        <v>100</v>
      </c>
      <c r="B570" t="s">
        <v>798</v>
      </c>
      <c r="C570" s="31">
        <v>13</v>
      </c>
      <c r="D570" s="31"/>
      <c r="E570" s="72">
        <v>16</v>
      </c>
      <c r="F570" s="31"/>
      <c r="G570" s="73">
        <v>7272.5999999999995</v>
      </c>
      <c r="H570" s="31"/>
      <c r="I570" s="72">
        <v>2922.6</v>
      </c>
      <c r="J570" s="72"/>
      <c r="K570" s="31">
        <v>152.42857142857142</v>
      </c>
      <c r="L570" s="31"/>
      <c r="M570" s="74">
        <v>9.5267857142857135</v>
      </c>
      <c r="N570" s="74"/>
      <c r="O570" s="75">
        <v>454.53749999999997</v>
      </c>
      <c r="P570" s="75"/>
      <c r="Q570" s="76">
        <v>0.40186453262932104</v>
      </c>
      <c r="R570" s="76"/>
      <c r="S570" s="31"/>
      <c r="T570" s="31"/>
      <c r="U570" s="76"/>
      <c r="V570" s="76"/>
      <c r="W570" s="76"/>
      <c r="X570" s="76"/>
      <c r="Y570" s="76">
        <v>-6.1665452779800956E-2</v>
      </c>
      <c r="Z570" s="76">
        <v>-6.1565523306948089E-2</v>
      </c>
      <c r="AA570" s="76">
        <v>0.60000000000000009</v>
      </c>
      <c r="AB570" s="76">
        <v>0.60000176003273653</v>
      </c>
      <c r="AC570" s="76">
        <v>1.1000204602762409E-6</v>
      </c>
      <c r="AD570" s="142"/>
      <c r="AE570" s="142"/>
      <c r="AF570" s="142"/>
    </row>
    <row r="571" spans="1:32" x14ac:dyDescent="0.35">
      <c r="A571" s="138" t="s">
        <v>851</v>
      </c>
      <c r="B571" s="138"/>
      <c r="C571" s="127">
        <v>4773</v>
      </c>
      <c r="D571" s="127">
        <v>3609</v>
      </c>
      <c r="E571" s="126">
        <v>5615</v>
      </c>
      <c r="F571" s="127">
        <v>4446</v>
      </c>
      <c r="G571" s="127">
        <v>2443841.499999973</v>
      </c>
      <c r="H571" s="127">
        <v>2098331.2200000202</v>
      </c>
      <c r="I571" s="126">
        <v>1512046.3300000185</v>
      </c>
      <c r="J571" s="126">
        <v>978514.20000001416</v>
      </c>
      <c r="K571" s="127">
        <v>48934.714285714283</v>
      </c>
      <c r="L571" s="127">
        <v>73938</v>
      </c>
      <c r="M571" s="140">
        <v>8.7149980918458212</v>
      </c>
      <c r="N571" s="140">
        <v>16.786264098777842</v>
      </c>
      <c r="O571" s="139">
        <v>435.23446126446538</v>
      </c>
      <c r="P571" s="139">
        <v>471.95933873144855</v>
      </c>
      <c r="Q571" s="141">
        <v>0.61871701990494687</v>
      </c>
      <c r="R571" s="141">
        <v>0.45708996720580292</v>
      </c>
      <c r="S571" s="127">
        <v>12446.857142857143</v>
      </c>
      <c r="T571" s="127"/>
      <c r="U571" s="141">
        <v>-0.36403086756085212</v>
      </c>
      <c r="V571" s="141">
        <v>0.20782726045883937</v>
      </c>
      <c r="W571" s="141">
        <v>0.11611991837967017</v>
      </c>
      <c r="X571" s="141">
        <v>0.51024226014930196</v>
      </c>
      <c r="Y571" s="141">
        <v>0.24628098939622878</v>
      </c>
      <c r="Z571" s="141">
        <v>0.23522157273550093</v>
      </c>
      <c r="AA571" s="141">
        <v>0.15179487179487183</v>
      </c>
      <c r="AB571" s="141">
        <v>0.34022673906339795</v>
      </c>
      <c r="AC571" s="141">
        <v>0.1635984600060667</v>
      </c>
      <c r="AD571" s="143">
        <v>-0.36390889054631315</v>
      </c>
      <c r="AE571" s="143">
        <v>-0.20555369196709236</v>
      </c>
      <c r="AF571" s="143">
        <v>9.4047880275239415E-2</v>
      </c>
    </row>
    <row r="572" spans="1:32" x14ac:dyDescent="0.35">
      <c r="A572" t="s">
        <v>201</v>
      </c>
      <c r="B572" t="s">
        <v>799</v>
      </c>
      <c r="C572" s="31">
        <v>57</v>
      </c>
      <c r="D572" s="31"/>
      <c r="E572" s="72">
        <v>61</v>
      </c>
      <c r="F572" s="31"/>
      <c r="G572" s="73">
        <v>500343.2099999999</v>
      </c>
      <c r="H572" s="31"/>
      <c r="I572" s="72">
        <v>140502.5400000001</v>
      </c>
      <c r="J572" s="72"/>
      <c r="K572" s="31">
        <v>796.57142857142856</v>
      </c>
      <c r="L572" s="31"/>
      <c r="M572" s="74">
        <v>13.058548009367682</v>
      </c>
      <c r="N572" s="74"/>
      <c r="O572" s="75">
        <v>8202.347704918031</v>
      </c>
      <c r="P572" s="75"/>
      <c r="Q572" s="76">
        <v>0.28081232480400825</v>
      </c>
      <c r="R572" s="76"/>
      <c r="S572" s="31">
        <v>264.71428571428572</v>
      </c>
      <c r="T572" s="31"/>
      <c r="U572" s="76"/>
      <c r="V572" s="76"/>
      <c r="W572" s="76"/>
      <c r="X572" s="76"/>
      <c r="Y572" s="76">
        <v>-0.18001495123089983</v>
      </c>
      <c r="Z572" s="76">
        <v>-6.8804275217100863E-2</v>
      </c>
      <c r="AA572" s="76">
        <v>-0.28235294117647058</v>
      </c>
      <c r="AB572" s="76">
        <v>-0.43154930858881868</v>
      </c>
      <c r="AC572" s="76">
        <v>-0.20789657754179658</v>
      </c>
      <c r="AD572" s="142"/>
      <c r="AE572" s="142"/>
      <c r="AF572" s="142"/>
    </row>
    <row r="573" spans="1:32" x14ac:dyDescent="0.35">
      <c r="A573" t="s">
        <v>201</v>
      </c>
      <c r="B573" t="s">
        <v>800</v>
      </c>
      <c r="C573" s="31">
        <v>140</v>
      </c>
      <c r="D573" s="31"/>
      <c r="E573" s="72">
        <v>141</v>
      </c>
      <c r="F573" s="31"/>
      <c r="G573" s="73">
        <v>442895.74000000017</v>
      </c>
      <c r="H573" s="31"/>
      <c r="I573" s="72">
        <v>66862.390000000087</v>
      </c>
      <c r="J573" s="72"/>
      <c r="K573" s="31">
        <v>3051.4285714285716</v>
      </c>
      <c r="L573" s="31"/>
      <c r="M573" s="74">
        <v>21.64133738601824</v>
      </c>
      <c r="N573" s="74"/>
      <c r="O573" s="75">
        <v>3141.1045390070935</v>
      </c>
      <c r="P573" s="75"/>
      <c r="Q573" s="76">
        <v>0.15096643286747363</v>
      </c>
      <c r="R573" s="76"/>
      <c r="S573" s="31">
        <v>2</v>
      </c>
      <c r="T573" s="31"/>
      <c r="U573" s="76"/>
      <c r="V573" s="76"/>
      <c r="W573" s="76"/>
      <c r="X573" s="76"/>
      <c r="Y573" s="76">
        <v>-5.1878343803222982E-2</v>
      </c>
      <c r="Z573" s="76">
        <v>-6.2211880405672271E-2</v>
      </c>
      <c r="AA573" s="76">
        <v>0.13709677419354849</v>
      </c>
      <c r="AB573" s="76">
        <v>0.19433011067844164</v>
      </c>
      <c r="AC573" s="76">
        <v>5.0332863291679297E-2</v>
      </c>
      <c r="AD573" s="142"/>
      <c r="AE573" s="142"/>
      <c r="AF573" s="142"/>
    </row>
    <row r="574" spans="1:32" x14ac:dyDescent="0.35">
      <c r="A574" t="s">
        <v>201</v>
      </c>
      <c r="B574" t="s">
        <v>805</v>
      </c>
      <c r="C574" s="31">
        <v>12</v>
      </c>
      <c r="D574" s="31"/>
      <c r="E574" s="72">
        <v>12</v>
      </c>
      <c r="F574" s="31"/>
      <c r="G574" s="73">
        <v>254159.13999999996</v>
      </c>
      <c r="H574" s="31"/>
      <c r="I574" s="72">
        <v>-48938.69</v>
      </c>
      <c r="J574" s="72"/>
      <c r="K574" s="31">
        <v>351.28571428571428</v>
      </c>
      <c r="L574" s="31"/>
      <c r="M574" s="74">
        <v>29.273809523809522</v>
      </c>
      <c r="N574" s="74"/>
      <c r="O574" s="75">
        <v>21179.92833333333</v>
      </c>
      <c r="P574" s="75"/>
      <c r="Q574" s="76">
        <v>-0.19255136761951591</v>
      </c>
      <c r="R574" s="76"/>
      <c r="S574" s="31"/>
      <c r="T574" s="31"/>
      <c r="U574" s="76"/>
      <c r="V574" s="76"/>
      <c r="W574" s="76"/>
      <c r="X574" s="76"/>
      <c r="Y574" s="76">
        <v>-1.3990744310103942E-2</v>
      </c>
      <c r="Z574" s="76">
        <v>-1.3638186923385587E-2</v>
      </c>
      <c r="AA574" s="76"/>
      <c r="AB574" s="76">
        <v>29.499108999643589</v>
      </c>
      <c r="AC574" s="76"/>
      <c r="AD574" s="142"/>
      <c r="AE574" s="142"/>
      <c r="AF574" s="142"/>
    </row>
    <row r="575" spans="1:32" x14ac:dyDescent="0.35">
      <c r="A575" t="s">
        <v>201</v>
      </c>
      <c r="B575" t="s">
        <v>801</v>
      </c>
      <c r="C575" s="31">
        <v>13</v>
      </c>
      <c r="D575" s="31"/>
      <c r="E575" s="72">
        <v>13</v>
      </c>
      <c r="F575" s="31"/>
      <c r="G575" s="73">
        <v>208990.79999999993</v>
      </c>
      <c r="H575" s="31"/>
      <c r="I575" s="72">
        <v>-28551.13</v>
      </c>
      <c r="J575" s="72"/>
      <c r="K575" s="31">
        <v>323.71428571428572</v>
      </c>
      <c r="L575" s="31"/>
      <c r="M575" s="74">
        <v>24.901098901098901</v>
      </c>
      <c r="N575" s="74"/>
      <c r="O575" s="75">
        <v>16076.21538461538</v>
      </c>
      <c r="P575" s="75"/>
      <c r="Q575" s="76">
        <v>-0.13661429115540019</v>
      </c>
      <c r="R575" s="76"/>
      <c r="S575" s="31">
        <v>2</v>
      </c>
      <c r="T575" s="31"/>
      <c r="U575" s="76"/>
      <c r="V575" s="76"/>
      <c r="W575" s="76"/>
      <c r="X575" s="76"/>
      <c r="Y575" s="76">
        <v>-2.6542551259642111E-2</v>
      </c>
      <c r="Z575" s="76">
        <v>-2.3696682464454888E-2</v>
      </c>
      <c r="AA575" s="76">
        <v>1.6</v>
      </c>
      <c r="AB575" s="76">
        <v>1.8178552561785875</v>
      </c>
      <c r="AC575" s="76">
        <v>8.3790483145610661E-2</v>
      </c>
      <c r="AD575" s="142"/>
      <c r="AE575" s="142"/>
      <c r="AF575" s="142"/>
    </row>
    <row r="576" spans="1:32" x14ac:dyDescent="0.35">
      <c r="A576" t="s">
        <v>201</v>
      </c>
      <c r="B576" t="s">
        <v>755</v>
      </c>
      <c r="C576" s="31">
        <v>323</v>
      </c>
      <c r="D576" s="31"/>
      <c r="E576" s="72">
        <v>424</v>
      </c>
      <c r="F576" s="31"/>
      <c r="G576" s="73">
        <v>152824.01000000114</v>
      </c>
      <c r="H576" s="31"/>
      <c r="I576" s="72">
        <v>56814.670000000078</v>
      </c>
      <c r="J576" s="72"/>
      <c r="K576" s="31">
        <v>5470.5714285714284</v>
      </c>
      <c r="L576" s="31">
        <v>7</v>
      </c>
      <c r="M576" s="74">
        <v>12.902291105121293</v>
      </c>
      <c r="N576" s="74"/>
      <c r="O576" s="75">
        <v>360.4339858490593</v>
      </c>
      <c r="P576" s="75"/>
      <c r="Q576" s="76">
        <v>0.3717653397525667</v>
      </c>
      <c r="R576" s="76"/>
      <c r="S576" s="31">
        <v>473.42857142857144</v>
      </c>
      <c r="T576" s="31"/>
      <c r="U576" s="76">
        <v>704.57142857142856</v>
      </c>
      <c r="V576" s="76"/>
      <c r="W576" s="76"/>
      <c r="X576" s="76"/>
      <c r="Y576" s="76">
        <v>-7.3699125594224757E-2</v>
      </c>
      <c r="Z576" s="76">
        <v>-7.9581781035933163E-2</v>
      </c>
      <c r="AA576" s="76">
        <v>-0.12215320910973082</v>
      </c>
      <c r="AB576" s="76">
        <v>-0.19389893186234664</v>
      </c>
      <c r="AC576" s="76">
        <v>-8.1729207758286293E-2</v>
      </c>
      <c r="AD576" s="142"/>
      <c r="AE576" s="142"/>
      <c r="AF576" s="142"/>
    </row>
    <row r="577" spans="1:32" x14ac:dyDescent="0.35">
      <c r="A577" t="s">
        <v>201</v>
      </c>
      <c r="B577" t="s">
        <v>802</v>
      </c>
      <c r="C577" s="31">
        <v>17</v>
      </c>
      <c r="D577" s="31"/>
      <c r="E577" s="72">
        <v>17</v>
      </c>
      <c r="F577" s="31"/>
      <c r="G577" s="73">
        <v>104987.47</v>
      </c>
      <c r="H577" s="31"/>
      <c r="I577" s="72">
        <v>-17439.48</v>
      </c>
      <c r="J577" s="72"/>
      <c r="K577" s="31">
        <v>293.42857142857144</v>
      </c>
      <c r="L577" s="31"/>
      <c r="M577" s="74">
        <v>17.260504201680675</v>
      </c>
      <c r="N577" s="74"/>
      <c r="O577" s="75">
        <v>6175.7335294117647</v>
      </c>
      <c r="P577" s="75"/>
      <c r="Q577" s="76">
        <v>-0.16611010818719604</v>
      </c>
      <c r="R577" s="76"/>
      <c r="S577" s="31"/>
      <c r="T577" s="31"/>
      <c r="U577" s="76"/>
      <c r="V577" s="76"/>
      <c r="W577" s="76"/>
      <c r="X577" s="76"/>
      <c r="Y577" s="76">
        <v>-3.5228722833400172E-2</v>
      </c>
      <c r="Z577" s="76">
        <v>-3.9289055191767952E-2</v>
      </c>
      <c r="AA577" s="76">
        <v>0.54545454545454541</v>
      </c>
      <c r="AB577" s="76">
        <v>0.2113948164575512</v>
      </c>
      <c r="AC577" s="76">
        <v>-0.21615629523334923</v>
      </c>
      <c r="AD577" s="142"/>
      <c r="AE577" s="142"/>
      <c r="AF577" s="142"/>
    </row>
    <row r="578" spans="1:32" x14ac:dyDescent="0.35">
      <c r="A578" t="s">
        <v>201</v>
      </c>
      <c r="B578" t="s">
        <v>806</v>
      </c>
      <c r="C578" s="31">
        <v>8</v>
      </c>
      <c r="D578" s="31"/>
      <c r="E578" s="72">
        <v>8</v>
      </c>
      <c r="F578" s="31"/>
      <c r="G578" s="73">
        <v>81482.399999999994</v>
      </c>
      <c r="H578" s="31"/>
      <c r="I578" s="72">
        <v>31089.300000000003</v>
      </c>
      <c r="J578" s="72"/>
      <c r="K578" s="31">
        <v>174.28571428571428</v>
      </c>
      <c r="L578" s="31"/>
      <c r="M578" s="74">
        <v>21.785714285714285</v>
      </c>
      <c r="N578" s="74"/>
      <c r="O578" s="75">
        <v>10185.299999999999</v>
      </c>
      <c r="P578" s="75"/>
      <c r="Q578" s="76">
        <v>0.38154619893375752</v>
      </c>
      <c r="R578" s="76"/>
      <c r="S578" s="31">
        <v>161.42857142857142</v>
      </c>
      <c r="T578" s="31"/>
      <c r="U578" s="76"/>
      <c r="V578" s="76"/>
      <c r="W578" s="76"/>
      <c r="X578" s="76"/>
      <c r="Y578" s="76">
        <v>2.4161750195095255E-3</v>
      </c>
      <c r="Z578" s="76">
        <v>1.6666666666666607E-2</v>
      </c>
      <c r="AA578" s="76">
        <v>0.60000000000000009</v>
      </c>
      <c r="AB578" s="76">
        <v>0.56396341339356626</v>
      </c>
      <c r="AC578" s="76">
        <v>-2.2522866629021032E-2</v>
      </c>
      <c r="AD578" s="142"/>
      <c r="AE578" s="142"/>
      <c r="AF578" s="142"/>
    </row>
    <row r="579" spans="1:32" x14ac:dyDescent="0.35">
      <c r="A579" t="s">
        <v>201</v>
      </c>
      <c r="B579" t="s">
        <v>803</v>
      </c>
      <c r="C579" s="31">
        <v>3</v>
      </c>
      <c r="D579" s="31"/>
      <c r="E579" s="72">
        <v>3</v>
      </c>
      <c r="F579" s="31"/>
      <c r="G579" s="73">
        <v>48330.84</v>
      </c>
      <c r="H579" s="31"/>
      <c r="I579" s="72">
        <v>-13251.65</v>
      </c>
      <c r="J579" s="72"/>
      <c r="K579" s="31">
        <v>251.14285714285714</v>
      </c>
      <c r="L579" s="31"/>
      <c r="M579" s="74">
        <v>83.714285714285708</v>
      </c>
      <c r="N579" s="74"/>
      <c r="O579" s="75">
        <v>16110.279999999999</v>
      </c>
      <c r="P579" s="75"/>
      <c r="Q579" s="76">
        <v>-0.27418621319223918</v>
      </c>
      <c r="R579" s="76"/>
      <c r="S579" s="31">
        <v>1</v>
      </c>
      <c r="T579" s="31"/>
      <c r="U579" s="76"/>
      <c r="V579" s="76"/>
      <c r="W579" s="76"/>
      <c r="X579" s="76"/>
      <c r="Y579" s="76">
        <v>-8.8899109025134537E-3</v>
      </c>
      <c r="Z579" s="76">
        <v>-9.5774647887324482E-3</v>
      </c>
      <c r="AA579" s="76">
        <v>-0.25</v>
      </c>
      <c r="AB579" s="76">
        <v>-0.24679179087451053</v>
      </c>
      <c r="AC579" s="76">
        <v>4.2776121673193668E-3</v>
      </c>
      <c r="AD579" s="142"/>
      <c r="AE579" s="142"/>
      <c r="AF579" s="142"/>
    </row>
    <row r="580" spans="1:32" x14ac:dyDescent="0.35">
      <c r="A580" t="s">
        <v>201</v>
      </c>
      <c r="B580" t="s">
        <v>807</v>
      </c>
      <c r="C580" s="31">
        <v>14</v>
      </c>
      <c r="D580" s="31"/>
      <c r="E580" s="72">
        <v>15</v>
      </c>
      <c r="F580" s="31"/>
      <c r="G580" s="73">
        <v>41596.19</v>
      </c>
      <c r="H580" s="31"/>
      <c r="I580" s="72">
        <v>1614.6100000000004</v>
      </c>
      <c r="J580" s="72"/>
      <c r="K580" s="31">
        <v>291.28571428571428</v>
      </c>
      <c r="L580" s="31"/>
      <c r="M580" s="74">
        <v>19.419047619047618</v>
      </c>
      <c r="N580" s="74"/>
      <c r="O580" s="75">
        <v>2773.0793333333336</v>
      </c>
      <c r="P580" s="75"/>
      <c r="Q580" s="76">
        <v>3.881629543475016E-2</v>
      </c>
      <c r="R580" s="76"/>
      <c r="S580" s="31">
        <v>1</v>
      </c>
      <c r="T580" s="31"/>
      <c r="U580" s="76"/>
      <c r="V580" s="76"/>
      <c r="W580" s="76"/>
      <c r="X580" s="76"/>
      <c r="Y580" s="76">
        <v>-3.8662660143631955E-2</v>
      </c>
      <c r="Z580" s="76">
        <v>-4.0921919096895576E-2</v>
      </c>
      <c r="AA580" s="76">
        <v>0.5</v>
      </c>
      <c r="AB580" s="76">
        <v>0.40607187984015325</v>
      </c>
      <c r="AC580" s="76">
        <v>-6.2618746773231204E-2</v>
      </c>
      <c r="AD580" s="142"/>
      <c r="AE580" s="142"/>
      <c r="AF580" s="142"/>
    </row>
    <row r="581" spans="1:32" x14ac:dyDescent="0.35">
      <c r="A581" t="s">
        <v>201</v>
      </c>
      <c r="B581" t="s">
        <v>804</v>
      </c>
      <c r="C581" s="31">
        <v>18</v>
      </c>
      <c r="D581" s="31"/>
      <c r="E581" s="72">
        <v>22</v>
      </c>
      <c r="F581" s="31"/>
      <c r="G581" s="73">
        <v>38999.80000000001</v>
      </c>
      <c r="H581" s="31"/>
      <c r="I581" s="72">
        <v>13204.39</v>
      </c>
      <c r="J581" s="72"/>
      <c r="K581" s="31">
        <v>458.71428571428572</v>
      </c>
      <c r="L581" s="31"/>
      <c r="M581" s="74">
        <v>20.850649350649352</v>
      </c>
      <c r="N581" s="74"/>
      <c r="O581" s="75">
        <v>1772.7181818181823</v>
      </c>
      <c r="P581" s="75"/>
      <c r="Q581" s="76">
        <v>0.33857583885045556</v>
      </c>
      <c r="R581" s="76"/>
      <c r="S581" s="31">
        <v>84.571428571428569</v>
      </c>
      <c r="T581" s="31"/>
      <c r="U581" s="76"/>
      <c r="V581" s="76"/>
      <c r="W581" s="76"/>
      <c r="X581" s="76"/>
      <c r="Y581" s="76">
        <v>-4.1663434658931742E-3</v>
      </c>
      <c r="Z581" s="76">
        <v>2.1847690387015728E-3</v>
      </c>
      <c r="AA581" s="76">
        <v>-0.18518518518518523</v>
      </c>
      <c r="AB581" s="76">
        <v>-0.1818188302634598</v>
      </c>
      <c r="AC581" s="76">
        <v>4.1314355857540175E-3</v>
      </c>
      <c r="AD581" s="142"/>
      <c r="AE581" s="142"/>
      <c r="AF581" s="142"/>
    </row>
    <row r="582" spans="1:32" x14ac:dyDescent="0.35">
      <c r="A582" t="s">
        <v>201</v>
      </c>
      <c r="B582" t="s">
        <v>809</v>
      </c>
      <c r="C582" s="31">
        <v>53</v>
      </c>
      <c r="D582" s="31"/>
      <c r="E582" s="72">
        <v>74</v>
      </c>
      <c r="F582" s="31"/>
      <c r="G582" s="73">
        <v>24249.499999999993</v>
      </c>
      <c r="H582" s="31"/>
      <c r="I582" s="72">
        <v>8124.0399999999945</v>
      </c>
      <c r="J582" s="72"/>
      <c r="K582" s="31">
        <v>1216</v>
      </c>
      <c r="L582" s="31"/>
      <c r="M582" s="74">
        <v>16.432432432432432</v>
      </c>
      <c r="N582" s="74"/>
      <c r="O582" s="75">
        <v>327.69594594594582</v>
      </c>
      <c r="P582" s="75"/>
      <c r="Q582" s="76">
        <v>0.33501886636837858</v>
      </c>
      <c r="R582" s="76"/>
      <c r="S582" s="31"/>
      <c r="T582" s="31"/>
      <c r="U582" s="76"/>
      <c r="V582" s="76"/>
      <c r="W582" s="76"/>
      <c r="X582" s="76"/>
      <c r="Y582" s="76">
        <v>-5.5051778584609745E-2</v>
      </c>
      <c r="Z582" s="76">
        <v>-5.4012002667259362E-2</v>
      </c>
      <c r="AA582" s="76">
        <v>0.34545454545454546</v>
      </c>
      <c r="AB582" s="76">
        <v>0.3408811291281324</v>
      </c>
      <c r="AC582" s="76">
        <v>-3.39916078314495E-3</v>
      </c>
      <c r="AD582" s="142"/>
      <c r="AE582" s="142"/>
      <c r="AF582" s="142"/>
    </row>
    <row r="583" spans="1:32" x14ac:dyDescent="0.35">
      <c r="A583" t="s">
        <v>201</v>
      </c>
      <c r="B583" t="s">
        <v>808</v>
      </c>
      <c r="C583" s="31">
        <v>4</v>
      </c>
      <c r="D583" s="31"/>
      <c r="E583" s="72">
        <v>4</v>
      </c>
      <c r="F583" s="31"/>
      <c r="G583" s="73">
        <v>14158.3</v>
      </c>
      <c r="H583" s="31"/>
      <c r="I583" s="72">
        <v>2300.25</v>
      </c>
      <c r="J583" s="72"/>
      <c r="K583" s="31">
        <v>255.85714285714286</v>
      </c>
      <c r="L583" s="31"/>
      <c r="M583" s="74">
        <v>63.964285714285715</v>
      </c>
      <c r="N583" s="74"/>
      <c r="O583" s="75">
        <v>3539.5749999999998</v>
      </c>
      <c r="P583" s="75"/>
      <c r="Q583" s="76">
        <v>0.16246653906189304</v>
      </c>
      <c r="R583" s="76"/>
      <c r="S583" s="31">
        <v>14.428571428571429</v>
      </c>
      <c r="T583" s="31"/>
      <c r="U583" s="76"/>
      <c r="V583" s="76"/>
      <c r="W583" s="76"/>
      <c r="X583" s="76"/>
      <c r="Y583" s="76">
        <v>-2.6260381576196146E-2</v>
      </c>
      <c r="Z583" s="76">
        <v>-2.450980392156854E-2</v>
      </c>
      <c r="AA583" s="76">
        <v>-0.4285714285714286</v>
      </c>
      <c r="AB583" s="76">
        <v>-0.38218093624790439</v>
      </c>
      <c r="AC583" s="76">
        <v>8.1183361566167456E-2</v>
      </c>
      <c r="AD583" s="142"/>
      <c r="AE583" s="142"/>
      <c r="AF583" s="142"/>
    </row>
    <row r="584" spans="1:32" x14ac:dyDescent="0.35">
      <c r="A584" t="s">
        <v>201</v>
      </c>
      <c r="B584" t="s">
        <v>812</v>
      </c>
      <c r="C584" s="31">
        <v>10</v>
      </c>
      <c r="D584" s="31"/>
      <c r="E584" s="72">
        <v>14</v>
      </c>
      <c r="F584" s="31"/>
      <c r="G584" s="73">
        <v>13061.57</v>
      </c>
      <c r="H584" s="31"/>
      <c r="I584" s="72">
        <v>6276.13</v>
      </c>
      <c r="J584" s="72"/>
      <c r="K584" s="31">
        <v>224.14285714285714</v>
      </c>
      <c r="L584" s="31"/>
      <c r="M584" s="74">
        <v>16.010204081632654</v>
      </c>
      <c r="N584" s="74"/>
      <c r="O584" s="75">
        <v>932.96928571428566</v>
      </c>
      <c r="P584" s="75"/>
      <c r="Q584" s="76">
        <v>0.4805034923060551</v>
      </c>
      <c r="R584" s="76"/>
      <c r="S584" s="31"/>
      <c r="T584" s="31"/>
      <c r="U584" s="76"/>
      <c r="V584" s="76"/>
      <c r="W584" s="76"/>
      <c r="X584" s="76"/>
      <c r="Y584" s="76">
        <v>5.8345547884197657E-5</v>
      </c>
      <c r="Z584" s="76">
        <v>-3.5648432698217491E-2</v>
      </c>
      <c r="AA584" s="76">
        <v>0.39999999999999991</v>
      </c>
      <c r="AB584" s="76">
        <v>0.20475850078170765</v>
      </c>
      <c r="AC584" s="76">
        <v>-0.13945821372735179</v>
      </c>
      <c r="AD584" s="142"/>
      <c r="AE584" s="142"/>
      <c r="AF584" s="142"/>
    </row>
    <row r="585" spans="1:32" x14ac:dyDescent="0.35">
      <c r="A585" t="s">
        <v>201</v>
      </c>
      <c r="B585" t="s">
        <v>810</v>
      </c>
      <c r="C585" s="31">
        <v>5</v>
      </c>
      <c r="D585" s="31"/>
      <c r="E585" s="72">
        <v>6</v>
      </c>
      <c r="F585" s="31"/>
      <c r="G585" s="73">
        <v>11699.94</v>
      </c>
      <c r="H585" s="31"/>
      <c r="I585" s="72">
        <v>5315.53</v>
      </c>
      <c r="J585" s="72"/>
      <c r="K585" s="31">
        <v>78.857142857142861</v>
      </c>
      <c r="L585" s="31"/>
      <c r="M585" s="74">
        <v>13.142857142857144</v>
      </c>
      <c r="N585" s="74"/>
      <c r="O585" s="75">
        <v>1949.99</v>
      </c>
      <c r="P585" s="75"/>
      <c r="Q585" s="76">
        <v>0.4543211332707689</v>
      </c>
      <c r="R585" s="76"/>
      <c r="S585" s="31"/>
      <c r="T585" s="31"/>
      <c r="U585" s="76"/>
      <c r="V585" s="76"/>
      <c r="W585" s="76"/>
      <c r="X585" s="76"/>
      <c r="Y585" s="76">
        <v>0.11162942231342265</v>
      </c>
      <c r="Z585" s="76">
        <v>0.11290322580645151</v>
      </c>
      <c r="AA585" s="76">
        <v>0</v>
      </c>
      <c r="AB585" s="76">
        <v>1.0072285287315408E-2</v>
      </c>
      <c r="AC585" s="76">
        <v>1.0072285287315408E-2</v>
      </c>
      <c r="AD585" s="142"/>
      <c r="AE585" s="142"/>
      <c r="AF585" s="142"/>
    </row>
    <row r="586" spans="1:32" x14ac:dyDescent="0.35">
      <c r="A586" t="s">
        <v>201</v>
      </c>
      <c r="B586" t="s">
        <v>813</v>
      </c>
      <c r="C586" s="31">
        <v>10</v>
      </c>
      <c r="D586" s="31"/>
      <c r="E586" s="72">
        <v>10</v>
      </c>
      <c r="F586" s="31"/>
      <c r="G586" s="73">
        <v>10499.869999999999</v>
      </c>
      <c r="H586" s="31"/>
      <c r="I586" s="72">
        <v>3505.4700000000003</v>
      </c>
      <c r="J586" s="72"/>
      <c r="K586" s="31">
        <v>117.14285714285714</v>
      </c>
      <c r="L586" s="31"/>
      <c r="M586" s="74">
        <v>11.714285714285714</v>
      </c>
      <c r="N586" s="74"/>
      <c r="O586" s="75">
        <v>1049.9869999999999</v>
      </c>
      <c r="P586" s="75"/>
      <c r="Q586" s="76">
        <v>0.33385841919947584</v>
      </c>
      <c r="R586" s="76"/>
      <c r="S586" s="31">
        <v>91</v>
      </c>
      <c r="T586" s="31"/>
      <c r="U586" s="76"/>
      <c r="V586" s="76"/>
      <c r="W586" s="76"/>
      <c r="X586" s="76"/>
      <c r="Y586" s="76">
        <v>7.1895424836601274E-2</v>
      </c>
      <c r="Z586" s="76">
        <v>7.1895424836601274E-2</v>
      </c>
      <c r="AA586" s="76">
        <v>0.11111111111111116</v>
      </c>
      <c r="AB586" s="76">
        <v>0.11111028805626311</v>
      </c>
      <c r="AC586" s="76">
        <v>-7.4074936318169193E-7</v>
      </c>
      <c r="AD586" s="142"/>
      <c r="AE586" s="142"/>
      <c r="AF586" s="142"/>
    </row>
    <row r="587" spans="1:32" x14ac:dyDescent="0.35">
      <c r="A587" t="s">
        <v>201</v>
      </c>
      <c r="B587" t="s">
        <v>822</v>
      </c>
      <c r="C587" s="31">
        <v>2</v>
      </c>
      <c r="D587" s="31"/>
      <c r="E587" s="72">
        <v>2</v>
      </c>
      <c r="F587" s="31"/>
      <c r="G587" s="73">
        <v>9983.32</v>
      </c>
      <c r="H587" s="31"/>
      <c r="I587" s="72">
        <v>3493.32</v>
      </c>
      <c r="J587" s="72"/>
      <c r="K587" s="31">
        <v>39.714285714285715</v>
      </c>
      <c r="L587" s="31"/>
      <c r="M587" s="74">
        <v>19.857142857142858</v>
      </c>
      <c r="N587" s="74"/>
      <c r="O587" s="75">
        <v>4991.66</v>
      </c>
      <c r="P587" s="75"/>
      <c r="Q587" s="76">
        <v>0.34991565931974539</v>
      </c>
      <c r="R587" s="76"/>
      <c r="S587" s="31"/>
      <c r="T587" s="31"/>
      <c r="U587" s="76"/>
      <c r="V587" s="76"/>
      <c r="W587" s="76"/>
      <c r="X587" s="76"/>
      <c r="Y587" s="76">
        <v>1.6289102601397598E-2</v>
      </c>
      <c r="Z587" s="76">
        <v>1.0909090909090979E-2</v>
      </c>
      <c r="AA587" s="76"/>
      <c r="AB587" s="76"/>
      <c r="AC587" s="76"/>
      <c r="AD587" s="142"/>
      <c r="AE587" s="142"/>
      <c r="AF587" s="142"/>
    </row>
    <row r="588" spans="1:32" x14ac:dyDescent="0.35">
      <c r="A588" t="s">
        <v>201</v>
      </c>
      <c r="B588" t="s">
        <v>811</v>
      </c>
      <c r="C588" s="31">
        <v>2</v>
      </c>
      <c r="D588" s="31"/>
      <c r="E588" s="72">
        <v>2</v>
      </c>
      <c r="F588" s="31"/>
      <c r="G588" s="73">
        <v>5415.83</v>
      </c>
      <c r="H588" s="31"/>
      <c r="I588" s="72">
        <v>1625.33</v>
      </c>
      <c r="J588" s="72"/>
      <c r="K588" s="31">
        <v>106</v>
      </c>
      <c r="L588" s="31"/>
      <c r="M588" s="74">
        <v>53</v>
      </c>
      <c r="N588" s="74"/>
      <c r="O588" s="75">
        <v>2707.915</v>
      </c>
      <c r="P588" s="75"/>
      <c r="Q588" s="76">
        <v>0.30010727810880328</v>
      </c>
      <c r="R588" s="76"/>
      <c r="S588" s="31"/>
      <c r="T588" s="31"/>
      <c r="U588" s="76"/>
      <c r="V588" s="76"/>
      <c r="W588" s="76"/>
      <c r="X588" s="76"/>
      <c r="Y588" s="76">
        <v>-4.0154396377905743E-2</v>
      </c>
      <c r="Z588" s="76">
        <v>-3.8860103626943032E-2</v>
      </c>
      <c r="AA588" s="76">
        <v>-0.5</v>
      </c>
      <c r="AB588" s="76">
        <v>-0.52902344955931524</v>
      </c>
      <c r="AC588" s="76">
        <v>-5.8046899118630479E-2</v>
      </c>
      <c r="AD588" s="142"/>
      <c r="AE588" s="142"/>
      <c r="AF588" s="142"/>
    </row>
    <row r="589" spans="1:32" x14ac:dyDescent="0.35">
      <c r="A589" t="s">
        <v>201</v>
      </c>
      <c r="B589" t="s">
        <v>814</v>
      </c>
      <c r="C589" s="31">
        <v>1</v>
      </c>
      <c r="D589" s="31"/>
      <c r="E589" s="72">
        <v>1</v>
      </c>
      <c r="F589" s="31"/>
      <c r="G589" s="73">
        <v>4158.32</v>
      </c>
      <c r="H589" s="31"/>
      <c r="I589" s="72">
        <v>1455.32</v>
      </c>
      <c r="J589" s="72"/>
      <c r="K589" s="31">
        <v>50</v>
      </c>
      <c r="L589" s="31"/>
      <c r="M589" s="74">
        <v>50</v>
      </c>
      <c r="N589" s="74"/>
      <c r="O589" s="75">
        <v>4158.32</v>
      </c>
      <c r="P589" s="75"/>
      <c r="Q589" s="76">
        <v>0.34997787568056332</v>
      </c>
      <c r="R589" s="76"/>
      <c r="S589" s="31"/>
      <c r="T589" s="31"/>
      <c r="U589" s="76"/>
      <c r="V589" s="76"/>
      <c r="W589" s="76"/>
      <c r="X589" s="76"/>
      <c r="Y589" s="76">
        <v>3.0712019324825146E-2</v>
      </c>
      <c r="Z589" s="76">
        <v>3.2448377581120846E-2</v>
      </c>
      <c r="AA589" s="76"/>
      <c r="AB589" s="76"/>
      <c r="AC589" s="76"/>
      <c r="AD589" s="142"/>
      <c r="AE589" s="142"/>
      <c r="AF589" s="142"/>
    </row>
    <row r="590" spans="1:32" x14ac:dyDescent="0.35">
      <c r="A590" t="s">
        <v>201</v>
      </c>
      <c r="B590" t="s">
        <v>815</v>
      </c>
      <c r="C590" s="31">
        <v>1</v>
      </c>
      <c r="D590" s="31"/>
      <c r="E590" s="72">
        <v>1</v>
      </c>
      <c r="F590" s="31"/>
      <c r="G590" s="73">
        <v>2491.66</v>
      </c>
      <c r="H590" s="31"/>
      <c r="I590" s="72">
        <v>547.08000000000004</v>
      </c>
      <c r="J590" s="72"/>
      <c r="K590" s="31">
        <v>6</v>
      </c>
      <c r="L590" s="31"/>
      <c r="M590" s="74">
        <v>6</v>
      </c>
      <c r="N590" s="74"/>
      <c r="O590" s="75">
        <v>2491.66</v>
      </c>
      <c r="P590" s="75"/>
      <c r="Q590" s="76">
        <v>0.21956446706211927</v>
      </c>
      <c r="R590" s="76"/>
      <c r="S590" s="31"/>
      <c r="T590" s="31"/>
      <c r="U590" s="76"/>
      <c r="V590" s="76"/>
      <c r="W590" s="76"/>
      <c r="X590" s="76"/>
      <c r="Y590" s="76">
        <v>-0.1445384711185268</v>
      </c>
      <c r="Z590" s="76">
        <v>-0.1428571428571429</v>
      </c>
      <c r="AA590" s="76"/>
      <c r="AB590" s="76"/>
      <c r="AC590" s="76"/>
      <c r="AD590" s="142"/>
      <c r="AE590" s="142"/>
      <c r="AF590" s="142"/>
    </row>
    <row r="591" spans="1:32" x14ac:dyDescent="0.35">
      <c r="A591" t="s">
        <v>201</v>
      </c>
      <c r="B591" t="s">
        <v>816</v>
      </c>
      <c r="C591" s="31">
        <v>6</v>
      </c>
      <c r="D591" s="31"/>
      <c r="E591" s="72">
        <v>6</v>
      </c>
      <c r="F591" s="31"/>
      <c r="G591" s="73">
        <v>1749.9500000000003</v>
      </c>
      <c r="H591" s="31"/>
      <c r="I591" s="72">
        <v>586.61</v>
      </c>
      <c r="J591" s="72"/>
      <c r="K591" s="31">
        <v>124.42857142857143</v>
      </c>
      <c r="L591" s="31"/>
      <c r="M591" s="74">
        <v>20.738095238095237</v>
      </c>
      <c r="N591" s="74"/>
      <c r="O591" s="75">
        <v>291.65833333333336</v>
      </c>
      <c r="P591" s="75"/>
      <c r="Q591" s="76">
        <v>0.33521529186548182</v>
      </c>
      <c r="R591" s="76"/>
      <c r="S591" s="31">
        <v>45.714285714285715</v>
      </c>
      <c r="T591" s="31"/>
      <c r="U591" s="76"/>
      <c r="V591" s="76"/>
      <c r="W591" s="76"/>
      <c r="X591" s="76"/>
      <c r="Y591" s="76">
        <v>-5.0163576881134264E-2</v>
      </c>
      <c r="Z591" s="76">
        <v>-5.0163576881134153E-2</v>
      </c>
      <c r="AA591" s="76">
        <v>-0.25</v>
      </c>
      <c r="AB591" s="76">
        <v>-0.26380510050399231</v>
      </c>
      <c r="AC591" s="76">
        <v>-1.8406800671989743E-2</v>
      </c>
      <c r="AD591" s="142"/>
      <c r="AE591" s="142"/>
      <c r="AF591" s="142"/>
    </row>
    <row r="592" spans="1:32" x14ac:dyDescent="0.35">
      <c r="A592" t="s">
        <v>201</v>
      </c>
      <c r="B592" t="s">
        <v>824</v>
      </c>
      <c r="C592" s="31">
        <v>0</v>
      </c>
      <c r="D592" s="31"/>
      <c r="E592" s="72">
        <v>0</v>
      </c>
      <c r="F592" s="31"/>
      <c r="G592" s="73">
        <v>0</v>
      </c>
      <c r="H592" s="31"/>
      <c r="I592" s="72">
        <v>0</v>
      </c>
      <c r="J592" s="72"/>
      <c r="K592" s="31">
        <v>23.571428571428573</v>
      </c>
      <c r="L592" s="31"/>
      <c r="M592" s="74"/>
      <c r="N592" s="74"/>
      <c r="O592" s="75"/>
      <c r="P592" s="75"/>
      <c r="Q592" s="76"/>
      <c r="R592" s="76"/>
      <c r="S592" s="31">
        <v>3</v>
      </c>
      <c r="T592" s="31"/>
      <c r="U592" s="76"/>
      <c r="V592" s="76"/>
      <c r="W592" s="76"/>
      <c r="X592" s="76"/>
      <c r="Y592" s="76">
        <v>-0.18031312745593175</v>
      </c>
      <c r="Z592" s="76">
        <v>-0.15816326530612235</v>
      </c>
      <c r="AA592" s="76">
        <v>-1</v>
      </c>
      <c r="AB592" s="76">
        <v>-1</v>
      </c>
      <c r="AC592" s="76"/>
      <c r="AD592" s="142"/>
      <c r="AE592" s="142"/>
      <c r="AF592" s="142"/>
    </row>
    <row r="593" spans="1:32" x14ac:dyDescent="0.35">
      <c r="A593" t="s">
        <v>201</v>
      </c>
      <c r="B593" t="s">
        <v>817</v>
      </c>
      <c r="C593" s="31"/>
      <c r="D593" s="31"/>
      <c r="E593" s="72"/>
      <c r="F593" s="31"/>
      <c r="G593" s="73"/>
      <c r="H593" s="31"/>
      <c r="I593" s="72"/>
      <c r="J593" s="72"/>
      <c r="K593" s="31">
        <v>47.142857142857146</v>
      </c>
      <c r="L593" s="31"/>
      <c r="M593" s="74"/>
      <c r="N593" s="74"/>
      <c r="O593" s="75"/>
      <c r="P593" s="75"/>
      <c r="Q593" s="76"/>
      <c r="R593" s="76"/>
      <c r="S593" s="31"/>
      <c r="T593" s="31"/>
      <c r="U593" s="76"/>
      <c r="V593" s="76"/>
      <c r="W593" s="76"/>
      <c r="X593" s="76"/>
      <c r="Y593" s="76">
        <v>-6.3791125209470501E-2</v>
      </c>
      <c r="Z593" s="76">
        <v>-6.2499999999999889E-2</v>
      </c>
      <c r="AA593" s="76"/>
      <c r="AB593" s="76"/>
      <c r="AC593" s="76"/>
      <c r="AD593" s="142"/>
      <c r="AE593" s="142"/>
      <c r="AF593" s="142"/>
    </row>
    <row r="594" spans="1:32" x14ac:dyDescent="0.35">
      <c r="A594" t="s">
        <v>201</v>
      </c>
      <c r="B594" t="s">
        <v>821</v>
      </c>
      <c r="C594" s="31"/>
      <c r="D594" s="31"/>
      <c r="E594" s="72"/>
      <c r="F594" s="31"/>
      <c r="G594" s="73"/>
      <c r="H594" s="31"/>
      <c r="I594" s="72"/>
      <c r="J594" s="72"/>
      <c r="K594" s="31">
        <v>1</v>
      </c>
      <c r="L594" s="31"/>
      <c r="M594" s="74"/>
      <c r="N594" s="74"/>
      <c r="O594" s="75"/>
      <c r="P594" s="75"/>
      <c r="Q594" s="76"/>
      <c r="R594" s="76"/>
      <c r="S594" s="31"/>
      <c r="T594" s="31"/>
      <c r="U594" s="76"/>
      <c r="V594" s="76"/>
      <c r="W594" s="76"/>
      <c r="X594" s="76"/>
      <c r="Y594" s="76">
        <v>0</v>
      </c>
      <c r="Z594" s="76">
        <v>0</v>
      </c>
      <c r="AA594" s="76"/>
      <c r="AB594" s="76"/>
      <c r="AC594" s="76"/>
      <c r="AD594" s="142"/>
      <c r="AE594" s="142"/>
      <c r="AF594" s="142"/>
    </row>
    <row r="595" spans="1:32" x14ac:dyDescent="0.35">
      <c r="A595" t="s">
        <v>201</v>
      </c>
      <c r="B595" t="s">
        <v>820</v>
      </c>
      <c r="C595" s="31"/>
      <c r="D595" s="31"/>
      <c r="E595" s="72"/>
      <c r="F595" s="31"/>
      <c r="G595" s="73"/>
      <c r="H595" s="31"/>
      <c r="I595" s="72"/>
      <c r="J595" s="72"/>
      <c r="K595" s="31">
        <v>1</v>
      </c>
      <c r="L595" s="31"/>
      <c r="M595" s="74"/>
      <c r="N595" s="74"/>
      <c r="O595" s="75"/>
      <c r="P595" s="75"/>
      <c r="Q595" s="76"/>
      <c r="R595" s="76"/>
      <c r="S595" s="31"/>
      <c r="T595" s="31"/>
      <c r="U595" s="76"/>
      <c r="V595" s="76"/>
      <c r="W595" s="76"/>
      <c r="X595" s="76"/>
      <c r="Y595" s="76">
        <v>6</v>
      </c>
      <c r="Z595" s="76">
        <v>6</v>
      </c>
      <c r="AA595" s="76"/>
      <c r="AB595" s="76"/>
      <c r="AC595" s="76"/>
      <c r="AD595" s="142"/>
      <c r="AE595" s="142"/>
      <c r="AF595" s="142"/>
    </row>
    <row r="596" spans="1:32" x14ac:dyDescent="0.35">
      <c r="A596" t="s">
        <v>201</v>
      </c>
      <c r="B596" t="s">
        <v>819</v>
      </c>
      <c r="C596" s="31"/>
      <c r="D596" s="31"/>
      <c r="E596" s="72"/>
      <c r="F596" s="31"/>
      <c r="G596" s="73"/>
      <c r="H596" s="31"/>
      <c r="I596" s="72"/>
      <c r="J596" s="72"/>
      <c r="K596" s="31">
        <v>56</v>
      </c>
      <c r="L596" s="31"/>
      <c r="M596" s="74"/>
      <c r="N596" s="74"/>
      <c r="O596" s="75"/>
      <c r="P596" s="75"/>
      <c r="Q596" s="76"/>
      <c r="R596" s="76"/>
      <c r="S596" s="31">
        <v>5</v>
      </c>
      <c r="T596" s="31"/>
      <c r="U596" s="76"/>
      <c r="V596" s="76"/>
      <c r="W596" s="76"/>
      <c r="X596" s="76"/>
      <c r="Y596" s="76">
        <v>0</v>
      </c>
      <c r="Z596" s="76">
        <v>0</v>
      </c>
      <c r="AA596" s="76"/>
      <c r="AB596" s="76"/>
      <c r="AC596" s="76"/>
      <c r="AD596" s="142"/>
      <c r="AE596" s="142"/>
      <c r="AF596" s="142"/>
    </row>
    <row r="597" spans="1:32" x14ac:dyDescent="0.35">
      <c r="A597" t="s">
        <v>201</v>
      </c>
      <c r="B597" t="s">
        <v>818</v>
      </c>
      <c r="C597" s="31"/>
      <c r="D597" s="31"/>
      <c r="E597" s="72"/>
      <c r="F597" s="31"/>
      <c r="G597" s="73"/>
      <c r="H597" s="31"/>
      <c r="I597" s="72"/>
      <c r="J597" s="72"/>
      <c r="K597" s="31">
        <v>2</v>
      </c>
      <c r="L597" s="31"/>
      <c r="M597" s="74"/>
      <c r="N597" s="74"/>
      <c r="O597" s="75"/>
      <c r="P597" s="75"/>
      <c r="Q597" s="76"/>
      <c r="R597" s="76"/>
      <c r="S597" s="31"/>
      <c r="T597" s="31"/>
      <c r="U597" s="76"/>
      <c r="V597" s="76"/>
      <c r="W597" s="76"/>
      <c r="X597" s="76"/>
      <c r="Y597" s="76">
        <v>-0.26315789473684204</v>
      </c>
      <c r="Z597" s="76">
        <v>-0.26315789473684215</v>
      </c>
      <c r="AA597" s="76"/>
      <c r="AB597" s="76"/>
      <c r="AC597" s="76"/>
      <c r="AD597" s="142"/>
      <c r="AE597" s="142"/>
      <c r="AF597" s="142"/>
    </row>
    <row r="598" spans="1:32" x14ac:dyDescent="0.35">
      <c r="A598" t="s">
        <v>201</v>
      </c>
      <c r="B598" t="s">
        <v>823</v>
      </c>
      <c r="C598" s="31"/>
      <c r="D598" s="31"/>
      <c r="E598" s="72"/>
      <c r="F598" s="31"/>
      <c r="G598" s="73"/>
      <c r="H598" s="31"/>
      <c r="I598" s="72"/>
      <c r="J598" s="72"/>
      <c r="K598" s="31">
        <v>1</v>
      </c>
      <c r="L598" s="31"/>
      <c r="M598" s="74"/>
      <c r="N598" s="74"/>
      <c r="O598" s="75"/>
      <c r="P598" s="75"/>
      <c r="Q598" s="76"/>
      <c r="R598" s="76"/>
      <c r="S598" s="31"/>
      <c r="T598" s="31"/>
      <c r="U598" s="76"/>
      <c r="V598" s="76"/>
      <c r="W598" s="76"/>
      <c r="X598" s="76"/>
      <c r="Y598" s="76">
        <v>0</v>
      </c>
      <c r="Z598" s="76">
        <v>0</v>
      </c>
      <c r="AA598" s="76"/>
      <c r="AB598" s="76"/>
      <c r="AC598" s="76"/>
      <c r="AD598" s="142"/>
      <c r="AE598" s="142"/>
      <c r="AF598" s="142"/>
    </row>
    <row r="599" spans="1:32" x14ac:dyDescent="0.35">
      <c r="A599" s="138" t="s">
        <v>852</v>
      </c>
      <c r="B599" s="138"/>
      <c r="C599" s="127">
        <v>664</v>
      </c>
      <c r="D599" s="127"/>
      <c r="E599" s="126">
        <v>836</v>
      </c>
      <c r="F599" s="127"/>
      <c r="G599" s="127">
        <v>1972077.8599999954</v>
      </c>
      <c r="H599" s="127"/>
      <c r="I599" s="126">
        <v>235136.0299999998</v>
      </c>
      <c r="J599" s="126"/>
      <c r="K599" s="127">
        <v>13812.285714285714</v>
      </c>
      <c r="L599" s="127">
        <v>7</v>
      </c>
      <c r="M599" s="140">
        <v>16.521872863978128</v>
      </c>
      <c r="N599" s="140"/>
      <c r="O599" s="139">
        <v>2358.9448086124348</v>
      </c>
      <c r="P599" s="139"/>
      <c r="Q599" s="141">
        <v>0.11923263009504115</v>
      </c>
      <c r="R599" s="141"/>
      <c r="S599" s="127">
        <v>1146.1428571428571</v>
      </c>
      <c r="T599" s="127"/>
      <c r="U599" s="141">
        <v>1832.2244897959185</v>
      </c>
      <c r="V599" s="141"/>
      <c r="W599" s="141"/>
      <c r="X599" s="141"/>
      <c r="Y599" s="141">
        <v>-4.060076805245727E-2</v>
      </c>
      <c r="Z599" s="141">
        <v>-5.8329681032383784E-2</v>
      </c>
      <c r="AA599" s="141">
        <v>-2.3364485981308358E-2</v>
      </c>
      <c r="AB599" s="141">
        <v>4.0307008009427658E-2</v>
      </c>
      <c r="AC599" s="141">
        <v>6.5194735473768084E-2</v>
      </c>
      <c r="AD599" s="143"/>
      <c r="AE599" s="143"/>
      <c r="AF599" s="143"/>
    </row>
    <row r="600" spans="1:32" x14ac:dyDescent="0.35">
      <c r="A600" t="s">
        <v>88</v>
      </c>
      <c r="B600" t="s">
        <v>719</v>
      </c>
      <c r="C600" s="31">
        <v>416</v>
      </c>
      <c r="D600" s="31">
        <v>541</v>
      </c>
      <c r="E600" s="72">
        <v>519</v>
      </c>
      <c r="F600" s="31">
        <v>678</v>
      </c>
      <c r="G600" s="73">
        <v>851061.02000000025</v>
      </c>
      <c r="H600" s="31">
        <v>749790.85000000114</v>
      </c>
      <c r="I600" s="72">
        <v>549332.7300000001</v>
      </c>
      <c r="J600" s="72">
        <v>420016.89000000025</v>
      </c>
      <c r="K600" s="31">
        <v>9409.8571428571431</v>
      </c>
      <c r="L600" s="31">
        <v>9601.4285714285706</v>
      </c>
      <c r="M600" s="74">
        <v>18.130745939994494</v>
      </c>
      <c r="N600" s="74">
        <v>14.498961794019932</v>
      </c>
      <c r="O600" s="75">
        <v>1639.8092870905593</v>
      </c>
      <c r="P600" s="75">
        <v>1105.8862094395297</v>
      </c>
      <c r="Q600" s="76">
        <v>0.64546808876289496</v>
      </c>
      <c r="R600" s="76">
        <v>0.5505007074436028</v>
      </c>
      <c r="S600" s="31">
        <v>4019.5714285714284</v>
      </c>
      <c r="T600" s="31"/>
      <c r="U600" s="76">
        <v>-5.2328522541288391E-2</v>
      </c>
      <c r="V600" s="76">
        <v>-0.26696165191740417</v>
      </c>
      <c r="W600" s="76">
        <v>8.0625483759903416E-2</v>
      </c>
      <c r="X600" s="76">
        <v>0.26582578093278642</v>
      </c>
      <c r="Y600" s="76">
        <v>3.0372531254392321E-3</v>
      </c>
      <c r="Z600" s="76">
        <v>-2.4533931032393319E-3</v>
      </c>
      <c r="AA600" s="76">
        <v>-2.0754716981132071E-2</v>
      </c>
      <c r="AB600" s="76">
        <v>7.3120641364881056E-3</v>
      </c>
      <c r="AC600" s="76">
        <v>2.86616454573001E-2</v>
      </c>
      <c r="AD600" s="142">
        <v>-0.54593910772222842</v>
      </c>
      <c r="AE600" s="142">
        <v>-0.31526112862384703</v>
      </c>
      <c r="AF600" s="142">
        <v>-4.2016999698013022E-2</v>
      </c>
    </row>
    <row r="601" spans="1:32" x14ac:dyDescent="0.35">
      <c r="A601" t="s">
        <v>88</v>
      </c>
      <c r="B601" t="s">
        <v>718</v>
      </c>
      <c r="C601" s="31">
        <v>354</v>
      </c>
      <c r="D601" s="31">
        <v>890</v>
      </c>
      <c r="E601" s="72">
        <v>422</v>
      </c>
      <c r="F601" s="31">
        <v>1092</v>
      </c>
      <c r="G601" s="73">
        <v>711140.2699999992</v>
      </c>
      <c r="H601" s="31">
        <v>1035335.6800000044</v>
      </c>
      <c r="I601" s="72">
        <v>443587.69999999978</v>
      </c>
      <c r="J601" s="72">
        <v>522972.37000000139</v>
      </c>
      <c r="K601" s="31">
        <v>6497.1428571428569</v>
      </c>
      <c r="L601" s="31">
        <v>12325.142857142857</v>
      </c>
      <c r="M601" s="74">
        <v>15.396073121191604</v>
      </c>
      <c r="N601" s="74">
        <v>11.541704035874439</v>
      </c>
      <c r="O601" s="75">
        <v>1685.1665165876759</v>
      </c>
      <c r="P601" s="75">
        <v>948.10959706960102</v>
      </c>
      <c r="Q601" s="76">
        <v>0.62376962564642879</v>
      </c>
      <c r="R601" s="76">
        <v>0.49618668922262676</v>
      </c>
      <c r="S601" s="31">
        <v>8546.7142857142862</v>
      </c>
      <c r="T601" s="31"/>
      <c r="U601" s="76">
        <v>-0.471927303073856</v>
      </c>
      <c r="V601" s="76">
        <v>-0.67032967032967039</v>
      </c>
      <c r="W601" s="76">
        <v>-0.34515761110445164</v>
      </c>
      <c r="X601" s="76">
        <v>-0.10367260547223422</v>
      </c>
      <c r="Y601" s="76">
        <v>3.4146747144346179E-2</v>
      </c>
      <c r="Z601" s="76">
        <v>2.7448322602507513E-2</v>
      </c>
      <c r="AA601" s="76">
        <v>-0.14574898785425106</v>
      </c>
      <c r="AB601" s="76">
        <v>-0.18148378538226284</v>
      </c>
      <c r="AC601" s="76">
        <v>-4.183172980767258E-2</v>
      </c>
      <c r="AD601" s="142">
        <v>-0.61861374591975449</v>
      </c>
      <c r="AE601" s="142">
        <v>-0.57334086410120944</v>
      </c>
      <c r="AF601" s="142">
        <v>-0.41604356228664335</v>
      </c>
    </row>
    <row r="602" spans="1:32" x14ac:dyDescent="0.35">
      <c r="A602" t="s">
        <v>88</v>
      </c>
      <c r="B602" t="s">
        <v>721</v>
      </c>
      <c r="C602" s="31">
        <v>158</v>
      </c>
      <c r="D602" s="31">
        <v>273</v>
      </c>
      <c r="E602" s="72">
        <v>182</v>
      </c>
      <c r="F602" s="31">
        <v>357</v>
      </c>
      <c r="G602" s="73">
        <v>135804.2399999997</v>
      </c>
      <c r="H602" s="31">
        <v>103640.20000000007</v>
      </c>
      <c r="I602" s="72">
        <v>82262.519999999917</v>
      </c>
      <c r="J602" s="72">
        <v>46678.940000000097</v>
      </c>
      <c r="K602" s="31">
        <v>3051.2857142857142</v>
      </c>
      <c r="L602" s="31">
        <v>4145.7142857142853</v>
      </c>
      <c r="M602" s="74">
        <v>16.76530612244898</v>
      </c>
      <c r="N602" s="74">
        <v>12.190873015873015</v>
      </c>
      <c r="O602" s="75">
        <v>746.17714285714123</v>
      </c>
      <c r="P602" s="75">
        <v>290.30868347338958</v>
      </c>
      <c r="Q602" s="76">
        <v>0.60574338474262734</v>
      </c>
      <c r="R602" s="76">
        <v>0.44776270876882851</v>
      </c>
      <c r="S602" s="31">
        <v>5236.2857142857147</v>
      </c>
      <c r="T602" s="31"/>
      <c r="U602" s="76">
        <v>-0.28828394210889041</v>
      </c>
      <c r="V602" s="76">
        <v>-0.50140056022408963</v>
      </c>
      <c r="W602" s="76">
        <v>0.2787660579582012</v>
      </c>
      <c r="X602" s="76">
        <v>0.72347847839994595</v>
      </c>
      <c r="Y602" s="76">
        <v>-4.2729211927158284E-2</v>
      </c>
      <c r="Z602" s="76">
        <v>-5.845272206303731E-2</v>
      </c>
      <c r="AA602" s="76">
        <v>0.10303030303030303</v>
      </c>
      <c r="AB602" s="76">
        <v>-2.3760779309502933E-3</v>
      </c>
      <c r="AC602" s="76">
        <v>-9.5560729992344995E-2</v>
      </c>
      <c r="AD602" s="142">
        <v>-0.43185755732463604</v>
      </c>
      <c r="AE602" s="142">
        <v>-0.13855296879645421</v>
      </c>
      <c r="AF602" s="142">
        <v>0.1763730623402851</v>
      </c>
    </row>
    <row r="603" spans="1:32" x14ac:dyDescent="0.35">
      <c r="A603" t="s">
        <v>88</v>
      </c>
      <c r="B603" t="s">
        <v>720</v>
      </c>
      <c r="C603" s="31">
        <v>89</v>
      </c>
      <c r="D603" s="31">
        <v>245</v>
      </c>
      <c r="E603" s="72">
        <v>112</v>
      </c>
      <c r="F603" s="31">
        <v>328</v>
      </c>
      <c r="G603" s="73">
        <v>79848.169999999955</v>
      </c>
      <c r="H603" s="31">
        <v>140295.44999999995</v>
      </c>
      <c r="I603" s="72">
        <v>35751.89</v>
      </c>
      <c r="J603" s="72">
        <v>62751.369999999966</v>
      </c>
      <c r="K603" s="31">
        <v>1923.5714285714287</v>
      </c>
      <c r="L603" s="31">
        <v>6179</v>
      </c>
      <c r="M603" s="74">
        <v>17.174744897959183</v>
      </c>
      <c r="N603" s="74">
        <v>19.574860574860576</v>
      </c>
      <c r="O603" s="75">
        <v>712.93008928571385</v>
      </c>
      <c r="P603" s="75">
        <v>427.73003048780475</v>
      </c>
      <c r="Q603" s="76">
        <v>0.44774839548608342</v>
      </c>
      <c r="R603" s="76">
        <v>0.43693206164625148</v>
      </c>
      <c r="S603" s="31">
        <v>1446.4285714285713</v>
      </c>
      <c r="T603" s="31"/>
      <c r="U603" s="76">
        <v>-0.69951217256606479</v>
      </c>
      <c r="V603" s="76">
        <v>-0.68292682926829262</v>
      </c>
      <c r="W603" s="76">
        <v>-0.46714351748399552</v>
      </c>
      <c r="X603" s="76">
        <v>-0.42742248555978601</v>
      </c>
      <c r="Y603" s="76">
        <v>-6.3483145924836504E-2</v>
      </c>
      <c r="Z603" s="76">
        <v>-5.8918087783058404E-2</v>
      </c>
      <c r="AA603" s="76">
        <v>1.8181818181818077E-2</v>
      </c>
      <c r="AB603" s="76">
        <v>2.3437578105393042E-2</v>
      </c>
      <c r="AC603" s="76">
        <v>5.1619070677966228E-3</v>
      </c>
      <c r="AD603" s="142">
        <v>-0.62133391215149614</v>
      </c>
      <c r="AE603" s="142">
        <v>-0.61067549110010788</v>
      </c>
      <c r="AF603" s="142">
        <v>-0.5968110397789449</v>
      </c>
    </row>
    <row r="604" spans="1:32" x14ac:dyDescent="0.35">
      <c r="A604" t="s">
        <v>88</v>
      </c>
      <c r="B604" t="s">
        <v>722</v>
      </c>
      <c r="C604" s="31">
        <v>43</v>
      </c>
      <c r="D604" s="31">
        <v>78</v>
      </c>
      <c r="E604" s="72">
        <v>47</v>
      </c>
      <c r="F604" s="31">
        <v>85</v>
      </c>
      <c r="G604" s="73">
        <v>73700.749999999942</v>
      </c>
      <c r="H604" s="31">
        <v>67310.050000000032</v>
      </c>
      <c r="I604" s="72">
        <v>49576.399999999994</v>
      </c>
      <c r="J604" s="72">
        <v>34858.620000000024</v>
      </c>
      <c r="K604" s="31">
        <v>1443.7142857142858</v>
      </c>
      <c r="L604" s="31">
        <v>1412.5714285714287</v>
      </c>
      <c r="M604" s="74">
        <v>30.717325227963528</v>
      </c>
      <c r="N604" s="74">
        <v>17.178170144462278</v>
      </c>
      <c r="O604" s="75">
        <v>1568.101063829786</v>
      </c>
      <c r="P604" s="75">
        <v>791.88294117647092</v>
      </c>
      <c r="Q604" s="76">
        <v>0.67267158068269362</v>
      </c>
      <c r="R604" s="76">
        <v>0.49979102861094332</v>
      </c>
      <c r="S604" s="31">
        <v>1956.8571428571429</v>
      </c>
      <c r="T604" s="31"/>
      <c r="U604" s="76">
        <v>-2.1844660194174748E-2</v>
      </c>
      <c r="V604" s="76">
        <v>-0.51764705882352935</v>
      </c>
      <c r="W604" s="76">
        <v>-5.3621116014622605E-2</v>
      </c>
      <c r="X604" s="76">
        <v>0.27470770854768878</v>
      </c>
      <c r="Y604" s="76">
        <v>-3.2199642523648597E-2</v>
      </c>
      <c r="Z604" s="76">
        <v>-3.4397095356392016E-2</v>
      </c>
      <c r="AA604" s="76">
        <v>4.4444444444444509E-2</v>
      </c>
      <c r="AB604" s="76">
        <v>0.20245281562800654</v>
      </c>
      <c r="AC604" s="76">
        <v>0.15128461070766597</v>
      </c>
      <c r="AD604" s="142">
        <v>-0.63831408189492644</v>
      </c>
      <c r="AE604" s="142">
        <v>-0.4745343095231499</v>
      </c>
      <c r="AF604" s="142">
        <v>-0.26516627991887826</v>
      </c>
    </row>
    <row r="605" spans="1:32" x14ac:dyDescent="0.35">
      <c r="A605" t="s">
        <v>88</v>
      </c>
      <c r="B605" t="s">
        <v>728</v>
      </c>
      <c r="C605" s="31">
        <v>9</v>
      </c>
      <c r="D605" s="31">
        <v>2</v>
      </c>
      <c r="E605" s="72">
        <v>13</v>
      </c>
      <c r="F605" s="31">
        <v>2</v>
      </c>
      <c r="G605" s="73">
        <v>31108.97</v>
      </c>
      <c r="H605" s="31">
        <v>681.12</v>
      </c>
      <c r="I605" s="72">
        <v>16118.11</v>
      </c>
      <c r="J605" s="72">
        <v>-88.32000000000005</v>
      </c>
      <c r="K605" s="31">
        <v>120.71428571428571</v>
      </c>
      <c r="L605" s="31">
        <v>8.2857142857142865</v>
      </c>
      <c r="M605" s="74">
        <v>9.2857142857142847</v>
      </c>
      <c r="N605" s="74">
        <v>3.6428571428571428</v>
      </c>
      <c r="O605" s="75">
        <v>2392.9976923076924</v>
      </c>
      <c r="P605" s="75">
        <v>340.56</v>
      </c>
      <c r="Q605" s="76">
        <v>0.5181177647475953</v>
      </c>
      <c r="R605" s="76">
        <v>-0.1296687808315716</v>
      </c>
      <c r="S605" s="31">
        <v>118.85714285714286</v>
      </c>
      <c r="T605" s="31"/>
      <c r="U605" s="76">
        <v>12.36206896551724</v>
      </c>
      <c r="V605" s="76">
        <v>5.5</v>
      </c>
      <c r="W605" s="76">
        <v>44.673258750293634</v>
      </c>
      <c r="X605" s="76">
        <v>-183.49671648550714</v>
      </c>
      <c r="Y605" s="76">
        <v>6.8087412160932503E-2</v>
      </c>
      <c r="Z605" s="76">
        <v>6.8268015170670049E-2</v>
      </c>
      <c r="AA605" s="76">
        <v>2.25</v>
      </c>
      <c r="AB605" s="76">
        <v>4.7320055866333535</v>
      </c>
      <c r="AC605" s="76">
        <v>0.7636940266564165</v>
      </c>
      <c r="AD605" s="142"/>
      <c r="AE605" s="142"/>
      <c r="AF605" s="142"/>
    </row>
    <row r="606" spans="1:32" x14ac:dyDescent="0.35">
      <c r="A606" t="s">
        <v>88</v>
      </c>
      <c r="B606" t="s">
        <v>725</v>
      </c>
      <c r="C606" s="31">
        <v>46</v>
      </c>
      <c r="D606" s="31">
        <v>55</v>
      </c>
      <c r="E606" s="72">
        <v>48</v>
      </c>
      <c r="F606" s="31">
        <v>59</v>
      </c>
      <c r="G606" s="73">
        <v>24830.920000000009</v>
      </c>
      <c r="H606" s="31">
        <v>8972.9000000000015</v>
      </c>
      <c r="I606" s="72">
        <v>17359.699999999997</v>
      </c>
      <c r="J606" s="72">
        <v>3613.0300000000034</v>
      </c>
      <c r="K606" s="31">
        <v>479.85714285714283</v>
      </c>
      <c r="L606" s="31">
        <v>807.85714285714289</v>
      </c>
      <c r="M606" s="74">
        <v>9.9970238095238084</v>
      </c>
      <c r="N606" s="74">
        <v>15.077481840193704</v>
      </c>
      <c r="O606" s="75">
        <v>517.31083333333356</v>
      </c>
      <c r="P606" s="75">
        <v>152.08305084745766</v>
      </c>
      <c r="Q606" s="76">
        <v>0.69911626311066966</v>
      </c>
      <c r="R606" s="76">
        <v>0.40266023247779453</v>
      </c>
      <c r="S606" s="31">
        <v>1147.2857142857142</v>
      </c>
      <c r="T606" s="31"/>
      <c r="U606" s="76">
        <v>-0.41538461538461546</v>
      </c>
      <c r="V606" s="76">
        <v>-0.23728813559322037</v>
      </c>
      <c r="W606" s="76">
        <v>1.4998562337705765</v>
      </c>
      <c r="X606" s="76">
        <v>3.3115971912771265</v>
      </c>
      <c r="Y606" s="76">
        <v>-8.2612081455392006E-2</v>
      </c>
      <c r="Z606" s="76">
        <v>-9.3876449959536035E-2</v>
      </c>
      <c r="AA606" s="76">
        <v>-0.18644067796610164</v>
      </c>
      <c r="AB606" s="76">
        <v>-0.23878397563217957</v>
      </c>
      <c r="AC606" s="76">
        <v>-6.4338636714553976E-2</v>
      </c>
      <c r="AD606" s="142">
        <v>-0.2423907622180273</v>
      </c>
      <c r="AE606" s="142">
        <v>0.58242871005369556</v>
      </c>
      <c r="AF606" s="142">
        <v>1.3089175140790883</v>
      </c>
    </row>
    <row r="607" spans="1:32" x14ac:dyDescent="0.35">
      <c r="A607" t="s">
        <v>88</v>
      </c>
      <c r="B607" t="s">
        <v>727</v>
      </c>
      <c r="C607" s="31">
        <v>3</v>
      </c>
      <c r="D607" s="31">
        <v>4</v>
      </c>
      <c r="E607" s="72">
        <v>3</v>
      </c>
      <c r="F607" s="31">
        <v>4</v>
      </c>
      <c r="G607" s="73">
        <v>827.23</v>
      </c>
      <c r="H607" s="31">
        <v>669.06999999999994</v>
      </c>
      <c r="I607" s="72">
        <v>185.85000000000002</v>
      </c>
      <c r="J607" s="72">
        <v>42.229999999999905</v>
      </c>
      <c r="K607" s="31">
        <v>10.571428571428571</v>
      </c>
      <c r="L607" s="31">
        <v>19</v>
      </c>
      <c r="M607" s="74">
        <v>3.5238095238095237</v>
      </c>
      <c r="N607" s="74">
        <v>4.75</v>
      </c>
      <c r="O607" s="75">
        <v>275.74333333333334</v>
      </c>
      <c r="P607" s="75">
        <v>167.26749999999998</v>
      </c>
      <c r="Q607" s="76">
        <v>0.2246654497539983</v>
      </c>
      <c r="R607" s="76">
        <v>6.3117461551108117E-2</v>
      </c>
      <c r="S607" s="31">
        <v>42.142857142857146</v>
      </c>
      <c r="T607" s="31"/>
      <c r="U607" s="76">
        <v>-0.45112781954887216</v>
      </c>
      <c r="V607" s="76">
        <v>-0.5</v>
      </c>
      <c r="W607" s="76">
        <v>3.2597486062743819E-2</v>
      </c>
      <c r="X607" s="76">
        <v>5.5936538006156908</v>
      </c>
      <c r="Y607" s="76">
        <v>-0.47808935923552509</v>
      </c>
      <c r="Z607" s="76">
        <v>2.7777777777777679E-2</v>
      </c>
      <c r="AA607" s="76">
        <v>0.5</v>
      </c>
      <c r="AB607" s="76">
        <v>2.6401760176017603</v>
      </c>
      <c r="AC607" s="76">
        <v>1.4267840117345068</v>
      </c>
      <c r="AD607" s="142"/>
      <c r="AE607" s="142"/>
      <c r="AF607" s="142"/>
    </row>
    <row r="608" spans="1:32" x14ac:dyDescent="0.35">
      <c r="A608" t="s">
        <v>88</v>
      </c>
      <c r="B608" t="s">
        <v>723</v>
      </c>
      <c r="C608" s="31">
        <v>3</v>
      </c>
      <c r="D608" s="31">
        <v>44</v>
      </c>
      <c r="E608" s="72">
        <v>3</v>
      </c>
      <c r="F608" s="31">
        <v>46</v>
      </c>
      <c r="G608" s="73">
        <v>477.46999999999997</v>
      </c>
      <c r="H608" s="31">
        <v>30780.440000000006</v>
      </c>
      <c r="I608" s="72">
        <v>-495.18</v>
      </c>
      <c r="J608" s="72">
        <v>10234.550000000007</v>
      </c>
      <c r="K608" s="31">
        <v>25.714285714285715</v>
      </c>
      <c r="L608" s="31">
        <v>351.57142857142856</v>
      </c>
      <c r="M608" s="74">
        <v>8.5714285714285712</v>
      </c>
      <c r="N608" s="74">
        <v>8.0155279503105596</v>
      </c>
      <c r="O608" s="75">
        <v>159.15666666666667</v>
      </c>
      <c r="P608" s="75">
        <v>669.1400000000001</v>
      </c>
      <c r="Q608" s="76">
        <v>-1.0370913355812932</v>
      </c>
      <c r="R608" s="76">
        <v>0.3325017446144371</v>
      </c>
      <c r="S608" s="31">
        <v>306</v>
      </c>
      <c r="T608" s="31"/>
      <c r="U608" s="76">
        <v>-0.92970337261275904</v>
      </c>
      <c r="V608" s="76">
        <v>-0.93478260869565222</v>
      </c>
      <c r="W608" s="76">
        <v>-0.98448787606674892</v>
      </c>
      <c r="X608" s="76">
        <v>-1.0483831726846808</v>
      </c>
      <c r="Y608" s="76">
        <v>-0.35871037710110987</v>
      </c>
      <c r="Z608" s="76">
        <v>-0.29687499999999989</v>
      </c>
      <c r="AA608" s="76">
        <v>-0.4</v>
      </c>
      <c r="AB608" s="76">
        <v>0.75115528497029205</v>
      </c>
      <c r="AC608" s="76">
        <v>1.9185921416171534</v>
      </c>
      <c r="AD608" s="142"/>
      <c r="AE608" s="142"/>
      <c r="AF608" s="142"/>
    </row>
    <row r="609" spans="1:32" x14ac:dyDescent="0.35">
      <c r="A609" t="s">
        <v>88</v>
      </c>
      <c r="B609" t="s">
        <v>730</v>
      </c>
      <c r="C609" s="31">
        <v>2</v>
      </c>
      <c r="D609" s="31">
        <v>1</v>
      </c>
      <c r="E609" s="72">
        <v>2</v>
      </c>
      <c r="F609" s="31">
        <v>1</v>
      </c>
      <c r="G609" s="73">
        <v>299.99</v>
      </c>
      <c r="H609" s="31">
        <v>163.63999999999999</v>
      </c>
      <c r="I609" s="72">
        <v>-262.40999999999997</v>
      </c>
      <c r="J609" s="72">
        <v>-106.36000000000001</v>
      </c>
      <c r="K609" s="31">
        <v>14.285714285714286</v>
      </c>
      <c r="L609" s="31">
        <v>23.857142857142858</v>
      </c>
      <c r="M609" s="74">
        <v>7.1428571428571432</v>
      </c>
      <c r="N609" s="74">
        <v>24.857142857142858</v>
      </c>
      <c r="O609" s="75">
        <v>149.995</v>
      </c>
      <c r="P609" s="75">
        <v>163.63999999999999</v>
      </c>
      <c r="Q609" s="76">
        <v>-0.87472915763858783</v>
      </c>
      <c r="R609" s="76">
        <v>-0.64996333414813023</v>
      </c>
      <c r="S609" s="31"/>
      <c r="T609" s="31"/>
      <c r="U609" s="76">
        <v>-0.4011976047904191</v>
      </c>
      <c r="V609" s="76">
        <v>1</v>
      </c>
      <c r="W609" s="76">
        <v>0.83323148374480582</v>
      </c>
      <c r="X609" s="76">
        <v>1.4671869123730721</v>
      </c>
      <c r="Y609" s="76">
        <v>0.11066500971863724</v>
      </c>
      <c r="Z609" s="76">
        <v>0.11111111111111116</v>
      </c>
      <c r="AA609" s="76"/>
      <c r="AB609" s="76"/>
      <c r="AC609" s="76"/>
      <c r="AD609" s="142"/>
      <c r="AE609" s="142"/>
      <c r="AF609" s="142"/>
    </row>
    <row r="610" spans="1:32" x14ac:dyDescent="0.35">
      <c r="A610" t="s">
        <v>88</v>
      </c>
      <c r="B610" t="s">
        <v>732</v>
      </c>
      <c r="C610" s="31">
        <v>2</v>
      </c>
      <c r="D610" s="31"/>
      <c r="E610" s="72">
        <v>2</v>
      </c>
      <c r="F610" s="31"/>
      <c r="G610" s="73">
        <v>283.32</v>
      </c>
      <c r="H610" s="31"/>
      <c r="I610" s="72">
        <v>211.18</v>
      </c>
      <c r="J610" s="72"/>
      <c r="K610" s="31">
        <v>4.1428571428571432</v>
      </c>
      <c r="L610" s="31">
        <v>13</v>
      </c>
      <c r="M610" s="74">
        <v>2.0714285714285716</v>
      </c>
      <c r="N610" s="74"/>
      <c r="O610" s="75">
        <v>141.66</v>
      </c>
      <c r="P610" s="75"/>
      <c r="Q610" s="76">
        <v>0.74537625300014121</v>
      </c>
      <c r="R610" s="76"/>
      <c r="S610" s="31">
        <v>1</v>
      </c>
      <c r="T610" s="31"/>
      <c r="U610" s="76">
        <v>-0.68131868131868134</v>
      </c>
      <c r="V610" s="76"/>
      <c r="W610" s="76"/>
      <c r="X610" s="76"/>
      <c r="Y610" s="76">
        <v>-0.15114711736564579</v>
      </c>
      <c r="Z610" s="76">
        <v>-0.17142857142857137</v>
      </c>
      <c r="AA610" s="76"/>
      <c r="AB610" s="76"/>
      <c r="AC610" s="76"/>
      <c r="AD610" s="142"/>
      <c r="AE610" s="142"/>
      <c r="AF610" s="142"/>
    </row>
    <row r="611" spans="1:32" x14ac:dyDescent="0.35">
      <c r="A611" t="s">
        <v>88</v>
      </c>
      <c r="B611" t="s">
        <v>731</v>
      </c>
      <c r="C611" s="31">
        <v>1</v>
      </c>
      <c r="D611" s="31"/>
      <c r="E611" s="72">
        <v>1</v>
      </c>
      <c r="F611" s="31"/>
      <c r="G611" s="73">
        <v>181.81</v>
      </c>
      <c r="H611" s="31"/>
      <c r="I611" s="72">
        <v>105.89</v>
      </c>
      <c r="J611" s="72"/>
      <c r="K611" s="31">
        <v>0.5714285714285714</v>
      </c>
      <c r="L611" s="31">
        <v>7</v>
      </c>
      <c r="M611" s="74">
        <v>0.5714285714285714</v>
      </c>
      <c r="N611" s="74"/>
      <c r="O611" s="75">
        <v>181.81</v>
      </c>
      <c r="P611" s="75"/>
      <c r="Q611" s="76">
        <v>0.58242120895440297</v>
      </c>
      <c r="R611" s="76"/>
      <c r="S611" s="31">
        <v>19</v>
      </c>
      <c r="T611" s="31"/>
      <c r="U611" s="76">
        <v>-0.85714285714285721</v>
      </c>
      <c r="V611" s="76"/>
      <c r="W611" s="76"/>
      <c r="X611" s="76"/>
      <c r="Y611" s="76">
        <v>-0.43421461897356151</v>
      </c>
      <c r="Z611" s="76">
        <v>-0.7142857142857143</v>
      </c>
      <c r="AA611" s="76"/>
      <c r="AB611" s="76"/>
      <c r="AC611" s="76"/>
      <c r="AD611" s="142"/>
      <c r="AE611" s="142"/>
      <c r="AF611" s="142"/>
    </row>
    <row r="612" spans="1:32" x14ac:dyDescent="0.35">
      <c r="A612" t="s">
        <v>88</v>
      </c>
      <c r="B612" t="s">
        <v>724</v>
      </c>
      <c r="C612" s="31">
        <v>1</v>
      </c>
      <c r="D612" s="31">
        <v>14</v>
      </c>
      <c r="E612" s="72">
        <v>1</v>
      </c>
      <c r="F612" s="31">
        <v>14</v>
      </c>
      <c r="G612" s="73">
        <v>181.81</v>
      </c>
      <c r="H612" s="31">
        <v>6595.0199999999986</v>
      </c>
      <c r="I612" s="72">
        <v>181.81</v>
      </c>
      <c r="J612" s="72">
        <v>2228.4499999999989</v>
      </c>
      <c r="K612" s="31">
        <v>13.714285714285714</v>
      </c>
      <c r="L612" s="31">
        <v>239.14285714285714</v>
      </c>
      <c r="M612" s="74">
        <v>13.714285714285714</v>
      </c>
      <c r="N612" s="74">
        <v>16.990476190476191</v>
      </c>
      <c r="O612" s="75">
        <v>181.81</v>
      </c>
      <c r="P612" s="75">
        <v>471.07285714285706</v>
      </c>
      <c r="Q612" s="76">
        <v>1</v>
      </c>
      <c r="R612" s="76">
        <v>0.30433743495896087</v>
      </c>
      <c r="S612" s="31">
        <v>148.85714285714286</v>
      </c>
      <c r="T612" s="31"/>
      <c r="U612" s="76">
        <v>-0.92174432497013137</v>
      </c>
      <c r="V612" s="76">
        <v>-0.9285714285714286</v>
      </c>
      <c r="W612" s="76">
        <v>-0.97243222916685623</v>
      </c>
      <c r="X612" s="76">
        <v>-0.9221207019888541</v>
      </c>
      <c r="Y612" s="76">
        <v>-0.55045503400439411</v>
      </c>
      <c r="Z612" s="76">
        <v>-0.42168674698795183</v>
      </c>
      <c r="AA612" s="76">
        <v>-0.8</v>
      </c>
      <c r="AB612" s="76">
        <v>-0.90244098755627578</v>
      </c>
      <c r="AC612" s="76">
        <v>-0.51220493778137888</v>
      </c>
      <c r="AD612" s="142"/>
      <c r="AE612" s="142"/>
      <c r="AF612" s="142"/>
    </row>
    <row r="613" spans="1:32" x14ac:dyDescent="0.35">
      <c r="A613" t="s">
        <v>88</v>
      </c>
      <c r="B613" t="s">
        <v>726</v>
      </c>
      <c r="C613" s="31">
        <v>1</v>
      </c>
      <c r="D613" s="31">
        <v>11</v>
      </c>
      <c r="E613" s="72">
        <v>1</v>
      </c>
      <c r="F613" s="31">
        <v>11</v>
      </c>
      <c r="G613" s="73">
        <v>181.81</v>
      </c>
      <c r="H613" s="31">
        <v>7699.94</v>
      </c>
      <c r="I613" s="72">
        <v>97.81</v>
      </c>
      <c r="J613" s="72">
        <v>2695.579999999999</v>
      </c>
      <c r="K613" s="31">
        <v>10.142857142857142</v>
      </c>
      <c r="L613" s="31">
        <v>116.85714285714286</v>
      </c>
      <c r="M613" s="74">
        <v>10.142857142857142</v>
      </c>
      <c r="N613" s="74">
        <v>11.519480519480519</v>
      </c>
      <c r="O613" s="75">
        <v>181.81</v>
      </c>
      <c r="P613" s="75">
        <v>699.99454545454546</v>
      </c>
      <c r="Q613" s="76">
        <v>0.53797920906440788</v>
      </c>
      <c r="R613" s="76">
        <v>0.35007805255625357</v>
      </c>
      <c r="S613" s="31">
        <v>120</v>
      </c>
      <c r="T613" s="31"/>
      <c r="U613" s="76">
        <v>-0.9046454767726162</v>
      </c>
      <c r="V613" s="76">
        <v>-0.90909090909090906</v>
      </c>
      <c r="W613" s="76">
        <v>-0.97638812769969641</v>
      </c>
      <c r="X613" s="76">
        <v>-0.96371467365093966</v>
      </c>
      <c r="Y613" s="76">
        <v>-0.69240184190946441</v>
      </c>
      <c r="Z613" s="76">
        <v>-0.63020833333333326</v>
      </c>
      <c r="AA613" s="76">
        <v>0</v>
      </c>
      <c r="AB613" s="76">
        <v>0.33340667400073354</v>
      </c>
      <c r="AC613" s="76">
        <v>0.33340667400073354</v>
      </c>
      <c r="AD613" s="142"/>
      <c r="AE613" s="142"/>
      <c r="AF613" s="142"/>
    </row>
    <row r="614" spans="1:32" x14ac:dyDescent="0.35">
      <c r="A614" t="s">
        <v>88</v>
      </c>
      <c r="B614" t="s">
        <v>729</v>
      </c>
      <c r="C614" s="31"/>
      <c r="D614" s="31"/>
      <c r="E614" s="72"/>
      <c r="F614" s="31"/>
      <c r="G614" s="73"/>
      <c r="H614" s="31"/>
      <c r="I614" s="72"/>
      <c r="J614" s="72"/>
      <c r="K614" s="31">
        <v>3</v>
      </c>
      <c r="L614" s="31">
        <v>13</v>
      </c>
      <c r="M614" s="74"/>
      <c r="N614" s="74"/>
      <c r="O614" s="75"/>
      <c r="P614" s="75"/>
      <c r="Q614" s="76"/>
      <c r="R614" s="76"/>
      <c r="S614" s="31">
        <v>15</v>
      </c>
      <c r="T614" s="31"/>
      <c r="U614" s="76">
        <v>-0.76923076923076916</v>
      </c>
      <c r="V614" s="76"/>
      <c r="W614" s="76"/>
      <c r="X614" s="76"/>
      <c r="Y614" s="76">
        <v>0</v>
      </c>
      <c r="Z614" s="76">
        <v>0</v>
      </c>
      <c r="AA614" s="76"/>
      <c r="AB614" s="76"/>
      <c r="AC614" s="76"/>
      <c r="AD614" s="142"/>
      <c r="AE614" s="142"/>
      <c r="AF614" s="142"/>
    </row>
    <row r="615" spans="1:32" x14ac:dyDescent="0.35">
      <c r="A615" s="138" t="s">
        <v>853</v>
      </c>
      <c r="B615" s="138"/>
      <c r="C615" s="127">
        <v>1081</v>
      </c>
      <c r="D615" s="127">
        <v>2041</v>
      </c>
      <c r="E615" s="126">
        <v>1356</v>
      </c>
      <c r="F615" s="127">
        <v>2677</v>
      </c>
      <c r="G615" s="127">
        <v>1909927.7800000056</v>
      </c>
      <c r="H615" s="127">
        <v>2151934.3600000171</v>
      </c>
      <c r="I615" s="126">
        <v>1194013.9999999965</v>
      </c>
      <c r="J615" s="126">
        <v>1105897.3500000299</v>
      </c>
      <c r="K615" s="127">
        <v>23008.285714285714</v>
      </c>
      <c r="L615" s="127">
        <v>35263.428571428572</v>
      </c>
      <c r="M615" s="140">
        <v>16.967762326169407</v>
      </c>
      <c r="N615" s="140">
        <v>13.589895598342165</v>
      </c>
      <c r="O615" s="139">
        <v>1408.5013126843699</v>
      </c>
      <c r="P615" s="139">
        <v>803.86042584983829</v>
      </c>
      <c r="Q615" s="141">
        <v>0.625161858214342</v>
      </c>
      <c r="R615" s="141">
        <v>0.50477801907788877</v>
      </c>
      <c r="S615" s="127">
        <v>23124</v>
      </c>
      <c r="T615" s="127"/>
      <c r="U615" s="141">
        <v>-0.36289316329341614</v>
      </c>
      <c r="V615" s="141">
        <v>-0.53305939484497578</v>
      </c>
      <c r="W615" s="141">
        <v>-0.15654884101576905</v>
      </c>
      <c r="X615" s="141">
        <v>7.9387123946542015E-2</v>
      </c>
      <c r="Y615" s="141">
        <v>2.0704523276182663E-3</v>
      </c>
      <c r="Z615" s="141">
        <v>-1.2513871942807731E-2</v>
      </c>
      <c r="AA615" s="141">
        <v>-4.5070422535211319E-2</v>
      </c>
      <c r="AB615" s="141">
        <v>-5.9003309758304923E-2</v>
      </c>
      <c r="AC615" s="141">
        <v>-1.4590486620053911E-2</v>
      </c>
      <c r="AD615" s="143">
        <v>-0.55670770868949015</v>
      </c>
      <c r="AE615" s="143">
        <v>-0.44290231637963545</v>
      </c>
      <c r="AF615" s="143">
        <v>-0.23784919071028168</v>
      </c>
    </row>
    <row r="616" spans="1:32" x14ac:dyDescent="0.35">
      <c r="A616" t="s">
        <v>105</v>
      </c>
      <c r="B616" t="s">
        <v>736</v>
      </c>
      <c r="C616" s="31">
        <v>73</v>
      </c>
      <c r="D616" s="31">
        <v>44</v>
      </c>
      <c r="E616" s="72">
        <v>83</v>
      </c>
      <c r="F616" s="31">
        <v>47</v>
      </c>
      <c r="G616" s="73">
        <v>64815.62999999991</v>
      </c>
      <c r="H616" s="31">
        <v>45249.75</v>
      </c>
      <c r="I616" s="72">
        <v>14449.979999999992</v>
      </c>
      <c r="J616" s="72">
        <v>22499.500000000004</v>
      </c>
      <c r="K616" s="31">
        <v>2964.2857142857142</v>
      </c>
      <c r="L616" s="31">
        <v>7004.2857142857147</v>
      </c>
      <c r="M616" s="74">
        <v>35.714285714285715</v>
      </c>
      <c r="N616" s="74">
        <v>150.93009118541033</v>
      </c>
      <c r="O616" s="75">
        <v>780.91120481927601</v>
      </c>
      <c r="P616" s="75">
        <v>962.76063829787233</v>
      </c>
      <c r="Q616" s="76">
        <v>0.22293974462641206</v>
      </c>
      <c r="R616" s="76">
        <v>0.49722926646003579</v>
      </c>
      <c r="S616" s="31">
        <v>568.85714285714289</v>
      </c>
      <c r="T616" s="31"/>
      <c r="U616" s="76">
        <v>-0.70717927799306546</v>
      </c>
      <c r="V616" s="76">
        <v>0.44680851063829796</v>
      </c>
      <c r="W616" s="76">
        <v>0.22546909098945189</v>
      </c>
      <c r="X616" s="76">
        <v>-0.41809729105091442</v>
      </c>
      <c r="Y616" s="76">
        <v>-5.3147983187904368E-2</v>
      </c>
      <c r="Z616" s="76">
        <v>-4.6327787480466953E-2</v>
      </c>
      <c r="AA616" s="76">
        <v>-0.20952380952380956</v>
      </c>
      <c r="AB616" s="76">
        <v>-0.19060653157883933</v>
      </c>
      <c r="AC616" s="76">
        <v>2.3931496195444213E-2</v>
      </c>
      <c r="AD616" s="142"/>
      <c r="AE616" s="142"/>
      <c r="AF616" s="142"/>
    </row>
    <row r="617" spans="1:32" x14ac:dyDescent="0.35">
      <c r="A617" t="s">
        <v>105</v>
      </c>
      <c r="B617" t="s">
        <v>105</v>
      </c>
      <c r="C617" s="31">
        <v>126</v>
      </c>
      <c r="D617" s="31">
        <v>201</v>
      </c>
      <c r="E617" s="72">
        <v>156</v>
      </c>
      <c r="F617" s="31">
        <v>268</v>
      </c>
      <c r="G617" s="73">
        <v>50935.559999999947</v>
      </c>
      <c r="H617" s="31">
        <v>146128.89999999988</v>
      </c>
      <c r="I617" s="72">
        <v>9681.830000000009</v>
      </c>
      <c r="J617" s="72">
        <v>56493.859999999855</v>
      </c>
      <c r="K617" s="31">
        <v>3662.1428571428573</v>
      </c>
      <c r="L617" s="31">
        <v>47813.857142857145</v>
      </c>
      <c r="M617" s="74">
        <v>23.475274725274726</v>
      </c>
      <c r="N617" s="74">
        <v>179.16675517790759</v>
      </c>
      <c r="O617" s="75">
        <v>326.50999999999965</v>
      </c>
      <c r="P617" s="75">
        <v>545.25708955223831</v>
      </c>
      <c r="Q617" s="76">
        <v>0.1900799755612782</v>
      </c>
      <c r="R617" s="76">
        <v>0.38576299273177611</v>
      </c>
      <c r="S617" s="31">
        <v>2384.2857142857142</v>
      </c>
      <c r="T617" s="31"/>
      <c r="U617" s="76">
        <v>-0.92653056346486529</v>
      </c>
      <c r="V617" s="76">
        <v>-0.42910447761194026</v>
      </c>
      <c r="W617" s="76">
        <v>-0.65796601493612838</v>
      </c>
      <c r="X617" s="76">
        <v>-0.83363224239944644</v>
      </c>
      <c r="Y617" s="76">
        <v>-5.5836173343053574E-2</v>
      </c>
      <c r="Z617" s="76">
        <v>-6.9881354087297232E-2</v>
      </c>
      <c r="AA617" s="76">
        <v>-7.1428571428571397E-2</v>
      </c>
      <c r="AB617" s="76">
        <v>-0.24165310213101621</v>
      </c>
      <c r="AC617" s="76">
        <v>-0.18331872537186367</v>
      </c>
      <c r="AD617" s="142"/>
      <c r="AE617" s="142"/>
      <c r="AF617" s="142"/>
    </row>
    <row r="618" spans="1:32" x14ac:dyDescent="0.35">
      <c r="A618" t="s">
        <v>105</v>
      </c>
      <c r="B618" t="s">
        <v>737</v>
      </c>
      <c r="C618" s="31">
        <v>58</v>
      </c>
      <c r="D618" s="31">
        <v>112</v>
      </c>
      <c r="E618" s="72">
        <v>71</v>
      </c>
      <c r="F618" s="31">
        <v>122</v>
      </c>
      <c r="G618" s="73">
        <v>9646.9200000000037</v>
      </c>
      <c r="H618" s="31">
        <v>27435.210000000021</v>
      </c>
      <c r="I618" s="72">
        <v>883.98000000000104</v>
      </c>
      <c r="J618" s="72">
        <v>12589.480000000021</v>
      </c>
      <c r="K618" s="31">
        <v>582</v>
      </c>
      <c r="L618" s="31">
        <v>6901.4285714285716</v>
      </c>
      <c r="M618" s="74">
        <v>8.1971830985915499</v>
      </c>
      <c r="N618" s="74">
        <v>57.274285714285718</v>
      </c>
      <c r="O618" s="75">
        <v>135.87211267605639</v>
      </c>
      <c r="P618" s="75">
        <v>224.87877049180344</v>
      </c>
      <c r="Q618" s="76">
        <v>9.163339179758935E-2</v>
      </c>
      <c r="R618" s="76">
        <v>0.44731931319614543</v>
      </c>
      <c r="S618" s="31">
        <v>105.57142857142857</v>
      </c>
      <c r="T618" s="31"/>
      <c r="U618" s="76">
        <v>-0.91697371144690543</v>
      </c>
      <c r="V618" s="76">
        <v>-0.41803278688524592</v>
      </c>
      <c r="W618" s="76">
        <v>-0.64837447936429149</v>
      </c>
      <c r="X618" s="76">
        <v>-0.92792315325400887</v>
      </c>
      <c r="Y618" s="76">
        <v>-0.12494242422915092</v>
      </c>
      <c r="Z618" s="76">
        <v>-0.12518788919905521</v>
      </c>
      <c r="AA618" s="76">
        <v>0.5106382978723405</v>
      </c>
      <c r="AB618" s="76">
        <v>0.50800985443449642</v>
      </c>
      <c r="AC618" s="76">
        <v>-1.7399555151926815E-3</v>
      </c>
      <c r="AD618" s="142"/>
      <c r="AE618" s="142"/>
      <c r="AF618" s="142"/>
    </row>
    <row r="619" spans="1:32" x14ac:dyDescent="0.35">
      <c r="A619" t="s">
        <v>105</v>
      </c>
      <c r="B619" t="s">
        <v>738</v>
      </c>
      <c r="C619" s="31">
        <v>9</v>
      </c>
      <c r="D619" s="31">
        <v>71</v>
      </c>
      <c r="E619" s="72">
        <v>11</v>
      </c>
      <c r="F619" s="31">
        <v>76</v>
      </c>
      <c r="G619" s="73">
        <v>1499.86</v>
      </c>
      <c r="H619" s="31">
        <v>32913.180000000022</v>
      </c>
      <c r="I619" s="72">
        <v>-203.25</v>
      </c>
      <c r="J619" s="72">
        <v>12314.610000000026</v>
      </c>
      <c r="K619" s="31">
        <v>284.14285714285717</v>
      </c>
      <c r="L619" s="31">
        <v>2329.8571428571427</v>
      </c>
      <c r="M619" s="74">
        <v>25.831168831168835</v>
      </c>
      <c r="N619" s="74">
        <v>30.88245931283906</v>
      </c>
      <c r="O619" s="75">
        <v>136.35090909090908</v>
      </c>
      <c r="P619" s="75">
        <v>433.06815789473711</v>
      </c>
      <c r="Q619" s="76">
        <v>-0.13551264784713241</v>
      </c>
      <c r="R619" s="76">
        <v>0.37047061637252254</v>
      </c>
      <c r="S619" s="31">
        <v>64</v>
      </c>
      <c r="T619" s="31"/>
      <c r="U619" s="76">
        <v>-0.8780427984548409</v>
      </c>
      <c r="V619" s="76">
        <v>-0.85526315789473684</v>
      </c>
      <c r="W619" s="76">
        <v>-0.95442980593184856</v>
      </c>
      <c r="X619" s="76">
        <v>-1.0163025954213167</v>
      </c>
      <c r="Y619" s="76">
        <v>-6.4883587125235787E-2</v>
      </c>
      <c r="Z619" s="76">
        <v>-5.7792515395546973E-2</v>
      </c>
      <c r="AA619" s="76">
        <v>-0.54166666666666674</v>
      </c>
      <c r="AB619" s="76">
        <v>-0.53878134657666932</v>
      </c>
      <c r="AC619" s="76">
        <v>6.2952438327212867E-3</v>
      </c>
      <c r="AD619" s="142"/>
      <c r="AE619" s="142"/>
      <c r="AF619" s="142"/>
    </row>
    <row r="620" spans="1:32" x14ac:dyDescent="0.35">
      <c r="A620" t="s">
        <v>105</v>
      </c>
      <c r="B620" t="s">
        <v>739</v>
      </c>
      <c r="C620" s="31">
        <v>1</v>
      </c>
      <c r="D620" s="31">
        <v>6</v>
      </c>
      <c r="E620" s="72">
        <v>1</v>
      </c>
      <c r="F620" s="31">
        <v>7</v>
      </c>
      <c r="G620" s="73">
        <v>272.72000000000003</v>
      </c>
      <c r="H620" s="31">
        <v>994.96999999999991</v>
      </c>
      <c r="I620" s="72">
        <v>231.72</v>
      </c>
      <c r="J620" s="72">
        <v>513.37999999999988</v>
      </c>
      <c r="K620" s="31">
        <v>148.42857142857142</v>
      </c>
      <c r="L620" s="31">
        <v>333.85714285714283</v>
      </c>
      <c r="M620" s="74">
        <v>148.42857142857142</v>
      </c>
      <c r="N620" s="74">
        <v>47.836734693877546</v>
      </c>
      <c r="O620" s="75">
        <v>272.72000000000003</v>
      </c>
      <c r="P620" s="75">
        <v>142.13857142857142</v>
      </c>
      <c r="Q620" s="76">
        <v>0.84966265767087112</v>
      </c>
      <c r="R620" s="76">
        <v>0.51597535604088562</v>
      </c>
      <c r="S620" s="31">
        <v>622.57142857142856</v>
      </c>
      <c r="T620" s="31"/>
      <c r="U620" s="76">
        <v>-0.55840821566110399</v>
      </c>
      <c r="V620" s="76">
        <v>-0.85714285714285721</v>
      </c>
      <c r="W620" s="76">
        <v>-0.72590128345578253</v>
      </c>
      <c r="X620" s="76">
        <v>-0.54863843546690538</v>
      </c>
      <c r="Y620" s="76">
        <v>1.0665682329968895E-3</v>
      </c>
      <c r="Z620" s="76">
        <v>5.8083252662146645E-3</v>
      </c>
      <c r="AA620" s="76"/>
      <c r="AB620" s="76"/>
      <c r="AC620" s="76"/>
      <c r="AD620" s="142"/>
      <c r="AE620" s="142"/>
      <c r="AF620" s="142"/>
    </row>
    <row r="621" spans="1:32" x14ac:dyDescent="0.35">
      <c r="A621" s="138" t="s">
        <v>854</v>
      </c>
      <c r="B621" s="138"/>
      <c r="C621" s="127">
        <v>265</v>
      </c>
      <c r="D621" s="127">
        <v>426</v>
      </c>
      <c r="E621" s="126">
        <v>322</v>
      </c>
      <c r="F621" s="127">
        <v>520</v>
      </c>
      <c r="G621" s="127">
        <v>127170.68999999987</v>
      </c>
      <c r="H621" s="127">
        <v>252722.01000000013</v>
      </c>
      <c r="I621" s="126">
        <v>25044.259999999846</v>
      </c>
      <c r="J621" s="126">
        <v>104410.8300000001</v>
      </c>
      <c r="K621" s="127">
        <v>7641</v>
      </c>
      <c r="L621" s="127">
        <v>64383.285714285717</v>
      </c>
      <c r="M621" s="140">
        <v>23.729813664596275</v>
      </c>
      <c r="N621" s="140">
        <v>123.76362157766333</v>
      </c>
      <c r="O621" s="139">
        <v>394.94003105590025</v>
      </c>
      <c r="P621" s="139">
        <v>486.00386538461561</v>
      </c>
      <c r="Q621" s="141">
        <v>0.19693421495157312</v>
      </c>
      <c r="R621" s="141">
        <v>0.41094245938192175</v>
      </c>
      <c r="S621" s="127">
        <v>3745.2857142857142</v>
      </c>
      <c r="T621" s="127"/>
      <c r="U621" s="141">
        <v>-0.89797928921215131</v>
      </c>
      <c r="V621" s="141">
        <v>-0.41538461538461535</v>
      </c>
      <c r="W621" s="141">
        <v>-0.53762349389354769</v>
      </c>
      <c r="X621" s="141">
        <v>-0.77543259432163514</v>
      </c>
      <c r="Y621" s="141">
        <v>-5.6060121454518663E-2</v>
      </c>
      <c r="Z621" s="141">
        <v>-6.3602941176470584E-2</v>
      </c>
      <c r="AA621" s="141">
        <v>-6.3953488372093026E-2</v>
      </c>
      <c r="AB621" s="141">
        <v>-0.18945300325249625</v>
      </c>
      <c r="AC621" s="141">
        <v>-0.13407401589707679</v>
      </c>
      <c r="AD621" s="143"/>
      <c r="AE621" s="143"/>
      <c r="AF621" s="143"/>
    </row>
    <row r="622" spans="1:32" x14ac:dyDescent="0.35">
      <c r="A622" t="s">
        <v>69</v>
      </c>
      <c r="B622" t="s">
        <v>740</v>
      </c>
      <c r="C622" s="31">
        <v>3</v>
      </c>
      <c r="D622" s="31">
        <v>6</v>
      </c>
      <c r="E622" s="72">
        <v>3</v>
      </c>
      <c r="F622" s="31">
        <v>6</v>
      </c>
      <c r="G622" s="73">
        <v>1674.96</v>
      </c>
      <c r="H622" s="31">
        <v>3416.6</v>
      </c>
      <c r="I622" s="72">
        <v>894.92000000000007</v>
      </c>
      <c r="J622" s="72">
        <v>2164.64</v>
      </c>
      <c r="K622" s="31">
        <v>111.42857142857143</v>
      </c>
      <c r="L622" s="31">
        <v>54.857142857142854</v>
      </c>
      <c r="M622" s="74">
        <v>37.142857142857146</v>
      </c>
      <c r="N622" s="74">
        <v>9.1428571428571423</v>
      </c>
      <c r="O622" s="75">
        <v>558.32000000000005</v>
      </c>
      <c r="P622" s="75">
        <v>569.43333333333328</v>
      </c>
      <c r="Q622" s="76">
        <v>0.534293356259254</v>
      </c>
      <c r="R622" s="76">
        <v>0.63356553298600948</v>
      </c>
      <c r="S622" s="31">
        <v>3</v>
      </c>
      <c r="T622" s="31"/>
      <c r="U622" s="76">
        <v>0.94010416666666674</v>
      </c>
      <c r="V622" s="76">
        <v>-0.5</v>
      </c>
      <c r="W622" s="76">
        <v>-0.50975823918515473</v>
      </c>
      <c r="X622" s="76">
        <v>-0.58657328701308287</v>
      </c>
      <c r="Y622" s="76">
        <v>-2.5296743416667322E-2</v>
      </c>
      <c r="Z622" s="76">
        <v>-1.015228426395931E-2</v>
      </c>
      <c r="AA622" s="76">
        <v>-0.7</v>
      </c>
      <c r="AB622" s="76">
        <v>-0.68415812458986713</v>
      </c>
      <c r="AC622" s="76">
        <v>5.280625136710948E-2</v>
      </c>
      <c r="AD622" s="142"/>
      <c r="AE622" s="142"/>
      <c r="AF622" s="142"/>
    </row>
    <row r="623" spans="1:32" x14ac:dyDescent="0.35">
      <c r="A623" t="s">
        <v>69</v>
      </c>
      <c r="B623" t="s">
        <v>742</v>
      </c>
      <c r="C623" s="31">
        <v>4</v>
      </c>
      <c r="D623" s="31"/>
      <c r="E623" s="72">
        <v>7</v>
      </c>
      <c r="F623" s="31"/>
      <c r="G623" s="73">
        <v>449.94</v>
      </c>
      <c r="H623" s="31"/>
      <c r="I623" s="72">
        <v>37.32</v>
      </c>
      <c r="J623" s="72"/>
      <c r="K623" s="31">
        <v>1707.8571428571429</v>
      </c>
      <c r="L623" s="31">
        <v>1621.1428571428571</v>
      </c>
      <c r="M623" s="74">
        <v>243.9795918367347</v>
      </c>
      <c r="N623" s="74"/>
      <c r="O623" s="75">
        <v>64.277142857142863</v>
      </c>
      <c r="P623" s="75"/>
      <c r="Q623" s="76">
        <v>8.2944392585678095E-2</v>
      </c>
      <c r="R623" s="76"/>
      <c r="S623" s="31">
        <v>1</v>
      </c>
      <c r="T623" s="31"/>
      <c r="U623" s="76">
        <v>2.8198801550934016E-2</v>
      </c>
      <c r="V623" s="76"/>
      <c r="W623" s="76"/>
      <c r="X623" s="76"/>
      <c r="Y623" s="76">
        <v>-1.1141682665229968E-2</v>
      </c>
      <c r="Z623" s="76">
        <v>-6.6872857978761413E-4</v>
      </c>
      <c r="AA623" s="76">
        <v>-0.65</v>
      </c>
      <c r="AB623" s="76">
        <v>-0.75766421785121829</v>
      </c>
      <c r="AC623" s="76">
        <v>-0.30761205100348088</v>
      </c>
      <c r="AD623" s="142"/>
      <c r="AE623" s="142"/>
      <c r="AF623" s="142"/>
    </row>
    <row r="624" spans="1:32" x14ac:dyDescent="0.35">
      <c r="A624" t="s">
        <v>69</v>
      </c>
      <c r="B624" t="s">
        <v>751</v>
      </c>
      <c r="C624" s="31"/>
      <c r="D624" s="31">
        <v>1</v>
      </c>
      <c r="E624" s="72"/>
      <c r="F624" s="31">
        <v>1</v>
      </c>
      <c r="G624" s="73"/>
      <c r="H624" s="31">
        <v>666.66</v>
      </c>
      <c r="I624" s="72"/>
      <c r="J624" s="72">
        <v>660.77</v>
      </c>
      <c r="K624" s="31">
        <v>3</v>
      </c>
      <c r="L624" s="31">
        <v>3.8571428571428572</v>
      </c>
      <c r="M624" s="74"/>
      <c r="N624" s="74">
        <v>3.8571428571428572</v>
      </c>
      <c r="O624" s="75"/>
      <c r="P624" s="75">
        <v>666.66</v>
      </c>
      <c r="Q624" s="76"/>
      <c r="R624" s="76">
        <v>0.99116491164911646</v>
      </c>
      <c r="S624" s="31">
        <v>5</v>
      </c>
      <c r="T624" s="31"/>
      <c r="U624" s="76">
        <v>-0.22222222222222221</v>
      </c>
      <c r="V624" s="76"/>
      <c r="W624" s="76"/>
      <c r="X624" s="76"/>
      <c r="Y624" s="76">
        <v>0.10445132244455735</v>
      </c>
      <c r="Z624" s="76">
        <v>0.40000000000000013</v>
      </c>
      <c r="AA624" s="76"/>
      <c r="AB624" s="76"/>
      <c r="AC624" s="76"/>
      <c r="AD624" s="142"/>
      <c r="AE624" s="142"/>
      <c r="AF624" s="142"/>
    </row>
    <row r="625" spans="1:32" x14ac:dyDescent="0.35">
      <c r="A625" t="s">
        <v>69</v>
      </c>
      <c r="B625" t="s">
        <v>744</v>
      </c>
      <c r="C625" s="31">
        <v>0</v>
      </c>
      <c r="D625" s="31"/>
      <c r="E625" s="72">
        <v>0</v>
      </c>
      <c r="F625" s="31"/>
      <c r="G625" s="73">
        <v>0</v>
      </c>
      <c r="H625" s="31"/>
      <c r="I625" s="72">
        <v>0</v>
      </c>
      <c r="J625" s="72"/>
      <c r="K625" s="31">
        <v>77</v>
      </c>
      <c r="L625" s="31">
        <v>71.285714285714292</v>
      </c>
      <c r="M625" s="74"/>
      <c r="N625" s="74"/>
      <c r="O625" s="75"/>
      <c r="P625" s="75"/>
      <c r="Q625" s="76"/>
      <c r="R625" s="76"/>
      <c r="S625" s="31">
        <v>1699</v>
      </c>
      <c r="T625" s="31"/>
      <c r="U625" s="76">
        <v>5.8116232464929807E-2</v>
      </c>
      <c r="V625" s="76"/>
      <c r="W625" s="76"/>
      <c r="X625" s="76"/>
      <c r="Y625" s="76">
        <v>-1.5141248699942156E-2</v>
      </c>
      <c r="Z625" s="76">
        <v>-9.1911764705882026E-3</v>
      </c>
      <c r="AA625" s="76"/>
      <c r="AB625" s="76"/>
      <c r="AC625" s="76"/>
      <c r="AD625" s="142"/>
      <c r="AE625" s="142"/>
      <c r="AF625" s="142"/>
    </row>
    <row r="626" spans="1:32" x14ac:dyDescent="0.35">
      <c r="A626" t="s">
        <v>69</v>
      </c>
      <c r="B626" t="s">
        <v>752</v>
      </c>
      <c r="C626" s="31"/>
      <c r="D626" s="31"/>
      <c r="E626" s="72"/>
      <c r="F626" s="31"/>
      <c r="G626" s="73"/>
      <c r="H626" s="31"/>
      <c r="I626" s="72"/>
      <c r="J626" s="72"/>
      <c r="K626" s="31">
        <v>19.714285714285715</v>
      </c>
      <c r="L626" s="31">
        <v>7</v>
      </c>
      <c r="M626" s="74"/>
      <c r="N626" s="74"/>
      <c r="O626" s="75"/>
      <c r="P626" s="75"/>
      <c r="Q626" s="76"/>
      <c r="R626" s="76"/>
      <c r="S626" s="31">
        <v>4</v>
      </c>
      <c r="T626" s="31"/>
      <c r="U626" s="76">
        <v>1.8163265306122449</v>
      </c>
      <c r="V626" s="76"/>
      <c r="W626" s="76"/>
      <c r="X626" s="76"/>
      <c r="Y626" s="76">
        <v>2.1903784068030374</v>
      </c>
      <c r="Z626" s="76">
        <v>0.79220779220779236</v>
      </c>
      <c r="AA626" s="76"/>
      <c r="AB626" s="76"/>
      <c r="AC626" s="76"/>
      <c r="AD626" s="142"/>
      <c r="AE626" s="142"/>
      <c r="AF626" s="142"/>
    </row>
    <row r="627" spans="1:32" x14ac:dyDescent="0.35">
      <c r="A627" t="s">
        <v>69</v>
      </c>
      <c r="B627" t="s">
        <v>750</v>
      </c>
      <c r="C627" s="31"/>
      <c r="D627" s="31"/>
      <c r="E627" s="72"/>
      <c r="F627" s="31"/>
      <c r="G627" s="73"/>
      <c r="H627" s="31"/>
      <c r="I627" s="72"/>
      <c r="J627" s="72"/>
      <c r="K627" s="31">
        <v>10</v>
      </c>
      <c r="L627" s="31">
        <v>-2.5714285714285716</v>
      </c>
      <c r="M627" s="74"/>
      <c r="N627" s="74"/>
      <c r="O627" s="75"/>
      <c r="P627" s="75"/>
      <c r="Q627" s="76"/>
      <c r="R627" s="76"/>
      <c r="S627" s="31"/>
      <c r="T627" s="31"/>
      <c r="U627" s="76">
        <v>-4.8888888888888884</v>
      </c>
      <c r="V627" s="76"/>
      <c r="W627" s="76"/>
      <c r="X627" s="76"/>
      <c r="Y627" s="76">
        <v>3.9911979694480459E-2</v>
      </c>
      <c r="Z627" s="76">
        <v>0</v>
      </c>
      <c r="AA627" s="76"/>
      <c r="AB627" s="76"/>
      <c r="AC627" s="76"/>
      <c r="AD627" s="142"/>
      <c r="AE627" s="142"/>
      <c r="AF627" s="142"/>
    </row>
    <row r="628" spans="1:32" x14ac:dyDescent="0.35">
      <c r="A628" t="s">
        <v>69</v>
      </c>
      <c r="B628" t="s">
        <v>743</v>
      </c>
      <c r="C628" s="31"/>
      <c r="D628" s="31"/>
      <c r="E628" s="72"/>
      <c r="F628" s="31"/>
      <c r="G628" s="73"/>
      <c r="H628" s="31"/>
      <c r="I628" s="72"/>
      <c r="J628" s="72"/>
      <c r="K628" s="31">
        <v>26.714285714285715</v>
      </c>
      <c r="L628" s="31">
        <v>-6</v>
      </c>
      <c r="M628" s="74"/>
      <c r="N628" s="74"/>
      <c r="O628" s="75"/>
      <c r="P628" s="75"/>
      <c r="Q628" s="76"/>
      <c r="R628" s="76"/>
      <c r="S628" s="31"/>
      <c r="T628" s="31"/>
      <c r="U628" s="76">
        <v>-5.2380952380952381</v>
      </c>
      <c r="V628" s="76"/>
      <c r="W628" s="76"/>
      <c r="X628" s="76"/>
      <c r="Y628" s="76">
        <v>2.3802261703629313E-2</v>
      </c>
      <c r="Z628" s="76">
        <v>0.10650887573964507</v>
      </c>
      <c r="AA628" s="76"/>
      <c r="AB628" s="76"/>
      <c r="AC628" s="76"/>
      <c r="AD628" s="142"/>
      <c r="AE628" s="142"/>
      <c r="AF628" s="142"/>
    </row>
    <row r="629" spans="1:32" x14ac:dyDescent="0.35">
      <c r="A629" t="s">
        <v>69</v>
      </c>
      <c r="B629" t="s">
        <v>746</v>
      </c>
      <c r="C629" s="31"/>
      <c r="D629" s="31"/>
      <c r="E629" s="72"/>
      <c r="F629" s="31"/>
      <c r="G629" s="73"/>
      <c r="H629" s="31"/>
      <c r="I629" s="72"/>
      <c r="J629" s="72"/>
      <c r="K629" s="31">
        <v>-1</v>
      </c>
      <c r="L629" s="31">
        <v>-1</v>
      </c>
      <c r="M629" s="74"/>
      <c r="N629" s="74"/>
      <c r="O629" s="75"/>
      <c r="P629" s="75"/>
      <c r="Q629" s="76"/>
      <c r="R629" s="76"/>
      <c r="S629" s="31"/>
      <c r="T629" s="31"/>
      <c r="U629" s="76">
        <v>0</v>
      </c>
      <c r="V629" s="76"/>
      <c r="W629" s="76"/>
      <c r="X629" s="76"/>
      <c r="Y629" s="76">
        <v>-0.39521969354108466</v>
      </c>
      <c r="Z629" s="76">
        <v>-0.58823529411764697</v>
      </c>
      <c r="AA629" s="76"/>
      <c r="AB629" s="76"/>
      <c r="AC629" s="76"/>
      <c r="AD629" s="142"/>
      <c r="AE629" s="142"/>
      <c r="AF629" s="142"/>
    </row>
    <row r="630" spans="1:32" x14ac:dyDescent="0.35">
      <c r="A630" t="s">
        <v>69</v>
      </c>
      <c r="B630" t="s">
        <v>749</v>
      </c>
      <c r="C630" s="31"/>
      <c r="D630" s="31">
        <v>1</v>
      </c>
      <c r="E630" s="72"/>
      <c r="F630" s="31">
        <v>1</v>
      </c>
      <c r="G630" s="73"/>
      <c r="H630" s="31">
        <v>0.01</v>
      </c>
      <c r="I630" s="72"/>
      <c r="J630" s="72">
        <v>-99.99</v>
      </c>
      <c r="K630" s="31">
        <v>-2</v>
      </c>
      <c r="L630" s="31">
        <v>2.7142857142857144</v>
      </c>
      <c r="M630" s="74"/>
      <c r="N630" s="74">
        <v>2.7142857142857144</v>
      </c>
      <c r="O630" s="75"/>
      <c r="P630" s="75">
        <v>0.01</v>
      </c>
      <c r="Q630" s="76"/>
      <c r="R630" s="76">
        <v>-9999</v>
      </c>
      <c r="S630" s="31"/>
      <c r="T630" s="31"/>
      <c r="U630" s="76">
        <v>-2.1052631578947367</v>
      </c>
      <c r="V630" s="76"/>
      <c r="W630" s="76"/>
      <c r="X630" s="76"/>
      <c r="Y630" s="76">
        <v>3.4264249453068718E-3</v>
      </c>
      <c r="Z630" s="76">
        <v>-0.26315789473684215</v>
      </c>
      <c r="AA630" s="76"/>
      <c r="AB630" s="76"/>
      <c r="AC630" s="76"/>
      <c r="AD630" s="142"/>
      <c r="AE630" s="142"/>
      <c r="AF630" s="142"/>
    </row>
    <row r="631" spans="1:32" x14ac:dyDescent="0.35">
      <c r="A631" t="s">
        <v>69</v>
      </c>
      <c r="B631" t="s">
        <v>827</v>
      </c>
      <c r="C631" s="31"/>
      <c r="D631" s="31"/>
      <c r="E631" s="72"/>
      <c r="F631" s="31"/>
      <c r="G631" s="73"/>
      <c r="H631" s="31"/>
      <c r="I631" s="72"/>
      <c r="J631" s="72"/>
      <c r="K631" s="31">
        <v>1</v>
      </c>
      <c r="L631" s="31"/>
      <c r="M631" s="74"/>
      <c r="N631" s="74"/>
      <c r="O631" s="75"/>
      <c r="P631" s="75"/>
      <c r="Q631" s="76"/>
      <c r="R631" s="76"/>
      <c r="S631" s="31"/>
      <c r="T631" s="31"/>
      <c r="U631" s="76"/>
      <c r="V631" s="76"/>
      <c r="W631" s="76"/>
      <c r="X631" s="76"/>
      <c r="Y631" s="76">
        <v>0</v>
      </c>
      <c r="Z631" s="76">
        <v>0</v>
      </c>
      <c r="AA631" s="76"/>
      <c r="AB631" s="76"/>
      <c r="AC631" s="76"/>
      <c r="AD631" s="142"/>
      <c r="AE631" s="142"/>
      <c r="AF631" s="142"/>
    </row>
    <row r="632" spans="1:32" x14ac:dyDescent="0.35">
      <c r="A632" t="s">
        <v>69</v>
      </c>
      <c r="B632" t="s">
        <v>825</v>
      </c>
      <c r="C632" s="31"/>
      <c r="D632" s="31"/>
      <c r="E632" s="72"/>
      <c r="F632" s="31"/>
      <c r="G632" s="73"/>
      <c r="H632" s="31"/>
      <c r="I632" s="72"/>
      <c r="J632" s="72"/>
      <c r="K632" s="31">
        <v>1</v>
      </c>
      <c r="L632" s="31"/>
      <c r="M632" s="74"/>
      <c r="N632" s="74"/>
      <c r="O632" s="75"/>
      <c r="P632" s="75"/>
      <c r="Q632" s="76"/>
      <c r="R632" s="76"/>
      <c r="S632" s="31"/>
      <c r="T632" s="31"/>
      <c r="U632" s="76"/>
      <c r="V632" s="76"/>
      <c r="W632" s="76"/>
      <c r="X632" s="76"/>
      <c r="Y632" s="76">
        <v>0</v>
      </c>
      <c r="Z632" s="76">
        <v>0</v>
      </c>
      <c r="AA632" s="76"/>
      <c r="AB632" s="76"/>
      <c r="AC632" s="76"/>
      <c r="AD632" s="142"/>
      <c r="AE632" s="142"/>
      <c r="AF632" s="142"/>
    </row>
    <row r="633" spans="1:32" x14ac:dyDescent="0.35">
      <c r="A633" t="s">
        <v>69</v>
      </c>
      <c r="B633" t="s">
        <v>748</v>
      </c>
      <c r="C633" s="31"/>
      <c r="D633" s="31"/>
      <c r="E633" s="72"/>
      <c r="F633" s="31"/>
      <c r="G633" s="73"/>
      <c r="H633" s="31"/>
      <c r="I633" s="72"/>
      <c r="J633" s="72"/>
      <c r="K633" s="31">
        <v>11.571428571428571</v>
      </c>
      <c r="L633" s="31">
        <v>-1</v>
      </c>
      <c r="M633" s="74"/>
      <c r="N633" s="74"/>
      <c r="O633" s="75"/>
      <c r="P633" s="75"/>
      <c r="Q633" s="76"/>
      <c r="R633" s="76"/>
      <c r="S633" s="31">
        <v>1</v>
      </c>
      <c r="T633" s="31"/>
      <c r="U633" s="76">
        <v>-12.571428571428571</v>
      </c>
      <c r="V633" s="76"/>
      <c r="W633" s="76"/>
      <c r="X633" s="76"/>
      <c r="Y633" s="76">
        <v>-8.5826013498443876E-2</v>
      </c>
      <c r="Z633" s="76">
        <v>-5.8139534883721034E-2</v>
      </c>
      <c r="AA633" s="76"/>
      <c r="AB633" s="76"/>
      <c r="AC633" s="76"/>
      <c r="AD633" s="142"/>
      <c r="AE633" s="142"/>
      <c r="AF633" s="142"/>
    </row>
    <row r="634" spans="1:32" x14ac:dyDescent="0.35">
      <c r="A634" t="s">
        <v>69</v>
      </c>
      <c r="B634" t="s">
        <v>826</v>
      </c>
      <c r="C634" s="31"/>
      <c r="D634" s="31"/>
      <c r="E634" s="72"/>
      <c r="F634" s="31"/>
      <c r="G634" s="73"/>
      <c r="H634" s="31"/>
      <c r="I634" s="72"/>
      <c r="J634" s="72"/>
      <c r="K634" s="31">
        <v>-1</v>
      </c>
      <c r="L634" s="31"/>
      <c r="M634" s="74"/>
      <c r="N634" s="74"/>
      <c r="O634" s="75"/>
      <c r="P634" s="75"/>
      <c r="Q634" s="76"/>
      <c r="R634" s="76"/>
      <c r="S634" s="31"/>
      <c r="T634" s="31"/>
      <c r="U634" s="76"/>
      <c r="V634" s="76"/>
      <c r="W634" s="76"/>
      <c r="X634" s="76"/>
      <c r="Y634" s="76">
        <v>0</v>
      </c>
      <c r="Z634" s="76">
        <v>0</v>
      </c>
      <c r="AA634" s="76"/>
      <c r="AB634" s="76"/>
      <c r="AC634" s="76"/>
      <c r="AD634" s="142"/>
      <c r="AE634" s="142"/>
      <c r="AF634" s="142"/>
    </row>
    <row r="635" spans="1:32" x14ac:dyDescent="0.35">
      <c r="A635" t="s">
        <v>69</v>
      </c>
      <c r="B635" t="s">
        <v>753</v>
      </c>
      <c r="C635" s="31"/>
      <c r="D635" s="31"/>
      <c r="E635" s="72"/>
      <c r="F635" s="31"/>
      <c r="G635" s="73"/>
      <c r="H635" s="31"/>
      <c r="I635" s="72"/>
      <c r="J635" s="72"/>
      <c r="K635" s="31">
        <v>-13</v>
      </c>
      <c r="L635" s="31">
        <v>-4</v>
      </c>
      <c r="M635" s="74"/>
      <c r="N635" s="74"/>
      <c r="O635" s="75"/>
      <c r="P635" s="75"/>
      <c r="Q635" s="76"/>
      <c r="R635" s="76"/>
      <c r="S635" s="31"/>
      <c r="T635" s="31"/>
      <c r="U635" s="76">
        <v>2.5</v>
      </c>
      <c r="V635" s="76"/>
      <c r="W635" s="76"/>
      <c r="X635" s="76"/>
      <c r="Y635" s="76">
        <v>-2.8453694901273696E-3</v>
      </c>
      <c r="Z635" s="76">
        <v>-7.1428571428571397E-2</v>
      </c>
      <c r="AA635" s="76"/>
      <c r="AB635" s="76"/>
      <c r="AC635" s="76"/>
      <c r="AD635" s="142"/>
      <c r="AE635" s="142"/>
      <c r="AF635" s="142"/>
    </row>
    <row r="636" spans="1:32" x14ac:dyDescent="0.35">
      <c r="A636" t="s">
        <v>69</v>
      </c>
      <c r="B636" t="s">
        <v>828</v>
      </c>
      <c r="C636" s="31"/>
      <c r="D636" s="31"/>
      <c r="E636" s="72"/>
      <c r="F636" s="31"/>
      <c r="G636" s="73"/>
      <c r="H636" s="31"/>
      <c r="I636" s="72"/>
      <c r="J636" s="72"/>
      <c r="K636" s="31">
        <v>0</v>
      </c>
      <c r="L636" s="31"/>
      <c r="M636" s="74"/>
      <c r="N636" s="74"/>
      <c r="O636" s="75"/>
      <c r="P636" s="75"/>
      <c r="Q636" s="76"/>
      <c r="R636" s="76"/>
      <c r="S636" s="31"/>
      <c r="T636" s="31"/>
      <c r="U636" s="76"/>
      <c r="V636" s="76"/>
      <c r="W636" s="76"/>
      <c r="X636" s="76"/>
      <c r="Y636" s="76">
        <v>-1</v>
      </c>
      <c r="Z636" s="76">
        <v>-1</v>
      </c>
      <c r="AA636" s="76"/>
      <c r="AB636" s="76"/>
      <c r="AC636" s="76"/>
      <c r="AD636" s="142"/>
      <c r="AE636" s="142"/>
      <c r="AF636" s="142"/>
    </row>
    <row r="637" spans="1:32" x14ac:dyDescent="0.35">
      <c r="A637" t="s">
        <v>69</v>
      </c>
      <c r="B637" t="s">
        <v>855</v>
      </c>
      <c r="C637" s="31"/>
      <c r="D637" s="31"/>
      <c r="E637" s="72"/>
      <c r="F637" s="31"/>
      <c r="G637" s="73"/>
      <c r="H637" s="31"/>
      <c r="I637" s="72"/>
      <c r="J637" s="72"/>
      <c r="K637" s="31">
        <v>1</v>
      </c>
      <c r="L637" s="31"/>
      <c r="M637" s="74"/>
      <c r="N637" s="74"/>
      <c r="O637" s="75"/>
      <c r="P637" s="75"/>
      <c r="Q637" s="76"/>
      <c r="R637" s="76"/>
      <c r="S637" s="31"/>
      <c r="T637" s="31"/>
      <c r="U637" s="76"/>
      <c r="V637" s="76"/>
      <c r="W637" s="76"/>
      <c r="X637" s="76"/>
      <c r="Y637" s="76">
        <v>0</v>
      </c>
      <c r="Z637" s="76">
        <v>0</v>
      </c>
      <c r="AA637" s="76"/>
      <c r="AB637" s="76"/>
      <c r="AC637" s="76"/>
      <c r="AD637" s="142"/>
      <c r="AE637" s="142"/>
      <c r="AF637" s="142"/>
    </row>
    <row r="638" spans="1:32" x14ac:dyDescent="0.35">
      <c r="A638" t="s">
        <v>69</v>
      </c>
      <c r="B638" t="s">
        <v>829</v>
      </c>
      <c r="C638" s="31"/>
      <c r="D638" s="31"/>
      <c r="E638" s="72"/>
      <c r="F638" s="31"/>
      <c r="G638" s="73"/>
      <c r="H638" s="31"/>
      <c r="I638" s="72"/>
      <c r="J638" s="72"/>
      <c r="K638" s="31">
        <v>0</v>
      </c>
      <c r="L638" s="31"/>
      <c r="M638" s="74"/>
      <c r="N638" s="74"/>
      <c r="O638" s="75"/>
      <c r="P638" s="75"/>
      <c r="Q638" s="76"/>
      <c r="R638" s="76"/>
      <c r="S638" s="31"/>
      <c r="T638" s="31"/>
      <c r="U638" s="76"/>
      <c r="V638" s="76"/>
      <c r="W638" s="76"/>
      <c r="X638" s="76"/>
      <c r="Y638" s="76"/>
      <c r="Z638" s="76"/>
      <c r="AA638" s="76"/>
      <c r="AB638" s="76"/>
      <c r="AC638" s="76"/>
      <c r="AD638" s="142"/>
      <c r="AE638" s="142"/>
      <c r="AF638" s="142"/>
    </row>
    <row r="639" spans="1:32" x14ac:dyDescent="0.35">
      <c r="A639" t="s">
        <v>69</v>
      </c>
      <c r="B639" t="s">
        <v>754</v>
      </c>
      <c r="C639" s="31"/>
      <c r="D639" s="31">
        <v>1</v>
      </c>
      <c r="E639" s="72"/>
      <c r="F639" s="31">
        <v>1</v>
      </c>
      <c r="G639" s="73"/>
      <c r="H639" s="31">
        <v>2</v>
      </c>
      <c r="I639" s="72"/>
      <c r="J639" s="72">
        <v>-98</v>
      </c>
      <c r="K639" s="31">
        <v>27.714285714285715</v>
      </c>
      <c r="L639" s="31">
        <v>8.7142857142857135</v>
      </c>
      <c r="M639" s="74"/>
      <c r="N639" s="74">
        <v>8.7142857142857135</v>
      </c>
      <c r="O639" s="75"/>
      <c r="P639" s="75">
        <v>2</v>
      </c>
      <c r="Q639" s="76"/>
      <c r="R639" s="76">
        <v>-49</v>
      </c>
      <c r="S639" s="31"/>
      <c r="T639" s="31"/>
      <c r="U639" s="76">
        <v>2.1803278688524594</v>
      </c>
      <c r="V639" s="76"/>
      <c r="W639" s="76"/>
      <c r="X639" s="76"/>
      <c r="Y639" s="76">
        <v>-3.2877009843782168E-2</v>
      </c>
      <c r="Z639" s="76">
        <v>-3.4825870646766122E-2</v>
      </c>
      <c r="AA639" s="76"/>
      <c r="AB639" s="76"/>
      <c r="AC639" s="76"/>
      <c r="AD639" s="142"/>
      <c r="AE639" s="142"/>
      <c r="AF639" s="142"/>
    </row>
    <row r="640" spans="1:32" x14ac:dyDescent="0.35">
      <c r="A640" t="s">
        <v>69</v>
      </c>
      <c r="B640" t="s">
        <v>745</v>
      </c>
      <c r="C640" s="31"/>
      <c r="D640" s="31"/>
      <c r="E640" s="72"/>
      <c r="F640" s="31"/>
      <c r="G640" s="73"/>
      <c r="H640" s="31"/>
      <c r="I640" s="72"/>
      <c r="J640" s="72"/>
      <c r="K640" s="31">
        <v>130.57142857142858</v>
      </c>
      <c r="L640" s="31">
        <v>13.857142857142858</v>
      </c>
      <c r="M640" s="74"/>
      <c r="N640" s="74"/>
      <c r="O640" s="75"/>
      <c r="P640" s="75"/>
      <c r="Q640" s="76"/>
      <c r="R640" s="76"/>
      <c r="S640" s="31"/>
      <c r="T640" s="31"/>
      <c r="U640" s="76">
        <v>8.2061855670103085</v>
      </c>
      <c r="V640" s="76"/>
      <c r="W640" s="76"/>
      <c r="X640" s="76"/>
      <c r="Y640" s="76">
        <v>3.819979914526872E-3</v>
      </c>
      <c r="Z640" s="76">
        <v>0</v>
      </c>
      <c r="AA640" s="76"/>
      <c r="AB640" s="76"/>
      <c r="AC640" s="76"/>
      <c r="AD640" s="142"/>
      <c r="AE640" s="142"/>
      <c r="AF640" s="142"/>
    </row>
    <row r="641" spans="1:32" x14ac:dyDescent="0.35">
      <c r="A641" t="s">
        <v>69</v>
      </c>
      <c r="B641" t="s">
        <v>830</v>
      </c>
      <c r="C641" s="31"/>
      <c r="D641" s="31"/>
      <c r="E641" s="72"/>
      <c r="F641" s="31"/>
      <c r="G641" s="73"/>
      <c r="H641" s="31"/>
      <c r="I641" s="72"/>
      <c r="J641" s="72"/>
      <c r="K641" s="31">
        <v>1</v>
      </c>
      <c r="L641" s="31"/>
      <c r="M641" s="74"/>
      <c r="N641" s="74"/>
      <c r="O641" s="75"/>
      <c r="P641" s="75"/>
      <c r="Q641" s="76"/>
      <c r="R641" s="76"/>
      <c r="S641" s="31"/>
      <c r="T641" s="31"/>
      <c r="U641" s="76"/>
      <c r="V641" s="76"/>
      <c r="W641" s="76"/>
      <c r="X641" s="76"/>
      <c r="Y641" s="76">
        <v>0</v>
      </c>
      <c r="Z641" s="76">
        <v>0</v>
      </c>
      <c r="AA641" s="76"/>
      <c r="AB641" s="76"/>
      <c r="AC641" s="76"/>
      <c r="AD641" s="142"/>
      <c r="AE641" s="142"/>
      <c r="AF641" s="142"/>
    </row>
    <row r="642" spans="1:32" x14ac:dyDescent="0.35">
      <c r="A642" t="s">
        <v>69</v>
      </c>
      <c r="B642" t="s">
        <v>747</v>
      </c>
      <c r="C642" s="31"/>
      <c r="D642" s="31"/>
      <c r="E642" s="72"/>
      <c r="F642" s="31"/>
      <c r="G642" s="73"/>
      <c r="H642" s="31"/>
      <c r="I642" s="72"/>
      <c r="J642" s="72"/>
      <c r="K642" s="31">
        <v>-9</v>
      </c>
      <c r="L642" s="31">
        <v>-4</v>
      </c>
      <c r="M642" s="74"/>
      <c r="N642" s="74"/>
      <c r="O642" s="75"/>
      <c r="P642" s="75"/>
      <c r="Q642" s="76"/>
      <c r="R642" s="76"/>
      <c r="S642" s="31">
        <v>7</v>
      </c>
      <c r="T642" s="31"/>
      <c r="U642" s="76">
        <v>1.25</v>
      </c>
      <c r="V642" s="76"/>
      <c r="W642" s="76"/>
      <c r="X642" s="76"/>
      <c r="Y642" s="76">
        <v>-1.0264750099080788E-2</v>
      </c>
      <c r="Z642" s="76">
        <v>0</v>
      </c>
      <c r="AA642" s="76"/>
      <c r="AB642" s="76"/>
      <c r="AC642" s="76"/>
      <c r="AD642" s="142"/>
      <c r="AE642" s="142"/>
      <c r="AF642" s="142"/>
    </row>
    <row r="643" spans="1:32" x14ac:dyDescent="0.35">
      <c r="A643" t="s">
        <v>69</v>
      </c>
      <c r="B643" t="s">
        <v>831</v>
      </c>
      <c r="C643" s="31"/>
      <c r="D643" s="31"/>
      <c r="E643" s="72"/>
      <c r="F643" s="31"/>
      <c r="G643" s="73"/>
      <c r="H643" s="31"/>
      <c r="I643" s="72"/>
      <c r="J643" s="72"/>
      <c r="K643" s="31">
        <v>-4</v>
      </c>
      <c r="L643" s="31"/>
      <c r="M643" s="74"/>
      <c r="N643" s="74"/>
      <c r="O643" s="75"/>
      <c r="P643" s="75"/>
      <c r="Q643" s="76"/>
      <c r="R643" s="76"/>
      <c r="S643" s="31">
        <v>24</v>
      </c>
      <c r="T643" s="31"/>
      <c r="U643" s="76"/>
      <c r="V643" s="76"/>
      <c r="W643" s="76"/>
      <c r="X643" s="76"/>
      <c r="Y643" s="76">
        <v>0</v>
      </c>
      <c r="Z643" s="76">
        <v>0</v>
      </c>
      <c r="AA643" s="76"/>
      <c r="AB643" s="76"/>
      <c r="AC643" s="76"/>
      <c r="AD643" s="142"/>
      <c r="AE643" s="142"/>
      <c r="AF643" s="142"/>
    </row>
    <row r="644" spans="1:32" x14ac:dyDescent="0.35">
      <c r="A644" t="s">
        <v>69</v>
      </c>
      <c r="B644" t="s">
        <v>741</v>
      </c>
      <c r="C644" s="31">
        <v>0</v>
      </c>
      <c r="D644" s="31">
        <v>3</v>
      </c>
      <c r="E644" s="72">
        <v>0</v>
      </c>
      <c r="F644" s="31">
        <v>4</v>
      </c>
      <c r="G644" s="73">
        <v>-86.63000000000001</v>
      </c>
      <c r="H644" s="31">
        <v>233.3</v>
      </c>
      <c r="I644" s="72">
        <v>-95.440000000000012</v>
      </c>
      <c r="J644" s="72">
        <v>144.27000000000001</v>
      </c>
      <c r="K644" s="31">
        <v>23.285714285714285</v>
      </c>
      <c r="L644" s="31">
        <v>10.857142857142858</v>
      </c>
      <c r="M644" s="74"/>
      <c r="N644" s="74">
        <v>2.7142857142857144</v>
      </c>
      <c r="O644" s="75"/>
      <c r="P644" s="75">
        <v>58.325000000000003</v>
      </c>
      <c r="Q644" s="76">
        <v>1.1016968717534341</v>
      </c>
      <c r="R644" s="76">
        <v>0.6183883411915988</v>
      </c>
      <c r="S644" s="31">
        <v>-25</v>
      </c>
      <c r="T644" s="31"/>
      <c r="U644" s="76">
        <v>1.1447368421052628</v>
      </c>
      <c r="V644" s="76">
        <v>-1</v>
      </c>
      <c r="W644" s="76">
        <v>-1.3713244749249893</v>
      </c>
      <c r="X644" s="76">
        <v>-1.6615373951618495</v>
      </c>
      <c r="Y644" s="76">
        <v>0.18586210371149292</v>
      </c>
      <c r="Z644" s="76">
        <v>0.18115942028985499</v>
      </c>
      <c r="AA644" s="76">
        <v>-1</v>
      </c>
      <c r="AB644" s="76">
        <v>-2.2995799579957996</v>
      </c>
      <c r="AC644" s="76"/>
      <c r="AD644" s="142"/>
      <c r="AE644" s="142"/>
      <c r="AF644" s="142"/>
    </row>
    <row r="645" spans="1:32" x14ac:dyDescent="0.35">
      <c r="A645" s="138" t="s">
        <v>856</v>
      </c>
      <c r="B645" s="138"/>
      <c r="C645" s="127">
        <v>7</v>
      </c>
      <c r="D645" s="127">
        <v>12</v>
      </c>
      <c r="E645" s="126">
        <v>10</v>
      </c>
      <c r="F645" s="127">
        <v>13</v>
      </c>
      <c r="G645" s="127">
        <v>2038.2699999999998</v>
      </c>
      <c r="H645" s="127">
        <v>4318.57</v>
      </c>
      <c r="I645" s="126">
        <v>836.80000000000007</v>
      </c>
      <c r="J645" s="126">
        <v>2771.6899999999996</v>
      </c>
      <c r="K645" s="127">
        <v>2122.8571428571427</v>
      </c>
      <c r="L645" s="127">
        <v>1775.7142857142858</v>
      </c>
      <c r="M645" s="140">
        <v>212.28571428571428</v>
      </c>
      <c r="N645" s="140">
        <v>138.26373626373626</v>
      </c>
      <c r="O645" s="139">
        <v>203.82699999999997</v>
      </c>
      <c r="P645" s="139">
        <v>332.19769230769231</v>
      </c>
      <c r="Q645" s="141">
        <v>0.41054423604331131</v>
      </c>
      <c r="R645" s="141">
        <v>0.64180735752807061</v>
      </c>
      <c r="S645" s="127">
        <v>1718.4285714285713</v>
      </c>
      <c r="T645" s="127"/>
      <c r="U645" s="141">
        <v>0.16516492357200319</v>
      </c>
      <c r="V645" s="141">
        <v>-0.23076923076923073</v>
      </c>
      <c r="W645" s="141">
        <v>-0.52802200728481885</v>
      </c>
      <c r="X645" s="141">
        <v>-0.69809033477769888</v>
      </c>
      <c r="Y645" s="141">
        <v>-5.7680217760130992E-3</v>
      </c>
      <c r="Z645" s="141">
        <v>6.7750677506774881E-3</v>
      </c>
      <c r="AA645" s="141">
        <v>-0.69696969696969702</v>
      </c>
      <c r="AB645" s="141">
        <v>-0.73030444568233333</v>
      </c>
      <c r="AC645" s="141">
        <v>-0.11000467075170006</v>
      </c>
      <c r="AD645" s="143"/>
      <c r="AE645" s="143"/>
      <c r="AF645" s="143"/>
    </row>
    <row r="646" spans="1:32" x14ac:dyDescent="0.35">
      <c r="A646" t="s">
        <v>860</v>
      </c>
      <c r="C646" s="31">
        <v>133393</v>
      </c>
      <c r="D646" s="31">
        <v>141866</v>
      </c>
      <c r="E646" s="72">
        <v>345609</v>
      </c>
      <c r="F646" s="31">
        <v>373260</v>
      </c>
      <c r="G646" s="73">
        <v>147418412.50000009</v>
      </c>
      <c r="H646" s="31">
        <v>116322889.39999968</v>
      </c>
      <c r="I646" s="72">
        <v>77088382.649999857</v>
      </c>
      <c r="J646" s="72">
        <v>49403286.839999735</v>
      </c>
      <c r="K646" s="31">
        <v>4083359.5714285714</v>
      </c>
      <c r="L646" s="31">
        <v>5757204.2857142854</v>
      </c>
      <c r="M646" s="74">
        <v>11.814968856217781</v>
      </c>
      <c r="N646" s="74">
        <v>15.632639615911881</v>
      </c>
      <c r="O646" s="75">
        <v>426.54679854980662</v>
      </c>
      <c r="P646" s="75">
        <v>311.64038311096738</v>
      </c>
      <c r="Q646" s="76">
        <v>0.52292234967595996</v>
      </c>
      <c r="R646" s="76">
        <v>0.41663004591656511</v>
      </c>
      <c r="S646" s="31">
        <v>1547835.8965714283</v>
      </c>
      <c r="T646" s="31"/>
      <c r="U646" s="76">
        <v>-0.31604786847187483</v>
      </c>
      <c r="V646" s="76">
        <v>-0.10946257300541173</v>
      </c>
      <c r="W646" s="76">
        <v>0.22200221248975138</v>
      </c>
      <c r="X646" s="76">
        <v>0.5356287393359449</v>
      </c>
      <c r="Y646" s="76">
        <v>-5.8594089300609831E-3</v>
      </c>
      <c r="Z646" s="76">
        <v>-8.8559853536787081E-3</v>
      </c>
      <c r="AA646" s="76">
        <v>2.8148399360993892E-2</v>
      </c>
      <c r="AB646" s="76">
        <v>6.9532150402773718E-2</v>
      </c>
      <c r="AC646" s="76">
        <v>4.0250756668493093E-2</v>
      </c>
      <c r="AD646" s="142">
        <v>-0.18849137448494199</v>
      </c>
      <c r="AE646" s="142">
        <v>-7.602416160754398E-2</v>
      </c>
      <c r="AF646" s="142">
        <v>7.3718047216980179E-2</v>
      </c>
    </row>
  </sheetData>
  <mergeCells count="1">
    <mergeCell ref="Y12:AC12"/>
  </mergeCell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F37E-D40A-4EFD-A5D3-950E9AFACA75}">
  <sheetPr>
    <tabColor rgb="FFFF0000"/>
  </sheetPr>
  <dimension ref="A4:AL209"/>
  <sheetViews>
    <sheetView showGridLines="0" topLeftCell="A56" zoomScale="85" zoomScaleNormal="85" workbookViewId="0">
      <selection activeCell="A21" sqref="A21:S25"/>
    </sheetView>
  </sheetViews>
  <sheetFormatPr defaultColWidth="22.54296875" defaultRowHeight="15.5" outlineLevelRow="1" x14ac:dyDescent="0.35"/>
  <cols>
    <col min="1" max="1" width="24.1796875" bestFit="1" customWidth="1"/>
    <col min="2" max="2" width="13.453125" customWidth="1"/>
    <col min="3" max="3" width="10.1796875" customWidth="1"/>
    <col min="4" max="4" width="7.81640625" customWidth="1"/>
    <col min="5" max="5" width="9.7265625" customWidth="1"/>
    <col min="6" max="12" width="11" customWidth="1"/>
    <col min="13" max="16" width="9" customWidth="1"/>
    <col min="17" max="17" width="10.81640625" customWidth="1"/>
    <col min="18" max="18" width="9.54296875" customWidth="1"/>
    <col min="19" max="19" width="11.81640625" customWidth="1"/>
    <col min="20" max="20" width="12.1796875" customWidth="1"/>
    <col min="21" max="21" width="13.54296875" customWidth="1"/>
    <col min="22" max="22" width="11.54296875" customWidth="1"/>
    <col min="23" max="23" width="10.7265625" customWidth="1"/>
    <col min="24" max="24" width="12.453125" bestFit="1" customWidth="1"/>
    <col min="25" max="25" width="8.453125" bestFit="1" customWidth="1"/>
    <col min="26" max="26" width="7.81640625" bestFit="1" customWidth="1"/>
    <col min="27" max="27" width="8.1796875" bestFit="1" customWidth="1"/>
    <col min="28" max="28" width="8.453125" bestFit="1" customWidth="1"/>
    <col min="29" max="29" width="8.54296875" bestFit="1" customWidth="1"/>
    <col min="30" max="30" width="15.453125" customWidth="1"/>
    <col min="31" max="33" width="8.26953125" customWidth="1"/>
    <col min="34" max="34" width="7.81640625" customWidth="1"/>
    <col min="35" max="35" width="8" customWidth="1"/>
    <col min="36" max="36" width="8.1796875" customWidth="1"/>
    <col min="37" max="37" width="9.1796875" style="115" customWidth="1"/>
    <col min="38" max="38" width="9" customWidth="1"/>
  </cols>
  <sheetData>
    <row r="4" spans="1:13" x14ac:dyDescent="0.35">
      <c r="A4" s="132" t="s">
        <v>6</v>
      </c>
      <c r="B4" t="s" vm="11">
        <v>140</v>
      </c>
    </row>
    <row r="5" spans="1:13" x14ac:dyDescent="0.35">
      <c r="A5" s="132" t="s">
        <v>4</v>
      </c>
      <c r="B5" t="s" vm="12">
        <v>5</v>
      </c>
    </row>
    <row r="6" spans="1:13" x14ac:dyDescent="0.35">
      <c r="A6" s="132" t="s">
        <v>111</v>
      </c>
      <c r="B6" t="s" vm="13">
        <v>112</v>
      </c>
    </row>
    <row r="7" spans="1:13" x14ac:dyDescent="0.35">
      <c r="A7" s="132" t="s">
        <v>0</v>
      </c>
      <c r="B7" t="s" vm="14">
        <v>1</v>
      </c>
    </row>
    <row r="8" spans="1:13" x14ac:dyDescent="0.35">
      <c r="A8" s="132" t="s">
        <v>141</v>
      </c>
      <c r="B8" t="s" vm="15">
        <v>3</v>
      </c>
    </row>
    <row r="9" spans="1:13" x14ac:dyDescent="0.35">
      <c r="A9" s="132" t="s">
        <v>110</v>
      </c>
      <c r="B9" t="s" vm="16">
        <v>3</v>
      </c>
    </row>
    <row r="10" spans="1:13" x14ac:dyDescent="0.35">
      <c r="A10" s="133" t="s">
        <v>113</v>
      </c>
      <c r="B10" t="s" vm="17">
        <v>3</v>
      </c>
    </row>
    <row r="11" spans="1:13" x14ac:dyDescent="0.35">
      <c r="A11" s="132" t="s">
        <v>7</v>
      </c>
      <c r="B11" t="s" vm="18">
        <v>8</v>
      </c>
    </row>
    <row r="13" spans="1:13" x14ac:dyDescent="0.35">
      <c r="D13" s="132" t="s">
        <v>24</v>
      </c>
    </row>
    <row r="14" spans="1:13" ht="58" x14ac:dyDescent="0.35">
      <c r="A14" s="132" t="s">
        <v>142</v>
      </c>
      <c r="B14" s="132" t="s">
        <v>143</v>
      </c>
      <c r="C14" s="132" t="s">
        <v>144</v>
      </c>
      <c r="D14" s="2" t="s">
        <v>145</v>
      </c>
      <c r="E14" s="2" t="s">
        <v>58</v>
      </c>
      <c r="F14" s="2" t="s">
        <v>146</v>
      </c>
      <c r="G14" s="70" t="s">
        <v>34</v>
      </c>
      <c r="H14" s="2" t="s">
        <v>126</v>
      </c>
      <c r="I14" s="2" t="s">
        <v>147</v>
      </c>
      <c r="J14" s="2" t="s">
        <v>30</v>
      </c>
      <c r="K14" s="2" t="s">
        <v>148</v>
      </c>
      <c r="L14" s="2" t="s">
        <v>136</v>
      </c>
      <c r="M14" s="2" t="s">
        <v>134</v>
      </c>
    </row>
    <row r="15" spans="1:13" x14ac:dyDescent="0.35">
      <c r="A15" t="s">
        <v>204</v>
      </c>
      <c r="B15" t="s">
        <v>205</v>
      </c>
      <c r="C15" t="s">
        <v>149</v>
      </c>
      <c r="D15" s="31">
        <v>19357</v>
      </c>
      <c r="E15" s="31">
        <v>18344</v>
      </c>
      <c r="F15" s="31">
        <v>1013</v>
      </c>
      <c r="G15" s="72">
        <v>47727</v>
      </c>
      <c r="H15" s="31">
        <v>18873039.390003078</v>
      </c>
      <c r="I15" s="31">
        <v>9167551.790000122</v>
      </c>
      <c r="J15" s="31">
        <v>4143630</v>
      </c>
      <c r="K15" s="31">
        <v>176844</v>
      </c>
      <c r="L15" s="31">
        <v>1518286.6680000001</v>
      </c>
      <c r="M15" s="76">
        <v>0.51425143557647124</v>
      </c>
    </row>
    <row r="16" spans="1:13" x14ac:dyDescent="0.35">
      <c r="B16" t="s">
        <v>206</v>
      </c>
      <c r="C16" t="s">
        <v>150</v>
      </c>
      <c r="D16" s="31">
        <v>20478</v>
      </c>
      <c r="E16" s="31">
        <v>19370</v>
      </c>
      <c r="F16" s="31">
        <v>1108</v>
      </c>
      <c r="G16" s="72">
        <v>54165</v>
      </c>
      <c r="H16" s="31">
        <v>19914151.220002603</v>
      </c>
      <c r="I16" s="31">
        <v>10018429.480000058</v>
      </c>
      <c r="J16" s="31">
        <v>4135814</v>
      </c>
      <c r="K16" s="31">
        <v>199651</v>
      </c>
      <c r="L16" s="31">
        <v>1516897.6680000001</v>
      </c>
      <c r="M16" s="76">
        <v>0.49691908184671413</v>
      </c>
    </row>
    <row r="17" spans="1:13" x14ac:dyDescent="0.35">
      <c r="B17" t="s">
        <v>207</v>
      </c>
      <c r="C17" t="s">
        <v>151</v>
      </c>
      <c r="D17" s="31">
        <v>18914</v>
      </c>
      <c r="E17" s="31">
        <v>17905</v>
      </c>
      <c r="F17" s="31">
        <v>1009</v>
      </c>
      <c r="G17" s="72">
        <v>49570</v>
      </c>
      <c r="H17" s="31">
        <v>18848030.170002814</v>
      </c>
      <c r="I17" s="31">
        <v>9337711.3500000685</v>
      </c>
      <c r="J17" s="31">
        <v>4140675</v>
      </c>
      <c r="K17" s="31">
        <v>209616</v>
      </c>
      <c r="L17" s="31">
        <v>1572952.6680000001</v>
      </c>
      <c r="M17" s="76">
        <v>0.50457892597902876</v>
      </c>
    </row>
    <row r="18" spans="1:13" x14ac:dyDescent="0.35">
      <c r="B18" t="s">
        <v>208</v>
      </c>
      <c r="C18" t="s">
        <v>152</v>
      </c>
      <c r="D18" s="31">
        <v>19657</v>
      </c>
      <c r="E18" s="31">
        <v>18692</v>
      </c>
      <c r="F18" s="31">
        <v>965</v>
      </c>
      <c r="G18" s="72">
        <v>48984</v>
      </c>
      <c r="H18" s="31">
        <v>19167361.690002803</v>
      </c>
      <c r="I18" s="31">
        <v>9565205.0500000659</v>
      </c>
      <c r="J18" s="31">
        <v>4154144</v>
      </c>
      <c r="K18" s="31">
        <v>223661</v>
      </c>
      <c r="L18" s="31">
        <v>1551123.6680000001</v>
      </c>
      <c r="M18" s="76">
        <v>0.50096391956794717</v>
      </c>
    </row>
    <row r="19" spans="1:13" x14ac:dyDescent="0.35">
      <c r="B19" t="s">
        <v>209</v>
      </c>
      <c r="C19" t="s">
        <v>153</v>
      </c>
      <c r="D19" s="31">
        <v>23893</v>
      </c>
      <c r="E19" s="31">
        <v>22749</v>
      </c>
      <c r="F19" s="31">
        <v>1144</v>
      </c>
      <c r="G19" s="72">
        <v>62112</v>
      </c>
      <c r="H19" s="31">
        <v>25028885.859998912</v>
      </c>
      <c r="I19" s="31">
        <v>12347002.170000063</v>
      </c>
      <c r="J19" s="31">
        <v>4123430</v>
      </c>
      <c r="K19" s="31">
        <v>188537</v>
      </c>
      <c r="L19" s="31">
        <v>1574426.6680000001</v>
      </c>
      <c r="M19" s="76">
        <v>0.50668990065869002</v>
      </c>
    </row>
    <row r="20" spans="1:13" x14ac:dyDescent="0.35">
      <c r="B20" t="s">
        <v>210</v>
      </c>
      <c r="C20" t="s">
        <v>154</v>
      </c>
      <c r="D20" s="31">
        <v>21773</v>
      </c>
      <c r="E20" s="31">
        <v>20554</v>
      </c>
      <c r="F20" s="31">
        <v>1219</v>
      </c>
      <c r="G20" s="72">
        <v>56348</v>
      </c>
      <c r="H20" s="31">
        <v>22931527.420001477</v>
      </c>
      <c r="I20" s="31">
        <v>11304310.890000058</v>
      </c>
      <c r="J20" s="31">
        <v>4070269</v>
      </c>
      <c r="K20" s="31">
        <v>183117</v>
      </c>
      <c r="L20" s="31">
        <v>1574432.6680000001</v>
      </c>
      <c r="M20" s="76">
        <v>0.50704064831977746</v>
      </c>
    </row>
    <row r="21" spans="1:13" x14ac:dyDescent="0.35">
      <c r="A21" t="s">
        <v>211</v>
      </c>
      <c r="D21" s="31">
        <v>124072</v>
      </c>
      <c r="E21" s="31">
        <v>117614</v>
      </c>
      <c r="F21" s="31">
        <v>6458</v>
      </c>
      <c r="G21" s="72">
        <v>318906</v>
      </c>
      <c r="H21" s="31">
        <v>124762995.74998279</v>
      </c>
      <c r="I21" s="31">
        <v>61740210.729998142</v>
      </c>
      <c r="J21" s="31">
        <v>4127993.6666666665</v>
      </c>
      <c r="K21" s="31">
        <v>196904.33333333334</v>
      </c>
      <c r="L21" s="31">
        <v>1551353.3346666666</v>
      </c>
      <c r="M21" s="76">
        <v>0.50514004285598058</v>
      </c>
    </row>
    <row r="22" spans="1:13" x14ac:dyDescent="0.35">
      <c r="A22" t="s">
        <v>212</v>
      </c>
      <c r="B22" t="s">
        <v>213</v>
      </c>
      <c r="C22" t="s">
        <v>155</v>
      </c>
      <c r="D22" s="31">
        <v>11973</v>
      </c>
      <c r="E22" s="31">
        <v>11230</v>
      </c>
      <c r="F22" s="31">
        <v>743</v>
      </c>
      <c r="G22" s="72">
        <v>29754</v>
      </c>
      <c r="H22" s="31">
        <v>11728616.800001195</v>
      </c>
      <c r="I22" s="31">
        <v>5718541.7700000284</v>
      </c>
      <c r="J22" s="31">
        <v>4115371</v>
      </c>
      <c r="K22" s="31">
        <v>160040</v>
      </c>
      <c r="L22" s="31">
        <v>1570127.6680000001</v>
      </c>
      <c r="M22" s="76">
        <v>0.51242828821891895</v>
      </c>
    </row>
    <row r="23" spans="1:13" x14ac:dyDescent="0.35">
      <c r="B23" t="s">
        <v>214</v>
      </c>
      <c r="C23" t="s">
        <v>149</v>
      </c>
      <c r="D23" s="31">
        <v>16168</v>
      </c>
      <c r="E23" s="31">
        <v>15300</v>
      </c>
      <c r="F23" s="31">
        <v>868</v>
      </c>
      <c r="G23" s="72">
        <v>40812</v>
      </c>
      <c r="H23" s="31">
        <v>15751022.890001848</v>
      </c>
      <c r="I23" s="31">
        <v>7780464.7000000635</v>
      </c>
      <c r="J23" s="31">
        <v>4113470</v>
      </c>
      <c r="K23" s="31">
        <v>171013</v>
      </c>
      <c r="L23" s="31">
        <v>1591636.6680000001</v>
      </c>
      <c r="M23" s="76">
        <v>0.50603432206677768</v>
      </c>
    </row>
    <row r="24" spans="1:13" x14ac:dyDescent="0.35">
      <c r="B24" t="s">
        <v>215</v>
      </c>
      <c r="C24" t="s">
        <v>150</v>
      </c>
      <c r="D24" s="31">
        <v>17824</v>
      </c>
      <c r="E24" s="31">
        <v>16867</v>
      </c>
      <c r="F24" s="31">
        <v>957</v>
      </c>
      <c r="G24" s="72">
        <v>44030</v>
      </c>
      <c r="H24" s="31">
        <v>17543557.700001903</v>
      </c>
      <c r="I24" s="31">
        <v>8542946.1700000297</v>
      </c>
      <c r="J24" s="31">
        <v>4121345</v>
      </c>
      <c r="K24" s="31">
        <v>180211</v>
      </c>
      <c r="L24" s="31">
        <v>1537922.6680000001</v>
      </c>
      <c r="M24" s="76">
        <v>0.51304368725616822</v>
      </c>
    </row>
    <row r="25" spans="1:13" x14ac:dyDescent="0.35">
      <c r="B25" t="s">
        <v>216</v>
      </c>
      <c r="C25" t="s">
        <v>151</v>
      </c>
      <c r="D25" s="31">
        <v>17101</v>
      </c>
      <c r="E25" s="31">
        <v>16244</v>
      </c>
      <c r="F25" s="31">
        <v>857</v>
      </c>
      <c r="G25" s="72">
        <v>41766</v>
      </c>
      <c r="H25" s="31">
        <v>16988775.630001713</v>
      </c>
      <c r="I25" s="31">
        <v>8208396.0500000697</v>
      </c>
      <c r="J25" s="31">
        <v>4145679</v>
      </c>
      <c r="K25" s="31">
        <v>194868</v>
      </c>
      <c r="L25" s="31">
        <v>1593142.6680000001</v>
      </c>
      <c r="M25" s="76">
        <v>0.5168341598728472</v>
      </c>
    </row>
    <row r="26" spans="1:13" x14ac:dyDescent="0.35">
      <c r="B26" t="s">
        <v>217</v>
      </c>
      <c r="C26" t="s">
        <v>152</v>
      </c>
      <c r="D26" s="31">
        <v>19857</v>
      </c>
      <c r="E26" s="31">
        <v>18921</v>
      </c>
      <c r="F26" s="31">
        <v>936</v>
      </c>
      <c r="G26" s="72">
        <v>49206</v>
      </c>
      <c r="H26" s="31">
        <v>19939705.82000199</v>
      </c>
      <c r="I26" s="31">
        <v>10096978.00000013</v>
      </c>
      <c r="J26" s="31">
        <v>4161176</v>
      </c>
      <c r="K26" s="31">
        <v>186935</v>
      </c>
      <c r="L26" s="31">
        <v>1583486.6680000001</v>
      </c>
      <c r="M26" s="76">
        <v>0.4936245252989962</v>
      </c>
    </row>
    <row r="27" spans="1:13" x14ac:dyDescent="0.35">
      <c r="B27" t="s">
        <v>218</v>
      </c>
      <c r="C27" t="s">
        <v>153</v>
      </c>
      <c r="D27" s="31">
        <v>27034</v>
      </c>
      <c r="E27" s="31">
        <v>25805</v>
      </c>
      <c r="F27" s="31">
        <v>1229</v>
      </c>
      <c r="G27" s="72">
        <v>68605</v>
      </c>
      <c r="H27" s="31">
        <v>29196096.219999056</v>
      </c>
      <c r="I27" s="31">
        <v>14447076.150000064</v>
      </c>
      <c r="J27" s="31">
        <v>4123162</v>
      </c>
      <c r="K27" s="31">
        <v>154654</v>
      </c>
      <c r="L27" s="31">
        <v>1583486.6680000001</v>
      </c>
      <c r="M27" s="76">
        <v>0.50517096391459215</v>
      </c>
    </row>
    <row r="28" spans="1:13" x14ac:dyDescent="0.35">
      <c r="B28" t="s">
        <v>219</v>
      </c>
      <c r="C28" t="s">
        <v>154</v>
      </c>
      <c r="D28" s="31">
        <v>23785</v>
      </c>
      <c r="E28" s="31">
        <v>22641</v>
      </c>
      <c r="F28" s="31">
        <v>1144</v>
      </c>
      <c r="G28" s="72">
        <v>61974</v>
      </c>
      <c r="H28" s="31">
        <v>26686709.339999683</v>
      </c>
      <c r="I28" s="31">
        <v>13234669.240000099</v>
      </c>
      <c r="J28" s="31">
        <v>4066656</v>
      </c>
      <c r="K28" s="31">
        <v>146167</v>
      </c>
      <c r="L28" s="31">
        <v>1583538.6680000001</v>
      </c>
      <c r="M28" s="76">
        <v>0.50407264262579365</v>
      </c>
    </row>
    <row r="29" spans="1:13" x14ac:dyDescent="0.35">
      <c r="A29" t="s">
        <v>220</v>
      </c>
      <c r="D29" s="31">
        <v>133742</v>
      </c>
      <c r="E29" s="31">
        <v>127008</v>
      </c>
      <c r="F29" s="31">
        <v>6734</v>
      </c>
      <c r="G29" s="72">
        <v>336147</v>
      </c>
      <c r="H29" s="31">
        <v>137834484.39992645</v>
      </c>
      <c r="I29" s="31">
        <v>68029072.079998523</v>
      </c>
      <c r="J29" s="31">
        <v>4120979.8571428573</v>
      </c>
      <c r="K29" s="31">
        <v>170555.42857142858</v>
      </c>
      <c r="L29" s="31">
        <v>1577620.2394285712</v>
      </c>
      <c r="M29" s="76">
        <v>0.50644374391429559</v>
      </c>
    </row>
    <row r="30" spans="1:13" x14ac:dyDescent="0.35">
      <c r="A30" t="s">
        <v>221</v>
      </c>
      <c r="B30" t="s">
        <v>222</v>
      </c>
      <c r="C30" t="s">
        <v>155</v>
      </c>
      <c r="D30" s="31">
        <v>16118</v>
      </c>
      <c r="E30" s="31">
        <v>15157</v>
      </c>
      <c r="F30" s="31">
        <v>961</v>
      </c>
      <c r="G30" s="72">
        <v>40251</v>
      </c>
      <c r="H30" s="31">
        <v>16319882.860001523</v>
      </c>
      <c r="I30" s="31">
        <v>7969845.2000000561</v>
      </c>
      <c r="J30" s="31">
        <v>4108166</v>
      </c>
      <c r="K30" s="31">
        <v>102769</v>
      </c>
      <c r="L30" s="31">
        <v>1527801.6680000001</v>
      </c>
      <c r="M30" s="76">
        <v>0.51164813691557731</v>
      </c>
    </row>
    <row r="31" spans="1:13" x14ac:dyDescent="0.35">
      <c r="A31" t="s">
        <v>223</v>
      </c>
      <c r="D31" s="31">
        <v>16118</v>
      </c>
      <c r="E31" s="31">
        <v>15157</v>
      </c>
      <c r="F31" s="31">
        <v>961</v>
      </c>
      <c r="G31" s="72">
        <v>40251</v>
      </c>
      <c r="H31" s="31">
        <v>16319882.860001069</v>
      </c>
      <c r="I31" s="31">
        <v>7969845.2000000617</v>
      </c>
      <c r="J31" s="31">
        <v>4108166</v>
      </c>
      <c r="K31" s="31">
        <v>102769</v>
      </c>
      <c r="L31" s="31">
        <v>1527801.6680000001</v>
      </c>
      <c r="M31" s="76">
        <v>0.51164813691558864</v>
      </c>
    </row>
    <row r="34" hidden="1" outlineLevel="1" x14ac:dyDescent="0.35"/>
    <row r="35" hidden="1" outlineLevel="1" x14ac:dyDescent="0.35"/>
    <row r="36" hidden="1" outlineLevel="1" x14ac:dyDescent="0.35"/>
    <row r="37" hidden="1" outlineLevel="1" x14ac:dyDescent="0.35"/>
    <row r="38" hidden="1" outlineLevel="1" x14ac:dyDescent="0.35"/>
    <row r="39" hidden="1" outlineLevel="1" x14ac:dyDescent="0.35"/>
    <row r="40" hidden="1" outlineLevel="1" x14ac:dyDescent="0.35"/>
    <row r="41" hidden="1" outlineLevel="1" x14ac:dyDescent="0.35"/>
    <row r="42" hidden="1" outlineLevel="1" x14ac:dyDescent="0.35"/>
    <row r="43" hidden="1" outlineLevel="1" x14ac:dyDescent="0.35"/>
    <row r="44" hidden="1" outlineLevel="1" x14ac:dyDescent="0.35"/>
    <row r="45" hidden="1" outlineLevel="1" x14ac:dyDescent="0.35"/>
    <row r="46" hidden="1" outlineLevel="1" x14ac:dyDescent="0.35"/>
    <row r="47" hidden="1" outlineLevel="1" x14ac:dyDescent="0.35"/>
    <row r="48" hidden="1" outlineLevel="1" x14ac:dyDescent="0.35"/>
    <row r="49" spans="1:34" hidden="1" outlineLevel="1" x14ac:dyDescent="0.35"/>
    <row r="50" spans="1:34" hidden="1" outlineLevel="1" x14ac:dyDescent="0.35"/>
    <row r="51" spans="1:34" hidden="1" outlineLevel="1" x14ac:dyDescent="0.35"/>
    <row r="52" spans="1:34" hidden="1" outlineLevel="1" x14ac:dyDescent="0.35"/>
    <row r="53" spans="1:34" hidden="1" outlineLevel="1" x14ac:dyDescent="0.35"/>
    <row r="54" spans="1:34" hidden="1" outlineLevel="1" x14ac:dyDescent="0.35"/>
    <row r="55" spans="1:34" hidden="1" outlineLevel="1" x14ac:dyDescent="0.35"/>
    <row r="56" spans="1:34" collapsed="1" x14ac:dyDescent="0.35">
      <c r="A56" s="132" t="s">
        <v>0</v>
      </c>
      <c r="B56" t="s" vm="14">
        <v>1</v>
      </c>
    </row>
    <row r="57" spans="1:34" x14ac:dyDescent="0.35">
      <c r="A57" s="132" t="s">
        <v>6</v>
      </c>
      <c r="B57" t="s" vm="11">
        <v>140</v>
      </c>
    </row>
    <row r="58" spans="1:34" x14ac:dyDescent="0.35">
      <c r="A58" s="132" t="s">
        <v>111</v>
      </c>
      <c r="B58" t="s" vm="13">
        <v>112</v>
      </c>
    </row>
    <row r="59" spans="1:34" x14ac:dyDescent="0.35">
      <c r="A59" s="133" t="s">
        <v>113</v>
      </c>
      <c r="B59" t="s" vm="19">
        <v>156</v>
      </c>
      <c r="K59" s="77"/>
      <c r="L59" s="78"/>
      <c r="M59" s="78"/>
      <c r="N59" s="78"/>
      <c r="O59" s="78"/>
    </row>
    <row r="60" spans="1:34" x14ac:dyDescent="0.35">
      <c r="A60" s="133" t="s">
        <v>142</v>
      </c>
      <c r="B60" t="s" vm="20">
        <v>3</v>
      </c>
    </row>
    <row r="61" spans="1:34" x14ac:dyDescent="0.35">
      <c r="A61" s="133" t="s">
        <v>125</v>
      </c>
      <c r="B61" t="s" vm="21">
        <v>3</v>
      </c>
    </row>
    <row r="63" spans="1:34" x14ac:dyDescent="0.35">
      <c r="A63" s="79"/>
      <c r="B63" s="131" t="s">
        <v>4</v>
      </c>
      <c r="C63" s="131" t="s">
        <v>24</v>
      </c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  <row r="64" spans="1:34" x14ac:dyDescent="0.35">
      <c r="A64" s="79"/>
      <c r="B64" s="155" t="s">
        <v>157</v>
      </c>
      <c r="C64" s="156"/>
      <c r="D64" s="156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5" t="s">
        <v>5</v>
      </c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  <c r="AA64" s="163"/>
      <c r="AE64" s="80" t="s">
        <v>158</v>
      </c>
      <c r="AF64" s="81"/>
      <c r="AG64" s="81"/>
      <c r="AH64" s="81"/>
    </row>
    <row r="65" spans="1:38" ht="58" x14ac:dyDescent="0.35">
      <c r="A65" s="137" t="s">
        <v>125</v>
      </c>
      <c r="B65" s="83" t="s">
        <v>159</v>
      </c>
      <c r="C65" s="70" t="s">
        <v>160</v>
      </c>
      <c r="D65" s="2" t="s">
        <v>161</v>
      </c>
      <c r="E65" s="2" t="s">
        <v>162</v>
      </c>
      <c r="F65" s="84" t="s">
        <v>30</v>
      </c>
      <c r="G65" s="70" t="s">
        <v>34</v>
      </c>
      <c r="H65" s="70" t="s">
        <v>126</v>
      </c>
      <c r="I65" s="2" t="s">
        <v>128</v>
      </c>
      <c r="J65" s="83" t="s">
        <v>148</v>
      </c>
      <c r="K65" s="2" t="s">
        <v>136</v>
      </c>
      <c r="L65" s="2" t="s">
        <v>134</v>
      </c>
      <c r="M65" s="2" t="s">
        <v>49</v>
      </c>
      <c r="N65" s="2" t="s">
        <v>132</v>
      </c>
      <c r="O65" s="83" t="s">
        <v>159</v>
      </c>
      <c r="P65" s="70" t="s">
        <v>160</v>
      </c>
      <c r="Q65" s="85" t="s">
        <v>161</v>
      </c>
      <c r="R65" s="2" t="s">
        <v>162</v>
      </c>
      <c r="S65" s="84" t="s">
        <v>30</v>
      </c>
      <c r="T65" s="70" t="s">
        <v>34</v>
      </c>
      <c r="U65" s="86" t="s">
        <v>126</v>
      </c>
      <c r="V65" s="2" t="s">
        <v>128</v>
      </c>
      <c r="W65" s="83" t="s">
        <v>148</v>
      </c>
      <c r="X65" s="85" t="s">
        <v>136</v>
      </c>
      <c r="Y65" s="2" t="s">
        <v>134</v>
      </c>
      <c r="Z65" s="2" t="s">
        <v>49</v>
      </c>
      <c r="AA65" s="2" t="s">
        <v>132</v>
      </c>
      <c r="AB65" s="87"/>
      <c r="AD65" s="87" t="str">
        <f>A65</f>
        <v>MainGroupDesc</v>
      </c>
      <c r="AE65" s="88" t="s">
        <v>30</v>
      </c>
      <c r="AF65" s="88" t="s">
        <v>34</v>
      </c>
      <c r="AG65" s="88" t="s">
        <v>126</v>
      </c>
      <c r="AH65" s="88" t="s">
        <v>163</v>
      </c>
      <c r="AI65" s="89" t="s">
        <v>164</v>
      </c>
      <c r="AJ65" s="89" t="s">
        <v>165</v>
      </c>
      <c r="AK65" s="90" t="s">
        <v>166</v>
      </c>
      <c r="AL65" s="89" t="s">
        <v>167</v>
      </c>
    </row>
    <row r="66" spans="1:38" x14ac:dyDescent="0.35">
      <c r="A66" s="82" t="s">
        <v>85</v>
      </c>
      <c r="B66" s="91">
        <v>0.10340638207215819</v>
      </c>
      <c r="C66" s="92">
        <v>0.14925306268734523</v>
      </c>
      <c r="D66" s="92">
        <v>8.3749223926980088E-2</v>
      </c>
      <c r="E66" s="92">
        <v>9.2550853626745699E-2</v>
      </c>
      <c r="F66" s="93">
        <v>44897.5</v>
      </c>
      <c r="G66" s="93">
        <v>36647</v>
      </c>
      <c r="H66" s="93">
        <v>6531190.6900013993</v>
      </c>
      <c r="I66" s="94">
        <v>2952677.6299999841</v>
      </c>
      <c r="J66" s="94">
        <v>2666.9642857142858</v>
      </c>
      <c r="K66" s="94">
        <v>329314.03571428574</v>
      </c>
      <c r="L66" s="95">
        <v>0.45208871860382804</v>
      </c>
      <c r="M66" s="96">
        <v>4.9005375610554749</v>
      </c>
      <c r="N66" s="97">
        <v>178.21897263081286</v>
      </c>
      <c r="O66" s="98">
        <v>0.10193224060361189</v>
      </c>
      <c r="P66" s="92">
        <v>9.7689638682384575E-2</v>
      </c>
      <c r="Q66" s="92">
        <v>6.4987519993202528E-2</v>
      </c>
      <c r="R66" s="92">
        <v>7.3916792818259261E-2</v>
      </c>
      <c r="S66" s="93">
        <v>587805.39285714284</v>
      </c>
      <c r="T66" s="93">
        <v>118279</v>
      </c>
      <c r="U66" s="93">
        <v>25769178.479998399</v>
      </c>
      <c r="V66" s="94">
        <v>13116375.6400008</v>
      </c>
      <c r="W66" s="94">
        <v>29986.5</v>
      </c>
      <c r="X66" s="94">
        <v>329314.03571428574</v>
      </c>
      <c r="Y66" s="95">
        <v>0.50899471437094945</v>
      </c>
      <c r="Z66" s="96">
        <v>19.878605428085894</v>
      </c>
      <c r="AA66" s="99">
        <v>217.86774051182712</v>
      </c>
      <c r="AD66" t="str">
        <f>A66</f>
        <v>Aksesuar</v>
      </c>
      <c r="AE66" s="100">
        <f>F66/(S66+F66)</f>
        <v>7.0961426772134809E-2</v>
      </c>
      <c r="AF66" s="100">
        <f>G66/(T66+G66)</f>
        <v>0.23654518931618967</v>
      </c>
      <c r="AG66" s="100">
        <f>H66/(U66+H66)</f>
        <v>0.20220173508318576</v>
      </c>
      <c r="AH66" s="100">
        <f>I66/(V66+I66)</f>
        <v>0.18374932115710388</v>
      </c>
      <c r="AI66" s="101">
        <f>D66*L66</f>
        <v>3.7862079329213483E-2</v>
      </c>
      <c r="AJ66" s="101">
        <f>Q66*Y66</f>
        <v>3.3078304176616488E-2</v>
      </c>
      <c r="AK66" s="102">
        <f>AI66-AJ66</f>
        <v>4.7837751525969946E-3</v>
      </c>
      <c r="AL66" s="103">
        <f>H66/(H66+U66)</f>
        <v>0.20220173508318576</v>
      </c>
    </row>
    <row r="67" spans="1:38" x14ac:dyDescent="0.35">
      <c r="A67" s="83" t="s">
        <v>100</v>
      </c>
      <c r="B67" s="104">
        <v>2.1198008090692087E-2</v>
      </c>
      <c r="C67" s="101">
        <v>2.8081421868890916E-2</v>
      </c>
      <c r="D67" s="101">
        <v>3.4701854306145759E-2</v>
      </c>
      <c r="E67" s="101">
        <v>3.5363003108537502E-2</v>
      </c>
      <c r="F67" s="72">
        <v>9203.8571428571431</v>
      </c>
      <c r="G67" s="72">
        <v>6895</v>
      </c>
      <c r="H67" s="72">
        <v>2706227.1999999979</v>
      </c>
      <c r="I67" s="31">
        <v>1128196.4900000035</v>
      </c>
      <c r="J67" s="31">
        <v>603.67857142857144</v>
      </c>
      <c r="K67" s="31">
        <v>12619.285714285714</v>
      </c>
      <c r="L67" s="76">
        <v>0.41688905129621207</v>
      </c>
      <c r="M67" s="74">
        <v>5.3394385165233604</v>
      </c>
      <c r="N67" s="75">
        <v>392.49125453226947</v>
      </c>
      <c r="O67" s="104">
        <v>1.1482804579447094E-2</v>
      </c>
      <c r="P67" s="101">
        <v>9.5394391800872665E-3</v>
      </c>
      <c r="Q67" s="101">
        <v>1.5605456786327618E-2</v>
      </c>
      <c r="R67" s="101">
        <v>1.6180805408652271E-2</v>
      </c>
      <c r="S67" s="72">
        <v>66217.071428571435</v>
      </c>
      <c r="T67" s="72">
        <v>11550</v>
      </c>
      <c r="U67" s="72">
        <v>6187954.2600000901</v>
      </c>
      <c r="V67" s="31">
        <v>2871249.0599999754</v>
      </c>
      <c r="W67" s="31">
        <v>1490.6071428571429</v>
      </c>
      <c r="X67" s="31">
        <v>12619.285714285714</v>
      </c>
      <c r="Y67" s="76">
        <v>0.46400618675548089</v>
      </c>
      <c r="Z67" s="74">
        <v>22.932319109461968</v>
      </c>
      <c r="AA67" s="105">
        <v>535.75361558442341</v>
      </c>
      <c r="AD67" t="str">
        <f t="shared" ref="AD67:AD88" si="0">A67</f>
        <v>Banyo</v>
      </c>
      <c r="AE67" s="100">
        <f t="shared" ref="AE67:AH85" si="1">F67/(S67+F67)</f>
        <v>0.1220331984396146</v>
      </c>
      <c r="AF67" s="100">
        <f t="shared" si="1"/>
        <v>0.37381404174573057</v>
      </c>
      <c r="AG67" s="100">
        <f t="shared" si="1"/>
        <v>0.30426939366716843</v>
      </c>
      <c r="AH67" s="100">
        <f t="shared" si="1"/>
        <v>0.28208822345387585</v>
      </c>
      <c r="AI67" s="101">
        <f t="shared" ref="AI67:AI88" si="2">D67*L67</f>
        <v>1.4466823119908477E-2</v>
      </c>
      <c r="AJ67" s="101">
        <f t="shared" ref="AJ67:AJ88" si="3">Q67*Y67</f>
        <v>7.2410284960013191E-3</v>
      </c>
      <c r="AK67" s="102">
        <f t="shared" ref="AK67:AK88" si="4">AI67-AJ67</f>
        <v>7.2257946239071584E-3</v>
      </c>
      <c r="AL67" s="103">
        <f t="shared" ref="AL67:AL88" si="5">H67/(H67+U67)</f>
        <v>0.30426939366716843</v>
      </c>
    </row>
    <row r="68" spans="1:38" x14ac:dyDescent="0.35">
      <c r="A68" s="83" t="s">
        <v>106</v>
      </c>
      <c r="B68" s="104">
        <v>3.1111326804406945E-2</v>
      </c>
      <c r="C68" s="101">
        <v>1.6506744428515574E-2</v>
      </c>
      <c r="D68" s="101">
        <v>2.1470746130108513E-2</v>
      </c>
      <c r="E68" s="101">
        <v>1.7605830855151831E-2</v>
      </c>
      <c r="F68" s="72">
        <v>13508.071428571429</v>
      </c>
      <c r="G68" s="72">
        <v>4053</v>
      </c>
      <c r="H68" s="72">
        <v>1674398.049999994</v>
      </c>
      <c r="I68" s="31">
        <v>561684.09999999893</v>
      </c>
      <c r="J68" s="31">
        <v>62.714285714285715</v>
      </c>
      <c r="K68" s="31">
        <v>244756.46428571429</v>
      </c>
      <c r="L68" s="76">
        <v>0.33545434432392046</v>
      </c>
      <c r="M68" s="74">
        <v>13.331429981318953</v>
      </c>
      <c r="N68" s="75">
        <v>413.12559832222894</v>
      </c>
      <c r="O68" s="104">
        <v>1.0111336032764774E-2</v>
      </c>
      <c r="P68" s="101">
        <v>1.7939927136855025E-2</v>
      </c>
      <c r="Q68" s="101">
        <v>2.059204700822068E-2</v>
      </c>
      <c r="R68" s="101">
        <v>9.8702767226005739E-3</v>
      </c>
      <c r="S68" s="72">
        <v>58308.321428571428</v>
      </c>
      <c r="T68" s="72">
        <v>21721</v>
      </c>
      <c r="U68" s="72">
        <v>8165262.1099998718</v>
      </c>
      <c r="V68" s="31">
        <v>1751459.3399999999</v>
      </c>
      <c r="W68" s="31">
        <v>1702.8928571428571</v>
      </c>
      <c r="X68" s="31">
        <v>244756.46428571429</v>
      </c>
      <c r="Y68" s="76">
        <v>0.21450130031404802</v>
      </c>
      <c r="Z68" s="74">
        <v>10.737686373292469</v>
      </c>
      <c r="AA68" s="105">
        <v>375.91557064591279</v>
      </c>
      <c r="AD68" t="str">
        <f t="shared" si="0"/>
        <v>Battaniye</v>
      </c>
      <c r="AE68" s="100">
        <f t="shared" si="1"/>
        <v>0.18809175581181975</v>
      </c>
      <c r="AF68" s="100">
        <f t="shared" si="1"/>
        <v>0.15725149375339489</v>
      </c>
      <c r="AG68" s="100">
        <f t="shared" si="1"/>
        <v>0.17016828048663185</v>
      </c>
      <c r="AH68" s="100">
        <f t="shared" si="1"/>
        <v>0.24282285753969468</v>
      </c>
      <c r="AI68" s="101">
        <f t="shared" si="2"/>
        <v>7.2024550652209042E-3</v>
      </c>
      <c r="AJ68" s="101">
        <f t="shared" si="3"/>
        <v>4.4170208593913383E-3</v>
      </c>
      <c r="AK68" s="102">
        <f t="shared" si="4"/>
        <v>2.7854342058295659E-3</v>
      </c>
      <c r="AL68" s="103">
        <f t="shared" si="5"/>
        <v>0.17016828048663185</v>
      </c>
    </row>
    <row r="69" spans="1:38" x14ac:dyDescent="0.35">
      <c r="A69" s="83" t="s">
        <v>95</v>
      </c>
      <c r="B69" s="104">
        <v>6.9365263983917319E-2</v>
      </c>
      <c r="C69" s="101">
        <v>5.9172585690082109E-2</v>
      </c>
      <c r="D69" s="101">
        <v>4.7789740487711063E-2</v>
      </c>
      <c r="E69" s="101">
        <v>4.9861408066635235E-2</v>
      </c>
      <c r="F69" s="72">
        <v>30117.357142857141</v>
      </c>
      <c r="G69" s="72">
        <v>14529</v>
      </c>
      <c r="H69" s="72">
        <v>3726887.1700000279</v>
      </c>
      <c r="I69" s="31">
        <v>1590743.4500000016</v>
      </c>
      <c r="J69" s="31">
        <v>1532.5</v>
      </c>
      <c r="K69" s="31">
        <v>322927.64285714284</v>
      </c>
      <c r="L69" s="76">
        <v>0.42682898017542875</v>
      </c>
      <c r="M69" s="74">
        <v>8.2916531469081534</v>
      </c>
      <c r="N69" s="75">
        <v>256.51367403124976</v>
      </c>
      <c r="O69" s="104">
        <v>6.4163094894648956E-2</v>
      </c>
      <c r="P69" s="101">
        <v>7.7246331445543021E-2</v>
      </c>
      <c r="Q69" s="101">
        <v>6.3347424370908983E-2</v>
      </c>
      <c r="R69" s="101">
        <v>5.6679001570437607E-2</v>
      </c>
      <c r="S69" s="72">
        <v>370004.75</v>
      </c>
      <c r="T69" s="72">
        <v>93527</v>
      </c>
      <c r="U69" s="72">
        <v>25118839.509999745</v>
      </c>
      <c r="V69" s="31">
        <v>10057566.719999939</v>
      </c>
      <c r="W69" s="31">
        <v>28104.75</v>
      </c>
      <c r="X69" s="31">
        <v>322927.64285714284</v>
      </c>
      <c r="Y69" s="76">
        <v>0.40039933835303376</v>
      </c>
      <c r="Z69" s="74">
        <v>15.824510569140463</v>
      </c>
      <c r="AA69" s="105">
        <v>268.57313406823425</v>
      </c>
      <c r="AD69" t="str">
        <f t="shared" si="0"/>
        <v>Çarşaf</v>
      </c>
      <c r="AE69" s="100">
        <f t="shared" si="1"/>
        <v>7.5270415218782763E-2</v>
      </c>
      <c r="AF69" s="100">
        <f t="shared" si="1"/>
        <v>0.13445805878433406</v>
      </c>
      <c r="AG69" s="100">
        <f t="shared" si="1"/>
        <v>0.12920066848529321</v>
      </c>
      <c r="AH69" s="100">
        <f t="shared" si="1"/>
        <v>0.13656431076989511</v>
      </c>
      <c r="AI69" s="101">
        <f t="shared" si="2"/>
        <v>2.0398046195218109E-2</v>
      </c>
      <c r="AJ69" s="101">
        <f t="shared" si="3"/>
        <v>2.5364266804480801E-2</v>
      </c>
      <c r="AK69" s="102">
        <f t="shared" si="4"/>
        <v>-4.9662206092626927E-3</v>
      </c>
      <c r="AL69" s="103">
        <f t="shared" si="5"/>
        <v>0.12920066848529321</v>
      </c>
    </row>
    <row r="70" spans="1:38" x14ac:dyDescent="0.35">
      <c r="A70" s="83" t="s">
        <v>201</v>
      </c>
      <c r="B70" s="104">
        <v>4.1786006294222836E-5</v>
      </c>
      <c r="C70" s="101">
        <v>1.6290890134236934E-5</v>
      </c>
      <c r="D70" s="101">
        <v>1.69792714899905E-5</v>
      </c>
      <c r="E70" s="101">
        <v>1.738440861844643E-5</v>
      </c>
      <c r="F70" s="72">
        <v>18.142857142857142</v>
      </c>
      <c r="G70" s="72">
        <v>4</v>
      </c>
      <c r="H70" s="72">
        <v>1324.13</v>
      </c>
      <c r="I70" s="31">
        <v>554.62</v>
      </c>
      <c r="J70" s="31">
        <v>0</v>
      </c>
      <c r="K70" s="31">
        <v>24</v>
      </c>
      <c r="L70" s="76">
        <v>0.41885615460717601</v>
      </c>
      <c r="M70" s="74">
        <v>18.142857142857142</v>
      </c>
      <c r="N70" s="75">
        <v>331.03250000000003</v>
      </c>
      <c r="O70" s="104">
        <v>2.1119048721744493E-6</v>
      </c>
      <c r="P70" s="101">
        <v>0</v>
      </c>
      <c r="Q70" s="101">
        <v>0</v>
      </c>
      <c r="R70" s="101">
        <v>0</v>
      </c>
      <c r="S70" s="72">
        <v>12.178571428571429</v>
      </c>
      <c r="T70" s="72"/>
      <c r="U70" s="72"/>
      <c r="V70" s="31"/>
      <c r="W70" s="31">
        <v>3.4285714285714284</v>
      </c>
      <c r="X70" s="31">
        <v>24</v>
      </c>
      <c r="Y70" s="76"/>
      <c r="Z70" s="74"/>
      <c r="AA70" s="105"/>
      <c r="AD70" t="str">
        <f t="shared" si="0"/>
        <v>Dünya Markaları</v>
      </c>
      <c r="AE70" s="100">
        <f t="shared" si="1"/>
        <v>0.59835100117785633</v>
      </c>
      <c r="AF70" s="100">
        <f t="shared" si="1"/>
        <v>1</v>
      </c>
      <c r="AG70" s="100">
        <f t="shared" si="1"/>
        <v>1</v>
      </c>
      <c r="AH70" s="100">
        <f t="shared" si="1"/>
        <v>1</v>
      </c>
      <c r="AI70" s="101">
        <f t="shared" si="2"/>
        <v>7.1118723643286765E-6</v>
      </c>
      <c r="AJ70" s="101">
        <f t="shared" si="3"/>
        <v>0</v>
      </c>
      <c r="AK70" s="102">
        <f t="shared" si="4"/>
        <v>7.1118723643286765E-6</v>
      </c>
      <c r="AL70" s="103">
        <f t="shared" si="5"/>
        <v>1</v>
      </c>
    </row>
    <row r="71" spans="1:38" x14ac:dyDescent="0.35">
      <c r="A71" s="83" t="s">
        <v>88</v>
      </c>
      <c r="B71" s="104">
        <v>2.9636807220095448E-3</v>
      </c>
      <c r="C71" s="101">
        <v>7.4123550110778052E-3</v>
      </c>
      <c r="D71" s="101">
        <v>1.3449509798662294E-2</v>
      </c>
      <c r="E71" s="101">
        <v>1.4480132553561042E-2</v>
      </c>
      <c r="F71" s="72">
        <v>1286.7857142857142</v>
      </c>
      <c r="G71" s="72">
        <v>1820</v>
      </c>
      <c r="H71" s="72">
        <v>1048861.220000003</v>
      </c>
      <c r="I71" s="31">
        <v>461964.00999999727</v>
      </c>
      <c r="J71" s="31">
        <v>49.928571428571431</v>
      </c>
      <c r="K71" s="31">
        <v>22897.964285714286</v>
      </c>
      <c r="L71" s="76">
        <v>0.4404434077560766</v>
      </c>
      <c r="M71" s="74">
        <v>2.8281004709576139</v>
      </c>
      <c r="N71" s="75">
        <v>576.29737362637525</v>
      </c>
      <c r="O71" s="104">
        <v>6.188308611061108E-3</v>
      </c>
      <c r="P71" s="101">
        <v>6.7948888428206013E-3</v>
      </c>
      <c r="Q71" s="101">
        <v>1.4867326111133561E-2</v>
      </c>
      <c r="R71" s="101">
        <v>1.4827961934138869E-2</v>
      </c>
      <c r="S71" s="72">
        <v>35685.678571428572</v>
      </c>
      <c r="T71" s="72">
        <v>8227</v>
      </c>
      <c r="U71" s="72">
        <v>5895266.969999996</v>
      </c>
      <c r="V71" s="31">
        <v>2631189.9000000255</v>
      </c>
      <c r="W71" s="31">
        <v>1894.1071428571429</v>
      </c>
      <c r="X71" s="31">
        <v>22897.964285714286</v>
      </c>
      <c r="Y71" s="76">
        <v>0.44632243346903544</v>
      </c>
      <c r="Z71" s="74">
        <v>17.350518328152948</v>
      </c>
      <c r="AA71" s="105">
        <v>716.57554029415292</v>
      </c>
      <c r="AD71" t="str">
        <f t="shared" si="0"/>
        <v>Halı - Kilim</v>
      </c>
      <c r="AE71" s="100">
        <f t="shared" si="1"/>
        <v>3.4803893631264189E-2</v>
      </c>
      <c r="AF71" s="100">
        <f t="shared" si="1"/>
        <v>0.18114860157260873</v>
      </c>
      <c r="AG71" s="100">
        <f t="shared" si="1"/>
        <v>0.15104289427007295</v>
      </c>
      <c r="AH71" s="100">
        <f t="shared" si="1"/>
        <v>0.14935047638802876</v>
      </c>
      <c r="AI71" s="101">
        <f t="shared" si="2"/>
        <v>5.9237479283715646E-3</v>
      </c>
      <c r="AJ71" s="101">
        <f t="shared" si="3"/>
        <v>6.6356211690988621E-3</v>
      </c>
      <c r="AK71" s="102">
        <f t="shared" si="4"/>
        <v>-7.1187324072729749E-4</v>
      </c>
      <c r="AL71" s="103">
        <f t="shared" si="5"/>
        <v>0.15104289427007295</v>
      </c>
    </row>
    <row r="72" spans="1:38" x14ac:dyDescent="0.35">
      <c r="A72" s="83" t="s">
        <v>99</v>
      </c>
      <c r="B72" s="104">
        <v>5.7691257347509871E-2</v>
      </c>
      <c r="C72" s="101">
        <v>6.9509155480255436E-2</v>
      </c>
      <c r="D72" s="101">
        <v>4.4470854364902258E-2</v>
      </c>
      <c r="E72" s="101">
        <v>4.5630214088387515E-2</v>
      </c>
      <c r="F72" s="72">
        <v>25048.678571428572</v>
      </c>
      <c r="G72" s="72">
        <v>17067</v>
      </c>
      <c r="H72" s="72">
        <v>3468063.5400000294</v>
      </c>
      <c r="I72" s="31">
        <v>1455754.4000000099</v>
      </c>
      <c r="J72" s="31">
        <v>1554.2142857142858</v>
      </c>
      <c r="K72" s="31">
        <v>195172.57142857142</v>
      </c>
      <c r="L72" s="76">
        <v>0.41976001397021623</v>
      </c>
      <c r="M72" s="74">
        <v>5.8706693786672695</v>
      </c>
      <c r="N72" s="75">
        <v>203.20287924064155</v>
      </c>
      <c r="O72" s="104">
        <v>0.10165466446148291</v>
      </c>
      <c r="P72" s="101">
        <v>8.856316223736603E-2</v>
      </c>
      <c r="Q72" s="101">
        <v>5.4271645656653648E-2</v>
      </c>
      <c r="R72" s="101">
        <v>5.5017782754358369E-2</v>
      </c>
      <c r="S72" s="72">
        <v>586204.71428571432</v>
      </c>
      <c r="T72" s="72">
        <v>107229</v>
      </c>
      <c r="U72" s="72">
        <v>21520066.060003825</v>
      </c>
      <c r="V72" s="31">
        <v>9762787.0199998841</v>
      </c>
      <c r="W72" s="31">
        <v>15266.821428571429</v>
      </c>
      <c r="X72" s="31">
        <v>195172.57142857142</v>
      </c>
      <c r="Y72" s="76">
        <v>0.45365971427683188</v>
      </c>
      <c r="Z72" s="74">
        <v>21.867394614729758</v>
      </c>
      <c r="AA72" s="105">
        <v>200.692593048558</v>
      </c>
      <c r="AD72" t="str">
        <f t="shared" si="0"/>
        <v>Havlu</v>
      </c>
      <c r="AE72" s="100">
        <f t="shared" si="1"/>
        <v>4.0979205782965274E-2</v>
      </c>
      <c r="AF72" s="100">
        <f t="shared" si="1"/>
        <v>0.13730932612473451</v>
      </c>
      <c r="AG72" s="100">
        <f t="shared" si="1"/>
        <v>0.13878844057217851</v>
      </c>
      <c r="AH72" s="100">
        <f t="shared" si="1"/>
        <v>0.12976325045292952</v>
      </c>
      <c r="AI72" s="101">
        <f t="shared" si="2"/>
        <v>1.8667086449478822E-2</v>
      </c>
      <c r="AJ72" s="101">
        <f t="shared" si="3"/>
        <v>2.4620859261930958E-2</v>
      </c>
      <c r="AK72" s="102">
        <f t="shared" si="4"/>
        <v>-5.9537728124521364E-3</v>
      </c>
      <c r="AL72" s="103">
        <f t="shared" si="5"/>
        <v>0.13878844057217851</v>
      </c>
    </row>
    <row r="73" spans="1:38" x14ac:dyDescent="0.35">
      <c r="A73" s="83" t="s">
        <v>68</v>
      </c>
      <c r="B73" s="104">
        <v>9.4776913725057952E-3</v>
      </c>
      <c r="C73" s="101">
        <v>1.8534960250228074E-2</v>
      </c>
      <c r="D73" s="101">
        <v>7.3674194725001779E-2</v>
      </c>
      <c r="E73" s="101">
        <v>5.6653279483020715E-2</v>
      </c>
      <c r="F73" s="72">
        <v>4115.0714285714284</v>
      </c>
      <c r="G73" s="72">
        <v>4551</v>
      </c>
      <c r="H73" s="72">
        <v>5745488.6400000183</v>
      </c>
      <c r="I73" s="31">
        <v>1807426.559999998</v>
      </c>
      <c r="J73" s="31">
        <v>106.28571428571429</v>
      </c>
      <c r="K73" s="31">
        <v>41248.428571428572</v>
      </c>
      <c r="L73" s="76">
        <v>0.3145818699242946</v>
      </c>
      <c r="M73" s="74">
        <v>3.6168502997771288</v>
      </c>
      <c r="N73" s="75">
        <v>1262.4672907053434</v>
      </c>
      <c r="O73" s="104">
        <v>1.4695569284272219E-2</v>
      </c>
      <c r="P73" s="101">
        <v>1.708839797714334E-2</v>
      </c>
      <c r="Q73" s="101">
        <v>8.1332079600152984E-2</v>
      </c>
      <c r="R73" s="101">
        <v>6.3421489121565561E-2</v>
      </c>
      <c r="S73" s="72">
        <v>84743.892857142855</v>
      </c>
      <c r="T73" s="72">
        <v>20690</v>
      </c>
      <c r="U73" s="72">
        <v>32250205.509996366</v>
      </c>
      <c r="V73" s="31">
        <v>11254006.609999837</v>
      </c>
      <c r="W73" s="31">
        <v>5041.9642857142853</v>
      </c>
      <c r="X73" s="31">
        <v>41248.428571428572</v>
      </c>
      <c r="Y73" s="76">
        <v>0.34895922156252646</v>
      </c>
      <c r="Z73" s="74">
        <v>16.383546226610509</v>
      </c>
      <c r="AA73" s="105">
        <v>1558.733954083923</v>
      </c>
      <c r="AD73" t="str">
        <f t="shared" si="0"/>
        <v>KEA</v>
      </c>
      <c r="AE73" s="100">
        <f t="shared" si="1"/>
        <v>4.6310143964090764E-2</v>
      </c>
      <c r="AF73" s="100">
        <f t="shared" si="1"/>
        <v>0.18030188978249673</v>
      </c>
      <c r="AG73" s="100">
        <f t="shared" si="1"/>
        <v>0.15121420383368794</v>
      </c>
      <c r="AH73" s="100">
        <f t="shared" si="1"/>
        <v>0.13837888510974333</v>
      </c>
      <c r="AI73" s="101">
        <f t="shared" si="2"/>
        <v>2.3176565941757661E-2</v>
      </c>
      <c r="AJ73" s="101">
        <f t="shared" si="3"/>
        <v>2.8381579185330824E-2</v>
      </c>
      <c r="AK73" s="102">
        <f t="shared" si="4"/>
        <v>-5.205013243573163E-3</v>
      </c>
      <c r="AL73" s="103">
        <f t="shared" si="5"/>
        <v>0.15121420383368794</v>
      </c>
    </row>
    <row r="74" spans="1:38" x14ac:dyDescent="0.35">
      <c r="A74" s="83" t="s">
        <v>87</v>
      </c>
      <c r="B74" s="104">
        <v>0.18606255727068285</v>
      </c>
      <c r="C74" s="101">
        <v>0.13458311612146487</v>
      </c>
      <c r="D74" s="101">
        <v>6.9141090844773809E-2</v>
      </c>
      <c r="E74" s="101">
        <v>7.2925798101930839E-2</v>
      </c>
      <c r="F74" s="72">
        <v>80785.571428571435</v>
      </c>
      <c r="G74" s="72">
        <v>33045</v>
      </c>
      <c r="H74" s="72">
        <v>5391974.1300008846</v>
      </c>
      <c r="I74" s="31">
        <v>2326573.6000001696</v>
      </c>
      <c r="J74" s="31">
        <v>1927.3214285714287</v>
      </c>
      <c r="K74" s="31">
        <v>400091.07142857142</v>
      </c>
      <c r="L74" s="76">
        <v>0.43148827199580586</v>
      </c>
      <c r="M74" s="74">
        <v>9.778855673000022</v>
      </c>
      <c r="N74" s="75">
        <v>163.17065002272309</v>
      </c>
      <c r="O74" s="104">
        <v>9.6457551461454891E-2</v>
      </c>
      <c r="P74" s="101">
        <v>0.12002761894772139</v>
      </c>
      <c r="Q74" s="101">
        <v>5.2617425226237906E-2</v>
      </c>
      <c r="R74" s="101">
        <v>5.3351852187657325E-2</v>
      </c>
      <c r="S74" s="72">
        <v>556234.89285714284</v>
      </c>
      <c r="T74" s="72">
        <v>145325</v>
      </c>
      <c r="U74" s="72">
        <v>20864126.250004895</v>
      </c>
      <c r="V74" s="31">
        <v>9467171.2300029378</v>
      </c>
      <c r="W74" s="31">
        <v>29229.357142857141</v>
      </c>
      <c r="X74" s="31">
        <v>400091.07142857142</v>
      </c>
      <c r="Y74" s="76">
        <v>0.45375354407667645</v>
      </c>
      <c r="Z74" s="74">
        <v>15.310095107026124</v>
      </c>
      <c r="AA74" s="105">
        <v>143.56873387238875</v>
      </c>
      <c r="AD74" t="str">
        <f t="shared" si="0"/>
        <v>Kozmetik</v>
      </c>
      <c r="AE74" s="100">
        <f t="shared" si="1"/>
        <v>0.12681785901361209</v>
      </c>
      <c r="AF74" s="100">
        <f t="shared" si="1"/>
        <v>0.18526097437909964</v>
      </c>
      <c r="AG74" s="100">
        <f t="shared" si="1"/>
        <v>0.20536081337146753</v>
      </c>
      <c r="AH74" s="100">
        <f t="shared" si="1"/>
        <v>0.19727182786602282</v>
      </c>
      <c r="AI74" s="101">
        <f t="shared" si="2"/>
        <v>2.9833569812516482E-2</v>
      </c>
      <c r="AJ74" s="101">
        <f t="shared" si="3"/>
        <v>2.3875343176594968E-2</v>
      </c>
      <c r="AK74" s="102">
        <f t="shared" si="4"/>
        <v>5.9582266359215139E-3</v>
      </c>
      <c r="AL74" s="103">
        <f t="shared" si="5"/>
        <v>0.20536081337146753</v>
      </c>
    </row>
    <row r="75" spans="1:38" x14ac:dyDescent="0.35">
      <c r="A75" s="83" t="s">
        <v>81</v>
      </c>
      <c r="B75" s="104">
        <v>0.10407553396429106</v>
      </c>
      <c r="C75" s="101">
        <v>7.4595985924670927E-2</v>
      </c>
      <c r="D75" s="101">
        <v>6.2390281349318788E-2</v>
      </c>
      <c r="E75" s="101">
        <v>6.2176277765474082E-2</v>
      </c>
      <c r="F75" s="72">
        <v>45188.035714285717</v>
      </c>
      <c r="G75" s="72">
        <v>18316</v>
      </c>
      <c r="H75" s="72">
        <v>4865511.6500006979</v>
      </c>
      <c r="I75" s="31">
        <v>1983628.4299999929</v>
      </c>
      <c r="J75" s="31">
        <v>1643.5</v>
      </c>
      <c r="K75" s="31">
        <v>294905.5</v>
      </c>
      <c r="L75" s="76">
        <v>0.40769164122743562</v>
      </c>
      <c r="M75" s="74">
        <v>9.8685380463607153</v>
      </c>
      <c r="N75" s="75">
        <v>265.6426976414445</v>
      </c>
      <c r="O75" s="104">
        <v>0.13207860502502311</v>
      </c>
      <c r="P75" s="101">
        <v>0.10290535802630242</v>
      </c>
      <c r="Q75" s="101">
        <v>5.557323674836713E-2</v>
      </c>
      <c r="R75" s="101">
        <v>5.2969234580962733E-2</v>
      </c>
      <c r="S75" s="72">
        <v>761648.28571428568</v>
      </c>
      <c r="T75" s="72">
        <v>124594</v>
      </c>
      <c r="U75" s="72">
        <v>22036179.509999286</v>
      </c>
      <c r="V75" s="31">
        <v>9399276.5600025281</v>
      </c>
      <c r="W75" s="31">
        <v>21065.428571428572</v>
      </c>
      <c r="X75" s="31">
        <v>294905.5</v>
      </c>
      <c r="Y75" s="76">
        <v>0.42653839136395882</v>
      </c>
      <c r="Z75" s="74">
        <v>24.452165777301818</v>
      </c>
      <c r="AA75" s="105">
        <v>176.86388999469708</v>
      </c>
      <c r="AD75" t="str">
        <f t="shared" si="0"/>
        <v>Mutfak</v>
      </c>
      <c r="AE75" s="100">
        <f t="shared" si="1"/>
        <v>5.6006447050222667E-2</v>
      </c>
      <c r="AF75" s="100">
        <f t="shared" si="1"/>
        <v>0.12816457910573087</v>
      </c>
      <c r="AG75" s="100">
        <f t="shared" si="1"/>
        <v>0.18086266848662688</v>
      </c>
      <c r="AH75" s="100">
        <f t="shared" si="1"/>
        <v>0.1742638133009273</v>
      </c>
      <c r="AI75" s="101">
        <f t="shared" si="2"/>
        <v>2.5435996199945243E-2</v>
      </c>
      <c r="AJ75" s="101">
        <f t="shared" si="3"/>
        <v>2.3704119005536959E-2</v>
      </c>
      <c r="AK75" s="102">
        <f t="shared" si="4"/>
        <v>1.7318771944082843E-3</v>
      </c>
      <c r="AL75" s="103">
        <f t="shared" si="5"/>
        <v>0.18086266848662688</v>
      </c>
    </row>
    <row r="76" spans="1:38" x14ac:dyDescent="0.35">
      <c r="A76" s="83" t="s">
        <v>94</v>
      </c>
      <c r="B76" s="104">
        <v>4.966678127657894E-2</v>
      </c>
      <c r="C76" s="101">
        <v>2.9315456796559364E-2</v>
      </c>
      <c r="D76" s="101">
        <v>7.8056520935616991E-2</v>
      </c>
      <c r="E76" s="101">
        <v>7.6513575564368552E-2</v>
      </c>
      <c r="F76" s="72">
        <v>21564.571428571428</v>
      </c>
      <c r="G76" s="72">
        <v>7198</v>
      </c>
      <c r="H76" s="72">
        <v>6087244.740000112</v>
      </c>
      <c r="I76" s="31">
        <v>2441035.5400000028</v>
      </c>
      <c r="J76" s="31">
        <v>474.46428571428572</v>
      </c>
      <c r="K76" s="31">
        <v>77229.107142857145</v>
      </c>
      <c r="L76" s="76">
        <v>0.40100827948638679</v>
      </c>
      <c r="M76" s="74">
        <v>11.983646250942721</v>
      </c>
      <c r="N76" s="75">
        <v>845.68557099195777</v>
      </c>
      <c r="O76" s="104">
        <v>3.291151057891549E-2</v>
      </c>
      <c r="P76" s="101">
        <v>3.870617123252032E-2</v>
      </c>
      <c r="Q76" s="101">
        <v>0.10640894424677319</v>
      </c>
      <c r="R76" s="101">
        <v>0.1038536618274994</v>
      </c>
      <c r="S76" s="72">
        <v>189788.46428571429</v>
      </c>
      <c r="T76" s="72">
        <v>46864</v>
      </c>
      <c r="U76" s="72">
        <v>42193810.079998568</v>
      </c>
      <c r="V76" s="31">
        <v>18428608.549999226</v>
      </c>
      <c r="W76" s="31">
        <v>10449.714285714286</v>
      </c>
      <c r="X76" s="31">
        <v>77229.107142857145</v>
      </c>
      <c r="Y76" s="76">
        <v>0.43676094941554167</v>
      </c>
      <c r="Z76" s="74">
        <v>16.199083670682338</v>
      </c>
      <c r="AA76" s="105">
        <v>900.3458962102801</v>
      </c>
      <c r="AD76" t="str">
        <f t="shared" si="0"/>
        <v>Nevresim</v>
      </c>
      <c r="AE76" s="100">
        <f t="shared" si="1"/>
        <v>0.10203104656477778</v>
      </c>
      <c r="AF76" s="100">
        <f t="shared" si="1"/>
        <v>0.13314342791609635</v>
      </c>
      <c r="AG76" s="100">
        <f t="shared" si="1"/>
        <v>0.12607936514010648</v>
      </c>
      <c r="AH76" s="100">
        <f t="shared" si="1"/>
        <v>0.11696584424119391</v>
      </c>
      <c r="AI76" s="101">
        <f t="shared" si="2"/>
        <v>3.1301311163084898E-2</v>
      </c>
      <c r="AJ76" s="101">
        <f t="shared" si="3"/>
        <v>4.64752715155261E-2</v>
      </c>
      <c r="AK76" s="102">
        <f t="shared" si="4"/>
        <v>-1.5173960352441201E-2</v>
      </c>
      <c r="AL76" s="103">
        <f t="shared" si="5"/>
        <v>0.12607936514010648</v>
      </c>
    </row>
    <row r="77" spans="1:38" x14ac:dyDescent="0.35">
      <c r="A77" s="83" t="s">
        <v>105</v>
      </c>
      <c r="B77" s="104">
        <v>1.2460455467468606E-2</v>
      </c>
      <c r="C77" s="101">
        <v>1.4523328554672227E-2</v>
      </c>
      <c r="D77" s="101">
        <v>2.3165769518880951E-2</v>
      </c>
      <c r="E77" s="101">
        <v>2.4289574898456085E-2</v>
      </c>
      <c r="F77" s="72">
        <v>5410.1428571428569</v>
      </c>
      <c r="G77" s="72">
        <v>3566</v>
      </c>
      <c r="H77" s="72">
        <v>1806584.5999999968</v>
      </c>
      <c r="I77" s="31">
        <v>774917.58999999869</v>
      </c>
      <c r="J77" s="31">
        <v>738</v>
      </c>
      <c r="K77" s="31">
        <v>94310.428571428565</v>
      </c>
      <c r="L77" s="76">
        <v>0.42894065962922523</v>
      </c>
      <c r="M77" s="74">
        <v>6.0685842480570464</v>
      </c>
      <c r="N77" s="75">
        <v>506.61374088614605</v>
      </c>
      <c r="O77" s="104">
        <v>1.5149857982758261E-2</v>
      </c>
      <c r="P77" s="101">
        <v>6.5421556489585492E-3</v>
      </c>
      <c r="Q77" s="101">
        <v>1.3978799256364602E-2</v>
      </c>
      <c r="R77" s="101">
        <v>1.5868221957389714E-2</v>
      </c>
      <c r="S77" s="72">
        <v>87363.607142857145</v>
      </c>
      <c r="T77" s="72">
        <v>7921</v>
      </c>
      <c r="U77" s="72">
        <v>5542943.8300000727</v>
      </c>
      <c r="V77" s="31">
        <v>2815781.8000000962</v>
      </c>
      <c r="W77" s="31">
        <v>20450.321428571428</v>
      </c>
      <c r="X77" s="31">
        <v>94310.428571428565</v>
      </c>
      <c r="Y77" s="76">
        <v>0.5079939263970602</v>
      </c>
      <c r="Z77" s="74">
        <v>44.117463523725363</v>
      </c>
      <c r="AA77" s="105">
        <v>699.77828935741354</v>
      </c>
      <c r="AD77" t="str">
        <f t="shared" si="0"/>
        <v>Pike</v>
      </c>
      <c r="AE77" s="100">
        <f t="shared" si="1"/>
        <v>5.8315448681796916E-2</v>
      </c>
      <c r="AF77" s="100">
        <f t="shared" si="1"/>
        <v>0.31043788630625924</v>
      </c>
      <c r="AG77" s="100">
        <f t="shared" si="1"/>
        <v>0.24580959407214373</v>
      </c>
      <c r="AH77" s="100">
        <f t="shared" si="1"/>
        <v>0.21581243814453047</v>
      </c>
      <c r="AI77" s="101">
        <f t="shared" si="2"/>
        <v>9.9367404582473944E-3</v>
      </c>
      <c r="AJ77" s="101">
        <f t="shared" si="3"/>
        <v>7.1011451205569591E-3</v>
      </c>
      <c r="AK77" s="102">
        <f t="shared" si="4"/>
        <v>2.8355953376904353E-3</v>
      </c>
      <c r="AL77" s="103">
        <f t="shared" si="5"/>
        <v>0.24580959407214373</v>
      </c>
    </row>
    <row r="78" spans="1:38" x14ac:dyDescent="0.35">
      <c r="A78" s="83" t="s">
        <v>80</v>
      </c>
      <c r="B78" s="104">
        <v>2.6124232757925768E-2</v>
      </c>
      <c r="C78" s="101">
        <v>1.6132053955428126E-2</v>
      </c>
      <c r="D78" s="101">
        <v>3.0064120808962105E-2</v>
      </c>
      <c r="E78" s="101">
        <v>2.8898007283873279E-2</v>
      </c>
      <c r="F78" s="72">
        <v>11342.75</v>
      </c>
      <c r="G78" s="72">
        <v>3961</v>
      </c>
      <c r="H78" s="72">
        <v>2344553.140000076</v>
      </c>
      <c r="I78" s="31">
        <v>921941.78999999247</v>
      </c>
      <c r="J78" s="31">
        <v>336.92857142857144</v>
      </c>
      <c r="K78" s="31">
        <v>151507</v>
      </c>
      <c r="L78" s="76">
        <v>0.39322708206987478</v>
      </c>
      <c r="M78" s="74">
        <v>11.454430699318355</v>
      </c>
      <c r="N78" s="75">
        <v>591.90940166626513</v>
      </c>
      <c r="O78" s="104">
        <v>3.5333797341335967E-2</v>
      </c>
      <c r="P78" s="101">
        <v>3.7465631176373908E-2</v>
      </c>
      <c r="Q78" s="101">
        <v>7.7433096728634396E-2</v>
      </c>
      <c r="R78" s="101">
        <v>8.0478142864509605E-2</v>
      </c>
      <c r="S78" s="72">
        <v>203756.89285714287</v>
      </c>
      <c r="T78" s="72">
        <v>45362</v>
      </c>
      <c r="U78" s="72">
        <v>30704161.19999456</v>
      </c>
      <c r="V78" s="31">
        <v>14280673.070000993</v>
      </c>
      <c r="W78" s="31">
        <v>20600.678571428572</v>
      </c>
      <c r="X78" s="31">
        <v>151507</v>
      </c>
      <c r="Y78" s="76">
        <v>0.46510546166633354</v>
      </c>
      <c r="Z78" s="74">
        <v>17.967187765719579</v>
      </c>
      <c r="AA78" s="105">
        <v>676.86965301341559</v>
      </c>
      <c r="AD78" t="str">
        <f t="shared" si="0"/>
        <v>Pişirme</v>
      </c>
      <c r="AE78" s="100">
        <f t="shared" si="1"/>
        <v>5.2732537578099183E-2</v>
      </c>
      <c r="AF78" s="100">
        <f t="shared" si="1"/>
        <v>8.0307361677108044E-2</v>
      </c>
      <c r="AG78" s="100">
        <f t="shared" si="1"/>
        <v>7.094234032465109E-2</v>
      </c>
      <c r="AH78" s="100">
        <f t="shared" si="1"/>
        <v>6.0643632591500955E-2</v>
      </c>
      <c r="AI78" s="101">
        <f t="shared" si="2"/>
        <v>1.1822026500704371E-2</v>
      </c>
      <c r="AJ78" s="101">
        <f t="shared" si="3"/>
        <v>3.6014556202225365E-2</v>
      </c>
      <c r="AK78" s="102">
        <f t="shared" si="4"/>
        <v>-2.4192529701520991E-2</v>
      </c>
      <c r="AL78" s="103">
        <f t="shared" si="5"/>
        <v>7.094234032465109E-2</v>
      </c>
    </row>
    <row r="79" spans="1:38" x14ac:dyDescent="0.35">
      <c r="A79" s="83" t="s">
        <v>89</v>
      </c>
      <c r="B79" s="104">
        <v>4.2422749354702319E-2</v>
      </c>
      <c r="C79" s="101">
        <v>2.4485207871758112E-2</v>
      </c>
      <c r="D79" s="101">
        <v>2.0868668982517193E-2</v>
      </c>
      <c r="E79" s="101">
        <v>1.941355201131888E-2</v>
      </c>
      <c r="F79" s="72">
        <v>18419.321428571428</v>
      </c>
      <c r="G79" s="72">
        <v>6012</v>
      </c>
      <c r="H79" s="72">
        <v>1627445.010000011</v>
      </c>
      <c r="I79" s="31">
        <v>619356.36999999895</v>
      </c>
      <c r="J79" s="31">
        <v>394.32142857142856</v>
      </c>
      <c r="K79" s="31">
        <v>48712.357142857145</v>
      </c>
      <c r="L79" s="76">
        <v>0.3805697680685351</v>
      </c>
      <c r="M79" s="74">
        <v>12.255037543959698</v>
      </c>
      <c r="N79" s="75">
        <v>270.69943612774631</v>
      </c>
      <c r="O79" s="104">
        <v>3.0739698211642671E-2</v>
      </c>
      <c r="P79" s="101">
        <v>2.4920649210456548E-2</v>
      </c>
      <c r="Q79" s="101">
        <v>1.5397498591426785E-2</v>
      </c>
      <c r="R79" s="101">
        <v>1.2703465360489325E-2</v>
      </c>
      <c r="S79" s="72">
        <v>177264.42857142858</v>
      </c>
      <c r="T79" s="72">
        <v>30173</v>
      </c>
      <c r="U79" s="72">
        <v>6105493.6300000781</v>
      </c>
      <c r="V79" s="31">
        <v>2254202.5600000881</v>
      </c>
      <c r="W79" s="31">
        <v>7827.9285714285716</v>
      </c>
      <c r="X79" s="31">
        <v>48712.357142857145</v>
      </c>
      <c r="Y79" s="76">
        <v>0.36920889556313552</v>
      </c>
      <c r="Z79" s="74">
        <v>23.499741964196943</v>
      </c>
      <c r="AA79" s="105">
        <v>202.34957180260756</v>
      </c>
      <c r="AD79" t="str">
        <f t="shared" si="0"/>
        <v>Salon</v>
      </c>
      <c r="AE79" s="100">
        <f t="shared" si="1"/>
        <v>9.412800719820337E-2</v>
      </c>
      <c r="AF79" s="100">
        <f t="shared" si="1"/>
        <v>0.16614619317396712</v>
      </c>
      <c r="AG79" s="100">
        <f t="shared" si="1"/>
        <v>0.21045621668090622</v>
      </c>
      <c r="AH79" s="100">
        <f t="shared" si="1"/>
        <v>0.21553633841780309</v>
      </c>
      <c r="AI79" s="101">
        <f t="shared" si="2"/>
        <v>7.9419845145756E-3</v>
      </c>
      <c r="AJ79" s="101">
        <f t="shared" si="3"/>
        <v>5.6848934493756182E-3</v>
      </c>
      <c r="AK79" s="102">
        <f t="shared" si="4"/>
        <v>2.2570910651999818E-3</v>
      </c>
      <c r="AL79" s="103">
        <f t="shared" si="5"/>
        <v>0.21045621668090622</v>
      </c>
    </row>
    <row r="80" spans="1:38" x14ac:dyDescent="0.35">
      <c r="A80" s="83" t="s">
        <v>202</v>
      </c>
      <c r="B80" s="104">
        <v>8.2980592538730205E-2</v>
      </c>
      <c r="C80" s="101">
        <v>0.12144858595073635</v>
      </c>
      <c r="D80" s="101">
        <v>0.11448875090150201</v>
      </c>
      <c r="E80" s="101">
        <v>0.12145069175572591</v>
      </c>
      <c r="F80" s="72">
        <v>36028.928571428572</v>
      </c>
      <c r="G80" s="72">
        <v>29820</v>
      </c>
      <c r="H80" s="72">
        <v>8928415.440001348</v>
      </c>
      <c r="I80" s="31">
        <v>3874677.8300003102</v>
      </c>
      <c r="J80" s="31">
        <v>2083.4285714285716</v>
      </c>
      <c r="K80" s="31">
        <v>317101.67857142858</v>
      </c>
      <c r="L80" s="76">
        <v>0.43397149875451196</v>
      </c>
      <c r="M80" s="74">
        <v>4.8328542684679503</v>
      </c>
      <c r="N80" s="75">
        <v>299.41030985920014</v>
      </c>
      <c r="O80" s="104">
        <v>0.11876551592046172</v>
      </c>
      <c r="P80" s="101">
        <v>0.12013581518430939</v>
      </c>
      <c r="Q80" s="101">
        <v>9.591206864387207E-2</v>
      </c>
      <c r="R80" s="101">
        <v>0.10328974154063809</v>
      </c>
      <c r="S80" s="72">
        <v>684876.64285714284</v>
      </c>
      <c r="T80" s="72">
        <v>145456</v>
      </c>
      <c r="U80" s="72">
        <v>38031536.13998989</v>
      </c>
      <c r="V80" s="31">
        <v>18328542.109999914</v>
      </c>
      <c r="W80" s="31">
        <v>28043.214285714286</v>
      </c>
      <c r="X80" s="31">
        <v>317101.67857142858</v>
      </c>
      <c r="Y80" s="76">
        <v>0.48193010249532325</v>
      </c>
      <c r="Z80" s="74">
        <v>18.833919339378035</v>
      </c>
      <c r="AA80" s="105">
        <v>261.46419632046729</v>
      </c>
      <c r="AD80" t="str">
        <f t="shared" si="0"/>
        <v>Sofra İçecek</v>
      </c>
      <c r="AE80" s="100">
        <f t="shared" si="1"/>
        <v>4.997732019192528E-2</v>
      </c>
      <c r="AF80" s="100">
        <f t="shared" si="1"/>
        <v>0.17013167803920673</v>
      </c>
      <c r="AG80" s="100">
        <f t="shared" si="1"/>
        <v>0.19012829314341925</v>
      </c>
      <c r="AH80" s="100">
        <f t="shared" si="1"/>
        <v>0.17450972608796628</v>
      </c>
      <c r="AI80" s="101">
        <f t="shared" si="2"/>
        <v>4.9684854819256809E-2</v>
      </c>
      <c r="AJ80" s="101">
        <f t="shared" si="3"/>
        <v>4.6222913072079749E-2</v>
      </c>
      <c r="AK80" s="102">
        <f t="shared" si="4"/>
        <v>3.4619417471770594E-3</v>
      </c>
      <c r="AL80" s="103">
        <f t="shared" si="5"/>
        <v>0.19012829314341925</v>
      </c>
    </row>
    <row r="81" spans="1:38" x14ac:dyDescent="0.35">
      <c r="A81" s="83" t="s">
        <v>203</v>
      </c>
      <c r="B81" s="104">
        <v>0.13494642672067042</v>
      </c>
      <c r="C81" s="101">
        <v>0.11568161084321647</v>
      </c>
      <c r="D81" s="101">
        <v>7.3225835168030287E-2</v>
      </c>
      <c r="E81" s="101">
        <v>7.6802614004212941E-2</v>
      </c>
      <c r="F81" s="72">
        <v>58591.714285714283</v>
      </c>
      <c r="G81" s="72">
        <v>28404</v>
      </c>
      <c r="H81" s="72">
        <v>5710523.2800007602</v>
      </c>
      <c r="I81" s="31">
        <v>2450256.8200000827</v>
      </c>
      <c r="J81" s="31">
        <v>2750.1071428571427</v>
      </c>
      <c r="K81" s="31">
        <v>434077.75</v>
      </c>
      <c r="L81" s="76">
        <v>0.4290774592551449</v>
      </c>
      <c r="M81" s="74">
        <v>8.251191985032289</v>
      </c>
      <c r="N81" s="75">
        <v>201.04644697932545</v>
      </c>
      <c r="O81" s="104">
        <v>0.16449710658503955</v>
      </c>
      <c r="P81" s="101">
        <v>0.15166634593227576</v>
      </c>
      <c r="Q81" s="101">
        <v>9.5597842303112787E-2</v>
      </c>
      <c r="R81" s="101">
        <v>0.10466015637529706</v>
      </c>
      <c r="S81" s="72">
        <v>948593.75</v>
      </c>
      <c r="T81" s="72">
        <v>183632</v>
      </c>
      <c r="U81" s="72">
        <v>37906937.529995389</v>
      </c>
      <c r="V81" s="31">
        <v>18571719.27000213</v>
      </c>
      <c r="W81" s="31">
        <v>39894.321428571428</v>
      </c>
      <c r="X81" s="31">
        <v>434077.75</v>
      </c>
      <c r="Y81" s="76">
        <v>0.48992929738274249</v>
      </c>
      <c r="Z81" s="74">
        <v>20.66292911910778</v>
      </c>
      <c r="AA81" s="105">
        <v>206.42882248189525</v>
      </c>
      <c r="AD81" t="str">
        <f t="shared" si="0"/>
        <v>Sofra Sunum</v>
      </c>
      <c r="AE81" s="100">
        <f t="shared" si="1"/>
        <v>5.8173709176062155E-2</v>
      </c>
      <c r="AF81" s="100">
        <f t="shared" si="1"/>
        <v>0.13395838442528626</v>
      </c>
      <c r="AG81" s="100">
        <f t="shared" si="1"/>
        <v>0.13092287294935875</v>
      </c>
      <c r="AH81" s="100">
        <f t="shared" si="1"/>
        <v>0.11655692164759877</v>
      </c>
      <c r="AI81" s="101">
        <f t="shared" si="2"/>
        <v>3.1419555305734474E-2</v>
      </c>
      <c r="AJ81" s="101">
        <f t="shared" si="3"/>
        <v>4.6836183710870262E-2</v>
      </c>
      <c r="AK81" s="102">
        <f t="shared" si="4"/>
        <v>-1.5416628405135788E-2</v>
      </c>
      <c r="AL81" s="103">
        <f t="shared" si="5"/>
        <v>0.13092287294935875</v>
      </c>
    </row>
    <row r="82" spans="1:38" x14ac:dyDescent="0.35">
      <c r="A82" s="83" t="s">
        <v>77</v>
      </c>
      <c r="B82" s="104">
        <v>7.4029503552633094E-3</v>
      </c>
      <c r="C82" s="101">
        <v>2.0009285807376515E-2</v>
      </c>
      <c r="D82" s="101">
        <v>7.4646022684357452E-2</v>
      </c>
      <c r="E82" s="101">
        <v>6.8447080825162779E-2</v>
      </c>
      <c r="F82" s="72">
        <v>3214.25</v>
      </c>
      <c r="G82" s="72">
        <v>4913</v>
      </c>
      <c r="H82" s="72">
        <v>5821276.7300002426</v>
      </c>
      <c r="I82" s="31">
        <v>2183687.7399999984</v>
      </c>
      <c r="J82" s="31">
        <v>371.21428571428572</v>
      </c>
      <c r="K82" s="31">
        <v>54103.071428571428</v>
      </c>
      <c r="L82" s="76">
        <v>0.3751217887901212</v>
      </c>
      <c r="M82" s="74">
        <v>2.6169346631386117</v>
      </c>
      <c r="N82" s="75">
        <v>1184.8721209037742</v>
      </c>
      <c r="O82" s="104">
        <v>1.1327124366039911E-2</v>
      </c>
      <c r="P82" s="101">
        <v>1.5006239866926889E-2</v>
      </c>
      <c r="Q82" s="101">
        <v>6.3697178834360824E-2</v>
      </c>
      <c r="R82" s="101">
        <v>5.8036850177571771E-2</v>
      </c>
      <c r="S82" s="72">
        <v>65319.321428571428</v>
      </c>
      <c r="T82" s="72">
        <v>18169</v>
      </c>
      <c r="U82" s="72">
        <v>25257525.910000995</v>
      </c>
      <c r="V82" s="31">
        <v>10298514.030000435</v>
      </c>
      <c r="W82" s="31">
        <v>3085.5357142857142</v>
      </c>
      <c r="X82" s="31">
        <v>54103.071428571428</v>
      </c>
      <c r="Y82" s="76">
        <v>0.40774041237042247</v>
      </c>
      <c r="Z82" s="74">
        <v>14.380388888452073</v>
      </c>
      <c r="AA82" s="105">
        <v>1390.1439765535249</v>
      </c>
      <c r="AD82" t="str">
        <f t="shared" si="0"/>
        <v>Sofra Takımları</v>
      </c>
      <c r="AE82" s="100">
        <f t="shared" si="1"/>
        <v>4.6900372080419403E-2</v>
      </c>
      <c r="AF82" s="100">
        <f t="shared" si="1"/>
        <v>0.21284983970193225</v>
      </c>
      <c r="AG82" s="100">
        <f t="shared" si="1"/>
        <v>0.18730698210708194</v>
      </c>
      <c r="AH82" s="100">
        <f t="shared" si="1"/>
        <v>0.1749441148474499</v>
      </c>
      <c r="AI82" s="101">
        <f t="shared" si="2"/>
        <v>2.8001349555424132E-2</v>
      </c>
      <c r="AJ82" s="101">
        <f t="shared" si="3"/>
        <v>2.5971913964754827E-2</v>
      </c>
      <c r="AK82" s="102">
        <f t="shared" si="4"/>
        <v>2.0294355906693047E-3</v>
      </c>
      <c r="AL82" s="103">
        <f t="shared" si="5"/>
        <v>0.18730698210708194</v>
      </c>
    </row>
    <row r="83" spans="1:38" x14ac:dyDescent="0.35">
      <c r="A83" s="83" t="s">
        <v>97</v>
      </c>
      <c r="B83" s="104">
        <v>4.7594096657284013E-3</v>
      </c>
      <c r="C83" s="101">
        <v>2.2041574351622573E-2</v>
      </c>
      <c r="D83" s="101">
        <v>1.5937699941667372E-2</v>
      </c>
      <c r="E83" s="101">
        <v>1.6795752895755318E-2</v>
      </c>
      <c r="F83" s="72">
        <v>2066.4642857142858</v>
      </c>
      <c r="G83" s="72">
        <v>5412</v>
      </c>
      <c r="H83" s="72">
        <v>1242902.949999996</v>
      </c>
      <c r="I83" s="31">
        <v>535839.93999999983</v>
      </c>
      <c r="J83" s="31">
        <v>121.85714285714286</v>
      </c>
      <c r="K83" s="31">
        <v>31963.357142857141</v>
      </c>
      <c r="L83" s="76">
        <v>0.43111969442183845</v>
      </c>
      <c r="M83" s="74">
        <v>1.5273202407348749</v>
      </c>
      <c r="N83" s="75">
        <v>229.6568643754612</v>
      </c>
      <c r="O83" s="104">
        <v>1.7081328143654321E-2</v>
      </c>
      <c r="P83" s="101">
        <v>2.632472250969017E-2</v>
      </c>
      <c r="Q83" s="101">
        <v>2.610473243944899E-2</v>
      </c>
      <c r="R83" s="101">
        <v>2.8936870280665009E-2</v>
      </c>
      <c r="S83" s="72">
        <v>98501.678571428565</v>
      </c>
      <c r="T83" s="72">
        <v>31873</v>
      </c>
      <c r="U83" s="72">
        <v>10351179.88000045</v>
      </c>
      <c r="V83" s="31">
        <v>5134785.2900000308</v>
      </c>
      <c r="W83" s="31">
        <v>5427.8928571428569</v>
      </c>
      <c r="X83" s="31">
        <v>31963.357142857141</v>
      </c>
      <c r="Y83" s="76">
        <v>0.49605797112278632</v>
      </c>
      <c r="Z83" s="74">
        <v>12.361770598491333</v>
      </c>
      <c r="AA83" s="105">
        <v>324.76327549965328</v>
      </c>
      <c r="AD83" t="str">
        <f t="shared" si="0"/>
        <v>Yastık</v>
      </c>
      <c r="AE83" s="100">
        <f t="shared" si="1"/>
        <v>2.0547901422915807E-2</v>
      </c>
      <c r="AF83" s="100">
        <f t="shared" si="1"/>
        <v>0.14515220598095749</v>
      </c>
      <c r="AG83" s="100">
        <f t="shared" si="1"/>
        <v>0.10720148960674178</v>
      </c>
      <c r="AH83" s="100">
        <f t="shared" si="1"/>
        <v>9.4493978753026675E-2</v>
      </c>
      <c r="AI83" s="101">
        <f t="shared" si="2"/>
        <v>6.8710563286385898E-3</v>
      </c>
      <c r="AJ83" s="101">
        <f t="shared" si="3"/>
        <v>1.294946061061625E-2</v>
      </c>
      <c r="AK83" s="102">
        <f t="shared" si="4"/>
        <v>-6.0784042819776599E-3</v>
      </c>
      <c r="AL83" s="103">
        <f t="shared" si="5"/>
        <v>0.10720148960674178</v>
      </c>
    </row>
    <row r="84" spans="1:38" x14ac:dyDescent="0.35">
      <c r="A84" s="83" t="s">
        <v>104</v>
      </c>
      <c r="B84" s="104">
        <v>4.9323445075255941E-2</v>
      </c>
      <c r="C84" s="101">
        <v>6.6047341326730097E-2</v>
      </c>
      <c r="D84" s="101">
        <v>9.65924220505881E-2</v>
      </c>
      <c r="E84" s="101">
        <v>9.8569341093675364E-2</v>
      </c>
      <c r="F84" s="72">
        <v>21415.5</v>
      </c>
      <c r="G84" s="72">
        <v>16217</v>
      </c>
      <c r="H84" s="72">
        <v>7532768.6399999242</v>
      </c>
      <c r="I84" s="31">
        <v>3144687.2399999835</v>
      </c>
      <c r="J84" s="31">
        <v>1709.3571428571429</v>
      </c>
      <c r="K84" s="31">
        <v>196469.21428571429</v>
      </c>
      <c r="L84" s="76">
        <v>0.41746765237170685</v>
      </c>
      <c r="M84" s="74">
        <v>5.2822346919898875</v>
      </c>
      <c r="N84" s="75">
        <v>464.49828204969629</v>
      </c>
      <c r="O84" s="104">
        <v>2.3897367963304831E-2</v>
      </c>
      <c r="P84" s="101">
        <v>2.885618407566138E-2</v>
      </c>
      <c r="Q84" s="101">
        <v>5.7500489121581781E-2</v>
      </c>
      <c r="R84" s="101">
        <v>7.4662050668781982E-2</v>
      </c>
      <c r="S84" s="72">
        <v>137807.25</v>
      </c>
      <c r="T84" s="72">
        <v>34938</v>
      </c>
      <c r="U84" s="72">
        <v>22800383.320001014</v>
      </c>
      <c r="V84" s="31">
        <v>13248620.039999994</v>
      </c>
      <c r="W84" s="31">
        <v>18438.607142857141</v>
      </c>
      <c r="X84" s="31">
        <v>196469.21428571429</v>
      </c>
      <c r="Y84" s="76">
        <v>0.58107005720285432</v>
      </c>
      <c r="Z84" s="74">
        <v>15.777348445818307</v>
      </c>
      <c r="AA84" s="105">
        <v>652.59554983115845</v>
      </c>
      <c r="AD84" t="str">
        <f t="shared" si="0"/>
        <v>Yatak Örtüsü</v>
      </c>
      <c r="AE84" s="100">
        <f t="shared" si="1"/>
        <v>0.13450025200544521</v>
      </c>
      <c r="AF84" s="100">
        <f t="shared" si="1"/>
        <v>0.31701690939302118</v>
      </c>
      <c r="AG84" s="100">
        <f t="shared" si="1"/>
        <v>0.24833451696457631</v>
      </c>
      <c r="AH84" s="100">
        <f t="shared" si="1"/>
        <v>0.19182750535253726</v>
      </c>
      <c r="AI84" s="101">
        <f t="shared" si="2"/>
        <v>4.0324211670356103E-2</v>
      </c>
      <c r="AJ84" s="101">
        <f t="shared" si="3"/>
        <v>3.3411812503069627E-2</v>
      </c>
      <c r="AK84" s="102">
        <f t="shared" si="4"/>
        <v>6.912399167286476E-3</v>
      </c>
      <c r="AL84" s="103">
        <f t="shared" si="5"/>
        <v>0.24833451696457631</v>
      </c>
    </row>
    <row r="85" spans="1:38" x14ac:dyDescent="0.35">
      <c r="A85" s="83" t="s">
        <v>69</v>
      </c>
      <c r="B85" s="104">
        <v>6.3032709888312919E-4</v>
      </c>
      <c r="C85" s="101">
        <v>2.932360224162648E-4</v>
      </c>
      <c r="D85" s="101">
        <v>1.6716516132056304E-4</v>
      </c>
      <c r="E85" s="101">
        <v>2.2292584292487515E-4</v>
      </c>
      <c r="F85" s="72">
        <v>273.67857142857144</v>
      </c>
      <c r="G85" s="72">
        <v>72</v>
      </c>
      <c r="H85" s="72">
        <v>13036.389999999994</v>
      </c>
      <c r="I85" s="31">
        <v>7112.0699999999979</v>
      </c>
      <c r="J85" s="31">
        <v>0</v>
      </c>
      <c r="K85" s="31">
        <v>1758.4285714285713</v>
      </c>
      <c r="L85" s="76">
        <v>0.545555172866108</v>
      </c>
      <c r="M85" s="74">
        <v>15.204365079365081</v>
      </c>
      <c r="N85" s="75">
        <v>181.06097222222215</v>
      </c>
      <c r="O85" s="104">
        <v>3.0908130366785362E-4</v>
      </c>
      <c r="P85" s="101">
        <v>3.4688869745771881E-5</v>
      </c>
      <c r="Q85" s="101">
        <v>4.2515424289888856E-5</v>
      </c>
      <c r="R85" s="101">
        <v>5.6876711944882885E-5</v>
      </c>
      <c r="S85" s="72">
        <v>1782.3571428571429</v>
      </c>
      <c r="T85" s="72">
        <v>42</v>
      </c>
      <c r="U85" s="72">
        <v>16858.429999999997</v>
      </c>
      <c r="V85" s="31">
        <v>10092.65</v>
      </c>
      <c r="W85" s="31">
        <v>272.89285714285717</v>
      </c>
      <c r="X85" s="31">
        <v>1758.4285714285713</v>
      </c>
      <c r="Y85" s="76">
        <v>0.59867081335569217</v>
      </c>
      <c r="Z85" s="74">
        <v>169.74829931972789</v>
      </c>
      <c r="AA85" s="105">
        <v>401.39119047619039</v>
      </c>
      <c r="AD85" t="str">
        <f t="shared" si="0"/>
        <v>YEDEK PARÇA</v>
      </c>
      <c r="AE85" s="100">
        <f t="shared" si="1"/>
        <v>0.13310983341729057</v>
      </c>
      <c r="AF85" s="100">
        <f t="shared" si="1"/>
        <v>0.63157894736842102</v>
      </c>
      <c r="AG85" s="100">
        <f t="shared" si="1"/>
        <v>0.43607521303021718</v>
      </c>
      <c r="AH85" s="100">
        <f t="shared" si="1"/>
        <v>0.41337900297127761</v>
      </c>
      <c r="AI85" s="101">
        <f t="shared" si="2"/>
        <v>9.1197818481430595E-5</v>
      </c>
      <c r="AJ85" s="101">
        <f t="shared" si="3"/>
        <v>2.5452743639790113E-5</v>
      </c>
      <c r="AK85" s="102">
        <f t="shared" si="4"/>
        <v>6.5745074841640482E-5</v>
      </c>
      <c r="AL85" s="103">
        <f t="shared" si="5"/>
        <v>0.43607521303021718</v>
      </c>
    </row>
    <row r="86" spans="1:38" x14ac:dyDescent="0.35">
      <c r="A86" s="106" t="s">
        <v>96</v>
      </c>
      <c r="B86" s="104">
        <v>3.8891420543250986E-3</v>
      </c>
      <c r="C86" s="101">
        <v>1.2356640166818715E-2</v>
      </c>
      <c r="D86" s="101">
        <v>2.1932548641532719E-2</v>
      </c>
      <c r="E86" s="101">
        <v>2.1332701766479969E-2</v>
      </c>
      <c r="F86" s="72">
        <v>1688.6071428571429</v>
      </c>
      <c r="G86" s="72">
        <v>3034</v>
      </c>
      <c r="H86" s="72">
        <v>1710411.7600000144</v>
      </c>
      <c r="I86" s="31">
        <v>680583.57999999973</v>
      </c>
      <c r="J86" s="31">
        <v>72.535714285714292</v>
      </c>
      <c r="K86" s="31">
        <v>43271.357142857145</v>
      </c>
      <c r="L86" s="76">
        <v>0.39790627959667091</v>
      </c>
      <c r="M86" s="74">
        <v>2.2262454091722383</v>
      </c>
      <c r="N86" s="75">
        <v>563.74810810811289</v>
      </c>
      <c r="O86" s="104">
        <v>1.1221324744540333E-2</v>
      </c>
      <c r="P86" s="101">
        <v>1.2546633816857635E-2</v>
      </c>
      <c r="Q86" s="101">
        <v>2.4732672908892923E-2</v>
      </c>
      <c r="R86" s="101">
        <v>2.1218765136632518E-2</v>
      </c>
      <c r="S86" s="72">
        <v>64709.214285714283</v>
      </c>
      <c r="T86" s="72">
        <v>15191</v>
      </c>
      <c r="U86" s="72">
        <v>9807123.9299998917</v>
      </c>
      <c r="V86" s="31">
        <v>3765224.1600000099</v>
      </c>
      <c r="W86" s="31">
        <v>3727</v>
      </c>
      <c r="X86" s="31">
        <v>43271.357142857145</v>
      </c>
      <c r="Y86" s="76">
        <v>0.38392745792497113</v>
      </c>
      <c r="Z86" s="74">
        <v>17.038829382058925</v>
      </c>
      <c r="AA86" s="105">
        <v>645.58777763148521</v>
      </c>
      <c r="AD86" t="str">
        <f t="shared" si="0"/>
        <v>Yorgan</v>
      </c>
      <c r="AE86" s="100">
        <f t="shared" ref="AE86:AH88" si="6">F86/(S86+F86)</f>
        <v>2.5431664872825544E-2</v>
      </c>
      <c r="AF86" s="100">
        <f t="shared" si="6"/>
        <v>0.16647462277091907</v>
      </c>
      <c r="AG86" s="100">
        <f t="shared" si="6"/>
        <v>0.1485050106235033</v>
      </c>
      <c r="AH86" s="100">
        <f t="shared" si="6"/>
        <v>0.15308434817741315</v>
      </c>
      <c r="AI86" s="101">
        <f t="shared" si="2"/>
        <v>8.7270988320253019E-3</v>
      </c>
      <c r="AJ86" s="101">
        <f t="shared" si="3"/>
        <v>9.4955522376010612E-3</v>
      </c>
      <c r="AK86" s="102">
        <f t="shared" si="4"/>
        <v>-7.6845340557575928E-4</v>
      </c>
      <c r="AL86" s="103">
        <f t="shared" si="5"/>
        <v>0.1485050106235033</v>
      </c>
    </row>
    <row r="87" spans="1:38" x14ac:dyDescent="0.35">
      <c r="A87" s="4" t="s">
        <v>108</v>
      </c>
      <c r="B87" s="107">
        <v>1</v>
      </c>
      <c r="C87" s="108">
        <v>1</v>
      </c>
      <c r="D87" s="108">
        <v>1</v>
      </c>
      <c r="E87" s="108">
        <v>1</v>
      </c>
      <c r="F87" s="109">
        <v>434185</v>
      </c>
      <c r="G87" s="109">
        <v>245536</v>
      </c>
      <c r="H87" s="109">
        <v>77985089.100000069</v>
      </c>
      <c r="I87" s="110">
        <v>31903299.799999986</v>
      </c>
      <c r="J87" s="110">
        <v>19199.321428571428</v>
      </c>
      <c r="K87" s="110">
        <v>3314449.5714285714</v>
      </c>
      <c r="L87" s="111">
        <v>0.40909486888051738</v>
      </c>
      <c r="M87" s="112">
        <v>7.0732601329336635</v>
      </c>
      <c r="N87" s="113">
        <v>317.61162965919488</v>
      </c>
      <c r="O87" s="107">
        <v>1</v>
      </c>
      <c r="P87" s="108">
        <v>1</v>
      </c>
      <c r="Q87" s="108">
        <v>1</v>
      </c>
      <c r="R87" s="108">
        <v>1</v>
      </c>
      <c r="S87" s="109">
        <v>5766628.7857142854</v>
      </c>
      <c r="T87" s="109">
        <v>1210763</v>
      </c>
      <c r="U87" s="109">
        <v>396525032.53999794</v>
      </c>
      <c r="V87" s="110">
        <v>177447845.60999963</v>
      </c>
      <c r="W87" s="110">
        <v>292003.96428571426</v>
      </c>
      <c r="X87" s="110">
        <v>3314449.5714285714</v>
      </c>
      <c r="Y87" s="111">
        <v>0.4475072972652745</v>
      </c>
      <c r="Z87" s="112">
        <v>19.051222363796334</v>
      </c>
      <c r="AA87" s="114">
        <v>327.50012392185567</v>
      </c>
      <c r="AD87" t="str">
        <f t="shared" si="0"/>
        <v>Genel Toplam</v>
      </c>
      <c r="AE87" s="100">
        <f t="shared" si="6"/>
        <v>7.0020648096270038E-2</v>
      </c>
      <c r="AF87" s="100">
        <f t="shared" si="6"/>
        <v>0.16860273886063232</v>
      </c>
      <c r="AG87" s="100">
        <f t="shared" si="6"/>
        <v>0.16434863144851081</v>
      </c>
      <c r="AH87" s="100">
        <f t="shared" si="6"/>
        <v>0.15239133149961803</v>
      </c>
      <c r="AI87" s="101">
        <f t="shared" si="2"/>
        <v>0.40909486888051738</v>
      </c>
      <c r="AJ87" s="101">
        <f t="shared" si="3"/>
        <v>0.4475072972652745</v>
      </c>
      <c r="AK87" s="102">
        <f t="shared" si="4"/>
        <v>-3.8412428384757114E-2</v>
      </c>
      <c r="AL87" s="103">
        <f t="shared" si="5"/>
        <v>0.16434863144851081</v>
      </c>
    </row>
    <row r="88" spans="1:38" x14ac:dyDescent="0.35">
      <c r="AD88">
        <f t="shared" si="0"/>
        <v>0</v>
      </c>
      <c r="AE88" s="100" t="e">
        <f t="shared" si="6"/>
        <v>#DIV/0!</v>
      </c>
      <c r="AF88" s="100" t="e">
        <f t="shared" si="6"/>
        <v>#DIV/0!</v>
      </c>
      <c r="AG88" s="100" t="e">
        <f t="shared" si="6"/>
        <v>#DIV/0!</v>
      </c>
      <c r="AH88" s="100" t="e">
        <f t="shared" si="6"/>
        <v>#DIV/0!</v>
      </c>
      <c r="AI88" s="101">
        <f t="shared" si="2"/>
        <v>0</v>
      </c>
      <c r="AJ88" s="101">
        <f t="shared" si="3"/>
        <v>0</v>
      </c>
      <c r="AK88" s="102">
        <f t="shared" si="4"/>
        <v>0</v>
      </c>
      <c r="AL88" s="103" t="e">
        <f t="shared" si="5"/>
        <v>#DIV/0!</v>
      </c>
    </row>
    <row r="177" spans="1:26" x14ac:dyDescent="0.35">
      <c r="A177" s="133" t="s">
        <v>142</v>
      </c>
      <c r="B177" t="s" vm="20">
        <v>3</v>
      </c>
    </row>
    <row r="178" spans="1:26" x14ac:dyDescent="0.35">
      <c r="A178" s="134" t="s">
        <v>141</v>
      </c>
      <c r="B178" s="116" t="s" vm="24">
        <v>8</v>
      </c>
    </row>
    <row r="179" spans="1:26" x14ac:dyDescent="0.35">
      <c r="A179" s="132" t="s">
        <v>110</v>
      </c>
      <c r="B179" t="s" vm="22">
        <v>168</v>
      </c>
      <c r="K179" s="77"/>
      <c r="L179" s="78"/>
      <c r="M179" s="78"/>
      <c r="N179" s="78"/>
      <c r="O179" s="78"/>
    </row>
    <row r="180" spans="1:26" x14ac:dyDescent="0.35">
      <c r="A180" s="132" t="s">
        <v>111</v>
      </c>
      <c r="B180" t="s" vm="13">
        <v>112</v>
      </c>
    </row>
    <row r="181" spans="1:26" x14ac:dyDescent="0.35">
      <c r="A181" s="133" t="s">
        <v>125</v>
      </c>
      <c r="B181" t="s" vm="23">
        <v>8</v>
      </c>
    </row>
    <row r="183" spans="1:26" x14ac:dyDescent="0.35">
      <c r="A183" s="79"/>
      <c r="B183" s="79"/>
      <c r="C183" s="79"/>
      <c r="D183" s="131" t="s">
        <v>4</v>
      </c>
      <c r="E183" s="131" t="s">
        <v>24</v>
      </c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Q183" s="117" t="s">
        <v>158</v>
      </c>
      <c r="R183" s="81"/>
      <c r="S183" s="81"/>
      <c r="T183" s="81"/>
    </row>
    <row r="184" spans="1:26" x14ac:dyDescent="0.35">
      <c r="A184" s="79"/>
      <c r="B184" s="79"/>
      <c r="C184" s="79"/>
      <c r="D184" s="155" t="s">
        <v>157</v>
      </c>
      <c r="E184" s="156"/>
      <c r="F184" s="156"/>
      <c r="G184" s="156"/>
      <c r="H184" s="156"/>
      <c r="I184" s="156"/>
      <c r="J184" s="155" t="s">
        <v>5</v>
      </c>
      <c r="K184" s="156"/>
      <c r="L184" s="156"/>
      <c r="M184" s="156"/>
      <c r="N184" s="156"/>
      <c r="O184" s="163"/>
    </row>
    <row r="185" spans="1:26" ht="72.5" x14ac:dyDescent="0.35">
      <c r="A185" s="133" t="s">
        <v>169</v>
      </c>
      <c r="B185" s="133" t="s">
        <v>170</v>
      </c>
      <c r="C185" s="131" t="s">
        <v>171</v>
      </c>
      <c r="D185" s="84" t="s">
        <v>30</v>
      </c>
      <c r="E185" s="70" t="s">
        <v>34</v>
      </c>
      <c r="F185" s="70" t="s">
        <v>126</v>
      </c>
      <c r="G185" s="2" t="s">
        <v>128</v>
      </c>
      <c r="H185" s="83" t="s">
        <v>148</v>
      </c>
      <c r="I185" s="2" t="s">
        <v>136</v>
      </c>
      <c r="J185" s="84" t="s">
        <v>30</v>
      </c>
      <c r="K185" s="70" t="s">
        <v>34</v>
      </c>
      <c r="L185" s="86" t="s">
        <v>126</v>
      </c>
      <c r="M185" s="2" t="s">
        <v>128</v>
      </c>
      <c r="N185" s="83" t="s">
        <v>148</v>
      </c>
      <c r="O185" s="85" t="s">
        <v>136</v>
      </c>
      <c r="P185" s="89" t="s">
        <v>167</v>
      </c>
      <c r="Q185" s="88" t="s">
        <v>30</v>
      </c>
      <c r="R185" s="88" t="s">
        <v>34</v>
      </c>
      <c r="S185" s="88" t="s">
        <v>126</v>
      </c>
      <c r="T185" s="88" t="s">
        <v>163</v>
      </c>
      <c r="U185" s="89" t="s">
        <v>172</v>
      </c>
      <c r="V185" s="89"/>
      <c r="W185" s="89"/>
      <c r="X185" s="89" t="s">
        <v>173</v>
      </c>
      <c r="Y185" s="89" t="s">
        <v>174</v>
      </c>
      <c r="Z185" s="89" t="s">
        <v>175</v>
      </c>
    </row>
    <row r="186" spans="1:26" x14ac:dyDescent="0.35">
      <c r="A186" s="157" t="s">
        <v>176</v>
      </c>
      <c r="B186" s="158"/>
      <c r="C186" s="158"/>
      <c r="D186" s="118"/>
      <c r="E186" s="93">
        <v>3221407</v>
      </c>
      <c r="F186" s="93">
        <v>146897493.43005574</v>
      </c>
      <c r="G186" s="94">
        <v>62430362.309983492</v>
      </c>
      <c r="H186" s="94"/>
      <c r="I186" s="94"/>
      <c r="J186" s="118"/>
      <c r="K186" s="93">
        <v>13136077</v>
      </c>
      <c r="L186" s="93">
        <v>647724812.14968848</v>
      </c>
      <c r="M186" s="94">
        <v>303344831.73996502</v>
      </c>
      <c r="N186" s="94"/>
      <c r="O186" s="119"/>
      <c r="P186" s="103">
        <f>E186/(K186+E186)</f>
        <v>0.19693780534952685</v>
      </c>
      <c r="Q186" s="103" t="str">
        <f>IFERROR(D186/(D186+J186),"-")</f>
        <v>-</v>
      </c>
      <c r="R186" s="103">
        <f t="shared" ref="R186:T198" si="7">IFERROR(E186/(E186+K186),"-")</f>
        <v>0.19693780534952685</v>
      </c>
      <c r="S186" s="103">
        <f t="shared" si="7"/>
        <v>0.18486454809858577</v>
      </c>
      <c r="T186" s="103">
        <f>IFERROR(G186/(G186+M186),"-")</f>
        <v>0.17067959589807039</v>
      </c>
      <c r="U186" s="100">
        <f>IFERROR(G186/F186,"-")</f>
        <v>0.42499269968625636</v>
      </c>
      <c r="V186" s="100"/>
      <c r="W186" s="100"/>
      <c r="X186" s="100">
        <f>IFERROR(M186/L186,"-")</f>
        <v>0.46832362455471654</v>
      </c>
      <c r="Y186" s="120" t="str">
        <f>IFERROR(E186/H186,"-")</f>
        <v>-</v>
      </c>
      <c r="Z186" s="120" t="str">
        <f>IFERROR(K186/N186,"-")</f>
        <v>-</v>
      </c>
    </row>
    <row r="187" spans="1:26" x14ac:dyDescent="0.35">
      <c r="A187" s="157" t="s">
        <v>177</v>
      </c>
      <c r="B187" s="158"/>
      <c r="C187" s="158"/>
      <c r="D187" s="121">
        <v>631834.3426183844</v>
      </c>
      <c r="E187" s="72">
        <v>3318948</v>
      </c>
      <c r="F187" s="72">
        <v>271506738.45991361</v>
      </c>
      <c r="G187" s="31">
        <v>121381619.00999267</v>
      </c>
      <c r="H187" s="31">
        <v>49629.027855153203</v>
      </c>
      <c r="I187" s="31">
        <v>2691705.4447075203</v>
      </c>
      <c r="J187" s="121">
        <v>3262594.6128133703</v>
      </c>
      <c r="K187" s="72">
        <v>13440361</v>
      </c>
      <c r="L187" s="72">
        <v>1338181464.7506616</v>
      </c>
      <c r="M187" s="31">
        <v>643868443.94959509</v>
      </c>
      <c r="N187" s="31">
        <v>247126.84401114206</v>
      </c>
      <c r="O187" s="122">
        <v>2691705.4447075203</v>
      </c>
      <c r="P187" s="103">
        <f t="shared" ref="P187:P198" si="8">E187/(K187+E187)</f>
        <v>0.19803608848073628</v>
      </c>
      <c r="Q187" s="103">
        <f t="shared" ref="Q187:Q198" si="9">IFERROR(D187/(D187+J187),"-")</f>
        <v>0.16224056205650728</v>
      </c>
      <c r="R187" s="103">
        <f t="shared" si="7"/>
        <v>0.19803608848073628</v>
      </c>
      <c r="S187" s="103">
        <f t="shared" si="7"/>
        <v>0.16867039089830232</v>
      </c>
      <c r="T187" s="103">
        <f t="shared" si="7"/>
        <v>0.15861693436594038</v>
      </c>
      <c r="U187" s="100">
        <f t="shared" ref="U187:U198" si="10">IFERROR(G187/F187,"-")</f>
        <v>0.44706669049362824</v>
      </c>
      <c r="V187" s="100"/>
      <c r="W187" s="100"/>
      <c r="X187" s="100">
        <f t="shared" ref="X187:X198" si="11">IFERROR(M187/L187,"-")</f>
        <v>0.48115181752989289</v>
      </c>
      <c r="Y187" s="120">
        <f t="shared" ref="Y187:Y198" si="12">IFERROR(E187/H187,"-")</f>
        <v>66.875136254666302</v>
      </c>
      <c r="Z187" s="120">
        <f t="shared" ref="Z187:Z198" si="13">IFERROR(K187/N187,"-")</f>
        <v>54.38648744850245</v>
      </c>
    </row>
    <row r="188" spans="1:26" x14ac:dyDescent="0.35">
      <c r="A188" s="157" t="s">
        <v>178</v>
      </c>
      <c r="B188" s="157" t="s">
        <v>179</v>
      </c>
      <c r="C188" s="158"/>
      <c r="D188" s="121">
        <v>469593.82857142854</v>
      </c>
      <c r="E188" s="72">
        <v>204681</v>
      </c>
      <c r="F188" s="72">
        <v>26520837.039998416</v>
      </c>
      <c r="G188" s="31">
        <v>12375557.590000128</v>
      </c>
      <c r="H188" s="31">
        <v>29924.114285714284</v>
      </c>
      <c r="I188" s="31">
        <v>1605932.8631428571</v>
      </c>
      <c r="J188" s="121">
        <v>3106069.6285714284</v>
      </c>
      <c r="K188" s="72">
        <v>1035851</v>
      </c>
      <c r="L188" s="72">
        <v>147306728.35998154</v>
      </c>
      <c r="M188" s="31">
        <v>73912395.220001802</v>
      </c>
      <c r="N188" s="31">
        <v>189537.42857142858</v>
      </c>
      <c r="O188" s="122">
        <v>1605932.8631428571</v>
      </c>
      <c r="P188" s="103">
        <f t="shared" si="8"/>
        <v>0.16499453460289618</v>
      </c>
      <c r="Q188" s="103">
        <f t="shared" si="9"/>
        <v>0.13133054444297695</v>
      </c>
      <c r="R188" s="103">
        <f t="shared" si="7"/>
        <v>0.16499453460289618</v>
      </c>
      <c r="S188" s="103">
        <f t="shared" si="7"/>
        <v>0.15256980087694122</v>
      </c>
      <c r="T188" s="103">
        <f t="shared" si="7"/>
        <v>0.14342161549770405</v>
      </c>
      <c r="U188" s="100">
        <f t="shared" si="10"/>
        <v>0.46663525632073594</v>
      </c>
      <c r="V188" s="100"/>
      <c r="W188" s="100"/>
      <c r="X188" s="100">
        <f t="shared" si="11"/>
        <v>0.50175844676543235</v>
      </c>
      <c r="Y188" s="120">
        <f t="shared" si="12"/>
        <v>6.8400019477841099</v>
      </c>
      <c r="Z188" s="120">
        <f t="shared" si="13"/>
        <v>5.4651527553547661</v>
      </c>
    </row>
    <row r="189" spans="1:26" x14ac:dyDescent="0.35">
      <c r="A189" s="158"/>
      <c r="B189" s="157" t="s">
        <v>180</v>
      </c>
      <c r="C189" s="158"/>
      <c r="D189" s="121">
        <v>478369.82142857142</v>
      </c>
      <c r="E189" s="72">
        <v>122216</v>
      </c>
      <c r="F189" s="72">
        <v>18068248.03000056</v>
      </c>
      <c r="G189" s="31">
        <v>8382585.1399999931</v>
      </c>
      <c r="H189" s="31">
        <v>37149.607142857145</v>
      </c>
      <c r="I189" s="31">
        <v>1485520.1425357142</v>
      </c>
      <c r="J189" s="121">
        <v>3068295.7857142859</v>
      </c>
      <c r="K189" s="72">
        <v>737259</v>
      </c>
      <c r="L189" s="72">
        <v>119835915.63001153</v>
      </c>
      <c r="M189" s="31">
        <v>56350212.190015562</v>
      </c>
      <c r="N189" s="31">
        <v>220979.64285714287</v>
      </c>
      <c r="O189" s="122">
        <v>1485520.1425357142</v>
      </c>
      <c r="P189" s="103">
        <f t="shared" si="8"/>
        <v>0.1421984350911894</v>
      </c>
      <c r="Q189" s="103">
        <f t="shared" si="9"/>
        <v>0.13487874934280575</v>
      </c>
      <c r="R189" s="103">
        <f t="shared" si="7"/>
        <v>0.1421984350911894</v>
      </c>
      <c r="S189" s="103">
        <f t="shared" si="7"/>
        <v>0.13102032274055109</v>
      </c>
      <c r="T189" s="103">
        <f t="shared" si="7"/>
        <v>0.12949517842191446</v>
      </c>
      <c r="U189" s="100">
        <f t="shared" si="10"/>
        <v>0.46394011893579995</v>
      </c>
      <c r="V189" s="100"/>
      <c r="W189" s="100"/>
      <c r="X189" s="100">
        <f t="shared" si="11"/>
        <v>0.4702280772318253</v>
      </c>
      <c r="Y189" s="120">
        <f t="shared" si="12"/>
        <v>3.2898329053662363</v>
      </c>
      <c r="Z189" s="120">
        <f t="shared" si="13"/>
        <v>3.3363208957515478</v>
      </c>
    </row>
    <row r="190" spans="1:26" x14ac:dyDescent="0.35">
      <c r="A190" s="158"/>
      <c r="B190" s="157" t="s">
        <v>181</v>
      </c>
      <c r="C190" s="158"/>
      <c r="D190" s="121">
        <v>477643.57142857142</v>
      </c>
      <c r="E190" s="72">
        <v>238863</v>
      </c>
      <c r="F190" s="72">
        <v>30212942.319997862</v>
      </c>
      <c r="G190" s="31">
        <v>13726997.540000647</v>
      </c>
      <c r="H190" s="31">
        <v>81830.857142857145</v>
      </c>
      <c r="I190" s="31">
        <v>2314869.3663214296</v>
      </c>
      <c r="J190" s="121">
        <v>3073667.9642857141</v>
      </c>
      <c r="K190" s="72">
        <v>771619</v>
      </c>
      <c r="L190" s="72">
        <v>112625294.66002589</v>
      </c>
      <c r="M190" s="31">
        <v>55027836.830009058</v>
      </c>
      <c r="N190" s="31">
        <v>284177.60714285716</v>
      </c>
      <c r="O190" s="122">
        <v>2314869.3663214296</v>
      </c>
      <c r="P190" s="103">
        <f t="shared" si="8"/>
        <v>0.23638521022640679</v>
      </c>
      <c r="Q190" s="103">
        <f t="shared" si="9"/>
        <v>0.13449779514556207</v>
      </c>
      <c r="R190" s="103">
        <f t="shared" si="7"/>
        <v>0.23638521022640679</v>
      </c>
      <c r="S190" s="103">
        <f t="shared" si="7"/>
        <v>0.21151858885112962</v>
      </c>
      <c r="T190" s="103">
        <f t="shared" si="7"/>
        <v>0.19965137965612278</v>
      </c>
      <c r="U190" s="100">
        <f t="shared" si="10"/>
        <v>0.4543416326226124</v>
      </c>
      <c r="V190" s="100"/>
      <c r="W190" s="100"/>
      <c r="X190" s="100">
        <f t="shared" si="11"/>
        <v>0.48859216747106182</v>
      </c>
      <c r="Y190" s="120">
        <f t="shared" si="12"/>
        <v>2.9189844557414597</v>
      </c>
      <c r="Z190" s="120">
        <f t="shared" si="13"/>
        <v>2.7152702415855878</v>
      </c>
    </row>
    <row r="191" spans="1:26" x14ac:dyDescent="0.35">
      <c r="A191" s="158"/>
      <c r="B191" s="157" t="s">
        <v>182</v>
      </c>
      <c r="C191" s="2" t="s">
        <v>183</v>
      </c>
      <c r="D191" s="121">
        <v>520955.71428571426</v>
      </c>
      <c r="E191" s="72">
        <v>40315</v>
      </c>
      <c r="F191" s="72">
        <v>5460452.7400001632</v>
      </c>
      <c r="G191" s="31">
        <v>2707309.5999999372</v>
      </c>
      <c r="H191" s="31">
        <v>110205.57142857143</v>
      </c>
      <c r="I191" s="31">
        <v>2217047.8391428567</v>
      </c>
      <c r="J191" s="121">
        <v>3118305.8571428573</v>
      </c>
      <c r="K191" s="72">
        <v>178989</v>
      </c>
      <c r="L191" s="72">
        <v>26516038.020000137</v>
      </c>
      <c r="M191" s="31">
        <v>13706260.469999667</v>
      </c>
      <c r="N191" s="31">
        <v>372566.71428571426</v>
      </c>
      <c r="O191" s="122">
        <v>2217047.8391428567</v>
      </c>
      <c r="P191" s="103">
        <f t="shared" si="8"/>
        <v>0.18383157625943894</v>
      </c>
      <c r="Q191" s="103">
        <f t="shared" si="9"/>
        <v>0.14314874159518468</v>
      </c>
      <c r="R191" s="103">
        <f t="shared" si="7"/>
        <v>0.18383157625943894</v>
      </c>
      <c r="S191" s="103">
        <f t="shared" si="7"/>
        <v>0.17076460268838181</v>
      </c>
      <c r="T191" s="103">
        <f t="shared" si="7"/>
        <v>0.1649433723713955</v>
      </c>
      <c r="U191" s="100">
        <f t="shared" si="10"/>
        <v>0.49580313737865195</v>
      </c>
      <c r="V191" s="100"/>
      <c r="W191" s="100"/>
      <c r="X191" s="100">
        <f t="shared" si="11"/>
        <v>0.51690454130671804</v>
      </c>
      <c r="Y191" s="120">
        <f t="shared" si="12"/>
        <v>0.36581635100118087</v>
      </c>
      <c r="Z191" s="120">
        <f t="shared" si="13"/>
        <v>0.48042133968719697</v>
      </c>
    </row>
    <row r="192" spans="1:26" x14ac:dyDescent="0.35">
      <c r="A192" s="158"/>
      <c r="B192" s="158"/>
      <c r="C192" s="2" t="s">
        <v>184</v>
      </c>
      <c r="D192" s="121">
        <v>542771.28571428568</v>
      </c>
      <c r="E192" s="72">
        <v>56675</v>
      </c>
      <c r="F192" s="72">
        <v>8646456.9799999818</v>
      </c>
      <c r="G192" s="31">
        <v>4128782.8999999641</v>
      </c>
      <c r="H192" s="31">
        <v>86330.571428571435</v>
      </c>
      <c r="I192" s="31">
        <v>2120026.3058571434</v>
      </c>
      <c r="J192" s="121">
        <v>3146041</v>
      </c>
      <c r="K192" s="72">
        <v>196269</v>
      </c>
      <c r="L192" s="72">
        <v>29644257.239998382</v>
      </c>
      <c r="M192" s="31">
        <v>15618826.640000124</v>
      </c>
      <c r="N192" s="31">
        <v>405250</v>
      </c>
      <c r="O192" s="122">
        <v>2120026.3058571434</v>
      </c>
      <c r="P192" s="103">
        <f t="shared" si="8"/>
        <v>0.22406145233727623</v>
      </c>
      <c r="Q192" s="103">
        <f t="shared" si="9"/>
        <v>0.14713984981460931</v>
      </c>
      <c r="R192" s="103">
        <f t="shared" si="7"/>
        <v>0.22406145233727623</v>
      </c>
      <c r="S192" s="103">
        <f t="shared" si="7"/>
        <v>0.22581080442433055</v>
      </c>
      <c r="T192" s="103">
        <f t="shared" si="7"/>
        <v>0.20907760464054354</v>
      </c>
      <c r="U192" s="100">
        <f t="shared" si="10"/>
        <v>0.477511529815068</v>
      </c>
      <c r="V192" s="100"/>
      <c r="W192" s="100"/>
      <c r="X192" s="100">
        <f t="shared" si="11"/>
        <v>0.52687529033198255</v>
      </c>
      <c r="Y192" s="120">
        <f t="shared" si="12"/>
        <v>0.65648818329543912</v>
      </c>
      <c r="Z192" s="120">
        <f t="shared" si="13"/>
        <v>0.4843158544108575</v>
      </c>
    </row>
    <row r="193" spans="1:26" x14ac:dyDescent="0.35">
      <c r="A193" s="158"/>
      <c r="B193" s="158"/>
      <c r="C193" s="2" t="s">
        <v>185</v>
      </c>
      <c r="D193" s="121">
        <v>552040.85714285716</v>
      </c>
      <c r="E193" s="72">
        <v>70050</v>
      </c>
      <c r="F193" s="72">
        <v>8029184.3300000336</v>
      </c>
      <c r="G193" s="31">
        <v>3837217.9800000624</v>
      </c>
      <c r="H193" s="31">
        <v>82951.28571428571</v>
      </c>
      <c r="I193" s="31">
        <v>1910488.5714285714</v>
      </c>
      <c r="J193" s="121">
        <v>3200537</v>
      </c>
      <c r="K193" s="72">
        <v>210708</v>
      </c>
      <c r="L193" s="72">
        <v>31592252.219999902</v>
      </c>
      <c r="M193" s="31">
        <v>16105732.420000199</v>
      </c>
      <c r="N193" s="31">
        <v>480760.14285714284</v>
      </c>
      <c r="O193" s="122">
        <v>1910488.5714285714</v>
      </c>
      <c r="P193" s="103">
        <f t="shared" si="8"/>
        <v>0.24950313081016393</v>
      </c>
      <c r="Q193" s="103">
        <f t="shared" si="9"/>
        <v>0.14710976778058665</v>
      </c>
      <c r="R193" s="103">
        <f t="shared" si="7"/>
        <v>0.24950313081016393</v>
      </c>
      <c r="S193" s="103">
        <f t="shared" si="7"/>
        <v>0.20264748149319806</v>
      </c>
      <c r="T193" s="103">
        <f t="shared" si="7"/>
        <v>0.19240974394641286</v>
      </c>
      <c r="U193" s="100">
        <f t="shared" si="10"/>
        <v>0.47790881642395255</v>
      </c>
      <c r="V193" s="100"/>
      <c r="W193" s="100"/>
      <c r="X193" s="100">
        <f t="shared" si="11"/>
        <v>0.50980007084788492</v>
      </c>
      <c r="Y193" s="120">
        <f t="shared" si="12"/>
        <v>0.84447154009496106</v>
      </c>
      <c r="Z193" s="120">
        <f t="shared" si="13"/>
        <v>0.43828092476170921</v>
      </c>
    </row>
    <row r="194" spans="1:26" x14ac:dyDescent="0.35">
      <c r="A194" s="158"/>
      <c r="B194" s="158"/>
      <c r="C194" s="2" t="s">
        <v>186</v>
      </c>
      <c r="D194" s="121">
        <v>559180.28571428568</v>
      </c>
      <c r="E194" s="72">
        <v>35413</v>
      </c>
      <c r="F194" s="72">
        <v>4934315.3300000709</v>
      </c>
      <c r="G194" s="31">
        <v>2345872.849999994</v>
      </c>
      <c r="H194" s="31">
        <v>73648.142857142855</v>
      </c>
      <c r="I194" s="31">
        <v>1947526</v>
      </c>
      <c r="J194" s="121">
        <v>3300986.4285714286</v>
      </c>
      <c r="K194" s="72">
        <v>228465</v>
      </c>
      <c r="L194" s="72">
        <v>34245281.529996142</v>
      </c>
      <c r="M194" s="31">
        <v>17006009.140000433</v>
      </c>
      <c r="N194" s="31">
        <v>456591.42857142858</v>
      </c>
      <c r="O194" s="122">
        <v>1947526</v>
      </c>
      <c r="P194" s="103">
        <f t="shared" si="8"/>
        <v>0.13420216918424424</v>
      </c>
      <c r="Q194" s="103">
        <f t="shared" si="9"/>
        <v>0.14485910249546216</v>
      </c>
      <c r="R194" s="103">
        <f t="shared" si="7"/>
        <v>0.13420216918424424</v>
      </c>
      <c r="S194" s="103">
        <f t="shared" si="7"/>
        <v>0.12594094185379903</v>
      </c>
      <c r="T194" s="103">
        <f t="shared" si="7"/>
        <v>0.1212219489149511</v>
      </c>
      <c r="U194" s="100">
        <f t="shared" si="10"/>
        <v>0.47542013290827939</v>
      </c>
      <c r="V194" s="100"/>
      <c r="W194" s="100"/>
      <c r="X194" s="100">
        <f t="shared" si="11"/>
        <v>0.49659422788230029</v>
      </c>
      <c r="Y194" s="120">
        <f t="shared" si="12"/>
        <v>0.48084036645284434</v>
      </c>
      <c r="Z194" s="120">
        <f t="shared" si="13"/>
        <v>0.50037075972892298</v>
      </c>
    </row>
    <row r="195" spans="1:26" x14ac:dyDescent="0.35">
      <c r="A195" s="158"/>
      <c r="B195" s="158"/>
      <c r="C195" s="2" t="s">
        <v>187</v>
      </c>
      <c r="D195" s="121">
        <v>590167</v>
      </c>
      <c r="E195" s="72">
        <v>54297</v>
      </c>
      <c r="F195" s="72">
        <v>7641956.8100002389</v>
      </c>
      <c r="G195" s="31">
        <v>3593601.7900000783</v>
      </c>
      <c r="H195" s="31">
        <v>81918.28571428571</v>
      </c>
      <c r="I195" s="31">
        <v>2065235.2857142857</v>
      </c>
      <c r="J195" s="121">
        <v>3314173.2857142859</v>
      </c>
      <c r="K195" s="72">
        <v>235015</v>
      </c>
      <c r="L195" s="72">
        <v>36309201.589996114</v>
      </c>
      <c r="M195" s="31">
        <v>17869814.740000326</v>
      </c>
      <c r="N195" s="31">
        <v>495745</v>
      </c>
      <c r="O195" s="122">
        <v>2065235.2857142857</v>
      </c>
      <c r="P195" s="103">
        <f t="shared" si="8"/>
        <v>0.18767628027873023</v>
      </c>
      <c r="Q195" s="103">
        <f t="shared" si="9"/>
        <v>0.15115665049979907</v>
      </c>
      <c r="R195" s="103">
        <f t="shared" si="7"/>
        <v>0.18767628027873023</v>
      </c>
      <c r="S195" s="103">
        <f t="shared" si="7"/>
        <v>0.17387384287921004</v>
      </c>
      <c r="T195" s="103">
        <f t="shared" si="7"/>
        <v>0.16742915951787712</v>
      </c>
      <c r="U195" s="100">
        <f t="shared" si="10"/>
        <v>0.47024628368711835</v>
      </c>
      <c r="V195" s="100"/>
      <c r="W195" s="100"/>
      <c r="X195" s="100">
        <f t="shared" si="11"/>
        <v>0.49215664232407152</v>
      </c>
      <c r="Y195" s="120">
        <f t="shared" si="12"/>
        <v>0.66281904615749498</v>
      </c>
      <c r="Z195" s="120">
        <f t="shared" si="13"/>
        <v>0.47406428708307696</v>
      </c>
    </row>
    <row r="196" spans="1:26" x14ac:dyDescent="0.35">
      <c r="A196" s="158"/>
      <c r="B196" s="159" t="s">
        <v>188</v>
      </c>
      <c r="C196" s="160"/>
      <c r="D196" s="123">
        <v>553023.02857142861</v>
      </c>
      <c r="E196" s="135">
        <v>256750</v>
      </c>
      <c r="F196" s="135">
        <v>34712366.190003753</v>
      </c>
      <c r="G196" s="136">
        <v>16612785.120001346</v>
      </c>
      <c r="H196" s="136">
        <v>87010.771428571432</v>
      </c>
      <c r="I196" s="136">
        <v>2052064.8004285714</v>
      </c>
      <c r="J196" s="123">
        <v>3216008.7142857141</v>
      </c>
      <c r="K196" s="135">
        <v>1049446</v>
      </c>
      <c r="L196" s="135">
        <v>158307030.59981704</v>
      </c>
      <c r="M196" s="136">
        <v>80306643.410009012</v>
      </c>
      <c r="N196" s="136">
        <v>442182.65714285715</v>
      </c>
      <c r="O196" s="124">
        <v>2052064.8004285714</v>
      </c>
      <c r="P196" s="103">
        <f>E196/(K196+E196)</f>
        <v>0.19656314978762759</v>
      </c>
      <c r="Q196" s="103">
        <f t="shared" si="9"/>
        <v>0.14672814300900669</v>
      </c>
      <c r="R196" s="103">
        <f t="shared" si="7"/>
        <v>0.19656314978762759</v>
      </c>
      <c r="S196" s="103">
        <f t="shared" si="7"/>
        <v>0.17983874557333798</v>
      </c>
      <c r="T196" s="103">
        <f t="shared" si="7"/>
        <v>0.1714082034115309</v>
      </c>
      <c r="U196" s="100">
        <f t="shared" si="10"/>
        <v>0.47858405932538794</v>
      </c>
      <c r="V196" s="100"/>
      <c r="W196" s="100"/>
      <c r="X196" s="100">
        <f t="shared" si="11"/>
        <v>0.50728412443674387</v>
      </c>
      <c r="Y196" s="120">
        <f t="shared" si="12"/>
        <v>2.9507840901142943</v>
      </c>
      <c r="Z196" s="120">
        <f t="shared" si="13"/>
        <v>2.3733314345274121</v>
      </c>
    </row>
    <row r="197" spans="1:26" x14ac:dyDescent="0.35">
      <c r="A197" s="158"/>
      <c r="B197" s="157" t="s">
        <v>189</v>
      </c>
      <c r="C197" s="158"/>
      <c r="D197" s="121">
        <v>591213.14285714284</v>
      </c>
      <c r="E197" s="72">
        <v>219951</v>
      </c>
      <c r="F197" s="72">
        <v>32212876.319998566</v>
      </c>
      <c r="G197" s="31">
        <v>14723096.44000062</v>
      </c>
      <c r="H197" s="31">
        <v>84657.142857142855</v>
      </c>
      <c r="I197" s="31">
        <v>1747855.357142857</v>
      </c>
      <c r="J197" s="121">
        <v>3514466.5</v>
      </c>
      <c r="K197" s="72">
        <v>1045117</v>
      </c>
      <c r="L197" s="72">
        <v>164407878.45993778</v>
      </c>
      <c r="M197" s="31">
        <v>80172068.309977621</v>
      </c>
      <c r="N197" s="31">
        <v>404061.21428571426</v>
      </c>
      <c r="O197" s="122">
        <v>1747855.357142857</v>
      </c>
      <c r="P197" s="103">
        <f t="shared" si="8"/>
        <v>0.17386496219966041</v>
      </c>
      <c r="Q197" s="103">
        <f t="shared" si="9"/>
        <v>0.14399884898124141</v>
      </c>
      <c r="R197" s="103">
        <f t="shared" si="7"/>
        <v>0.17386496219966041</v>
      </c>
      <c r="S197" s="103">
        <f t="shared" si="7"/>
        <v>0.16383253312221363</v>
      </c>
      <c r="T197" s="103">
        <f t="shared" si="7"/>
        <v>0.15515117634066802</v>
      </c>
      <c r="U197" s="100">
        <f t="shared" si="10"/>
        <v>0.45705624961097158</v>
      </c>
      <c r="V197" s="100"/>
      <c r="W197" s="100"/>
      <c r="X197" s="100">
        <f t="shared" si="11"/>
        <v>0.48764128009542812</v>
      </c>
      <c r="Y197" s="120">
        <f t="shared" si="12"/>
        <v>2.5981387107661154</v>
      </c>
      <c r="Z197" s="120">
        <f t="shared" si="13"/>
        <v>2.5865313547788111</v>
      </c>
    </row>
    <row r="198" spans="1:26" x14ac:dyDescent="0.35">
      <c r="A198" s="158"/>
      <c r="B198" s="157" t="s">
        <v>190</v>
      </c>
      <c r="C198" s="158"/>
      <c r="D198" s="121">
        <v>618295.57142857148</v>
      </c>
      <c r="E198" s="72">
        <v>165668</v>
      </c>
      <c r="F198" s="72">
        <v>25372450.480000824</v>
      </c>
      <c r="G198" s="31">
        <v>12599504.879999908</v>
      </c>
      <c r="H198" s="31">
        <v>86747.96428571429</v>
      </c>
      <c r="I198" s="31">
        <v>1553201.3214285714</v>
      </c>
      <c r="J198" s="121">
        <v>3726078.0357142859</v>
      </c>
      <c r="K198" s="72">
        <v>811266</v>
      </c>
      <c r="L198" s="72">
        <v>139599756.23990744</v>
      </c>
      <c r="M198" s="31">
        <v>76289459.980003312</v>
      </c>
      <c r="N198" s="31">
        <v>299040.21428571426</v>
      </c>
      <c r="O198" s="122">
        <v>1553201.3214285714</v>
      </c>
      <c r="P198" s="103">
        <f t="shared" si="8"/>
        <v>0.16957952123684916</v>
      </c>
      <c r="Q198" s="103">
        <f t="shared" si="9"/>
        <v>0.14232099431135317</v>
      </c>
      <c r="R198" s="103">
        <f t="shared" si="7"/>
        <v>0.16957952123684916</v>
      </c>
      <c r="S198" s="103">
        <f t="shared" si="7"/>
        <v>0.15379833357674888</v>
      </c>
      <c r="T198" s="103">
        <f t="shared" si="7"/>
        <v>0.14174430875467675</v>
      </c>
      <c r="U198" s="100">
        <f t="shared" si="10"/>
        <v>0.49658210545848303</v>
      </c>
      <c r="V198" s="100"/>
      <c r="W198" s="100"/>
      <c r="X198" s="100">
        <f t="shared" si="11"/>
        <v>0.54648705724741375</v>
      </c>
      <c r="Y198" s="120">
        <f t="shared" si="12"/>
        <v>1.9097623945889219</v>
      </c>
      <c r="Z198" s="120">
        <f t="shared" si="13"/>
        <v>2.7128993401030872</v>
      </c>
    </row>
    <row r="199" spans="1:26" x14ac:dyDescent="0.35">
      <c r="A199" s="158"/>
      <c r="B199" s="157" t="s">
        <v>191</v>
      </c>
      <c r="C199" s="158"/>
      <c r="D199" s="121">
        <v>629568.25714285718</v>
      </c>
      <c r="E199" s="72">
        <v>223065</v>
      </c>
      <c r="F199" s="72">
        <v>36740885.330002166</v>
      </c>
      <c r="G199" s="31">
        <v>18051296.189999878</v>
      </c>
      <c r="H199" s="31">
        <v>67167.171428571426</v>
      </c>
      <c r="I199" s="31">
        <v>1548890.6390571429</v>
      </c>
      <c r="J199" s="121">
        <v>3716321.2857142859</v>
      </c>
      <c r="K199" s="72">
        <v>1201656</v>
      </c>
      <c r="L199" s="72">
        <v>220927811.13963687</v>
      </c>
      <c r="M199" s="31">
        <v>124744367.62998292</v>
      </c>
      <c r="N199" s="31">
        <v>285974.48571428569</v>
      </c>
      <c r="O199" s="122">
        <v>1548890.6390571429</v>
      </c>
    </row>
    <row r="200" spans="1:26" x14ac:dyDescent="0.35">
      <c r="A200" s="158"/>
      <c r="B200" s="157" t="s">
        <v>192</v>
      </c>
      <c r="C200" s="158"/>
      <c r="D200" s="121">
        <v>603879.46428571432</v>
      </c>
      <c r="E200" s="72">
        <v>200618</v>
      </c>
      <c r="F200" s="72">
        <v>31573338.080006883</v>
      </c>
      <c r="G200" s="31">
        <v>15350652.369999649</v>
      </c>
      <c r="H200" s="31">
        <v>56663.964285714283</v>
      </c>
      <c r="I200" s="31">
        <v>1761438.9210357142</v>
      </c>
      <c r="J200" s="121">
        <v>3656055.5</v>
      </c>
      <c r="K200" s="72">
        <v>1035098</v>
      </c>
      <c r="L200" s="72">
        <v>188823590.22965419</v>
      </c>
      <c r="M200" s="31">
        <v>106190403.04997677</v>
      </c>
      <c r="N200" s="31">
        <v>340525.46428571426</v>
      </c>
      <c r="O200" s="122">
        <v>1761438.9210357142</v>
      </c>
    </row>
    <row r="201" spans="1:26" x14ac:dyDescent="0.35">
      <c r="A201" s="158"/>
      <c r="B201" s="157" t="s">
        <v>193</v>
      </c>
      <c r="C201" s="158"/>
      <c r="D201" s="121">
        <v>616309.07142857148</v>
      </c>
      <c r="E201" s="72">
        <v>224303</v>
      </c>
      <c r="F201" s="72">
        <v>36810346.779999629</v>
      </c>
      <c r="G201" s="31">
        <v>17495585.170000318</v>
      </c>
      <c r="H201" s="31">
        <v>67064.571428571435</v>
      </c>
      <c r="I201" s="31">
        <v>2256069.9285714286</v>
      </c>
      <c r="J201" s="121">
        <v>3833027.2857142859</v>
      </c>
      <c r="K201" s="72">
        <v>1081600</v>
      </c>
      <c r="L201" s="72">
        <v>186426004.9295105</v>
      </c>
      <c r="M201" s="31">
        <v>100352025.36998111</v>
      </c>
      <c r="N201" s="31">
        <v>322654.5</v>
      </c>
      <c r="O201" s="122">
        <v>2256069.9285714286</v>
      </c>
    </row>
    <row r="202" spans="1:26" x14ac:dyDescent="0.35">
      <c r="A202" s="158"/>
      <c r="B202" s="157" t="s">
        <v>194</v>
      </c>
      <c r="C202" s="158"/>
      <c r="D202" s="121">
        <v>660564.4</v>
      </c>
      <c r="E202" s="72">
        <v>305800</v>
      </c>
      <c r="F202" s="72">
        <v>52925685.309980646</v>
      </c>
      <c r="G202" s="31">
        <v>26090495.249999844</v>
      </c>
      <c r="H202" s="31">
        <v>90040.514285714293</v>
      </c>
      <c r="I202" s="31">
        <v>2592702.1383714285</v>
      </c>
      <c r="J202" s="121">
        <v>3961550.0857142857</v>
      </c>
      <c r="K202" s="72">
        <v>1221598</v>
      </c>
      <c r="L202" s="72">
        <v>231438611.72957322</v>
      </c>
      <c r="M202" s="31">
        <v>126323769.71995382</v>
      </c>
      <c r="N202" s="31">
        <v>337633.62857142859</v>
      </c>
      <c r="O202" s="122">
        <v>2592702.1383714285</v>
      </c>
    </row>
    <row r="203" spans="1:26" x14ac:dyDescent="0.35">
      <c r="A203" s="158"/>
      <c r="B203" s="157" t="s">
        <v>195</v>
      </c>
      <c r="C203" s="158"/>
      <c r="D203" s="121">
        <v>639515.21428571432</v>
      </c>
      <c r="E203" s="72">
        <v>485226</v>
      </c>
      <c r="F203" s="72">
        <v>86711893.390006647</v>
      </c>
      <c r="G203" s="31">
        <v>37747359.779997155</v>
      </c>
      <c r="H203" s="31">
        <v>98546.892857142855</v>
      </c>
      <c r="I203" s="31">
        <v>2508743.2142857141</v>
      </c>
      <c r="J203" s="121">
        <v>4117826.2857142859</v>
      </c>
      <c r="K203" s="72">
        <v>1345182</v>
      </c>
      <c r="L203" s="72">
        <v>252594515.61942977</v>
      </c>
      <c r="M203" s="31">
        <v>123361150.71000203</v>
      </c>
      <c r="N203" s="31">
        <v>451954.5</v>
      </c>
      <c r="O203" s="122">
        <v>2508743.2142857141</v>
      </c>
    </row>
    <row r="204" spans="1:26" x14ac:dyDescent="0.35">
      <c r="A204" s="158"/>
      <c r="B204" s="157" t="s">
        <v>196</v>
      </c>
      <c r="C204" s="158"/>
      <c r="D204" s="121">
        <v>552424.02857142861</v>
      </c>
      <c r="E204" s="72">
        <v>360618</v>
      </c>
      <c r="F204" s="72">
        <v>65629105.929986715</v>
      </c>
      <c r="G204" s="31">
        <v>29150407.500000842</v>
      </c>
      <c r="H204" s="31">
        <v>92236.028571428571</v>
      </c>
      <c r="I204" s="31">
        <v>1913281.3142857142</v>
      </c>
      <c r="J204" s="121">
        <v>4312216.8571428573</v>
      </c>
      <c r="K204" s="72">
        <v>1805112</v>
      </c>
      <c r="L204" s="72">
        <v>324694582.44087309</v>
      </c>
      <c r="M204" s="31">
        <v>157734947.0899148</v>
      </c>
      <c r="N204" s="31">
        <v>511816.4</v>
      </c>
      <c r="O204" s="122">
        <v>1913281.3142857142</v>
      </c>
    </row>
    <row r="205" spans="1:26" x14ac:dyDescent="0.35">
      <c r="A205" s="161" t="s">
        <v>197</v>
      </c>
      <c r="B205" s="162"/>
      <c r="C205" s="162"/>
      <c r="D205" s="125">
        <v>574090.02156334231</v>
      </c>
      <c r="E205" s="126">
        <v>3007759</v>
      </c>
      <c r="F205" s="126">
        <v>477490975.19941884</v>
      </c>
      <c r="G205" s="127">
        <v>222306322.97003794</v>
      </c>
      <c r="H205" s="127">
        <v>73255.415094339623</v>
      </c>
      <c r="I205" s="127">
        <v>1944814.18456065</v>
      </c>
      <c r="J205" s="125">
        <v>3613556.6469002697</v>
      </c>
      <c r="K205" s="126">
        <v>13140804</v>
      </c>
      <c r="L205" s="126">
        <v>2246987720.0470972</v>
      </c>
      <c r="M205" s="127">
        <v>1160765279.5096061</v>
      </c>
      <c r="N205" s="127">
        <v>342062.18059299194</v>
      </c>
      <c r="O205" s="128">
        <v>1944814.18456065</v>
      </c>
    </row>
    <row r="206" spans="1:26" x14ac:dyDescent="0.35">
      <c r="A206" s="157" t="s">
        <v>198</v>
      </c>
      <c r="B206" s="158"/>
      <c r="C206" s="158"/>
      <c r="D206" s="121">
        <v>432146.2087912088</v>
      </c>
      <c r="E206" s="72">
        <v>2395595</v>
      </c>
      <c r="F206" s="72">
        <v>615809723.35980105</v>
      </c>
      <c r="G206" s="31">
        <v>275855900.11000472</v>
      </c>
      <c r="H206" s="31">
        <v>19017.263736263736</v>
      </c>
      <c r="I206" s="31">
        <v>1505279.9716648329</v>
      </c>
      <c r="J206" s="121">
        <v>4144080.6923076925</v>
      </c>
      <c r="K206" s="72">
        <v>12545865</v>
      </c>
      <c r="L206" s="72">
        <v>3539514540.4573717</v>
      </c>
      <c r="M206" s="31">
        <v>1765560066.5209093</v>
      </c>
      <c r="N206" s="31">
        <v>324755.04945054947</v>
      </c>
      <c r="O206" s="122">
        <v>1505279.9716648329</v>
      </c>
    </row>
    <row r="207" spans="1:26" x14ac:dyDescent="0.35">
      <c r="A207" s="157" t="s">
        <v>199</v>
      </c>
      <c r="B207" s="158"/>
      <c r="C207" s="158"/>
      <c r="D207" s="121">
        <v>314641.06593406596</v>
      </c>
      <c r="E207" s="72">
        <v>2151288</v>
      </c>
      <c r="F207" s="72">
        <v>706008734.30991554</v>
      </c>
      <c r="G207" s="31">
        <v>300672164.6999799</v>
      </c>
      <c r="H207" s="31">
        <v>15068.48076923077</v>
      </c>
      <c r="I207" s="31">
        <v>1565097.6607719781</v>
      </c>
      <c r="J207" s="121">
        <v>3307990.826923077</v>
      </c>
      <c r="K207" s="72">
        <v>11459762</v>
      </c>
      <c r="L207" s="72">
        <v>4249007413.1370935</v>
      </c>
      <c r="M207" s="31">
        <v>2068354680.5011399</v>
      </c>
      <c r="N207" s="31">
        <v>137864.37362637362</v>
      </c>
      <c r="O207" s="122">
        <v>1565097.6607719781</v>
      </c>
    </row>
    <row r="208" spans="1:26" x14ac:dyDescent="0.35">
      <c r="A208" s="157" t="s">
        <v>200</v>
      </c>
      <c r="B208" s="158"/>
      <c r="C208" s="158"/>
      <c r="D208" s="121">
        <v>214035.20930232559</v>
      </c>
      <c r="E208" s="72">
        <v>203178</v>
      </c>
      <c r="F208" s="72">
        <v>81642055.459986269</v>
      </c>
      <c r="G208" s="31">
        <v>37042614.749994136</v>
      </c>
      <c r="H208" s="31">
        <v>5539.7209302325582</v>
      </c>
      <c r="I208" s="31">
        <v>1089913.2004651164</v>
      </c>
      <c r="J208" s="121">
        <v>2464560.8372093025</v>
      </c>
      <c r="K208" s="72">
        <v>1348776</v>
      </c>
      <c r="L208" s="72">
        <v>533033559.3301084</v>
      </c>
      <c r="M208" s="31">
        <v>273294700.98987687</v>
      </c>
      <c r="N208" s="31">
        <v>96960.162790697679</v>
      </c>
      <c r="O208" s="122">
        <v>1089913.2004651164</v>
      </c>
    </row>
    <row r="209" spans="1:15" x14ac:dyDescent="0.35">
      <c r="A209" s="155" t="s">
        <v>108</v>
      </c>
      <c r="B209" s="156"/>
      <c r="C209" s="156"/>
      <c r="D209" s="129">
        <v>480246.50832778146</v>
      </c>
      <c r="E209" s="109">
        <v>14298175</v>
      </c>
      <c r="F209" s="109">
        <v>2299355720.2200189</v>
      </c>
      <c r="G209" s="110">
        <v>1019688983.8499984</v>
      </c>
      <c r="H209" s="110">
        <v>38401.065289806793</v>
      </c>
      <c r="I209" s="110">
        <v>1900287.836741518</v>
      </c>
      <c r="J209" s="129">
        <v>3551253.2518321117</v>
      </c>
      <c r="K209" s="109">
        <v>65071645</v>
      </c>
      <c r="L209" s="109">
        <v>12554449509.840277</v>
      </c>
      <c r="M209" s="110">
        <v>6215188003.2100048</v>
      </c>
      <c r="N209" s="110">
        <v>258618.49633577614</v>
      </c>
      <c r="O209" s="130">
        <v>1900287.836741518</v>
      </c>
    </row>
  </sheetData>
  <mergeCells count="25">
    <mergeCell ref="D184:I184"/>
    <mergeCell ref="J184:O184"/>
    <mergeCell ref="B64:N64"/>
    <mergeCell ref="O64:AA64"/>
    <mergeCell ref="A186:C186"/>
    <mergeCell ref="A187:C187"/>
    <mergeCell ref="A188:A204"/>
    <mergeCell ref="A205:C205"/>
    <mergeCell ref="A206:C206"/>
    <mergeCell ref="B201:C201"/>
    <mergeCell ref="B202:C202"/>
    <mergeCell ref="B203:C203"/>
    <mergeCell ref="B204:C204"/>
    <mergeCell ref="A209:C209"/>
    <mergeCell ref="B188:C188"/>
    <mergeCell ref="B189:C189"/>
    <mergeCell ref="B190:C190"/>
    <mergeCell ref="B191:B195"/>
    <mergeCell ref="B196:C196"/>
    <mergeCell ref="B197:C197"/>
    <mergeCell ref="B198:C198"/>
    <mergeCell ref="B199:C199"/>
    <mergeCell ref="B200:C200"/>
    <mergeCell ref="A207:C207"/>
    <mergeCell ref="A208:C208"/>
  </mergeCells>
  <conditionalFormatting sqref="AE66:AH8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66:D68 D71:D72 D74:D79 D83:D84 D86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{A7A4C435-9426-4AAF-A993-89D72F407E5A}</x14:id>
        </ext>
      </extLst>
    </cfRule>
  </conditionalFormatting>
  <conditionalFormatting pivot="1" sqref="C66:C68 C71:C72 C74:C79 C83:C84 C8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{C63CEEB5-F351-433F-BA41-F45C875B1ECF}</x14:id>
        </ext>
      </extLst>
    </cfRule>
  </conditionalFormatting>
  <conditionalFormatting pivot="1" sqref="B66:B68 B71:B72 B74:B79 B83:B84 B86">
    <cfRule type="dataBar" priority="3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{F91B9551-1BE6-4032-B58F-F94EB1B1E6B2}</x14:id>
        </ext>
      </extLst>
    </cfRule>
  </conditionalFormatting>
  <conditionalFormatting pivot="1" sqref="Q66:Q68 Q71:Q72 Q74:Q79 Q83:Q84 Q86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{F62CABA9-4CCE-4FEF-9BCB-A7355D911B1F}</x14:id>
        </ext>
      </extLst>
    </cfRule>
  </conditionalFormatting>
  <conditionalFormatting pivot="1" sqref="P66:P68 P71:P72 P74:P79 P83:P84 P86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{4A68A333-2B75-4875-AD23-C116E5D01496}</x14:id>
        </ext>
      </extLst>
    </cfRule>
  </conditionalFormatting>
  <conditionalFormatting pivot="1" sqref="O66:O68 O71:O72 O74:O79 O83:O84 O86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{C80B4CDE-64FD-4DDC-A8C4-91DD3E28D418}</x14:id>
        </ext>
      </extLst>
    </cfRule>
  </conditionalFormatting>
  <conditionalFormatting sqref="AE66:AH8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66:AH8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6:AH8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66:AH8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E66:E87 R66:R87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{DCED1EBD-8F28-4C20-8C57-F4FA914AA331}</x14:id>
        </ext>
      </extLst>
    </cfRule>
  </conditionalFormatting>
  <conditionalFormatting sqref="AA193:AB194 Q186:T19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93:AE194">
    <cfRule type="colorScale" priority="22">
      <colorScale>
        <cfvo type="min"/>
        <cfvo type="max"/>
        <color rgb="FFFFEF9C"/>
        <color rgb="FF63BE7B"/>
      </colorScale>
    </cfRule>
  </conditionalFormatting>
  <conditionalFormatting sqref="AC193:AD194 U186:W198">
    <cfRule type="colorScale" priority="21">
      <colorScale>
        <cfvo type="min"/>
        <cfvo type="max"/>
        <color rgb="FFFFEF9C"/>
        <color rgb="FF63BE7B"/>
      </colorScale>
    </cfRule>
  </conditionalFormatting>
  <conditionalFormatting sqref="AF193:AF194 Y186:Z198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3:AH194 AA186:AA19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6:T19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86:R19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93:AA194 S186:S19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93:AB194 T186:T19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86:X198">
    <cfRule type="colorScale" priority="14">
      <colorScale>
        <cfvo type="min"/>
        <cfvo type="max"/>
        <color rgb="FFFFEF9C"/>
        <color rgb="FF63BE7B"/>
      </colorScale>
    </cfRule>
  </conditionalFormatting>
  <conditionalFormatting sqref="AK66:AK88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{BEFB2904-2518-4D03-B6AE-777EFF04B32A}</x14:id>
        </ext>
      </extLst>
    </cfRule>
  </conditionalFormatting>
  <conditionalFormatting sqref="AE86:AH8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86:AH8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6:AH8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86:AH8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87:AH8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87:AH8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7:AH8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87:AH8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88:AH8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88:AH8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8:AH8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88:AH8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4"/>
  <drawing r:id="rId5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7A4C435-9426-4AAF-A993-89D72F407E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D66:D68 D71:D72 D74:D79 D83:D84 D86</xm:sqref>
        </x14:conditionalFormatting>
        <x14:conditionalFormatting xmlns:xm="http://schemas.microsoft.com/office/excel/2006/main" pivot="1">
          <x14:cfRule type="dataBar" id="{C63CEEB5-F351-433F-BA41-F45C875B1E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C66:C68 C71:C72 C74:C79 C83:C84 C86</xm:sqref>
        </x14:conditionalFormatting>
        <x14:conditionalFormatting xmlns:xm="http://schemas.microsoft.com/office/excel/2006/main" pivot="1">
          <x14:cfRule type="dataBar" id="{F91B9551-1BE6-4032-B58F-F94EB1B1E6B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B66:B68 B71:B72 B74:B79 B83:B84 B86</xm:sqref>
        </x14:conditionalFormatting>
        <x14:conditionalFormatting xmlns:xm="http://schemas.microsoft.com/office/excel/2006/main" pivot="1">
          <x14:cfRule type="dataBar" id="{F62CABA9-4CCE-4FEF-9BCB-A7355D911B1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Q66:Q68 Q71:Q72 Q74:Q79 Q83:Q84 Q86</xm:sqref>
        </x14:conditionalFormatting>
        <x14:conditionalFormatting xmlns:xm="http://schemas.microsoft.com/office/excel/2006/main" pivot="1">
          <x14:cfRule type="dataBar" id="{4A68A333-2B75-4875-AD23-C116E5D0149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P66:P68 P71:P72 P74:P79 P83:P84 P86</xm:sqref>
        </x14:conditionalFormatting>
        <x14:conditionalFormatting xmlns:xm="http://schemas.microsoft.com/office/excel/2006/main" pivot="1">
          <x14:cfRule type="dataBar" id="{C80B4CDE-64FD-4DDC-A8C4-91DD3E28D41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O66:O68 O71:O72 O74:O79 O83:O84 O86</xm:sqref>
        </x14:conditionalFormatting>
        <x14:conditionalFormatting xmlns:xm="http://schemas.microsoft.com/office/excel/2006/main" pivot="1">
          <x14:cfRule type="dataBar" id="{DCED1EBD-8F28-4C20-8C57-F4FA914AA33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E66:E87 R66:R87</xm:sqref>
        </x14:conditionalFormatting>
        <x14:conditionalFormatting xmlns:xm="http://schemas.microsoft.com/office/excel/2006/main">
          <x14:cfRule type="dataBar" id="{BEFB2904-2518-4D03-B6AE-777EFF04B32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AK66:AK88</xm:sqref>
        </x14:conditionalFormatting>
      </x14:conditionalFormattings>
    </ext>
    <ext xmlns:x14="http://schemas.microsoft.com/office/spreadsheetml/2009/9/main" uri="{A8765BA9-456A-4dab-B4F3-ACF838C121DE}">
      <x14:slicerList>
        <x14:slicer r:id="rId6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 Sunum</vt:lpstr>
      <vt:lpstr>Trading</vt:lpstr>
      <vt:lpstr>offline vs online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Mehmet Fatih Başol</dc:creator>
  <cp:lastModifiedBy>M. Hakan Uğur</cp:lastModifiedBy>
  <dcterms:created xsi:type="dcterms:W3CDTF">2026-02-10T06:20:21Z</dcterms:created>
  <dcterms:modified xsi:type="dcterms:W3CDTF">2026-02-16T12:55:15Z</dcterms:modified>
</cp:coreProperties>
</file>