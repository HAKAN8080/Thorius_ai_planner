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4029012d0c9ce0/Desktop/AI Cat Planner/"/>
    </mc:Choice>
  </mc:AlternateContent>
  <xr:revisionPtr revIDLastSave="5" documentId="13_ncr:1_{04891473-38C8-40BD-AB9F-6FAA2FA118F5}" xr6:coauthVersionLast="47" xr6:coauthVersionMax="47" xr10:uidLastSave="{05547C85-B390-43B2-8F51-0F87D1D79501}"/>
  <bookViews>
    <workbookView xWindow="-110" yWindow="-110" windowWidth="19420" windowHeight="11500" activeTab="1" xr2:uid="{5D71E823-9670-464F-9CD6-D112009A61A1}"/>
  </bookViews>
  <sheets>
    <sheet name="Trading Sunum" sheetId="1" r:id="rId1"/>
    <sheet name="Trading" sheetId="2" r:id="rId2"/>
    <sheet name="offline vs online" sheetId="3" r:id="rId3"/>
  </sheets>
  <definedNames>
    <definedName name="Dilimleyici_DistrubitionChannelDesc3">#N/A</definedName>
    <definedName name="Dilimleyici_H_MainGroup1">#N/A</definedName>
    <definedName name="Dilimleyici_H_Merch">#N/A</definedName>
    <definedName name="Dilimleyici_H_SalesChannel3">#N/A</definedName>
    <definedName name="Dilimleyici_MainGroupDesc3">#N/A</definedName>
    <definedName name="Dilimleyici_MerchMonth2">#N/A</definedName>
    <definedName name="Dilimleyici_MerchMonth4">#N/A</definedName>
    <definedName name="Dilimleyici_MerchWeek2">#N/A</definedName>
    <definedName name="Dilimleyici_MerchWeek4">#N/A</definedName>
    <definedName name="Dilimleyici_MerchYear3">#N/A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</pivotCaches>
  <extLst>
    <ext xmlns:x14="http://schemas.microsoft.com/office/spreadsheetml/2009/9/main" uri="{876F7934-8845-4945-9796-88D515C7AA90}">
      <x14:pivotCaches>
        <pivotCache cacheId="5" r:id="rId9"/>
        <pivotCache cacheId="6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98" i="3" l="1"/>
  <c r="Y198" i="3"/>
  <c r="X198" i="3"/>
  <c r="U198" i="3"/>
  <c r="T198" i="3"/>
  <c r="S198" i="3"/>
  <c r="R198" i="3"/>
  <c r="Q198" i="3"/>
  <c r="P198" i="3"/>
  <c r="Z197" i="3"/>
  <c r="Y197" i="3"/>
  <c r="X197" i="3"/>
  <c r="U197" i="3"/>
  <c r="T197" i="3"/>
  <c r="S197" i="3"/>
  <c r="R197" i="3"/>
  <c r="Q197" i="3"/>
  <c r="P197" i="3"/>
  <c r="Z196" i="3"/>
  <c r="Y196" i="3"/>
  <c r="X196" i="3"/>
  <c r="U196" i="3"/>
  <c r="T196" i="3"/>
  <c r="S196" i="3"/>
  <c r="R196" i="3"/>
  <c r="Q196" i="3"/>
  <c r="P196" i="3"/>
  <c r="Z195" i="3"/>
  <c r="Y195" i="3"/>
  <c r="X195" i="3"/>
  <c r="U195" i="3"/>
  <c r="T195" i="3"/>
  <c r="S195" i="3"/>
  <c r="R195" i="3"/>
  <c r="Q195" i="3"/>
  <c r="P195" i="3"/>
  <c r="Z194" i="3"/>
  <c r="Y194" i="3"/>
  <c r="X194" i="3"/>
  <c r="U194" i="3"/>
  <c r="T194" i="3"/>
  <c r="S194" i="3"/>
  <c r="R194" i="3"/>
  <c r="Q194" i="3"/>
  <c r="P194" i="3"/>
  <c r="Z193" i="3"/>
  <c r="Y193" i="3"/>
  <c r="X193" i="3"/>
  <c r="U193" i="3"/>
  <c r="T193" i="3"/>
  <c r="S193" i="3"/>
  <c r="R193" i="3"/>
  <c r="Q193" i="3"/>
  <c r="P193" i="3"/>
  <c r="Z192" i="3"/>
  <c r="Y192" i="3"/>
  <c r="X192" i="3"/>
  <c r="U192" i="3"/>
  <c r="T192" i="3"/>
  <c r="S192" i="3"/>
  <c r="R192" i="3"/>
  <c r="Q192" i="3"/>
  <c r="P192" i="3"/>
  <c r="Z191" i="3"/>
  <c r="Y191" i="3"/>
  <c r="X191" i="3"/>
  <c r="U191" i="3"/>
  <c r="T191" i="3"/>
  <c r="S191" i="3"/>
  <c r="R191" i="3"/>
  <c r="Q191" i="3"/>
  <c r="P191" i="3"/>
  <c r="Z190" i="3"/>
  <c r="Y190" i="3"/>
  <c r="X190" i="3"/>
  <c r="U190" i="3"/>
  <c r="T190" i="3"/>
  <c r="S190" i="3"/>
  <c r="R190" i="3"/>
  <c r="Q190" i="3"/>
  <c r="P190" i="3"/>
  <c r="Z189" i="3"/>
  <c r="Y189" i="3"/>
  <c r="X189" i="3"/>
  <c r="U189" i="3"/>
  <c r="T189" i="3"/>
  <c r="S189" i="3"/>
  <c r="R189" i="3"/>
  <c r="Q189" i="3"/>
  <c r="P189" i="3"/>
  <c r="Z188" i="3"/>
  <c r="Y188" i="3"/>
  <c r="X188" i="3"/>
  <c r="U188" i="3"/>
  <c r="T188" i="3"/>
  <c r="S188" i="3"/>
  <c r="R188" i="3"/>
  <c r="Q188" i="3"/>
  <c r="P188" i="3"/>
  <c r="Z187" i="3"/>
  <c r="Y187" i="3"/>
  <c r="X187" i="3"/>
  <c r="U187" i="3"/>
  <c r="T187" i="3"/>
  <c r="S187" i="3"/>
  <c r="R187" i="3"/>
  <c r="Q187" i="3"/>
  <c r="P187" i="3"/>
  <c r="Z186" i="3"/>
  <c r="Y186" i="3"/>
  <c r="X186" i="3"/>
  <c r="U186" i="3"/>
  <c r="T186" i="3"/>
  <c r="S186" i="3"/>
  <c r="R186" i="3"/>
  <c r="Q186" i="3"/>
  <c r="P186" i="3"/>
  <c r="AL88" i="3"/>
  <c r="AJ88" i="3"/>
  <c r="AI88" i="3"/>
  <c r="AK88" i="3" s="1"/>
  <c r="AH88" i="3"/>
  <c r="AG88" i="3"/>
  <c r="AF88" i="3"/>
  <c r="AE88" i="3"/>
  <c r="AD88" i="3"/>
  <c r="AL87" i="3"/>
  <c r="AJ87" i="3"/>
  <c r="AK87" i="3" s="1"/>
  <c r="AI87" i="3"/>
  <c r="AH87" i="3"/>
  <c r="AG87" i="3"/>
  <c r="AF87" i="3"/>
  <c r="AE87" i="3"/>
  <c r="AD87" i="3"/>
  <c r="AL86" i="3"/>
  <c r="AJ86" i="3"/>
  <c r="AI86" i="3"/>
  <c r="AK86" i="3" s="1"/>
  <c r="AH86" i="3"/>
  <c r="AG86" i="3"/>
  <c r="AF86" i="3"/>
  <c r="AE86" i="3"/>
  <c r="AD86" i="3"/>
  <c r="AL85" i="3"/>
  <c r="AK85" i="3"/>
  <c r="AJ85" i="3"/>
  <c r="AI85" i="3"/>
  <c r="AH85" i="3"/>
  <c r="AG85" i="3"/>
  <c r="AF85" i="3"/>
  <c r="AE85" i="3"/>
  <c r="AD85" i="3"/>
  <c r="AL84" i="3"/>
  <c r="AK84" i="3"/>
  <c r="AJ84" i="3"/>
  <c r="AI84" i="3"/>
  <c r="AH84" i="3"/>
  <c r="AG84" i="3"/>
  <c r="AF84" i="3"/>
  <c r="AE84" i="3"/>
  <c r="AD84" i="3"/>
  <c r="AL83" i="3"/>
  <c r="AJ83" i="3"/>
  <c r="AK83" i="3" s="1"/>
  <c r="AI83" i="3"/>
  <c r="AH83" i="3"/>
  <c r="AG83" i="3"/>
  <c r="AF83" i="3"/>
  <c r="AE83" i="3"/>
  <c r="AD83" i="3"/>
  <c r="AL82" i="3"/>
  <c r="AK82" i="3"/>
  <c r="AJ82" i="3"/>
  <c r="AI82" i="3"/>
  <c r="AH82" i="3"/>
  <c r="AG82" i="3"/>
  <c r="AF82" i="3"/>
  <c r="AE82" i="3"/>
  <c r="AD82" i="3"/>
  <c r="AL81" i="3"/>
  <c r="AK81" i="3"/>
  <c r="AJ81" i="3"/>
  <c r="AI81" i="3"/>
  <c r="AH81" i="3"/>
  <c r="AG81" i="3"/>
  <c r="AF81" i="3"/>
  <c r="AE81" i="3"/>
  <c r="AD81" i="3"/>
  <c r="AL80" i="3"/>
  <c r="AK80" i="3"/>
  <c r="AJ80" i="3"/>
  <c r="AI80" i="3"/>
  <c r="AH80" i="3"/>
  <c r="AG80" i="3"/>
  <c r="AF80" i="3"/>
  <c r="AE80" i="3"/>
  <c r="AD80" i="3"/>
  <c r="AL79" i="3"/>
  <c r="AJ79" i="3"/>
  <c r="AK79" i="3" s="1"/>
  <c r="AI79" i="3"/>
  <c r="AH79" i="3"/>
  <c r="AG79" i="3"/>
  <c r="AF79" i="3"/>
  <c r="AE79" i="3"/>
  <c r="AD79" i="3"/>
  <c r="AL78" i="3"/>
  <c r="AK78" i="3"/>
  <c r="AJ78" i="3"/>
  <c r="AI78" i="3"/>
  <c r="AH78" i="3"/>
  <c r="AG78" i="3"/>
  <c r="AF78" i="3"/>
  <c r="AE78" i="3"/>
  <c r="AD78" i="3"/>
  <c r="AL77" i="3"/>
  <c r="AK77" i="3"/>
  <c r="AJ77" i="3"/>
  <c r="AI77" i="3"/>
  <c r="AH77" i="3"/>
  <c r="AG77" i="3"/>
  <c r="AF77" i="3"/>
  <c r="AE77" i="3"/>
  <c r="AD77" i="3"/>
  <c r="AL76" i="3"/>
  <c r="AK76" i="3"/>
  <c r="AJ76" i="3"/>
  <c r="AI76" i="3"/>
  <c r="AH76" i="3"/>
  <c r="AG76" i="3"/>
  <c r="AF76" i="3"/>
  <c r="AE76" i="3"/>
  <c r="AD76" i="3"/>
  <c r="AL75" i="3"/>
  <c r="AJ75" i="3"/>
  <c r="AK75" i="3" s="1"/>
  <c r="AI75" i="3"/>
  <c r="AH75" i="3"/>
  <c r="AG75" i="3"/>
  <c r="AF75" i="3"/>
  <c r="AE75" i="3"/>
  <c r="AD75" i="3"/>
  <c r="AL74" i="3"/>
  <c r="AK74" i="3"/>
  <c r="AJ74" i="3"/>
  <c r="AI74" i="3"/>
  <c r="AH74" i="3"/>
  <c r="AG74" i="3"/>
  <c r="AF74" i="3"/>
  <c r="AE74" i="3"/>
  <c r="AD74" i="3"/>
  <c r="AL73" i="3"/>
  <c r="AK73" i="3"/>
  <c r="AJ73" i="3"/>
  <c r="AI73" i="3"/>
  <c r="AH73" i="3"/>
  <c r="AG73" i="3"/>
  <c r="AF73" i="3"/>
  <c r="AE73" i="3"/>
  <c r="AD73" i="3"/>
  <c r="AL72" i="3"/>
  <c r="AK72" i="3"/>
  <c r="AJ72" i="3"/>
  <c r="AI72" i="3"/>
  <c r="AH72" i="3"/>
  <c r="AG72" i="3"/>
  <c r="AF72" i="3"/>
  <c r="AE72" i="3"/>
  <c r="AD72" i="3"/>
  <c r="AL71" i="3"/>
  <c r="AJ71" i="3"/>
  <c r="AK71" i="3" s="1"/>
  <c r="AI71" i="3"/>
  <c r="AH71" i="3"/>
  <c r="AG71" i="3"/>
  <c r="AF71" i="3"/>
  <c r="AE71" i="3"/>
  <c r="AD71" i="3"/>
  <c r="AL70" i="3"/>
  <c r="AK70" i="3"/>
  <c r="AJ70" i="3"/>
  <c r="AI70" i="3"/>
  <c r="AH70" i="3"/>
  <c r="AG70" i="3"/>
  <c r="AF70" i="3"/>
  <c r="AE70" i="3"/>
  <c r="AD70" i="3"/>
  <c r="AL69" i="3"/>
  <c r="AK69" i="3"/>
  <c r="AJ69" i="3"/>
  <c r="AI69" i="3"/>
  <c r="AH69" i="3"/>
  <c r="AG69" i="3"/>
  <c r="AF69" i="3"/>
  <c r="AE69" i="3"/>
  <c r="AD69" i="3"/>
  <c r="AL68" i="3"/>
  <c r="AK68" i="3"/>
  <c r="AJ68" i="3"/>
  <c r="AI68" i="3"/>
  <c r="AH68" i="3"/>
  <c r="AG68" i="3"/>
  <c r="AF68" i="3"/>
  <c r="AE68" i="3"/>
  <c r="AD68" i="3"/>
  <c r="AL67" i="3"/>
  <c r="AJ67" i="3"/>
  <c r="AK67" i="3" s="1"/>
  <c r="AI67" i="3"/>
  <c r="AH67" i="3"/>
  <c r="AG67" i="3"/>
  <c r="AF67" i="3"/>
  <c r="AE67" i="3"/>
  <c r="AD67" i="3"/>
  <c r="AL66" i="3"/>
  <c r="AK66" i="3"/>
  <c r="AJ66" i="3"/>
  <c r="AI66" i="3"/>
  <c r="AH66" i="3"/>
  <c r="AG66" i="3"/>
  <c r="AF66" i="3"/>
  <c r="AE66" i="3"/>
  <c r="AD66" i="3"/>
  <c r="AD65" i="3"/>
  <c r="AW37" i="1"/>
  <c r="AV37" i="1"/>
  <c r="AW36" i="1"/>
  <c r="AV36" i="1"/>
  <c r="AW35" i="1"/>
  <c r="AV35" i="1"/>
  <c r="AW34" i="1"/>
  <c r="AV34" i="1"/>
  <c r="AW33" i="1"/>
  <c r="AV33" i="1"/>
  <c r="AW32" i="1"/>
  <c r="AV32" i="1"/>
  <c r="AW31" i="1"/>
  <c r="AV31" i="1"/>
  <c r="AW30" i="1"/>
  <c r="AV30" i="1"/>
  <c r="AW29" i="1"/>
  <c r="AV29" i="1"/>
  <c r="AW28" i="1"/>
  <c r="AV28" i="1"/>
  <c r="AW27" i="1"/>
  <c r="AV27" i="1"/>
  <c r="AW26" i="1"/>
  <c r="AV26" i="1"/>
  <c r="AW25" i="1"/>
  <c r="AV25" i="1"/>
  <c r="AW24" i="1"/>
  <c r="AV24" i="1"/>
  <c r="AW23" i="1"/>
  <c r="AV23" i="1"/>
  <c r="AW22" i="1"/>
  <c r="AV22" i="1"/>
  <c r="AW21" i="1"/>
  <c r="AV21" i="1"/>
  <c r="AW20" i="1"/>
  <c r="AV20" i="1"/>
  <c r="AW19" i="1"/>
  <c r="AV19" i="1"/>
  <c r="AW18" i="1"/>
  <c r="AV18" i="1"/>
  <c r="AW17" i="1"/>
  <c r="AV17" i="1"/>
  <c r="AW16" i="1"/>
  <c r="AV16" i="1"/>
  <c r="AW38" i="1" l="1"/>
  <c r="AV3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2A578B-8656-4111-AD79-0DFE387CFA1B}" odcFile="C:\Users\ibrahim.caliskan\Documents\Veri Kaynaklarım\DataHome CURE Model.odc" keepAlive="1" name="DataHome CURE Model" type="5" refreshedVersion="8" background="1">
    <dbPr connection="Provider=MSOLAP.8;Integrated Security=SSPI;Persist Security Info=True;Initial Catalog=CURE;Data Source=DataHome;MDX Compatibility=1;Safety Options=2;MDX Missing Member Mode=Error;Update Isolation Level=2" command="Model" commandType="1"/>
    <olapPr sendLocale="1" rowDrillCount="1000"/>
  </connection>
  <connection id="2" xr16:uid="{EF2A578B-8656-4111-AD79-0DFE387CFA1B}" odcFile="C:\Users\ibrahim.caliskan\Documents\Veri Kaynaklarım\DataHome CURE Model.odc" keepAlive="1" name="DataHome CURE Model1" type="5" refreshedVersion="8" background="1">
    <dbPr connection="Provider=MSOLAP.8;Integrated Security=SSPI;Persist Security Info=True;Initial Catalog=CURE;Data Source=DataHome;MDX Compatibility=1;Safety Options=2;MDX Missing Member Mode=Error;Update Isolation Level=2" command="Model" commandType="1"/>
    <olapPr sendLocale="1" rowDrillCount="1000"/>
  </connection>
  <connection id="3" xr16:uid="{EF2A578B-8656-4111-AD79-0DFE387CFA1B}" odcFile="C:\Users\ibrahim.caliskan\Documents\Veri Kaynaklarım\DataHome CURE Model.odc" keepAlive="1" name="DataHome CURE Model2" type="5" refreshedVersion="8" background="1">
    <dbPr connection="Provider=MSOLAP.8;Integrated Security=SSPI;Persist Security Info=True;Initial Catalog=CURE;Data Source=DataHome;MDX Compatibility=1;Safety Options=2;MDX Missing Member Mode=Error;Update Isolation Level=2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DataHome CURE Model2"/>
    <s v="{[Material].[MerchProduct].&amp;[Merch]}"/>
    <s v="{[Material].[TextileProduct].[All]}"/>
    <s v="{[SalesChannel].[DistrubitionChannelDesc].&amp;[Perakende Satış]}"/>
    <s v="{[SalesChannel].[CountryName].[All]}"/>
    <s v="{[Calendar].[LastNDays].&amp;[1],[Calendar].[LastNDays].&amp;[2],[Calendar].[LastNDays].&amp;[3],[Calendar].[LastNDays].&amp;[4],[Calendar].[LastNDays].&amp;[5],[Calendar].[LastNDays].&amp;[6],[Calendar].[LastNDays].&amp;[7]}"/>
    <s v="DataHome CURE Model"/>
    <s v="{[Calendar].[MerchYearMonth].[All]}"/>
    <s v="{[Store].[LocationCountry].[All]}"/>
    <s v="{[SalesChannel].[SalesOrgType].&amp;[İştirak]}"/>
    <s v="{[Material].[MaterialDesc].[All]}"/>
    <s v="DataHome CURE Model1"/>
    <s v="{[SalesChannel].[CountryName].&amp;[TÜRKİYE]}"/>
    <s v="{[Material].[H_MainGroup].[All]}"/>
    <s v="{[Calendar].[H_Merch].[All]}"/>
    <s v="{[Calendar].[LastNDays].&amp;[0],[Calendar].[LastNDays].&amp;[1],[Calendar].[LastNDays].&amp;[2],[Calendar].[LastNDays].&amp;[3],[Calendar].[LastNDays].&amp;[4],[Calendar].[LastNDays].&amp;[5],[Calendar].[LastNDays].&amp;[6],[Calendar].[LastNDays].&amp;[7],[Calendar].[LastNDays].&amp;[8],[Calendar].[LastNDays].&amp;[9],[Calendar].[LastNDays].&amp;[10],[Calendar].[LastNDays].&amp;[11],[Calendar].[LastNDays].&amp;[12],[Calendar].[LastNDays].&amp;[13],[Calendar].[LastNDays].&amp;[14]}"/>
    <s v="{[Calendar].[H_Merch].[MerchYearMonthName].&amp;[2025-Mart]}"/>
    <s v="{[Calendar].[MerchWeek].[All]}"/>
    <s v="{[Material].[MainGroupDesc].[All]}"/>
    <s v="{[Store].[LocationCountry].&amp;[TR]}"/>
    <s v="{[Material].[MainGroupDesc].&amp;[Aksesuar],[Material].[MainGroupDesc].&amp;[Banyo],[Material].[MainGroupDesc].&amp;[Battaniye],[Material].[MainGroupDesc].&amp;[Bebe - Çocuk],[Material].[MainGroupDesc].&amp;[Bornoz],[Material].[MainGroupDesc].&amp;[Ev Giysisi],[Material].[MainGroupDesc].&amp;[Halı - Kilim],[Material].[MainGroupDesc].&amp;[Havlu],[Material].[MainGroupDesc].&amp;[Kozmetik],[Material].[MainGroupDesc].&amp;[Masa Örtüsü],[Material].[MainGroupDesc].&amp;[Mobilya Satış],[Material].[MainGroupDesc].&amp;[Mutfak],[Material].[MainGroupDesc].&amp;[Nevresim],[Material].[MainGroupDesc].&amp;[Pike],[Material].[MainGroupDesc].&amp;[Pişirme],[Material].[MainGroupDesc].&amp;[Salon],[Material].[MainGroupDesc].&amp;[Yastık],[Material].[MainGroupDesc].&amp;[Yatak Örtüsü],[Material].[MainGroupDesc].&amp;[Yorgan],[Material].[MainGroupDesc].&amp;[#NA],[Material].[MainGroupDesc].&amp;[EBA],[Material].[MainGroupDesc].&amp;[Cafe],[Material].[MainGroupDesc].&amp;[Yatak],[Material].[MainGroupDesc].&amp;[Mobilya],[Material].[MainGroupDesc].&amp;[Planlama],[Material].[MainGroupDesc].&amp;[Pazarlama],[Material].[MainGroupDesc].&amp;[Yarı Mamul],[Material].[MainGroupDesc].&amp;[Entegrasyon],[Material].[MainGroupDesc].&amp;[Bilgi Sistemleri],[Material].[MainGroupDesc].&amp;[İnsan Kaynakları],[Material].[MainGroupDesc].&amp;[Mağaza Yatırım ve Proje]}"/>
    <s v="{[Material].[H_MainGroup].[MainGroupDesc].&amp;[Aksesuar],[Material].[H_MainGroup].[MainGroupDesc].&amp;[Banyo],[Material].[H_MainGroup].[MainGroupDesc].&amp;[Battaniye],[Material].[H_MainGroup].[MainGroupDesc].&amp;[Bebe - Çocuk],[Material].[H_MainGroup].[MainGroupDesc].&amp;[Bornoz],[Material].[H_MainGroup].[MainGroupDesc].&amp;[Ev Giysisi],[Material].[H_MainGroup].[MainGroupDesc].&amp;[Halı - Kilim],[Material].[H_MainGroup].[MainGroupDesc].&amp;[Havlu],[Material].[H_MainGroup].[MainGroupDesc].&amp;[Kozmetik],[Material].[H_MainGroup].[MainGroupDesc].&amp;[Masa Örtüsü],[Material].[H_MainGroup].[MainGroupDesc].&amp;[Mobilya Satış],[Material].[H_MainGroup].[MainGroupDesc].&amp;[Mutfak],[Material].[H_MainGroup].[MainGroupDesc].&amp;[Nevresim],[Material].[H_MainGroup].[MainGroupDesc].&amp;[Pike],[Material].[H_MainGroup].[MainGroupDesc].&amp;[Pişirme],[Material].[H_MainGroup].[MainGroupDesc].&amp;[Salon],[Material].[H_MainGroup].[MainGroupDesc].&amp;[Yastık],[Material].[H_MainGroup].[MainGroupDesc].&amp;[Yatak Örtüsü],[Material].[H_MainGroup].[MainGroupDesc].&amp;[Yorgan],[Material].[H_MainGroup].[MainGroupDesc].&amp;[Yatak],[Material].[H_MainGroup].[MainGroupDesc].&amp;[Mobilya],[Material].[H_MainGroup].[MainGroupDesc].&amp;[White Collection],[Material].[H_MainGroup].[MainGroupDesc].&amp;[Küçük Elektrikli Ev Aletleri]}"/>
    <s v="{[Calendar].[LastNWeeks].[All]}"/>
    <s v="{[Calendar].[H_Merch].[MerchYear].&amp;[2026]}"/>
    <s v="{[SalesChannel].[H_SalesChannel].[SalesOrgType].&amp;[İştirak].&amp;[TÜRKİYE]}"/>
  </metadataStrings>
  <mdxMetadata count="29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6" f="s">
      <ms ns="1" c="0"/>
    </mdx>
    <mdx n="6" f="s">
      <ms ns="7" c="0"/>
    </mdx>
    <mdx n="6" f="s">
      <ms ns="8" c="0"/>
    </mdx>
    <mdx n="6" f="s">
      <ms ns="9" c="0"/>
    </mdx>
    <mdx n="6" f="s">
      <ms ns="10" c="0"/>
    </mdx>
    <mdx n="11" f="s">
      <ms ns="12" c="0"/>
    </mdx>
    <mdx n="11" f="s">
      <ms ns="3" c="0"/>
    </mdx>
    <mdx n="11" f="s">
      <ms ns="9" c="0"/>
    </mdx>
    <mdx n="11" f="s">
      <ms ns="1" c="0"/>
    </mdx>
    <mdx n="11" f="s">
      <ms ns="13" c="0"/>
    </mdx>
    <mdx n="11" f="s">
      <ms ns="8" c="0"/>
    </mdx>
    <mdx n="11" f="s">
      <ms ns="14" c="0"/>
    </mdx>
    <mdx n="11" f="s">
      <ms ns="15" c="0"/>
    </mdx>
    <mdx n="11" f="s">
      <ms ns="16" c="0"/>
    </mdx>
    <mdx n="11" f="s">
      <ms ns="17" c="0"/>
    </mdx>
    <mdx n="11" f="s">
      <ms ns="18" c="0"/>
    </mdx>
    <mdx n="11" f="s">
      <ms ns="19" c="0"/>
    </mdx>
    <mdx n="11" f="s">
      <ms ns="20" c="0"/>
    </mdx>
    <mdx n="11" f="s">
      <ms ns="21" c="0"/>
    </mdx>
    <mdx n="6" f="s">
      <ms ns="22" c="0"/>
    </mdx>
    <mdx n="6" f="s">
      <ms ns="5" c="0"/>
    </mdx>
    <mdx n="6" f="s">
      <ms ns="23" c="0"/>
    </mdx>
    <mdx n="6" f="s">
      <ms ns="24" c="0"/>
    </mdx>
    <mdx n="6" f="s">
      <ms ns="3" c="0"/>
    </mdx>
  </mdxMetadata>
  <valueMetadata count="2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</valueMetadata>
</metadata>
</file>

<file path=xl/sharedStrings.xml><?xml version="1.0" encoding="utf-8"?>
<sst xmlns="http://schemas.openxmlformats.org/spreadsheetml/2006/main" count="1625" uniqueCount="861">
  <si>
    <t>MerchProduct</t>
  </si>
  <si>
    <t>Merch</t>
  </si>
  <si>
    <t>TextileProduct</t>
  </si>
  <si>
    <t>All</t>
  </si>
  <si>
    <t>DistrubitionChannelDesc</t>
  </si>
  <si>
    <t>Perakende Satış</t>
  </si>
  <si>
    <t>CountryName</t>
  </si>
  <si>
    <t>LastNDays</t>
  </si>
  <si>
    <t>(Birden Çok Öğe)</t>
  </si>
  <si>
    <t>STOK</t>
  </si>
  <si>
    <t>SATIŞ ADET</t>
  </si>
  <si>
    <t>TUTAR</t>
  </si>
  <si>
    <t>KAR</t>
  </si>
  <si>
    <t>KAR MARJI</t>
  </si>
  <si>
    <t>BİRİM MALİYET</t>
  </si>
  <si>
    <t>FİYAT</t>
  </si>
  <si>
    <t>COVER</t>
  </si>
  <si>
    <t>DEVİR HIZI</t>
  </si>
  <si>
    <t>GMROI</t>
  </si>
  <si>
    <t>İNDİRİM</t>
  </si>
  <si>
    <t>MARK UP</t>
  </si>
  <si>
    <t>FİŞ KONTROL</t>
  </si>
  <si>
    <t>GİRİŞ SAYISI</t>
  </si>
  <si>
    <t>BÜTÇE HEDEF</t>
  </si>
  <si>
    <t>Değerler</t>
  </si>
  <si>
    <t>CategoryLeader</t>
  </si>
  <si>
    <t>TribeLeader</t>
  </si>
  <si>
    <t>Ana Grup</t>
  </si>
  <si>
    <t>Alt Grup</t>
  </si>
  <si>
    <t>LY LFL Avg Store Stock Unit</t>
  </si>
  <si>
    <t>TY Avg Store Stock Unit</t>
  </si>
  <si>
    <t>LFL Store Stock Unit TYvsLY%</t>
  </si>
  <si>
    <t>LFL Stock Cost TYvsLY TRY%</t>
  </si>
  <si>
    <t>LY LFL Sales Unit</t>
  </si>
  <si>
    <t>TY Sales Unit</t>
  </si>
  <si>
    <t>LFL Sales Unit TYvsLY%</t>
  </si>
  <si>
    <t>LY LFL Sales Value TRY</t>
  </si>
  <si>
    <t>TY Sales Value TRY</t>
  </si>
  <si>
    <t>LFL Sales Value TYvsLY TRY%</t>
  </si>
  <si>
    <t>LFL Sales Profit TYvsLY TRY%</t>
  </si>
  <si>
    <t>LY LFL Gross Marjin TRY%</t>
  </si>
  <si>
    <t>TY Gross Marjin TRY%</t>
  </si>
  <si>
    <t>LY LFL Unit Cost TRY</t>
  </si>
  <si>
    <t>TY Unit Cost TRY</t>
  </si>
  <si>
    <t>LFL Unit Cost TYvsLY TRY%</t>
  </si>
  <si>
    <t>LY LFL Unit Sales Price TRY</t>
  </si>
  <si>
    <t>TY Unit Sales Price TRY</t>
  </si>
  <si>
    <t>LFL Unit Sales Price TYvsLY TRY%</t>
  </si>
  <si>
    <t>LY LFL Store Back Cover Unit</t>
  </si>
  <si>
    <t>TY Store Back Cover Unit</t>
  </si>
  <si>
    <t>LY Store Turnover Unit</t>
  </si>
  <si>
    <t>TY Store Turnover Unit</t>
  </si>
  <si>
    <t>LY GMROII LC</t>
  </si>
  <si>
    <t>TY GMROII LC</t>
  </si>
  <si>
    <t>TY Actual MarkDown TRY%</t>
  </si>
  <si>
    <t>LY Actual MarkUp TRY</t>
  </si>
  <si>
    <t>TY Actual MarkUp TRY</t>
  </si>
  <si>
    <t>LY LFL Invoice Count</t>
  </si>
  <si>
    <t>TY Invoice Count</t>
  </si>
  <si>
    <t>TY Customer Entry Count</t>
  </si>
  <si>
    <t>LY LFL Customer Entry Count</t>
  </si>
  <si>
    <t>TY Sales Budget Unit</t>
  </si>
  <si>
    <t>TY Sales Budget Value LC</t>
  </si>
  <si>
    <t>TY Sales Budget Profit Value LC</t>
  </si>
  <si>
    <t>V1</t>
  </si>
  <si>
    <t>V2</t>
  </si>
  <si>
    <t>Behiye Arlı</t>
  </si>
  <si>
    <t>Aykut Karakuşoğlu</t>
  </si>
  <si>
    <t>KEA</t>
  </si>
  <si>
    <t>YEDEK PARÇA</t>
  </si>
  <si>
    <t>Cansu Yücel</t>
  </si>
  <si>
    <t>Sevgi Babacan</t>
  </si>
  <si>
    <t>Toplam Behiye Arlı</t>
  </si>
  <si>
    <t>Esat Müfettişoğlu</t>
  </si>
  <si>
    <t>Eda Şıvgın</t>
  </si>
  <si>
    <t>Sofra</t>
  </si>
  <si>
    <t>Gökhan Açıkgöz</t>
  </si>
  <si>
    <t>Sofra Takımları</t>
  </si>
  <si>
    <t>Merve Türkyılmaz</t>
  </si>
  <si>
    <t>Şule Kumbasar</t>
  </si>
  <si>
    <t>Pişirme</t>
  </si>
  <si>
    <t>Mutfak</t>
  </si>
  <si>
    <t>Toplam Esat Müfettişoğlu</t>
  </si>
  <si>
    <t>Nihal Kaya</t>
  </si>
  <si>
    <t>İlker Ölge</t>
  </si>
  <si>
    <t>Aksesuar</t>
  </si>
  <si>
    <t>Ömer Can Bengül</t>
  </si>
  <si>
    <t>Kozmetik</t>
  </si>
  <si>
    <t>Halı - Kilim</t>
  </si>
  <si>
    <t>Salon</t>
  </si>
  <si>
    <t>Ev Giysisi</t>
  </si>
  <si>
    <t>Toplam Nihal Kaya</t>
  </si>
  <si>
    <t>Simla Ünlü</t>
  </si>
  <si>
    <t>Aslıhan Köksal</t>
  </si>
  <si>
    <t>Nevresim</t>
  </si>
  <si>
    <t>Çarşaf</t>
  </si>
  <si>
    <t>Yorgan</t>
  </si>
  <si>
    <t>Yastık</t>
  </si>
  <si>
    <t>Fatma Gök İnce</t>
  </si>
  <si>
    <t>Havlu</t>
  </si>
  <si>
    <t>Banyo</t>
  </si>
  <si>
    <t>Bornoz</t>
  </si>
  <si>
    <t>White Collection</t>
  </si>
  <si>
    <t>Mert Sucaklı</t>
  </si>
  <si>
    <t>Yatak Örtüsü</t>
  </si>
  <si>
    <t>Pike</t>
  </si>
  <si>
    <t>Battaniye</t>
  </si>
  <si>
    <t>Toplam Simla Ünlü</t>
  </si>
  <si>
    <t>Genel Toplam</t>
  </si>
  <si>
    <t>MerchYearMonth</t>
  </si>
  <si>
    <t>LocationCountry</t>
  </si>
  <si>
    <t>SalesOrgType</t>
  </si>
  <si>
    <t>İştirak</t>
  </si>
  <si>
    <t>H_Merch</t>
  </si>
  <si>
    <t>MaterialDesc</t>
  </si>
  <si>
    <t>Invoice</t>
  </si>
  <si>
    <t>Sales Unit</t>
  </si>
  <si>
    <t>Sales Value</t>
  </si>
  <si>
    <t>Profit</t>
  </si>
  <si>
    <t>Stock</t>
  </si>
  <si>
    <t>Cover</t>
  </si>
  <si>
    <t>Unit Price</t>
  </si>
  <si>
    <t>Gross Margin</t>
  </si>
  <si>
    <t>TR Stock</t>
  </si>
  <si>
    <t xml:space="preserve">LFL Change </t>
  </si>
  <si>
    <t>MainGroupDesc</t>
  </si>
  <si>
    <t>TY Sales Value LC</t>
  </si>
  <si>
    <t>LY LFL Sales Value LC</t>
  </si>
  <si>
    <t>TY Gross Profit LC</t>
  </si>
  <si>
    <t>LY Gross Profit LC</t>
  </si>
  <si>
    <t>TY Store Cover Unit</t>
  </si>
  <si>
    <t>LY Store Cover Unit</t>
  </si>
  <si>
    <t>TY Unit Sales Price LC</t>
  </si>
  <si>
    <t>LY LFL Unit Sales Price LC</t>
  </si>
  <si>
    <t>TY Gross Marjin LC%</t>
  </si>
  <si>
    <t>LY Gross Marjin LC%</t>
  </si>
  <si>
    <t>TY Avg DC Stock Unit</t>
  </si>
  <si>
    <t>LY Avg DC Stock Unit</t>
  </si>
  <si>
    <t>LFL Sales Value TYvsLY LC%</t>
  </si>
  <si>
    <t>LFL Sales Profit TYvsLY LC%</t>
  </si>
  <si>
    <t>TÜRKİYE</t>
  </si>
  <si>
    <t>H_MainGroup</t>
  </si>
  <si>
    <t>MerchWeek</t>
  </si>
  <si>
    <t>Date</t>
  </si>
  <si>
    <t>DayName</t>
  </si>
  <si>
    <t>TY Gross Invoice Count</t>
  </si>
  <si>
    <t>TY Return Invoice Count</t>
  </si>
  <si>
    <t>TY Sales Cost LC</t>
  </si>
  <si>
    <t>TY Avg Store Transit Stock Unit</t>
  </si>
  <si>
    <t>Salı</t>
  </si>
  <si>
    <t>Çarşamba</t>
  </si>
  <si>
    <t>Perşembe</t>
  </si>
  <si>
    <t>Cuma</t>
  </si>
  <si>
    <t>Cumartesi</t>
  </si>
  <si>
    <t>Pazar</t>
  </si>
  <si>
    <t>Pazartesi</t>
  </si>
  <si>
    <t>2025-Mart</t>
  </si>
  <si>
    <t>E - Ticaret</t>
  </si>
  <si>
    <t>Ülke Online Payı</t>
  </si>
  <si>
    <t>TY Avg Store Stock Unit %</t>
  </si>
  <si>
    <t>TY Sales Unit %</t>
  </si>
  <si>
    <t>TY Sales Value LC %</t>
  </si>
  <si>
    <t>TY Gross Profit LC2</t>
  </si>
  <si>
    <t>TY Sales Profit LC</t>
  </si>
  <si>
    <t>Birim marj Katkısı_Ecom</t>
  </si>
  <si>
    <t>Birim marj Katkısı_Offline</t>
  </si>
  <si>
    <t>Fark</t>
  </si>
  <si>
    <t>Ecom Ciro Payı</t>
  </si>
  <si>
    <t>TR</t>
  </si>
  <si>
    <t>MerchYear</t>
  </si>
  <si>
    <t>MerchYearMonthName</t>
  </si>
  <si>
    <t>MerchYearWeek</t>
  </si>
  <si>
    <t>Online GM %</t>
  </si>
  <si>
    <t>Offline GM %</t>
  </si>
  <si>
    <t>Online DH</t>
  </si>
  <si>
    <t>Offline DH</t>
  </si>
  <si>
    <t>2021</t>
  </si>
  <si>
    <t>2022</t>
  </si>
  <si>
    <t>2023</t>
  </si>
  <si>
    <t>2023-Ocak</t>
  </si>
  <si>
    <t>2023-Şubat</t>
  </si>
  <si>
    <t>2023-Mart</t>
  </si>
  <si>
    <t>2023-Nisan</t>
  </si>
  <si>
    <t>202314</t>
  </si>
  <si>
    <t>202315</t>
  </si>
  <si>
    <t>202316</t>
  </si>
  <si>
    <t>202317</t>
  </si>
  <si>
    <t>202318</t>
  </si>
  <si>
    <t>Toplam 2023-Nisan</t>
  </si>
  <si>
    <t>2023-Mayıs</t>
  </si>
  <si>
    <t>2023-Haziran</t>
  </si>
  <si>
    <t>2023-Temmuz</t>
  </si>
  <si>
    <t>2023-Ağustos</t>
  </si>
  <si>
    <t>2023-Eylül</t>
  </si>
  <si>
    <t>2023-Ekim</t>
  </si>
  <si>
    <t>2023-Kasım</t>
  </si>
  <si>
    <t>2023-Aralık</t>
  </si>
  <si>
    <t>Toplam 2023</t>
  </si>
  <si>
    <t>2024</t>
  </si>
  <si>
    <t>2025</t>
  </si>
  <si>
    <t>2026</t>
  </si>
  <si>
    <t>Dünya Markaları</t>
  </si>
  <si>
    <t>Sofra İçecek</t>
  </si>
  <si>
    <t>Sofra Sunum</t>
  </si>
  <si>
    <t>5</t>
  </si>
  <si>
    <t>27.01.2026</t>
  </si>
  <si>
    <t>28.01.2026</t>
  </si>
  <si>
    <t>29.01.2026</t>
  </si>
  <si>
    <t>30.01.2026</t>
  </si>
  <si>
    <t>31.01.2026</t>
  </si>
  <si>
    <t>1.02.2026</t>
  </si>
  <si>
    <t>Toplam 5</t>
  </si>
  <si>
    <t>6</t>
  </si>
  <si>
    <t>2.02.2026</t>
  </si>
  <si>
    <t>3.02.2026</t>
  </si>
  <si>
    <t>4.02.2026</t>
  </si>
  <si>
    <t>5.02.2026</t>
  </si>
  <si>
    <t>6.02.2026</t>
  </si>
  <si>
    <t>7.02.2026</t>
  </si>
  <si>
    <t>8.02.2026</t>
  </si>
  <si>
    <t>Toplam 6</t>
  </si>
  <si>
    <t>7</t>
  </si>
  <si>
    <t>9.02.2026</t>
  </si>
  <si>
    <t>Toplam 7</t>
  </si>
  <si>
    <t>Store Stock Cost TyTWvsTyLW TRY%</t>
  </si>
  <si>
    <t>Store Stock Unit TyTWvsTyLW%</t>
  </si>
  <si>
    <t>Sales Unit TyTWvsTyLW%</t>
  </si>
  <si>
    <t>Sales Value TyTWvsTyLW TRY%</t>
  </si>
  <si>
    <t>Unit Sales Price TyTWvsTyLW TRY%</t>
  </si>
  <si>
    <t>SubGroupDesc</t>
  </si>
  <si>
    <t>Kahve Fincanı</t>
  </si>
  <si>
    <t>Kupa</t>
  </si>
  <si>
    <t>Bardak</t>
  </si>
  <si>
    <t>Çay Fincanı</t>
  </si>
  <si>
    <t>Kadeh</t>
  </si>
  <si>
    <t>Çay Seti</t>
  </si>
  <si>
    <t>Meşrubat Bardağı</t>
  </si>
  <si>
    <t>Çay-Kahve Takımı</t>
  </si>
  <si>
    <t>Çay Takımı</t>
  </si>
  <si>
    <t>Su Bardağı</t>
  </si>
  <si>
    <t>Pipetli Bardak</t>
  </si>
  <si>
    <t>Likör Bardağı</t>
  </si>
  <si>
    <t>Mug</t>
  </si>
  <si>
    <t>Şarap Kadehi</t>
  </si>
  <si>
    <t>Bira Bardağı</t>
  </si>
  <si>
    <t>Espresso Bardağı</t>
  </si>
  <si>
    <t>Detoks Bardağı</t>
  </si>
  <si>
    <t>Kokteyl Bardağı</t>
  </si>
  <si>
    <t>Nevresim Takımı</t>
  </si>
  <si>
    <t>Nevresim Seti</t>
  </si>
  <si>
    <t>Çocuk Nevresim Takım</t>
  </si>
  <si>
    <t>Bebe Nevresim Takımı</t>
  </si>
  <si>
    <t>Düz Çarşaf NVR TK</t>
  </si>
  <si>
    <t>Bebe Yastık Kılıfı</t>
  </si>
  <si>
    <t>Bebe Nevresim Seti</t>
  </si>
  <si>
    <t>Bebe Nevresim</t>
  </si>
  <si>
    <t>Çocuk Nevresim Seti</t>
  </si>
  <si>
    <t>Çay Makinesi</t>
  </si>
  <si>
    <t>Türk Kahve M.</t>
  </si>
  <si>
    <t>Stand Mikseri</t>
  </si>
  <si>
    <t>Kişisel Blender</t>
  </si>
  <si>
    <t>Sürahi Blender</t>
  </si>
  <si>
    <t>Airfryer</t>
  </si>
  <si>
    <t>Mini Blender Seti</t>
  </si>
  <si>
    <t>Multi Blender Seti</t>
  </si>
  <si>
    <t>Izgara Ve Tost M.</t>
  </si>
  <si>
    <t>Tost Makinesi</t>
  </si>
  <si>
    <t>Doğrayıcı</t>
  </si>
  <si>
    <t>El Blenderı</t>
  </si>
  <si>
    <t>Waffle Makinesi</t>
  </si>
  <si>
    <t>Filtre Kahve M.</t>
  </si>
  <si>
    <t>El Mikseri</t>
  </si>
  <si>
    <t>Su Isıtıcı</t>
  </si>
  <si>
    <t>Ekmek Kızartma M.</t>
  </si>
  <si>
    <t>Su Arıtma Sürahisi</t>
  </si>
  <si>
    <t>Su Arıtma Filtresi</t>
  </si>
  <si>
    <t>Masa Örtüsü</t>
  </si>
  <si>
    <t>Sunumluk</t>
  </si>
  <si>
    <t>Tepsi</t>
  </si>
  <si>
    <t>Sürahi</t>
  </si>
  <si>
    <t>Kase</t>
  </si>
  <si>
    <t>Servis Standı</t>
  </si>
  <si>
    <t>Çerezlik</t>
  </si>
  <si>
    <t>Amerikan Servis</t>
  </si>
  <si>
    <t>Cup</t>
  </si>
  <si>
    <t>Kayık Tabak</t>
  </si>
  <si>
    <t>Servis Tamamlayıcı</t>
  </si>
  <si>
    <t>Runner</t>
  </si>
  <si>
    <t>Pasta Tabağı</t>
  </si>
  <si>
    <t>Kahvaltılık</t>
  </si>
  <si>
    <t>Şişe</t>
  </si>
  <si>
    <t>Servis Tabağı</t>
  </si>
  <si>
    <t>Yağdanlık</t>
  </si>
  <si>
    <t>Kağıt Peçete</t>
  </si>
  <si>
    <t>Su Takımı</t>
  </si>
  <si>
    <t>Çukur Tabak</t>
  </si>
  <si>
    <t>Mutfak Seti</t>
  </si>
  <si>
    <t>Meşrubatlık</t>
  </si>
  <si>
    <t>Mutfak Önlüğü</t>
  </si>
  <si>
    <t>Kurulama Bezi</t>
  </si>
  <si>
    <t>Sunum Tahtası</t>
  </si>
  <si>
    <t>Peçete Halkası</t>
  </si>
  <si>
    <t>Misafir Peçetesi</t>
  </si>
  <si>
    <t>Tereyağlık</t>
  </si>
  <si>
    <t>Supla</t>
  </si>
  <si>
    <t>Kek Fanus</t>
  </si>
  <si>
    <t>Sosluk</t>
  </si>
  <si>
    <t>Salata Kasesi</t>
  </si>
  <si>
    <t>Bebe Mama Takımı</t>
  </si>
  <si>
    <t>Başucu Sürahi</t>
  </si>
  <si>
    <t>Peynir Tahtası</t>
  </si>
  <si>
    <t>Sunum Seti</t>
  </si>
  <si>
    <t>Buz Kovası</t>
  </si>
  <si>
    <t>Tatlı Tabağı</t>
  </si>
  <si>
    <t>Reçellik</t>
  </si>
  <si>
    <t>Sunum Kasesi</t>
  </si>
  <si>
    <t>Mutfak Bezi</t>
  </si>
  <si>
    <t>Çocuk Önlüğü</t>
  </si>
  <si>
    <t>Lokumluk</t>
  </si>
  <si>
    <t>Sunum Tabağı</t>
  </si>
  <si>
    <t>Piknik Çantası</t>
  </si>
  <si>
    <t>Kokteyl Seti</t>
  </si>
  <si>
    <t>Çocuk Fırın Eldiveni</t>
  </si>
  <si>
    <t>Supla Altı</t>
  </si>
  <si>
    <t>Tutaç</t>
  </si>
  <si>
    <t>Tuzluk</t>
  </si>
  <si>
    <t>Tabak</t>
  </si>
  <si>
    <t>Şekerlik</t>
  </si>
  <si>
    <t>Sehpa Örtüsü</t>
  </si>
  <si>
    <t>Mutfak Minderi</t>
  </si>
  <si>
    <t>Piknik Örtüsü.</t>
  </si>
  <si>
    <t>Karaf</t>
  </si>
  <si>
    <t>Pizza Tabağı</t>
  </si>
  <si>
    <t>Kurabiyelik</t>
  </si>
  <si>
    <t>Çorba Kasesi</t>
  </si>
  <si>
    <t>Aşçı Eldiven</t>
  </si>
  <si>
    <t>Peynir Tabağı</t>
  </si>
  <si>
    <t>Damacana Kılıfı</t>
  </si>
  <si>
    <t>Mutfak Masa Örtüsü</t>
  </si>
  <si>
    <t>Karaf Seti</t>
  </si>
  <si>
    <t>Dekoratif Şekerlik</t>
  </si>
  <si>
    <t>Peçete Yüzüğü</t>
  </si>
  <si>
    <t>Mutfak Runnerı</t>
  </si>
  <si>
    <t>Vazo</t>
  </si>
  <si>
    <t>Dekoratif Tepsi</t>
  </si>
  <si>
    <t>Çerçeve</t>
  </si>
  <si>
    <t>Banyo Seti</t>
  </si>
  <si>
    <t>Saklama Kutusu</t>
  </si>
  <si>
    <t>Dekoratif Kutu</t>
  </si>
  <si>
    <t>Dekoratif</t>
  </si>
  <si>
    <t>Sepet</t>
  </si>
  <si>
    <t>Çamaşır Sepeti</t>
  </si>
  <si>
    <t>Tek Dal Yapay Çiçek</t>
  </si>
  <si>
    <t>Şamdan</t>
  </si>
  <si>
    <t>Biblo</t>
  </si>
  <si>
    <t>Abajur</t>
  </si>
  <si>
    <t>Banyo Sıvı Sabunluk</t>
  </si>
  <si>
    <t>Dekoratif Aydınlatma</t>
  </si>
  <si>
    <t>Duş Kaydırmaz</t>
  </si>
  <si>
    <t>Kar Küresi</t>
  </si>
  <si>
    <t>Hurç</t>
  </si>
  <si>
    <t>Organizer</t>
  </si>
  <si>
    <t>Fener</t>
  </si>
  <si>
    <t>Dekoratif Obje</t>
  </si>
  <si>
    <t>Saksı</t>
  </si>
  <si>
    <t>Sıcak Su Torbası</t>
  </si>
  <si>
    <t>Masa Saati</t>
  </si>
  <si>
    <t>Mum</t>
  </si>
  <si>
    <t>Askılı Aksesuar</t>
  </si>
  <si>
    <t>Müzik Kutusu</t>
  </si>
  <si>
    <t>Kum Saati</t>
  </si>
  <si>
    <t>Duvar Aksesuarı</t>
  </si>
  <si>
    <t>Duvar Saati</t>
  </si>
  <si>
    <t>Mum Söndürme Aleti</t>
  </si>
  <si>
    <t>Dekoratif Peçetelik</t>
  </si>
  <si>
    <t>Kapı Süsü</t>
  </si>
  <si>
    <t>Mum Bakım Seti</t>
  </si>
  <si>
    <t>Kandil</t>
  </si>
  <si>
    <t>Vazolu Yapay Çiçek</t>
  </si>
  <si>
    <t>Alışveriş Çantası</t>
  </si>
  <si>
    <t>Yapay Ağaç</t>
  </si>
  <si>
    <t>Ayna</t>
  </si>
  <si>
    <t>Diş Fırçalık</t>
  </si>
  <si>
    <t>Şezlong</t>
  </si>
  <si>
    <t>Küllük</t>
  </si>
  <si>
    <t>Elbise Kılıfı</t>
  </si>
  <si>
    <t>Sandalye</t>
  </si>
  <si>
    <t>Tütsülük</t>
  </si>
  <si>
    <t>Sabunluk</t>
  </si>
  <si>
    <t>Sehpa.</t>
  </si>
  <si>
    <t>Ayakkabı Saklama Kts</t>
  </si>
  <si>
    <t>Oyuncak Sepeti</t>
  </si>
  <si>
    <t>Katlanır Tabure</t>
  </si>
  <si>
    <t>Tablo</t>
  </si>
  <si>
    <t>Kandil Yağı</t>
  </si>
  <si>
    <t>Duvar Süsü</t>
  </si>
  <si>
    <t>Hamak</t>
  </si>
  <si>
    <t>Kandil Fitili</t>
  </si>
  <si>
    <t>Fırçalı Faraş</t>
  </si>
  <si>
    <t>Temizlik Fırçası</t>
  </si>
  <si>
    <t>Takılık</t>
  </si>
  <si>
    <t>Keyif Tepsisi</t>
  </si>
  <si>
    <t>Maske</t>
  </si>
  <si>
    <t>Tavla</t>
  </si>
  <si>
    <t>Bebe Mama Önlüğü</t>
  </si>
  <si>
    <t>Cam Sileceği</t>
  </si>
  <si>
    <t>Çocuk Duvar Saati</t>
  </si>
  <si>
    <t>Bereket Kuşu</t>
  </si>
  <si>
    <t>Saç Bandı</t>
  </si>
  <si>
    <t>Kumbara</t>
  </si>
  <si>
    <t>Maske Kutusu</t>
  </si>
  <si>
    <t>Çocuk Maske</t>
  </si>
  <si>
    <t>Kapı Önü Ağırlığı</t>
  </si>
  <si>
    <t>Uyku Gözlüğü</t>
  </si>
  <si>
    <t>Yapay Çiçek</t>
  </si>
  <si>
    <t>Kalemlik</t>
  </si>
  <si>
    <t>Telefon Kılıfı</t>
  </si>
  <si>
    <t>Büyüteç</t>
  </si>
  <si>
    <t>Vakumlu Poşet</t>
  </si>
  <si>
    <t>Dekoratif Raf</t>
  </si>
  <si>
    <t>Süpürgelik</t>
  </si>
  <si>
    <t>Havluluk</t>
  </si>
  <si>
    <t>Ayakkabı Rampası</t>
  </si>
  <si>
    <t>Hesap Makinesi</t>
  </si>
  <si>
    <t>Cüzdan</t>
  </si>
  <si>
    <t>Mop</t>
  </si>
  <si>
    <t>Showroom Hibe</t>
  </si>
  <si>
    <t>Hobi Kumaşı</t>
  </si>
  <si>
    <t>Taç</t>
  </si>
  <si>
    <t>Armut Hamak</t>
  </si>
  <si>
    <t>Kurdele</t>
  </si>
  <si>
    <t>Kitap Tutucu</t>
  </si>
  <si>
    <t>Etamin</t>
  </si>
  <si>
    <t>Not Defteri</t>
  </si>
  <si>
    <t>Boyunluk</t>
  </si>
  <si>
    <t>Şemsiye</t>
  </si>
  <si>
    <t>Bebek Sepeti</t>
  </si>
  <si>
    <t>Bardak Tutacağı</t>
  </si>
  <si>
    <t>Canlı Çiçek</t>
  </si>
  <si>
    <t>Elbise Askısı</t>
  </si>
  <si>
    <t>Pet Yatağı</t>
  </si>
  <si>
    <t>Kitap Ayracı</t>
  </si>
  <si>
    <t>Tasma Kayışı</t>
  </si>
  <si>
    <t>Bileklik</t>
  </si>
  <si>
    <t>Bereket Fili</t>
  </si>
  <si>
    <t>Saç Tokası</t>
  </si>
  <si>
    <t>Tuvalet Kağıtlığı</t>
  </si>
  <si>
    <t>Bebe Hurç</t>
  </si>
  <si>
    <t>Yılbaşı Aksesuar</t>
  </si>
  <si>
    <t>Askı</t>
  </si>
  <si>
    <t>Salıncak</t>
  </si>
  <si>
    <t>Çocuk Duvar Kağıdı</t>
  </si>
  <si>
    <t>Kapı Numarası</t>
  </si>
  <si>
    <t>Yoga Mat</t>
  </si>
  <si>
    <t>Lambader</t>
  </si>
  <si>
    <t>TV Battaniye</t>
  </si>
  <si>
    <t>Bebe Battaniye</t>
  </si>
  <si>
    <t>Çocuk Battaniye</t>
  </si>
  <si>
    <t>Yüz Havlusu</t>
  </si>
  <si>
    <t>Banyo Havlusu</t>
  </si>
  <si>
    <t>El Havlusu</t>
  </si>
  <si>
    <t>Ayak Havlusu</t>
  </si>
  <si>
    <t>Banyo Havlusu Takımı</t>
  </si>
  <si>
    <t>Çocuk Bornoz</t>
  </si>
  <si>
    <t>El Havlusu Seti</t>
  </si>
  <si>
    <t>Bornoz Seti</t>
  </si>
  <si>
    <t>Yüz Havlusu Seti</t>
  </si>
  <si>
    <t>Bebe Havlu</t>
  </si>
  <si>
    <t>Banyo Terliği</t>
  </si>
  <si>
    <t>Peştamal</t>
  </si>
  <si>
    <t>Plaj Havlusu</t>
  </si>
  <si>
    <t>Saç Bonesi</t>
  </si>
  <si>
    <t>Bebe Ağız Silme Bezi</t>
  </si>
  <si>
    <t>Bebe Banyo Havlu Set</t>
  </si>
  <si>
    <t>Bebe El Havlusu</t>
  </si>
  <si>
    <t>Bebek Ter Havlusu</t>
  </si>
  <si>
    <t>Bebe Banyo Havlusu</t>
  </si>
  <si>
    <t>Hediyelik Havlu</t>
  </si>
  <si>
    <t>Çocuk Plaj Havlusu</t>
  </si>
  <si>
    <t>Kutulu Havlu</t>
  </si>
  <si>
    <t>Havlu Seti</t>
  </si>
  <si>
    <t>Tencere</t>
  </si>
  <si>
    <t>Tencere Seti</t>
  </si>
  <si>
    <t>Tava</t>
  </si>
  <si>
    <t>Kek Kalıbı</t>
  </si>
  <si>
    <t>Sahan</t>
  </si>
  <si>
    <t>Fırın Kabı</t>
  </si>
  <si>
    <t>Fırın Tencere</t>
  </si>
  <si>
    <t>Tava Seti</t>
  </si>
  <si>
    <t>Bakraç</t>
  </si>
  <si>
    <t>Sos Tenceresi</t>
  </si>
  <si>
    <t>Pişir-Sakla Set</t>
  </si>
  <si>
    <t>Sahan Seti</t>
  </si>
  <si>
    <t>Kek Kalıp Set</t>
  </si>
  <si>
    <t>Pişirme Seti</t>
  </si>
  <si>
    <t>Tencere-Tava Seti</t>
  </si>
  <si>
    <t>Tart Kalıbı</t>
  </si>
  <si>
    <t>Grıll Tava</t>
  </si>
  <si>
    <t>Wok Tava</t>
  </si>
  <si>
    <t>Mini Tava</t>
  </si>
  <si>
    <t>Mini Tencere</t>
  </si>
  <si>
    <t>Çaydanlık</t>
  </si>
  <si>
    <t>Saklama Kabı</t>
  </si>
  <si>
    <t>Demleme Ürünleri</t>
  </si>
  <si>
    <t>Kavanoz</t>
  </si>
  <si>
    <t>Termos</t>
  </si>
  <si>
    <t>Mutfak Gereci</t>
  </si>
  <si>
    <t>Doğrayıcılar</t>
  </si>
  <si>
    <t>Yemek Hazırlama</t>
  </si>
  <si>
    <t>Servis Gereçleri</t>
  </si>
  <si>
    <t>Kesme Tahtası</t>
  </si>
  <si>
    <t>Değirmen</t>
  </si>
  <si>
    <t>Hazırlık Seti</t>
  </si>
  <si>
    <t>Moka Pot</t>
  </si>
  <si>
    <t>Yumurta Fırçası</t>
  </si>
  <si>
    <t>Fondü Seti</t>
  </si>
  <si>
    <t>Kağıt Havluluk</t>
  </si>
  <si>
    <t>Merdane</t>
  </si>
  <si>
    <t>Servis Kaşığı</t>
  </si>
  <si>
    <t>Çocuk Suluk</t>
  </si>
  <si>
    <t>Spagetti Kaşığı</t>
  </si>
  <si>
    <t>Poşet Klipsi</t>
  </si>
  <si>
    <t>Şişe Tıpası</t>
  </si>
  <si>
    <t>Ölçü Kaşığı</t>
  </si>
  <si>
    <t>Huni</t>
  </si>
  <si>
    <t>Bal Kavanozu</t>
  </si>
  <si>
    <t>Perforated Spatula</t>
  </si>
  <si>
    <t>Pizza Kesici</t>
  </si>
  <si>
    <t>İbrik</t>
  </si>
  <si>
    <t>Süt Potu</t>
  </si>
  <si>
    <t>Piknik Seti</t>
  </si>
  <si>
    <t>Isıtıcı</t>
  </si>
  <si>
    <t>Kurabiye Kutusu</t>
  </si>
  <si>
    <t>Kahve Ölçü Kaşığı</t>
  </si>
  <si>
    <t>Saklama Kabı Seti</t>
  </si>
  <si>
    <t>Yumurtalık</t>
  </si>
  <si>
    <t>Açacak</t>
  </si>
  <si>
    <t>Shaker</t>
  </si>
  <si>
    <t>Havan</t>
  </si>
  <si>
    <t>Çekmece Düzenleyici</t>
  </si>
  <si>
    <t>Sufle Kabı</t>
  </si>
  <si>
    <t>Ölçü Kabı</t>
  </si>
  <si>
    <t>Poşet Torbalığı</t>
  </si>
  <si>
    <t>Kavanoz Kapağı</t>
  </si>
  <si>
    <t>Ekmek Kutusu</t>
  </si>
  <si>
    <t>Hamur ruleti</t>
  </si>
  <si>
    <t>Kettle</t>
  </si>
  <si>
    <t>Düzenleyici Set</t>
  </si>
  <si>
    <t>Sofra Seti</t>
  </si>
  <si>
    <t>Bardak Altı</t>
  </si>
  <si>
    <t>Bulaşık Seti</t>
  </si>
  <si>
    <t>Coffee Maker</t>
  </si>
  <si>
    <t>Piknik Sepeti</t>
  </si>
  <si>
    <t>Satır</t>
  </si>
  <si>
    <t>Çatal Bıçaklık</t>
  </si>
  <si>
    <t>Salata Seti</t>
  </si>
  <si>
    <t>Krep Tava</t>
  </si>
  <si>
    <t>Kupalık</t>
  </si>
  <si>
    <t>Yemek Takımı</t>
  </si>
  <si>
    <t>Kahvaltı Takımı</t>
  </si>
  <si>
    <t>Pasta Seti</t>
  </si>
  <si>
    <t>Çatal Kaşık Bıçak Tk</t>
  </si>
  <si>
    <t>Çay Tabağı</t>
  </si>
  <si>
    <t>Yemek Bıçağı</t>
  </si>
  <si>
    <t>Yemek Çatalı</t>
  </si>
  <si>
    <t>Yemek Kaşığı</t>
  </si>
  <si>
    <t>Kokteyl Karıştırıcı</t>
  </si>
  <si>
    <t>Kokteyl Çatalı</t>
  </si>
  <si>
    <t>Tatlı Kaşığı</t>
  </si>
  <si>
    <t>Çay Kaşığı</t>
  </si>
  <si>
    <t>Tatlı Bıçağı</t>
  </si>
  <si>
    <t>Tatlı Çatalı</t>
  </si>
  <si>
    <t>Lastikli Çarşaf</t>
  </si>
  <si>
    <t>Yastık Kılıfı</t>
  </si>
  <si>
    <t>Lastikli Çarşaf Tkm</t>
  </si>
  <si>
    <t>Bebe Las. Çarşaf Tkm</t>
  </si>
  <si>
    <t>Çocuk Las.Çarşaf Tkm</t>
  </si>
  <si>
    <t>Bebe Lastikli Çarşaf</t>
  </si>
  <si>
    <t>Bebe Çarşaf Takımı</t>
  </si>
  <si>
    <t>Çubuklu Oda Kokusu</t>
  </si>
  <si>
    <t>Oda Spreyi</t>
  </si>
  <si>
    <t>Kokulu Mum</t>
  </si>
  <si>
    <t>Kokulu Kese</t>
  </si>
  <si>
    <t>Aromaterapi Set</t>
  </si>
  <si>
    <t>Kolonya</t>
  </si>
  <si>
    <t>El Kremi</t>
  </si>
  <si>
    <t>Oto Kokusu</t>
  </si>
  <si>
    <t>Tütsü</t>
  </si>
  <si>
    <t>Esansiyel Koku Yağı</t>
  </si>
  <si>
    <t>Çamaşır Kokusu</t>
  </si>
  <si>
    <t>Katı Sabun</t>
  </si>
  <si>
    <t>Koku Barı</t>
  </si>
  <si>
    <t>Vücut Losyonu</t>
  </si>
  <si>
    <t>Sıvı Sabun</t>
  </si>
  <si>
    <t>Nemlendirici Jel</t>
  </si>
  <si>
    <t>Body Mist</t>
  </si>
  <si>
    <t>Yüz Maskesi</t>
  </si>
  <si>
    <t>Kokulu Set</t>
  </si>
  <si>
    <t>Yüz &amp; Vücut Spreyi</t>
  </si>
  <si>
    <t>Duş Jeli</t>
  </si>
  <si>
    <t>Sprey Kolonya</t>
  </si>
  <si>
    <t>Sabun</t>
  </si>
  <si>
    <t>TEALIGHT MUM</t>
  </si>
  <si>
    <t>Makyaj Çantası</t>
  </si>
  <si>
    <t>Pudra Ponponu</t>
  </si>
  <si>
    <t>Katı Sabun Set</t>
  </si>
  <si>
    <t>Dezenfektan</t>
  </si>
  <si>
    <t>Su Torbası</t>
  </si>
  <si>
    <t>Parfüm</t>
  </si>
  <si>
    <t>Çok Amaçlı Kutu</t>
  </si>
  <si>
    <t>Kolonyalı Mendil</t>
  </si>
  <si>
    <t>Kokulu Taş</t>
  </si>
  <si>
    <t>Alez Yastık Kılıfı</t>
  </si>
  <si>
    <t>Kırlent Yastık</t>
  </si>
  <si>
    <t>Bebe Yastık</t>
  </si>
  <si>
    <t>Yastık Alezi</t>
  </si>
  <si>
    <t>Çocuk Yastık Kılıfı</t>
  </si>
  <si>
    <t>Dekoratif Yastık</t>
  </si>
  <si>
    <t>Çocuk Yastık</t>
  </si>
  <si>
    <t>Bel Yastığı</t>
  </si>
  <si>
    <t>Alez</t>
  </si>
  <si>
    <t>Bebe Yorgan</t>
  </si>
  <si>
    <t>Uyku Seti</t>
  </si>
  <si>
    <t>Yastık ve Yorgan Tk</t>
  </si>
  <si>
    <t>Bebe Alez</t>
  </si>
  <si>
    <t>Bebe Yorgan Set</t>
  </si>
  <si>
    <t>Yatak Pedi.</t>
  </si>
  <si>
    <t>Kırlent</t>
  </si>
  <si>
    <t>Koltuk Şalı</t>
  </si>
  <si>
    <t>Ev Terliği</t>
  </si>
  <si>
    <t>Sandalye Minderi</t>
  </si>
  <si>
    <t>Dolgulu Kırlent</t>
  </si>
  <si>
    <t>Çanta.</t>
  </si>
  <si>
    <t>Panduf Ev Botu</t>
  </si>
  <si>
    <t>Soket Çorap</t>
  </si>
  <si>
    <t>Panduf Ev Babeti</t>
  </si>
  <si>
    <t>Babet Çorap</t>
  </si>
  <si>
    <t>Patik Çorap</t>
  </si>
  <si>
    <t>Pijama Takımı</t>
  </si>
  <si>
    <t>Peluş Çorap</t>
  </si>
  <si>
    <t>Dekoratif Minder</t>
  </si>
  <si>
    <t>Sokak Terliği</t>
  </si>
  <si>
    <t>Yer Minderi</t>
  </si>
  <si>
    <t>Puf.</t>
  </si>
  <si>
    <t>Koltuk Örtüsü</t>
  </si>
  <si>
    <t>Plaj Terliği</t>
  </si>
  <si>
    <t>Ten Çorap</t>
  </si>
  <si>
    <t>Sneaker Çorap</t>
  </si>
  <si>
    <t>Sallanan Koltuk</t>
  </si>
  <si>
    <t>Dekoratif Koltuk</t>
  </si>
  <si>
    <t>Gecelik</t>
  </si>
  <si>
    <t>Plaj Çantası.</t>
  </si>
  <si>
    <t>Büyük Kırlent</t>
  </si>
  <si>
    <t>Bebe Çorap</t>
  </si>
  <si>
    <t>Çocuk Terliği</t>
  </si>
  <si>
    <t>Bebe Müslin Set</t>
  </si>
  <si>
    <t>Sabahlık</t>
  </si>
  <si>
    <t>Diğer</t>
  </si>
  <si>
    <t>Bebe Hediyelik Set</t>
  </si>
  <si>
    <t>Kısa Gecelik</t>
  </si>
  <si>
    <t>Çorap</t>
  </si>
  <si>
    <t>Dekoratif Puf</t>
  </si>
  <si>
    <t>Yaslanma Minderi</t>
  </si>
  <si>
    <t>Tül Perde</t>
  </si>
  <si>
    <t>Şort Takım</t>
  </si>
  <si>
    <t>Uzun Gecelik</t>
  </si>
  <si>
    <t>Berjer</t>
  </si>
  <si>
    <t>Bebe Kundak Set</t>
  </si>
  <si>
    <t>Tek Uzun Alt</t>
  </si>
  <si>
    <t>Çocuk Çanta</t>
  </si>
  <si>
    <t>Bebe Sandalyesi</t>
  </si>
  <si>
    <t>Seyahat Çantası</t>
  </si>
  <si>
    <t>Boxer</t>
  </si>
  <si>
    <t>Çocuk Çorap</t>
  </si>
  <si>
    <t>Braçol</t>
  </si>
  <si>
    <t>Deniz Şortu</t>
  </si>
  <si>
    <t>Duvar Kağıdı</t>
  </si>
  <si>
    <t>Eldiven</t>
  </si>
  <si>
    <t>Pijama Üst</t>
  </si>
  <si>
    <t>Ev Elbisesi</t>
  </si>
  <si>
    <t>Bebe Uyku Tulumu</t>
  </si>
  <si>
    <t>Bebe Örtü</t>
  </si>
  <si>
    <t>Fanila</t>
  </si>
  <si>
    <t>Plaj Elbisesi</t>
  </si>
  <si>
    <t>Fon Perde</t>
  </si>
  <si>
    <t>Bebe Puset Örtüsü</t>
  </si>
  <si>
    <t>Çocuk Boxer</t>
  </si>
  <si>
    <t>Hasır Çanta</t>
  </si>
  <si>
    <t>Panço</t>
  </si>
  <si>
    <t>İç Çamaşır Takımı</t>
  </si>
  <si>
    <t>Kapri Takım</t>
  </si>
  <si>
    <t>Bluz</t>
  </si>
  <si>
    <t>Ayaklı Tepsi</t>
  </si>
  <si>
    <t>Klozet Adaptörü</t>
  </si>
  <si>
    <t>Plaj Pantolonu</t>
  </si>
  <si>
    <t>Bebe Şapka</t>
  </si>
  <si>
    <t>Bebe Body</t>
  </si>
  <si>
    <t>Çocuk Çarşaf</t>
  </si>
  <si>
    <t>Çocuk Atlet</t>
  </si>
  <si>
    <t>Tayt</t>
  </si>
  <si>
    <t>Bebe Önlük</t>
  </si>
  <si>
    <t>Bebe Alt Açma Yedek</t>
  </si>
  <si>
    <t>Düzenleyici</t>
  </si>
  <si>
    <t>Çocuk Pijama Takımı</t>
  </si>
  <si>
    <t>Şort</t>
  </si>
  <si>
    <t>Spor Tshirt</t>
  </si>
  <si>
    <t>Bebe Tulum</t>
  </si>
  <si>
    <t>Stor Perde</t>
  </si>
  <si>
    <t>Tek Alt</t>
  </si>
  <si>
    <t>Külot</t>
  </si>
  <si>
    <t>Çocuk Eldiven</t>
  </si>
  <si>
    <t>Küpe</t>
  </si>
  <si>
    <t>Çocuk Panço</t>
  </si>
  <si>
    <t>Omuz Şalı</t>
  </si>
  <si>
    <t>Atlet</t>
  </si>
  <si>
    <t>Evcil Hayvan Yatağı</t>
  </si>
  <si>
    <t>Banyo Paspası Seti</t>
  </si>
  <si>
    <t>Banyo Paspası</t>
  </si>
  <si>
    <t>Post</t>
  </si>
  <si>
    <t>Peluş Halı</t>
  </si>
  <si>
    <t>Dokuma Kilim</t>
  </si>
  <si>
    <t>Bukle Kilim</t>
  </si>
  <si>
    <t>Dekoratif Jüt Kilim</t>
  </si>
  <si>
    <t>Dokuma Halı</t>
  </si>
  <si>
    <t>Dekoratif Halı</t>
  </si>
  <si>
    <t>Kapı Önü Paspası</t>
  </si>
  <si>
    <t>Makine Halısı</t>
  </si>
  <si>
    <t>Kilim</t>
  </si>
  <si>
    <t>Halı</t>
  </si>
  <si>
    <t>Mutfak Paspası</t>
  </si>
  <si>
    <t>Bebek Halısı</t>
  </si>
  <si>
    <t>Çocuk Halısı</t>
  </si>
  <si>
    <t>Dış Mekan Kilim</t>
  </si>
  <si>
    <t>Yatak Örtüsü Takımı</t>
  </si>
  <si>
    <t>Çok Amaçlı Örtü</t>
  </si>
  <si>
    <t>Bebe Yatak K. Koruma</t>
  </si>
  <si>
    <t>Pike Takımı</t>
  </si>
  <si>
    <t>Bebe Pike</t>
  </si>
  <si>
    <t>Çocuk Pike Takımı</t>
  </si>
  <si>
    <t>Pike Seti</t>
  </si>
  <si>
    <t>Çay Makinesi YP</t>
  </si>
  <si>
    <t>El Blen.Multi Set YP</t>
  </si>
  <si>
    <t>Sofra YP</t>
  </si>
  <si>
    <t>Stand Mikser YP</t>
  </si>
  <si>
    <t>Pişirme YP</t>
  </si>
  <si>
    <t>Türk Kahve M. YP</t>
  </si>
  <si>
    <t>El Mikseri YP</t>
  </si>
  <si>
    <t>Airfryer YP</t>
  </si>
  <si>
    <t>Filtre Kahve M.YP</t>
  </si>
  <si>
    <t>Waffle Makinesi YP</t>
  </si>
  <si>
    <t>Doğrayıcı YP</t>
  </si>
  <si>
    <t>Sürahi Blender YP</t>
  </si>
  <si>
    <t>Sarf YP</t>
  </si>
  <si>
    <t>Izgara ve Tost M. YP</t>
  </si>
  <si>
    <t>Kişisel Blender YP</t>
  </si>
  <si>
    <t>DM Doğrayıcılar</t>
  </si>
  <si>
    <t>LastNWeeks</t>
  </si>
  <si>
    <t>Cibinlik</t>
  </si>
  <si>
    <t>Nevr. ve Yastık Klf</t>
  </si>
  <si>
    <t>Dizüstü Tepsi</t>
  </si>
  <si>
    <t>Yağ-Sirke-Tuz-Bbr</t>
  </si>
  <si>
    <t>Kokteyl Peçetesi</t>
  </si>
  <si>
    <t>Tuzluk - Biberlik</t>
  </si>
  <si>
    <t>Katlı Servis</t>
  </si>
  <si>
    <t>Kahve Fincan Takımı</t>
  </si>
  <si>
    <t>Fincan</t>
  </si>
  <si>
    <t>Çay Bardağı</t>
  </si>
  <si>
    <t>Tuvalet Fırçalığı</t>
  </si>
  <si>
    <t>Magnet</t>
  </si>
  <si>
    <t>El Aynası</t>
  </si>
  <si>
    <t>Şemsiyelik</t>
  </si>
  <si>
    <t>Not Panosu</t>
  </si>
  <si>
    <t>Güneş Kremi</t>
  </si>
  <si>
    <t>WHT Oda Spreyi</t>
  </si>
  <si>
    <t>Dolap İçi Koku</t>
  </si>
  <si>
    <t>Askılı Koku</t>
  </si>
  <si>
    <t>Espresso Makinesi</t>
  </si>
  <si>
    <t>Saç Kurutma Makinesi</t>
  </si>
  <si>
    <t>Ütüleme Sistemleri</t>
  </si>
  <si>
    <t>Şarjlı Dikey Süpürge</t>
  </si>
  <si>
    <t>Kablolu Dikey Süpürg</t>
  </si>
  <si>
    <t>Kepçe</t>
  </si>
  <si>
    <t>El Rondosu</t>
  </si>
  <si>
    <t>Pipet</t>
  </si>
  <si>
    <t>Baharatlık</t>
  </si>
  <si>
    <t>Matara</t>
  </si>
  <si>
    <t>Bebe Bornoz</t>
  </si>
  <si>
    <t>Yatak Eteği</t>
  </si>
  <si>
    <t>Destekli Yastık</t>
  </si>
  <si>
    <t>Çocuk Yatak Örtü Tkm</t>
  </si>
  <si>
    <t>Bebe Yatak Koruma</t>
  </si>
  <si>
    <t>Sütyen</t>
  </si>
  <si>
    <t>Puset</t>
  </si>
  <si>
    <t>Bebe Pijama Takımı</t>
  </si>
  <si>
    <t>İçlik</t>
  </si>
  <si>
    <t>Kartela Kumaşı</t>
  </si>
  <si>
    <t>Çocuk Ev Ayakkabısı</t>
  </si>
  <si>
    <t>Çocuk Üst</t>
  </si>
  <si>
    <t>Klozet Seti</t>
  </si>
  <si>
    <t>DM Tencere</t>
  </si>
  <si>
    <t>DM Buharlı Ütü</t>
  </si>
  <si>
    <t>DM Buhar Kazanlı Ütü</t>
  </si>
  <si>
    <t>DM Torbasız Süpürge</t>
  </si>
  <si>
    <t>DM Şarjlı Dikey Süpü</t>
  </si>
  <si>
    <t>DM Tava</t>
  </si>
  <si>
    <t>DM Espresso Makinesi</t>
  </si>
  <si>
    <t>DM Tencere Seti</t>
  </si>
  <si>
    <t>DM Buharlı Düzleştir</t>
  </si>
  <si>
    <t>DM Filtre Kahve M.</t>
  </si>
  <si>
    <t>DM Bıçak</t>
  </si>
  <si>
    <t>DM Sahan</t>
  </si>
  <si>
    <t>DM Saklama Termosu</t>
  </si>
  <si>
    <t>DM Saklama Kabı</t>
  </si>
  <si>
    <t>DM Bıçak Seti</t>
  </si>
  <si>
    <t>DM Ekmek Kızartma M.</t>
  </si>
  <si>
    <t>DM Doğrayıcı</t>
  </si>
  <si>
    <t>DM Soyacak</t>
  </si>
  <si>
    <t>DM Bardak</t>
  </si>
  <si>
    <t>DM Tava Seti</t>
  </si>
  <si>
    <t>DMNarenciye Sıkacağı</t>
  </si>
  <si>
    <t>DM Stand Mikseri</t>
  </si>
  <si>
    <t>DM Izgara Ve Tost M.</t>
  </si>
  <si>
    <t>DM Sürahi Blender</t>
  </si>
  <si>
    <t>DM Değirmen</t>
  </si>
  <si>
    <t>DM Su Isıtıcı</t>
  </si>
  <si>
    <t>Saç Kurutma YP</t>
  </si>
  <si>
    <t>Şarjlı Süpürge YP.</t>
  </si>
  <si>
    <t>Elektrikli Süpürge Y</t>
  </si>
  <si>
    <t>SSH YP</t>
  </si>
  <si>
    <t>Su Isıtıcısı YP.</t>
  </si>
  <si>
    <t>Kozmetik YP</t>
  </si>
  <si>
    <t>Mutfak YP</t>
  </si>
  <si>
    <t>H_SalesChannel</t>
  </si>
  <si>
    <t>LW vs TW Change</t>
  </si>
  <si>
    <t>Achieved TY Sales Budget Unit</t>
  </si>
  <si>
    <t>Sofra İçecek Total</t>
  </si>
  <si>
    <t>Nevresim Total</t>
  </si>
  <si>
    <t>Sofra Sunum Total</t>
  </si>
  <si>
    <t>Aksesuar Total</t>
  </si>
  <si>
    <t>Pişirme Total</t>
  </si>
  <si>
    <t>Sofra Takımları Total</t>
  </si>
  <si>
    <t>Kozmetik Total</t>
  </si>
  <si>
    <t>Çarşaf Total</t>
  </si>
  <si>
    <t>KEA Total</t>
  </si>
  <si>
    <t>Mutfak Total</t>
  </si>
  <si>
    <t>Havlu Total</t>
  </si>
  <si>
    <t>Battaniye Total</t>
  </si>
  <si>
    <t>Yorgan Total</t>
  </si>
  <si>
    <t>Yastık Total</t>
  </si>
  <si>
    <t>Yatak Örtüsü Total</t>
  </si>
  <si>
    <t>Salon Total</t>
  </si>
  <si>
    <t>Banyo Total</t>
  </si>
  <si>
    <t>Dünya Markaları Total</t>
  </si>
  <si>
    <t>Halı - Kilim Total</t>
  </si>
  <si>
    <t>Pike Total</t>
  </si>
  <si>
    <t>KEA YP</t>
  </si>
  <si>
    <t>YEDEK PARÇA Total</t>
  </si>
  <si>
    <t>(Multiple Items)</t>
  </si>
  <si>
    <t>Achieved TY Sales Budget Value TRY</t>
  </si>
  <si>
    <t>Achieved TY Sales Budget Profit Value TRY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</si>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</sst>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"/>
    <numFmt numFmtId="167" formatCode="#,##0.0"/>
    <numFmt numFmtId="168" formatCode="0.0%;\-0.0%;0.0%"/>
    <numFmt numFmtId="169" formatCode="#,##0.0%;\-#,##0.0%;#,##0.0%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3" fontId="0" fillId="0" borderId="0" xfId="0" applyNumberFormat="1"/>
    <xf numFmtId="3" fontId="0" fillId="0" borderId="8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8" fontId="0" fillId="0" borderId="9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3" fillId="0" borderId="11" xfId="0" applyNumberFormat="1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8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Continuous"/>
    </xf>
    <xf numFmtId="0" fontId="0" fillId="3" borderId="3" xfId="0" applyFill="1" applyBorder="1" applyAlignment="1">
      <alignment horizontal="centerContinuous"/>
    </xf>
    <xf numFmtId="0" fontId="0" fillId="4" borderId="1" xfId="0" applyFill="1" applyBorder="1" applyAlignment="1">
      <alignment horizontal="centerContinuous"/>
    </xf>
    <xf numFmtId="0" fontId="0" fillId="4" borderId="3" xfId="0" applyFill="1" applyBorder="1" applyAlignment="1">
      <alignment horizontal="centerContinuous"/>
    </xf>
    <xf numFmtId="0" fontId="0" fillId="4" borderId="2" xfId="0" applyFill="1" applyBorder="1" applyAlignment="1">
      <alignment horizontal="centerContinuous"/>
    </xf>
    <xf numFmtId="164" fontId="0" fillId="0" borderId="0" xfId="0" applyNumberFormat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64" fontId="0" fillId="0" borderId="0" xfId="0" applyNumberFormat="1"/>
    <xf numFmtId="3" fontId="0" fillId="5" borderId="0" xfId="0" applyNumberFormat="1" applyFill="1"/>
    <xf numFmtId="166" fontId="0" fillId="0" borderId="0" xfId="0" applyNumberFormat="1"/>
    <xf numFmtId="4" fontId="0" fillId="0" borderId="0" xfId="0" applyNumberFormat="1"/>
    <xf numFmtId="168" fontId="0" fillId="0" borderId="0" xfId="0" applyNumberFormat="1"/>
    <xf numFmtId="0" fontId="4" fillId="0" borderId="0" xfId="0" applyFont="1"/>
    <xf numFmtId="9" fontId="4" fillId="0" borderId="0" xfId="0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164" fontId="4" fillId="7" borderId="13" xfId="0" applyNumberFormat="1" applyFont="1" applyFill="1" applyBorder="1" applyAlignment="1">
      <alignment horizontal="center" vertical="center" wrapText="1"/>
    </xf>
    <xf numFmtId="164" fontId="4" fillId="7" borderId="0" xfId="0" applyNumberFormat="1" applyFont="1" applyFill="1" applyAlignment="1">
      <alignment horizontal="center" vertical="center" wrapText="1"/>
    </xf>
    <xf numFmtId="164" fontId="6" fillId="7" borderId="0" xfId="0" applyNumberFormat="1" applyFont="1" applyFill="1" applyAlignment="1">
      <alignment horizontal="center" vertical="center" wrapText="1"/>
    </xf>
    <xf numFmtId="10" fontId="0" fillId="0" borderId="5" xfId="0" applyNumberFormat="1" applyBorder="1"/>
    <xf numFmtId="10" fontId="0" fillId="0" borderId="6" xfId="0" applyNumberFormat="1" applyBorder="1"/>
    <xf numFmtId="164" fontId="0" fillId="0" borderId="6" xfId="0" applyNumberFormat="1" applyBorder="1"/>
    <xf numFmtId="3" fontId="0" fillId="0" borderId="6" xfId="0" applyNumberFormat="1" applyBorder="1"/>
    <xf numFmtId="168" fontId="0" fillId="0" borderId="6" xfId="0" applyNumberFormat="1" applyBorder="1"/>
    <xf numFmtId="166" fontId="0" fillId="0" borderId="6" xfId="0" applyNumberFormat="1" applyBorder="1"/>
    <xf numFmtId="4" fontId="0" fillId="0" borderId="6" xfId="0" applyNumberFormat="1" applyBorder="1"/>
    <xf numFmtId="10" fontId="4" fillId="0" borderId="5" xfId="0" applyNumberFormat="1" applyFont="1" applyBorder="1"/>
    <xf numFmtId="4" fontId="0" fillId="0" borderId="7" xfId="0" applyNumberFormat="1" applyBorder="1"/>
    <xf numFmtId="165" fontId="0" fillId="0" borderId="0" xfId="2" applyNumberFormat="1" applyFont="1"/>
    <xf numFmtId="10" fontId="0" fillId="0" borderId="0" xfId="0" applyNumberFormat="1"/>
    <xf numFmtId="10" fontId="6" fillId="0" borderId="0" xfId="0" applyNumberFormat="1" applyFont="1"/>
    <xf numFmtId="9" fontId="0" fillId="0" borderId="0" xfId="2" applyFont="1"/>
    <xf numFmtId="10" fontId="0" fillId="0" borderId="8" xfId="0" applyNumberFormat="1" applyBorder="1"/>
    <xf numFmtId="4" fontId="0" fillId="0" borderId="9" xfId="0" applyNumberFormat="1" applyBorder="1"/>
    <xf numFmtId="0" fontId="0" fillId="0" borderId="10" xfId="0" applyBorder="1" applyAlignment="1">
      <alignment horizontal="center" vertical="center" wrapText="1"/>
    </xf>
    <xf numFmtId="10" fontId="0" fillId="0" borderId="1" xfId="0" applyNumberFormat="1" applyBorder="1"/>
    <xf numFmtId="10" fontId="0" fillId="0" borderId="2" xfId="0" applyNumberFormat="1" applyBorder="1"/>
    <xf numFmtId="164" fontId="0" fillId="0" borderId="2" xfId="0" applyNumberFormat="1" applyBorder="1"/>
    <xf numFmtId="3" fontId="0" fillId="0" borderId="2" xfId="0" applyNumberFormat="1" applyBorder="1"/>
    <xf numFmtId="168" fontId="0" fillId="0" borderId="2" xfId="0" applyNumberFormat="1" applyBorder="1"/>
    <xf numFmtId="166" fontId="0" fillId="0" borderId="2" xfId="0" applyNumberFormat="1" applyBorder="1"/>
    <xf numFmtId="4" fontId="0" fillId="0" borderId="2" xfId="0" applyNumberFormat="1" applyBorder="1"/>
    <xf numFmtId="4" fontId="0" fillId="0" borderId="3" xfId="0" applyNumberFormat="1" applyBorder="1"/>
    <xf numFmtId="0" fontId="6" fillId="0" borderId="0" xfId="0" applyFont="1"/>
    <xf numFmtId="0" fontId="0" fillId="0" borderId="1" xfId="0" applyBorder="1"/>
    <xf numFmtId="0" fontId="4" fillId="0" borderId="0" xfId="0" applyFont="1" applyAlignment="1">
      <alignment horizontal="centerContinuous"/>
    </xf>
    <xf numFmtId="164" fontId="0" fillId="0" borderId="5" xfId="0" applyNumberFormat="1" applyBorder="1"/>
    <xf numFmtId="3" fontId="0" fillId="0" borderId="7" xfId="0" applyNumberFormat="1" applyBorder="1"/>
    <xf numFmtId="43" fontId="0" fillId="0" borderId="0" xfId="1" applyFont="1"/>
    <xf numFmtId="164" fontId="0" fillId="0" borderId="8" xfId="0" applyNumberFormat="1" applyBorder="1"/>
    <xf numFmtId="3" fontId="0" fillId="0" borderId="9" xfId="0" applyNumberFormat="1" applyBorder="1"/>
    <xf numFmtId="164" fontId="0" fillId="8" borderId="8" xfId="0" applyNumberFormat="1" applyFill="1" applyBorder="1"/>
    <xf numFmtId="3" fontId="0" fillId="8" borderId="9" xfId="0" applyNumberFormat="1" applyFill="1" applyBorder="1"/>
    <xf numFmtId="164" fontId="0" fillId="9" borderId="8" xfId="0" applyNumberFormat="1" applyFill="1" applyBorder="1"/>
    <xf numFmtId="164" fontId="0" fillId="9" borderId="0" xfId="0" applyNumberFormat="1" applyFill="1"/>
    <xf numFmtId="3" fontId="0" fillId="9" borderId="0" xfId="0" applyNumberFormat="1" applyFill="1"/>
    <xf numFmtId="3" fontId="0" fillId="9" borderId="9" xfId="0" applyNumberFormat="1" applyFill="1" applyBorder="1"/>
    <xf numFmtId="164" fontId="0" fillId="0" borderId="1" xfId="0" applyNumberFormat="1" applyBorder="1"/>
    <xf numFmtId="3" fontId="0" fillId="0" borderId="3" xfId="0" applyNumberFormat="1" applyBorder="1"/>
    <xf numFmtId="0" fontId="0" fillId="0" borderId="0" xfId="0" pivotButton="1" applyAlignment="1">
      <alignment horizontal="center"/>
    </xf>
    <xf numFmtId="0" fontId="0" fillId="0" borderId="0" xfId="0" pivotButton="1"/>
    <xf numFmtId="0" fontId="0" fillId="0" borderId="0" xfId="0" pivotButton="1" applyAlignment="1">
      <alignment horizontal="center" vertical="center" wrapText="1"/>
    </xf>
    <xf numFmtId="0" fontId="0" fillId="0" borderId="5" xfId="0" pivotButton="1" applyBorder="1" applyAlignment="1">
      <alignment vertical="center" wrapText="1"/>
    </xf>
    <xf numFmtId="164" fontId="0" fillId="8" borderId="0" xfId="0" applyNumberFormat="1" applyFill="1"/>
    <xf numFmtId="3" fontId="0" fillId="8" borderId="0" xfId="0" applyNumberFormat="1" applyFill="1"/>
    <xf numFmtId="0" fontId="0" fillId="0" borderId="5" xfId="0" pivotButton="1" applyBorder="1" applyAlignment="1">
      <alignment horizontal="center" vertical="center" wrapText="1"/>
    </xf>
    <xf numFmtId="0" fontId="0" fillId="9" borderId="0" xfId="0" applyFill="1"/>
    <xf numFmtId="4" fontId="0" fillId="9" borderId="0" xfId="0" applyNumberFormat="1" applyFill="1"/>
    <xf numFmtId="166" fontId="0" fillId="9" borderId="0" xfId="0" applyNumberFormat="1" applyFill="1"/>
    <xf numFmtId="168" fontId="0" fillId="9" borderId="0" xfId="0" applyNumberFormat="1" applyFill="1"/>
    <xf numFmtId="169" fontId="0" fillId="0" borderId="0" xfId="0" applyNumberFormat="1"/>
    <xf numFmtId="169" fontId="0" fillId="9" borderId="0" xfId="0" applyNumberFormat="1" applyFill="1"/>
    <xf numFmtId="0" fontId="0" fillId="0" borderId="0" xfId="0" applyAlignment="1">
      <alignment horizontal="center" vertical="top" wrapText="1"/>
    </xf>
    <xf numFmtId="0" fontId="0" fillId="3" borderId="8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Normal" xfId="0" builtinId="0"/>
    <cellStyle name="Virgül" xfId="1" builtinId="3"/>
    <cellStyle name="Yüzde" xfId="2" builtinId="5"/>
  </cellStyles>
  <dxfs count="334">
    <dxf>
      <numFmt numFmtId="3" formatCode="#,##0"/>
    </dxf>
    <dxf>
      <numFmt numFmtId="14" formatCode="0.00%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font>
        <b/>
      </font>
    </dxf>
    <dxf>
      <border>
        <left style="thin">
          <color indexed="64"/>
        </lef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_-* #,##0_-;\-* #,##0_-;_-* &quot;-&quot;??_-;_-@_-"/>
    </dxf>
    <dxf>
      <alignment horizontal="center" vertical="center" wrapText="1"/>
    </dxf>
    <dxf>
      <alignment wrapText="1"/>
    </dxf>
    <dxf>
      <alignment vertical="center"/>
    </dxf>
    <dxf>
      <alignment horizontal="center"/>
    </dxf>
    <dxf>
      <alignment wrapText="1"/>
    </dxf>
    <dxf>
      <alignment horizontal="center"/>
    </dxf>
    <dxf>
      <alignment vertic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font>
        <b/>
      </font>
    </dxf>
    <dxf>
      <numFmt numFmtId="14" formatCode="0.00%"/>
    </dxf>
    <dxf>
      <numFmt numFmtId="14" formatCode="0.00%"/>
    </dxf>
    <dxf>
      <numFmt numFmtId="14" formatCode="0.00%"/>
    </dxf>
    <dxf>
      <font>
        <b/>
      </font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fill>
        <patternFill patternType="solid">
          <bgColor theme="0" tint="-0.14999847407452621"/>
        </patternFill>
      </fill>
    </dxf>
    <dxf>
      <numFmt numFmtId="164" formatCode="_-* #,##0_-;\-* #,##0_-;_-* &quot;-&quot;??_-;_-@_-"/>
    </dxf>
    <dxf>
      <alignment wrapText="1"/>
    </dxf>
    <dxf>
      <alignment vertic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 vertical="center" wrapText="1"/>
    </dxf>
    <dxf>
      <numFmt numFmtId="164" formatCode="_-* #,##0_-;\-* #,##0_-;_-* &quot;-&quot;??_-;_-@_-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79998168889431442"/>
        </patternFill>
      </fill>
    </dxf>
    <dxf>
      <numFmt numFmtId="3" formatCode="#,##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border>
        <left style="thin">
          <color indexed="64"/>
        </lef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numFmt numFmtId="164" formatCode="_-* #,##0_-;\-* #,##0_-;_-* &quot;-&quot;??_-;_-@_-"/>
    </dxf>
    <dxf>
      <alignment horizontal="center" vertical="center" wrapText="1"/>
    </dxf>
    <dxf>
      <alignment wrapText="1"/>
    </dxf>
    <dxf>
      <alignment vertical="center"/>
    </dxf>
    <dxf>
      <alignment horizontal="center"/>
    </dxf>
    <dxf>
      <alignment wrapText="1"/>
    </dxf>
    <dxf>
      <alignment horizontal="center"/>
    </dxf>
    <dxf>
      <alignment vertic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fill>
        <patternFill patternType="solid">
          <bgColor theme="0" tint="-0.14999847407452621"/>
        </patternFill>
      </fill>
    </dxf>
    <dxf>
      <alignment wrapText="1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4" formatCode="_-* #,##0_-;\-* #,##0_-;_-* &quot;-&quot;??_-;_-@_-"/>
    </dxf>
    <dxf>
      <numFmt numFmtId="2" formatCode="0.00"/>
    </dxf>
    <dxf>
      <alignment horizontal="center" vertical="center"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vertical="center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vertical="center"/>
    </dxf>
    <dxf>
      <alignment wrapText="1"/>
    </dxf>
    <dxf>
      <alignment wrapText="1"/>
    </dxf>
    <dxf>
      <alignment horizontal="center"/>
    </dxf>
    <dxf>
      <alignment vertic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horizontal="center"/>
    </dxf>
    <dxf>
      <alignment vertical="center"/>
    </dxf>
    <dxf>
      <border>
        <right style="thin">
          <color indexed="64"/>
        </right>
      </border>
    </dxf>
    <dxf>
      <border>
        <left/>
        <right/>
        <top/>
        <bottom/>
        <horizontal/>
      </border>
    </dxf>
    <dxf>
      <alignment wrapText="1"/>
    </dxf>
    <dxf>
      <alignment horizontal="center"/>
    </dxf>
    <dxf>
      <alignment vertic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vertical="center"/>
    </dxf>
    <dxf>
      <alignment wrapText="1"/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%"/>
    </dxf>
    <dxf>
      <alignment wrapText="1"/>
    </dxf>
    <dxf>
      <alignment vertical="center"/>
    </dxf>
    <dxf>
      <alignment horizontal="center"/>
    </dxf>
    <dxf>
      <border>
        <left/>
        <right/>
        <top/>
        <bottom/>
        <horizontal/>
      </border>
    </dxf>
    <dxf>
      <numFmt numFmtId="165" formatCode="0.0%"/>
    </dxf>
    <dxf>
      <alignment horizontal="center"/>
    </dxf>
    <dxf>
      <alignment vertical="center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horizontal/>
      </border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vertical="center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vertical="center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5" formatCode="0.0%"/>
    </dxf>
    <dxf>
      <alignment horizontal="center"/>
    </dxf>
    <dxf>
      <alignment vertical="center"/>
    </dxf>
    <dxf>
      <border>
        <left/>
        <right/>
        <top/>
        <bottom/>
        <horizontal/>
      </border>
    </dxf>
    <dxf>
      <numFmt numFmtId="167" formatCode="#,##0.0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4" formatCode="#,##0.00"/>
    </dxf>
    <dxf>
      <numFmt numFmtId="165" formatCode="0.0%"/>
    </dxf>
    <dxf>
      <alignment horizontal="center"/>
    </dxf>
    <dxf>
      <alignment vertical="center"/>
    </dxf>
    <dxf>
      <numFmt numFmtId="165" formatCode="0.0%"/>
    </dxf>
    <dxf>
      <alignment horizontal="center"/>
    </dxf>
    <dxf>
      <alignment vertical="center"/>
    </dxf>
    <dxf>
      <numFmt numFmtId="3" formatCode="#,##0"/>
    </dxf>
    <dxf>
      <alignment horizontal="center"/>
    </dxf>
    <dxf>
      <alignment vertical="center"/>
    </dxf>
    <dxf>
      <numFmt numFmtId="3" formatCode="#,##0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numFmt numFmtId="3" formatCode="#,##0"/>
    </dxf>
    <dxf>
      <numFmt numFmtId="164" formatCode="_-* #,##0_-;\-* #,##0_-;_-* &quot;-&quot;??_-;_-@_-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vertical="top"/>
    </dxf>
    <dxf>
      <alignment horizontal="center" vertical="center" wrapText="1"/>
    </dxf>
    <dxf>
      <numFmt numFmtId="164" formatCode="_-* #,##0_-;\-* #,##0_-;_-* &quot;-&quot;??_-;_-@_-"/>
    </dxf>
    <dxf>
      <alignment horizontal="center" vertical="center" wrapText="1"/>
    </dxf>
    <dxf>
      <alignment horizontal="center" vertical="center" wrapText="1"/>
    </dxf>
    <dxf>
      <fill>
        <patternFill>
          <bgColor theme="6" tint="0.59999389629810485"/>
        </patternFill>
      </fill>
    </dxf>
    <dxf>
      <fill>
        <patternFill>
          <bgColor theme="3" tint="0.79998168889431442"/>
        </patternFill>
      </fill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numFmt numFmtId="3" formatCode="#,##0"/>
    </dxf>
    <dxf>
      <numFmt numFmtId="3" formatCode="#,##0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fill>
        <patternFill patternType="solid">
          <bgColor theme="0" tint="-0.14999847407452621"/>
        </patternFill>
      </fill>
    </dxf>
    <dxf>
      <numFmt numFmtId="164" formatCode="_-* #,##0_-;\-* #,##0_-;_-* &quot;-&quot;??_-;_-@_-"/>
    </dxf>
    <dxf>
      <alignment wrapText="1"/>
    </dxf>
    <dxf>
      <alignment vertic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2" defaultTableStyle="TableStyleMedium2" defaultPivotStyle="PivotStyleLight16">
    <tableStyle name="EHM Dilimleyici Taslak" pivot="0" table="0" count="4" xr9:uid="{F04E949F-DF17-4ADD-9FE4-67B77E3CDB27}">
      <tableStyleElement type="wholeTable" dxfId="333"/>
      <tableStyleElement type="headerRow" dxfId="332"/>
    </tableStyle>
    <tableStyle name="EHM Taslak" table="0" count="8" xr9:uid="{D0CCD6C5-E124-49C3-A7C7-D33FB2988CF0}">
      <tableStyleElement type="headerRow" dxfId="331"/>
      <tableStyleElement type="totalRow" dxfId="330"/>
      <tableStyleElement type="firstColumn" dxfId="329"/>
      <tableStyleElement type="firstSubtotalRow" dxfId="328"/>
      <tableStyleElement type="secondSubtotalRow" dxfId="327"/>
      <tableStyleElement type="thirdSubtotalRow" dxfId="326"/>
      <tableStyleElement type="pageFieldLabels" dxfId="325"/>
      <tableStyleElement type="pageFieldValues" dxfId="324"/>
    </tableStyle>
  </tableStyles>
  <extLst>
    <ext xmlns:x14="http://schemas.microsoft.com/office/spreadsheetml/2009/9/main" uri="{46F421CA-312F-682f-3DD2-61675219B42D}">
      <x14:dxfs count="2">
        <dxf>
          <font>
            <color theme="0"/>
          </font>
          <fill>
            <patternFill>
              <bgColor theme="5"/>
            </patternFill>
          </fill>
        </dxf>
        <dxf>
          <font>
            <b/>
            <i val="0"/>
            <color theme="1"/>
          </font>
          <fill>
            <patternFill>
              <bgColor theme="3" tint="0.3999450666829432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HM Dilimleyici Taslak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microsoft.com/office/2007/relationships/slicerCache" Target="slicerCaches/slicerCache3.xml"/><Relationship Id="rId18" Type="http://schemas.microsoft.com/office/2007/relationships/slicerCache" Target="slicerCaches/slicerCache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pivotCacheDefinition" Target="pivotCache/pivotCacheDefinition4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microsoft.com/office/2007/relationships/slicerCache" Target="slicerCaches/slicerCache1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1.xml"/><Relationship Id="rId24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5" Type="http://schemas.microsoft.com/office/2007/relationships/slicerCache" Target="slicerCaches/slicerCache5.xml"/><Relationship Id="rId23" Type="http://schemas.openxmlformats.org/officeDocument/2006/relationships/styles" Target="styles.xml"/><Relationship Id="rId10" Type="http://schemas.openxmlformats.org/officeDocument/2006/relationships/pivotCacheDefinition" Target="pivotCache/pivotCacheDefinition7.xml"/><Relationship Id="rId19" Type="http://schemas.microsoft.com/office/2007/relationships/slicerCache" Target="slicerCaches/slicerCache9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microsoft.com/office/2007/relationships/slicerCache" Target="slicerCaches/slicerCache4.xml"/><Relationship Id="rId22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582723</xdr:colOff>
      <xdr:row>7</xdr:row>
      <xdr:rowOff>31463</xdr:rowOff>
    </xdr:from>
    <xdr:to>
      <xdr:col>8</xdr:col>
      <xdr:colOff>501725</xdr:colOff>
      <xdr:row>12</xdr:row>
      <xdr:rowOff>111578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untryName 4">
              <a:extLst>
                <a:ext uri="{FF2B5EF4-FFF2-40B4-BE49-F238E27FC236}">
                  <a16:creationId xmlns:a16="http://schemas.microsoft.com/office/drawing/2014/main" id="{6FD82D16-FB02-4EEB-B771-B218E317DFFA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Name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5834" y="28288"/>
              <a:ext cx="3966673" cy="11582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45238</xdr:colOff>
      <xdr:row>7</xdr:row>
      <xdr:rowOff>31462</xdr:rowOff>
    </xdr:from>
    <xdr:to>
      <xdr:col>1</xdr:col>
      <xdr:colOff>551801</xdr:colOff>
      <xdr:row>12</xdr:row>
      <xdr:rowOff>111578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strubitionChannelDesc 3">
              <a:extLst>
                <a:ext uri="{FF2B5EF4-FFF2-40B4-BE49-F238E27FC236}">
                  <a16:creationId xmlns:a16="http://schemas.microsoft.com/office/drawing/2014/main" id="{653C0F52-BBCB-4451-8B1E-3FE98583820B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trubitionChannelDesc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413" y="28287"/>
              <a:ext cx="1809674" cy="11582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838559</xdr:colOff>
      <xdr:row>7</xdr:row>
      <xdr:rowOff>45547</xdr:rowOff>
    </xdr:from>
    <xdr:to>
      <xdr:col>17</xdr:col>
      <xdr:colOff>769248</xdr:colOff>
      <xdr:row>12</xdr:row>
      <xdr:rowOff>107345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erchMonth 4">
              <a:extLst>
                <a:ext uri="{FF2B5EF4-FFF2-40B4-BE49-F238E27FC236}">
                  <a16:creationId xmlns:a16="http://schemas.microsoft.com/office/drawing/2014/main" id="{19B1F2F2-CF74-4A74-A4E2-C3F80EE3F2B7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rchMonth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27880" y="48722"/>
              <a:ext cx="2546436" cy="1130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absolute">
    <xdr:from>
      <xdr:col>17</xdr:col>
      <xdr:colOff>806770</xdr:colOff>
      <xdr:row>7</xdr:row>
      <xdr:rowOff>45547</xdr:rowOff>
    </xdr:from>
    <xdr:to>
      <xdr:col>23</xdr:col>
      <xdr:colOff>0</xdr:colOff>
      <xdr:row>12</xdr:row>
      <xdr:rowOff>107345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rchWeek 4">
              <a:extLst>
                <a:ext uri="{FF2B5EF4-FFF2-40B4-BE49-F238E27FC236}">
                  <a16:creationId xmlns:a16="http://schemas.microsoft.com/office/drawing/2014/main" id="{7FDD9D0E-6064-4E08-A61E-08F6D9238666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rchWeek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11838" y="48722"/>
              <a:ext cx="2687091" cy="1130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543166</xdr:colOff>
      <xdr:row>7</xdr:row>
      <xdr:rowOff>45548</xdr:rowOff>
    </xdr:from>
    <xdr:to>
      <xdr:col>12</xdr:col>
      <xdr:colOff>761882</xdr:colOff>
      <xdr:row>12</xdr:row>
      <xdr:rowOff>107345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erchYear 3">
              <a:extLst>
                <a:ext uri="{FF2B5EF4-FFF2-40B4-BE49-F238E27FC236}">
                  <a16:creationId xmlns:a16="http://schemas.microsoft.com/office/drawing/2014/main" id="{1D83F17D-8115-498F-8D9A-2C4F9823E0AF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rchYear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7598" y="48723"/>
              <a:ext cx="1963605" cy="11304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absolute">
    <xdr:from>
      <xdr:col>30</xdr:col>
      <xdr:colOff>28098</xdr:colOff>
      <xdr:row>7</xdr:row>
      <xdr:rowOff>31462</xdr:rowOff>
    </xdr:from>
    <xdr:to>
      <xdr:col>38</xdr:col>
      <xdr:colOff>713422</xdr:colOff>
      <xdr:row>12</xdr:row>
      <xdr:rowOff>111578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ainGroupDesc 5">
              <a:extLst>
                <a:ext uri="{FF2B5EF4-FFF2-40B4-BE49-F238E27FC236}">
                  <a16:creationId xmlns:a16="http://schemas.microsoft.com/office/drawing/2014/main" id="{B3F01700-F2D4-45CF-BC7B-E37CFEA9C1B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inGroupDesc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30202" y="28287"/>
              <a:ext cx="7842681" cy="11582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415636</xdr:colOff>
      <xdr:row>0</xdr:row>
      <xdr:rowOff>86015</xdr:rowOff>
    </xdr:from>
    <xdr:to>
      <xdr:col>10</xdr:col>
      <xdr:colOff>516659</xdr:colOff>
      <xdr:row>9</xdr:row>
      <xdr:rowOff>87168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ate 1">
              <a:extLst>
                <a:ext uri="{FF2B5EF4-FFF2-40B4-BE49-F238E27FC236}">
                  <a16:creationId xmlns:a16="http://schemas.microsoft.com/office/drawing/2014/main" id="{B4B93C85-3F29-45D3-BF0C-610AA6DAE4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25779" y="82840"/>
              <a:ext cx="2442153" cy="18715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571497</xdr:colOff>
      <xdr:row>0</xdr:row>
      <xdr:rowOff>111990</xdr:rowOff>
    </xdr:from>
    <xdr:to>
      <xdr:col>15</xdr:col>
      <xdr:colOff>189777</xdr:colOff>
      <xdr:row>9</xdr:row>
      <xdr:rowOff>92362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ainGroupDesc 3">
              <a:extLst>
                <a:ext uri="{FF2B5EF4-FFF2-40B4-BE49-F238E27FC236}">
                  <a16:creationId xmlns:a16="http://schemas.microsoft.com/office/drawing/2014/main" id="{E51F32D9-3991-4FAC-BCE0-90D1F365B9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inGroupDesc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22770" y="111990"/>
              <a:ext cx="3047280" cy="18507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135657</xdr:colOff>
      <xdr:row>0</xdr:row>
      <xdr:rowOff>91787</xdr:rowOff>
    </xdr:from>
    <xdr:to>
      <xdr:col>20</xdr:col>
      <xdr:colOff>123391</xdr:colOff>
      <xdr:row>9</xdr:row>
      <xdr:rowOff>120650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GroupDesc 3">
              <a:extLst>
                <a:ext uri="{FF2B5EF4-FFF2-40B4-BE49-F238E27FC236}">
                  <a16:creationId xmlns:a16="http://schemas.microsoft.com/office/drawing/2014/main" id="{DF32D370-EEE4-492F-BF27-0881B2877C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GroupDesc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15930" y="88612"/>
              <a:ext cx="3731636" cy="19055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71005</xdr:colOff>
      <xdr:row>0</xdr:row>
      <xdr:rowOff>27132</xdr:rowOff>
    </xdr:from>
    <xdr:to>
      <xdr:col>4</xdr:col>
      <xdr:colOff>644956</xdr:colOff>
      <xdr:row>9</xdr:row>
      <xdr:rowOff>150090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rchMonth 2">
              <a:extLst>
                <a:ext uri="{FF2B5EF4-FFF2-40B4-BE49-F238E27FC236}">
                  <a16:creationId xmlns:a16="http://schemas.microsoft.com/office/drawing/2014/main" id="{12EC86EB-E9E7-46EC-A2D4-AEEB4FB0FB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rchMonth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82875" y="30307"/>
              <a:ext cx="1841354" cy="19901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547254</xdr:colOff>
      <xdr:row>0</xdr:row>
      <xdr:rowOff>87745</xdr:rowOff>
    </xdr:from>
    <xdr:to>
      <xdr:col>7</xdr:col>
      <xdr:colOff>545525</xdr:colOff>
      <xdr:row>9</xdr:row>
      <xdr:rowOff>92363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erchWeek 2">
              <a:extLst>
                <a:ext uri="{FF2B5EF4-FFF2-40B4-BE49-F238E27FC236}">
                  <a16:creationId xmlns:a16="http://schemas.microsoft.com/office/drawing/2014/main" id="{30324818-2B3C-4F57-A78A-B8AA4FB5C8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rchWeek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23352" y="84570"/>
              <a:ext cx="2232316" cy="18781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hmet Fatih Başol" refreshedDate="45761.521551736114" backgroundQuery="1" createdVersion="8" refreshedVersion="8" minRefreshableVersion="3" recordCount="0" supportSubquery="1" supportAdvancedDrill="1" xr:uid="{08638922-5E7E-4F59-B023-9EF3577C1E77}">
  <cacheSource type="external" connectionId="3"/>
  <cacheFields count="58">
    <cacheField name="[SalesChannel].[DistrubitionChannelDesc].[DistrubitionChannelDesc]" caption="DistrubitionChannelDesc" numFmtId="0" hierarchy="146" level="1">
      <sharedItems count="1">
        <s v="[SalesChannel].[DistrubitionChannelDesc].&amp;[E - Ticaret]" c="E - Ticaret"/>
      </sharedItems>
    </cacheField>
    <cacheField name="[Measures].[TY Sales Unit]" caption="TY Sales Unit" numFmtId="0" hierarchy="792" level="32767"/>
    <cacheField name="[Measures].[TY Avg Store Stock Unit]" caption="TY Avg Store Stock Unit" numFmtId="0" hierarchy="703" level="32767"/>
    <cacheField name="[Calendar].[H_Merch].[MerchYear]" caption="MerchYear" numFmtId="0" hierarchy="6" level="1">
      <sharedItems containsSemiMixedTypes="0" containsString="0"/>
    </cacheField>
    <cacheField name="[Calendar].[H_Merch].[MerchYearMonthName]" caption="MerchYearMonthName" numFmtId="0" hierarchy="6" level="2">
      <sharedItems containsSemiMixedTypes="0" containsString="0"/>
    </cacheField>
    <cacheField name="[Calendar].[H_Merch].[MerchYearWeek]" caption="MerchYearWeek" numFmtId="0" hierarchy="6" level="3">
      <sharedItems containsSemiMixedTypes="0" containsString="0"/>
    </cacheField>
    <cacheField name="[Calendar].[H_Merch].[Date]" caption="Date" numFmtId="0" hierarchy="6" level="4">
      <sharedItems containsSemiMixedTypes="0" containsString="0"/>
    </cacheField>
    <cacheField name="[Material].[H_MainGroup].[MainGroupDesc]" caption="MainGroupDesc" numFmtId="0" hierarchy="65" level="1">
      <sharedItems containsSemiMixedTypes="0" containsString="0"/>
    </cacheField>
    <cacheField name="[Material].[H_MainGroup].[SubGroupDesc]" caption="SubGroupDesc" numFmtId="0" hierarchy="65" level="2">
      <sharedItems containsSemiMixedTypes="0" containsString="0"/>
    </cacheField>
    <cacheField name="[Measures].[LY LFL Sales Unit]" caption="LY LFL Sales Unit" numFmtId="0" hierarchy="877" level="32767"/>
    <cacheField name="[Measures].[LY LFL Avg Store Stock Unit]" caption="LY LFL Avg Store Stock Unit" numFmtId="0" hierarchy="728" level="32767"/>
    <cacheField name="[Material].[MainGroupDesc].[MainGroupDesc]" caption="MainGroupDesc" numFmtId="0" hierarchy="71" level="1">
      <sharedItems count="22">
        <s v="[Material].[MainGroupDesc].&amp;[KEA]" c="KEA"/>
        <s v="[Material].[MainGroupDesc].&amp;[YEDEK PARÇA]" c="YEDEK PARÇA"/>
        <s v="[Material].[MainGroupDesc].&amp;[Sofra]" c="Sofra"/>
        <s v="[Material].[MainGroupDesc].&amp;[Sofra Takımları]" c="Sofra Takımları"/>
        <s v="[Material].[MainGroupDesc].&amp;[Mutfak]" c="Mutfak"/>
        <s v="[Material].[MainGroupDesc].&amp;[Pişirme]" c="Pişirme"/>
        <s v="[Material].[MainGroupDesc].&amp;[Aksesuar]" c="Aksesuar"/>
        <s v="[Material].[MainGroupDesc].&amp;[Ev Giysisi]" c="Ev Giysisi"/>
        <s v="[Material].[MainGroupDesc].&amp;[Halı - Kilim]" c="Halı - Kilim"/>
        <s v="[Material].[MainGroupDesc].&amp;[Kozmetik]" c="Kozmetik"/>
        <s v="[Material].[MainGroupDesc].&amp;[Salon]" c="Salon"/>
        <s v="[Material].[MainGroupDesc].&amp;[Çarşaf]" c="Çarşaf"/>
        <s v="[Material].[MainGroupDesc].&amp;[Nevresim]" c="Nevresim"/>
        <s v="[Material].[MainGroupDesc].&amp;[Yastık]" c="Yastık"/>
        <s v="[Material].[MainGroupDesc].&amp;[Yorgan]" c="Yorgan"/>
        <s v="[Material].[MainGroupDesc].&amp;[Banyo]" c="Banyo"/>
        <s v="[Material].[MainGroupDesc].&amp;[Bornoz]" c="Bornoz"/>
        <s v="[Material].[MainGroupDesc].&amp;[Havlu]" c="Havlu"/>
        <s v="[Material].[MainGroupDesc].&amp;[White Collection]" c="White Collection"/>
        <s v="[Material].[MainGroupDesc].&amp;[Battaniye]" c="Battaniye"/>
        <s v="[Material].[MainGroupDesc].&amp;[Pike]" c="Pike"/>
        <s v="[Material].[MainGroupDesc].&amp;[Yatak Örtüsü]" c="Yatak Örtüsü"/>
      </sharedItems>
    </cacheField>
    <cacheField name="[Material].[SubGroupDesc].[SubGroupDesc]" caption="SubGroupDesc" numFmtId="0" hierarchy="106" level="1">
      <sharedItems count="168">
        <s v="[Material].[SubGroupDesc].&amp;[Açacak]" c="Açacak"/>
        <s v="[Material].[SubGroupDesc].&amp;[Baharatlık]" c="Baharatlık"/>
        <s v="[Material].[SubGroupDesc].&amp;[Bakliyat Torbası]" c="Bakliyat Torbası"/>
        <s v="[Material].[SubGroupDesc].&amp;[Bakraç]" c="Bakraç"/>
        <s v="[Material].[SubGroupDesc].&amp;[Bal Kavanozu]" c="Bal Kavanozu"/>
        <s v="[Material].[SubGroupDesc].&amp;[Barbekü]" c="Barbekü"/>
        <s v="[Material].[SubGroupDesc].&amp;[Barbekü Izgarası]" c="Barbekü Izgarası"/>
        <s v="[Material].[SubGroupDesc].&amp;[Bardak Altı]" c="Bardak Altı"/>
        <s v="[Material].[SubGroupDesc].&amp;[Bardak Kapağı]" c="Bardak Kapağı"/>
        <s v="[Material].[SubGroupDesc].&amp;[Bıçak]" c="Bıçak"/>
        <s v="[Material].[SubGroupDesc].&amp;[Bisküvi Kutusu]" c="Bisküvi Kutusu"/>
        <s v="[Material].[SubGroupDesc].&amp;[Bulaşık Seti]" c="Bulaşık Seti"/>
        <s v="[Material].[SubGroupDesc].&amp;[Bulaşıklık]" c="Bulaşıklık"/>
        <s v="[Material].[SubGroupDesc].&amp;[Buz Kalıbı]" c="Buz Kalıbı"/>
        <s v="[Material].[SubGroupDesc].&amp;[Çatal Bıçaklık]" c="Çatal Bıçaklık"/>
        <s v="[Material].[SubGroupDesc].&amp;[Çay Kutusu]" c="Çay Kutusu"/>
        <s v="[Material].[SubGroupDesc].&amp;[Çay Saklama Kabı]" c="Çay Saklama Kabı"/>
        <s v="[Material].[SubGroupDesc].&amp;[Çaydanlık]" c="Çaydanlık"/>
        <s v="[Material].[SubGroupDesc].&amp;[Çaydanlık Sck Tutma]" c="Çaydanlık Sck Tutma"/>
        <s v="[Material].[SubGroupDesc].&amp;[Çekmece Düzenleyici]" c="Çekmece Düzenleyici"/>
        <s v="[Material].[SubGroupDesc].&amp;[Çeyiz Seti]" c="Çeyiz Seti"/>
        <s v="[Material].[SubGroupDesc].&amp;[Cezve]" c="Cezve"/>
        <s v="[Material].[SubGroupDesc].&amp;[Çikolata Kalıbı]" c="Çikolata Kalıbı"/>
        <s v="[Material].[SubGroupDesc].&amp;[Çırpıcı]" c="Çırpıcı"/>
        <s v="[Material].[SubGroupDesc].&amp;[Çocuk Suluk]" c="Çocuk Suluk"/>
        <s v="[Material].[SubGroupDesc].&amp;[Coffee Maker]" c="Coffee Maker"/>
        <s v="[Material].[SubGroupDesc].&amp;[Cupcake Kağıdı]" c="Cupcake Kağıdı"/>
        <s v="[Material].[SubGroupDesc].&amp;[Cupcake Set]" c="Cupcake Set"/>
        <s v="[Material].[SubGroupDesc].&amp;[Değirmen]" c="Değirmen"/>
        <s v="[Material].[SubGroupDesc].&amp;[Demlik]" c="Demlik"/>
        <s v="[Material].[SubGroupDesc].&amp;[Demlik Seti]" c="Demlik Seti"/>
        <s v="[Material].[SubGroupDesc].&amp;[Dondurma Kaşığı]" c="Dondurma Kaşığı"/>
        <s v="[Material].[SubGroupDesc].&amp;[Düdüklü Tencere]" c="Düdüklü Tencere"/>
        <s v="[Material].[SubGroupDesc].&amp;[Düzenleyici Set]" c="Düzenleyici Set"/>
        <s v="[Material].[SubGroupDesc].&amp;[Ekmek Kutusu]" c="Ekmek Kutusu"/>
        <s v="[Material].[SubGroupDesc].&amp;[Ekmek Torbası]" c="Ekmek Torbası"/>
        <s v="[Material].[SubGroupDesc].&amp;[El Rondosu]" c="El Rondosu"/>
        <s v="[Material].[SubGroupDesc].&amp;[Erzak Kabı]" c="Erzak Kabı"/>
        <s v="[Material].[SubGroupDesc].&amp;[Fındık Ceviz Kırcağı]" c="Fındık Ceviz Kırcağı"/>
        <s v="[Material].[SubGroupDesc].&amp;[Fırın Kabı]" c="Fırın Kabı"/>
        <s v="[Material].[SubGroupDesc].&amp;[Fırın Tencere]" c="Fırın Tencere"/>
        <s v="[Material].[SubGroupDesc].&amp;[Fondü Seti]" c="Fondü Seti"/>
        <s v="[Material].[SubGroupDesc].&amp;[French Press]" c="French Press"/>
        <s v="[Material].[SubGroupDesc].&amp;[Grıll Tava]" c="Grıll Tava"/>
        <s v="[Material].[SubGroupDesc].&amp;[Hamur ruleti]" c="Hamur ruleti"/>
        <s v="[Material].[SubGroupDesc].&amp;[Havan]" c="Havan"/>
        <s v="[Material].[SubGroupDesc].&amp;[Hazırlık Seti]" c="Hazırlık Seti"/>
        <s v="[Material].[SubGroupDesc].&amp;[Huni]" c="Huni"/>
        <s v="[Material].[SubGroupDesc].&amp;[İbrik]" c="İbrik"/>
        <s v="[Material].[SubGroupDesc].&amp;[Isıtıcı]" c="Isıtıcı"/>
        <s v="[Material].[SubGroupDesc].&amp;[Izgara Set]" c="Izgara Set"/>
        <s v="[Material].[SubGroupDesc].&amp;[Kağıt Havluluk]" c="Kağıt Havluluk"/>
        <s v="[Material].[SubGroupDesc].&amp;[Kahve Ölçü Kaşığı]" c="Kahve Ölçü Kaşığı"/>
        <s v="[Material].[SubGroupDesc].&amp;[Karıştırma Kabı]" c="Karıştırma Kabı"/>
        <s v="[Material].[SubGroupDesc].&amp;[Karıştır-Sakla Set]" c="Karıştır-Sakla Set"/>
        <s v="[Material].[SubGroupDesc].&amp;[Kaşıklık]" c="Kaşıklık"/>
        <s v="[Material].[SubGroupDesc].&amp;[Kavanoz]" c="Kavanoz"/>
        <s v="[Material].[SubGroupDesc].&amp;[Kavanoz Kapağı]" c="Kavanoz Kapağı"/>
        <s v="[Material].[SubGroupDesc].&amp;[Kavanoz Örtüsü]" c="Kavanoz Örtüsü"/>
        <s v="[Material].[SubGroupDesc].&amp;[Kavanoz Seti]" c="Kavanoz Seti"/>
        <s v="[Material].[SubGroupDesc].&amp;[Kavun Oyucu]" c="Kavun Oyucu"/>
        <s v="[Material].[SubGroupDesc].&amp;[Kek Kalıbı]" c="Kek Kalıbı"/>
        <s v="[Material].[SubGroupDesc].&amp;[Kek Kalıp Set]" c="Kek Kalıp Set"/>
        <s v="[Material].[SubGroupDesc].&amp;[Kek Spatula Seti]" c="Kek Spatula Seti"/>
        <s v="[Material].[SubGroupDesc].&amp;[Kek Spatulası]" c="Kek Spatulası"/>
        <s v="[Material].[SubGroupDesc].&amp;[Kepçe]" c="Kepçe"/>
        <s v="[Material].[SubGroupDesc].&amp;[Kesme Tahtası]" c="Kesme Tahtası"/>
        <s v="[Material].[SubGroupDesc].&amp;[Kestane Çizici]" c="Kestane Çizici"/>
        <s v="[Material].[SubGroupDesc].&amp;[Kettle]" c="Kettle"/>
        <s v="[Material].[SubGroupDesc].&amp;[Kevgir]" c="Kevgir"/>
        <s v="[Material].[SubGroupDesc].&amp;[Kızartma Tenceresi]" c="Kızartma Tenceresi"/>
        <s v="[Material].[SubGroupDesc].&amp;[Kova]" c="Kova"/>
        <s v="[Material].[SubGroupDesc].&amp;[Krema Pompası]" c="Krema Pompası"/>
        <s v="[Material].[SubGroupDesc].&amp;[Krep Tava]" c="Krep Tava"/>
        <s v="[Material].[SubGroupDesc].&amp;[Kupalık]" c="Kupalık"/>
        <s v="[Material].[SubGroupDesc].&amp;[Kurabiye Kalıbı]" c="Kurabiye Kalıbı"/>
        <s v="[Material].[SubGroupDesc].&amp;[Kurabiye Kutusu]" c="Kurabiye Kutusu"/>
        <s v="[Material].[SubGroupDesc].&amp;[Limon Sıkacağı]" c="Limon Sıkacağı"/>
        <s v="[Material].[SubGroupDesc].&amp;[Lunch box]" c="Lunch box"/>
        <s v="[Material].[SubGroupDesc].&amp;[Maşa]" c="Maşa"/>
        <s v="[Material].[SubGroupDesc].&amp;[Matara]" c="Matara"/>
        <s v="[Material].[SubGroupDesc].&amp;[Merdane]" c="Merdane"/>
        <s v="[Material].[SubGroupDesc].&amp;[Meşrubat Bardağı Set]" c="Meşrubat Bardağı Set"/>
        <s v="[Material].[SubGroupDesc].&amp;[Mikser Kabı]" c="Mikser Kabı"/>
        <s v="[Material].[SubGroupDesc].&amp;[Mini Tava]" c="Mini Tava"/>
        <s v="[Material].[SubGroupDesc].&amp;[Mini Tencere]" c="Mini Tencere"/>
        <s v="[Material].[SubGroupDesc].&amp;[Mısır Kovası]" c="Mısır Kovası"/>
        <s v="[Material].[SubGroupDesc].&amp;[Mısır Patlatma]" c="Mısır Patlatma"/>
        <s v="[Material].[SubGroupDesc].&amp;[Moka Pot]" c="Moka Pot"/>
        <s v="[Material].[SubGroupDesc].&amp;[Muffin Oyacağı]" c="Muffin Oyacağı"/>
        <s v="[Material].[SubGroupDesc].&amp;[Mutfak Çöp Kutusu]" c="Mutfak Çöp Kutusu"/>
        <s v="[Material].[SubGroupDesc].&amp;[Mutfak Düzenleyici]" c="Mutfak Düzenleyici"/>
        <s v="[Material].[SubGroupDesc].&amp;[Mutfak Gereci]" c="Mutfak Gereci"/>
        <s v="[Material].[SubGroupDesc].&amp;[Mutfak Saklama Kutu]" c="Mutfak Saklama Kutu"/>
        <s v="[Material].[SubGroupDesc].&amp;[Mutfak Sepeti]" c="Mutfak Sepeti"/>
        <s v="[Material].[SubGroupDesc].&amp;[Mutfak Sıvı Sabunluk]" c="Mutfak Sıvı Sabunluk"/>
        <s v="[Material].[SubGroupDesc].&amp;[Nar Ayık-Narency Sık]" c="Nar Ayık-Narency Sık"/>
        <s v="[Material].[SubGroupDesc].&amp;[Narenciye Sıkacağı]" c="Narenciye Sıkacağı"/>
        <s v="[Material].[SubGroupDesc].&amp;[Nihale]" c="Nihale"/>
        <s v="[Material].[SubGroupDesc].&amp;[Ölçü Kabı]" c="Ölçü Kabı"/>
        <s v="[Material].[SubGroupDesc].&amp;[Ölçü Kaşığı]" c="Ölçü Kaşığı"/>
        <s v="[Material].[SubGroupDesc].&amp;[Oto Termos]" c="Oto Termos"/>
        <s v="[Material].[SubGroupDesc].&amp;[Pankek Tavası]" c="Pankek Tavası"/>
        <s v="[Material].[SubGroupDesc].&amp;[Pasta - Börek Kabı]" c="Pasta - Börek Kabı"/>
        <s v="[Material].[SubGroupDesc].&amp;[Pasta Mumluğu]" c="Pasta Mumluğu"/>
        <s v="[Material].[SubGroupDesc].&amp;[Patates Dilimleyici]" c="Patates Dilimleyici"/>
        <s v="[Material].[SubGroupDesc].&amp;[Piknik Sepeti]" c="Piknik Sepeti"/>
        <s v="[Material].[SubGroupDesc].&amp;[Piknik Seti]" c="Piknik Seti"/>
        <s v="[Material].[SubGroupDesc].&amp;[Pilav Ve Tatlı Kalıp]" c="Pilav Ve Tatlı Kalıp"/>
        <s v="[Material].[SubGroupDesc].&amp;[Pişirme Seti]" c="Pişirme Seti"/>
        <s v="[Material].[SubGroupDesc].&amp;[Pişir-Sakla Set]" c="Pişir-Sakla Set"/>
        <s v="[Material].[SubGroupDesc].&amp;[Pizza Kesici]" c="Pizza Kesici"/>
        <s v="[Material].[SubGroupDesc].&amp;[Poşet Klipsi]" c="Poşet Klipsi"/>
        <s v="[Material].[SubGroupDesc].&amp;[Poşet Torbalığı]" c="Poşet Torbalığı"/>
        <s v="[Material].[SubGroupDesc].&amp;[Rende]" c="Rende"/>
        <s v="[Material].[SubGroupDesc].&amp;[Sac Tava]" c="Sac Tava"/>
        <s v="[Material].[SubGroupDesc].&amp;[Sahan]" c="Sahan"/>
        <s v="[Material].[SubGroupDesc].&amp;[Sahan Seti]" c="Sahan Seti"/>
        <s v="[Material].[SubGroupDesc].&amp;[Saklama Kabı]" c="Saklama Kabı"/>
        <s v="[Material].[SubGroupDesc].&amp;[Saklama Kabı Seti]" c="Saklama Kabı Seti"/>
        <s v="[Material].[SubGroupDesc].&amp;[Saklama Termosu]" c="Saklama Termosu"/>
        <s v="[Material].[SubGroupDesc].&amp;[Salata Kurutucu]" c="Salata Kurutucu"/>
        <s v="[Material].[SubGroupDesc].&amp;[Salata Maşası]" c="Salata Maşası"/>
        <s v="[Material].[SubGroupDesc].&amp;[Salata Servisi]" c="Salata Servisi"/>
        <s v="[Material].[SubGroupDesc].&amp;[Salata Seti]" c="Salata Seti"/>
        <s v="[Material].[SubGroupDesc].&amp;[Sarımsak Ezici]" c="Sarımsak Ezici"/>
        <s v="[Material].[SubGroupDesc].&amp;[Sarmsk Ez-Çekrdk Çık]" c="Sarmsk Ez-Çekrdk Çık"/>
        <s v="[Material].[SubGroupDesc].&amp;[Satır]" c="Satır"/>
        <s v="[Material].[SubGroupDesc].&amp;[Şeker Hmr Şekllendrc]" c="Şeker Hmr Şekllendrc"/>
        <s v="[Material].[SubGroupDesc].&amp;[Şeker Poşeti/Etiketi]" c="Şeker Poşeti/Etiketi"/>
        <s v="[Material].[SubGroupDesc].&amp;[Servis Gereci]" c="Servis Gereci"/>
        <s v="[Material].[SubGroupDesc].&amp;[Servis Kaşığı]" c="Servis Kaşığı"/>
        <s v="[Material].[SubGroupDesc].&amp;[Servis Seti]" c="Servis Seti"/>
        <s v="[Material].[SubGroupDesc].&amp;[Shaker]" c="Shaker"/>
        <s v="[Material].[SubGroupDesc].&amp;[Sılpat]" c="Sılpat"/>
        <s v="[Material].[SubGroupDesc].&amp;[Şişe Kapağı]" c="Şişe Kapağı"/>
        <s v="[Material].[SubGroupDesc].&amp;[Şişe Tıpası]" c="Şişe Tıpası"/>
        <s v="[Material].[SubGroupDesc].&amp;[Sofra Seti]" c="Sofra Seti"/>
        <s v="[Material].[SubGroupDesc].&amp;[Sos Tenceresi]" c="Sos Tenceresi"/>
        <s v="[Material].[SubGroupDesc].&amp;[Soyacak]" c="Soyacak"/>
        <s v="[Material].[SubGroupDesc].&amp;[Soyucu]" c="Soyucu"/>
        <s v="[Material].[SubGroupDesc].&amp;[Spagetti Kaşığı]" c="Spagetti Kaşığı"/>
        <s v="[Material].[SubGroupDesc].&amp;[Spatula]" c="Spatula"/>
        <s v="[Material].[SubGroupDesc].&amp;[Sufle Kabı]" c="Sufle Kabı"/>
        <s v="[Material].[SubGroupDesc].&amp;[Süngerlik]" c="Süngerlik"/>
        <s v="[Material].[SubGroupDesc].&amp;[Sürme Fırçası]" c="Sürme Fırçası"/>
        <s v="[Material].[SubGroupDesc].&amp;[Süt Potu]" c="Süt Potu"/>
        <s v="[Material].[SubGroupDesc].&amp;[Sütlük]" c="Sütlük"/>
        <s v="[Material].[SubGroupDesc].&amp;[Süzgeç]" c="Süzgeç"/>
        <s v="[Material].[SubGroupDesc].&amp;[Süzgeç Set]" c="Süzgeç Set"/>
        <s v="[Material].[SubGroupDesc].&amp;[Tabaklık]" c="Tabaklık"/>
        <s v="[Material].[SubGroupDesc].&amp;[Tart Kalıbı]" c="Tart Kalıbı"/>
        <s v="[Material].[SubGroupDesc].&amp;[Tatlı Kabı]" c="Tatlı Kabı"/>
        <s v="[Material].[SubGroupDesc].&amp;[Tava]" c="Tava"/>
        <s v="[Material].[SubGroupDesc].&amp;[Tava Seti]" c="Tava Seti"/>
        <s v="[Material].[SubGroupDesc].&amp;[Tencere]" c="Tencere"/>
        <s v="[Material].[SubGroupDesc].&amp;[Tencere Seti]" c="Tencere Seti"/>
        <s v="[Material].[SubGroupDesc].&amp;[Tencere-Tava Seti]" c="Tencere-Tava Seti"/>
        <s v="[Material].[SubGroupDesc].&amp;[Termos]" c="Termos"/>
        <s v="[Material].[SubGroupDesc].&amp;[Top Kek Süsü]" c="Top Kek Süsü"/>
        <s v="[Material].[SubGroupDesc].&amp;[Travel Mug]" c="Travel Mug"/>
        <s v="[Material].[SubGroupDesc].&amp;[Un Eleği]" c="Un Eleği"/>
        <s v="[Material].[SubGroupDesc].&amp;[Wok Tava]" c="Wok Tava"/>
        <s v="[Material].[SubGroupDesc].&amp;[Yardımcı Set]" c="Yardımcı Set"/>
        <s v="[Material].[SubGroupDesc].&amp;[Yedek Filtre]" c="Yedek Filtre"/>
        <s v="[Material].[SubGroupDesc].&amp;[Yumurta Fırçası]" c="Yumurta Fırçası"/>
        <s v="[Material].[SubGroupDesc].&amp;[Yumurta Saklama Kabı]" c="Yumurta Saklama Kabı"/>
        <s v="[Material].[SubGroupDesc].&amp;[Yumurtalık]" c="Yumurtalık"/>
      </sharedItems>
    </cacheField>
    <cacheField name="[Material].[FacricDesc].[FacricDesc]" caption="FacricDesc" numFmtId="0" hierarchy="64" level="1">
      <sharedItems count="38">
        <s v="[Material].[FacricDesc].&amp;[#]" c="#"/>
        <s v="[Material].[FacricDesc].&amp;[#NA]" c="#NA"/>
        <s v="[Material].[FacricDesc].&amp;[Antik Boyama]" c="Antik Boyama"/>
        <s v="[Material].[FacricDesc].&amp;[Bambu]" c="Bambu"/>
        <s v="[Material].[FacricDesc].&amp;[Bambu Pamuk]" c="Bambu Pamuk"/>
        <s v="[Material].[FacricDesc].&amp;[Bambu Saten]" c="Bambu Saten"/>
        <s v="[Material].[FacricDesc].&amp;[Bold Stripe Twill]" c="Bold Stripe Twill"/>
        <s v="[Material].[FacricDesc].&amp;[Çizgili Pamuk Saten]" c="Çizgili Pamuk Saten"/>
        <s v="[Material].[FacricDesc].&amp;[Dijital Pamuklu]" c="Dijital Pamuklu"/>
        <s v="[Material].[FacricDesc].&amp;[Düz Flamlı]" c="Düz Flamlı"/>
        <s v="[Material].[FacricDesc].&amp;[Fırfırlı Flamlı]" c="Fırfırlı Flamlı"/>
        <s v="[Material].[FacricDesc].&amp;[Flamlı Çizgili]" c="Flamlı Çizgili"/>
        <s v="[Material].[FacricDesc].&amp;[Flanel]" c="Flanel"/>
        <s v="[Material].[FacricDesc].&amp;[Gofre]" c="Gofre"/>
        <s v="[Material].[FacricDesc].&amp;[İpeksi Twill]" c="İpeksi Twill"/>
        <s v="[Material].[FacricDesc].&amp;[İpliği Boyalı]" c="İpliği Boyalı"/>
        <s v="[Material].[FacricDesc].&amp;[Kabartma Jakar]" c="Kabartma Jakar"/>
        <s v="[Material].[FacricDesc].&amp;[Kolay Ütülenir]" c="Kolay Ütülenir"/>
        <s v="[Material].[FacricDesc].&amp;[Krep]" c="Krep"/>
        <s v="[Material].[FacricDesc].&amp;[Melange Twill]" c="Melange Twill"/>
        <s v="[Material].[FacricDesc].&amp;[Müslin]" c="Müslin"/>
        <s v="[Material].[FacricDesc].&amp;[Pamuk]" c="Pamuk"/>
        <s v="[Material].[FacricDesc].&amp;[Pamuk Polyester]" c="Pamuk Polyester"/>
        <s v="[Material].[FacricDesc].&amp;[Pamuk Saten]" c="Pamuk Saten"/>
        <s v="[Material].[FacricDesc].&amp;[Pamuk Saten Wedding]" c="Pamuk Saten Wedding"/>
        <s v="[Material].[FacricDesc].&amp;[Pamuk/Keten]" c="Pamuk/Keten"/>
        <s v="[Material].[FacricDesc].&amp;[Pamuk/Viskon]" c="Pamuk/Viskon"/>
        <s v="[Material].[FacricDesc].&amp;[Pamuklu]" c="Pamuklu"/>
        <s v="[Material].[FacricDesc].&amp;[Parça boyama]" c="Parça boyama"/>
        <s v="[Material].[FacricDesc].&amp;[Parça Yıkamalı]" c="Parça Yıkamalı"/>
        <s v="[Material].[FacricDesc].&amp;[Penye]" c="Penye"/>
        <s v="[Material].[FacricDesc].&amp;[Polycotton]" c="Polycotton"/>
        <s v="[Material].[FacricDesc].&amp;[Poplin]" c="Poplin"/>
        <s v="[Material].[FacricDesc].&amp;[Saten]" c="Saten"/>
        <s v="[Material].[FacricDesc].&amp;[Simli Gofre]" c="Simli Gofre"/>
        <s v="[Material].[FacricDesc].&amp;[Twill Suit]" c="Twill Suit"/>
        <s v="[Material].[FacricDesc].&amp;[Waffle]" c="Waffle"/>
        <s v="[Material].[FacricDesc].&amp;[Winter Soft]" c="Winter Soft"/>
      </sharedItems>
    </cacheField>
    <cacheField name="[Material].[MaterialDesc].[MaterialDesc]" caption="MaterialDesc" numFmtId="0" hierarchy="76" level="1">
      <sharedItems count="27">
        <s v="[Material].[MaterialDesc].&amp;[Blue Blanc Nevresim Takımı 160x220 cm An]" c="Blue Blanc Nevresim Takımı 160x220 cm An"/>
        <s v="[Material].[MaterialDesc].&amp;[Blue Blanc Nevresim Takımı 160x220 cm Ma]" c="Blue Blanc Nevresim Takımı 160x220 cm Ma"/>
        <s v="[Material].[MaterialDesc].&amp;[Blue Blanc Nevresim Takımı 200x220 cm An]" c="Blue Blanc Nevresim Takımı 200x220 cm An"/>
        <s v="[Material].[MaterialDesc].&amp;[Blue Blanc Nevresim Takımı 200x220 cm Ma]" c="Blue Blanc Nevresim Takımı 200x220 cm Ma"/>
        <s v="[Material].[MaterialDesc].&amp;[Liberty Blossom Nevresim Takımı 160x220]" c="Liberty Blossom Nevresim Takımı 160x220"/>
        <s v="[Material].[MaterialDesc].&amp;[Liberty Blossom Nevresim Takımı 200x220]" c="Liberty Blossom Nevresim Takımı 200x220"/>
        <s v="[Material].[MaterialDesc].&amp;[Modest Nevresim Takımı 160x220 cm Gece M]" c="Modest Nevresim Takımı 160x220 cm Gece M"/>
        <s v="[Material].[MaterialDesc].&amp;[Modest Nevresim Takımı 160x220 cm Gül Ku]" c="Modest Nevresim Takımı 160x220 cm Gül Ku"/>
        <s v="[Material].[MaterialDesc].&amp;[Modest Nevresim Takımı 160x220 cm Kiremi]" c="Modest Nevresim Takımı 160x220 cm Kiremi"/>
        <s v="[Material].[MaterialDesc].&amp;[Modest Nevresim Takımı 160x220 cm Kömür]" c="Modest Nevresim Takımı 160x220 cm Kömür"/>
        <s v="[Material].[MaterialDesc].&amp;[Modest Nevresim Takımı 160x220 cm Petrol]" c="Modest Nevresim Takımı 160x220 cm Petrol"/>
        <s v="[Material].[MaterialDesc].&amp;[Modest Nevresim Takımı 160x220 cm Zeytin]" c="Modest Nevresim Takımı 160x220 cm Zeytin"/>
        <s v="[Material].[MaterialDesc].&amp;[Modest Nevresim Takımı 200x220 cm Gece M]" c="Modest Nevresim Takımı 200x220 cm Gece M"/>
        <s v="[Material].[MaterialDesc].&amp;[Modest Nevresim Takımı 200x220 cm Gül Ku]" c="Modest Nevresim Takımı 200x220 cm Gül Ku"/>
        <s v="[Material].[MaterialDesc].&amp;[Modest Nevresim Takımı 200x220 cm Kiremi]" c="Modest Nevresim Takımı 200x220 cm Kiremi"/>
        <s v="[Material].[MaterialDesc].&amp;[Modest Nevresim Takımı 200x220 cm Kömür]" c="Modest Nevresim Takımı 200x220 cm Kömür"/>
        <s v="[Material].[MaterialDesc].&amp;[Modest Nevresim Takımı 200x220 cm Petrol]" c="Modest Nevresim Takımı 200x220 cm Petrol"/>
        <s v="[Material].[MaterialDesc].&amp;[Oxford Nevresim Takımı 160x220 cm Lacive]" c="Oxford Nevresim Takımı 160x220 cm Lacive"/>
        <s v="[Material].[MaterialDesc].&amp;[Oxford Nevresim Takımı 200x220 cm Lacive]" c="Oxford Nevresim Takımı 200x220 cm Lacive"/>
        <s v="[Material].[MaterialDesc].&amp;[Petit Florets Nevresim Takımı 160x220 cm]" c="Petit Florets Nevresim Takımı 160x220 cm"/>
        <s v="[Material].[MaterialDesc].&amp;[Petit Florets Nevresim Takımı 200x220 cm]" c="Petit Florets Nevresim Takımı 200x220 cm"/>
        <s v="[Material].[MaterialDesc].&amp;[Pure Magnolia Nevresim Takımı 160x220 cm]" c="Pure Magnolia Nevresim Takımı 160x220 cm"/>
        <s v="[Material].[MaterialDesc].&amp;[Pure Magnolia Nevresim Takımı 200x220 cm]" c="Pure Magnolia Nevresim Takımı 200x220 cm"/>
        <s v="[Material].[MaterialDesc].&amp;[Romantic Bloom Nevresim Takımı 160x220 c]" c="Romantic Bloom Nevresim Takımı 160x220 c"/>
        <s v="[Material].[MaterialDesc].&amp;[Romantic Bloom Nevresim Takımı 200x220 c]" c="Romantic Bloom Nevresim Takımı 200x220 c"/>
        <s v="[Material].[MaterialDesc].&amp;[Romantic Ivy Nevresim Takımı 160x220 cm]" c="Romantic Ivy Nevresim Takımı 160x220 cm"/>
        <s v="[Material].[MaterialDesc].&amp;[Romantic Ivy Nevresim Takımı 200x220 cm]" c="Romantic Ivy Nevresim Takımı 200x220 cm"/>
      </sharedItems>
    </cacheField>
    <cacheField name="[Calendar].[MerchYear].[MerchYear]" caption="MerchYear" numFmtId="0" hierarchy="13" level="1">
      <sharedItems containsSemiMixedTypes="0" containsString="0"/>
    </cacheField>
    <cacheField name="[SalesChannel].[CountryName].[CountryName]" caption="CountryName" numFmtId="0" hierarchy="144" level="1">
      <sharedItems containsSemiMixedTypes="0" containsString="0"/>
    </cacheField>
    <cacheField name="[Measures].[TY Sales Value TRY]" caption="TY Sales Value TRY" numFmtId="0" hierarchy="802" level="32767"/>
    <cacheField name="[Measures].[LY LFL Sales Value TRY]" caption="LY LFL Sales Value TRY" numFmtId="0" hierarchy="887" level="32767"/>
    <cacheField name="[Measures].[TY Gross Marjin TRY%]" caption="TY Gross Marjin TRY%" numFmtId="0" hierarchy="1056" level="32767"/>
    <cacheField name="[Measures].[LY LFL Gross Marjin TRY%]" caption="LY LFL Gross Marjin TRY%" numFmtId="0" hierarchy="1066" level="32767"/>
    <cacheField name="[Material].[MerchProduct].[MerchProduct]" caption="MerchProduct" numFmtId="0" hierarchy="94" level="1">
      <sharedItems containsSemiMixedTypes="0" containsString="0"/>
    </cacheField>
    <cacheField name="[Material].[TextileProduct].[TextileProduct]" caption="TextileProduct" numFmtId="0" hierarchy="107" level="1">
      <sharedItems containsSemiMixedTypes="0" containsString="0"/>
    </cacheField>
    <cacheField name="[Measures].[TY Unit Cost TRY]" caption="TY Unit Cost TRY" numFmtId="0" hierarchy="919" level="32767"/>
    <cacheField name="[Measures].[TY Unit Sales Price TRY]" caption="TY Unit Sales Price TRY" numFmtId="0" hierarchy="918" level="32767"/>
    <cacheField name="[Measures].[TY Store Back Cover Unit]" caption="TY Store Back Cover Unit" numFmtId="0" hierarchy="1069" level="32767"/>
    <cacheField name="[Measures].[LFL Sales Unit TYvsLY%]" caption="LFL Sales Unit TYvsLY%" numFmtId="0" hierarchy="1122" level="32767"/>
    <cacheField name="[Measures].[LY LFL Unit Cost TRY]" caption="LY LFL Unit Cost TRY" numFmtId="0" hierarchy="928" level="32767"/>
    <cacheField name="[Measures].[LY LFL Unit Sales Price TRY]" caption="LY LFL Unit Sales Price TRY" numFmtId="0" hierarchy="927" level="32767"/>
    <cacheField name="[Measures].[LY LFL Store Back Cover Unit]" caption="LY LFL Store Back Cover Unit" numFmtId="0" hierarchy="1105" level="32767"/>
    <cacheField name="[Measures].[LFL Sales Value TYvsLY TRY%]" caption="LFL Sales Value TYvsLY TRY%" numFmtId="0" hierarchy="1124" level="32767"/>
    <cacheField name="[Measures].[LFL Sales Profit TYvsLY TRY%]" caption="LFL Sales Profit TYvsLY TRY%" numFmtId="0" hierarchy="1164" level="32767"/>
    <cacheField name="[Measures].[LFL Unit Cost TYvsLY TRY%]" caption="LFL Unit Cost TYvsLY TRY%" numFmtId="0" hierarchy="1144" level="32767"/>
    <cacheField name="[Measures].[LFL Unit Sales Price TYvsLY TRY%]" caption="LFL Unit Sales Price TYvsLY TRY%" numFmtId="0" hierarchy="1138" level="32767"/>
    <cacheField name="[Measures].[LFL Stock Cost TYvsLY TRY%]" caption="LFL Stock Cost TYvsLY TRY%" numFmtId="0" hierarchy="1132" level="32767"/>
    <cacheField name="[Measures].[LFL Store Stock Unit TYvsLY%]" caption="LFL Store Stock Unit TYvsLY%" numFmtId="0" hierarchy="1130" level="32767"/>
    <cacheField name="[Measures].[TY Store Turnover Unit]" caption="TY Store Turnover Unit" numFmtId="0" hierarchy="1070" level="32767"/>
    <cacheField name="[Measures].[LY Store Turnover Unit]" caption="LY Store Turnover Unit" numFmtId="0" hierarchy="1080" level="32767"/>
    <cacheField name="[Measures].[TY Actual MarkUp TRY]" caption="TY Actual MarkUp TRY" numFmtId="0" hierarchy="1093" level="32767"/>
    <cacheField name="[Measures].[TY Actual MarkDown TRY%]" caption="TY Actual MarkDown TRY%" numFmtId="0" hierarchy="1075" level="32767"/>
    <cacheField name="[Measures].[LY Actual MarkUp TRY]" caption="LY Actual MarkUp TRY" numFmtId="0" hierarchy="1096" level="32767"/>
    <cacheField name="[Measures].[TY Invoice Count]" caption="TY Invoice Count" numFmtId="0" hierarchy="809" level="32767"/>
    <cacheField name="[Measures].[LY LFL Invoice Count]" caption="LY LFL Invoice Count" numFmtId="0" hierarchy="896" level="32767"/>
    <cacheField name="[Measures].[TY Customer Entry Count]" caption="TY Customer Entry Count" numFmtId="0" hierarchy="1315" level="32767"/>
    <cacheField name="[Measures].[LY LFL Customer Entry Count]" caption="LY LFL Customer Entry Count" numFmtId="0" hierarchy="1318" level="32767"/>
    <cacheField name="[Measures].[TY Sales Budget Unit]" caption="TY Sales Budget Unit" numFmtId="0" hierarchy="993" level="32767"/>
    <cacheField name="[Measures].[TY Sales Budget Value LC]" caption="TY Sales Budget Value LC" numFmtId="0" hierarchy="994" level="32767"/>
    <cacheField name="[Measures].[TY Sales Budget Profit Value LC]" caption="TY Sales Budget Profit Value LC" numFmtId="0" hierarchy="996" level="32767"/>
    <cacheField name="[Measures].[LY GMROII LC]" caption="LY GMROII LC" numFmtId="0" hierarchy="1180" level="32767"/>
    <cacheField name="[Measures].[TY GMROII LC]" caption="TY GMROII LC" numFmtId="0" hierarchy="1177" level="32767"/>
    <cacheField name="[SalesChannel].[H_SalesChannel].[SalesOrgType]" caption="SalesOrgType" numFmtId="0" hierarchy="148" level="1">
      <sharedItems containsSemiMixedTypes="0" containsString="0"/>
    </cacheField>
    <cacheField name="[SalesChannel].[H_SalesChannel].[CountryName]" caption="CountryName" numFmtId="0" hierarchy="148" level="2">
      <sharedItems containsSemiMixedTypes="0" containsString="0"/>
    </cacheField>
    <cacheField name="[SalesChannel].[H_SalesChannel].[DistrubitionChannelDesc]" caption="DistrubitionChannelDesc" numFmtId="0" hierarchy="148" level="3">
      <sharedItems containsSemiMixedTypes="0" containsString="0"/>
    </cacheField>
    <cacheField name="[Calendar].[LastNDays].[LastNDays]" caption="LastNDays" numFmtId="0" hierarchy="9" level="1">
      <sharedItems containsSemiMixedTypes="0" containsString="0"/>
    </cacheField>
    <cacheField name="[Material].[CategoryLeader].[CategoryLeader]" caption="CategoryLeader" numFmtId="0" hierarchy="49" level="1">
      <sharedItems count="4">
        <s v="[Material].[CategoryLeader].&amp;[Behiye Arlı]" c="Behiye Arlı"/>
        <s v="[Material].[CategoryLeader].&amp;[Esat Müfettişoğlu]" c="Esat Müfettişoğlu"/>
        <s v="[Material].[CategoryLeader].&amp;[Nihal Kaya]" c="Nihal Kaya"/>
        <s v="[Material].[CategoryLeader].&amp;[Simla Ünlü]" c="Simla Ünlü"/>
      </sharedItems>
    </cacheField>
    <cacheField name="[Material].[TribeLeader].[TribeLeader]" caption="TribeLeader" numFmtId="0" hierarchy="109" level="1">
      <sharedItems count="13">
        <s v="[Material].[TribeLeader].&amp;[Aykut Karakuşoğlu]" c="Aykut Karakuşoğlu"/>
        <s v="[Material].[TribeLeader].&amp;[Behiye Arlı]" c="Behiye Arlı"/>
        <s v="[Material].[TribeLeader].&amp;[Cansu Yücel]" c="Cansu Yücel"/>
        <s v="[Material].[TribeLeader].&amp;[Sevgi Babacan]" c="Sevgi Babacan"/>
        <s v="[Material].[TribeLeader].&amp;[Eda Şıvgın]" c="Eda Şıvgın"/>
        <s v="[Material].[TribeLeader].&amp;[Gökhan Açıkgöz]" c="Gökhan Açıkgöz"/>
        <s v="[Material].[TribeLeader].&amp;[Merve Türkyılmaz]" c="Merve Türkyılmaz"/>
        <s v="[Material].[TribeLeader].&amp;[Şule Kumbasar]" c="Şule Kumbasar"/>
        <s v="[Material].[TribeLeader].&amp;[İlker Ölge]" c="İlker Ölge"/>
        <s v="[Material].[TribeLeader].&amp;[Ömer Can Bengül]" c="Ömer Can Bengül"/>
        <s v="[Material].[TribeLeader].&amp;[Aslıhan Köksal]" c="Aslıhan Köksal"/>
        <s v="[Material].[TribeLeader].&amp;[Fatma Gök İnce]" c="Fatma Gök İnce"/>
        <s v="[Material].[TribeLeader].&amp;[Mert Sucaklı]" c="Mert Sucaklı"/>
      </sharedItems>
    </cacheField>
    <cacheField name="[Calendar].[MerchMonth].[MerchMonth]" caption="MerchMonth" numFmtId="0" hierarchy="10" level="1">
      <sharedItems containsSemiMixedTypes="0" containsString="0"/>
    </cacheField>
    <cacheField name="[Calendar].[MerchWeek].[MerchWeek]" caption="MerchWeek" numFmtId="0" hierarchy="12" level="1">
      <sharedItems containsSemiMixedTypes="0" containsString="0"/>
    </cacheField>
  </cacheFields>
  <cacheHierarchies count="149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5" unbalanced="0">
      <fieldsUsage count="5">
        <fieldUsage x="-1"/>
        <fieldUsage x="3"/>
        <fieldUsage x="4"/>
        <fieldUsage x="5"/>
        <fieldUsage x="6"/>
      </fieldsUsage>
    </cacheHierarchy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2" unbalanced="0">
      <fieldsUsage count="2">
        <fieldUsage x="-1"/>
        <fieldUsage x="53"/>
      </fieldsUsage>
    </cacheHierarchy>
    <cacheHierarchy uniqueName="[Calendar].[MerchMonth]" caption="MerchMonth" attribute="1" time="1" defaultMemberUniqueName="[Calendar].[MerchMonth].[All]" allUniqueName="[Calendar].[MerchMonth].[All]" dimensionUniqueName="[Calendar]" displayFolder="Merch" count="2" unbalanced="0">
      <fieldsUsage count="2">
        <fieldUsage x="-1"/>
        <fieldUsage x="56"/>
      </fieldsUsage>
    </cacheHierarchy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>
      <fieldsUsage count="2">
        <fieldUsage x="-1"/>
        <fieldUsage x="57"/>
      </fieldsUsage>
    </cacheHierarchy>
    <cacheHierarchy uniqueName="[Calendar].[MerchYear]" caption="MerchYear" attribute="1" time="1" defaultMemberUniqueName="[Calendar].[MerchYear].[All]" allUniqueName="[Calendar].[MerchYear].[All]" dimensionUniqueName="[Calendar]" displayFolder="Merch" count="2" unbalanced="0">
      <fieldsUsage count="2">
        <fieldUsage x="-1"/>
        <fieldUsage x="15"/>
      </fieldsUsage>
    </cacheHierarchy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0" unbalanced="0"/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2" unbalanced="0">
      <fieldsUsage count="2">
        <fieldUsage x="-1"/>
        <fieldUsage x="54"/>
      </fieldsUsage>
    </cacheHierarchy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2" unbalanced="0">
      <fieldsUsage count="2">
        <fieldUsage x="-1"/>
        <fieldUsage x="13"/>
      </fieldsUsage>
    </cacheHierarchy>
    <cacheHierarchy uniqueName="[Material].[H_MainGroup]" caption="H_MainGroup" defaultMemberUniqueName="[Material].[H_MainGroup].[All]" allUniqueName="[Material].[H_MainGroup].[All]" dimensionUniqueName="[Material]" displayFolder="" count="3" unbalanced="0">
      <fieldsUsage count="3">
        <fieldUsage x="-1"/>
        <fieldUsage x="7"/>
        <fieldUsage x="8"/>
      </fieldsUsage>
    </cacheHierarchy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2" unbalanced="0">
      <fieldsUsage count="2">
        <fieldUsage x="-1"/>
        <fieldUsage x="11"/>
      </fieldsUsage>
    </cacheHierarchy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2" unbalanced="0">
      <fieldsUsage count="2">
        <fieldUsage x="-1"/>
        <fieldUsage x="14"/>
      </fieldsUsage>
    </cacheHierarchy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2" unbalanced="0">
      <fieldsUsage count="2">
        <fieldUsage x="-1"/>
        <fieldUsage x="21"/>
      </fieldsUsage>
    </cacheHierarchy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2" unbalanced="0">
      <fieldsUsage count="2">
        <fieldUsage x="-1"/>
        <fieldUsage x="12"/>
      </fieldsUsage>
    </cacheHierarchy>
    <cacheHierarchy uniqueName="[Material].[TextileProduct]" caption="TextileProduct" attribute="1" defaultMemberUniqueName="[Material].[TextileProduct].[All]" allUniqueName="[Material].[TextileProduct].[All]" dimensionUniqueName="[Material]" displayFolder="" count="2" unbalanced="0">
      <fieldsUsage count="2">
        <fieldUsage x="-1"/>
        <fieldUsage x="22"/>
      </fieldsUsage>
    </cacheHierarchy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2" unbalanced="0">
      <fieldsUsage count="2">
        <fieldUsage x="-1"/>
        <fieldUsage x="55"/>
      </fieldsUsage>
    </cacheHierarchy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2" unbalanced="0">
      <fieldsUsage count="2">
        <fieldUsage x="-1"/>
        <fieldUsage x="16"/>
      </fieldsUsage>
    </cacheHierarchy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>
      <fieldsUsage count="2">
        <fieldUsage x="-1"/>
        <fieldUsage x="0"/>
      </fieldsUsage>
    </cacheHierarchy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4" unbalanced="0">
      <fieldsUsage count="4">
        <fieldUsage x="-1"/>
        <fieldUsage x="50"/>
        <fieldUsage x="51"/>
        <fieldUsage x="52"/>
      </fieldsUsage>
    </cacheHierarchy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0" unbalanced="0"/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apacityUnit]" caption="CapacityUnit" attribute="1" defaultMemberUniqueName="[Store].[CapacityUnit].[All]" allUniqueName="[Store].[CapacityUnit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0" unbalanced="0"/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/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/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TY Avg Store Stock Unit]" caption="TY Avg Store Stock Unit" measure="1" displayFolder="01_TY\_UNIT" measureGroup="StockStore" count="0" oneField="1">
      <fieldsUsage count="1">
        <fieldUsage x="2"/>
      </fieldsUsage>
    </cacheHierarchy>
    <cacheHierarchy uniqueName="[Measures].[TY Avg Store Transit Stock Unit]" caption="TY Avg Store Transit Stock Unit" measure="1" displayFolder="01_TY\_UNIT" measureGroup="StockStore" count="0"/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 oneField="1">
      <fieldsUsage count="1">
        <fieldUsage x="10"/>
      </fieldsUsage>
    </cacheHierarchy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TY Sales Unit]" caption="TY Sales Unit" measure="1" displayFolder="01_TY\_UNIT" measureGroup="Sales" count="0" oneField="1">
      <fieldsUsage count="1">
        <fieldUsage x="1"/>
      </fieldsUsage>
    </cacheHierarchy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/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 oneField="1">
      <fieldsUsage count="1">
        <fieldUsage x="17"/>
      </fieldsUsage>
    </cacheHierarchy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 oneField="1">
      <fieldsUsage count="1">
        <fieldUsage x="41"/>
      </fieldsUsage>
    </cacheHierarchy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 oneField="1">
      <fieldsUsage count="1">
        <fieldUsage x="9"/>
      </fieldsUsage>
    </cacheHierarchy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/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 oneField="1">
      <fieldsUsage count="1">
        <fieldUsage x="18"/>
      </fieldsUsage>
    </cacheHierarchy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 oneField="1">
      <fieldsUsage count="1">
        <fieldUsage x="42"/>
      </fieldsUsage>
    </cacheHierarchy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/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/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 oneField="1">
      <fieldsUsage count="1">
        <fieldUsage x="24"/>
      </fieldsUsage>
    </cacheHierarchy>
    <cacheHierarchy uniqueName="[Measures].[TY Unit Cost TRY]" caption="TY Unit Cost TRY" measure="1" displayFolder="01_TY\TRY" measureGroup="Sales" count="0" oneField="1">
      <fieldsUsage count="1">
        <fieldUsage x="23"/>
      </fieldsUsage>
    </cacheHierarchy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 oneField="1">
      <fieldsUsage count="1">
        <fieldUsage x="28"/>
      </fieldsUsage>
    </cacheHierarchy>
    <cacheHierarchy uniqueName="[Measures].[LY LFL Unit Cost TRY]" caption="LY LFL Unit Cost TRY" measure="1" displayFolder="04_LYLFL\TRY" measureGroup="Sales" count="0" oneField="1">
      <fieldsUsage count="1">
        <fieldUsage x="27"/>
      </fieldsUsage>
    </cacheHierarchy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/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/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Budget Unit]" caption="TY Sales Budget Unit" measure="1" displayFolder="TY\_UNIT" measureGroup="SalesBudget" count="0" oneField="1">
      <fieldsUsage count="1">
        <fieldUsage x="45"/>
      </fieldsUsage>
    </cacheHierarchy>
    <cacheHierarchy uniqueName="[Measures].[TY Sales Budget Value LC]" caption="TY Sales Budget Value LC" measure="1" displayFolder="TY\LC" measureGroup="SalesBudget" count="0" oneField="1">
      <fieldsUsage count="1">
        <fieldUsage x="46"/>
      </fieldsUsage>
    </cacheHierarchy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 oneField="1">
      <fieldsUsage count="1">
        <fieldUsage x="47"/>
      </fieldsUsage>
    </cacheHierarchy>
    <cacheHierarchy uniqueName="[Measures].[Achieved TY Sales Budget Unit]" caption="Achieved TY Sales Budget Unit" measure="1" displayFolder="TY\_UNIT" measureGroup="SalesBudget" count="0"/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/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/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 oneField="1">
      <fieldsUsage count="1">
        <fieldUsage x="19"/>
      </fieldsUsage>
    </cacheHierarchy>
    <cacheHierarchy uniqueName="[Measures].[TY Gross Marjin LC%]" caption="TY Gross Marjin LC%" measure="1" displayFolder="01_TY\LC" measureGroup="KPI" count="0"/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/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 oneField="1">
      <fieldsUsage count="1">
        <fieldUsage x="20"/>
      </fieldsUsage>
    </cacheHierarchy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 oneField="1">
      <fieldsUsage count="1">
        <fieldUsage x="25"/>
      </fieldsUsage>
    </cacheHierarchy>
    <cacheHierarchy uniqueName="[Measures].[TY Store Turnover Unit]" caption="TY Store Turnover Unit" measure="1" displayFolder="01_TY\_UNIT" measureGroup="KPI" count="0" oneField="1">
      <fieldsUsage count="1">
        <fieldUsage x="36"/>
      </fieldsUsage>
    </cacheHierarchy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 oneField="1">
      <fieldsUsage count="1">
        <fieldUsage x="39"/>
      </fieldsUsage>
    </cacheHierarchy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 oneField="1">
      <fieldsUsage count="1">
        <fieldUsage x="37"/>
      </fieldsUsage>
    </cacheHierarchy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 oneField="1">
      <fieldsUsage count="1">
        <fieldUsage x="38"/>
      </fieldsUsage>
    </cacheHierarchy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 oneField="1">
      <fieldsUsage count="1">
        <fieldUsage x="40"/>
      </fieldsUsage>
    </cacheHierarchy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 oneField="1">
      <fieldsUsage count="1">
        <fieldUsage x="29"/>
      </fieldsUsage>
    </cacheHierarchy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 oneField="1">
      <fieldsUsage count="1">
        <fieldUsage x="26"/>
      </fieldsUsage>
    </cacheHierarchy>
    <cacheHierarchy uniqueName="[Measures].[LFL Sales Value TYvsLY LC%]" caption="LFL Sales Value TYvsLY LC%" measure="1" displayFolder="02_TYLFL\LC" measureGroup="KPI" count="0"/>
    <cacheHierarchy uniqueName="[Measures].[LFL Sales Value TYvsLY TRY%]" caption="LFL Sales Value TYvsLY TRY%" measure="1" displayFolder="02_TYLFL\TRY" measureGroup="KPI" count="0" oneField="1">
      <fieldsUsage count="1">
        <fieldUsage x="30"/>
      </fieldsUsage>
    </cacheHierarchy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 oneField="1">
      <fieldsUsage count="1">
        <fieldUsage x="35"/>
      </fieldsUsage>
    </cacheHierarchy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 oneField="1">
      <fieldsUsage count="1">
        <fieldUsage x="34"/>
      </fieldsUsage>
    </cacheHierarchy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 oneField="1">
      <fieldsUsage count="1">
        <fieldUsage x="33"/>
      </fieldsUsage>
    </cacheHierarchy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 oneField="1">
      <fieldsUsage count="1">
        <fieldUsage x="32"/>
      </fieldsUsage>
    </cacheHierarchy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/>
    <cacheHierarchy uniqueName="[Measures].[LFL Sales Profit TYvsLY TRY%]" caption="LFL Sales Profit TYvsLY TRY%" measure="1" displayFolder="02_TYLFL\TRY" measureGroup="KPI" count="0" oneField="1">
      <fieldsUsage count="1">
        <fieldUsage x="31"/>
      </fieldsUsage>
    </cacheHierarchy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 oneField="1">
      <fieldsUsage count="1">
        <fieldUsage x="49"/>
      </fieldsUsage>
    </cacheHierarchy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 oneField="1">
      <fieldsUsage count="1">
        <fieldUsage x="48"/>
      </fieldsUsage>
    </cacheHierarchy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/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/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/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/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/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Goods Receipt PO Value Navlun LC]" caption="Goods Receipt PO Value Navlun LC" measure="1" displayFolder="_VALUE" measureGroup="PurchaseOrder" count="0"/>
    <cacheHierarchy uniqueName="[Measures].[TY Customer Entry Count]" caption="TY Customer Entry Count" measure="1" displayFolder="01_TY" measureGroup="VisitorHourly" count="0" oneField="1">
      <fieldsUsage count="1">
        <fieldUsage x="43"/>
      </fieldsUsage>
    </cacheHierarchy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 oneField="1">
      <fieldsUsage count="1">
        <fieldUsage x="44"/>
      </fieldsUsage>
    </cacheHierarchy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LCM" measureGroup="Capacity" count="0"/>
    <cacheHierarchy uniqueName="[Measures].[CUR Backstore Capacity dm3]" caption="CUR Backstore Capacity dm3" measure="1" displayFolder="00_CURRENT\_LCM" measureGroup="Capacity" count="0"/>
    <cacheHierarchy uniqueName="[Measures].[CUR Total Store Capacity dm3]" caption="CUR Total Store Capacity dm3" measure="1" displayFolder="00_CURRENT\_LCM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TY Store Cover Unit]" caption="TY Store Cover Unit" measure="1" displayFolder="01_TY\_UNIT" measureGroup="KPI" count="0" hidden="1"/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hidden="1"/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</cacheHierarchies>
  <kpis count="0"/>
  <dimensions count="14">
    <dimension name="Calendar" uniqueName="[Calendar]" caption="Calendar"/>
    <dimension name="DCWarehouse" uniqueName="[DCWarehouse]" caption="DCWarehouse"/>
    <dimension name="ISPUnitPrice" uniqueName="[ISPUnitPrice]" caption="ISPUnitPrice"/>
    <dimension name="Material" uniqueName="[Material]" caption="Material"/>
    <dimension measure="1" name="Measures" uniqueName="[Measures]" caption="Measures"/>
    <dimension name="PurchaseOrder" uniqueName="[PurchaseOrder]" caption="PurchaseOrder"/>
    <dimension name="PurchaseOrderGR" uniqueName="[PurchaseOrderGR]" caption="PurchaseOrderGR"/>
    <dimension name="SalesBudget" uniqueName="[SalesBudget]" caption="SalesBudget"/>
    <dimension name="SalesChannel" uniqueName="[SalesChannel]" caption="SalesChannel"/>
    <dimension name="SalesSeason" uniqueName="[SalesSeason]" caption="SalesSeason"/>
    <dimension name="StockList" uniqueName="[StockList]" caption="StockList"/>
    <dimension name="Store" uniqueName="[Store]" caption="Store"/>
    <dimension name="StoreLFLStatu" uniqueName="[StoreLFLStatu]" caption="StoreLFLStatu"/>
    <dimension name="SubDistChannel" uniqueName="[SubDistChannel]" caption="SubDistChannel"/>
  </dimensions>
  <measureGroups count="33">
    <measureGroup name="Calendar" caption="Calendar"/>
    <measureGroup name="Capacity" caption="Capacity"/>
    <measureGroup name="CapacityPlanTY" caption="CapacityPlanTY"/>
    <measureGroup name="CurrentStockStore" caption="CurrentStockStore"/>
    <measureGroup name="DCWarehouse" caption="DCWarehouse"/>
    <measureGroup name="ISPUnitPrice" caption="ISPUnitPrice"/>
    <measureGroup name="KPI" caption="KPI"/>
    <measureGroup name="LFLDate" caption="LFLDate"/>
    <measureGroup name="Material" caption="Material"/>
    <measureGroup name="OpenImportsDCStock" caption="OpenImportsDCStock"/>
    <measureGroup name="OpenImportsStoreStock" caption="OpenImportsStoreStock"/>
    <measureGroup name="PurchaseOrder" caption="PurchaseOrder"/>
    <measureGroup name="PurchaseOrderGR" caption="PurchaseOrderGR"/>
    <measureGroup name="Sales" caption="Sales"/>
    <measureGroup name="SalesBudget" caption="SalesBudget"/>
    <measureGroup name="SalesBudgetLY" caption="SalesBudgetLY"/>
    <measureGroup name="SalesChannel" caption="SalesChannel"/>
    <measureGroup name="SalesLY" caption="SalesLY"/>
    <measureGroup name="SalesSeason" caption="SalesSeason"/>
    <measureGroup name="SalesTY" caption="SalesTY"/>
    <measureGroup name="StockDC" caption="StockDC"/>
    <measureGroup name="StockDCLY" caption="StockDCLY"/>
    <measureGroup name="StockList" caption="StockList"/>
    <measureGroup name="StockStore" caption="StockStore"/>
    <measureGroup name="StockStoreLY" caption="StockStoreLY"/>
    <measureGroup name="Store" caption="Store"/>
    <measureGroup name="StoreCapacity" caption="StoreCapacity"/>
    <measureGroup name="StoreLFLStatu" caption="StoreLFLStatu"/>
    <measureGroup name="StoreTarget" caption="StoreTarget"/>
    <measureGroup name="StoreTargetLY" caption="StoreTargetLY"/>
    <measureGroup name="SubDistChannel" caption="SubDistChannel"/>
    <measureGroup name="Visitor" caption="Visitor"/>
    <measureGroup name="VisitorHourly" caption="VisitorHourly"/>
  </measureGroups>
  <maps count="129">
    <map measureGroup="0" dimension="0"/>
    <map measureGroup="1" dimension="0"/>
    <map measureGroup="1" dimension="3"/>
    <map measureGroup="1" dimension="8"/>
    <map measureGroup="1" dimension="9"/>
    <map measureGroup="1" dimension="11"/>
    <map measureGroup="1" dimension="12"/>
    <map measureGroup="1" dimension="13"/>
    <map measureGroup="2" dimension="0"/>
    <map measureGroup="2" dimension="3"/>
    <map measureGroup="2" dimension="8"/>
    <map measureGroup="2" dimension="13"/>
    <map measureGroup="3" dimension="2"/>
    <map measureGroup="3" dimension="3"/>
    <map measureGroup="3" dimension="8"/>
    <map measureGroup="3" dimension="11"/>
    <map measureGroup="3" dimension="13"/>
    <map measureGroup="4" dimension="1"/>
    <map measureGroup="5" dimension="2"/>
    <map measureGroup="7" dimension="0"/>
    <map measureGroup="7" dimension="8"/>
    <map measureGroup="7" dimension="13"/>
    <map measureGroup="8" dimension="3"/>
    <map measureGroup="9" dimension="1"/>
    <map measureGroup="9" dimension="3"/>
    <map measureGroup="9" dimension="8"/>
    <map measureGroup="9" dimension="10"/>
    <map measureGroup="9" dimension="13"/>
    <map measureGroup="10" dimension="3"/>
    <map measureGroup="10" dimension="8"/>
    <map measureGroup="10" dimension="10"/>
    <map measureGroup="10" dimension="11"/>
    <map measureGroup="10" dimension="13"/>
    <map measureGroup="11" dimension="0"/>
    <map measureGroup="11" dimension="1"/>
    <map measureGroup="11" dimension="3"/>
    <map measureGroup="11" dimension="5"/>
    <map measureGroup="11" dimension="8"/>
    <map measureGroup="11" dimension="9"/>
    <map measureGroup="11" dimension="12"/>
    <map measureGroup="11" dimension="13"/>
    <map measureGroup="12" dimension="0"/>
    <map measureGroup="12" dimension="1"/>
    <map measureGroup="12" dimension="3"/>
    <map measureGroup="12" dimension="6"/>
    <map measureGroup="12" dimension="8"/>
    <map measureGroup="12" dimension="9"/>
    <map measureGroup="12" dimension="12"/>
    <map measureGroup="12" dimension="13"/>
    <map measureGroup="14" dimension="0"/>
    <map measureGroup="14" dimension="3"/>
    <map measureGroup="14" dimension="7"/>
    <map measureGroup="14" dimension="8"/>
    <map measureGroup="14" dimension="13"/>
    <map measureGroup="15" dimension="0"/>
    <map measureGroup="15" dimension="3"/>
    <map measureGroup="15" dimension="8"/>
    <map measureGroup="15" dimension="13"/>
    <map measureGroup="16" dimension="8"/>
    <map measureGroup="16" dimension="13"/>
    <map measureGroup="17" dimension="0"/>
    <map measureGroup="17" dimension="2"/>
    <map measureGroup="17" dimension="3"/>
    <map measureGroup="17" dimension="8"/>
    <map measureGroup="17" dimension="9"/>
    <map measureGroup="17" dimension="11"/>
    <map measureGroup="17" dimension="12"/>
    <map measureGroup="17" dimension="13"/>
    <map measureGroup="18" dimension="9"/>
    <map measureGroup="19" dimension="0"/>
    <map measureGroup="19" dimension="2"/>
    <map measureGroup="19" dimension="3"/>
    <map measureGroup="19" dimension="8"/>
    <map measureGroup="19" dimension="9"/>
    <map measureGroup="19" dimension="11"/>
    <map measureGroup="19" dimension="12"/>
    <map measureGroup="19" dimension="13"/>
    <map measureGroup="20" dimension="0"/>
    <map measureGroup="20" dimension="1"/>
    <map measureGroup="20" dimension="2"/>
    <map measureGroup="20" dimension="3"/>
    <map measureGroup="20" dimension="9"/>
    <map measureGroup="21" dimension="0"/>
    <map measureGroup="21" dimension="1"/>
    <map measureGroup="21" dimension="2"/>
    <map measureGroup="21" dimension="3"/>
    <map measureGroup="21" dimension="9"/>
    <map measureGroup="22" dimension="10"/>
    <map measureGroup="23" dimension="0"/>
    <map measureGroup="23" dimension="2"/>
    <map measureGroup="23" dimension="3"/>
    <map measureGroup="23" dimension="8"/>
    <map measureGroup="23" dimension="9"/>
    <map measureGroup="23" dimension="11"/>
    <map measureGroup="23" dimension="12"/>
    <map measureGroup="23" dimension="13"/>
    <map measureGroup="24" dimension="0"/>
    <map measureGroup="24" dimension="2"/>
    <map measureGroup="24" dimension="3"/>
    <map measureGroup="24" dimension="8"/>
    <map measureGroup="24" dimension="9"/>
    <map measureGroup="24" dimension="11"/>
    <map measureGroup="24" dimension="12"/>
    <map measureGroup="24" dimension="13"/>
    <map measureGroup="25" dimension="11"/>
    <map measureGroup="26" dimension="3"/>
    <map measureGroup="26" dimension="8"/>
    <map measureGroup="26" dimension="9"/>
    <map measureGroup="26" dimension="11"/>
    <map measureGroup="26" dimension="12"/>
    <map measureGroup="26" dimension="13"/>
    <map measureGroup="27" dimension="12"/>
    <map measureGroup="28" dimension="0"/>
    <map measureGroup="28" dimension="8"/>
    <map measureGroup="28" dimension="11"/>
    <map measureGroup="28" dimension="13"/>
    <map measureGroup="29" dimension="0"/>
    <map measureGroup="29" dimension="8"/>
    <map measureGroup="29" dimension="11"/>
    <map measureGroup="29" dimension="13"/>
    <map measureGroup="30" dimension="8"/>
    <map measureGroup="30" dimension="13"/>
    <map measureGroup="31" dimension="0"/>
    <map measureGroup="31" dimension="11"/>
    <map measureGroup="31" dimension="12"/>
    <map measureGroup="32" dimension="0"/>
    <map measureGroup="32" dimension="8"/>
    <map measureGroup="32" dimension="11"/>
    <map measureGroup="3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hmet Fatih Başol" refreshedDate="46063.389348611112" backgroundQuery="1" createdVersion="8" refreshedVersion="8" minRefreshableVersion="3" recordCount="0" supportSubquery="1" supportAdvancedDrill="1" xr:uid="{22B605DF-C810-4B11-ADF9-00087C2D65E9}">
  <cacheSource type="external" connectionId="2"/>
  <cacheFields count="17">
    <cacheField name="[SalesChannel].[SalesOrgType].[SalesOrgType]" caption="SalesOrgType" numFmtId="0" hierarchy="148" level="1">
      <sharedItems containsSemiMixedTypes="0" containsString="0"/>
    </cacheField>
    <cacheField name="[SalesChannel].[DistrubitionChannelDesc].[DistrubitionChannelDesc]" caption="DistrubitionChannelDesc" numFmtId="0" hierarchy="140" level="1">
      <sharedItems count="2">
        <s v="[SalesChannel].[DistrubitionChannelDesc].&amp;[E - Ticaret]" c="E - Ticaret"/>
        <s v="[SalesChannel].[DistrubitionChannelDesc].&amp;[Perakende Satış]" c="Perakende Satış"/>
      </sharedItems>
    </cacheField>
    <cacheField name="[Measures].[TY Sales Unit]" caption="TY Sales Unit" numFmtId="0" hierarchy="853" level="32767"/>
    <cacheField name="[Measures].[TY Sales Value LC]" caption="TY Sales Value LC" numFmtId="0" hierarchy="855" level="32767"/>
    <cacheField name="[Measures].[TY Avg Store Stock Unit]" caption="TY Avg Store Stock Unit" numFmtId="0" hierarchy="760" level="32767"/>
    <cacheField name="[Measures].[TY Avg Store Transit Stock Unit]" caption="TY Avg Store Transit Stock Unit" numFmtId="0" hierarchy="761" level="32767"/>
    <cacheField name="[Calendar].[H_Merch].[MerchYear]" caption="MerchYear" numFmtId="0" hierarchy="6" level="1">
      <sharedItems count="6">
        <s v="[Calendar].[H_Merch].[MerchYear].&amp;[2021]" c="2021"/>
        <s v="[Calendar].[H_Merch].[MerchYear].&amp;[2022]" c="2022"/>
        <s v="[Calendar].[H_Merch].[MerchYear].&amp;[2023]" c="2023"/>
        <s v="[Calendar].[H_Merch].[MerchYear].&amp;[2024]" c="2024"/>
        <s v="[Calendar].[H_Merch].[MerchYear].&amp;[2025]" c="2025"/>
        <s v="[Calendar].[H_Merch].[MerchYear].&amp;[2026]" c="2026"/>
      </sharedItems>
    </cacheField>
    <cacheField name="[Calendar].[H_Merch].[MerchYearMonthName]" caption="MerchYearMonthName" numFmtId="0" hierarchy="6" level="2">
      <sharedItems count="12">
        <s v="[Calendar].[H_Merch].[MerchYearMonthName].&amp;[2023-Ocak]" c="2023-Ocak"/>
        <s v="[Calendar].[H_Merch].[MerchYearMonthName].&amp;[2023-Şubat]" c="2023-Şubat"/>
        <s v="[Calendar].[H_Merch].[MerchYearMonthName].&amp;[2023-Mart]" c="2023-Mart"/>
        <s v="[Calendar].[H_Merch].[MerchYearMonthName].&amp;[2023-Nisan]" c="2023-Nisan"/>
        <s v="[Calendar].[H_Merch].[MerchYearMonthName].&amp;[2023-Mayıs]" c="2023-Mayıs"/>
        <s v="[Calendar].[H_Merch].[MerchYearMonthName].&amp;[2023-Haziran]" c="2023-Haziran"/>
        <s v="[Calendar].[H_Merch].[MerchYearMonthName].&amp;[2023-Temmuz]" c="2023-Temmuz"/>
        <s v="[Calendar].[H_Merch].[MerchYearMonthName].&amp;[2023-Ağustos]" c="2023-Ağustos"/>
        <s v="[Calendar].[H_Merch].[MerchYearMonthName].&amp;[2023-Eylül]" c="2023-Eylül"/>
        <s v="[Calendar].[H_Merch].[MerchYearMonthName].&amp;[2023-Ekim]" c="2023-Ekim"/>
        <s v="[Calendar].[H_Merch].[MerchYearMonthName].&amp;[2023-Kasım]" c="2023-Kasım"/>
        <s v="[Calendar].[H_Merch].[MerchYearMonthName].&amp;[2023-Aralık]" c="2023-Aralık"/>
      </sharedItems>
    </cacheField>
    <cacheField name="[Calendar].[H_Merch].[MerchYearWeek]" caption="MerchYearWeek" numFmtId="0" hierarchy="6" level="3">
      <sharedItems count="5">
        <s v="[Calendar].[H_Merch].[MerchYearWeek].&amp;[202314]" c="202314"/>
        <s v="[Calendar].[H_Merch].[MerchYearWeek].&amp;[202315]" c="202315"/>
        <s v="[Calendar].[H_Merch].[MerchYearWeek].&amp;[202316]" c="202316"/>
        <s v="[Calendar].[H_Merch].[MerchYearWeek].&amp;[202317]" c="202317"/>
        <s v="[Calendar].[H_Merch].[MerchYearWeek].&amp;[202318]" c="202318"/>
      </sharedItems>
    </cacheField>
    <cacheField name="[Calendar].[H_Merch].[Date]" caption="Date" numFmtId="0" hierarchy="6" level="4">
      <sharedItems containsSemiMixedTypes="0" containsString="0"/>
    </cacheField>
    <cacheField name="[Store].[LocationCountry].[LocationCountry]" caption="LocationCountry" numFmtId="0" hierarchy="165" level="1">
      <sharedItems containsSemiMixedTypes="0" containsString="0"/>
    </cacheField>
    <cacheField name="[Calendar].[MerchWeek].[MerchWeek]" caption="MerchWeek" numFmtId="0" hierarchy="14" level="1">
      <sharedItems count="2">
        <s v="[Calendar].[MerchWeek].&amp;[14]" c="14"/>
        <s v="[Calendar].[MerchWeek].&amp;[15]" c="15"/>
      </sharedItems>
    </cacheField>
    <cacheField name="[Material].[H_MainGroup].[MainGroupDesc]" caption="MainGroupDesc" numFmtId="0" hierarchy="69" level="1">
      <sharedItems count="19">
        <s v="[Material].[H_MainGroup].[MainGroupDesc].&amp;[Aksesuar]" c="Aksesuar"/>
        <s v="[Material].[H_MainGroup].[MainGroupDesc].&amp;[Banyo]" c="Banyo"/>
        <s v="[Material].[H_MainGroup].[MainGroupDesc].&amp;[Battaniye]" c="Battaniye"/>
        <s v="[Material].[H_MainGroup].[MainGroupDesc].&amp;[Bebe - Çocuk]" c="Bebe - Çocuk"/>
        <s v="[Material].[H_MainGroup].[MainGroupDesc].&amp;[Bornoz]" c="Bornoz"/>
        <s v="[Material].[H_MainGroup].[MainGroupDesc].&amp;[Ev Giysisi]" c="Ev Giysisi"/>
        <s v="[Material].[H_MainGroup].[MainGroupDesc].&amp;[Halı - Kilim]" c="Halı - Kilim"/>
        <s v="[Material].[H_MainGroup].[MainGroupDesc].&amp;[Havlu]" c="Havlu"/>
        <s v="[Material].[H_MainGroup].[MainGroupDesc].&amp;[Kozmetik]" c="Kozmetik"/>
        <s v="[Material].[H_MainGroup].[MainGroupDesc].&amp;[Masa Örtüsü]" c="Masa Örtüsü"/>
        <s v="[Material].[H_MainGroup].[MainGroupDesc].&amp;[Mobilya Satış]" c="Mobilya Satış"/>
        <s v="[Material].[H_MainGroup].[MainGroupDesc].&amp;[Mutfak]" c="Mutfak"/>
        <s v="[Material].[H_MainGroup].[MainGroupDesc].&amp;[Nevresim]" c="Nevresim"/>
        <s v="[Material].[H_MainGroup].[MainGroupDesc].&amp;[Pike]" c="Pike"/>
        <s v="[Material].[H_MainGroup].[MainGroupDesc].&amp;[Pişirme]" c="Pişirme"/>
        <s v="[Material].[H_MainGroup].[MainGroupDesc].&amp;[Salon]" c="Salon"/>
        <s v="[Material].[H_MainGroup].[MainGroupDesc].&amp;[Yastık]" c="Yastık"/>
        <s v="[Material].[H_MainGroup].[MainGroupDesc].&amp;[Yatak Örtüsü]" c="Yatak Örtüsü"/>
        <s v="[Material].[H_MainGroup].[MainGroupDesc].&amp;[Yorgan]" c="Yorgan"/>
      </sharedItems>
    </cacheField>
    <cacheField name="[Material].[H_MainGroup].[SubGroupDesc]" caption="SubGroupDesc" numFmtId="0" hierarchy="69" level="2">
      <sharedItems containsSemiMixedTypes="0" containsString="0"/>
    </cacheField>
    <cacheField name="[Measures].[TY Avg DC Stock Unit]" caption="TY Avg DC Stock Unit" numFmtId="0" hierarchy="693" level="32767"/>
    <cacheField name="[Material].[MainGroupDesc].[MainGroupDesc]" caption="MainGroupDesc" numFmtId="0" hierarchy="75" level="1">
      <sharedItems count="19">
        <s v="[Material].[MainGroupDesc].&amp;[Aksesuar]" c="Aksesuar"/>
        <s v="[Material].[MainGroupDesc].&amp;[Banyo]" c="Banyo"/>
        <s v="[Material].[MainGroupDesc].&amp;[Battaniye]" c="Battaniye"/>
        <s v="[Material].[MainGroupDesc].&amp;[Bebe - Çocuk]" c="Bebe - Çocuk"/>
        <s v="[Material].[MainGroupDesc].&amp;[Bornoz]" c="Bornoz"/>
        <s v="[Material].[MainGroupDesc].&amp;[Ev Giysisi]" c="Ev Giysisi"/>
        <s v="[Material].[MainGroupDesc].&amp;[Halı - Kilim]" c="Halı - Kilim"/>
        <s v="[Material].[MainGroupDesc].&amp;[Havlu]" c="Havlu"/>
        <s v="[Material].[MainGroupDesc].&amp;[Kozmetik]" c="Kozmetik"/>
        <s v="[Material].[MainGroupDesc].&amp;[Masa Örtüsü]" c="Masa Örtüsü"/>
        <s v="[Material].[MainGroupDesc].&amp;[Mobilya Satış]" c="Mobilya Satış"/>
        <s v="[Material].[MainGroupDesc].&amp;[Mutfak]" c="Mutfak"/>
        <s v="[Material].[MainGroupDesc].&amp;[Nevresim]" c="Nevresim"/>
        <s v="[Material].[MainGroupDesc].&amp;[Pike]" c="Pike"/>
        <s v="[Material].[MainGroupDesc].&amp;[Pişirme]" c="Pişirme"/>
        <s v="[Material].[MainGroupDesc].&amp;[Salon]" c="Salon"/>
        <s v="[Material].[MainGroupDesc].&amp;[Yastık]" c="Yastık"/>
        <s v="[Material].[MainGroupDesc].&amp;[Yatak Örtüsü]" c="Yatak Örtüsü"/>
        <s v="[Material].[MainGroupDesc].&amp;[Yorgan]" c="Yorgan"/>
      </sharedItems>
    </cacheField>
    <cacheField name="[Measures].[TY Gross Profit LC]" caption="TY Gross Profit LC" numFmtId="0" hierarchy="1003" level="32767"/>
  </cacheFields>
  <cacheHierarchies count="156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5" unbalanced="0">
      <fieldsUsage count="5">
        <fieldUsage x="-1"/>
        <fieldUsage x="6"/>
        <fieldUsage x="7"/>
        <fieldUsage x="8"/>
        <fieldUsage x="9"/>
      </fieldsUsage>
    </cacheHierarchy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0" unbalanced="0"/>
    <cacheHierarchy uniqueName="[Calendar].[LastNMonths]" caption="LastNMonths" attribute="1" time="1" defaultMemberUniqueName="[Calendar].[LastNMonths].[All]" allUniqueName="[Calendar].[LastNMonths].[All]" dimensionUniqueName="[Calendar]" displayFolder="" count="0" unbalanced="0"/>
    <cacheHierarchy uniqueName="[Calendar].[LastNWeeks]" caption="LastNWeeks" attribute="1" time="1" defaultMemberUniqueName="[Calendar].[LastNWeeks].[All]" allUniqueName="[Calendar].[LastNWeeks].[All]" dimensionUniqueName="[Calendar]" displayFolder="" count="0" unbalanced="0"/>
    <cacheHierarchy uniqueName="[Calendar].[MerchMonth]" caption="MerchMonth" attribute="1" time="1" defaultMemberUniqueName="[Calendar].[MerchMonth].[All]" allUniqueName="[Calendar].[MerchMonth].[All]" dimensionUniqueName="[Calendar]" displayFolder="Merch" count="0" unbalanced="0"/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>
      <fieldsUsage count="2">
        <fieldUsage x="-1"/>
        <fieldUsage x="11"/>
      </fieldsUsage>
    </cacheHierarchy>
    <cacheHierarchy uniqueName="[Calendar].[MerchYear]" caption="MerchYear" attribute="1" time="1" defaultMemberUniqueName="[Calendar].[MerchYear].[All]" allUniqueName="[Calendar].[MerchYear].[All]" dimensionUniqueName="[Calendar]" displayFolder="Merch" count="0" unbalanced="0"/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0" unbalanced="0"/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Delivery].[CustomerClass]" caption="CustomerClass" attribute="1" defaultMemberUniqueName="[Delivery].[CustomerClass].[All]" allUniqueName="[Delivery].[CustomerClass].[All]" dimensionUniqueName="[Delivery]" displayFolder="" count="0" unbalanced="0"/>
    <cacheHierarchy uniqueName="[Delivery].[MainCustomerClass]" caption="MainCustomerClass" attribute="1" defaultMemberUniqueName="[Delivery].[MainCustomerClass].[All]" allUniqueName="[Delivery].[MainCustomerClass].[All]" dimensionUniqueName="[Delivery]" displayFolder="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3" unbalanced="0">
      <fieldsUsage count="3">
        <fieldUsage x="-1"/>
        <fieldUsage x="12"/>
        <fieldUsage x="13"/>
      </fieldsUsage>
    </cacheHierarchy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2" unbalanced="0">
      <fieldsUsage count="2">
        <fieldUsage x="-1"/>
        <fieldUsage x="15"/>
      </fieldsUsage>
    </cacheHierarchy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Desc]" caption="MaterialCodeDesc" attribute="1" defaultMemberUniqueName="[Material].[MaterialCodeDesc].[All]" allUniqueName="[Material].[MaterialCodeDesc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0" unbalanced="0"/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axStockQty]" caption="MaxStockQty" attribute="1" defaultMemberUniqueName="[Material].[MaxStockQty].[All]" allUniqueName="[Material].[MaxStockQty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0" unbalanced="0"/>
    <cacheHierarchy uniqueName="[Material].[MinStockQty]" caption="MinStockQty" attribute="1" defaultMemberUniqueName="[Material].[MinStockQty].[All]" allUniqueName="[Material].[MinStockQty].[All]" dimensionUniqueName="[Material]" displayFolder="" count="0" unbalanced="0"/>
    <cacheHierarchy uniqueName="[Material].[PackagingType]" caption="PackagingType" attribute="1" defaultMemberUniqueName="[Material].[PackagingType].[All]" allUniqueName="[Material].[PackagingType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PlanStatus]" caption="PlanStatus" attribute="1" defaultMemberUniqueName="[Material].[PlanStatus].[All]" allUniqueName="[Material].[PlanStatus].[All]" dimensionUniqueName="[Material]" displayFolder="" count="0" unbalanced="0"/>
    <cacheHierarchy uniqueName="[Material].[PriceX]" caption="PriceX" attribute="1" defaultMemberUniqueName="[Material].[PriceX].[All]" allUniqueName="[Material].[PriceX].[All]" dimensionUniqueName="[Material]" displayFolder="" count="0" unbalanced="0"/>
    <cacheHierarchy uniqueName="[Material].[ProductFamily]" caption="ProductFamily" attribute="1" defaultMemberUniqueName="[Material].[ProductFamily].[All]" allUniqueName="[Material].[ProductFamily].[All]" dimensionUniqueName="[Material]" displayFolder="" count="0" unbalanced="0"/>
    <cacheHierarchy uniqueName="[Material].[ProductSegment]" caption="ProductSegment" attribute="1" defaultMemberUniqueName="[Material].[ProductSegment].[All]" allUniqueName="[Material].[ProductSegment].[All]" dimensionUniqueName="[Material]" displayFolder="" count="0" unbalanced="0"/>
    <cacheHierarchy uniqueName="[Material].[ProductStoreSegment]" caption="ProductStoreSegment" attribute="1" defaultMemberUniqueName="[Material].[ProductStoreSegment].[All]" allUniqueName="[Material].[ProductStoreSegment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RemainingDaysforPlan]" caption="RemainingDaysforPlan" attribute="1" defaultMemberUniqueName="[Material].[RemainingDaysforPlan].[All]" allUniqueName="[Material].[RemainingDaysforPlan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0" unbalanced="0"/>
    <cacheHierarchy uniqueName="[Material].[TagGroupDesc]" caption="TagGroupDesc" attribute="1" defaultMemberUniqueName="[Material].[TagGroupDesc].[All]" allUniqueName="[Material].[Tag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atRate]" caption="VatRate" attribute="1" defaultMemberUniqueName="[Material].[VatRate].[All]" allUniqueName="[Material].[VatRate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0" unbalanced="0"/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>
      <fieldsUsage count="2">
        <fieldUsage x="-1"/>
        <fieldUsage x="1"/>
      </fieldsUsage>
    </cacheHierarchy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0" unbalanced="0"/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2" unbalanced="0">
      <fieldsUsage count="2">
        <fieldUsage x="-1"/>
        <fieldUsage x="0"/>
      </fieldsUsage>
    </cacheHierarchy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2" unbalanced="0">
      <fieldsUsage count="2">
        <fieldUsage x="-1"/>
        <fieldUsage x="10"/>
      </fieldsUsage>
    </cacheHierarchy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Season]" caption="LocationSeason" attribute="1" defaultMemberUniqueName="[Store].[LocationSeason].[All]" allUniqueName="[Store].[LocationSeason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ckBufferFactor]" caption="StockBufferFactor" attribute="1" defaultMemberUniqueName="[Store].[StockBufferFactor].[All]" allUniqueName="[Store].[StockBufferFactor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PriceScore]" caption="StorePriceScore" attribute="1" defaultMemberUniqueName="[Store].[StorePriceScore].[All]" allUniqueName="[Store].[StorePriceScore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ales].[BanProfit]" caption="BanProfit" attribute="1" defaultMemberUniqueName="[CurrentStockSales].[BanProfit].[All]" allUniqueName="[CurrentStockSales].[BanProfit].[All]" dimensionUniqueName="[CurrentStockSales]" displayFolder="" count="0" unbalanced="0" hidden="1"/>
    <cacheHierarchy uniqueName="[CurrentStockSales].[CumStockDM3]" caption="CumStockDM3" attribute="1" defaultMemberUniqueName="[CurrentStockSales].[CumStockDM3].[All]" allUniqueName="[CurrentStockSales].[CumStockDM3].[All]" dimensionUniqueName="[CurrentStockSales]" displayFolder="" count="0" unbalanced="0" hidden="1"/>
    <cacheHierarchy uniqueName="[CurrentStockSales].[CumStokUnit]" caption="CumStokUnit" attribute="1" defaultMemberUniqueName="[CurrentStockSales].[CumStokUnit].[All]" allUniqueName="[CurrentStockSales].[CumStokUnit].[All]" dimensionUniqueName="[CurrentStockSales]" displayFolder="" count="0" unbalanced="0" hidden="1"/>
    <cacheHierarchy uniqueName="[CurrentStockSales].[CUROpenTransferStoreStockUnit]" caption="CUROpenTransferStoreStockUnit" attribute="1" defaultMemberUniqueName="[CurrentStockSales].[CUROpenTransferStoreStockUnit].[All]" allUniqueName="[CurrentStockSales].[CUROpenTransferStoreStockUnit].[All]" dimensionUniqueName="[CurrentStockSales]" displayFolder="" count="0" unbalanced="0" hidden="1"/>
    <cacheHierarchy uniqueName="[CurrentStockSales].[CURUnapprovedOrderStoreStockUnit]" caption="CURUnapprovedOrderStoreStockUnit" attribute="1" defaultMemberUniqueName="[CurrentStockSales].[CURUnapprovedOrderStoreStockUnit].[All]" allUniqueName="[CurrentStockSales].[CURUnapprovedOrderStoreStockUnit].[All]" dimensionUniqueName="[CurrentStockSales]" displayFolder="" count="0" unbalanced="0" hidden="1"/>
    <cacheHierarchy uniqueName="[CurrentStockSales].[GrossProfit007]" caption="GrossProfit007" attribute="1" defaultMemberUniqueName="[CurrentStockSales].[GrossProfit007].[All]" allUniqueName="[CurrentStockSales].[GrossProfit007].[All]" dimensionUniqueName="[CurrentStockSales]" displayFolder="" count="0" unbalanced="0" hidden="1"/>
    <cacheHierarchy uniqueName="[CurrentStockSales].[GrossProfit021]" caption="GrossProfit021" attribute="1" defaultMemberUniqueName="[CurrentStockSales].[GrossProfit021].[All]" allUniqueName="[CurrentStockSales].[GrossProfit021].[All]" dimensionUniqueName="[CurrentStockSales]" displayFolder="" count="0" unbalanced="0" hidden="1"/>
    <cacheHierarchy uniqueName="[CurrentStockSales].[LivingArea]" caption="LivingArea" attribute="1" defaultMemberUniqueName="[CurrentStockSales].[LivingArea].[All]" allUniqueName="[CurrentStockSales].[LivingArea].[All]" dimensionUniqueName="[CurrentStockSales]" displayFolder="" count="0" unbalanced="0" hidden="1"/>
    <cacheHierarchy uniqueName="[CurrentStockSales].[MainGroupCode]" caption="MainGroupCode" attribute="1" defaultMemberUniqueName="[CurrentStockSales].[MainGroupCode].[All]" allUniqueName="[CurrentStockSales].[MainGroupCode].[All]" dimensionUniqueName="[CurrentStockSales]" displayFolder="" count="0" unbalanced="0" hidden="1"/>
    <cacheHierarchy uniqueName="[CurrentStockSales].[Marj_w1]" caption="Marj_w1" attribute="1" defaultMemberUniqueName="[CurrentStockSales].[Marj_w1].[All]" allUniqueName="[CurrentStockSales].[Marj_w1].[All]" dimensionUniqueName="[CurrentStockSales]" displayFolder="" count="0" unbalanced="0" hidden="1"/>
    <cacheHierarchy uniqueName="[CurrentStockSales].[Marj_w3]" caption="Marj_w3" attribute="1" defaultMemberUniqueName="[CurrentStockSales].[Marj_w3].[All]" allUniqueName="[CurrentStockSales].[Marj_w3].[All]" dimensionUniqueName="[CurrentStockSales]" displayFolder="" count="0" unbalanced="0" hidden="1"/>
    <cacheHierarchy uniqueName="[CurrentStockSales].[MaterialCode]" caption="MaterialCode" attribute="1" defaultMemberUniqueName="[CurrentStockSales].[MaterialCode].[All]" allUniqueName="[CurrentStockSales].[MaterialCode].[All]" dimensionUniqueName="[CurrentStockSales]" displayFolder="" count="0" unbalanced="0" hidden="1"/>
    <cacheHierarchy uniqueName="[CurrentStockSales].[MaterialDm3]" caption="MaterialDm3" attribute="1" defaultMemberUniqueName="[CurrentStockSales].[MaterialDm3].[All]" allUniqueName="[CurrentStockSales].[MaterialDm3].[All]" dimensionUniqueName="[CurrentStockSales]" displayFolder="" count="0" unbalanced="0" hidden="1"/>
    <cacheHierarchy uniqueName="[CurrentStockSales].[MaterialKey]" caption="MaterialKey" attribute="1" defaultMemberUniqueName="[CurrentStockSales].[MaterialKey].[All]" allUniqueName="[CurrentStockSales].[MaterialKey].[All]" dimensionUniqueName="[CurrentStockSales]" displayFolder="" count="0" unbalanced="0" hidden="1"/>
    <cacheHierarchy uniqueName="[CurrentStockSales].[NetCumStockDM3]" caption="NetCumStockDM3" attribute="1" defaultMemberUniqueName="[CurrentStockSales].[NetCumStockDM3].[All]" allUniqueName="[CurrentStockSales].[NetCumStockDM3].[All]" dimensionUniqueName="[CurrentStockSales]" displayFolder="" count="0" unbalanced="0" hidden="1"/>
    <cacheHierarchy uniqueName="[CurrentStockSales].[NetCumStokUnit]" caption="NetCumStokUnit" attribute="1" defaultMemberUniqueName="[CurrentStockSales].[NetCumStokUnit].[All]" allUniqueName="[CurrentStockSales].[NetCumStokUnit].[All]" dimensionUniqueName="[CurrentStockSales]" displayFolder="" count="0" unbalanced="0" hidden="1"/>
    <cacheHierarchy uniqueName="[CurrentStockSales].[QtyInBox]" caption="QtyInBox" attribute="1" defaultMemberUniqueName="[CurrentStockSales].[QtyInBox].[All]" allUniqueName="[CurrentStockSales].[QtyInBox].[All]" dimensionUniqueName="[CurrentStockSales]" displayFolder="" count="0" unbalanced="0" hidden="1"/>
    <cacheHierarchy uniqueName="[CurrentStockSales].[SalesUnit007]" caption="SalesUnit007" attribute="1" defaultMemberUniqueName="[CurrentStockSales].[SalesUnit007].[All]" allUniqueName="[CurrentStockSales].[SalesUnit007].[All]" dimensionUniqueName="[CurrentStockSales]" displayFolder="" count="0" unbalanced="0" hidden="1"/>
    <cacheHierarchy uniqueName="[CurrentStockSales].[SalesUnit021]" caption="SalesUnit021" attribute="1" defaultMemberUniqueName="[CurrentStockSales].[SalesUnit021].[All]" allUniqueName="[CurrentStockSales].[SalesUnit021].[All]" dimensionUniqueName="[CurrentStockSales]" displayFolder="" count="0" unbalanced="0" hidden="1"/>
    <cacheHierarchy uniqueName="[CurrentStockSales].[SalesValue007]" caption="SalesValue007" attribute="1" defaultMemberUniqueName="[CurrentStockSales].[SalesValue007].[All]" allUniqueName="[CurrentStockSales].[SalesValue007].[All]" dimensionUniqueName="[CurrentStockSales]" displayFolder="" count="0" unbalanced="0" hidden="1"/>
    <cacheHierarchy uniqueName="[CurrentStockSales].[SalesValue021]" caption="SalesValue021" attribute="1" defaultMemberUniqueName="[CurrentStockSales].[SalesValue021].[All]" allUniqueName="[CurrentStockSales].[SalesValue021].[All]" dimensionUniqueName="[CurrentStockSales]" displayFolder="" count="0" unbalanced="0" hidden="1"/>
    <cacheHierarchy uniqueName="[CurrentStockSales].[StockBufferFactor]" caption="StockBufferFactor" attribute="1" defaultMemberUniqueName="[CurrentStockSales].[StockBufferFactor].[All]" allUniqueName="[CurrentStockSales].[StockBufferFactor].[All]" dimensionUniqueName="[CurrentStockSales]" displayFolder="" count="0" unbalanced="0" hidden="1"/>
    <cacheHierarchy uniqueName="[CurrentStockSales].[StoreCode]" caption="StoreCode" attribute="1" defaultMemberUniqueName="[CurrentStockSales].[StoreCode].[All]" allUniqueName="[CurrentStockSales].[StoreCode].[All]" dimensionUniqueName="[CurrentStockSales]" displayFolder="" count="0" unbalanced="0" hidden="1"/>
    <cacheHierarchy uniqueName="[CurrentStockSales].[StoreStockUnit]" caption="StoreStockUnit" attribute="1" defaultMemberUniqueName="[CurrentStockSales].[StoreStockUnit].[All]" allUniqueName="[CurrentStockSales].[StoreStockUnit].[All]" dimensionUniqueName="[CurrentStockSales]" displayFolder="" count="0" unbalanced="0" hidden="1"/>
    <cacheHierarchy uniqueName="[CurrentStockSales].[StoreTransitStockUnit]" caption="StoreTransitStockUnit" attribute="1" defaultMemberUniqueName="[CurrentStockSales].[StoreTransitStockUnit].[All]" allUniqueName="[CurrentStockSales].[StoreTransitStockUnit].[All]" dimensionUniqueName="[CurrentStockSales]" displayFolder="" count="0" unbalanced="0" hidden="1"/>
    <cacheHierarchy uniqueName="[CurrentStockSales].[TRMarj_w1]" caption="TRMarj_w1" attribute="1" defaultMemberUniqueName="[CurrentStockSales].[TRMarj_w1].[All]" allUniqueName="[CurrentStockSales].[TRMarj_w1].[All]" dimensionUniqueName="[CurrentStockSales]" displayFolder="" count="0" unbalanced="0" hidden="1"/>
    <cacheHierarchy uniqueName="[CurrentStockSales].[TRMarj_w3]" caption="TRMarj_w3" attribute="1" defaultMemberUniqueName="[CurrentStockSales].[TRMarj_w3].[All]" allUniqueName="[CurrentStockSales].[TRMarj_w3].[All]" dimensionUniqueName="[CurrentStockSales]" displayFolder="" count="0" unbalanced="0" hidden="1"/>
    <cacheHierarchy uniqueName="[CurrentStockSales].[WeeklyAvgSales]" caption="WeeklyAvgSales" attribute="1" defaultMemberUniqueName="[CurrentStockSales].[WeeklyAvgSales].[All]" allUniqueName="[CurrentStockSales].[WeeklyAvgSales].[All]" dimensionUniqueName="[CurrentStockSales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Delivery].[DeliveryBudget]" caption="DeliveryBudget" attribute="1" defaultMemberUniqueName="[Delivery].[DeliveryBudget].[All]" allUniqueName="[Delivery].[DeliveryBudget].[All]" dimensionUniqueName="[Delivery]" displayFolder="" count="0" unbalanced="0" hidden="1"/>
    <cacheHierarchy uniqueName="[Delivery].[DeliveryQty]" caption="DeliveryQty" attribute="1" defaultMemberUniqueName="[Delivery].[DeliveryQty].[All]" allUniqueName="[Delivery].[DeliveryQty].[All]" dimensionUniqueName="[Delivery]" displayFolder="" count="0" unbalanced="0" hidden="1"/>
    <cacheHierarchy uniqueName="[Delivery].[FirstDayofMonth]" caption="FirstDayofMonth" attribute="1" defaultMemberUniqueName="[Delivery].[FirstDayofMonth].[All]" allUniqueName="[Delivery].[FirstDayofMonth].[All]" dimensionUniqueName="[Delivery]" displayFolder="" count="0" unbalanced="0" hidden="1"/>
    <cacheHierarchy uniqueName="[Delivery].[MaterialKey]" caption="MaterialKey" attribute="1" defaultMemberUniqueName="[Delivery].[MaterialKey].[All]" allUniqueName="[Delivery].[MaterialKey].[All]" dimensionUniqueName="[Delivery]" displayFolder="" count="0" unbalanced="0" hidden="1"/>
    <cacheHierarchy uniqueName="[Delivery].[Month]" caption="Month" attribute="1" defaultMemberUniqueName="[Delivery].[Month].[All]" allUniqueName="[Delivery].[Month].[All]" dimensionUniqueName="[Delivery]" displayFolder="" count="0" unbalanced="0" hidden="1"/>
    <cacheHierarchy uniqueName="[Delivery].[Year]" caption="Year" attribute="1" defaultMemberUniqueName="[Delivery].[Year].[All]" allUniqueName="[Delivery].[Year].[All]" dimensionUniqueName="[Delivery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FROM_PLANT]" caption="FROM_PLANT" attribute="1" defaultMemberUniqueName="[OpenImportsStoreStock].[FROM_PLANT].[All]" allUniqueName="[OpenImportsStoreStock].[FROM_PLAN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 hidden="1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 hidden="1"/>
    <cacheHierarchy uniqueName="[PurchaseOrder].[ToptanSasCarpanı]" caption="ToptanSasCarpanı" attribute="1" defaultMemberUniqueName="[PurchaseOrder].[ToptanSasCarpanı].[All]" allUniqueName="[PurchaseOrder].[ToptanSasCarpanı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 hidden="1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 hidden="1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 hidden="1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 hidden="1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 hidden="1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 hidden="1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 hidden="1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 hidden="1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 hidden="1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 hidden="1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 hidden="1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 hidden="1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 hidden="1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 hidden="1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 hidden="1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 hidden="1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 hidden="1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 hidden="1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 hidden="1"/>
    <cacheHierarchy uniqueName="[PurchaseOrderGR].[ToptanSasCarpanı]" caption="ToptanSasCarpanı" attribute="1" defaultMemberUniqueName="[PurchaseOrderGR].[ToptanSasCarpanı].[All]" allUniqueName="[PurchaseOrderGR].[ToptanSasCarpanı].[All]" dimensionUniqueName="[PurchaseOrderG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CapacityUnit]" caption="CapacityUnit" attribute="1" defaultMemberUniqueName="[Store].[CapacityUnit].[All]" allUniqueName="[Store].[CapacityUnit].[All]" dimensionUniqueName="[Store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 oneField="1">
      <fieldsUsage count="1">
        <fieldUsage x="14"/>
      </fieldsUsage>
    </cacheHierarchy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/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Kullanılabilir DC Stok Adet]" caption="Kullanılabilir DC Stok Adet" measure="1" displayFolder="00_CURRENT" measureGroup="StockDC" count="0"/>
    <cacheHierarchy uniqueName="[Measures].[TY Avg Store Stock Unit]" caption="TY Avg Store Stock Unit" measure="1" displayFolder="01_TY\_UNIT" measureGroup="StockStore" count="0" oneField="1">
      <fieldsUsage count="1">
        <fieldUsage x="4"/>
      </fieldsUsage>
    </cacheHierarchy>
    <cacheHierarchy uniqueName="[Measures].[TY Avg Store Transit Stock Unit]" caption="TY Avg Store Transit Stock Unit" measure="1" displayFolder="01_TY\_UNIT" measureGroup="StockStore" count="0" oneField="1">
      <fieldsUsage count="1">
        <fieldUsage x="5"/>
      </fieldsUsage>
    </cacheHierarchy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/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CUR Unapproved Order Store Stock Unit Others]" caption="CUR Unapproved Order Store Stock Unit Others" measure="1" displayFolder="00_CURRENT" measureGroup="StockStore" count="0"/>
    <cacheHierarchy uniqueName="[Measures].[CUR Open Transfer Store Stock Unit Others]" caption="CUR Open Transfer Store Stock Unit Others" measure="1" displayFolder="00_CURRENT" measureGroup="StockStore" count="0"/>
    <cacheHierarchy uniqueName="[Measures].[CUR Open Transfer Store Stock Dm3 Others]" caption="CUR Open Transfer Store Stock Dm3 Others" measure="1" displayFolder="00_CURRENT" measureGroup="StockStore" count="0"/>
    <cacheHierarchy uniqueName="[Measures].[CUR Unapproved Order Store Stock Dm3 Others]" caption="CUR Unapproved Order Store Stock Dm3 Others" measure="1" displayFolder="00_CURRENT" measureGroup="StockStore" count="0"/>
    <cacheHierarchy uniqueName="[Measures].[TY Sales Unit]" caption="TY Sales Unit" measure="1" displayFolder="01_TY\_UNIT" measureGroup="Sales" count="0" oneField="1">
      <fieldsUsage count="1">
        <fieldUsage x="2"/>
      </fieldsUsage>
    </cacheHierarchy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 oneField="1">
      <fieldsUsage count="1">
        <fieldUsage x="3"/>
      </fieldsUsage>
    </cacheHierarchy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/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/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/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/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/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/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 oneField="1">
      <fieldsUsage count="1">
        <fieldUsage x="16"/>
      </fieldsUsage>
    </cacheHierarchy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/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Unit Dm3]" caption="TY Sales Unit Dm3" measure="1" displayFolder="01_TY\_VOLUME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/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/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/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/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/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/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/>
    <cacheHierarchy uniqueName="[Measures].[LFL Sales Value TYvsLY LC%]" caption="LFL Sales Value TYvsLY LC%" measure="1" displayFolder="02_TYLFL\LC" measureGroup="KPI" count="0"/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/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/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/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/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/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/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/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Pending PO Unit (WholeSale)]" caption="Pending PO Unit (WholeSale)" measure="1" displayFolder="_UNIT" measureGroup="PurchaseOrder" count="0"/>
    <cacheHierarchy uniqueName="[Measures].[Pending PO Value LC (WholeSale)]" caption="Pending PO Value LC (WholeSale)" measure="1" displayFolder="_VALUE" measureGroup="PurchaseOrder" count="0"/>
    <cacheHierarchy uniqueName="[Measures].[Goods Receipt PO Unit (WholeSale)]" caption="Goods Receipt PO Unit (WholeSale)" measure="1" displayFolder="_UNIT" measureGroup="PurchaseOrder" count="0"/>
    <cacheHierarchy uniqueName="[Measures].[Goods Receipt PO Value LC (WholeSale)]" caption="Goods Receipt PO Value LC (WholeSale)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DM3" measureGroup="Capacity" count="0"/>
    <cacheHierarchy uniqueName="[Measures].[CUR Backstore Capacity dm3]" caption="CUR Backstore Capacity dm3" measure="1" displayFolder="00_CURRENT\_DM3" measureGroup="Capacity" count="0"/>
    <cacheHierarchy uniqueName="[Measures].[CUR Total Store Capacity dm3]" caption="CUR Total Store Capacity dm3" measure="1" displayFolder="00_CURRENT\_DM3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Fiziki Dm3 Doluluk %]" caption="Fiziki Dm3 Doluluk %" measure="1" displayFolder="00_CURRENT\_DM3" measureGroup="Capacity" count="0"/>
    <cacheHierarchy uniqueName="[Measures].[Nihai Dm3 Doluluk %]" caption="Nihai Dm3 Doluluk %" measure="1" displayFolder="00_CURRENT\_DM3" measureGroup="Capacity" count="0"/>
    <cacheHierarchy uniqueName="[Measures].[Fiziki Adet Doluluk %]" caption="Fiziki Adet Doluluk %" measure="1" displayFolder="00_CURRENT\_UNIT" measureGroup="Capacity" count="0"/>
    <cacheHierarchy uniqueName="[Measures].[Nihai Adet Doluluk %]" caption="Nihai Adet Doluluk %" measure="1" displayFolder="00_CURRENT\_UNIT" measureGroup="Capacity" count="0"/>
    <cacheHierarchy uniqueName="[Measures].[BrKar/Dm3]" caption="BrKar/Dm3" measure="1" displayFolder="00_CURRENT\_DM3" measureGroup="Capacity" count="0"/>
    <cacheHierarchy uniqueName="[Measures].[NET Nihai Dm3 Doluluk %]" caption="NET Nihai Dm3 Doluluk %" measure="1" displayFolder="00_CURRENT\_DM3" measureGroup="Capacity" count="0"/>
    <cacheHierarchy uniqueName="[Measures].[Delivery Quantity Outbound from DC to Store]" caption="Delivery Quantity Outbound from DC to Store" measure="1" displayFolder="" measureGroup="Delivery" count="0"/>
    <cacheHierarchy uniqueName="[Measures].[Delivery Quantity Target from DC to Store]" caption="Delivery Quantity Target from DC to Store" measure="1" displayFolder="" measureGroup="Deliver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SumofSalesUnitDm3]" caption="SumofSalesUnitDm3" measure="1" displayFolder="" measureGroup="Sales" count="0" hidden="1"/>
    <cacheHierarchy uniqueName="[Measures].[TY Store Cover Unit]" caption="TY Store Cover Unit" measure="1" displayFolder="01_TY\_UNIT" measureGroup="KPI" count="0" hidden="1"/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hidden="1"/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Last 21Days TY Sales Unit]" caption="Last 21Days TY Sales Unit" measure="1" displayFolder="LASTN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Goods Receipt PO Value LC Old]" caption="Goods Receipt PO Value LC Old" measure="1" displayFolder="_VALUE" measureGroup="PurchaseOrder" count="0" hidden="1"/>
    <cacheHierarchy uniqueName="[Measures].[Goods Receipt PO Unit Base (WholeSale)]" caption="Goods Receipt PO Unit Base (WholeSale)" measure="1" displayFolder="" measureGroup="PurchaseOrder" count="0" hidden="1"/>
    <cacheHierarchy uniqueName="[Measures].[Goods Receipt PO Value Navlun LC Base (WholeSale)]" caption="Goods Receipt PO Value Navlun LC Base (WholeSale)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  <cacheHierarchy uniqueName="[Measures].[CUR NET Cumulative Stock DM3]" caption="CUR NET Cumulative Stock DM3" measure="1" displayFolder="" measureGroup="Capacity" count="0" hidden="1"/>
  </cacheHierarchies>
  <kpis count="0"/>
  <dimensions count="13">
    <dimension name="Calendar" uniqueName="[Calendar]" caption="Calendar"/>
    <dimension name="DCWarehouse" uniqueName="[DCWarehouse]" caption="DCWarehouse"/>
    <dimension name="Delivery" uniqueName="[Delivery]" caption="Delivery"/>
    <dimension name="ISPUnitPrice" uniqueName="[ISPUnitPrice]" caption="ISPUnitPrice"/>
    <dimension name="Material" uniqueName="[Material]" caption="Material"/>
    <dimension measure="1" name="Measures" uniqueName="[Measures]" caption="Measures"/>
    <dimension name="SalesBudget" uniqueName="[SalesBudget]" caption="SalesBudget"/>
    <dimension name="SalesChannel" uniqueName="[SalesChannel]" caption="SalesChannel"/>
    <dimension name="SalesSeason" uniqueName="[SalesSeason]" caption="SalesSeason"/>
    <dimension name="StockList" uniqueName="[StockList]" caption="StockList"/>
    <dimension name="Store" uniqueName="[Store]" caption="Store"/>
    <dimension name="StoreLFLStatu" uniqueName="[StoreLFLStatu]" caption="StoreLFLStatu"/>
    <dimension name="SubDistChannel" uniqueName="[SubDistChannel]" caption="SubDistChannel"/>
  </dimensions>
  <measureGroups count="35">
    <measureGroup name="Calendar" caption="Calendar"/>
    <measureGroup name="Capacity" caption="Capacity"/>
    <measureGroup name="CapacityPlanTY" caption="CapacityPlanTY"/>
    <measureGroup name="CurrentStockSales" caption="CurrentStockSales"/>
    <measureGroup name="CurrentStockStore" caption="CurrentStockStore"/>
    <measureGroup name="DCWarehouse" caption="DCWarehouse"/>
    <measureGroup name="Delivery" caption="Delivery"/>
    <measureGroup name="ISPUnitPrice" caption="ISPUnitPrice"/>
    <measureGroup name="KPI" caption="KPI"/>
    <measureGroup name="LFLDate" caption="LFLDate"/>
    <measureGroup name="Material" caption="Material"/>
    <measureGroup name="OpenImportsDCStock" caption="OpenImportsDCStock"/>
    <measureGroup name="OpenImportsStoreStock" caption="OpenImportsStoreStock"/>
    <measureGroup name="PurchaseOrder" caption="PurchaseOrder"/>
    <measureGroup name="PurchaseOrderGR" caption="PurchaseOrderGR"/>
    <measureGroup name="Sales" caption="Sales"/>
    <measureGroup name="SalesBudget" caption="SalesBudget"/>
    <measureGroup name="SalesBudgetLY" caption="SalesBudgetLY"/>
    <measureGroup name="SalesChannel" caption="SalesChannel"/>
    <measureGroup name="SalesLY" caption="SalesLY"/>
    <measureGroup name="SalesSeason" caption="SalesSeason"/>
    <measureGroup name="SalesTY" caption="SalesTY"/>
    <measureGroup name="StockDC" caption="StockDC"/>
    <measureGroup name="StockDCLY" caption="StockDCLY"/>
    <measureGroup name="StockList" caption="StockList"/>
    <measureGroup name="StockStore" caption="StockStore"/>
    <measureGroup name="StockStoreLY" caption="StockStoreLY"/>
    <measureGroup name="Store" caption="Store"/>
    <measureGroup name="StoreCapacity" caption="StoreCapacity"/>
    <measureGroup name="StoreLFLStatu" caption="StoreLFLStatu"/>
    <measureGroup name="StoreTarget" caption="StoreTarget"/>
    <measureGroup name="StoreTargetLY" caption="StoreTargetLY"/>
    <measureGroup name="SubDistChannel" caption="SubDistChannel"/>
    <measureGroup name="Visitor" caption="Visitor"/>
    <measureGroup name="VisitorHourly" caption="VisitorHourly"/>
  </measureGroups>
  <maps count="130">
    <map measureGroup="0" dimension="0"/>
    <map measureGroup="1" dimension="0"/>
    <map measureGroup="1" dimension="4"/>
    <map measureGroup="1" dimension="7"/>
    <map measureGroup="1" dimension="8"/>
    <map measureGroup="1" dimension="10"/>
    <map measureGroup="1" dimension="11"/>
    <map measureGroup="1" dimension="12"/>
    <map measureGroup="2" dimension="0"/>
    <map measureGroup="2" dimension="4"/>
    <map measureGroup="2" dimension="7"/>
    <map measureGroup="2" dimension="12"/>
    <map measureGroup="3" dimension="4"/>
    <map measureGroup="3" dimension="10"/>
    <map measureGroup="4" dimension="3"/>
    <map measureGroup="4" dimension="4"/>
    <map measureGroup="4" dimension="7"/>
    <map measureGroup="4" dimension="10"/>
    <map measureGroup="4" dimension="12"/>
    <map measureGroup="5" dimension="1"/>
    <map measureGroup="6" dimension="0"/>
    <map measureGroup="6" dimension="2"/>
    <map measureGroup="6" dimension="4"/>
    <map measureGroup="7" dimension="3"/>
    <map measureGroup="9" dimension="0"/>
    <map measureGroup="9" dimension="7"/>
    <map measureGroup="9" dimension="12"/>
    <map measureGroup="10" dimension="4"/>
    <map measureGroup="11" dimension="1"/>
    <map measureGroup="11" dimension="4"/>
    <map measureGroup="11" dimension="9"/>
    <map measureGroup="12" dimension="4"/>
    <map measureGroup="12" dimension="7"/>
    <map measureGroup="12" dimension="9"/>
    <map measureGroup="12" dimension="10"/>
    <map measureGroup="12" dimension="12"/>
    <map measureGroup="13" dimension="0"/>
    <map measureGroup="13" dimension="1"/>
    <map measureGroup="13" dimension="4"/>
    <map measureGroup="13" dimension="7"/>
    <map measureGroup="13" dimension="8"/>
    <map measureGroup="13" dimension="11"/>
    <map measureGroup="13" dimension="12"/>
    <map measureGroup="14" dimension="0"/>
    <map measureGroup="14" dimension="1"/>
    <map measureGroup="14" dimension="4"/>
    <map measureGroup="14" dimension="7"/>
    <map measureGroup="14" dimension="8"/>
    <map measureGroup="14" dimension="11"/>
    <map measureGroup="14" dimension="12"/>
    <map measureGroup="16" dimension="0"/>
    <map measureGroup="16" dimension="4"/>
    <map measureGroup="16" dimension="6"/>
    <map measureGroup="16" dimension="7"/>
    <map measureGroup="16" dimension="12"/>
    <map measureGroup="17" dimension="0"/>
    <map measureGroup="17" dimension="4"/>
    <map measureGroup="17" dimension="7"/>
    <map measureGroup="17" dimension="12"/>
    <map measureGroup="18" dimension="7"/>
    <map measureGroup="18" dimension="12"/>
    <map measureGroup="19" dimension="0"/>
    <map measureGroup="19" dimension="3"/>
    <map measureGroup="19" dimension="4"/>
    <map measureGroup="19" dimension="7"/>
    <map measureGroup="19" dimension="8"/>
    <map measureGroup="19" dimension="10"/>
    <map measureGroup="19" dimension="11"/>
    <map measureGroup="19" dimension="12"/>
    <map measureGroup="20" dimension="8"/>
    <map measureGroup="21" dimension="0"/>
    <map measureGroup="21" dimension="3"/>
    <map measureGroup="21" dimension="4"/>
    <map measureGroup="21" dimension="7"/>
    <map measureGroup="21" dimension="8"/>
    <map measureGroup="21" dimension="10"/>
    <map measureGroup="21" dimension="11"/>
    <map measureGroup="21" dimension="12"/>
    <map measureGroup="22" dimension="0"/>
    <map measureGroup="22" dimension="1"/>
    <map measureGroup="22" dimension="3"/>
    <map measureGroup="22" dimension="4"/>
    <map measureGroup="22" dimension="8"/>
    <map measureGroup="23" dimension="0"/>
    <map measureGroup="23" dimension="1"/>
    <map measureGroup="23" dimension="3"/>
    <map measureGroup="23" dimension="4"/>
    <map measureGroup="23" dimension="8"/>
    <map measureGroup="24" dimension="9"/>
    <map measureGroup="25" dimension="0"/>
    <map measureGroup="25" dimension="3"/>
    <map measureGroup="25" dimension="4"/>
    <map measureGroup="25" dimension="7"/>
    <map measureGroup="25" dimension="8"/>
    <map measureGroup="25" dimension="10"/>
    <map measureGroup="25" dimension="11"/>
    <map measureGroup="25" dimension="12"/>
    <map measureGroup="26" dimension="0"/>
    <map measureGroup="26" dimension="3"/>
    <map measureGroup="26" dimension="4"/>
    <map measureGroup="26" dimension="7"/>
    <map measureGroup="26" dimension="8"/>
    <map measureGroup="26" dimension="10"/>
    <map measureGroup="26" dimension="11"/>
    <map measureGroup="26" dimension="12"/>
    <map measureGroup="27" dimension="10"/>
    <map measureGroup="28" dimension="4"/>
    <map measureGroup="28" dimension="7"/>
    <map measureGroup="28" dimension="8"/>
    <map measureGroup="28" dimension="10"/>
    <map measureGroup="28" dimension="11"/>
    <map measureGroup="28" dimension="12"/>
    <map measureGroup="29" dimension="11"/>
    <map measureGroup="30" dimension="0"/>
    <map measureGroup="30" dimension="7"/>
    <map measureGroup="30" dimension="10"/>
    <map measureGroup="30" dimension="12"/>
    <map measureGroup="31" dimension="0"/>
    <map measureGroup="31" dimension="7"/>
    <map measureGroup="31" dimension="10"/>
    <map measureGroup="31" dimension="12"/>
    <map measureGroup="32" dimension="7"/>
    <map measureGroup="32" dimension="12"/>
    <map measureGroup="33" dimension="0"/>
    <map measureGroup="33" dimension="10"/>
    <map measureGroup="33" dimension="11"/>
    <map measureGroup="34" dimension="0"/>
    <map measureGroup="34" dimension="7"/>
    <map measureGroup="34" dimension="10"/>
    <map measureGroup="34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hmet Fatih Başol" refreshedDate="46063.389404050926" backgroundQuery="1" createdVersion="8" refreshedVersion="8" minRefreshableVersion="3" recordCount="0" supportSubquery="1" supportAdvancedDrill="1" xr:uid="{902AC062-2D1D-4A20-B57E-591ED12C1405}">
  <cacheSource type="external" connectionId="2"/>
  <cacheFields count="25">
    <cacheField name="[SalesChannel].[SalesOrgType].[SalesOrgType]" caption="SalesOrgType" numFmtId="0" hierarchy="148" level="1">
      <sharedItems containsSemiMixedTypes="0" containsString="0"/>
    </cacheField>
    <cacheField name="[SalesChannel].[DistrubitionChannelDesc].[DistrubitionChannelDesc]" caption="DistrubitionChannelDesc" numFmtId="0" hierarchy="140" level="1">
      <sharedItems count="2">
        <s v="[SalesChannel].[DistrubitionChannelDesc].&amp;[E - Ticaret]" c="E - Ticaret"/>
        <s v="[SalesChannel].[DistrubitionChannelDesc].&amp;[Perakende Satış]" c="Perakende Satış"/>
      </sharedItems>
    </cacheField>
    <cacheField name="[Measures].[TY Sales Unit]" caption="TY Sales Unit" numFmtId="0" hierarchy="853" level="32767"/>
    <cacheField name="[Measures].[TY Sales Value LC]" caption="TY Sales Value LC" numFmtId="0" hierarchy="855" level="32767"/>
    <cacheField name="[Measures].[TY Avg Store Stock Unit]" caption="TY Avg Store Stock Unit" numFmtId="0" hierarchy="760" level="32767"/>
    <cacheField name="[Measures].[TY Avg Store Transit Stock Unit]" caption="TY Avg Store Transit Stock Unit" numFmtId="0" hierarchy="761" level="32767"/>
    <cacheField name="[Calendar].[H_Merch].[MerchYear]" caption="MerchYear" numFmtId="0" hierarchy="6" level="1">
      <sharedItems containsSemiMixedTypes="0" containsString="0"/>
    </cacheField>
    <cacheField name="[Calendar].[H_Merch].[MerchYearMonthName]" caption="MerchYearMonthName" numFmtId="0" hierarchy="6" level="2">
      <sharedItems containsSemiMixedTypes="0" containsString="0"/>
    </cacheField>
    <cacheField name="[Calendar].[H_Merch].[MerchYearWeek]" caption="MerchYearWeek" numFmtId="0" hierarchy="6" level="3">
      <sharedItems containsSemiMixedTypes="0" containsString="0"/>
    </cacheField>
    <cacheField name="[Calendar].[H_Merch].[Date]" caption="Date" numFmtId="0" hierarchy="6" level="4">
      <sharedItems containsSemiMixedTypes="0" containsString="0"/>
    </cacheField>
    <cacheField name="[Calendar].[MerchWeek].[MerchWeek]" caption="MerchWeek" numFmtId="0" hierarchy="14" level="1">
      <sharedItems count="2">
        <s v="[Calendar].[MerchWeek].&amp;[14]" c="14"/>
        <s v="[Calendar].[MerchWeek].&amp;[15]" c="15"/>
      </sharedItems>
    </cacheField>
    <cacheField name="[Material].[H_MainGroup].[MainGroupDesc]" caption="MainGroupDesc" numFmtId="0" hierarchy="69" level="1">
      <sharedItems count="23">
        <s v="[Material].[H_MainGroup].[MainGroupDesc].&amp;[Aksesuar]" c="Aksesuar"/>
        <s v="[Material].[H_MainGroup].[MainGroupDesc].&amp;[Banyo]" c="Banyo"/>
        <s v="[Material].[H_MainGroup].[MainGroupDesc].&amp;[Battaniye]" c="Battaniye"/>
        <s v="[Material].[H_MainGroup].[MainGroupDesc].&amp;[Çarşaf]" c="Çarşaf"/>
        <s v="[Material].[H_MainGroup].[MainGroupDesc].&amp;[Dünya Markaları]" c="Dünya Markaları"/>
        <s v="[Material].[H_MainGroup].[MainGroupDesc].&amp;[Halı - Kilim]" c="Halı - Kilim"/>
        <s v="[Material].[H_MainGroup].[MainGroupDesc].&amp;[Havlu]" c="Havlu"/>
        <s v="[Material].[H_MainGroup].[MainGroupDesc].&amp;[KEA]" c="KEA"/>
        <s v="[Material].[H_MainGroup].[MainGroupDesc].&amp;[Kozmetik]" c="Kozmetik"/>
        <s v="[Material].[H_MainGroup].[MainGroupDesc].&amp;[Mutfak]" c="Mutfak"/>
        <s v="[Material].[H_MainGroup].[MainGroupDesc].&amp;[Nevresim]" c="Nevresim"/>
        <s v="[Material].[H_MainGroup].[MainGroupDesc].&amp;[Pike]" c="Pike"/>
        <s v="[Material].[H_MainGroup].[MainGroupDesc].&amp;[Pişirme]" c="Pişirme"/>
        <s v="[Material].[H_MainGroup].[MainGroupDesc].&amp;[Salon]" c="Salon"/>
        <s v="[Material].[H_MainGroup].[MainGroupDesc].&amp;[Sofra İçecek]" c="Sofra İçecek"/>
        <s v="[Material].[H_MainGroup].[MainGroupDesc].&amp;[Sofra Sunum]" c="Sofra Sunum"/>
        <s v="[Material].[H_MainGroup].[MainGroupDesc].&amp;[Sofra Takımları]" c="Sofra Takımları"/>
        <s v="[Material].[H_MainGroup].[MainGroupDesc].&amp;[Yastık]" c="Yastık"/>
        <s v="[Material].[H_MainGroup].[MainGroupDesc].&amp;[Yatak Örtüsü]" c="Yatak Örtüsü"/>
        <s v="[Material].[H_MainGroup].[MainGroupDesc].&amp;[YEDEK PARÇA]" c="YEDEK PARÇA"/>
        <s v="[Material].[H_MainGroup].[MainGroupDesc].&amp;[Yorgan]" c="Yorgan"/>
        <s v="[Material].[H_MainGroup].[MainGroupDesc].&amp;[Ev Giysisi]" u="1" c="Ev Giysisi"/>
        <s v="[Material].[H_MainGroup].[MainGroupDesc].&amp;[Mobilya Satış]" u="1" c="Mobilya Satış"/>
      </sharedItems>
    </cacheField>
    <cacheField name="[Material].[H_MainGroup].[SubGroupDesc]" caption="SubGroupDesc" numFmtId="0" hierarchy="69" level="2">
      <sharedItems containsSemiMixedTypes="0" containsString="0"/>
    </cacheField>
    <cacheField name="[Measures].[TY Avg DC Stock Unit]" caption="TY Avg DC Stock Unit" numFmtId="0" hierarchy="693" level="32767"/>
    <cacheField name="[Material].[MainGroupDesc].[MainGroupDesc]" caption="MainGroupDesc" numFmtId="0" hierarchy="75" level="1">
      <sharedItems containsSemiMixedTypes="0" containsString="0"/>
    </cacheField>
    <cacheField name="[Measures].[TY Gross Profit LC]" caption="TY Gross Profit LC" numFmtId="0" hierarchy="1003" level="32767"/>
    <cacheField name="[Measures].[TY Gross Marjin LC%]" caption="TY Gross Marjin LC%" numFmtId="0" hierarchy="1119" level="32767"/>
    <cacheField name="[Measures].[TY Store Back Cover Unit]" caption="TY Store Back Cover Unit" numFmtId="0" hierarchy="1131" level="32767"/>
    <cacheField name="[Measures].[TY Unit Sales Price LC]" caption="TY Unit Sales Price LC" numFmtId="0" hierarchy="967" level="32767"/>
    <cacheField name="[SalesChannel].[CountryName].[CountryName]" caption="CountryName" numFmtId="0" hierarchy="138" level="1">
      <sharedItems containsSemiMixedTypes="0" containsString="0"/>
    </cacheField>
    <cacheField name="[Material].[MerchProduct].[MerchProduct]" caption="MerchProduct" numFmtId="0" hierarchy="100" level="1">
      <sharedItems containsSemiMixedTypes="0" containsString="0"/>
    </cacheField>
    <cacheField name="Unsupported0" numFmtId="0" hierarchy="1569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1" numFmtId="0" hierarchy="1570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2" numFmtId="0" hierarchy="1571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3" numFmtId="0" hierarchy="1572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57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5" unbalanced="0">
      <fieldsUsage count="5">
        <fieldUsage x="-1"/>
        <fieldUsage x="6"/>
        <fieldUsage x="7"/>
        <fieldUsage x="8"/>
        <fieldUsage x="9"/>
      </fieldsUsage>
    </cacheHierarchy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0" unbalanced="0"/>
    <cacheHierarchy uniqueName="[Calendar].[LastNMonths]" caption="LastNMonths" attribute="1" time="1" defaultMemberUniqueName="[Calendar].[LastNMonths].[All]" allUniqueName="[Calendar].[LastNMonths].[All]" dimensionUniqueName="[Calendar]" displayFolder="" count="0" unbalanced="0"/>
    <cacheHierarchy uniqueName="[Calendar].[LastNWeeks]" caption="LastNWeeks" attribute="1" time="1" defaultMemberUniqueName="[Calendar].[LastNWeeks].[All]" allUniqueName="[Calendar].[LastNWeeks].[All]" dimensionUniqueName="[Calendar]" displayFolder="" count="0" unbalanced="0"/>
    <cacheHierarchy uniqueName="[Calendar].[MerchMonth]" caption="MerchMonth" attribute="1" time="1" defaultMemberUniqueName="[Calendar].[MerchMonth].[All]" allUniqueName="[Calendar].[MerchMonth].[All]" dimensionUniqueName="[Calendar]" displayFolder="Merch" count="0" unbalanced="0"/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>
      <fieldsUsage count="2">
        <fieldUsage x="-1"/>
        <fieldUsage x="10"/>
      </fieldsUsage>
    </cacheHierarchy>
    <cacheHierarchy uniqueName="[Calendar].[MerchYear]" caption="MerchYear" attribute="1" time="1" defaultMemberUniqueName="[Calendar].[MerchYear].[All]" allUniqueName="[Calendar].[MerchYear].[All]" dimensionUniqueName="[Calendar]" displayFolder="Merch" count="0" unbalanced="0"/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0" unbalanced="0"/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Delivery].[CustomerClass]" caption="CustomerClass" attribute="1" defaultMemberUniqueName="[Delivery].[CustomerClass].[All]" allUniqueName="[Delivery].[CustomerClass].[All]" dimensionUniqueName="[Delivery]" displayFolder="" count="0" unbalanced="0"/>
    <cacheHierarchy uniqueName="[Delivery].[MainCustomerClass]" caption="MainCustomerClass" attribute="1" defaultMemberUniqueName="[Delivery].[MainCustomerClass].[All]" allUniqueName="[Delivery].[MainCustomerClass].[All]" dimensionUniqueName="[Delivery]" displayFolder="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3" unbalanced="0">
      <fieldsUsage count="3">
        <fieldUsage x="-1"/>
        <fieldUsage x="11"/>
        <fieldUsage x="12"/>
      </fieldsUsage>
    </cacheHierarchy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2" unbalanced="0">
      <fieldsUsage count="2">
        <fieldUsage x="-1"/>
        <fieldUsage x="14"/>
      </fieldsUsage>
    </cacheHierarchy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Desc]" caption="MaterialCodeDesc" attribute="1" defaultMemberUniqueName="[Material].[MaterialCodeDesc].[All]" allUniqueName="[Material].[MaterialCodeDesc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0" unbalanced="0"/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axStockQty]" caption="MaxStockQty" attribute="1" defaultMemberUniqueName="[Material].[MaxStockQty].[All]" allUniqueName="[Material].[MaxStockQty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2" unbalanced="0">
      <fieldsUsage count="2">
        <fieldUsage x="-1"/>
        <fieldUsage x="20"/>
      </fieldsUsage>
    </cacheHierarchy>
    <cacheHierarchy uniqueName="[Material].[MinStockQty]" caption="MinStockQty" attribute="1" defaultMemberUniqueName="[Material].[MinStockQty].[All]" allUniqueName="[Material].[MinStockQty].[All]" dimensionUniqueName="[Material]" displayFolder="" count="0" unbalanced="0"/>
    <cacheHierarchy uniqueName="[Material].[PackagingType]" caption="PackagingType" attribute="1" defaultMemberUniqueName="[Material].[PackagingType].[All]" allUniqueName="[Material].[PackagingType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PlanStatus]" caption="PlanStatus" attribute="1" defaultMemberUniqueName="[Material].[PlanStatus].[All]" allUniqueName="[Material].[PlanStatus].[All]" dimensionUniqueName="[Material]" displayFolder="" count="0" unbalanced="0"/>
    <cacheHierarchy uniqueName="[Material].[PriceX]" caption="PriceX" attribute="1" defaultMemberUniqueName="[Material].[PriceX].[All]" allUniqueName="[Material].[PriceX].[All]" dimensionUniqueName="[Material]" displayFolder="" count="0" unbalanced="0"/>
    <cacheHierarchy uniqueName="[Material].[ProductFamily]" caption="ProductFamily" attribute="1" defaultMemberUniqueName="[Material].[ProductFamily].[All]" allUniqueName="[Material].[ProductFamily].[All]" dimensionUniqueName="[Material]" displayFolder="" count="0" unbalanced="0"/>
    <cacheHierarchy uniqueName="[Material].[ProductSegment]" caption="ProductSegment" attribute="1" defaultMemberUniqueName="[Material].[ProductSegment].[All]" allUniqueName="[Material].[ProductSegment].[All]" dimensionUniqueName="[Material]" displayFolder="" count="0" unbalanced="0"/>
    <cacheHierarchy uniqueName="[Material].[ProductStoreSegment]" caption="ProductStoreSegment" attribute="1" defaultMemberUniqueName="[Material].[ProductStoreSegment].[All]" allUniqueName="[Material].[ProductStoreSegment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RemainingDaysforPlan]" caption="RemainingDaysforPlan" attribute="1" defaultMemberUniqueName="[Material].[RemainingDaysforPlan].[All]" allUniqueName="[Material].[RemainingDaysforPlan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0" unbalanced="0"/>
    <cacheHierarchy uniqueName="[Material].[TagGroupDesc]" caption="TagGroupDesc" attribute="1" defaultMemberUniqueName="[Material].[TagGroupDesc].[All]" allUniqueName="[Material].[Tag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atRate]" caption="VatRate" attribute="1" defaultMemberUniqueName="[Material].[VatRate].[All]" allUniqueName="[Material].[VatRate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2" unbalanced="0">
      <fieldsUsage count="2">
        <fieldUsage x="-1"/>
        <fieldUsage x="19"/>
      </fieldsUsage>
    </cacheHierarchy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>
      <fieldsUsage count="2">
        <fieldUsage x="-1"/>
        <fieldUsage x="1"/>
      </fieldsUsage>
    </cacheHierarchy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0" unbalanced="0"/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2" unbalanced="0">
      <fieldsUsage count="2">
        <fieldUsage x="-1"/>
        <fieldUsage x="0"/>
      </fieldsUsage>
    </cacheHierarchy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0" unbalanced="0"/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Season]" caption="LocationSeason" attribute="1" defaultMemberUniqueName="[Store].[LocationSeason].[All]" allUniqueName="[Store].[LocationSeason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ckBufferFactor]" caption="StockBufferFactor" attribute="1" defaultMemberUniqueName="[Store].[StockBufferFactor].[All]" allUniqueName="[Store].[StockBufferFactor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PriceScore]" caption="StorePriceScore" attribute="1" defaultMemberUniqueName="[Store].[StorePriceScore].[All]" allUniqueName="[Store].[StorePriceScore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ales].[BanProfit]" caption="BanProfit" attribute="1" defaultMemberUniqueName="[CurrentStockSales].[BanProfit].[All]" allUniqueName="[CurrentStockSales].[BanProfit].[All]" dimensionUniqueName="[CurrentStockSales]" displayFolder="" count="0" unbalanced="0" hidden="1"/>
    <cacheHierarchy uniqueName="[CurrentStockSales].[CumStockDM3]" caption="CumStockDM3" attribute="1" defaultMemberUniqueName="[CurrentStockSales].[CumStockDM3].[All]" allUniqueName="[CurrentStockSales].[CumStockDM3].[All]" dimensionUniqueName="[CurrentStockSales]" displayFolder="" count="0" unbalanced="0" hidden="1"/>
    <cacheHierarchy uniqueName="[CurrentStockSales].[CumStokUnit]" caption="CumStokUnit" attribute="1" defaultMemberUniqueName="[CurrentStockSales].[CumStokUnit].[All]" allUniqueName="[CurrentStockSales].[CumStokUnit].[All]" dimensionUniqueName="[CurrentStockSales]" displayFolder="" count="0" unbalanced="0" hidden="1"/>
    <cacheHierarchy uniqueName="[CurrentStockSales].[CUROpenTransferStoreStockUnit]" caption="CUROpenTransferStoreStockUnit" attribute="1" defaultMemberUniqueName="[CurrentStockSales].[CUROpenTransferStoreStockUnit].[All]" allUniqueName="[CurrentStockSales].[CUROpenTransferStoreStockUnit].[All]" dimensionUniqueName="[CurrentStockSales]" displayFolder="" count="0" unbalanced="0" hidden="1"/>
    <cacheHierarchy uniqueName="[CurrentStockSales].[CURUnapprovedOrderStoreStockUnit]" caption="CURUnapprovedOrderStoreStockUnit" attribute="1" defaultMemberUniqueName="[CurrentStockSales].[CURUnapprovedOrderStoreStockUnit].[All]" allUniqueName="[CurrentStockSales].[CURUnapprovedOrderStoreStockUnit].[All]" dimensionUniqueName="[CurrentStockSales]" displayFolder="" count="0" unbalanced="0" hidden="1"/>
    <cacheHierarchy uniqueName="[CurrentStockSales].[GrossProfit007]" caption="GrossProfit007" attribute="1" defaultMemberUniqueName="[CurrentStockSales].[GrossProfit007].[All]" allUniqueName="[CurrentStockSales].[GrossProfit007].[All]" dimensionUniqueName="[CurrentStockSales]" displayFolder="" count="0" unbalanced="0" hidden="1"/>
    <cacheHierarchy uniqueName="[CurrentStockSales].[GrossProfit021]" caption="GrossProfit021" attribute="1" defaultMemberUniqueName="[CurrentStockSales].[GrossProfit021].[All]" allUniqueName="[CurrentStockSales].[GrossProfit021].[All]" dimensionUniqueName="[CurrentStockSales]" displayFolder="" count="0" unbalanced="0" hidden="1"/>
    <cacheHierarchy uniqueName="[CurrentStockSales].[LivingArea]" caption="LivingArea" attribute="1" defaultMemberUniqueName="[CurrentStockSales].[LivingArea].[All]" allUniqueName="[CurrentStockSales].[LivingArea].[All]" dimensionUniqueName="[CurrentStockSales]" displayFolder="" count="0" unbalanced="0" hidden="1"/>
    <cacheHierarchy uniqueName="[CurrentStockSales].[MainGroupCode]" caption="MainGroupCode" attribute="1" defaultMemberUniqueName="[CurrentStockSales].[MainGroupCode].[All]" allUniqueName="[CurrentStockSales].[MainGroupCode].[All]" dimensionUniqueName="[CurrentStockSales]" displayFolder="" count="0" unbalanced="0" hidden="1"/>
    <cacheHierarchy uniqueName="[CurrentStockSales].[Marj_w1]" caption="Marj_w1" attribute="1" defaultMemberUniqueName="[CurrentStockSales].[Marj_w1].[All]" allUniqueName="[CurrentStockSales].[Marj_w1].[All]" dimensionUniqueName="[CurrentStockSales]" displayFolder="" count="0" unbalanced="0" hidden="1"/>
    <cacheHierarchy uniqueName="[CurrentStockSales].[Marj_w3]" caption="Marj_w3" attribute="1" defaultMemberUniqueName="[CurrentStockSales].[Marj_w3].[All]" allUniqueName="[CurrentStockSales].[Marj_w3].[All]" dimensionUniqueName="[CurrentStockSales]" displayFolder="" count="0" unbalanced="0" hidden="1"/>
    <cacheHierarchy uniqueName="[CurrentStockSales].[MaterialCode]" caption="MaterialCode" attribute="1" defaultMemberUniqueName="[CurrentStockSales].[MaterialCode].[All]" allUniqueName="[CurrentStockSales].[MaterialCode].[All]" dimensionUniqueName="[CurrentStockSales]" displayFolder="" count="0" unbalanced="0" hidden="1"/>
    <cacheHierarchy uniqueName="[CurrentStockSales].[MaterialDm3]" caption="MaterialDm3" attribute="1" defaultMemberUniqueName="[CurrentStockSales].[MaterialDm3].[All]" allUniqueName="[CurrentStockSales].[MaterialDm3].[All]" dimensionUniqueName="[CurrentStockSales]" displayFolder="" count="0" unbalanced="0" hidden="1"/>
    <cacheHierarchy uniqueName="[CurrentStockSales].[MaterialKey]" caption="MaterialKey" attribute="1" defaultMemberUniqueName="[CurrentStockSales].[MaterialKey].[All]" allUniqueName="[CurrentStockSales].[MaterialKey].[All]" dimensionUniqueName="[CurrentStockSales]" displayFolder="" count="0" unbalanced="0" hidden="1"/>
    <cacheHierarchy uniqueName="[CurrentStockSales].[NetCumStockDM3]" caption="NetCumStockDM3" attribute="1" defaultMemberUniqueName="[CurrentStockSales].[NetCumStockDM3].[All]" allUniqueName="[CurrentStockSales].[NetCumStockDM3].[All]" dimensionUniqueName="[CurrentStockSales]" displayFolder="" count="0" unbalanced="0" hidden="1"/>
    <cacheHierarchy uniqueName="[CurrentStockSales].[NetCumStokUnit]" caption="NetCumStokUnit" attribute="1" defaultMemberUniqueName="[CurrentStockSales].[NetCumStokUnit].[All]" allUniqueName="[CurrentStockSales].[NetCumStokUnit].[All]" dimensionUniqueName="[CurrentStockSales]" displayFolder="" count="0" unbalanced="0" hidden="1"/>
    <cacheHierarchy uniqueName="[CurrentStockSales].[QtyInBox]" caption="QtyInBox" attribute="1" defaultMemberUniqueName="[CurrentStockSales].[QtyInBox].[All]" allUniqueName="[CurrentStockSales].[QtyInBox].[All]" dimensionUniqueName="[CurrentStockSales]" displayFolder="" count="0" unbalanced="0" hidden="1"/>
    <cacheHierarchy uniqueName="[CurrentStockSales].[SalesUnit007]" caption="SalesUnit007" attribute="1" defaultMemberUniqueName="[CurrentStockSales].[SalesUnit007].[All]" allUniqueName="[CurrentStockSales].[SalesUnit007].[All]" dimensionUniqueName="[CurrentStockSales]" displayFolder="" count="0" unbalanced="0" hidden="1"/>
    <cacheHierarchy uniqueName="[CurrentStockSales].[SalesUnit021]" caption="SalesUnit021" attribute="1" defaultMemberUniqueName="[CurrentStockSales].[SalesUnit021].[All]" allUniqueName="[CurrentStockSales].[SalesUnit021].[All]" dimensionUniqueName="[CurrentStockSales]" displayFolder="" count="0" unbalanced="0" hidden="1"/>
    <cacheHierarchy uniqueName="[CurrentStockSales].[SalesValue007]" caption="SalesValue007" attribute="1" defaultMemberUniqueName="[CurrentStockSales].[SalesValue007].[All]" allUniqueName="[CurrentStockSales].[SalesValue007].[All]" dimensionUniqueName="[CurrentStockSales]" displayFolder="" count="0" unbalanced="0" hidden="1"/>
    <cacheHierarchy uniqueName="[CurrentStockSales].[SalesValue021]" caption="SalesValue021" attribute="1" defaultMemberUniqueName="[CurrentStockSales].[SalesValue021].[All]" allUniqueName="[CurrentStockSales].[SalesValue021].[All]" dimensionUniqueName="[CurrentStockSales]" displayFolder="" count="0" unbalanced="0" hidden="1"/>
    <cacheHierarchy uniqueName="[CurrentStockSales].[StockBufferFactor]" caption="StockBufferFactor" attribute="1" defaultMemberUniqueName="[CurrentStockSales].[StockBufferFactor].[All]" allUniqueName="[CurrentStockSales].[StockBufferFactor].[All]" dimensionUniqueName="[CurrentStockSales]" displayFolder="" count="0" unbalanced="0" hidden="1"/>
    <cacheHierarchy uniqueName="[CurrentStockSales].[StoreCode]" caption="StoreCode" attribute="1" defaultMemberUniqueName="[CurrentStockSales].[StoreCode].[All]" allUniqueName="[CurrentStockSales].[StoreCode].[All]" dimensionUniqueName="[CurrentStockSales]" displayFolder="" count="0" unbalanced="0" hidden="1"/>
    <cacheHierarchy uniqueName="[CurrentStockSales].[StoreStockUnit]" caption="StoreStockUnit" attribute="1" defaultMemberUniqueName="[CurrentStockSales].[StoreStockUnit].[All]" allUniqueName="[CurrentStockSales].[StoreStockUnit].[All]" dimensionUniqueName="[CurrentStockSales]" displayFolder="" count="0" unbalanced="0" hidden="1"/>
    <cacheHierarchy uniqueName="[CurrentStockSales].[StoreTransitStockUnit]" caption="StoreTransitStockUnit" attribute="1" defaultMemberUniqueName="[CurrentStockSales].[StoreTransitStockUnit].[All]" allUniqueName="[CurrentStockSales].[StoreTransitStockUnit].[All]" dimensionUniqueName="[CurrentStockSales]" displayFolder="" count="0" unbalanced="0" hidden="1"/>
    <cacheHierarchy uniqueName="[CurrentStockSales].[TRMarj_w1]" caption="TRMarj_w1" attribute="1" defaultMemberUniqueName="[CurrentStockSales].[TRMarj_w1].[All]" allUniqueName="[CurrentStockSales].[TRMarj_w1].[All]" dimensionUniqueName="[CurrentStockSales]" displayFolder="" count="0" unbalanced="0" hidden="1"/>
    <cacheHierarchy uniqueName="[CurrentStockSales].[TRMarj_w3]" caption="TRMarj_w3" attribute="1" defaultMemberUniqueName="[CurrentStockSales].[TRMarj_w3].[All]" allUniqueName="[CurrentStockSales].[TRMarj_w3].[All]" dimensionUniqueName="[CurrentStockSales]" displayFolder="" count="0" unbalanced="0" hidden="1"/>
    <cacheHierarchy uniqueName="[CurrentStockSales].[WeeklyAvgSales]" caption="WeeklyAvgSales" attribute="1" defaultMemberUniqueName="[CurrentStockSales].[WeeklyAvgSales].[All]" allUniqueName="[CurrentStockSales].[WeeklyAvgSales].[All]" dimensionUniqueName="[CurrentStockSales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Delivery].[DeliveryBudget]" caption="DeliveryBudget" attribute="1" defaultMemberUniqueName="[Delivery].[DeliveryBudget].[All]" allUniqueName="[Delivery].[DeliveryBudget].[All]" dimensionUniqueName="[Delivery]" displayFolder="" count="0" unbalanced="0" hidden="1"/>
    <cacheHierarchy uniqueName="[Delivery].[DeliveryQty]" caption="DeliveryQty" attribute="1" defaultMemberUniqueName="[Delivery].[DeliveryQty].[All]" allUniqueName="[Delivery].[DeliveryQty].[All]" dimensionUniqueName="[Delivery]" displayFolder="" count="0" unbalanced="0" hidden="1"/>
    <cacheHierarchy uniqueName="[Delivery].[FirstDayofMonth]" caption="FirstDayofMonth" attribute="1" defaultMemberUniqueName="[Delivery].[FirstDayofMonth].[All]" allUniqueName="[Delivery].[FirstDayofMonth].[All]" dimensionUniqueName="[Delivery]" displayFolder="" count="0" unbalanced="0" hidden="1"/>
    <cacheHierarchy uniqueName="[Delivery].[MaterialKey]" caption="MaterialKey" attribute="1" defaultMemberUniqueName="[Delivery].[MaterialKey].[All]" allUniqueName="[Delivery].[MaterialKey].[All]" dimensionUniqueName="[Delivery]" displayFolder="" count="0" unbalanced="0" hidden="1"/>
    <cacheHierarchy uniqueName="[Delivery].[Month]" caption="Month" attribute="1" defaultMemberUniqueName="[Delivery].[Month].[All]" allUniqueName="[Delivery].[Month].[All]" dimensionUniqueName="[Delivery]" displayFolder="" count="0" unbalanced="0" hidden="1"/>
    <cacheHierarchy uniqueName="[Delivery].[Year]" caption="Year" attribute="1" defaultMemberUniqueName="[Delivery].[Year].[All]" allUniqueName="[Delivery].[Year].[All]" dimensionUniqueName="[Delivery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FROM_PLANT]" caption="FROM_PLANT" attribute="1" defaultMemberUniqueName="[OpenImportsStoreStock].[FROM_PLANT].[All]" allUniqueName="[OpenImportsStoreStock].[FROM_PLAN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 hidden="1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 hidden="1"/>
    <cacheHierarchy uniqueName="[PurchaseOrder].[ToptanSasCarpanı]" caption="ToptanSasCarpanı" attribute="1" defaultMemberUniqueName="[PurchaseOrder].[ToptanSasCarpanı].[All]" allUniqueName="[PurchaseOrder].[ToptanSasCarpanı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 hidden="1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 hidden="1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 hidden="1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 hidden="1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 hidden="1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 hidden="1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 hidden="1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 hidden="1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 hidden="1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 hidden="1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 hidden="1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 hidden="1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 hidden="1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 hidden="1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 hidden="1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 hidden="1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 hidden="1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 hidden="1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 hidden="1"/>
    <cacheHierarchy uniqueName="[PurchaseOrderGR].[ToptanSasCarpanı]" caption="ToptanSasCarpanı" attribute="1" defaultMemberUniqueName="[PurchaseOrderGR].[ToptanSasCarpanı].[All]" allUniqueName="[PurchaseOrderGR].[ToptanSasCarpanı].[All]" dimensionUniqueName="[PurchaseOrderG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CapacityUnit]" caption="CapacityUnit" attribute="1" defaultMemberUniqueName="[Store].[CapacityUnit].[All]" allUniqueName="[Store].[CapacityUnit].[All]" dimensionUniqueName="[Store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 oneField="1">
      <fieldsUsage count="1">
        <fieldUsage x="13"/>
      </fieldsUsage>
    </cacheHierarchy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/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Kullanılabilir DC Stok Adet]" caption="Kullanılabilir DC Stok Adet" measure="1" displayFolder="00_CURRENT" measureGroup="StockDC" count="0"/>
    <cacheHierarchy uniqueName="[Measures].[TY Avg Store Stock Unit]" caption="TY Avg Store Stock Unit" measure="1" displayFolder="01_TY\_UNIT" measureGroup="StockStore" count="0" oneField="1">
      <fieldsUsage count="1">
        <fieldUsage x="4"/>
      </fieldsUsage>
    </cacheHierarchy>
    <cacheHierarchy uniqueName="[Measures].[TY Avg Store Transit Stock Unit]" caption="TY Avg Store Transit Stock Unit" measure="1" displayFolder="01_TY\_UNIT" measureGroup="StockStore" count="0" oneField="1">
      <fieldsUsage count="1">
        <fieldUsage x="5"/>
      </fieldsUsage>
    </cacheHierarchy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/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CUR Unapproved Order Store Stock Unit Others]" caption="CUR Unapproved Order Store Stock Unit Others" measure="1" displayFolder="00_CURRENT" measureGroup="StockStore" count="0"/>
    <cacheHierarchy uniqueName="[Measures].[CUR Open Transfer Store Stock Unit Others]" caption="CUR Open Transfer Store Stock Unit Others" measure="1" displayFolder="00_CURRENT" measureGroup="StockStore" count="0"/>
    <cacheHierarchy uniqueName="[Measures].[CUR Open Transfer Store Stock Dm3 Others]" caption="CUR Open Transfer Store Stock Dm3 Others" measure="1" displayFolder="00_CURRENT" measureGroup="StockStore" count="0"/>
    <cacheHierarchy uniqueName="[Measures].[CUR Unapproved Order Store Stock Dm3 Others]" caption="CUR Unapproved Order Store Stock Dm3 Others" measure="1" displayFolder="00_CURRENT" measureGroup="StockStore" count="0"/>
    <cacheHierarchy uniqueName="[Measures].[TY Sales Unit]" caption="TY Sales Unit" measure="1" displayFolder="01_TY\_UNIT" measureGroup="Sales" count="0" oneField="1">
      <fieldsUsage count="1">
        <fieldUsage x="2"/>
      </fieldsUsage>
    </cacheHierarchy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 oneField="1">
      <fieldsUsage count="1">
        <fieldUsage x="3"/>
      </fieldsUsage>
    </cacheHierarchy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/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/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/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/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 oneField="1">
      <fieldsUsage count="1">
        <fieldUsage x="18"/>
      </fieldsUsage>
    </cacheHierarchy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/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 oneField="1">
      <fieldsUsage count="1">
        <fieldUsage x="15"/>
      </fieldsUsage>
    </cacheHierarchy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/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Unit Dm3]" caption="TY Sales Unit Dm3" measure="1" displayFolder="01_TY\_VOLUME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/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/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/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 oneField="1">
      <fieldsUsage count="1">
        <fieldUsage x="16"/>
      </fieldsUsage>
    </cacheHierarchy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/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 oneField="1">
      <fieldsUsage count="1">
        <fieldUsage x="17"/>
      </fieldsUsage>
    </cacheHierarchy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/>
    <cacheHierarchy uniqueName="[Measures].[LFL Sales Value TYvsLY LC%]" caption="LFL Sales Value TYvsLY LC%" measure="1" displayFolder="02_TYLFL\LC" measureGroup="KPI" count="0"/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/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/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/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/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/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/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/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Pending PO Unit (WholeSale)]" caption="Pending PO Unit (WholeSale)" measure="1" displayFolder="_UNIT" measureGroup="PurchaseOrder" count="0"/>
    <cacheHierarchy uniqueName="[Measures].[Pending PO Value LC (WholeSale)]" caption="Pending PO Value LC (WholeSale)" measure="1" displayFolder="_VALUE" measureGroup="PurchaseOrder" count="0"/>
    <cacheHierarchy uniqueName="[Measures].[Goods Receipt PO Unit (WholeSale)]" caption="Goods Receipt PO Unit (WholeSale)" measure="1" displayFolder="_UNIT" measureGroup="PurchaseOrder" count="0"/>
    <cacheHierarchy uniqueName="[Measures].[Goods Receipt PO Value LC (WholeSale)]" caption="Goods Receipt PO Value LC (WholeSale)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DM3" measureGroup="Capacity" count="0"/>
    <cacheHierarchy uniqueName="[Measures].[CUR Backstore Capacity dm3]" caption="CUR Backstore Capacity dm3" measure="1" displayFolder="00_CURRENT\_DM3" measureGroup="Capacity" count="0"/>
    <cacheHierarchy uniqueName="[Measures].[CUR Total Store Capacity dm3]" caption="CUR Total Store Capacity dm3" measure="1" displayFolder="00_CURRENT\_DM3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Fiziki Dm3 Doluluk %]" caption="Fiziki Dm3 Doluluk %" measure="1" displayFolder="00_CURRENT\_DM3" measureGroup="Capacity" count="0"/>
    <cacheHierarchy uniqueName="[Measures].[Nihai Dm3 Doluluk %]" caption="Nihai Dm3 Doluluk %" measure="1" displayFolder="00_CURRENT\_DM3" measureGroup="Capacity" count="0"/>
    <cacheHierarchy uniqueName="[Measures].[Fiziki Adet Doluluk %]" caption="Fiziki Adet Doluluk %" measure="1" displayFolder="00_CURRENT\_UNIT" measureGroup="Capacity" count="0"/>
    <cacheHierarchy uniqueName="[Measures].[Nihai Adet Doluluk %]" caption="Nihai Adet Doluluk %" measure="1" displayFolder="00_CURRENT\_UNIT" measureGroup="Capacity" count="0"/>
    <cacheHierarchy uniqueName="[Measures].[BrKar/Dm3]" caption="BrKar/Dm3" measure="1" displayFolder="00_CURRENT\_DM3" measureGroup="Capacity" count="0"/>
    <cacheHierarchy uniqueName="[Measures].[NET Nihai Dm3 Doluluk %]" caption="NET Nihai Dm3 Doluluk %" measure="1" displayFolder="00_CURRENT\_DM3" measureGroup="Capacity" count="0"/>
    <cacheHierarchy uniqueName="[Measures].[Delivery Quantity Outbound from DC to Store]" caption="Delivery Quantity Outbound from DC to Store" measure="1" displayFolder="" measureGroup="Delivery" count="0"/>
    <cacheHierarchy uniqueName="[Measures].[Delivery Quantity Target from DC to Store]" caption="Delivery Quantity Target from DC to Store" measure="1" displayFolder="" measureGroup="Deliver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SumofSalesUnitDm3]" caption="SumofSalesUnitDm3" measure="1" displayFolder="" measureGroup="Sales" count="0" hidden="1"/>
    <cacheHierarchy uniqueName="[Measures].[TY Store Cover Unit]" caption="TY Store Cover Unit" measure="1" displayFolder="01_TY\_UNIT" measureGroup="KPI" count="0" hidden="1"/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hidden="1"/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Last 21Days TY Sales Unit]" caption="Last 21Days TY Sales Unit" measure="1" displayFolder="LASTN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Goods Receipt PO Value LC Old]" caption="Goods Receipt PO Value LC Old" measure="1" displayFolder="_VALUE" measureGroup="PurchaseOrder" count="0" hidden="1"/>
    <cacheHierarchy uniqueName="[Measures].[Goods Receipt PO Unit Base (WholeSale)]" caption="Goods Receipt PO Unit Base (WholeSale)" measure="1" displayFolder="" measureGroup="PurchaseOrder" count="0" hidden="1"/>
    <cacheHierarchy uniqueName="[Measures].[Goods Receipt PO Value Navlun LC Base (WholeSale)]" caption="Goods Receipt PO Value Navlun LC Base (WholeSale)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  <cacheHierarchy uniqueName="[Measures].[CUR NET Cumulative Stock DM3]" caption="CUR NET Cumulative Stock DM3" measure="1" displayFolder="" measureGroup="Capacity" count="0" hidden="1"/>
    <cacheHierarchy uniqueName="Unsupported0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1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2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3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Calendar" uniqueName="[Calendar]" caption="Calendar"/>
    <dimension name="DCWarehouse" uniqueName="[DCWarehouse]" caption="DCWarehouse"/>
    <dimension name="Delivery" uniqueName="[Delivery]" caption="Delivery"/>
    <dimension name="ISPUnitPrice" uniqueName="[ISPUnitPrice]" caption="ISPUnitPrice"/>
    <dimension name="Material" uniqueName="[Material]" caption="Material"/>
    <dimension measure="1" name="Measures" uniqueName="[Measures]" caption="Measures"/>
    <dimension name="SalesBudget" uniqueName="[SalesBudget]" caption="SalesBudget"/>
    <dimension name="SalesChannel" uniqueName="[SalesChannel]" caption="SalesChannel"/>
    <dimension name="SalesSeason" uniqueName="[SalesSeason]" caption="SalesSeason"/>
    <dimension name="StockList" uniqueName="[StockList]" caption="StockList"/>
    <dimension name="Store" uniqueName="[Store]" caption="Store"/>
    <dimension name="StoreLFLStatu" uniqueName="[StoreLFLStatu]" caption="StoreLFLStatu"/>
    <dimension name="SubDistChannel" uniqueName="[SubDistChannel]" caption="SubDistChannel"/>
  </dimensions>
  <measureGroups count="35">
    <measureGroup name="Calendar" caption="Calendar"/>
    <measureGroup name="Capacity" caption="Capacity"/>
    <measureGroup name="CapacityPlanTY" caption="CapacityPlanTY"/>
    <measureGroup name="CurrentStockSales" caption="CurrentStockSales"/>
    <measureGroup name="CurrentStockStore" caption="CurrentStockStore"/>
    <measureGroup name="DCWarehouse" caption="DCWarehouse"/>
    <measureGroup name="Delivery" caption="Delivery"/>
    <measureGroup name="ISPUnitPrice" caption="ISPUnitPrice"/>
    <measureGroup name="KPI" caption="KPI"/>
    <measureGroup name="LFLDate" caption="LFLDate"/>
    <measureGroup name="Material" caption="Material"/>
    <measureGroup name="OpenImportsDCStock" caption="OpenImportsDCStock"/>
    <measureGroup name="OpenImportsStoreStock" caption="OpenImportsStoreStock"/>
    <measureGroup name="PurchaseOrder" caption="PurchaseOrder"/>
    <measureGroup name="PurchaseOrderGR" caption="PurchaseOrderGR"/>
    <measureGroup name="Sales" caption="Sales"/>
    <measureGroup name="SalesBudget" caption="SalesBudget"/>
    <measureGroup name="SalesBudgetLY" caption="SalesBudgetLY"/>
    <measureGroup name="SalesChannel" caption="SalesChannel"/>
    <measureGroup name="SalesLY" caption="SalesLY"/>
    <measureGroup name="SalesSeason" caption="SalesSeason"/>
    <measureGroup name="SalesTY" caption="SalesTY"/>
    <measureGroup name="StockDC" caption="StockDC"/>
    <measureGroup name="StockDCLY" caption="StockDCLY"/>
    <measureGroup name="StockList" caption="StockList"/>
    <measureGroup name="StockStore" caption="StockStore"/>
    <measureGroup name="StockStoreLY" caption="StockStoreLY"/>
    <measureGroup name="Store" caption="Store"/>
    <measureGroup name="StoreCapacity" caption="StoreCapacity"/>
    <measureGroup name="StoreLFLStatu" caption="StoreLFLStatu"/>
    <measureGroup name="StoreTarget" caption="StoreTarget"/>
    <measureGroup name="StoreTargetLY" caption="StoreTargetLY"/>
    <measureGroup name="SubDistChannel" caption="SubDistChannel"/>
    <measureGroup name="Visitor" caption="Visitor"/>
    <measureGroup name="VisitorHourly" caption="VisitorHourly"/>
  </measureGroups>
  <maps count="130">
    <map measureGroup="0" dimension="0"/>
    <map measureGroup="1" dimension="0"/>
    <map measureGroup="1" dimension="4"/>
    <map measureGroup="1" dimension="7"/>
    <map measureGroup="1" dimension="8"/>
    <map measureGroup="1" dimension="10"/>
    <map measureGroup="1" dimension="11"/>
    <map measureGroup="1" dimension="12"/>
    <map measureGroup="2" dimension="0"/>
    <map measureGroup="2" dimension="4"/>
    <map measureGroup="2" dimension="7"/>
    <map measureGroup="2" dimension="12"/>
    <map measureGroup="3" dimension="4"/>
    <map measureGroup="3" dimension="10"/>
    <map measureGroup="4" dimension="3"/>
    <map measureGroup="4" dimension="4"/>
    <map measureGroup="4" dimension="7"/>
    <map measureGroup="4" dimension="10"/>
    <map measureGroup="4" dimension="12"/>
    <map measureGroup="5" dimension="1"/>
    <map measureGroup="6" dimension="0"/>
    <map measureGroup="6" dimension="2"/>
    <map measureGroup="6" dimension="4"/>
    <map measureGroup="7" dimension="3"/>
    <map measureGroup="9" dimension="0"/>
    <map measureGroup="9" dimension="7"/>
    <map measureGroup="9" dimension="12"/>
    <map measureGroup="10" dimension="4"/>
    <map measureGroup="11" dimension="1"/>
    <map measureGroup="11" dimension="4"/>
    <map measureGroup="11" dimension="9"/>
    <map measureGroup="12" dimension="4"/>
    <map measureGroup="12" dimension="7"/>
    <map measureGroup="12" dimension="9"/>
    <map measureGroup="12" dimension="10"/>
    <map measureGroup="12" dimension="12"/>
    <map measureGroup="13" dimension="0"/>
    <map measureGroup="13" dimension="1"/>
    <map measureGroup="13" dimension="4"/>
    <map measureGroup="13" dimension="7"/>
    <map measureGroup="13" dimension="8"/>
    <map measureGroup="13" dimension="11"/>
    <map measureGroup="13" dimension="12"/>
    <map measureGroup="14" dimension="0"/>
    <map measureGroup="14" dimension="1"/>
    <map measureGroup="14" dimension="4"/>
    <map measureGroup="14" dimension="7"/>
    <map measureGroup="14" dimension="8"/>
    <map measureGroup="14" dimension="11"/>
    <map measureGroup="14" dimension="12"/>
    <map measureGroup="16" dimension="0"/>
    <map measureGroup="16" dimension="4"/>
    <map measureGroup="16" dimension="6"/>
    <map measureGroup="16" dimension="7"/>
    <map measureGroup="16" dimension="12"/>
    <map measureGroup="17" dimension="0"/>
    <map measureGroup="17" dimension="4"/>
    <map measureGroup="17" dimension="7"/>
    <map measureGroup="17" dimension="12"/>
    <map measureGroup="18" dimension="7"/>
    <map measureGroup="18" dimension="12"/>
    <map measureGroup="19" dimension="0"/>
    <map measureGroup="19" dimension="3"/>
    <map measureGroup="19" dimension="4"/>
    <map measureGroup="19" dimension="7"/>
    <map measureGroup="19" dimension="8"/>
    <map measureGroup="19" dimension="10"/>
    <map measureGroup="19" dimension="11"/>
    <map measureGroup="19" dimension="12"/>
    <map measureGroup="20" dimension="8"/>
    <map measureGroup="21" dimension="0"/>
    <map measureGroup="21" dimension="3"/>
    <map measureGroup="21" dimension="4"/>
    <map measureGroup="21" dimension="7"/>
    <map measureGroup="21" dimension="8"/>
    <map measureGroup="21" dimension="10"/>
    <map measureGroup="21" dimension="11"/>
    <map measureGroup="21" dimension="12"/>
    <map measureGroup="22" dimension="0"/>
    <map measureGroup="22" dimension="1"/>
    <map measureGroup="22" dimension="3"/>
    <map measureGroup="22" dimension="4"/>
    <map measureGroup="22" dimension="8"/>
    <map measureGroup="23" dimension="0"/>
    <map measureGroup="23" dimension="1"/>
    <map measureGroup="23" dimension="3"/>
    <map measureGroup="23" dimension="4"/>
    <map measureGroup="23" dimension="8"/>
    <map measureGroup="24" dimension="9"/>
    <map measureGroup="25" dimension="0"/>
    <map measureGroup="25" dimension="3"/>
    <map measureGroup="25" dimension="4"/>
    <map measureGroup="25" dimension="7"/>
    <map measureGroup="25" dimension="8"/>
    <map measureGroup="25" dimension="10"/>
    <map measureGroup="25" dimension="11"/>
    <map measureGroup="25" dimension="12"/>
    <map measureGroup="26" dimension="0"/>
    <map measureGroup="26" dimension="3"/>
    <map measureGroup="26" dimension="4"/>
    <map measureGroup="26" dimension="7"/>
    <map measureGroup="26" dimension="8"/>
    <map measureGroup="26" dimension="10"/>
    <map measureGroup="26" dimension="11"/>
    <map measureGroup="26" dimension="12"/>
    <map measureGroup="27" dimension="10"/>
    <map measureGroup="28" dimension="4"/>
    <map measureGroup="28" dimension="7"/>
    <map measureGroup="28" dimension="8"/>
    <map measureGroup="28" dimension="10"/>
    <map measureGroup="28" dimension="11"/>
    <map measureGroup="28" dimension="12"/>
    <map measureGroup="29" dimension="11"/>
    <map measureGroup="30" dimension="0"/>
    <map measureGroup="30" dimension="7"/>
    <map measureGroup="30" dimension="10"/>
    <map measureGroup="30" dimension="12"/>
    <map measureGroup="31" dimension="0"/>
    <map measureGroup="31" dimension="7"/>
    <map measureGroup="31" dimension="10"/>
    <map measureGroup="31" dimension="12"/>
    <map measureGroup="32" dimension="7"/>
    <map measureGroup="32" dimension="12"/>
    <map measureGroup="33" dimension="0"/>
    <map measureGroup="33" dimension="10"/>
    <map measureGroup="33" dimension="11"/>
    <map measureGroup="34" dimension="0"/>
    <map measureGroup="34" dimension="7"/>
    <map measureGroup="34" dimension="10"/>
    <map measureGroup="34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hmet Fatih Başol" refreshedDate="46063.389460879633" backgroundQuery="1" createdVersion="8" refreshedVersion="8" minRefreshableVersion="3" recordCount="0" supportSubquery="1" supportAdvancedDrill="1" xr:uid="{2B077060-CE01-457A-AEA1-BF4950F84BAB}">
  <cacheSource type="external" connectionId="2"/>
  <cacheFields count="29">
    <cacheField name="[SalesChannel].[SalesOrgType].[SalesOrgType]" caption="SalesOrgType" numFmtId="0" hierarchy="148" level="1">
      <sharedItems containsSemiMixedTypes="0" containsString="0"/>
    </cacheField>
    <cacheField name="[SalesChannel].[DistrubitionChannelDesc].[DistrubitionChannelDesc]" caption="DistrubitionChannelDesc" numFmtId="0" hierarchy="140" level="1">
      <sharedItems containsSemiMixedTypes="0" containsString="0"/>
    </cacheField>
    <cacheField name="[Measures].[TY Sales Unit]" caption="TY Sales Unit" numFmtId="0" hierarchy="853" level="32767"/>
    <cacheField name="[Measures].[TY Sales Value LC]" caption="TY Sales Value LC" numFmtId="0" hierarchy="855" level="32767"/>
    <cacheField name="[Measures].[TY Sales Cost LC]" caption="TY Sales Cost LC" numFmtId="0" hierarchy="857" level="32767"/>
    <cacheField name="[Measures].[TY Avg Store Stock Unit]" caption="TY Avg Store Stock Unit" numFmtId="0" hierarchy="760" level="32767"/>
    <cacheField name="[Measures].[TY Avg Store Transit Stock Unit]" caption="TY Avg Store Transit Stock Unit" numFmtId="0" hierarchy="761" level="32767"/>
    <cacheField name="[Calendar].[H_Merch].[MerchYear]" caption="MerchYear" numFmtId="0" hierarchy="6" level="1">
      <sharedItems containsSemiMixedTypes="0" containsString="0"/>
    </cacheField>
    <cacheField name="[Calendar].[H_Merch].[MerchYearMonthName]" caption="MerchYearMonthName" numFmtId="0" hierarchy="6" level="2">
      <sharedItems containsSemiMixedTypes="0" containsString="0"/>
    </cacheField>
    <cacheField name="[Calendar].[H_Merch].[MerchYearWeek]" caption="MerchYearWeek" numFmtId="0" hierarchy="6" level="3">
      <sharedItems containsSemiMixedTypes="0" containsString="0"/>
    </cacheField>
    <cacheField name="[Calendar].[H_Merch].[Date]" caption="Date" numFmtId="0" hierarchy="6" level="4">
      <sharedItems containsSemiMixedTypes="0" containsString="0"/>
    </cacheField>
    <cacheField name="[Store].[LocationCountry].[LocationCountry]" caption="LocationCountry" numFmtId="0" hierarchy="165" level="1">
      <sharedItems containsSemiMixedTypes="0" containsString="0"/>
    </cacheField>
    <cacheField name="[Calendar].[MerchWeek].[MerchWeek]" caption="MerchWeek" numFmtId="0" hierarchy="14" level="1">
      <sharedItems count="3">
        <s v="[Calendar].[MerchWeek].&amp;[5]" c="5"/>
        <s v="[Calendar].[MerchWeek].&amp;[6]" c="6"/>
        <s v="[Calendar].[MerchWeek].&amp;[7]" c="7"/>
      </sharedItems>
    </cacheField>
    <cacheField name="[Material].[H_MainGroup].[MainGroupDesc]" caption="MainGroupDesc" numFmtId="0" hierarchy="69" level="1">
      <sharedItems containsSemiMixedTypes="0" containsString="0"/>
    </cacheField>
    <cacheField name="[Material].[H_MainGroup].[SubGroupDesc]" caption="SubGroupDesc" numFmtId="0" hierarchy="69" level="2">
      <sharedItems containsSemiMixedTypes="0" containsString="0"/>
    </cacheField>
    <cacheField name="[Measures].[TY Gross Invoice Count]" caption="TY Gross Invoice Count" numFmtId="0" hierarchy="872" level="32767"/>
    <cacheField name="[Measures].[TY Invoice Count]" caption="TY Invoice Count" numFmtId="0" hierarchy="870" level="32767"/>
    <cacheField name="[Measures].[TY Return Invoice Count]" caption="TY Return Invoice Count" numFmtId="0" hierarchy="871" level="32767"/>
    <cacheField name="[Measures].[TY Avg DC Stock Unit]" caption="TY Avg DC Stock Unit" numFmtId="0" hierarchy="693" level="32767"/>
    <cacheField name="[SalesChannel].[H_SalesChannel].[SalesOrgType]" caption="SalesOrgType" numFmtId="0" hierarchy="142" level="1">
      <sharedItems containsSemiMixedTypes="0" containsString="0"/>
    </cacheField>
    <cacheField name="[SalesChannel].[H_SalesChannel].[CountryName]" caption="CountryName" numFmtId="0" hierarchy="142" level="2">
      <sharedItems containsSemiMixedTypes="0" containsString="0"/>
    </cacheField>
    <cacheField name="[SalesChannel].[H_SalesChannel].[DistrubitionChannelDesc]" caption="DistrubitionChannelDesc" numFmtId="0" hierarchy="142" level="3">
      <sharedItems containsSemiMixedTypes="0" containsString="0"/>
    </cacheField>
    <cacheField name="[Calendar].[LastNDays].[LastNDays]" caption="LastNDays" numFmtId="0" hierarchy="9" level="1">
      <sharedItems containsSemiMixedTypes="0" containsString="0"/>
    </cacheField>
    <cacheField name="[Calendar].[DayName].[DayName]" caption="DayName" numFmtId="0" hierarchy="2" level="1">
      <sharedItems count="7">
        <s v="[Calendar].[DayName].&amp;[Salı]" c="Salı"/>
        <s v="[Calendar].[DayName].&amp;[Çarşamba]" c="Çarşamba"/>
        <s v="[Calendar].[DayName].&amp;[Perşembe]" c="Perşembe"/>
        <s v="[Calendar].[DayName].&amp;[Cuma]" c="Cuma"/>
        <s v="[Calendar].[DayName].&amp;[Cumartesi]" c="Cumartesi"/>
        <s v="[Calendar].[DayName].&amp;[Pazar]" c="Pazar"/>
        <s v="[Calendar].[DayName].&amp;[Pazartesi]" c="Pazartesi"/>
      </sharedItems>
    </cacheField>
    <cacheField name="[Calendar].[Date].[Date]" caption="Date" numFmtId="0" level="1">
      <sharedItems count="14">
        <s v="[Calendar].[Date].&amp;[2026-01-27T00:00:00]" c="27.01.2026"/>
        <s v="[Calendar].[Date].&amp;[2026-01-28T00:00:00]" c="28.01.2026"/>
        <s v="[Calendar].[Date].&amp;[2026-01-29T00:00:00]" c="29.01.2026"/>
        <s v="[Calendar].[Date].&amp;[2026-01-30T00:00:00]" c="30.01.2026"/>
        <s v="[Calendar].[Date].&amp;[2026-01-31T00:00:00]" c="31.01.2026"/>
        <s v="[Calendar].[Date].&amp;[2026-02-01T00:00:00]" c="1.02.2026"/>
        <s v="[Calendar].[Date].&amp;[2026-02-02T00:00:00]" c="2.02.2026"/>
        <s v="[Calendar].[Date].&amp;[2026-02-03T00:00:00]" c="3.02.2026"/>
        <s v="[Calendar].[Date].&amp;[2026-02-04T00:00:00]" c="4.02.2026"/>
        <s v="[Calendar].[Date].&amp;[2026-02-05T00:00:00]" c="5.02.2026"/>
        <s v="[Calendar].[Date].&amp;[2026-02-06T00:00:00]" c="6.02.2026"/>
        <s v="[Calendar].[Date].&amp;[2026-02-07T00:00:00]" c="7.02.2026"/>
        <s v="[Calendar].[Date].&amp;[2026-02-08T00:00:00]" c="8.02.2026"/>
        <s v="[Calendar].[Date].&amp;[2026-02-09T00:00:00]" c="9.02.2026"/>
      </sharedItems>
    </cacheField>
    <cacheField name="[Measures].[TY Gross Marjin LC%]" caption="TY Gross Marjin LC%" numFmtId="0" hierarchy="1119" level="32767"/>
    <cacheField name="[Material].[MerchProduct].[MerchProduct]" caption="MerchProduct" numFmtId="0" hierarchy="100" level="1">
      <sharedItems containsSemiMixedTypes="0" containsString="0"/>
    </cacheField>
    <cacheField name="[SalesChannel].[CountryName].[CountryName]" caption="CountryName" numFmtId="0" hierarchy="138" level="1">
      <sharedItems containsSemiMixedTypes="0" containsString="0"/>
    </cacheField>
    <cacheField name="[Calendar].[MerchMonth].[MerchMonth]" caption="MerchMonth" numFmtId="0" hierarchy="12" level="1">
      <sharedItems containsSemiMixedTypes="0" containsString="0"/>
    </cacheField>
  </cacheFields>
  <cacheHierarchies count="1569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>
      <fieldsUsage count="2">
        <fieldUsage x="-1"/>
        <fieldUsage x="24"/>
      </fieldsUsage>
    </cacheHierarchy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2" unbalanced="0">
      <fieldsUsage count="2">
        <fieldUsage x="-1"/>
        <fieldUsage x="23"/>
      </fieldsUsage>
    </cacheHierarchy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5" unbalanced="0">
      <fieldsUsage count="5">
        <fieldUsage x="-1"/>
        <fieldUsage x="7"/>
        <fieldUsage x="8"/>
        <fieldUsage x="9"/>
        <fieldUsage x="10"/>
      </fieldsUsage>
    </cacheHierarchy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2" unbalanced="0">
      <fieldsUsage count="2">
        <fieldUsage x="-1"/>
        <fieldUsage x="22"/>
      </fieldsUsage>
    </cacheHierarchy>
    <cacheHierarchy uniqueName="[Calendar].[LastNMonths]" caption="LastNMonths" attribute="1" time="1" defaultMemberUniqueName="[Calendar].[LastNMonths].[All]" allUniqueName="[Calendar].[LastNMonths].[All]" dimensionUniqueName="[Calendar]" displayFolder="" count="0" unbalanced="0"/>
    <cacheHierarchy uniqueName="[Calendar].[LastNWeeks]" caption="LastNWeeks" attribute="1" time="1" defaultMemberUniqueName="[Calendar].[LastNWeeks].[All]" allUniqueName="[Calendar].[LastNWeeks].[All]" dimensionUniqueName="[Calendar]" displayFolder="" count="0" unbalanced="0"/>
    <cacheHierarchy uniqueName="[Calendar].[MerchMonth]" caption="MerchMonth" attribute="1" time="1" defaultMemberUniqueName="[Calendar].[MerchMonth].[All]" allUniqueName="[Calendar].[MerchMonth].[All]" dimensionUniqueName="[Calendar]" displayFolder="Merch" count="2" unbalanced="0">
      <fieldsUsage count="2">
        <fieldUsage x="-1"/>
        <fieldUsage x="28"/>
      </fieldsUsage>
    </cacheHierarchy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>
      <fieldsUsage count="2">
        <fieldUsage x="-1"/>
        <fieldUsage x="12"/>
      </fieldsUsage>
    </cacheHierarchy>
    <cacheHierarchy uniqueName="[Calendar].[MerchYear]" caption="MerchYear" attribute="1" time="1" defaultMemberUniqueName="[Calendar].[MerchYear].[All]" allUniqueName="[Calendar].[MerchYear].[All]" dimensionUniqueName="[Calendar]" displayFolder="Merch" count="0" unbalanced="0"/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0" unbalanced="0"/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Delivery].[CustomerClass]" caption="CustomerClass" attribute="1" defaultMemberUniqueName="[Delivery].[CustomerClass].[All]" allUniqueName="[Delivery].[CustomerClass].[All]" dimensionUniqueName="[Delivery]" displayFolder="" count="0" unbalanced="0"/>
    <cacheHierarchy uniqueName="[Delivery].[MainCustomerClass]" caption="MainCustomerClass" attribute="1" defaultMemberUniqueName="[Delivery].[MainCustomerClass].[All]" allUniqueName="[Delivery].[MainCustomerClass].[All]" dimensionUniqueName="[Delivery]" displayFolder="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3" unbalanced="0">
      <fieldsUsage count="3">
        <fieldUsage x="-1"/>
        <fieldUsage x="13"/>
        <fieldUsage x="14"/>
      </fieldsUsage>
    </cacheHierarchy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0" unbalanced="0"/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Desc]" caption="MaterialCodeDesc" attribute="1" defaultMemberUniqueName="[Material].[MaterialCodeDesc].[All]" allUniqueName="[Material].[MaterialCodeDesc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0" unbalanced="0"/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axStockQty]" caption="MaxStockQty" attribute="1" defaultMemberUniqueName="[Material].[MaxStockQty].[All]" allUniqueName="[Material].[MaxStockQty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2" unbalanced="0">
      <fieldsUsage count="2">
        <fieldUsage x="-1"/>
        <fieldUsage x="26"/>
      </fieldsUsage>
    </cacheHierarchy>
    <cacheHierarchy uniqueName="[Material].[MinStockQty]" caption="MinStockQty" attribute="1" defaultMemberUniqueName="[Material].[MinStockQty].[All]" allUniqueName="[Material].[MinStockQty].[All]" dimensionUniqueName="[Material]" displayFolder="" count="0" unbalanced="0"/>
    <cacheHierarchy uniqueName="[Material].[PackagingType]" caption="PackagingType" attribute="1" defaultMemberUniqueName="[Material].[PackagingType].[All]" allUniqueName="[Material].[PackagingType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PlanStatus]" caption="PlanStatus" attribute="1" defaultMemberUniqueName="[Material].[PlanStatus].[All]" allUniqueName="[Material].[PlanStatus].[All]" dimensionUniqueName="[Material]" displayFolder="" count="0" unbalanced="0"/>
    <cacheHierarchy uniqueName="[Material].[PriceX]" caption="PriceX" attribute="1" defaultMemberUniqueName="[Material].[PriceX].[All]" allUniqueName="[Material].[PriceX].[All]" dimensionUniqueName="[Material]" displayFolder="" count="0" unbalanced="0"/>
    <cacheHierarchy uniqueName="[Material].[ProductFamily]" caption="ProductFamily" attribute="1" defaultMemberUniqueName="[Material].[ProductFamily].[All]" allUniqueName="[Material].[ProductFamily].[All]" dimensionUniqueName="[Material]" displayFolder="" count="0" unbalanced="0"/>
    <cacheHierarchy uniqueName="[Material].[ProductSegment]" caption="ProductSegment" attribute="1" defaultMemberUniqueName="[Material].[ProductSegment].[All]" allUniqueName="[Material].[ProductSegment].[All]" dimensionUniqueName="[Material]" displayFolder="" count="0" unbalanced="0"/>
    <cacheHierarchy uniqueName="[Material].[ProductStoreSegment]" caption="ProductStoreSegment" attribute="1" defaultMemberUniqueName="[Material].[ProductStoreSegment].[All]" allUniqueName="[Material].[ProductStoreSegment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RemainingDaysforPlan]" caption="RemainingDaysforPlan" attribute="1" defaultMemberUniqueName="[Material].[RemainingDaysforPlan].[All]" allUniqueName="[Material].[RemainingDaysforPlan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0" unbalanced="0"/>
    <cacheHierarchy uniqueName="[Material].[TagGroupDesc]" caption="TagGroupDesc" attribute="1" defaultMemberUniqueName="[Material].[TagGroupDesc].[All]" allUniqueName="[Material].[Tag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atRate]" caption="VatRate" attribute="1" defaultMemberUniqueName="[Material].[VatRate].[All]" allUniqueName="[Material].[VatRate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2" unbalanced="0">
      <fieldsUsage count="2">
        <fieldUsage x="-1"/>
        <fieldUsage x="27"/>
      </fieldsUsage>
    </cacheHierarchy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>
      <fieldsUsage count="2">
        <fieldUsage x="-1"/>
        <fieldUsage x="1"/>
      </fieldsUsage>
    </cacheHierarchy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4" unbalanced="0">
      <fieldsUsage count="4">
        <fieldUsage x="-1"/>
        <fieldUsage x="19"/>
        <fieldUsage x="20"/>
        <fieldUsage x="21"/>
      </fieldsUsage>
    </cacheHierarchy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2" unbalanced="0">
      <fieldsUsage count="2">
        <fieldUsage x="-1"/>
        <fieldUsage x="0"/>
      </fieldsUsage>
    </cacheHierarchy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2" unbalanced="0">
      <fieldsUsage count="2">
        <fieldUsage x="-1"/>
        <fieldUsage x="11"/>
      </fieldsUsage>
    </cacheHierarchy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Season]" caption="LocationSeason" attribute="1" defaultMemberUniqueName="[Store].[LocationSeason].[All]" allUniqueName="[Store].[LocationSeason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ckBufferFactor]" caption="StockBufferFactor" attribute="1" defaultMemberUniqueName="[Store].[StockBufferFactor].[All]" allUniqueName="[Store].[StockBufferFactor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PriceScore]" caption="StorePriceScore" attribute="1" defaultMemberUniqueName="[Store].[StorePriceScore].[All]" allUniqueName="[Store].[StorePriceScore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ales].[BanProfit]" caption="BanProfit" attribute="1" defaultMemberUniqueName="[CurrentStockSales].[BanProfit].[All]" allUniqueName="[CurrentStockSales].[BanProfit].[All]" dimensionUniqueName="[CurrentStockSales]" displayFolder="" count="0" unbalanced="0" hidden="1"/>
    <cacheHierarchy uniqueName="[CurrentStockSales].[CumStockDM3]" caption="CumStockDM3" attribute="1" defaultMemberUniqueName="[CurrentStockSales].[CumStockDM3].[All]" allUniqueName="[CurrentStockSales].[CumStockDM3].[All]" dimensionUniqueName="[CurrentStockSales]" displayFolder="" count="0" unbalanced="0" hidden="1"/>
    <cacheHierarchy uniqueName="[CurrentStockSales].[CumStokUnit]" caption="CumStokUnit" attribute="1" defaultMemberUniqueName="[CurrentStockSales].[CumStokUnit].[All]" allUniqueName="[CurrentStockSales].[CumStokUnit].[All]" dimensionUniqueName="[CurrentStockSales]" displayFolder="" count="0" unbalanced="0" hidden="1"/>
    <cacheHierarchy uniqueName="[CurrentStockSales].[CUROpenTransferStoreStockUnit]" caption="CUROpenTransferStoreStockUnit" attribute="1" defaultMemberUniqueName="[CurrentStockSales].[CUROpenTransferStoreStockUnit].[All]" allUniqueName="[CurrentStockSales].[CUROpenTransferStoreStockUnit].[All]" dimensionUniqueName="[CurrentStockSales]" displayFolder="" count="0" unbalanced="0" hidden="1"/>
    <cacheHierarchy uniqueName="[CurrentStockSales].[CURUnapprovedOrderStoreStockUnit]" caption="CURUnapprovedOrderStoreStockUnit" attribute="1" defaultMemberUniqueName="[CurrentStockSales].[CURUnapprovedOrderStoreStockUnit].[All]" allUniqueName="[CurrentStockSales].[CURUnapprovedOrderStoreStockUnit].[All]" dimensionUniqueName="[CurrentStockSales]" displayFolder="" count="0" unbalanced="0" hidden="1"/>
    <cacheHierarchy uniqueName="[CurrentStockSales].[GrossProfit007]" caption="GrossProfit007" attribute="1" defaultMemberUniqueName="[CurrentStockSales].[GrossProfit007].[All]" allUniqueName="[CurrentStockSales].[GrossProfit007].[All]" dimensionUniqueName="[CurrentStockSales]" displayFolder="" count="0" unbalanced="0" hidden="1"/>
    <cacheHierarchy uniqueName="[CurrentStockSales].[GrossProfit021]" caption="GrossProfit021" attribute="1" defaultMemberUniqueName="[CurrentStockSales].[GrossProfit021].[All]" allUniqueName="[CurrentStockSales].[GrossProfit021].[All]" dimensionUniqueName="[CurrentStockSales]" displayFolder="" count="0" unbalanced="0" hidden="1"/>
    <cacheHierarchy uniqueName="[CurrentStockSales].[LivingArea]" caption="LivingArea" attribute="1" defaultMemberUniqueName="[CurrentStockSales].[LivingArea].[All]" allUniqueName="[CurrentStockSales].[LivingArea].[All]" dimensionUniqueName="[CurrentStockSales]" displayFolder="" count="0" unbalanced="0" hidden="1"/>
    <cacheHierarchy uniqueName="[CurrentStockSales].[MainGroupCode]" caption="MainGroupCode" attribute="1" defaultMemberUniqueName="[CurrentStockSales].[MainGroupCode].[All]" allUniqueName="[CurrentStockSales].[MainGroupCode].[All]" dimensionUniqueName="[CurrentStockSales]" displayFolder="" count="0" unbalanced="0" hidden="1"/>
    <cacheHierarchy uniqueName="[CurrentStockSales].[Marj_w1]" caption="Marj_w1" attribute="1" defaultMemberUniqueName="[CurrentStockSales].[Marj_w1].[All]" allUniqueName="[CurrentStockSales].[Marj_w1].[All]" dimensionUniqueName="[CurrentStockSales]" displayFolder="" count="0" unbalanced="0" hidden="1"/>
    <cacheHierarchy uniqueName="[CurrentStockSales].[Marj_w3]" caption="Marj_w3" attribute="1" defaultMemberUniqueName="[CurrentStockSales].[Marj_w3].[All]" allUniqueName="[CurrentStockSales].[Marj_w3].[All]" dimensionUniqueName="[CurrentStockSales]" displayFolder="" count="0" unbalanced="0" hidden="1"/>
    <cacheHierarchy uniqueName="[CurrentStockSales].[MaterialCode]" caption="MaterialCode" attribute="1" defaultMemberUniqueName="[CurrentStockSales].[MaterialCode].[All]" allUniqueName="[CurrentStockSales].[MaterialCode].[All]" dimensionUniqueName="[CurrentStockSales]" displayFolder="" count="0" unbalanced="0" hidden="1"/>
    <cacheHierarchy uniqueName="[CurrentStockSales].[MaterialDm3]" caption="MaterialDm3" attribute="1" defaultMemberUniqueName="[CurrentStockSales].[MaterialDm3].[All]" allUniqueName="[CurrentStockSales].[MaterialDm3].[All]" dimensionUniqueName="[CurrentStockSales]" displayFolder="" count="0" unbalanced="0" hidden="1"/>
    <cacheHierarchy uniqueName="[CurrentStockSales].[MaterialKey]" caption="MaterialKey" attribute="1" defaultMemberUniqueName="[CurrentStockSales].[MaterialKey].[All]" allUniqueName="[CurrentStockSales].[MaterialKey].[All]" dimensionUniqueName="[CurrentStockSales]" displayFolder="" count="0" unbalanced="0" hidden="1"/>
    <cacheHierarchy uniqueName="[CurrentStockSales].[NetCumStockDM3]" caption="NetCumStockDM3" attribute="1" defaultMemberUniqueName="[CurrentStockSales].[NetCumStockDM3].[All]" allUniqueName="[CurrentStockSales].[NetCumStockDM3].[All]" dimensionUniqueName="[CurrentStockSales]" displayFolder="" count="0" unbalanced="0" hidden="1"/>
    <cacheHierarchy uniqueName="[CurrentStockSales].[NetCumStokUnit]" caption="NetCumStokUnit" attribute="1" defaultMemberUniqueName="[CurrentStockSales].[NetCumStokUnit].[All]" allUniqueName="[CurrentStockSales].[NetCumStokUnit].[All]" dimensionUniqueName="[CurrentStockSales]" displayFolder="" count="0" unbalanced="0" hidden="1"/>
    <cacheHierarchy uniqueName="[CurrentStockSales].[QtyInBox]" caption="QtyInBox" attribute="1" defaultMemberUniqueName="[CurrentStockSales].[QtyInBox].[All]" allUniqueName="[CurrentStockSales].[QtyInBox].[All]" dimensionUniqueName="[CurrentStockSales]" displayFolder="" count="0" unbalanced="0" hidden="1"/>
    <cacheHierarchy uniqueName="[CurrentStockSales].[SalesUnit007]" caption="SalesUnit007" attribute="1" defaultMemberUniqueName="[CurrentStockSales].[SalesUnit007].[All]" allUniqueName="[CurrentStockSales].[SalesUnit007].[All]" dimensionUniqueName="[CurrentStockSales]" displayFolder="" count="0" unbalanced="0" hidden="1"/>
    <cacheHierarchy uniqueName="[CurrentStockSales].[SalesUnit021]" caption="SalesUnit021" attribute="1" defaultMemberUniqueName="[CurrentStockSales].[SalesUnit021].[All]" allUniqueName="[CurrentStockSales].[SalesUnit021].[All]" dimensionUniqueName="[CurrentStockSales]" displayFolder="" count="0" unbalanced="0" hidden="1"/>
    <cacheHierarchy uniqueName="[CurrentStockSales].[SalesValue007]" caption="SalesValue007" attribute="1" defaultMemberUniqueName="[CurrentStockSales].[SalesValue007].[All]" allUniqueName="[CurrentStockSales].[SalesValue007].[All]" dimensionUniqueName="[CurrentStockSales]" displayFolder="" count="0" unbalanced="0" hidden="1"/>
    <cacheHierarchy uniqueName="[CurrentStockSales].[SalesValue021]" caption="SalesValue021" attribute="1" defaultMemberUniqueName="[CurrentStockSales].[SalesValue021].[All]" allUniqueName="[CurrentStockSales].[SalesValue021].[All]" dimensionUniqueName="[CurrentStockSales]" displayFolder="" count="0" unbalanced="0" hidden="1"/>
    <cacheHierarchy uniqueName="[CurrentStockSales].[StockBufferFactor]" caption="StockBufferFactor" attribute="1" defaultMemberUniqueName="[CurrentStockSales].[StockBufferFactor].[All]" allUniqueName="[CurrentStockSales].[StockBufferFactor].[All]" dimensionUniqueName="[CurrentStockSales]" displayFolder="" count="0" unbalanced="0" hidden="1"/>
    <cacheHierarchy uniqueName="[CurrentStockSales].[StoreCode]" caption="StoreCode" attribute="1" defaultMemberUniqueName="[CurrentStockSales].[StoreCode].[All]" allUniqueName="[CurrentStockSales].[StoreCode].[All]" dimensionUniqueName="[CurrentStockSales]" displayFolder="" count="0" unbalanced="0" hidden="1"/>
    <cacheHierarchy uniqueName="[CurrentStockSales].[StoreStockUnit]" caption="StoreStockUnit" attribute="1" defaultMemberUniqueName="[CurrentStockSales].[StoreStockUnit].[All]" allUniqueName="[CurrentStockSales].[StoreStockUnit].[All]" dimensionUniqueName="[CurrentStockSales]" displayFolder="" count="0" unbalanced="0" hidden="1"/>
    <cacheHierarchy uniqueName="[CurrentStockSales].[StoreTransitStockUnit]" caption="StoreTransitStockUnit" attribute="1" defaultMemberUniqueName="[CurrentStockSales].[StoreTransitStockUnit].[All]" allUniqueName="[CurrentStockSales].[StoreTransitStockUnit].[All]" dimensionUniqueName="[CurrentStockSales]" displayFolder="" count="0" unbalanced="0" hidden="1"/>
    <cacheHierarchy uniqueName="[CurrentStockSales].[TRMarj_w1]" caption="TRMarj_w1" attribute="1" defaultMemberUniqueName="[CurrentStockSales].[TRMarj_w1].[All]" allUniqueName="[CurrentStockSales].[TRMarj_w1].[All]" dimensionUniqueName="[CurrentStockSales]" displayFolder="" count="0" unbalanced="0" hidden="1"/>
    <cacheHierarchy uniqueName="[CurrentStockSales].[TRMarj_w3]" caption="TRMarj_w3" attribute="1" defaultMemberUniqueName="[CurrentStockSales].[TRMarj_w3].[All]" allUniqueName="[CurrentStockSales].[TRMarj_w3].[All]" dimensionUniqueName="[CurrentStockSales]" displayFolder="" count="0" unbalanced="0" hidden="1"/>
    <cacheHierarchy uniqueName="[CurrentStockSales].[WeeklyAvgSales]" caption="WeeklyAvgSales" attribute="1" defaultMemberUniqueName="[CurrentStockSales].[WeeklyAvgSales].[All]" allUniqueName="[CurrentStockSales].[WeeklyAvgSales].[All]" dimensionUniqueName="[CurrentStockSales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Delivery].[DeliveryBudget]" caption="DeliveryBudget" attribute="1" defaultMemberUniqueName="[Delivery].[DeliveryBudget].[All]" allUniqueName="[Delivery].[DeliveryBudget].[All]" dimensionUniqueName="[Delivery]" displayFolder="" count="0" unbalanced="0" hidden="1"/>
    <cacheHierarchy uniqueName="[Delivery].[DeliveryQty]" caption="DeliveryQty" attribute="1" defaultMemberUniqueName="[Delivery].[DeliveryQty].[All]" allUniqueName="[Delivery].[DeliveryQty].[All]" dimensionUniqueName="[Delivery]" displayFolder="" count="0" unbalanced="0" hidden="1"/>
    <cacheHierarchy uniqueName="[Delivery].[FirstDayofMonth]" caption="FirstDayofMonth" attribute="1" defaultMemberUniqueName="[Delivery].[FirstDayofMonth].[All]" allUniqueName="[Delivery].[FirstDayofMonth].[All]" dimensionUniqueName="[Delivery]" displayFolder="" count="0" unbalanced="0" hidden="1"/>
    <cacheHierarchy uniqueName="[Delivery].[MaterialKey]" caption="MaterialKey" attribute="1" defaultMemberUniqueName="[Delivery].[MaterialKey].[All]" allUniqueName="[Delivery].[MaterialKey].[All]" dimensionUniqueName="[Delivery]" displayFolder="" count="0" unbalanced="0" hidden="1"/>
    <cacheHierarchy uniqueName="[Delivery].[Month]" caption="Month" attribute="1" defaultMemberUniqueName="[Delivery].[Month].[All]" allUniqueName="[Delivery].[Month].[All]" dimensionUniqueName="[Delivery]" displayFolder="" count="0" unbalanced="0" hidden="1"/>
    <cacheHierarchy uniqueName="[Delivery].[Year]" caption="Year" attribute="1" defaultMemberUniqueName="[Delivery].[Year].[All]" allUniqueName="[Delivery].[Year].[All]" dimensionUniqueName="[Delivery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FROM_PLANT]" caption="FROM_PLANT" attribute="1" defaultMemberUniqueName="[OpenImportsStoreStock].[FROM_PLANT].[All]" allUniqueName="[OpenImportsStoreStock].[FROM_PLAN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 hidden="1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 hidden="1"/>
    <cacheHierarchy uniqueName="[PurchaseOrder].[ToptanSasCarpanı]" caption="ToptanSasCarpanı" attribute="1" defaultMemberUniqueName="[PurchaseOrder].[ToptanSasCarpanı].[All]" allUniqueName="[PurchaseOrder].[ToptanSasCarpanı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 hidden="1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 hidden="1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 hidden="1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 hidden="1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 hidden="1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 hidden="1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 hidden="1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 hidden="1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 hidden="1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 hidden="1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 hidden="1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 hidden="1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 hidden="1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 hidden="1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 hidden="1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 hidden="1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 hidden="1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 hidden="1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 hidden="1"/>
    <cacheHierarchy uniqueName="[PurchaseOrderGR].[ToptanSasCarpanı]" caption="ToptanSasCarpanı" attribute="1" defaultMemberUniqueName="[PurchaseOrderGR].[ToptanSasCarpanı].[All]" allUniqueName="[PurchaseOrderGR].[ToptanSasCarpanı].[All]" dimensionUniqueName="[PurchaseOrderG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CapacityUnit]" caption="CapacityUnit" attribute="1" defaultMemberUniqueName="[Store].[CapacityUnit].[All]" allUniqueName="[Store].[CapacityUnit].[All]" dimensionUniqueName="[Store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 oneField="1">
      <fieldsUsage count="1">
        <fieldUsage x="18"/>
      </fieldsUsage>
    </cacheHierarchy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/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Kullanılabilir DC Stok Adet]" caption="Kullanılabilir DC Stok Adet" measure="1" displayFolder="00_CURRENT" measureGroup="StockDC" count="0"/>
    <cacheHierarchy uniqueName="[Measures].[TY Avg Store Stock Unit]" caption="TY Avg Store Stock Unit" measure="1" displayFolder="01_TY\_UNIT" measureGroup="StockStore" count="0" oneField="1">
      <fieldsUsage count="1">
        <fieldUsage x="5"/>
      </fieldsUsage>
    </cacheHierarchy>
    <cacheHierarchy uniqueName="[Measures].[TY Avg Store Transit Stock Unit]" caption="TY Avg Store Transit Stock Unit" measure="1" displayFolder="01_TY\_UNIT" measureGroup="StockStore" count="0" oneField="1">
      <fieldsUsage count="1">
        <fieldUsage x="6"/>
      </fieldsUsage>
    </cacheHierarchy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/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CUR Unapproved Order Store Stock Unit Others]" caption="CUR Unapproved Order Store Stock Unit Others" measure="1" displayFolder="00_CURRENT" measureGroup="StockStore" count="0"/>
    <cacheHierarchy uniqueName="[Measures].[CUR Open Transfer Store Stock Unit Others]" caption="CUR Open Transfer Store Stock Unit Others" measure="1" displayFolder="00_CURRENT" measureGroup="StockStore" count="0"/>
    <cacheHierarchy uniqueName="[Measures].[CUR Open Transfer Store Stock Dm3 Others]" caption="CUR Open Transfer Store Stock Dm3 Others" measure="1" displayFolder="00_CURRENT" measureGroup="StockStore" count="0"/>
    <cacheHierarchy uniqueName="[Measures].[CUR Unapproved Order Store Stock Dm3 Others]" caption="CUR Unapproved Order Store Stock Dm3 Others" measure="1" displayFolder="00_CURRENT" measureGroup="StockStore" count="0"/>
    <cacheHierarchy uniqueName="[Measures].[TY Sales Unit]" caption="TY Sales Unit" measure="1" displayFolder="01_TY\_UNIT" measureGroup="Sales" count="0" oneField="1">
      <fieldsUsage count="1">
        <fieldUsage x="2"/>
      </fieldsUsage>
    </cacheHierarchy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 oneField="1">
      <fieldsUsage count="1">
        <fieldUsage x="3"/>
      </fieldsUsage>
    </cacheHierarchy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 oneField="1">
      <fieldsUsage count="1">
        <fieldUsage x="4"/>
      </fieldsUsage>
    </cacheHierarchy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 oneField="1">
      <fieldsUsage count="1">
        <fieldUsage x="16"/>
      </fieldsUsage>
    </cacheHierarchy>
    <cacheHierarchy uniqueName="[Measures].[TY Return Invoice Count]" caption="TY Return Invoice Count" measure="1" displayFolder="01_TY\_UNIT" measureGroup="Sales" count="0" oneField="1">
      <fieldsUsage count="1">
        <fieldUsage x="17"/>
      </fieldsUsage>
    </cacheHierarchy>
    <cacheHierarchy uniqueName="[Measures].[TY Gross Invoice Count]" caption="TY Gross Invoice Count" measure="1" displayFolder="01_TY\_UNIT" measureGroup="Sales" count="0" oneField="1">
      <fieldsUsage count="1">
        <fieldUsage x="15"/>
      </fieldsUsage>
    </cacheHierarchy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/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/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/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/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/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/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/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Unit Dm3]" caption="TY Sales Unit Dm3" measure="1" displayFolder="01_TY\_VOLUME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/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/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/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 oneField="1">
      <fieldsUsage count="1">
        <fieldUsage x="25"/>
      </fieldsUsage>
    </cacheHierarchy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/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/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/>
    <cacheHierarchy uniqueName="[Measures].[LFL Sales Value TYvsLY LC%]" caption="LFL Sales Value TYvsLY LC%" measure="1" displayFolder="02_TYLFL\LC" measureGroup="KPI" count="0"/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/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/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/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/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/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/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/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Pending PO Unit (WholeSale)]" caption="Pending PO Unit (WholeSale)" measure="1" displayFolder="_UNIT" measureGroup="PurchaseOrder" count="0"/>
    <cacheHierarchy uniqueName="[Measures].[Pending PO Value LC (WholeSale)]" caption="Pending PO Value LC (WholeSale)" measure="1" displayFolder="_VALUE" measureGroup="PurchaseOrder" count="0"/>
    <cacheHierarchy uniqueName="[Measures].[Goods Receipt PO Unit (WholeSale)]" caption="Goods Receipt PO Unit (WholeSale)" measure="1" displayFolder="_UNIT" measureGroup="PurchaseOrder" count="0"/>
    <cacheHierarchy uniqueName="[Measures].[Goods Receipt PO Value LC (WholeSale)]" caption="Goods Receipt PO Value LC (WholeSale)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DM3" measureGroup="Capacity" count="0"/>
    <cacheHierarchy uniqueName="[Measures].[CUR Backstore Capacity dm3]" caption="CUR Backstore Capacity dm3" measure="1" displayFolder="00_CURRENT\_DM3" measureGroup="Capacity" count="0"/>
    <cacheHierarchy uniqueName="[Measures].[CUR Total Store Capacity dm3]" caption="CUR Total Store Capacity dm3" measure="1" displayFolder="00_CURRENT\_DM3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Fiziki Dm3 Doluluk %]" caption="Fiziki Dm3 Doluluk %" measure="1" displayFolder="00_CURRENT\_DM3" measureGroup="Capacity" count="0"/>
    <cacheHierarchy uniqueName="[Measures].[Nihai Dm3 Doluluk %]" caption="Nihai Dm3 Doluluk %" measure="1" displayFolder="00_CURRENT\_DM3" measureGroup="Capacity" count="0"/>
    <cacheHierarchy uniqueName="[Measures].[Fiziki Adet Doluluk %]" caption="Fiziki Adet Doluluk %" measure="1" displayFolder="00_CURRENT\_UNIT" measureGroup="Capacity" count="0"/>
    <cacheHierarchy uniqueName="[Measures].[Nihai Adet Doluluk %]" caption="Nihai Adet Doluluk %" measure="1" displayFolder="00_CURRENT\_UNIT" measureGroup="Capacity" count="0"/>
    <cacheHierarchy uniqueName="[Measures].[BrKar/Dm3]" caption="BrKar/Dm3" measure="1" displayFolder="00_CURRENT\_DM3" measureGroup="Capacity" count="0"/>
    <cacheHierarchy uniqueName="[Measures].[NET Nihai Dm3 Doluluk %]" caption="NET Nihai Dm3 Doluluk %" measure="1" displayFolder="00_CURRENT\_DM3" measureGroup="Capacity" count="0"/>
    <cacheHierarchy uniqueName="[Measures].[Delivery Quantity Outbound from DC to Store]" caption="Delivery Quantity Outbound from DC to Store" measure="1" displayFolder="" measureGroup="Delivery" count="0"/>
    <cacheHierarchy uniqueName="[Measures].[Delivery Quantity Target from DC to Store]" caption="Delivery Quantity Target from DC to Store" measure="1" displayFolder="" measureGroup="Deliver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SumofSalesUnitDm3]" caption="SumofSalesUnitDm3" measure="1" displayFolder="" measureGroup="Sales" count="0" hidden="1"/>
    <cacheHierarchy uniqueName="[Measures].[TY Store Cover Unit]" caption="TY Store Cover Unit" measure="1" displayFolder="01_TY\_UNIT" measureGroup="KPI" count="0" hidden="1"/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hidden="1"/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Last 21Days TY Sales Unit]" caption="Last 21Days TY Sales Unit" measure="1" displayFolder="LASTN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Goods Receipt PO Value LC Old]" caption="Goods Receipt PO Value LC Old" measure="1" displayFolder="_VALUE" measureGroup="PurchaseOrder" count="0" hidden="1"/>
    <cacheHierarchy uniqueName="[Measures].[Goods Receipt PO Unit Base (WholeSale)]" caption="Goods Receipt PO Unit Base (WholeSale)" measure="1" displayFolder="" measureGroup="PurchaseOrder" count="0" hidden="1"/>
    <cacheHierarchy uniqueName="[Measures].[Goods Receipt PO Value Navlun LC Base (WholeSale)]" caption="Goods Receipt PO Value Navlun LC Base (WholeSale)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  <cacheHierarchy uniqueName="[Measures].[CUR NET Cumulative Stock DM3]" caption="CUR NET Cumulative Stock DM3" measure="1" displayFolder="" measureGroup="Capacity" count="0" hidden="1"/>
  </cacheHierarchies>
  <kpis count="0"/>
  <dimensions count="13">
    <dimension name="Calendar" uniqueName="[Calendar]" caption="Calendar"/>
    <dimension name="DCWarehouse" uniqueName="[DCWarehouse]" caption="DCWarehouse"/>
    <dimension name="Delivery" uniqueName="[Delivery]" caption="Delivery"/>
    <dimension name="ISPUnitPrice" uniqueName="[ISPUnitPrice]" caption="ISPUnitPrice"/>
    <dimension name="Material" uniqueName="[Material]" caption="Material"/>
    <dimension measure="1" name="Measures" uniqueName="[Measures]" caption="Measures"/>
    <dimension name="SalesBudget" uniqueName="[SalesBudget]" caption="SalesBudget"/>
    <dimension name="SalesChannel" uniqueName="[SalesChannel]" caption="SalesChannel"/>
    <dimension name="SalesSeason" uniqueName="[SalesSeason]" caption="SalesSeason"/>
    <dimension name="StockList" uniqueName="[StockList]" caption="StockList"/>
    <dimension name="Store" uniqueName="[Store]" caption="Store"/>
    <dimension name="StoreLFLStatu" uniqueName="[StoreLFLStatu]" caption="StoreLFLStatu"/>
    <dimension name="SubDistChannel" uniqueName="[SubDistChannel]" caption="SubDistChannel"/>
  </dimensions>
  <measureGroups count="35">
    <measureGroup name="Calendar" caption="Calendar"/>
    <measureGroup name="Capacity" caption="Capacity"/>
    <measureGroup name="CapacityPlanTY" caption="CapacityPlanTY"/>
    <measureGroup name="CurrentStockSales" caption="CurrentStockSales"/>
    <measureGroup name="CurrentStockStore" caption="CurrentStockStore"/>
    <measureGroup name="DCWarehouse" caption="DCWarehouse"/>
    <measureGroup name="Delivery" caption="Delivery"/>
    <measureGroup name="ISPUnitPrice" caption="ISPUnitPrice"/>
    <measureGroup name="KPI" caption="KPI"/>
    <measureGroup name="LFLDate" caption="LFLDate"/>
    <measureGroup name="Material" caption="Material"/>
    <measureGroup name="OpenImportsDCStock" caption="OpenImportsDCStock"/>
    <measureGroup name="OpenImportsStoreStock" caption="OpenImportsStoreStock"/>
    <measureGroup name="PurchaseOrder" caption="PurchaseOrder"/>
    <measureGroup name="PurchaseOrderGR" caption="PurchaseOrderGR"/>
    <measureGroup name="Sales" caption="Sales"/>
    <measureGroup name="SalesBudget" caption="SalesBudget"/>
    <measureGroup name="SalesBudgetLY" caption="SalesBudgetLY"/>
    <measureGroup name="SalesChannel" caption="SalesChannel"/>
    <measureGroup name="SalesLY" caption="SalesLY"/>
    <measureGroup name="SalesSeason" caption="SalesSeason"/>
    <measureGroup name="SalesTY" caption="SalesTY"/>
    <measureGroup name="StockDC" caption="StockDC"/>
    <measureGroup name="StockDCLY" caption="StockDCLY"/>
    <measureGroup name="StockList" caption="StockList"/>
    <measureGroup name="StockStore" caption="StockStore"/>
    <measureGroup name="StockStoreLY" caption="StockStoreLY"/>
    <measureGroup name="Store" caption="Store"/>
    <measureGroup name="StoreCapacity" caption="StoreCapacity"/>
    <measureGroup name="StoreLFLStatu" caption="StoreLFLStatu"/>
    <measureGroup name="StoreTarget" caption="StoreTarget"/>
    <measureGroup name="StoreTargetLY" caption="StoreTargetLY"/>
    <measureGroup name="SubDistChannel" caption="SubDistChannel"/>
    <measureGroup name="Visitor" caption="Visitor"/>
    <measureGroup name="VisitorHourly" caption="VisitorHourly"/>
  </measureGroups>
  <maps count="130">
    <map measureGroup="0" dimension="0"/>
    <map measureGroup="1" dimension="0"/>
    <map measureGroup="1" dimension="4"/>
    <map measureGroup="1" dimension="7"/>
    <map measureGroup="1" dimension="8"/>
    <map measureGroup="1" dimension="10"/>
    <map measureGroup="1" dimension="11"/>
    <map measureGroup="1" dimension="12"/>
    <map measureGroup="2" dimension="0"/>
    <map measureGroup="2" dimension="4"/>
    <map measureGroup="2" dimension="7"/>
    <map measureGroup="2" dimension="12"/>
    <map measureGroup="3" dimension="4"/>
    <map measureGroup="3" dimension="10"/>
    <map measureGroup="4" dimension="3"/>
    <map measureGroup="4" dimension="4"/>
    <map measureGroup="4" dimension="7"/>
    <map measureGroup="4" dimension="10"/>
    <map measureGroup="4" dimension="12"/>
    <map measureGroup="5" dimension="1"/>
    <map measureGroup="6" dimension="0"/>
    <map measureGroup="6" dimension="2"/>
    <map measureGroup="6" dimension="4"/>
    <map measureGroup="7" dimension="3"/>
    <map measureGroup="9" dimension="0"/>
    <map measureGroup="9" dimension="7"/>
    <map measureGroup="9" dimension="12"/>
    <map measureGroup="10" dimension="4"/>
    <map measureGroup="11" dimension="1"/>
    <map measureGroup="11" dimension="4"/>
    <map measureGroup="11" dimension="9"/>
    <map measureGroup="12" dimension="4"/>
    <map measureGroup="12" dimension="7"/>
    <map measureGroup="12" dimension="9"/>
    <map measureGroup="12" dimension="10"/>
    <map measureGroup="12" dimension="12"/>
    <map measureGroup="13" dimension="0"/>
    <map measureGroup="13" dimension="1"/>
    <map measureGroup="13" dimension="4"/>
    <map measureGroup="13" dimension="7"/>
    <map measureGroup="13" dimension="8"/>
    <map measureGroup="13" dimension="11"/>
    <map measureGroup="13" dimension="12"/>
    <map measureGroup="14" dimension="0"/>
    <map measureGroup="14" dimension="1"/>
    <map measureGroup="14" dimension="4"/>
    <map measureGroup="14" dimension="7"/>
    <map measureGroup="14" dimension="8"/>
    <map measureGroup="14" dimension="11"/>
    <map measureGroup="14" dimension="12"/>
    <map measureGroup="16" dimension="0"/>
    <map measureGroup="16" dimension="4"/>
    <map measureGroup="16" dimension="6"/>
    <map measureGroup="16" dimension="7"/>
    <map measureGroup="16" dimension="12"/>
    <map measureGroup="17" dimension="0"/>
    <map measureGroup="17" dimension="4"/>
    <map measureGroup="17" dimension="7"/>
    <map measureGroup="17" dimension="12"/>
    <map measureGroup="18" dimension="7"/>
    <map measureGroup="18" dimension="12"/>
    <map measureGroup="19" dimension="0"/>
    <map measureGroup="19" dimension="3"/>
    <map measureGroup="19" dimension="4"/>
    <map measureGroup="19" dimension="7"/>
    <map measureGroup="19" dimension="8"/>
    <map measureGroup="19" dimension="10"/>
    <map measureGroup="19" dimension="11"/>
    <map measureGroup="19" dimension="12"/>
    <map measureGroup="20" dimension="8"/>
    <map measureGroup="21" dimension="0"/>
    <map measureGroup="21" dimension="3"/>
    <map measureGroup="21" dimension="4"/>
    <map measureGroup="21" dimension="7"/>
    <map measureGroup="21" dimension="8"/>
    <map measureGroup="21" dimension="10"/>
    <map measureGroup="21" dimension="11"/>
    <map measureGroup="21" dimension="12"/>
    <map measureGroup="22" dimension="0"/>
    <map measureGroup="22" dimension="1"/>
    <map measureGroup="22" dimension="3"/>
    <map measureGroup="22" dimension="4"/>
    <map measureGroup="22" dimension="8"/>
    <map measureGroup="23" dimension="0"/>
    <map measureGroup="23" dimension="1"/>
    <map measureGroup="23" dimension="3"/>
    <map measureGroup="23" dimension="4"/>
    <map measureGroup="23" dimension="8"/>
    <map measureGroup="24" dimension="9"/>
    <map measureGroup="25" dimension="0"/>
    <map measureGroup="25" dimension="3"/>
    <map measureGroup="25" dimension="4"/>
    <map measureGroup="25" dimension="7"/>
    <map measureGroup="25" dimension="8"/>
    <map measureGroup="25" dimension="10"/>
    <map measureGroup="25" dimension="11"/>
    <map measureGroup="25" dimension="12"/>
    <map measureGroup="26" dimension="0"/>
    <map measureGroup="26" dimension="3"/>
    <map measureGroup="26" dimension="4"/>
    <map measureGroup="26" dimension="7"/>
    <map measureGroup="26" dimension="8"/>
    <map measureGroup="26" dimension="10"/>
    <map measureGroup="26" dimension="11"/>
    <map measureGroup="26" dimension="12"/>
    <map measureGroup="27" dimension="10"/>
    <map measureGroup="28" dimension="4"/>
    <map measureGroup="28" dimension="7"/>
    <map measureGroup="28" dimension="8"/>
    <map measureGroup="28" dimension="10"/>
    <map measureGroup="28" dimension="11"/>
    <map measureGroup="28" dimension="12"/>
    <map measureGroup="29" dimension="11"/>
    <map measureGroup="30" dimension="0"/>
    <map measureGroup="30" dimension="7"/>
    <map measureGroup="30" dimension="10"/>
    <map measureGroup="30" dimension="12"/>
    <map measureGroup="31" dimension="0"/>
    <map measureGroup="31" dimension="7"/>
    <map measureGroup="31" dimension="10"/>
    <map measureGroup="31" dimension="12"/>
    <map measureGroup="32" dimension="7"/>
    <map measureGroup="32" dimension="12"/>
    <map measureGroup="33" dimension="0"/>
    <map measureGroup="33" dimension="10"/>
    <map measureGroup="33" dimension="11"/>
    <map measureGroup="34" dimension="0"/>
    <map measureGroup="34" dimension="7"/>
    <map measureGroup="34" dimension="10"/>
    <map measureGroup="34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. Hakan Uğur" refreshedDate="46068.939088888888" backgroundQuery="1" createdVersion="8" refreshedVersion="8" minRefreshableVersion="3" recordCount="0" supportSubquery="1" supportAdvancedDrill="1" xr:uid="{22C5299B-2AE3-4F08-972E-B2E5029AF1A9}">
  <cacheSource type="external" connectionId="1"/>
  <cacheFields count="48">
    <cacheField name="[SalesChannel].[SalesOrgType].[SalesOrgType]" caption="SalesOrgType" numFmtId="0" hierarchy="148" level="1">
      <sharedItems containsSemiMixedTypes="0" containsString="0"/>
    </cacheField>
    <cacheField name="[SalesChannel].[DistrubitionChannelDesc].[DistrubitionChannelDesc]" caption="DistrubitionChannelDesc" numFmtId="0" hierarchy="140" level="1">
      <sharedItems count="1">
        <s v="[SalesChannel].[DistrubitionChannelDesc].&amp;[Perakende Satış]" c="Perakende Satış"/>
      </sharedItems>
    </cacheField>
    <cacheField name="[Measures].[TY Sales Unit]" caption="TY Sales Unit" numFmtId="0" hierarchy="853" level="32767"/>
    <cacheField name="[Measures].[TY Sales Value LC]" caption="TY Sales Value LC" numFmtId="0" hierarchy="855" level="32767"/>
    <cacheField name="[Measures].[TY Avg Store Stock Unit]" caption="TY Avg Store Stock Unit" numFmtId="0" hierarchy="760" level="32767"/>
    <cacheField name="[Calendar].[H_Merch].[MerchYear]" caption="MerchYear" numFmtId="0" hierarchy="6" level="1">
      <sharedItems containsSemiMixedTypes="0" containsString="0"/>
    </cacheField>
    <cacheField name="[Calendar].[H_Merch].[MerchYearMonthName]" caption="MerchYearMonthName" numFmtId="0" hierarchy="6" level="2">
      <sharedItems containsSemiMixedTypes="0" containsString="0"/>
    </cacheField>
    <cacheField name="[Calendar].[H_Merch].[MerchYearWeek]" caption="MerchYearWeek" numFmtId="0" hierarchy="6" level="3">
      <sharedItems containsSemiMixedTypes="0" containsString="0"/>
    </cacheField>
    <cacheField name="[Calendar].[H_Merch].[Date]" caption="Date" numFmtId="0" hierarchy="6" level="4">
      <sharedItems containsSemiMixedTypes="0" containsString="0"/>
    </cacheField>
    <cacheField name="[Store].[LocationCountry].[LocationCountry]" caption="LocationCountry" numFmtId="0" hierarchy="165" level="1">
      <sharedItems containsSemiMixedTypes="0" containsString="0"/>
    </cacheField>
    <cacheField name="[Material].[H_MainGroup].[MainGroupDesc]" caption="MainGroupDesc" numFmtId="0" hierarchy="69" level="1">
      <sharedItems count="21">
        <s v="[Material].[H_MainGroup].[MainGroupDesc].&amp;[Aksesuar]" c="Aksesuar"/>
        <s v="[Material].[H_MainGroup].[MainGroupDesc].&amp;[Banyo]" c="Banyo"/>
        <s v="[Material].[H_MainGroup].[MainGroupDesc].&amp;[Battaniye]" c="Battaniye"/>
        <s v="[Material].[H_MainGroup].[MainGroupDesc].&amp;[Çarşaf]" c="Çarşaf"/>
        <s v="[Material].[H_MainGroup].[MainGroupDesc].&amp;[Dünya Markaları]" c="Dünya Markaları"/>
        <s v="[Material].[H_MainGroup].[MainGroupDesc].&amp;[Halı - Kilim]" c="Halı - Kilim"/>
        <s v="[Material].[H_MainGroup].[MainGroupDesc].&amp;[Havlu]" c="Havlu"/>
        <s v="[Material].[H_MainGroup].[MainGroupDesc].&amp;[KEA]" c="KEA"/>
        <s v="[Material].[H_MainGroup].[MainGroupDesc].&amp;[Kozmetik]" c="Kozmetik"/>
        <s v="[Material].[H_MainGroup].[MainGroupDesc].&amp;[Mutfak]" c="Mutfak"/>
        <s v="[Material].[H_MainGroup].[MainGroupDesc].&amp;[Nevresim]" c="Nevresim"/>
        <s v="[Material].[H_MainGroup].[MainGroupDesc].&amp;[Pike]" c="Pike"/>
        <s v="[Material].[H_MainGroup].[MainGroupDesc].&amp;[Pişirme]" c="Pişirme"/>
        <s v="[Material].[H_MainGroup].[MainGroupDesc].&amp;[Salon]" c="Salon"/>
        <s v="[Material].[H_MainGroup].[MainGroupDesc].&amp;[Sofra İçecek]" c="Sofra İçecek"/>
        <s v="[Material].[H_MainGroup].[MainGroupDesc].&amp;[Sofra Sunum]" c="Sofra Sunum"/>
        <s v="[Material].[H_MainGroup].[MainGroupDesc].&amp;[Sofra Takımları]" c="Sofra Takımları"/>
        <s v="[Material].[H_MainGroup].[MainGroupDesc].&amp;[Yastık]" c="Yastık"/>
        <s v="[Material].[H_MainGroup].[MainGroupDesc].&amp;[Yatak Örtüsü]" c="Yatak Örtüsü"/>
        <s v="[Material].[H_MainGroup].[MainGroupDesc].&amp;[YEDEK PARÇA]" c="YEDEK PARÇA"/>
        <s v="[Material].[H_MainGroup].[MainGroupDesc].&amp;[Yorgan]" c="Yorgan"/>
      </sharedItems>
    </cacheField>
    <cacheField name="[Material].[H_MainGroup].[SubGroupDesc]" caption="SubGroupDesc" numFmtId="0" hierarchy="69" level="2">
      <sharedItems count="610">
        <s v="[Material].[H_MainGroup].[MainGroupDesc].&amp;[Aksesuar].&amp;[Abajur]" c="Abajur"/>
        <s v="[Material].[H_MainGroup].[MainGroupDesc].&amp;[Aksesuar].&amp;[Alışveriş Çantası]" c="Alışveriş Çantası"/>
        <s v="[Material].[H_MainGroup].[MainGroupDesc].&amp;[Aksesuar].&amp;[Armut Hamak]" c="Armut Hamak"/>
        <s v="[Material].[H_MainGroup].[MainGroupDesc].&amp;[Aksesuar].&amp;[Askı]" c="Askı"/>
        <s v="[Material].[H_MainGroup].[MainGroupDesc].&amp;[Aksesuar].&amp;[Askılı Aksesuar]" c="Askılı Aksesuar"/>
        <s v="[Material].[H_MainGroup].[MainGroupDesc].&amp;[Aksesuar].&amp;[Ayakkabı Rampası]" c="Ayakkabı Rampası"/>
        <s v="[Material].[H_MainGroup].[MainGroupDesc].&amp;[Aksesuar].&amp;[Ayakkabı Saklama Kts]" c="Ayakkabı Saklama Kts"/>
        <s v="[Material].[H_MainGroup].[MainGroupDesc].&amp;[Aksesuar].&amp;[Ayna]" c="Ayna"/>
        <s v="[Material].[H_MainGroup].[MainGroupDesc].&amp;[Aksesuar].&amp;[Banyo Seti]" c="Banyo Seti"/>
        <s v="[Material].[H_MainGroup].[MainGroupDesc].&amp;[Aksesuar].&amp;[Banyo Sıvı Sabunluk]" c="Banyo Sıvı Sabunluk"/>
        <s v="[Material].[H_MainGroup].[MainGroupDesc].&amp;[Aksesuar].&amp;[Bardak Tutacağı]" c="Bardak Tutacağı"/>
        <s v="[Material].[H_MainGroup].[MainGroupDesc].&amp;[Aksesuar].&amp;[Bebe Hurç]" c="Bebe Hurç"/>
        <s v="[Material].[H_MainGroup].[MainGroupDesc].&amp;[Aksesuar].&amp;[Bebe Mama Önlüğü]" c="Bebe Mama Önlüğü"/>
        <s v="[Material].[H_MainGroup].[MainGroupDesc].&amp;[Aksesuar].&amp;[Bebek Sepeti]" c="Bebek Sepeti"/>
        <s v="[Material].[H_MainGroup].[MainGroupDesc].&amp;[Aksesuar].&amp;[Bereket Fili]" c="Bereket Fili"/>
        <s v="[Material].[H_MainGroup].[MainGroupDesc].&amp;[Aksesuar].&amp;[Bereket Kuşu]" c="Bereket Kuşu"/>
        <s v="[Material].[H_MainGroup].[MainGroupDesc].&amp;[Aksesuar].&amp;[Biblo]" c="Biblo"/>
        <s v="[Material].[H_MainGroup].[MainGroupDesc].&amp;[Aksesuar].&amp;[Bileklik]" c="Bileklik"/>
        <s v="[Material].[H_MainGroup].[MainGroupDesc].&amp;[Aksesuar].&amp;[Boyunluk]" c="Boyunluk"/>
        <s v="[Material].[H_MainGroup].[MainGroupDesc].&amp;[Aksesuar].&amp;[Büyüteç]" c="Büyüteç"/>
        <s v="[Material].[H_MainGroup].[MainGroupDesc].&amp;[Aksesuar].&amp;[Cam Sileceği]" c="Cam Sileceği"/>
        <s v="[Material].[H_MainGroup].[MainGroupDesc].&amp;[Aksesuar].&amp;[Çamaşır Sepeti]" c="Çamaşır Sepeti"/>
        <s v="[Material].[H_MainGroup].[MainGroupDesc].&amp;[Aksesuar].&amp;[Canlı Çiçek]" c="Canlı Çiçek"/>
        <s v="[Material].[H_MainGroup].[MainGroupDesc].&amp;[Aksesuar].&amp;[Çerçeve]" c="Çerçeve"/>
        <s v="[Material].[H_MainGroup].[MainGroupDesc].&amp;[Aksesuar].&amp;[Çocuk Duvar Kağıdı]" c="Çocuk Duvar Kağıdı"/>
        <s v="[Material].[H_MainGroup].[MainGroupDesc].&amp;[Aksesuar].&amp;[Çocuk Duvar Saati]" c="Çocuk Duvar Saati"/>
        <s v="[Material].[H_MainGroup].[MainGroupDesc].&amp;[Aksesuar].&amp;[Çocuk Maske]" c="Çocuk Maske"/>
        <s v="[Material].[H_MainGroup].[MainGroupDesc].&amp;[Aksesuar].&amp;[Cüzdan]" c="Cüzdan"/>
        <s v="[Material].[H_MainGroup].[MainGroupDesc].&amp;[Aksesuar].&amp;[Dekoratif]" c="Dekoratif"/>
        <s v="[Material].[H_MainGroup].[MainGroupDesc].&amp;[Aksesuar].&amp;[Dekoratif Aydınlatma]" c="Dekoratif Aydınlatma"/>
        <s v="[Material].[H_MainGroup].[MainGroupDesc].&amp;[Aksesuar].&amp;[Dekoratif Kutu]" c="Dekoratif Kutu"/>
        <s v="[Material].[H_MainGroup].[MainGroupDesc].&amp;[Aksesuar].&amp;[Dekoratif Obje]" c="Dekoratif Obje"/>
        <s v="[Material].[H_MainGroup].[MainGroupDesc].&amp;[Aksesuar].&amp;[Dekoratif Peçetelik]" c="Dekoratif Peçetelik"/>
        <s v="[Material].[H_MainGroup].[MainGroupDesc].&amp;[Aksesuar].&amp;[Dekoratif Raf]" c="Dekoratif Raf"/>
        <s v="[Material].[H_MainGroup].[MainGroupDesc].&amp;[Aksesuar].&amp;[Dekoratif Tepsi]" c="Dekoratif Tepsi"/>
        <s v="[Material].[H_MainGroup].[MainGroupDesc].&amp;[Aksesuar].&amp;[Diş Fırçalık]" c="Diş Fırçalık"/>
        <s v="[Material].[H_MainGroup].[MainGroupDesc].&amp;[Aksesuar].&amp;[Duş Kaydırmaz]" c="Duş Kaydırmaz"/>
        <s v="[Material].[H_MainGroup].[MainGroupDesc].&amp;[Aksesuar].&amp;[Duvar Aksesuarı]" c="Duvar Aksesuarı"/>
        <s v="[Material].[H_MainGroup].[MainGroupDesc].&amp;[Aksesuar].&amp;[Duvar Saati]" c="Duvar Saati"/>
        <s v="[Material].[H_MainGroup].[MainGroupDesc].&amp;[Aksesuar].&amp;[Duvar Süsü]" c="Duvar Süsü"/>
        <s v="[Material].[H_MainGroup].[MainGroupDesc].&amp;[Aksesuar].&amp;[El Aynası]" c="El Aynası"/>
        <s v="[Material].[H_MainGroup].[MainGroupDesc].&amp;[Aksesuar].&amp;[Elbise Askısı]" c="Elbise Askısı"/>
        <s v="[Material].[H_MainGroup].[MainGroupDesc].&amp;[Aksesuar].&amp;[Elbise Kılıfı]" c="Elbise Kılıfı"/>
        <s v="[Material].[H_MainGroup].[MainGroupDesc].&amp;[Aksesuar].&amp;[Etamin]" c="Etamin"/>
        <s v="[Material].[H_MainGroup].[MainGroupDesc].&amp;[Aksesuar].&amp;[Fener]" c="Fener"/>
        <s v="[Material].[H_MainGroup].[MainGroupDesc].&amp;[Aksesuar].&amp;[Fırçalı Faraş]" c="Fırçalı Faraş"/>
        <s v="[Material].[H_MainGroup].[MainGroupDesc].&amp;[Aksesuar].&amp;[Hamak]" c="Hamak"/>
        <s v="[Material].[H_MainGroup].[MainGroupDesc].&amp;[Aksesuar].&amp;[Havluluk]" c="Havluluk"/>
        <s v="[Material].[H_MainGroup].[MainGroupDesc].&amp;[Aksesuar].&amp;[Hesap Makinesi]" c="Hesap Makinesi"/>
        <s v="[Material].[H_MainGroup].[MainGroupDesc].&amp;[Aksesuar].&amp;[Hobi Kumaşı]" c="Hobi Kumaşı"/>
        <s v="[Material].[H_MainGroup].[MainGroupDesc].&amp;[Aksesuar].&amp;[Hurç]" c="Hurç"/>
        <s v="[Material].[H_MainGroup].[MainGroupDesc].&amp;[Aksesuar].&amp;[Kalemlik]" c="Kalemlik"/>
        <s v="[Material].[H_MainGroup].[MainGroupDesc].&amp;[Aksesuar].&amp;[Kandil]" c="Kandil"/>
        <s v="[Material].[H_MainGroup].[MainGroupDesc].&amp;[Aksesuar].&amp;[Kandil Fitili]" c="Kandil Fitili"/>
        <s v="[Material].[H_MainGroup].[MainGroupDesc].&amp;[Aksesuar].&amp;[Kandil Yağı]" c="Kandil Yağı"/>
        <s v="[Material].[H_MainGroup].[MainGroupDesc].&amp;[Aksesuar].&amp;[Kapı Numarası]" c="Kapı Numarası"/>
        <s v="[Material].[H_MainGroup].[MainGroupDesc].&amp;[Aksesuar].&amp;[Kapı Önü Ağırlığı]" c="Kapı Önü Ağırlığı"/>
        <s v="[Material].[H_MainGroup].[MainGroupDesc].&amp;[Aksesuar].&amp;[Kapı Süsü]" c="Kapı Süsü"/>
        <s v="[Material].[H_MainGroup].[MainGroupDesc].&amp;[Aksesuar].&amp;[Kar Küresi]" c="Kar Küresi"/>
        <s v="[Material].[H_MainGroup].[MainGroupDesc].&amp;[Aksesuar].&amp;[Katlanır Tabure]" c="Katlanır Tabure"/>
        <s v="[Material].[H_MainGroup].[MainGroupDesc].&amp;[Aksesuar].&amp;[Keyif Tepsisi]" c="Keyif Tepsisi"/>
        <s v="[Material].[H_MainGroup].[MainGroupDesc].&amp;[Aksesuar].&amp;[Kitap Ayracı]" c="Kitap Ayracı"/>
        <s v="[Material].[H_MainGroup].[MainGroupDesc].&amp;[Aksesuar].&amp;[Kitap Tutucu]" c="Kitap Tutucu"/>
        <s v="[Material].[H_MainGroup].[MainGroupDesc].&amp;[Aksesuar].&amp;[Küllük]" c="Küllük"/>
        <s v="[Material].[H_MainGroup].[MainGroupDesc].&amp;[Aksesuar].&amp;[Kum Saati]" c="Kum Saati"/>
        <s v="[Material].[H_MainGroup].[MainGroupDesc].&amp;[Aksesuar].&amp;[Kumbara]" c="Kumbara"/>
        <s v="[Material].[H_MainGroup].[MainGroupDesc].&amp;[Aksesuar].&amp;[Kurdele]" c="Kurdele"/>
        <s v="[Material].[H_MainGroup].[MainGroupDesc].&amp;[Aksesuar].&amp;[Lambader]" c="Lambader"/>
        <s v="[Material].[H_MainGroup].[MainGroupDesc].&amp;[Aksesuar].&amp;[Magnet]" c="Magnet"/>
        <s v="[Material].[H_MainGroup].[MainGroupDesc].&amp;[Aksesuar].&amp;[Masa Saati]" c="Masa Saati"/>
        <s v="[Material].[H_MainGroup].[MainGroupDesc].&amp;[Aksesuar].&amp;[Maske]" c="Maske"/>
        <s v="[Material].[H_MainGroup].[MainGroupDesc].&amp;[Aksesuar].&amp;[Maske Kutusu]" c="Maske Kutusu"/>
        <s v="[Material].[H_MainGroup].[MainGroupDesc].&amp;[Aksesuar].&amp;[Mop]" c="Mop"/>
        <s v="[Material].[H_MainGroup].[MainGroupDesc].&amp;[Aksesuar].&amp;[Mum]" c="Mum"/>
        <s v="[Material].[H_MainGroup].[MainGroupDesc].&amp;[Aksesuar].&amp;[Mum Bakım Seti]" c="Mum Bakım Seti"/>
        <s v="[Material].[H_MainGroup].[MainGroupDesc].&amp;[Aksesuar].&amp;[Mum Söndürme Aleti]" c="Mum Söndürme Aleti"/>
        <s v="[Material].[H_MainGroup].[MainGroupDesc].&amp;[Aksesuar].&amp;[Müzik Kutusu]" c="Müzik Kutusu"/>
        <s v="[Material].[H_MainGroup].[MainGroupDesc].&amp;[Aksesuar].&amp;[Not Defteri]" c="Not Defteri"/>
        <s v="[Material].[H_MainGroup].[MainGroupDesc].&amp;[Aksesuar].&amp;[Not Panosu]" c="Not Panosu"/>
        <s v="[Material].[H_MainGroup].[MainGroupDesc].&amp;[Aksesuar].&amp;[Organizer]" c="Organizer"/>
        <s v="[Material].[H_MainGroup].[MainGroupDesc].&amp;[Aksesuar].&amp;[Oyuncak Sepeti]" c="Oyuncak Sepeti"/>
        <s v="[Material].[H_MainGroup].[MainGroupDesc].&amp;[Aksesuar].&amp;[Pet Yatağı]" c="Pet Yatağı"/>
        <s v="[Material].[H_MainGroup].[MainGroupDesc].&amp;[Aksesuar].&amp;[Sabunluk]" c="Sabunluk"/>
        <s v="[Material].[H_MainGroup].[MainGroupDesc].&amp;[Aksesuar].&amp;[Saç Bandı]" c="Saç Bandı"/>
        <s v="[Material].[H_MainGroup].[MainGroupDesc].&amp;[Aksesuar].&amp;[Saç Tokası]" c="Saç Tokası"/>
        <s v="[Material].[H_MainGroup].[MainGroupDesc].&amp;[Aksesuar].&amp;[Saklama Kutusu]" c="Saklama Kutusu"/>
        <s v="[Material].[H_MainGroup].[MainGroupDesc].&amp;[Aksesuar].&amp;[Saksı]" c="Saksı"/>
        <s v="[Material].[H_MainGroup].[MainGroupDesc].&amp;[Aksesuar].&amp;[Salıncak]" c="Salıncak"/>
        <s v="[Material].[H_MainGroup].[MainGroupDesc].&amp;[Aksesuar].&amp;[Şamdan]" c="Şamdan"/>
        <s v="[Material].[H_MainGroup].[MainGroupDesc].&amp;[Aksesuar].&amp;[Sandalye]" c="Sandalye"/>
        <s v="[Material].[H_MainGroup].[MainGroupDesc].&amp;[Aksesuar].&amp;[Sehpa.]" c="Sehpa."/>
        <s v="[Material].[H_MainGroup].[MainGroupDesc].&amp;[Aksesuar].&amp;[Şemsiye]" c="Şemsiye"/>
        <s v="[Material].[H_MainGroup].[MainGroupDesc].&amp;[Aksesuar].&amp;[Şemsiyelik]" c="Şemsiyelik"/>
        <s v="[Material].[H_MainGroup].[MainGroupDesc].&amp;[Aksesuar].&amp;[Sepet]" c="Sepet"/>
        <s v="[Material].[H_MainGroup].[MainGroupDesc].&amp;[Aksesuar].&amp;[Şezlong]" c="Şezlong"/>
        <s v="[Material].[H_MainGroup].[MainGroupDesc].&amp;[Aksesuar].&amp;[Showroom Hibe]" c="Showroom Hibe"/>
        <s v="[Material].[H_MainGroup].[MainGroupDesc].&amp;[Aksesuar].&amp;[Sıcak Su Torbası]" c="Sıcak Su Torbası"/>
        <s v="[Material].[H_MainGroup].[MainGroupDesc].&amp;[Aksesuar].&amp;[Süpürgelik]" c="Süpürgelik"/>
        <s v="[Material].[H_MainGroup].[MainGroupDesc].&amp;[Aksesuar].&amp;[Tablo]" c="Tablo"/>
        <s v="[Material].[H_MainGroup].[MainGroupDesc].&amp;[Aksesuar].&amp;[Taç]" c="Taç"/>
        <s v="[Material].[H_MainGroup].[MainGroupDesc].&amp;[Aksesuar].&amp;[Takılık]" c="Takılık"/>
        <s v="[Material].[H_MainGroup].[MainGroupDesc].&amp;[Aksesuar].&amp;[Tasma Kayışı]" c="Tasma Kayışı"/>
        <s v="[Material].[H_MainGroup].[MainGroupDesc].&amp;[Aksesuar].&amp;[Tavla]" c="Tavla"/>
        <s v="[Material].[H_MainGroup].[MainGroupDesc].&amp;[Aksesuar].&amp;[Tek Dal Yapay Çiçek]" c="Tek Dal Yapay Çiçek"/>
        <s v="[Material].[H_MainGroup].[MainGroupDesc].&amp;[Aksesuar].&amp;[Telefon Kılıfı]" c="Telefon Kılıfı"/>
        <s v="[Material].[H_MainGroup].[MainGroupDesc].&amp;[Aksesuar].&amp;[Temizlik Fırçası]" c="Temizlik Fırçası"/>
        <s v="[Material].[H_MainGroup].[MainGroupDesc].&amp;[Aksesuar].&amp;[Tütsülük]" c="Tütsülük"/>
        <s v="[Material].[H_MainGroup].[MainGroupDesc].&amp;[Aksesuar].&amp;[Tuvalet Fırçalığı]" c="Tuvalet Fırçalığı"/>
        <s v="[Material].[H_MainGroup].[MainGroupDesc].&amp;[Aksesuar].&amp;[Tuvalet Kağıtlığı]" c="Tuvalet Kağıtlığı"/>
        <s v="[Material].[H_MainGroup].[MainGroupDesc].&amp;[Aksesuar].&amp;[Uyku Gözlüğü]" c="Uyku Gözlüğü"/>
        <s v="[Material].[H_MainGroup].[MainGroupDesc].&amp;[Aksesuar].&amp;[Vakumlu Poşet]" c="Vakumlu Poşet"/>
        <s v="[Material].[H_MainGroup].[MainGroupDesc].&amp;[Aksesuar].&amp;[Vazo]" c="Vazo"/>
        <s v="[Material].[H_MainGroup].[MainGroupDesc].&amp;[Aksesuar].&amp;[Vazolu Yapay Çiçek]" c="Vazolu Yapay Çiçek"/>
        <s v="[Material].[H_MainGroup].[MainGroupDesc].&amp;[Aksesuar].&amp;[Yapay Ağaç]" c="Yapay Ağaç"/>
        <s v="[Material].[H_MainGroup].[MainGroupDesc].&amp;[Aksesuar].&amp;[Yapay Çiçek]" c="Yapay Çiçek"/>
        <s v="[Material].[H_MainGroup].[MainGroupDesc].&amp;[Aksesuar].&amp;[Yılbaşı Aksesuar]" c="Yılbaşı Aksesuar"/>
        <s v="[Material].[H_MainGroup].[MainGroupDesc].&amp;[Aksesuar].&amp;[Yoga Mat]" c="Yoga Mat"/>
        <s v="[Material].[H_MainGroup].[MainGroupDesc].&amp;[Banyo].&amp;[Banyo Paspası]" c="Banyo Paspası"/>
        <s v="[Material].[H_MainGroup].[MainGroupDesc].&amp;[Banyo].&amp;[Banyo Paspası Seti]" c="Banyo Paspası Seti"/>
        <s v="[Material].[H_MainGroup].[MainGroupDesc].&amp;[Banyo].&amp;[Klozet Seti]" c="Klozet Seti"/>
        <s v="[Material].[H_MainGroup].[MainGroupDesc].&amp;[Battaniye].&amp;[Battaniye]" c="Battaniye"/>
        <s v="[Material].[H_MainGroup].[MainGroupDesc].&amp;[Battaniye].&amp;[Bebe Battaniye]" c="Bebe Battaniye"/>
        <s v="[Material].[H_MainGroup].[MainGroupDesc].&amp;[Battaniye].&amp;[Çocuk Battaniye]" c="Çocuk Battaniye"/>
        <s v="[Material].[H_MainGroup].[MainGroupDesc].&amp;[Battaniye].&amp;[TV Battaniye]" c="TV Battaniye"/>
        <s v="[Material].[H_MainGroup].[MainGroupDesc].&amp;[Çarşaf].&amp;[Bebe Çarşaf Takımı]" c="Bebe Çarşaf Takımı"/>
        <s v="[Material].[H_MainGroup].[MainGroupDesc].&amp;[Çarşaf].&amp;[Bebe Las. Çarşaf Tkm]" c="Bebe Las. Çarşaf Tkm"/>
        <s v="[Material].[H_MainGroup].[MainGroupDesc].&amp;[Çarşaf].&amp;[Bebe Lastikli Çarşaf]" c="Bebe Lastikli Çarşaf"/>
        <s v="[Material].[H_MainGroup].[MainGroupDesc].&amp;[Çarşaf].&amp;[Çarşaf]" c="Çarşaf"/>
        <s v="[Material].[H_MainGroup].[MainGroupDesc].&amp;[Çarşaf].&amp;[Çocuk Las.Çarşaf Tkm]" c="Çocuk Las.Çarşaf Tkm"/>
        <s v="[Material].[H_MainGroup].[MainGroupDesc].&amp;[Çarşaf].&amp;[Lastikli Çarşaf]" c="Lastikli Çarşaf"/>
        <s v="[Material].[H_MainGroup].[MainGroupDesc].&amp;[Çarşaf].&amp;[Lastikli Çarşaf Tkm]" c="Lastikli Çarşaf Tkm"/>
        <s v="[Material].[H_MainGroup].[MainGroupDesc].&amp;[Çarşaf].&amp;[Yastık Kılıfı]" c="Yastık Kılıfı"/>
        <s v="[Material].[H_MainGroup].[MainGroupDesc].&amp;[Dünya Markaları].&amp;[DM Bardak]" c="DM Bardak"/>
        <s v="[Material].[H_MainGroup].[MainGroupDesc].&amp;[Dünya Markaları].&amp;[DM Bıçak]" c="DM Bıçak"/>
        <s v="[Material].[H_MainGroup].[MainGroupDesc].&amp;[Dünya Markaları].&amp;[DM Bıçak Seti]" c="DM Bıçak Seti"/>
        <s v="[Material].[H_MainGroup].[MainGroupDesc].&amp;[Dünya Markaları].&amp;[DM Buhar Kazanlı Ütü]" c="DM Buhar Kazanlı Ütü"/>
        <s v="[Material].[H_MainGroup].[MainGroupDesc].&amp;[Dünya Markaları].&amp;[DM Buharlı Düzleştir]" c="DM Buharlı Düzleştir"/>
        <s v="[Material].[H_MainGroup].[MainGroupDesc].&amp;[Dünya Markaları].&amp;[DM Buharlı Ütü]" c="DM Buharlı Ütü"/>
        <s v="[Material].[H_MainGroup].[MainGroupDesc].&amp;[Dünya Markaları].&amp;[DM Değirmen]" c="DM Değirmen"/>
        <s v="[Material].[H_MainGroup].[MainGroupDesc].&amp;[Dünya Markaları].&amp;[DM Doğrayıcı]" c="DM Doğrayıcı"/>
        <s v="[Material].[H_MainGroup].[MainGroupDesc].&amp;[Dünya Markaları].&amp;[DM Doğrayıcılar]" c="DM Doğrayıcılar"/>
        <s v="[Material].[H_MainGroup].[MainGroupDesc].&amp;[Dünya Markaları].&amp;[DM Ekmek Kızartma M.]" c="DM Ekmek Kızartma M."/>
        <s v="[Material].[H_MainGroup].[MainGroupDesc].&amp;[Dünya Markaları].&amp;[DM Espresso Makinesi]" c="DM Espresso Makinesi"/>
        <s v="[Material].[H_MainGroup].[MainGroupDesc].&amp;[Dünya Markaları].&amp;[DM Filtre Kahve M.]" c="DM Filtre Kahve M."/>
        <s v="[Material].[H_MainGroup].[MainGroupDesc].&amp;[Dünya Markaları].&amp;[DM Izgara Ve Tost M.]" c="DM Izgara Ve Tost M."/>
        <s v="[Material].[H_MainGroup].[MainGroupDesc].&amp;[Dünya Markaları].&amp;[DM Sahan]" c="DM Sahan"/>
        <s v="[Material].[H_MainGroup].[MainGroupDesc].&amp;[Dünya Markaları].&amp;[DM Saklama Kabı]" c="DM Saklama Kabı"/>
        <s v="[Material].[H_MainGroup].[MainGroupDesc].&amp;[Dünya Markaları].&amp;[DM Saklama Termosu]" c="DM Saklama Termosu"/>
        <s v="[Material].[H_MainGroup].[MainGroupDesc].&amp;[Dünya Markaları].&amp;[DM Şarjlı Dikey Süpü]" c="DM Şarjlı Dikey Süpü"/>
        <s v="[Material].[H_MainGroup].[MainGroupDesc].&amp;[Dünya Markaları].&amp;[DM Soyacak]" c="DM Soyacak"/>
        <s v="[Material].[H_MainGroup].[MainGroupDesc].&amp;[Dünya Markaları].&amp;[DM Stand Mikseri]" c="DM Stand Mikseri"/>
        <s v="[Material].[H_MainGroup].[MainGroupDesc].&amp;[Dünya Markaları].&amp;[DM Su Isıtıcı]" c="DM Su Isıtıcı"/>
        <s v="[Material].[H_MainGroup].[MainGroupDesc].&amp;[Dünya Markaları].&amp;[DM Sürahi Blender]" c="DM Sürahi Blender"/>
        <s v="[Material].[H_MainGroup].[MainGroupDesc].&amp;[Dünya Markaları].&amp;[DM Tava]" c="DM Tava"/>
        <s v="[Material].[H_MainGroup].[MainGroupDesc].&amp;[Dünya Markaları].&amp;[DM Tava Seti]" c="DM Tava Seti"/>
        <s v="[Material].[H_MainGroup].[MainGroupDesc].&amp;[Dünya Markaları].&amp;[DM Tencere]" c="DM Tencere"/>
        <s v="[Material].[H_MainGroup].[MainGroupDesc].&amp;[Dünya Markaları].&amp;[DM Tencere Seti]" c="DM Tencere Seti"/>
        <s v="[Material].[H_MainGroup].[MainGroupDesc].&amp;[Dünya Markaları].&amp;[DM Torbasız Süpürge]" c="DM Torbasız Süpürge"/>
        <s v="[Material].[H_MainGroup].[MainGroupDesc].&amp;[Dünya Markaları].&amp;[DMNarenciye Sıkacağı]" c="DMNarenciye Sıkacağı"/>
        <s v="[Material].[H_MainGroup].[MainGroupDesc].&amp;[Halı - Kilim].&amp;[Bebek Halısı]" c="Bebek Halısı"/>
        <s v="[Material].[H_MainGroup].[MainGroupDesc].&amp;[Halı - Kilim].&amp;[Bukle Kilim]" c="Bukle Kilim"/>
        <s v="[Material].[H_MainGroup].[MainGroupDesc].&amp;[Halı - Kilim].&amp;[Çocuk Halısı]" c="Çocuk Halısı"/>
        <s v="[Material].[H_MainGroup].[MainGroupDesc].&amp;[Halı - Kilim].&amp;[Dekoratif Halı]" c="Dekoratif Halı"/>
        <s v="[Material].[H_MainGroup].[MainGroupDesc].&amp;[Halı - Kilim].&amp;[Dekoratif Jüt Kilim]" c="Dekoratif Jüt Kilim"/>
        <s v="[Material].[H_MainGroup].[MainGroupDesc].&amp;[Halı - Kilim].&amp;[Dış Mekan Kilim]" c="Dış Mekan Kilim"/>
        <s v="[Material].[H_MainGroup].[MainGroupDesc].&amp;[Halı - Kilim].&amp;[Dokuma Halı]" c="Dokuma Halı"/>
        <s v="[Material].[H_MainGroup].[MainGroupDesc].&amp;[Halı - Kilim].&amp;[Dokuma Kilim]" c="Dokuma Kilim"/>
        <s v="[Material].[H_MainGroup].[MainGroupDesc].&amp;[Halı - Kilim].&amp;[Halı]" c="Halı"/>
        <s v="[Material].[H_MainGroup].[MainGroupDesc].&amp;[Halı - Kilim].&amp;[Kapı Önü Paspası]" c="Kapı Önü Paspası"/>
        <s v="[Material].[H_MainGroup].[MainGroupDesc].&amp;[Halı - Kilim].&amp;[Kilim]" c="Kilim"/>
        <s v="[Material].[H_MainGroup].[MainGroupDesc].&amp;[Halı - Kilim].&amp;[Makine Halısı]" c="Makine Halısı"/>
        <s v="[Material].[H_MainGroup].[MainGroupDesc].&amp;[Halı - Kilim].&amp;[Mutfak Paspası]" c="Mutfak Paspası"/>
        <s v="[Material].[H_MainGroup].[MainGroupDesc].&amp;[Halı - Kilim].&amp;[Peluş Halı]" c="Peluş Halı"/>
        <s v="[Material].[H_MainGroup].[MainGroupDesc].&amp;[Halı - Kilim].&amp;[Post]" c="Post"/>
        <s v="[Material].[H_MainGroup].[MainGroupDesc].&amp;[Havlu].&amp;[Ayak Havlusu]" c="Ayak Havlusu"/>
        <s v="[Material].[H_MainGroup].[MainGroupDesc].&amp;[Havlu].&amp;[Banyo Havlusu]" c="Banyo Havlusu"/>
        <s v="[Material].[H_MainGroup].[MainGroupDesc].&amp;[Havlu].&amp;[Banyo Havlusu Takımı]" c="Banyo Havlusu Takımı"/>
        <s v="[Material].[H_MainGroup].[MainGroupDesc].&amp;[Havlu].&amp;[Banyo Terliği]" c="Banyo Terliği"/>
        <s v="[Material].[H_MainGroup].[MainGroupDesc].&amp;[Havlu].&amp;[Bebe Ağız Silme Bezi]" c="Bebe Ağız Silme Bezi"/>
        <s v="[Material].[H_MainGroup].[MainGroupDesc].&amp;[Havlu].&amp;[Bebe Banyo Havlu Set]" c="Bebe Banyo Havlu Set"/>
        <s v="[Material].[H_MainGroup].[MainGroupDesc].&amp;[Havlu].&amp;[Bebe Banyo Havlusu]" c="Bebe Banyo Havlusu"/>
        <s v="[Material].[H_MainGroup].[MainGroupDesc].&amp;[Havlu].&amp;[Bebe Bornoz]" c="Bebe Bornoz"/>
        <s v="[Material].[H_MainGroup].[MainGroupDesc].&amp;[Havlu].&amp;[Bebe El Havlusu]" c="Bebe El Havlusu"/>
        <s v="[Material].[H_MainGroup].[MainGroupDesc].&amp;[Havlu].&amp;[Bebe Havlu]" c="Bebe Havlu"/>
        <s v="[Material].[H_MainGroup].[MainGroupDesc].&amp;[Havlu].&amp;[Bebek Ter Havlusu]" c="Bebek Ter Havlusu"/>
        <s v="[Material].[H_MainGroup].[MainGroupDesc].&amp;[Havlu].&amp;[Bornoz]" c="Bornoz"/>
        <s v="[Material].[H_MainGroup].[MainGroupDesc].&amp;[Havlu].&amp;[Bornoz Seti]" c="Bornoz Seti"/>
        <s v="[Material].[H_MainGroup].[MainGroupDesc].&amp;[Havlu].&amp;[Çocuk Bornoz]" c="Çocuk Bornoz"/>
        <s v="[Material].[H_MainGroup].[MainGroupDesc].&amp;[Havlu].&amp;[Çocuk Plaj Havlusu]" c="Çocuk Plaj Havlusu"/>
        <s v="[Material].[H_MainGroup].[MainGroupDesc].&amp;[Havlu].&amp;[El Havlusu]" c="El Havlusu"/>
        <s v="[Material].[H_MainGroup].[MainGroupDesc].&amp;[Havlu].&amp;[El Havlusu Seti]" c="El Havlusu Seti"/>
        <s v="[Material].[H_MainGroup].[MainGroupDesc].&amp;[Havlu].&amp;[Havlu Seti]" c="Havlu Seti"/>
        <s v="[Material].[H_MainGroup].[MainGroupDesc].&amp;[Havlu].&amp;[Hediyelik Havlu]" c="Hediyelik Havlu"/>
        <s v="[Material].[H_MainGroup].[MainGroupDesc].&amp;[Havlu].&amp;[Kutulu Havlu]" c="Kutulu Havlu"/>
        <s v="[Material].[H_MainGroup].[MainGroupDesc].&amp;[Havlu].&amp;[Peştamal]" c="Peştamal"/>
        <s v="[Material].[H_MainGroup].[MainGroupDesc].&amp;[Havlu].&amp;[Plaj Havlusu]" c="Plaj Havlusu"/>
        <s v="[Material].[H_MainGroup].[MainGroupDesc].&amp;[Havlu].&amp;[Saç Bonesi]" c="Saç Bonesi"/>
        <s v="[Material].[H_MainGroup].[MainGroupDesc].&amp;[Havlu].&amp;[Yüz Havlusu]" c="Yüz Havlusu"/>
        <s v="[Material].[H_MainGroup].[MainGroupDesc].&amp;[Havlu].&amp;[Yüz Havlusu Seti]" c="Yüz Havlusu Seti"/>
        <s v="[Material].[H_MainGroup].[MainGroupDesc].&amp;[KEA].&amp;[Airfryer]" c="Airfryer"/>
        <s v="[Material].[H_MainGroup].[MainGroupDesc].&amp;[KEA].&amp;[Çay Makinesi]" c="Çay Makinesi"/>
        <s v="[Material].[H_MainGroup].[MainGroupDesc].&amp;[KEA].&amp;[Doğrayıcı]" c="Doğrayıcı"/>
        <s v="[Material].[H_MainGroup].[MainGroupDesc].&amp;[KEA].&amp;[Ekmek Kızartma M.]" c="Ekmek Kızartma M."/>
        <s v="[Material].[H_MainGroup].[MainGroupDesc].&amp;[KEA].&amp;[El Blenderı]" c="El Blenderı"/>
        <s v="[Material].[H_MainGroup].[MainGroupDesc].&amp;[KEA].&amp;[El Mikseri]" c="El Mikseri"/>
        <s v="[Material].[H_MainGroup].[MainGroupDesc].&amp;[KEA].&amp;[Espresso Makinesi]" c="Espresso Makinesi"/>
        <s v="[Material].[H_MainGroup].[MainGroupDesc].&amp;[KEA].&amp;[Filtre Kahve M.]" c="Filtre Kahve M."/>
        <s v="[Material].[H_MainGroup].[MainGroupDesc].&amp;[KEA].&amp;[Izgara Ve Tost M.]" c="Izgara Ve Tost M."/>
        <s v="[Material].[H_MainGroup].[MainGroupDesc].&amp;[KEA].&amp;[Kablolu Dikey Süpürg]" c="Kablolu Dikey Süpürg"/>
        <s v="[Material].[H_MainGroup].[MainGroupDesc].&amp;[KEA].&amp;[Kişisel Blender]" c="Kişisel Blender"/>
        <s v="[Material].[H_MainGroup].[MainGroupDesc].&amp;[KEA].&amp;[Mini Blender Seti]" c="Mini Blender Seti"/>
        <s v="[Material].[H_MainGroup].[MainGroupDesc].&amp;[KEA].&amp;[Multi Blender Seti]" c="Multi Blender Seti"/>
        <s v="[Material].[H_MainGroup].[MainGroupDesc].&amp;[KEA].&amp;[Saç Kurutma Makinesi]" c="Saç Kurutma Makinesi"/>
        <s v="[Material].[H_MainGroup].[MainGroupDesc].&amp;[KEA].&amp;[Şarjlı Dikey Süpürge]" c="Şarjlı Dikey Süpürge"/>
        <s v="[Material].[H_MainGroup].[MainGroupDesc].&amp;[KEA].&amp;[Stand Mikseri]" c="Stand Mikseri"/>
        <s v="[Material].[H_MainGroup].[MainGroupDesc].&amp;[KEA].&amp;[Su Arıtma Filtresi]" c="Su Arıtma Filtresi"/>
        <s v="[Material].[H_MainGroup].[MainGroupDesc].&amp;[KEA].&amp;[Su Arıtma Sürahisi]" c="Su Arıtma Sürahisi"/>
        <s v="[Material].[H_MainGroup].[MainGroupDesc].&amp;[KEA].&amp;[Su Isıtıcı]" c="Su Isıtıcı"/>
        <s v="[Material].[H_MainGroup].[MainGroupDesc].&amp;[KEA].&amp;[Sürahi Blender]" c="Sürahi Blender"/>
        <s v="[Material].[H_MainGroup].[MainGroupDesc].&amp;[KEA].&amp;[Tost Makinesi]" c="Tost Makinesi"/>
        <s v="[Material].[H_MainGroup].[MainGroupDesc].&amp;[KEA].&amp;[Türk Kahve M.]" c="Türk Kahve M."/>
        <s v="[Material].[H_MainGroup].[MainGroupDesc].&amp;[KEA].&amp;[Ütüleme Sistemleri]" c="Ütüleme Sistemleri"/>
        <s v="[Material].[H_MainGroup].[MainGroupDesc].&amp;[KEA].&amp;[Waffle Makinesi]" c="Waffle Makinesi"/>
        <s v="[Material].[H_MainGroup].[MainGroupDesc].&amp;[Kozmetik].&amp;[Aromaterapi Set]" c="Aromaterapi Set"/>
        <s v="[Material].[H_MainGroup].[MainGroupDesc].&amp;[Kozmetik].&amp;[Askılı Koku]" c="Askılı Koku"/>
        <s v="[Material].[H_MainGroup].[MainGroupDesc].&amp;[Kozmetik].&amp;[Body Mist]" c="Body Mist"/>
        <s v="[Material].[H_MainGroup].[MainGroupDesc].&amp;[Kozmetik].&amp;[Çamaşır Kokusu]" c="Çamaşır Kokusu"/>
        <s v="[Material].[H_MainGroup].[MainGroupDesc].&amp;[Kozmetik].&amp;[Çok Amaçlı Kutu]" c="Çok Amaçlı Kutu"/>
        <s v="[Material].[H_MainGroup].[MainGroupDesc].&amp;[Kozmetik].&amp;[Çubuklu Oda Kokusu]" c="Çubuklu Oda Kokusu"/>
        <s v="[Material].[H_MainGroup].[MainGroupDesc].&amp;[Kozmetik].&amp;[Dezenfektan]" c="Dezenfektan"/>
        <s v="[Material].[H_MainGroup].[MainGroupDesc].&amp;[Kozmetik].&amp;[Dolap İçi Koku]" c="Dolap İçi Koku"/>
        <s v="[Material].[H_MainGroup].[MainGroupDesc].&amp;[Kozmetik].&amp;[Duş Jeli]" c="Duş Jeli"/>
        <s v="[Material].[H_MainGroup].[MainGroupDesc].&amp;[Kozmetik].&amp;[El Kremi]" c="El Kremi"/>
        <s v="[Material].[H_MainGroup].[MainGroupDesc].&amp;[Kozmetik].&amp;[Esansiyel Koku Yağı]" c="Esansiyel Koku Yağı"/>
        <s v="[Material].[H_MainGroup].[MainGroupDesc].&amp;[Kozmetik].&amp;[Güneş Kremi]" c="Güneş Kremi"/>
        <s v="[Material].[H_MainGroup].[MainGroupDesc].&amp;[Kozmetik].&amp;[Katı Sabun]" c="Katı Sabun"/>
        <s v="[Material].[H_MainGroup].[MainGroupDesc].&amp;[Kozmetik].&amp;[Katı Sabun Set]" c="Katı Sabun Set"/>
        <s v="[Material].[H_MainGroup].[MainGroupDesc].&amp;[Kozmetik].&amp;[Koku Barı]" c="Koku Barı"/>
        <s v="[Material].[H_MainGroup].[MainGroupDesc].&amp;[Kozmetik].&amp;[Kokulu Kese]" c="Kokulu Kese"/>
        <s v="[Material].[H_MainGroup].[MainGroupDesc].&amp;[Kozmetik].&amp;[Kokulu Mum]" c="Kokulu Mum"/>
        <s v="[Material].[H_MainGroup].[MainGroupDesc].&amp;[Kozmetik].&amp;[Kokulu Set]" c="Kokulu Set"/>
        <s v="[Material].[H_MainGroup].[MainGroupDesc].&amp;[Kozmetik].&amp;[Kokulu Taş]" c="Kokulu Taş"/>
        <s v="[Material].[H_MainGroup].[MainGroupDesc].&amp;[Kozmetik].&amp;[Kolonya]" c="Kolonya"/>
        <s v="[Material].[H_MainGroup].[MainGroupDesc].&amp;[Kozmetik].&amp;[Kolonyalı Mendil]" c="Kolonyalı Mendil"/>
        <s v="[Material].[H_MainGroup].[MainGroupDesc].&amp;[Kozmetik].&amp;[Makyaj Çantası]" c="Makyaj Çantası"/>
        <s v="[Material].[H_MainGroup].[MainGroupDesc].&amp;[Kozmetik].&amp;[Nemlendirici Jel]" c="Nemlendirici Jel"/>
        <s v="[Material].[H_MainGroup].[MainGroupDesc].&amp;[Kozmetik].&amp;[Oda Spreyi]" c="Oda Spreyi"/>
        <s v="[Material].[H_MainGroup].[MainGroupDesc].&amp;[Kozmetik].&amp;[Oto Kokusu]" c="Oto Kokusu"/>
        <s v="[Material].[H_MainGroup].[MainGroupDesc].&amp;[Kozmetik].&amp;[Parfüm]" c="Parfüm"/>
        <s v="[Material].[H_MainGroup].[MainGroupDesc].&amp;[Kozmetik].&amp;[Pudra Ponponu]" c="Pudra Ponponu"/>
        <s v="[Material].[H_MainGroup].[MainGroupDesc].&amp;[Kozmetik].&amp;[Sabun]" c="Sabun"/>
        <s v="[Material].[H_MainGroup].[MainGroupDesc].&amp;[Kozmetik].&amp;[Sıvı Sabun]" c="Sıvı Sabun"/>
        <s v="[Material].[H_MainGroup].[MainGroupDesc].&amp;[Kozmetik].&amp;[Sprey Kolonya]" c="Sprey Kolonya"/>
        <s v="[Material].[H_MainGroup].[MainGroupDesc].&amp;[Kozmetik].&amp;[Su Torbası]" c="Su Torbası"/>
        <s v="[Material].[H_MainGroup].[MainGroupDesc].&amp;[Kozmetik].&amp;[TEALIGHT MUM]" c="TEALIGHT MUM"/>
        <s v="[Material].[H_MainGroup].[MainGroupDesc].&amp;[Kozmetik].&amp;[Tütsü]" c="Tütsü"/>
        <s v="[Material].[H_MainGroup].[MainGroupDesc].&amp;[Kozmetik].&amp;[Vücut Losyonu]" c="Vücut Losyonu"/>
        <s v="[Material].[H_MainGroup].[MainGroupDesc].&amp;[Kozmetik].&amp;[WHT Oda Spreyi]" c="WHT Oda Spreyi"/>
        <s v="[Material].[H_MainGroup].[MainGroupDesc].&amp;[Kozmetik].&amp;[Yüz &amp; Vücut Spreyi]" c="Yüz &amp; Vücut Spreyi"/>
        <s v="[Material].[H_MainGroup].[MainGroupDesc].&amp;[Kozmetik].&amp;[Yüz Maskesi]" c="Yüz Maskesi"/>
        <s v="[Material].[H_MainGroup].[MainGroupDesc].&amp;[Mutfak].&amp;[Açacak]" c="Açacak"/>
        <s v="[Material].[H_MainGroup].[MainGroupDesc].&amp;[Mutfak].&amp;[Baharatlık]" c="Baharatlık"/>
        <s v="[Material].[H_MainGroup].[MainGroupDesc].&amp;[Mutfak].&amp;[Bal Kavanozu]" c="Bal Kavanozu"/>
        <s v="[Material].[H_MainGroup].[MainGroupDesc].&amp;[Mutfak].&amp;[Bardak Altı]" c="Bardak Altı"/>
        <s v="[Material].[H_MainGroup].[MainGroupDesc].&amp;[Mutfak].&amp;[Bulaşık Seti]" c="Bulaşık Seti"/>
        <s v="[Material].[H_MainGroup].[MainGroupDesc].&amp;[Mutfak].&amp;[Çatal Bıçaklık]" c="Çatal Bıçaklık"/>
        <s v="[Material].[H_MainGroup].[MainGroupDesc].&amp;[Mutfak].&amp;[Çaydanlık]" c="Çaydanlık"/>
        <s v="[Material].[H_MainGroup].[MainGroupDesc].&amp;[Mutfak].&amp;[Çekmece Düzenleyici]" c="Çekmece Düzenleyici"/>
        <s v="[Material].[H_MainGroup].[MainGroupDesc].&amp;[Mutfak].&amp;[Çocuk Suluk]" c="Çocuk Suluk"/>
        <s v="[Material].[H_MainGroup].[MainGroupDesc].&amp;[Mutfak].&amp;[Coffee Maker]" c="Coffee Maker"/>
        <s v="[Material].[H_MainGroup].[MainGroupDesc].&amp;[Mutfak].&amp;[Değirmen]" c="Değirmen"/>
        <s v="[Material].[H_MainGroup].[MainGroupDesc].&amp;[Mutfak].&amp;[Demleme Ürünleri]" c="Demleme Ürünleri"/>
        <s v="[Material].[H_MainGroup].[MainGroupDesc].&amp;[Mutfak].&amp;[Doğrayıcılar]" c="Doğrayıcılar"/>
        <s v="[Material].[H_MainGroup].[MainGroupDesc].&amp;[Mutfak].&amp;[Düzenleyici Set]" c="Düzenleyici Set"/>
        <s v="[Material].[H_MainGroup].[MainGroupDesc].&amp;[Mutfak].&amp;[Ekmek Kutusu]" c="Ekmek Kutusu"/>
        <s v="[Material].[H_MainGroup].[MainGroupDesc].&amp;[Mutfak].&amp;[El Rondosu]" c="El Rondosu"/>
        <s v="[Material].[H_MainGroup].[MainGroupDesc].&amp;[Mutfak].&amp;[Fondü Seti]" c="Fondü Seti"/>
        <s v="[Material].[H_MainGroup].[MainGroupDesc].&amp;[Mutfak].&amp;[Hamur ruleti]" c="Hamur ruleti"/>
        <s v="[Material].[H_MainGroup].[MainGroupDesc].&amp;[Mutfak].&amp;[Havan]" c="Havan"/>
        <s v="[Material].[H_MainGroup].[MainGroupDesc].&amp;[Mutfak].&amp;[Hazırlık Seti]" c="Hazırlık Seti"/>
        <s v="[Material].[H_MainGroup].[MainGroupDesc].&amp;[Mutfak].&amp;[Huni]" c="Huni"/>
        <s v="[Material].[H_MainGroup].[MainGroupDesc].&amp;[Mutfak].&amp;[İbrik]" c="İbrik"/>
        <s v="[Material].[H_MainGroup].[MainGroupDesc].&amp;[Mutfak].&amp;[Isıtıcı]" c="Isıtıcı"/>
        <s v="[Material].[H_MainGroup].[MainGroupDesc].&amp;[Mutfak].&amp;[Kağıt Havluluk]" c="Kağıt Havluluk"/>
        <s v="[Material].[H_MainGroup].[MainGroupDesc].&amp;[Mutfak].&amp;[Kahve Ölçü Kaşığı]" c="Kahve Ölçü Kaşığı"/>
        <s v="[Material].[H_MainGroup].[MainGroupDesc].&amp;[Mutfak].&amp;[Kavanoz]" c="Kavanoz"/>
        <s v="[Material].[H_MainGroup].[MainGroupDesc].&amp;[Mutfak].&amp;[Kavanoz Kapağı]" c="Kavanoz Kapağı"/>
        <s v="[Material].[H_MainGroup].[MainGroupDesc].&amp;[Mutfak].&amp;[Kepçe]" c="Kepçe"/>
        <s v="[Material].[H_MainGroup].[MainGroupDesc].&amp;[Mutfak].&amp;[Kesme Tahtası]" c="Kesme Tahtası"/>
        <s v="[Material].[H_MainGroup].[MainGroupDesc].&amp;[Mutfak].&amp;[Kettle]" c="Kettle"/>
        <s v="[Material].[H_MainGroup].[MainGroupDesc].&amp;[Mutfak].&amp;[Krep Tava]" c="Krep Tava"/>
        <s v="[Material].[H_MainGroup].[MainGroupDesc].&amp;[Mutfak].&amp;[Kupalık]" c="Kupalık"/>
        <s v="[Material].[H_MainGroup].[MainGroupDesc].&amp;[Mutfak].&amp;[Kurabiye Kutusu]" c="Kurabiye Kutusu"/>
        <s v="[Material].[H_MainGroup].[MainGroupDesc].&amp;[Mutfak].&amp;[Matara]" c="Matara"/>
        <s v="[Material].[H_MainGroup].[MainGroupDesc].&amp;[Mutfak].&amp;[Merdane]" c="Merdane"/>
        <s v="[Material].[H_MainGroup].[MainGroupDesc].&amp;[Mutfak].&amp;[Moka Pot]" c="Moka Pot"/>
        <s v="[Material].[H_MainGroup].[MainGroupDesc].&amp;[Mutfak].&amp;[Mutfak Gereci]" c="Mutfak Gereci"/>
        <s v="[Material].[H_MainGroup].[MainGroupDesc].&amp;[Mutfak].&amp;[Ölçü Kabı]" c="Ölçü Kabı"/>
        <s v="[Material].[H_MainGroup].[MainGroupDesc].&amp;[Mutfak].&amp;[Ölçü Kaşığı]" c="Ölçü Kaşığı"/>
        <s v="[Material].[H_MainGroup].[MainGroupDesc].&amp;[Mutfak].&amp;[Perforated Spatula]" c="Perforated Spatula"/>
        <s v="[Material].[H_MainGroup].[MainGroupDesc].&amp;[Mutfak].&amp;[Piknik Sepeti]" c="Piknik Sepeti"/>
        <s v="[Material].[H_MainGroup].[MainGroupDesc].&amp;[Mutfak].&amp;[Piknik Seti]" c="Piknik Seti"/>
        <s v="[Material].[H_MainGroup].[MainGroupDesc].&amp;[Mutfak].&amp;[Pipet]" c="Pipet"/>
        <s v="[Material].[H_MainGroup].[MainGroupDesc].&amp;[Mutfak].&amp;[Pizza Kesici]" c="Pizza Kesici"/>
        <s v="[Material].[H_MainGroup].[MainGroupDesc].&amp;[Mutfak].&amp;[Poşet Klipsi]" c="Poşet Klipsi"/>
        <s v="[Material].[H_MainGroup].[MainGroupDesc].&amp;[Mutfak].&amp;[Poşet Torbalığı]" c="Poşet Torbalığı"/>
        <s v="[Material].[H_MainGroup].[MainGroupDesc].&amp;[Mutfak].&amp;[Saklama Kabı]" c="Saklama Kabı"/>
        <s v="[Material].[H_MainGroup].[MainGroupDesc].&amp;[Mutfak].&amp;[Saklama Kabı Seti]" c="Saklama Kabı Seti"/>
        <s v="[Material].[H_MainGroup].[MainGroupDesc].&amp;[Mutfak].&amp;[Salata Seti]" c="Salata Seti"/>
        <s v="[Material].[H_MainGroup].[MainGroupDesc].&amp;[Mutfak].&amp;[Satır]" c="Satır"/>
        <s v="[Material].[H_MainGroup].[MainGroupDesc].&amp;[Mutfak].&amp;[Servis Gereçleri]" c="Servis Gereçleri"/>
        <s v="[Material].[H_MainGroup].[MainGroupDesc].&amp;[Mutfak].&amp;[Servis Kaşığı]" c="Servis Kaşığı"/>
        <s v="[Material].[H_MainGroup].[MainGroupDesc].&amp;[Mutfak].&amp;[Shaker]" c="Shaker"/>
        <s v="[Material].[H_MainGroup].[MainGroupDesc].&amp;[Mutfak].&amp;[Şişe Tıpası]" c="Şişe Tıpası"/>
        <s v="[Material].[H_MainGroup].[MainGroupDesc].&amp;[Mutfak].&amp;[Sofra Seti]" c="Sofra Seti"/>
        <s v="[Material].[H_MainGroup].[MainGroupDesc].&amp;[Mutfak].&amp;[Spagetti Kaşığı]" c="Spagetti Kaşığı"/>
        <s v="[Material].[H_MainGroup].[MainGroupDesc].&amp;[Mutfak].&amp;[Sufle Kabı]" c="Sufle Kabı"/>
        <s v="[Material].[H_MainGroup].[MainGroupDesc].&amp;[Mutfak].&amp;[Süt Potu]" c="Süt Potu"/>
        <s v="[Material].[H_MainGroup].[MainGroupDesc].&amp;[Mutfak].&amp;[Termos]" c="Termos"/>
        <s v="[Material].[H_MainGroup].[MainGroupDesc].&amp;[Mutfak].&amp;[Yemek Hazırlama]" c="Yemek Hazırlama"/>
        <s v="[Material].[H_MainGroup].[MainGroupDesc].&amp;[Mutfak].&amp;[Yumurta Fırçası]" c="Yumurta Fırçası"/>
        <s v="[Material].[H_MainGroup].[MainGroupDesc].&amp;[Mutfak].&amp;[Yumurtalık]" c="Yumurtalık"/>
        <s v="[Material].[H_MainGroup].[MainGroupDesc].&amp;[Nevresim].&amp;[Bebe Nevresim]" c="Bebe Nevresim"/>
        <s v="[Material].[H_MainGroup].[MainGroupDesc].&amp;[Nevresim].&amp;[Bebe Nevresim Seti]" c="Bebe Nevresim Seti"/>
        <s v="[Material].[H_MainGroup].[MainGroupDesc].&amp;[Nevresim].&amp;[Bebe Nevresim Takımı]" c="Bebe Nevresim Takımı"/>
        <s v="[Material].[H_MainGroup].[MainGroupDesc].&amp;[Nevresim].&amp;[Bebe Yastık Kılıfı]" c="Bebe Yastık Kılıfı"/>
        <s v="[Material].[H_MainGroup].[MainGroupDesc].&amp;[Nevresim].&amp;[Cibinlik]" c="Cibinlik"/>
        <s v="[Material].[H_MainGroup].[MainGroupDesc].&amp;[Nevresim].&amp;[Çocuk Nevresim Seti]" c="Çocuk Nevresim Seti"/>
        <s v="[Material].[H_MainGroup].[MainGroupDesc].&amp;[Nevresim].&amp;[Çocuk Nevresim Takım]" c="Çocuk Nevresim Takım"/>
        <s v="[Material].[H_MainGroup].[MainGroupDesc].&amp;[Nevresim].&amp;[Düz Çarşaf NVR TK]" c="Düz Çarşaf NVR TK"/>
        <s v="[Material].[H_MainGroup].[MainGroupDesc].&amp;[Nevresim].&amp;[Nevr. ve Yastık Klf]" c="Nevr. ve Yastık Klf"/>
        <s v="[Material].[H_MainGroup].[MainGroupDesc].&amp;[Nevresim].&amp;[Nevresim]" c="Nevresim"/>
        <s v="[Material].[H_MainGroup].[MainGroupDesc].&amp;[Nevresim].&amp;[Nevresim Seti]" c="Nevresim Seti"/>
        <s v="[Material].[H_MainGroup].[MainGroupDesc].&amp;[Nevresim].&amp;[Nevresim Takımı]" c="Nevresim Takımı"/>
        <s v="[Material].[H_MainGroup].[MainGroupDesc].&amp;[Pike].&amp;[Bebe Pike]" c="Bebe Pike"/>
        <s v="[Material].[H_MainGroup].[MainGroupDesc].&amp;[Pike].&amp;[Çocuk Pike Takımı]" c="Çocuk Pike Takımı"/>
        <s v="[Material].[H_MainGroup].[MainGroupDesc].&amp;[Pike].&amp;[Pike]" c="Pike"/>
        <s v="[Material].[H_MainGroup].[MainGroupDesc].&amp;[Pike].&amp;[Pike Seti]" c="Pike Seti"/>
        <s v="[Material].[H_MainGroup].[MainGroupDesc].&amp;[Pike].&amp;[Pike Takımı]" c="Pike Takımı"/>
        <s v="[Material].[H_MainGroup].[MainGroupDesc].&amp;[Pişirme].&amp;[Bakraç]" c="Bakraç"/>
        <s v="[Material].[H_MainGroup].[MainGroupDesc].&amp;[Pişirme].&amp;[Fırın Kabı]" c="Fırın Kabı"/>
        <s v="[Material].[H_MainGroup].[MainGroupDesc].&amp;[Pişirme].&amp;[Fırın Tencere]" c="Fırın Tencere"/>
        <s v="[Material].[H_MainGroup].[MainGroupDesc].&amp;[Pişirme].&amp;[Grıll Tava]" c="Grıll Tava"/>
        <s v="[Material].[H_MainGroup].[MainGroupDesc].&amp;[Pişirme].&amp;[Kek Kalıbı]" c="Kek Kalıbı"/>
        <s v="[Material].[H_MainGroup].[MainGroupDesc].&amp;[Pişirme].&amp;[Kek Kalıp Set]" c="Kek Kalıp Set"/>
        <s v="[Material].[H_MainGroup].[MainGroupDesc].&amp;[Pişirme].&amp;[Mini Tava]" c="Mini Tava"/>
        <s v="[Material].[H_MainGroup].[MainGroupDesc].&amp;[Pişirme].&amp;[Mini Tencere]" c="Mini Tencere"/>
        <s v="[Material].[H_MainGroup].[MainGroupDesc].&amp;[Pişirme].&amp;[Pişirme Seti]" c="Pişirme Seti"/>
        <s v="[Material].[H_MainGroup].[MainGroupDesc].&amp;[Pişirme].&amp;[Pişir-Sakla Set]" c="Pişir-Sakla Set"/>
        <s v="[Material].[H_MainGroup].[MainGroupDesc].&amp;[Pişirme].&amp;[Sahan]" c="Sahan"/>
        <s v="[Material].[H_MainGroup].[MainGroupDesc].&amp;[Pişirme].&amp;[Sahan Seti]" c="Sahan Seti"/>
        <s v="[Material].[H_MainGroup].[MainGroupDesc].&amp;[Pişirme].&amp;[Sos Tenceresi]" c="Sos Tenceresi"/>
        <s v="[Material].[H_MainGroup].[MainGroupDesc].&amp;[Pişirme].&amp;[Tart Kalıbı]" c="Tart Kalıbı"/>
        <s v="[Material].[H_MainGroup].[MainGroupDesc].&amp;[Pişirme].&amp;[Tava]" c="Tava"/>
        <s v="[Material].[H_MainGroup].[MainGroupDesc].&amp;[Pişirme].&amp;[Tava Seti]" c="Tava Seti"/>
        <s v="[Material].[H_MainGroup].[MainGroupDesc].&amp;[Pişirme].&amp;[Tencere]" c="Tencere"/>
        <s v="[Material].[H_MainGroup].[MainGroupDesc].&amp;[Pişirme].&amp;[Tencere Seti]" c="Tencere Seti"/>
        <s v="[Material].[H_MainGroup].[MainGroupDesc].&amp;[Pişirme].&amp;[Tencere-Tava Seti]" c="Tencere-Tava Seti"/>
        <s v="[Material].[H_MainGroup].[MainGroupDesc].&amp;[Pişirme].&amp;[Wok Tava]" c="Wok Tava"/>
        <s v="[Material].[H_MainGroup].[MainGroupDesc].&amp;[Salon].&amp;[Atlet]" c="Atlet"/>
        <s v="[Material].[H_MainGroup].[MainGroupDesc].&amp;[Salon].&amp;[Ayaklı Tepsi]" c="Ayaklı Tepsi"/>
        <s v="[Material].[H_MainGroup].[MainGroupDesc].&amp;[Salon].&amp;[Babet Çorap]" c="Babet Çorap"/>
        <s v="[Material].[H_MainGroup].[MainGroupDesc].&amp;[Salon].&amp;[Bebe Alt Açma Yedek]" c="Bebe Alt Açma Yedek"/>
        <s v="[Material].[H_MainGroup].[MainGroupDesc].&amp;[Salon].&amp;[Bebe Body]" c="Bebe Body"/>
        <s v="[Material].[H_MainGroup].[MainGroupDesc].&amp;[Salon].&amp;[Bebe Çorap]" c="Bebe Çorap"/>
        <s v="[Material].[H_MainGroup].[MainGroupDesc].&amp;[Salon].&amp;[Bebe Hediyelik Set]" c="Bebe Hediyelik Set"/>
        <s v="[Material].[H_MainGroup].[MainGroupDesc].&amp;[Salon].&amp;[Bebe Kundak Set]" c="Bebe Kundak Set"/>
        <s v="[Material].[H_MainGroup].[MainGroupDesc].&amp;[Salon].&amp;[Bebe Müslin Set]" c="Bebe Müslin Set"/>
        <s v="[Material].[H_MainGroup].[MainGroupDesc].&amp;[Salon].&amp;[Bebe Önlük]" c="Bebe Önlük"/>
        <s v="[Material].[H_MainGroup].[MainGroupDesc].&amp;[Salon].&amp;[Bebe Örtü]" c="Bebe Örtü"/>
        <s v="[Material].[H_MainGroup].[MainGroupDesc].&amp;[Salon].&amp;[Bebe Pijama Takımı]" c="Bebe Pijama Takımı"/>
        <s v="[Material].[H_MainGroup].[MainGroupDesc].&amp;[Salon].&amp;[Bebe Puset Örtüsü]" c="Bebe Puset Örtüsü"/>
        <s v="[Material].[H_MainGroup].[MainGroupDesc].&amp;[Salon].&amp;[Bebe Sandalyesi]" c="Bebe Sandalyesi"/>
        <s v="[Material].[H_MainGroup].[MainGroupDesc].&amp;[Salon].&amp;[Bebe Şapka]" c="Bebe Şapka"/>
        <s v="[Material].[H_MainGroup].[MainGroupDesc].&amp;[Salon].&amp;[Bebe Tulum]" c="Bebe Tulum"/>
        <s v="[Material].[H_MainGroup].[MainGroupDesc].&amp;[Salon].&amp;[Bebe Uyku Tulumu]" c="Bebe Uyku Tulumu"/>
        <s v="[Material].[H_MainGroup].[MainGroupDesc].&amp;[Salon].&amp;[Berjer]" c="Berjer"/>
        <s v="[Material].[H_MainGroup].[MainGroupDesc].&amp;[Salon].&amp;[Bluz]" c="Bluz"/>
        <s v="[Material].[H_MainGroup].[MainGroupDesc].&amp;[Salon].&amp;[Boxer]" c="Boxer"/>
        <s v="[Material].[H_MainGroup].[MainGroupDesc].&amp;[Salon].&amp;[Braçol]" c="Braçol"/>
        <s v="[Material].[H_MainGroup].[MainGroupDesc].&amp;[Salon].&amp;[Büyük Kırlent]" c="Büyük Kırlent"/>
        <s v="[Material].[H_MainGroup].[MainGroupDesc].&amp;[Salon].&amp;[Çanta.]" c="Çanta."/>
        <s v="[Material].[H_MainGroup].[MainGroupDesc].&amp;[Salon].&amp;[Çocuk Atlet]" c="Çocuk Atlet"/>
        <s v="[Material].[H_MainGroup].[MainGroupDesc].&amp;[Salon].&amp;[Çocuk Boxer]" c="Çocuk Boxer"/>
        <s v="[Material].[H_MainGroup].[MainGroupDesc].&amp;[Salon].&amp;[Çocuk Çanta]" c="Çocuk Çanta"/>
        <s v="[Material].[H_MainGroup].[MainGroupDesc].&amp;[Salon].&amp;[Çocuk Çarşaf]" c="Çocuk Çarşaf"/>
        <s v="[Material].[H_MainGroup].[MainGroupDesc].&amp;[Salon].&amp;[Çocuk Çorap]" c="Çocuk Çorap"/>
        <s v="[Material].[H_MainGroup].[MainGroupDesc].&amp;[Salon].&amp;[Çocuk Eldiven]" c="Çocuk Eldiven"/>
        <s v="[Material].[H_MainGroup].[MainGroupDesc].&amp;[Salon].&amp;[Çocuk Ev Ayakkabısı]" c="Çocuk Ev Ayakkabısı"/>
        <s v="[Material].[H_MainGroup].[MainGroupDesc].&amp;[Salon].&amp;[Çocuk Panço]" c="Çocuk Panço"/>
        <s v="[Material].[H_MainGroup].[MainGroupDesc].&amp;[Salon].&amp;[Çocuk Pijama Takımı]" c="Çocuk Pijama Takımı"/>
        <s v="[Material].[H_MainGroup].[MainGroupDesc].&amp;[Salon].&amp;[Çocuk Terliği]" c="Çocuk Terliği"/>
        <s v="[Material].[H_MainGroup].[MainGroupDesc].&amp;[Salon].&amp;[Çocuk Üst]" c="Çocuk Üst"/>
        <s v="[Material].[H_MainGroup].[MainGroupDesc].&amp;[Salon].&amp;[Çorap]" c="Çorap"/>
        <s v="[Material].[H_MainGroup].[MainGroupDesc].&amp;[Salon].&amp;[Dekoratif Koltuk]" c="Dekoratif Koltuk"/>
        <s v="[Material].[H_MainGroup].[MainGroupDesc].&amp;[Salon].&amp;[Dekoratif Minder]" c="Dekoratif Minder"/>
        <s v="[Material].[H_MainGroup].[MainGroupDesc].&amp;[Salon].&amp;[Dekoratif Puf]" c="Dekoratif Puf"/>
        <s v="[Material].[H_MainGroup].[MainGroupDesc].&amp;[Salon].&amp;[Deniz Şortu]" c="Deniz Şortu"/>
        <s v="[Material].[H_MainGroup].[MainGroupDesc].&amp;[Salon].&amp;[Diğer]" c="Diğer"/>
        <s v="[Material].[H_MainGroup].[MainGroupDesc].&amp;[Salon].&amp;[Dolgulu Kırlent]" c="Dolgulu Kırlent"/>
        <s v="[Material].[H_MainGroup].[MainGroupDesc].&amp;[Salon].&amp;[Duvar Kağıdı]" c="Duvar Kağıdı"/>
        <s v="[Material].[H_MainGroup].[MainGroupDesc].&amp;[Salon].&amp;[Düzenleyici]" c="Düzenleyici"/>
        <s v="[Material].[H_MainGroup].[MainGroupDesc].&amp;[Salon].&amp;[Eldiven]" c="Eldiven"/>
        <s v="[Material].[H_MainGroup].[MainGroupDesc].&amp;[Salon].&amp;[Ev Elbisesi]" c="Ev Elbisesi"/>
        <s v="[Material].[H_MainGroup].[MainGroupDesc].&amp;[Salon].&amp;[Ev Terliği]" c="Ev Terliği"/>
        <s v="[Material].[H_MainGroup].[MainGroupDesc].&amp;[Salon].&amp;[Evcil Hayvan Yatağı]" c="Evcil Hayvan Yatağı"/>
        <s v="[Material].[H_MainGroup].[MainGroupDesc].&amp;[Salon].&amp;[Fanila]" c="Fanila"/>
        <s v="[Material].[H_MainGroup].[MainGroupDesc].&amp;[Salon].&amp;[Fon Perde]" c="Fon Perde"/>
        <s v="[Material].[H_MainGroup].[MainGroupDesc].&amp;[Salon].&amp;[Gecelik]" c="Gecelik"/>
        <s v="[Material].[H_MainGroup].[MainGroupDesc].&amp;[Salon].&amp;[Hasır Çanta]" c="Hasır Çanta"/>
        <s v="[Material].[H_MainGroup].[MainGroupDesc].&amp;[Salon].&amp;[İç Çamaşır Takımı]" c="İç Çamaşır Takımı"/>
        <s v="[Material].[H_MainGroup].[MainGroupDesc].&amp;[Salon].&amp;[İçlik]" c="İçlik"/>
        <s v="[Material].[H_MainGroup].[MainGroupDesc].&amp;[Salon].&amp;[Kapri Takım]" c="Kapri Takım"/>
        <s v="[Material].[H_MainGroup].[MainGroupDesc].&amp;[Salon].&amp;[Kartela Kumaşı]" c="Kartela Kumaşı"/>
        <s v="[Material].[H_MainGroup].[MainGroupDesc].&amp;[Salon].&amp;[Kırlent]" c="Kırlent"/>
        <s v="[Material].[H_MainGroup].[MainGroupDesc].&amp;[Salon].&amp;[Kısa Gecelik]" c="Kısa Gecelik"/>
        <s v="[Material].[H_MainGroup].[MainGroupDesc].&amp;[Salon].&amp;[Klozet Adaptörü]" c="Klozet Adaptörü"/>
        <s v="[Material].[H_MainGroup].[MainGroupDesc].&amp;[Salon].&amp;[Koltuk Örtüsü]" c="Koltuk Örtüsü"/>
        <s v="[Material].[H_MainGroup].[MainGroupDesc].&amp;[Salon].&amp;[Koltuk Şalı]" c="Koltuk Şalı"/>
        <s v="[Material].[H_MainGroup].[MainGroupDesc].&amp;[Salon].&amp;[Külot]" c="Külot"/>
        <s v="[Material].[H_MainGroup].[MainGroupDesc].&amp;[Salon].&amp;[Küpe]" c="Küpe"/>
        <s v="[Material].[H_MainGroup].[MainGroupDesc].&amp;[Salon].&amp;[Omuz Şalı]" c="Omuz Şalı"/>
        <s v="[Material].[H_MainGroup].[MainGroupDesc].&amp;[Salon].&amp;[Panço]" c="Panço"/>
        <s v="[Material].[H_MainGroup].[MainGroupDesc].&amp;[Salon].&amp;[Panduf Ev Babeti]" c="Panduf Ev Babeti"/>
        <s v="[Material].[H_MainGroup].[MainGroupDesc].&amp;[Salon].&amp;[Panduf Ev Botu]" c="Panduf Ev Botu"/>
        <s v="[Material].[H_MainGroup].[MainGroupDesc].&amp;[Salon].&amp;[Patik Çorap]" c="Patik Çorap"/>
        <s v="[Material].[H_MainGroup].[MainGroupDesc].&amp;[Salon].&amp;[Peluş Çorap]" c="Peluş Çorap"/>
        <s v="[Material].[H_MainGroup].[MainGroupDesc].&amp;[Salon].&amp;[Pijama Takımı]" c="Pijama Takımı"/>
        <s v="[Material].[H_MainGroup].[MainGroupDesc].&amp;[Salon].&amp;[Pijama Üst]" c="Pijama Üst"/>
        <s v="[Material].[H_MainGroup].[MainGroupDesc].&amp;[Salon].&amp;[Plaj Çantası.]" c="Plaj Çantası."/>
        <s v="[Material].[H_MainGroup].[MainGroupDesc].&amp;[Salon].&amp;[Plaj Elbisesi]" c="Plaj Elbisesi"/>
        <s v="[Material].[H_MainGroup].[MainGroupDesc].&amp;[Salon].&amp;[Plaj Pantolonu]" c="Plaj Pantolonu"/>
        <s v="[Material].[H_MainGroup].[MainGroupDesc].&amp;[Salon].&amp;[Plaj Terliği]" c="Plaj Terliği"/>
        <s v="[Material].[H_MainGroup].[MainGroupDesc].&amp;[Salon].&amp;[Puf.]" c="Puf."/>
        <s v="[Material].[H_MainGroup].[MainGroupDesc].&amp;[Salon].&amp;[Puset]" c="Puset"/>
        <s v="[Material].[H_MainGroup].[MainGroupDesc].&amp;[Salon].&amp;[Sabahlık]" c="Sabahlık"/>
        <s v="[Material].[H_MainGroup].[MainGroupDesc].&amp;[Salon].&amp;[Sallanan Koltuk]" c="Sallanan Koltuk"/>
        <s v="[Material].[H_MainGroup].[MainGroupDesc].&amp;[Salon].&amp;[Sandalye Minderi]" c="Sandalye Minderi"/>
        <s v="[Material].[H_MainGroup].[MainGroupDesc].&amp;[Salon].&amp;[Seyahat Çantası]" c="Seyahat Çantası"/>
        <s v="[Material].[H_MainGroup].[MainGroupDesc].&amp;[Salon].&amp;[Sneaker Çorap]" c="Sneaker Çorap"/>
        <s v="[Material].[H_MainGroup].[MainGroupDesc].&amp;[Salon].&amp;[Sokak Terliği]" c="Sokak Terliği"/>
        <s v="[Material].[H_MainGroup].[MainGroupDesc].&amp;[Salon].&amp;[Soket Çorap]" c="Soket Çorap"/>
        <s v="[Material].[H_MainGroup].[MainGroupDesc].&amp;[Salon].&amp;[Şort]" c="Şort"/>
        <s v="[Material].[H_MainGroup].[MainGroupDesc].&amp;[Salon].&amp;[Şort Takım]" c="Şort Takım"/>
        <s v="[Material].[H_MainGroup].[MainGroupDesc].&amp;[Salon].&amp;[Spor Tshirt]" c="Spor Tshirt"/>
        <s v="[Material].[H_MainGroup].[MainGroupDesc].&amp;[Salon].&amp;[Stor Perde]" c="Stor Perde"/>
        <s v="[Material].[H_MainGroup].[MainGroupDesc].&amp;[Salon].&amp;[Sütyen]" c="Sütyen"/>
        <s v="[Material].[H_MainGroup].[MainGroupDesc].&amp;[Salon].&amp;[Tayt]" c="Tayt"/>
        <s v="[Material].[H_MainGroup].[MainGroupDesc].&amp;[Salon].&amp;[Tek Alt]" c="Tek Alt"/>
        <s v="[Material].[H_MainGroup].[MainGroupDesc].&amp;[Salon].&amp;[Tek Uzun Alt]" c="Tek Uzun Alt"/>
        <s v="[Material].[H_MainGroup].[MainGroupDesc].&amp;[Salon].&amp;[Ten Çorap]" c="Ten Çorap"/>
        <s v="[Material].[H_MainGroup].[MainGroupDesc].&amp;[Salon].&amp;[Tül Perde]" c="Tül Perde"/>
        <s v="[Material].[H_MainGroup].[MainGroupDesc].&amp;[Salon].&amp;[Uzun Gecelik]" c="Uzun Gecelik"/>
        <s v="[Material].[H_MainGroup].[MainGroupDesc].&amp;[Salon].&amp;[Yaslanma Minderi]" c="Yaslanma Minderi"/>
        <s v="[Material].[H_MainGroup].[MainGroupDesc].&amp;[Salon].&amp;[Yer Minderi]" c="Yer Minderi"/>
        <s v="[Material].[H_MainGroup].[MainGroupDesc].&amp;[Sofra İçecek].&amp;[Bardak]" c="Bardak"/>
        <s v="[Material].[H_MainGroup].[MainGroupDesc].&amp;[Sofra İçecek].&amp;[Bira Bardağı]" c="Bira Bardağı"/>
        <s v="[Material].[H_MainGroup].[MainGroupDesc].&amp;[Sofra İçecek].&amp;[Çay Bardağı]" c="Çay Bardağı"/>
        <s v="[Material].[H_MainGroup].[MainGroupDesc].&amp;[Sofra İçecek].&amp;[Çay Fincanı]" c="Çay Fincanı"/>
        <s v="[Material].[H_MainGroup].[MainGroupDesc].&amp;[Sofra İçecek].&amp;[Çay Seti]" c="Çay Seti"/>
        <s v="[Material].[H_MainGroup].[MainGroupDesc].&amp;[Sofra İçecek].&amp;[Çay Takımı]" c="Çay Takımı"/>
        <s v="[Material].[H_MainGroup].[MainGroupDesc].&amp;[Sofra İçecek].&amp;[Çay-Kahve Takımı]" c="Çay-Kahve Takımı"/>
        <s v="[Material].[H_MainGroup].[MainGroupDesc].&amp;[Sofra İçecek].&amp;[Detoks Bardağı]" c="Detoks Bardağı"/>
        <s v="[Material].[H_MainGroup].[MainGroupDesc].&amp;[Sofra İçecek].&amp;[Espresso Bardağı]" c="Espresso Bardağı"/>
        <s v="[Material].[H_MainGroup].[MainGroupDesc].&amp;[Sofra İçecek].&amp;[Fincan]" c="Fincan"/>
        <s v="[Material].[H_MainGroup].[MainGroupDesc].&amp;[Sofra İçecek].&amp;[Kadeh]" c="Kadeh"/>
        <s v="[Material].[H_MainGroup].[MainGroupDesc].&amp;[Sofra İçecek].&amp;[Kahve Fincan Takımı]" c="Kahve Fincan Takımı"/>
        <s v="[Material].[H_MainGroup].[MainGroupDesc].&amp;[Sofra İçecek].&amp;[Kahve Fincanı]" c="Kahve Fincanı"/>
        <s v="[Material].[H_MainGroup].[MainGroupDesc].&amp;[Sofra İçecek].&amp;[Kokteyl Bardağı]" c="Kokteyl Bardağı"/>
        <s v="[Material].[H_MainGroup].[MainGroupDesc].&amp;[Sofra İçecek].&amp;[Kupa]" c="Kupa"/>
        <s v="[Material].[H_MainGroup].[MainGroupDesc].&amp;[Sofra İçecek].&amp;[Likör Bardağı]" c="Likör Bardağı"/>
        <s v="[Material].[H_MainGroup].[MainGroupDesc].&amp;[Sofra İçecek].&amp;[Meşrubat Bardağı]" c="Meşrubat Bardağı"/>
        <s v="[Material].[H_MainGroup].[MainGroupDesc].&amp;[Sofra İçecek].&amp;[Mug]" c="Mug"/>
        <s v="[Material].[H_MainGroup].[MainGroupDesc].&amp;[Sofra İçecek].&amp;[Pipetli Bardak]" c="Pipetli Bardak"/>
        <s v="[Material].[H_MainGroup].[MainGroupDesc].&amp;[Sofra İçecek].&amp;[Şarap Kadehi]" c="Şarap Kadehi"/>
        <s v="[Material].[H_MainGroup].[MainGroupDesc].&amp;[Sofra İçecek].&amp;[Su Bardağı]" c="Su Bardağı"/>
        <s v="[Material].[H_MainGroup].[MainGroupDesc].&amp;[Sofra Sunum].&amp;[Amerikan Servis]" c="Amerikan Servis"/>
        <s v="[Material].[H_MainGroup].[MainGroupDesc].&amp;[Sofra Sunum].&amp;[Aşçı Eldiven]" c="Aşçı Eldiven"/>
        <s v="[Material].[H_MainGroup].[MainGroupDesc].&amp;[Sofra Sunum].&amp;[Başucu Sürahi]" c="Başucu Sürahi"/>
        <s v="[Material].[H_MainGroup].[MainGroupDesc].&amp;[Sofra Sunum].&amp;[Bebe Mama Takımı]" c="Bebe Mama Takımı"/>
        <s v="[Material].[H_MainGroup].[MainGroupDesc].&amp;[Sofra Sunum].&amp;[Buz Kovası]" c="Buz Kovası"/>
        <s v="[Material].[H_MainGroup].[MainGroupDesc].&amp;[Sofra Sunum].&amp;[Çerezlik]" c="Çerezlik"/>
        <s v="[Material].[H_MainGroup].[MainGroupDesc].&amp;[Sofra Sunum].&amp;[Çocuk Fırın Eldiveni]" c="Çocuk Fırın Eldiveni"/>
        <s v="[Material].[H_MainGroup].[MainGroupDesc].&amp;[Sofra Sunum].&amp;[Çocuk Önlüğü]" c="Çocuk Önlüğü"/>
        <s v="[Material].[H_MainGroup].[MainGroupDesc].&amp;[Sofra Sunum].&amp;[Çorba Kasesi]" c="Çorba Kasesi"/>
        <s v="[Material].[H_MainGroup].[MainGroupDesc].&amp;[Sofra Sunum].&amp;[Çukur Tabak]" c="Çukur Tabak"/>
        <s v="[Material].[H_MainGroup].[MainGroupDesc].&amp;[Sofra Sunum].&amp;[Cup]" c="Cup"/>
        <s v="[Material].[H_MainGroup].[MainGroupDesc].&amp;[Sofra Sunum].&amp;[Damacana Kılıfı]" c="Damacana Kılıfı"/>
        <s v="[Material].[H_MainGroup].[MainGroupDesc].&amp;[Sofra Sunum].&amp;[Dekoratif Şekerlik]" c="Dekoratif Şekerlik"/>
        <s v="[Material].[H_MainGroup].[MainGroupDesc].&amp;[Sofra Sunum].&amp;[Dizüstü Tepsi]" c="Dizüstü Tepsi"/>
        <s v="[Material].[H_MainGroup].[MainGroupDesc].&amp;[Sofra Sunum].&amp;[Kağıt Peçete]" c="Kağıt Peçete"/>
        <s v="[Material].[H_MainGroup].[MainGroupDesc].&amp;[Sofra Sunum].&amp;[Kahvaltılık]" c="Kahvaltılık"/>
        <s v="[Material].[H_MainGroup].[MainGroupDesc].&amp;[Sofra Sunum].&amp;[Karaf]" c="Karaf"/>
        <s v="[Material].[H_MainGroup].[MainGroupDesc].&amp;[Sofra Sunum].&amp;[Karaf Seti]" c="Karaf Seti"/>
        <s v="[Material].[H_MainGroup].[MainGroupDesc].&amp;[Sofra Sunum].&amp;[Kase]" c="Kase"/>
        <s v="[Material].[H_MainGroup].[MainGroupDesc].&amp;[Sofra Sunum].&amp;[Katlı Servis]" c="Katlı Servis"/>
        <s v="[Material].[H_MainGroup].[MainGroupDesc].&amp;[Sofra Sunum].&amp;[Kayık Tabak]" c="Kayık Tabak"/>
        <s v="[Material].[H_MainGroup].[MainGroupDesc].&amp;[Sofra Sunum].&amp;[Kek Fanus]" c="Kek Fanus"/>
        <s v="[Material].[H_MainGroup].[MainGroupDesc].&amp;[Sofra Sunum].&amp;[Kokteyl Peçetesi]" c="Kokteyl Peçetesi"/>
        <s v="[Material].[H_MainGroup].[MainGroupDesc].&amp;[Sofra Sunum].&amp;[Kokteyl Seti]" c="Kokteyl Seti"/>
        <s v="[Material].[H_MainGroup].[MainGroupDesc].&amp;[Sofra Sunum].&amp;[Kurabiyelik]" c="Kurabiyelik"/>
        <s v="[Material].[H_MainGroup].[MainGroupDesc].&amp;[Sofra Sunum].&amp;[Kurulama Bezi]" c="Kurulama Bezi"/>
        <s v="[Material].[H_MainGroup].[MainGroupDesc].&amp;[Sofra Sunum].&amp;[Lokumluk]" c="Lokumluk"/>
        <s v="[Material].[H_MainGroup].[MainGroupDesc].&amp;[Sofra Sunum].&amp;[Masa Örtüsü]" c="Masa Örtüsü"/>
        <s v="[Material].[H_MainGroup].[MainGroupDesc].&amp;[Sofra Sunum].&amp;[Meşrubatlık]" c="Meşrubatlık"/>
        <s v="[Material].[H_MainGroup].[MainGroupDesc].&amp;[Sofra Sunum].&amp;[Misafir Peçetesi]" c="Misafir Peçetesi"/>
        <s v="[Material].[H_MainGroup].[MainGroupDesc].&amp;[Sofra Sunum].&amp;[Mutfak Bezi]" c="Mutfak Bezi"/>
        <s v="[Material].[H_MainGroup].[MainGroupDesc].&amp;[Sofra Sunum].&amp;[Mutfak Masa Örtüsü]" c="Mutfak Masa Örtüsü"/>
        <s v="[Material].[H_MainGroup].[MainGroupDesc].&amp;[Sofra Sunum].&amp;[Mutfak Minderi]" c="Mutfak Minderi"/>
        <s v="[Material].[H_MainGroup].[MainGroupDesc].&amp;[Sofra Sunum].&amp;[Mutfak Önlüğü]" c="Mutfak Önlüğü"/>
        <s v="[Material].[H_MainGroup].[MainGroupDesc].&amp;[Sofra Sunum].&amp;[Mutfak Runnerı]" c="Mutfak Runnerı"/>
        <s v="[Material].[H_MainGroup].[MainGroupDesc].&amp;[Sofra Sunum].&amp;[Mutfak Seti]" c="Mutfak Seti"/>
        <s v="[Material].[H_MainGroup].[MainGroupDesc].&amp;[Sofra Sunum].&amp;[Pasta Tabağı]" c="Pasta Tabağı"/>
        <s v="[Material].[H_MainGroup].[MainGroupDesc].&amp;[Sofra Sunum].&amp;[Peçete Halkası]" c="Peçete Halkası"/>
        <s v="[Material].[H_MainGroup].[MainGroupDesc].&amp;[Sofra Sunum].&amp;[Peçete Yüzüğü]" c="Peçete Yüzüğü"/>
        <s v="[Material].[H_MainGroup].[MainGroupDesc].&amp;[Sofra Sunum].&amp;[Peynir Tabağı]" c="Peynir Tabağı"/>
        <s v="[Material].[H_MainGroup].[MainGroupDesc].&amp;[Sofra Sunum].&amp;[Peynir Tahtası]" c="Peynir Tahtası"/>
        <s v="[Material].[H_MainGroup].[MainGroupDesc].&amp;[Sofra Sunum].&amp;[Piknik Çantası]" c="Piknik Çantası"/>
        <s v="[Material].[H_MainGroup].[MainGroupDesc].&amp;[Sofra Sunum].&amp;[Piknik Örtüsü.]" c="Piknik Örtüsü."/>
        <s v="[Material].[H_MainGroup].[MainGroupDesc].&amp;[Sofra Sunum].&amp;[Pizza Tabağı]" c="Pizza Tabağı"/>
        <s v="[Material].[H_MainGroup].[MainGroupDesc].&amp;[Sofra Sunum].&amp;[Reçellik]" c="Reçellik"/>
        <s v="[Material].[H_MainGroup].[MainGroupDesc].&amp;[Sofra Sunum].&amp;[Runner]" c="Runner"/>
        <s v="[Material].[H_MainGroup].[MainGroupDesc].&amp;[Sofra Sunum].&amp;[Salata Kasesi]" c="Salata Kasesi"/>
        <s v="[Material].[H_MainGroup].[MainGroupDesc].&amp;[Sofra Sunum].&amp;[Sehpa Örtüsü]" c="Sehpa Örtüsü"/>
        <s v="[Material].[H_MainGroup].[MainGroupDesc].&amp;[Sofra Sunum].&amp;[Şekerlik]" c="Şekerlik"/>
        <s v="[Material].[H_MainGroup].[MainGroupDesc].&amp;[Sofra Sunum].&amp;[Servis Standı]" c="Servis Standı"/>
        <s v="[Material].[H_MainGroup].[MainGroupDesc].&amp;[Sofra Sunum].&amp;[Servis Tabağı]" c="Servis Tabağı"/>
        <s v="[Material].[H_MainGroup].[MainGroupDesc].&amp;[Sofra Sunum].&amp;[Servis Tamamlayıcı]" c="Servis Tamamlayıcı"/>
        <s v="[Material].[H_MainGroup].[MainGroupDesc].&amp;[Sofra Sunum].&amp;[Şişe]" c="Şişe"/>
        <s v="[Material].[H_MainGroup].[MainGroupDesc].&amp;[Sofra Sunum].&amp;[Sosluk]" c="Sosluk"/>
        <s v="[Material].[H_MainGroup].[MainGroupDesc].&amp;[Sofra Sunum].&amp;[Su Takımı]" c="Su Takımı"/>
        <s v="[Material].[H_MainGroup].[MainGroupDesc].&amp;[Sofra Sunum].&amp;[Sunum Kasesi]" c="Sunum Kasesi"/>
        <s v="[Material].[H_MainGroup].[MainGroupDesc].&amp;[Sofra Sunum].&amp;[Sunum Seti]" c="Sunum Seti"/>
        <s v="[Material].[H_MainGroup].[MainGroupDesc].&amp;[Sofra Sunum].&amp;[Sunum Tabağı]" c="Sunum Tabağı"/>
        <s v="[Material].[H_MainGroup].[MainGroupDesc].&amp;[Sofra Sunum].&amp;[Sunum Tahtası]" c="Sunum Tahtası"/>
        <s v="[Material].[H_MainGroup].[MainGroupDesc].&amp;[Sofra Sunum].&amp;[Sunumluk]" c="Sunumluk"/>
        <s v="[Material].[H_MainGroup].[MainGroupDesc].&amp;[Sofra Sunum].&amp;[Supla]" c="Supla"/>
        <s v="[Material].[H_MainGroup].[MainGroupDesc].&amp;[Sofra Sunum].&amp;[Supla Altı]" c="Supla Altı"/>
        <s v="[Material].[H_MainGroup].[MainGroupDesc].&amp;[Sofra Sunum].&amp;[Sürahi]" c="Sürahi"/>
        <s v="[Material].[H_MainGroup].[MainGroupDesc].&amp;[Sofra Sunum].&amp;[Tabak]" c="Tabak"/>
        <s v="[Material].[H_MainGroup].[MainGroupDesc].&amp;[Sofra Sunum].&amp;[Tatlı Tabağı]" c="Tatlı Tabağı"/>
        <s v="[Material].[H_MainGroup].[MainGroupDesc].&amp;[Sofra Sunum].&amp;[Tepsi]" c="Tepsi"/>
        <s v="[Material].[H_MainGroup].[MainGroupDesc].&amp;[Sofra Sunum].&amp;[Tereyağlık]" c="Tereyağlık"/>
        <s v="[Material].[H_MainGroup].[MainGroupDesc].&amp;[Sofra Sunum].&amp;[Tutaç]" c="Tutaç"/>
        <s v="[Material].[H_MainGroup].[MainGroupDesc].&amp;[Sofra Sunum].&amp;[Tuzluk]" c="Tuzluk"/>
        <s v="[Material].[H_MainGroup].[MainGroupDesc].&amp;[Sofra Sunum].&amp;[Tuzluk - Biberlik]" c="Tuzluk - Biberlik"/>
        <s v="[Material].[H_MainGroup].[MainGroupDesc].&amp;[Sofra Sunum].&amp;[Yağdanlık]" c="Yağdanlık"/>
        <s v="[Material].[H_MainGroup].[MainGroupDesc].&amp;[Sofra Sunum].&amp;[Yağ-Sirke-Tuz-Bbr]" c="Yağ-Sirke-Tuz-Bbr"/>
        <s v="[Material].[H_MainGroup].[MainGroupDesc].&amp;[Sofra Takımları].&amp;[Çatal Kaşık Bıçak Tk]" c="Çatal Kaşık Bıçak Tk"/>
        <s v="[Material].[H_MainGroup].[MainGroupDesc].&amp;[Sofra Takımları].&amp;[Çay Kaşığı]" c="Çay Kaşığı"/>
        <s v="[Material].[H_MainGroup].[MainGroupDesc].&amp;[Sofra Takımları].&amp;[Çay Tabağı]" c="Çay Tabağı"/>
        <s v="[Material].[H_MainGroup].[MainGroupDesc].&amp;[Sofra Takımları].&amp;[Kahvaltı Takımı]" c="Kahvaltı Takımı"/>
        <s v="[Material].[H_MainGroup].[MainGroupDesc].&amp;[Sofra Takımları].&amp;[Kokteyl Çatalı]" c="Kokteyl Çatalı"/>
        <s v="[Material].[H_MainGroup].[MainGroupDesc].&amp;[Sofra Takımları].&amp;[Kokteyl Karıştırıcı]" c="Kokteyl Karıştırıcı"/>
        <s v="[Material].[H_MainGroup].[MainGroupDesc].&amp;[Sofra Takımları].&amp;[Pasta Seti]" c="Pasta Seti"/>
        <s v="[Material].[H_MainGroup].[MainGroupDesc].&amp;[Sofra Takımları].&amp;[Tatlı Bıçağı]" c="Tatlı Bıçağı"/>
        <s v="[Material].[H_MainGroup].[MainGroupDesc].&amp;[Sofra Takımları].&amp;[Tatlı Çatalı]" c="Tatlı Çatalı"/>
        <s v="[Material].[H_MainGroup].[MainGroupDesc].&amp;[Sofra Takımları].&amp;[Tatlı Kaşığı]" c="Tatlı Kaşığı"/>
        <s v="[Material].[H_MainGroup].[MainGroupDesc].&amp;[Sofra Takımları].&amp;[Yemek Bıçağı]" c="Yemek Bıçağı"/>
        <s v="[Material].[H_MainGroup].[MainGroupDesc].&amp;[Sofra Takımları].&amp;[Yemek Çatalı]" c="Yemek Çatalı"/>
        <s v="[Material].[H_MainGroup].[MainGroupDesc].&amp;[Sofra Takımları].&amp;[Yemek Kaşığı]" c="Yemek Kaşığı"/>
        <s v="[Material].[H_MainGroup].[MainGroupDesc].&amp;[Sofra Takımları].&amp;[Yemek Takımı]" c="Yemek Takımı"/>
        <s v="[Material].[H_MainGroup].[MainGroupDesc].&amp;[Yastık].&amp;[Alez Yastık Kılıfı]" c="Alez Yastık Kılıfı"/>
        <s v="[Material].[H_MainGroup].[MainGroupDesc].&amp;[Yastık].&amp;[Bebe Yastık]" c="Bebe Yastık"/>
        <s v="[Material].[H_MainGroup].[MainGroupDesc].&amp;[Yastık].&amp;[Bel Yastığı]" c="Bel Yastığı"/>
        <s v="[Material].[H_MainGroup].[MainGroupDesc].&amp;[Yastık].&amp;[Çocuk Yastık]" c="Çocuk Yastık"/>
        <s v="[Material].[H_MainGroup].[MainGroupDesc].&amp;[Yastık].&amp;[Çocuk Yastık Kılıfı]" c="Çocuk Yastık Kılıfı"/>
        <s v="[Material].[H_MainGroup].[MainGroupDesc].&amp;[Yastık].&amp;[Dekoratif Yastık]" c="Dekoratif Yastık"/>
        <s v="[Material].[H_MainGroup].[MainGroupDesc].&amp;[Yastık].&amp;[Destekli Yastık]" c="Destekli Yastık"/>
        <s v="[Material].[H_MainGroup].[MainGroupDesc].&amp;[Yastık].&amp;[Kırlent Yastık]" c="Kırlent Yastık"/>
        <s v="[Material].[H_MainGroup].[MainGroupDesc].&amp;[Yastık].&amp;[Yastık]" c="Yastık"/>
        <s v="[Material].[H_MainGroup].[MainGroupDesc].&amp;[Yastık].&amp;[Yastık Alezi]" c="Yastık Alezi"/>
        <s v="[Material].[H_MainGroup].[MainGroupDesc].&amp;[Yatak Örtüsü].&amp;[Bebe Yatak K. Koruma]" c="Bebe Yatak K. Koruma"/>
        <s v="[Material].[H_MainGroup].[MainGroupDesc].&amp;[Yatak Örtüsü].&amp;[Bebe Yatak Koruma]" c="Bebe Yatak Koruma"/>
        <s v="[Material].[H_MainGroup].[MainGroupDesc].&amp;[Yatak Örtüsü].&amp;[Çocuk Yatak Örtü Tkm]" c="Çocuk Yatak Örtü Tkm"/>
        <s v="[Material].[H_MainGroup].[MainGroupDesc].&amp;[Yatak Örtüsü].&amp;[Çok Amaçlı Örtü]" c="Çok Amaçlı Örtü"/>
        <s v="[Material].[H_MainGroup].[MainGroupDesc].&amp;[Yatak Örtüsü].&amp;[Yatak Örtüsü]" c="Yatak Örtüsü"/>
        <s v="[Material].[H_MainGroup].[MainGroupDesc].&amp;[Yatak Örtüsü].&amp;[Yatak Örtüsü Takımı]" c="Yatak Örtüsü Takımı"/>
        <s v="[Material].[H_MainGroup].[MainGroupDesc].&amp;[YEDEK PARÇA].&amp;[Airfryer YP]" c="Airfryer YP"/>
        <s v="[Material].[H_MainGroup].[MainGroupDesc].&amp;[YEDEK PARÇA].&amp;[Çay Makinesi YP]" c="Çay Makinesi YP"/>
        <s v="[Material].[H_MainGroup].[MainGroupDesc].&amp;[YEDEK PARÇA].&amp;[Doğrayıcı YP]" c="Doğrayıcı YP"/>
        <s v="[Material].[H_MainGroup].[MainGroupDesc].&amp;[YEDEK PARÇA].&amp;[El Blen.Multi Set YP]" c="El Blen.Multi Set YP"/>
        <s v="[Material].[H_MainGroup].[MainGroupDesc].&amp;[YEDEK PARÇA].&amp;[El Mikseri YP]" c="El Mikseri YP"/>
        <s v="[Material].[H_MainGroup].[MainGroupDesc].&amp;[YEDEK PARÇA].&amp;[Elektrikli Süpürge Y]" c="Elektrikli Süpürge Y"/>
        <s v="[Material].[H_MainGroup].[MainGroupDesc].&amp;[YEDEK PARÇA].&amp;[Filtre Kahve M.YP]" c="Filtre Kahve M.YP"/>
        <s v="[Material].[H_MainGroup].[MainGroupDesc].&amp;[YEDEK PARÇA].&amp;[Izgara ve Tost M. YP]" c="Izgara ve Tost M. YP"/>
        <s v="[Material].[H_MainGroup].[MainGroupDesc].&amp;[YEDEK PARÇA].&amp;[KEA YP]" c="KEA YP"/>
        <s v="[Material].[H_MainGroup].[MainGroupDesc].&amp;[YEDEK PARÇA].&amp;[Kişisel Blender YP]" c="Kişisel Blender YP"/>
        <s v="[Material].[H_MainGroup].[MainGroupDesc].&amp;[YEDEK PARÇA].&amp;[Kozmetik YP]" c="Kozmetik YP"/>
        <s v="[Material].[H_MainGroup].[MainGroupDesc].&amp;[YEDEK PARÇA].&amp;[Mutfak YP]" c="Mutfak YP"/>
        <s v="[Material].[H_MainGroup].[MainGroupDesc].&amp;[YEDEK PARÇA].&amp;[Pişirme YP]" c="Pişirme YP"/>
        <s v="[Material].[H_MainGroup].[MainGroupDesc].&amp;[YEDEK PARÇA].&amp;[Saç Kurutma YP]" c="Saç Kurutma YP"/>
        <s v="[Material].[H_MainGroup].[MainGroupDesc].&amp;[YEDEK PARÇA].&amp;[Sarf YP]" c="Sarf YP"/>
        <s v="[Material].[H_MainGroup].[MainGroupDesc].&amp;[YEDEK PARÇA].&amp;[Şarjlı Süpürge YP.]" c="Şarjlı Süpürge YP."/>
        <s v="[Material].[H_MainGroup].[MainGroupDesc].&amp;[YEDEK PARÇA].&amp;[Sofra YP]" c="Sofra YP"/>
        <s v="[Material].[H_MainGroup].[MainGroupDesc].&amp;[YEDEK PARÇA].&amp;[SSH YP]" c="SSH YP"/>
        <s v="[Material].[H_MainGroup].[MainGroupDesc].&amp;[YEDEK PARÇA].&amp;[Stand Mikser YP]" c="Stand Mikser YP"/>
        <s v="[Material].[H_MainGroup].[MainGroupDesc].&amp;[YEDEK PARÇA].&amp;[Su Isıtıcısı YP.]" c="Su Isıtıcısı YP."/>
        <s v="[Material].[H_MainGroup].[MainGroupDesc].&amp;[YEDEK PARÇA].&amp;[Sürahi Blender YP]" c="Sürahi Blender YP"/>
        <s v="[Material].[H_MainGroup].[MainGroupDesc].&amp;[YEDEK PARÇA].&amp;[Türk Kahve M. YP]" c="Türk Kahve M. YP"/>
        <s v="[Material].[H_MainGroup].[MainGroupDesc].&amp;[YEDEK PARÇA].&amp;[Waffle Makinesi YP]" c="Waffle Makinesi YP"/>
        <s v="[Material].[H_MainGroup].[MainGroupDesc].&amp;[Yorgan].&amp;[Alez]" c="Alez"/>
        <s v="[Material].[H_MainGroup].[MainGroupDesc].&amp;[Yorgan].&amp;[Bebe Alez]" c="Bebe Alez"/>
        <s v="[Material].[H_MainGroup].[MainGroupDesc].&amp;[Yorgan].&amp;[Bebe Yorgan]" c="Bebe Yorgan"/>
        <s v="[Material].[H_MainGroup].[MainGroupDesc].&amp;[Yorgan].&amp;[Bebe Yorgan Set]" c="Bebe Yorgan Set"/>
        <s v="[Material].[H_MainGroup].[MainGroupDesc].&amp;[Yorgan].&amp;[Uyku Seti]" c="Uyku Seti"/>
        <s v="[Material].[H_MainGroup].[MainGroupDesc].&amp;[Yorgan].&amp;[Yastık ve Yorgan Tk]" c="Yastık ve Yorgan Tk"/>
        <s v="[Material].[H_MainGroup].[MainGroupDesc].&amp;[Yorgan].&amp;[Yatak Eteği]" c="Yatak Eteği"/>
        <s v="[Material].[H_MainGroup].[MainGroupDesc].&amp;[Yorgan].&amp;[Yatak Pedi.]" c="Yatak Pedi."/>
        <s v="[Material].[H_MainGroup].[MainGroupDesc].&amp;[Yorgan].&amp;[Yorgan]" c="Yorgan"/>
      </sharedItems>
    </cacheField>
    <cacheField name="[Measures].[TY Invoice Count]" caption="TY Invoice Count" numFmtId="0" hierarchy="870" level="32767"/>
    <cacheField name="[Calendar].[MerchYearMonth].[MerchYearMonth]" caption="MerchYearMonth" numFmtId="0" hierarchy="16" level="1">
      <sharedItems containsSemiMixedTypes="0" containsString="0"/>
    </cacheField>
    <cacheField name="[Measures].[LY LFL Invoice Count]" caption="LY LFL Invoice Count" numFmtId="0" hierarchy="957" level="32767"/>
    <cacheField name="[Measures].[LY LFL Sales Unit]" caption="LY LFL Sales Unit" numFmtId="0" hierarchy="938" level="32767"/>
    <cacheField name="[Measures].[LY LFL Sales Value LC]" caption="LY LFL Sales Value LC" numFmtId="0" hierarchy="940" level="32767"/>
    <cacheField name="[Measures].[LY LFL Avg Store Stock Unit]" caption="LY LFL Avg Store Stock Unit" numFmtId="0" hierarchy="785" level="32767"/>
    <cacheField name="[Measures].[TY Unit Sales Price LC]" caption="TY Unit Sales Price LC" numFmtId="0" hierarchy="967" level="32767"/>
    <cacheField name="[Measures].[LY LFL Unit Sales Price LC]" caption="LY LFL Unit Sales Price LC" numFmtId="0" hierarchy="976" level="32767"/>
    <cacheField name="[Measures].[TY Avg DC Stock Unit]" caption="TY Avg DC Stock Unit" numFmtId="0" hierarchy="693" level="32767"/>
    <cacheField name="[Measures].[LY Avg DC Stock Unit]" caption="LY Avg DC Stock Unit" numFmtId="0" hierarchy="705" level="32767"/>
    <cacheField name="[Measures].[TY Store Cover Unit]" caption="TY Store Cover Unit" numFmtId="0" hierarchy="1528" level="32767"/>
    <cacheField name="[Measures].[LY Store Cover Unit]" caption="LY Store Cover Unit" numFmtId="0" hierarchy="1541" level="32767"/>
    <cacheField name="[Measures].[TY Gross Marjin LC%]" caption="TY Gross Marjin LC%" numFmtId="0" hierarchy="1119" level="32767"/>
    <cacheField name="[Measures].[LY Gross Marjin LC%]" caption="LY Gross Marjin LC%" numFmtId="0" hierarchy="1121" level="32767"/>
    <cacheField name="[Measures].[TY Gross Profit LC]" caption="TY Gross Profit LC" numFmtId="0" hierarchy="1003" level="32767"/>
    <cacheField name="[Measures].[LY Gross Profit LC]" caption="LY Gross Profit LC" numFmtId="0" hierarchy="1005" level="32767"/>
    <cacheField name="[Measures].[LFL Store Stock Unit TYvsLY%]" caption="LFL Store Stock Unit TYvsLY%" numFmtId="0" hierarchy="1192" level="32767"/>
    <cacheField name="[Measures].[LFL Sales Unit TYvsLY%]" caption="LFL Sales Unit TYvsLY%" numFmtId="0" hierarchy="1184" level="32767"/>
    <cacheField name="[Measures].[LFL Sales Value TYvsLY LC%]" caption="LFL Sales Value TYvsLY LC%" numFmtId="0" hierarchy="1185" level="32767"/>
    <cacheField name="[Measures].[LFL Sales Profit TYvsLY LC%]" caption="LFL Sales Profit TYvsLY LC%" numFmtId="0" hierarchy="1225" level="32767"/>
    <cacheField name="[Material].[MaterialDesc].[MaterialDesc]" caption="MaterialDesc" numFmtId="0" hierarchy="81" level="1">
      <sharedItems containsSemiMixedTypes="0" containsString="0"/>
    </cacheField>
    <cacheField name="[SalesChannel].[H_SalesChannel].[SalesOrgType]" caption="SalesOrgType" numFmtId="0" hierarchy="142" level="1">
      <sharedItems containsSemiMixedTypes="0" containsString="0"/>
    </cacheField>
    <cacheField name="[SalesChannel].[H_SalesChannel].[CountryName]" caption="CountryName" numFmtId="0" hierarchy="142" level="2">
      <sharedItems containsSemiMixedTypes="0" containsString="0"/>
    </cacheField>
    <cacheField name="[SalesChannel].[H_SalesChannel].[DistrubitionChannelDesc]" caption="DistrubitionChannelDesc" numFmtId="0" hierarchy="142" level="3">
      <sharedItems containsSemiMixedTypes="0" containsString="0"/>
    </cacheField>
    <cacheField name="[Calendar].[MerchYear].[MerchYear]" caption="MerchYear" numFmtId="0" hierarchy="15" level="1">
      <sharedItems containsSemiMixedTypes="0" containsString="0"/>
    </cacheField>
    <cacheField name="[Material].[MerchProduct].[MerchProduct]" caption="MerchProduct" numFmtId="0" hierarchy="100" level="1">
      <sharedItems containsSemiMixedTypes="0" containsString="0"/>
    </cacheField>
    <cacheField name="[Measures].[Store Stock Cost TyTWvsTyLW TRY%]" caption="Store Stock Cost TyTWvsTyLW TRY%" numFmtId="0" hierarchy="1301" level="32767"/>
    <cacheField name="[Measures].[Store Stock Unit TyTWvsTyLW%]" caption="Store Stock Unit TyTWvsTyLW%" numFmtId="0" hierarchy="1299" level="32767"/>
    <cacheField name="[Measures].[Sales Unit TyTWvsTyLW%]" caption="Sales Unit TyTWvsTyLW%" numFmtId="0" hierarchy="1291" level="32767"/>
    <cacheField name="[Measures].[Sales Value TyTWvsTyLW TRY%]" caption="Sales Value TyTWvsTyLW TRY%" numFmtId="0" hierarchy="1294" level="32767"/>
    <cacheField name="[Measures].[Unit Sales Price TyTWvsTyLW TRY%]" caption="Unit Sales Price TyTWvsTyLW TRY%" numFmtId="0" hierarchy="1308" level="32767"/>
    <cacheField name="[Calendar].[LastNWeeks].[LastNWeeks]" caption="LastNWeeks" numFmtId="0" hierarchy="11" level="1">
      <sharedItems containsSemiMixedTypes="0" containsString="0"/>
    </cacheField>
    <cacheField name="[Calendar].[LastNDays].[LastNDays]" caption="LastNDays" numFmtId="0" hierarchy="9" level="1">
      <sharedItems containsSemiMixedTypes="0" containsString="0"/>
    </cacheField>
    <cacheField name="[Measures].[Achieved TY Sales Budget Unit]" caption="Achieved TY Sales Budget Unit" numFmtId="0" hierarchy="1059" level="32767"/>
    <cacheField name="[Measures].[Achieved TY Sales Budget Value TRY]" caption="Achieved TY Sales Budget Value TRY" numFmtId="0" hierarchy="1072" level="32767"/>
    <cacheField name="[Measures].[Achieved TY Sales Budget Profit Value TRY]" caption="Achieved TY Sales Budget Profit Value TRY" numFmtId="0" hierarchy="1074" level="32767"/>
  </cacheFields>
  <cacheHierarchies count="156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4" unbalanced="0"/>
    <cacheHierarchy uniqueName="[Calendar].[H_Merch]" caption="H_Merch" time="1" defaultMemberUniqueName="[Calendar].[H_Merch].[All]" allUniqueName="[Calendar].[H_Merch].[All]" dimensionUniqueName="[Calendar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2" unbalanced="0">
      <fieldsUsage count="2">
        <fieldUsage x="-1"/>
        <fieldUsage x="44"/>
      </fieldsUsage>
    </cacheHierarchy>
    <cacheHierarchy uniqueName="[Calendar].[LastNMonths]" caption="LastNMonths" attribute="1" time="1" defaultMemberUniqueName="[Calendar].[LastNMonths].[All]" allUniqueName="[Calendar].[LastNMonths].[All]" dimensionUniqueName="[Calendar]" displayFolder="" count="0" unbalanced="0"/>
    <cacheHierarchy uniqueName="[Calendar].[LastNWeeks]" caption="LastNWeeks" attribute="1" time="1" defaultMemberUniqueName="[Calendar].[LastNWeeks].[All]" allUniqueName="[Calendar].[LastNWeeks].[All]" dimensionUniqueName="[Calendar]" displayFolder="" count="2" unbalanced="0">
      <fieldsUsage count="2">
        <fieldUsage x="-1"/>
        <fieldUsage x="43"/>
      </fieldsUsage>
    </cacheHierarchy>
    <cacheHierarchy uniqueName="[Calendar].[MerchMonth]" caption="MerchMonth" attribute="1" time="1" defaultMemberUniqueName="[Calendar].[MerchMonth].[All]" allUniqueName="[Calendar].[MerchMonth].[All]" dimensionUniqueName="[Calendar]" displayFolder="Merch" count="2" unbalanced="0"/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/>
    <cacheHierarchy uniqueName="[Calendar].[MerchYear]" caption="MerchYear" attribute="1" time="1" defaultMemberUniqueName="[Calendar].[MerchYear].[All]" allUniqueName="[Calendar].[MerchYear].[All]" dimensionUniqueName="[Calendar]" displayFolder="Merch" count="2" unbalanced="0">
      <fieldsUsage count="2">
        <fieldUsage x="-1"/>
        <fieldUsage x="36"/>
      </fieldsUsage>
    </cacheHierarchy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2" unbalanced="0">
      <fieldsUsage count="2">
        <fieldUsage x="-1"/>
        <fieldUsage x="13"/>
      </fieldsUsage>
    </cacheHierarchy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Delivery].[CustomerClass]" caption="CustomerClass" attribute="1" defaultMemberUniqueName="[Delivery].[CustomerClass].[All]" allUniqueName="[Delivery].[CustomerClass].[All]" dimensionUniqueName="[Delivery]" displayFolder="" count="0" unbalanced="0"/>
    <cacheHierarchy uniqueName="[Delivery].[MainCustomerClass]" caption="MainCustomerClass" attribute="1" defaultMemberUniqueName="[Delivery].[MainCustomerClass].[All]" allUniqueName="[Delivery].[MainCustomerClass].[All]" dimensionUniqueName="[Delivery]" displayFolder="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3" unbalanced="0">
      <fieldsUsage count="3">
        <fieldUsage x="-1"/>
        <fieldUsage x="10"/>
        <fieldUsage x="11"/>
      </fieldsUsage>
    </cacheHierarchy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2" unbalanced="0"/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Desc]" caption="MaterialCodeDesc" attribute="1" defaultMemberUniqueName="[Material].[MaterialCodeDesc].[All]" allUniqueName="[Material].[MaterialCodeDesc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2" unbalanced="0">
      <fieldsUsage count="2">
        <fieldUsage x="-1"/>
        <fieldUsage x="32"/>
      </fieldsUsage>
    </cacheHierarchy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axStockQty]" caption="MaxStockQty" attribute="1" defaultMemberUniqueName="[Material].[MaxStockQty].[All]" allUniqueName="[Material].[MaxStockQty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2" unbalanced="0">
      <fieldsUsage count="2">
        <fieldUsage x="-1"/>
        <fieldUsage x="37"/>
      </fieldsUsage>
    </cacheHierarchy>
    <cacheHierarchy uniqueName="[Material].[MinStockQty]" caption="MinStockQty" attribute="1" defaultMemberUniqueName="[Material].[MinStockQty].[All]" allUniqueName="[Material].[MinStockQty].[All]" dimensionUniqueName="[Material]" displayFolder="" count="0" unbalanced="0"/>
    <cacheHierarchy uniqueName="[Material].[PackagingType]" caption="PackagingType" attribute="1" defaultMemberUniqueName="[Material].[PackagingType].[All]" allUniqueName="[Material].[PackagingType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PlanStatus]" caption="PlanStatus" attribute="1" defaultMemberUniqueName="[Material].[PlanStatus].[All]" allUniqueName="[Material].[PlanStatus].[All]" dimensionUniqueName="[Material]" displayFolder="" count="0" unbalanced="0"/>
    <cacheHierarchy uniqueName="[Material].[PriceX]" caption="PriceX" attribute="1" defaultMemberUniqueName="[Material].[PriceX].[All]" allUniqueName="[Material].[PriceX].[All]" dimensionUniqueName="[Material]" displayFolder="" count="0" unbalanced="0"/>
    <cacheHierarchy uniqueName="[Material].[ProductFamily]" caption="ProductFamily" attribute="1" defaultMemberUniqueName="[Material].[ProductFamily].[All]" allUniqueName="[Material].[ProductFamily].[All]" dimensionUniqueName="[Material]" displayFolder="" count="0" unbalanced="0"/>
    <cacheHierarchy uniqueName="[Material].[ProductSegment]" caption="ProductSegment" attribute="1" defaultMemberUniqueName="[Material].[ProductSegment].[All]" allUniqueName="[Material].[ProductSegment].[All]" dimensionUniqueName="[Material]" displayFolder="" count="0" unbalanced="0"/>
    <cacheHierarchy uniqueName="[Material].[ProductStoreSegment]" caption="ProductStoreSegment" attribute="1" defaultMemberUniqueName="[Material].[ProductStoreSegment].[All]" allUniqueName="[Material].[ProductStoreSegment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RemainingDaysforPlan]" caption="RemainingDaysforPlan" attribute="1" defaultMemberUniqueName="[Material].[RemainingDaysforPlan].[All]" allUniqueName="[Material].[RemainingDaysforPlan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2" unbalanced="0"/>
    <cacheHierarchy uniqueName="[Material].[TagGroupDesc]" caption="TagGroupDesc" attribute="1" defaultMemberUniqueName="[Material].[TagGroupDesc].[All]" allUniqueName="[Material].[Tag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atRate]" caption="VatRate" attribute="1" defaultMemberUniqueName="[Material].[VatRate].[All]" allUniqueName="[Material].[VatRate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0" unbalanced="0"/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>
      <fieldsUsage count="2">
        <fieldUsage x="-1"/>
        <fieldUsage x="1"/>
      </fieldsUsage>
    </cacheHierarchy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4" unbalanced="0">
      <fieldsUsage count="4">
        <fieldUsage x="-1"/>
        <fieldUsage x="33"/>
        <fieldUsage x="34"/>
        <fieldUsage x="35"/>
      </fieldsUsage>
    </cacheHierarchy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2" unbalanced="0">
      <fieldsUsage count="2">
        <fieldUsage x="-1"/>
        <fieldUsage x="0"/>
      </fieldsUsage>
    </cacheHierarchy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2" unbalanced="0">
      <fieldsUsage count="2">
        <fieldUsage x="-1"/>
        <fieldUsage x="9"/>
      </fieldsUsage>
    </cacheHierarchy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Season]" caption="LocationSeason" attribute="1" defaultMemberUniqueName="[Store].[LocationSeason].[All]" allUniqueName="[Store].[LocationSeason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ckBufferFactor]" caption="StockBufferFactor" attribute="1" defaultMemberUniqueName="[Store].[StockBufferFactor].[All]" allUniqueName="[Store].[StockBufferFactor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PriceScore]" caption="StorePriceScore" attribute="1" defaultMemberUniqueName="[Store].[StorePriceScore].[All]" allUniqueName="[Store].[StorePriceScore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ales].[BanProfit]" caption="BanProfit" attribute="1" defaultMemberUniqueName="[CurrentStockSales].[BanProfit].[All]" allUniqueName="[CurrentStockSales].[BanProfit].[All]" dimensionUniqueName="[CurrentStockSales]" displayFolder="" count="0" unbalanced="0" hidden="1"/>
    <cacheHierarchy uniqueName="[CurrentStockSales].[CumStockDM3]" caption="CumStockDM3" attribute="1" defaultMemberUniqueName="[CurrentStockSales].[CumStockDM3].[All]" allUniqueName="[CurrentStockSales].[CumStockDM3].[All]" dimensionUniqueName="[CurrentStockSales]" displayFolder="" count="0" unbalanced="0" hidden="1"/>
    <cacheHierarchy uniqueName="[CurrentStockSales].[CumStokUnit]" caption="CumStokUnit" attribute="1" defaultMemberUniqueName="[CurrentStockSales].[CumStokUnit].[All]" allUniqueName="[CurrentStockSales].[CumStokUnit].[All]" dimensionUniqueName="[CurrentStockSales]" displayFolder="" count="0" unbalanced="0" hidden="1"/>
    <cacheHierarchy uniqueName="[CurrentStockSales].[CUROpenTransferStoreStockUnit]" caption="CUROpenTransferStoreStockUnit" attribute="1" defaultMemberUniqueName="[CurrentStockSales].[CUROpenTransferStoreStockUnit].[All]" allUniqueName="[CurrentStockSales].[CUROpenTransferStoreStockUnit].[All]" dimensionUniqueName="[CurrentStockSales]" displayFolder="" count="0" unbalanced="0" hidden="1"/>
    <cacheHierarchy uniqueName="[CurrentStockSales].[CURUnapprovedOrderStoreStockUnit]" caption="CURUnapprovedOrderStoreStockUnit" attribute="1" defaultMemberUniqueName="[CurrentStockSales].[CURUnapprovedOrderStoreStockUnit].[All]" allUniqueName="[CurrentStockSales].[CURUnapprovedOrderStoreStockUnit].[All]" dimensionUniqueName="[CurrentStockSales]" displayFolder="" count="0" unbalanced="0" hidden="1"/>
    <cacheHierarchy uniqueName="[CurrentStockSales].[GrossProfit007]" caption="GrossProfit007" attribute="1" defaultMemberUniqueName="[CurrentStockSales].[GrossProfit007].[All]" allUniqueName="[CurrentStockSales].[GrossProfit007].[All]" dimensionUniqueName="[CurrentStockSales]" displayFolder="" count="0" unbalanced="0" hidden="1"/>
    <cacheHierarchy uniqueName="[CurrentStockSales].[GrossProfit021]" caption="GrossProfit021" attribute="1" defaultMemberUniqueName="[CurrentStockSales].[GrossProfit021].[All]" allUniqueName="[CurrentStockSales].[GrossProfit021].[All]" dimensionUniqueName="[CurrentStockSales]" displayFolder="" count="0" unbalanced="0" hidden="1"/>
    <cacheHierarchy uniqueName="[CurrentStockSales].[LivingArea]" caption="LivingArea" attribute="1" defaultMemberUniqueName="[CurrentStockSales].[LivingArea].[All]" allUniqueName="[CurrentStockSales].[LivingArea].[All]" dimensionUniqueName="[CurrentStockSales]" displayFolder="" count="0" unbalanced="0" hidden="1"/>
    <cacheHierarchy uniqueName="[CurrentStockSales].[MainGroupCode]" caption="MainGroupCode" attribute="1" defaultMemberUniqueName="[CurrentStockSales].[MainGroupCode].[All]" allUniqueName="[CurrentStockSales].[MainGroupCode].[All]" dimensionUniqueName="[CurrentStockSales]" displayFolder="" count="0" unbalanced="0" hidden="1"/>
    <cacheHierarchy uniqueName="[CurrentStockSales].[Marj_w1]" caption="Marj_w1" attribute="1" defaultMemberUniqueName="[CurrentStockSales].[Marj_w1].[All]" allUniqueName="[CurrentStockSales].[Marj_w1].[All]" dimensionUniqueName="[CurrentStockSales]" displayFolder="" count="0" unbalanced="0" hidden="1"/>
    <cacheHierarchy uniqueName="[CurrentStockSales].[Marj_w3]" caption="Marj_w3" attribute="1" defaultMemberUniqueName="[CurrentStockSales].[Marj_w3].[All]" allUniqueName="[CurrentStockSales].[Marj_w3].[All]" dimensionUniqueName="[CurrentStockSales]" displayFolder="" count="0" unbalanced="0" hidden="1"/>
    <cacheHierarchy uniqueName="[CurrentStockSales].[MaterialCode]" caption="MaterialCode" attribute="1" defaultMemberUniqueName="[CurrentStockSales].[MaterialCode].[All]" allUniqueName="[CurrentStockSales].[MaterialCode].[All]" dimensionUniqueName="[CurrentStockSales]" displayFolder="" count="0" unbalanced="0" hidden="1"/>
    <cacheHierarchy uniqueName="[CurrentStockSales].[MaterialDm3]" caption="MaterialDm3" attribute="1" defaultMemberUniqueName="[CurrentStockSales].[MaterialDm3].[All]" allUniqueName="[CurrentStockSales].[MaterialDm3].[All]" dimensionUniqueName="[CurrentStockSales]" displayFolder="" count="0" unbalanced="0" hidden="1"/>
    <cacheHierarchy uniqueName="[CurrentStockSales].[MaterialKey]" caption="MaterialKey" attribute="1" defaultMemberUniqueName="[CurrentStockSales].[MaterialKey].[All]" allUniqueName="[CurrentStockSales].[MaterialKey].[All]" dimensionUniqueName="[CurrentStockSales]" displayFolder="" count="0" unbalanced="0" hidden="1"/>
    <cacheHierarchy uniqueName="[CurrentStockSales].[NetCumStockDM3]" caption="NetCumStockDM3" attribute="1" defaultMemberUniqueName="[CurrentStockSales].[NetCumStockDM3].[All]" allUniqueName="[CurrentStockSales].[NetCumStockDM3].[All]" dimensionUniqueName="[CurrentStockSales]" displayFolder="" count="0" unbalanced="0" hidden="1"/>
    <cacheHierarchy uniqueName="[CurrentStockSales].[NetCumStokUnit]" caption="NetCumStokUnit" attribute="1" defaultMemberUniqueName="[CurrentStockSales].[NetCumStokUnit].[All]" allUniqueName="[CurrentStockSales].[NetCumStokUnit].[All]" dimensionUniqueName="[CurrentStockSales]" displayFolder="" count="0" unbalanced="0" hidden="1"/>
    <cacheHierarchy uniqueName="[CurrentStockSales].[QtyInBox]" caption="QtyInBox" attribute="1" defaultMemberUniqueName="[CurrentStockSales].[QtyInBox].[All]" allUniqueName="[CurrentStockSales].[QtyInBox].[All]" dimensionUniqueName="[CurrentStockSales]" displayFolder="" count="0" unbalanced="0" hidden="1"/>
    <cacheHierarchy uniqueName="[CurrentStockSales].[SalesUnit007]" caption="SalesUnit007" attribute="1" defaultMemberUniqueName="[CurrentStockSales].[SalesUnit007].[All]" allUniqueName="[CurrentStockSales].[SalesUnit007].[All]" dimensionUniqueName="[CurrentStockSales]" displayFolder="" count="0" unbalanced="0" hidden="1"/>
    <cacheHierarchy uniqueName="[CurrentStockSales].[SalesUnit021]" caption="SalesUnit021" attribute="1" defaultMemberUniqueName="[CurrentStockSales].[SalesUnit021].[All]" allUniqueName="[CurrentStockSales].[SalesUnit021].[All]" dimensionUniqueName="[CurrentStockSales]" displayFolder="" count="0" unbalanced="0" hidden="1"/>
    <cacheHierarchy uniqueName="[CurrentStockSales].[SalesValue007]" caption="SalesValue007" attribute="1" defaultMemberUniqueName="[CurrentStockSales].[SalesValue007].[All]" allUniqueName="[CurrentStockSales].[SalesValue007].[All]" dimensionUniqueName="[CurrentStockSales]" displayFolder="" count="0" unbalanced="0" hidden="1"/>
    <cacheHierarchy uniqueName="[CurrentStockSales].[SalesValue021]" caption="SalesValue021" attribute="1" defaultMemberUniqueName="[CurrentStockSales].[SalesValue021].[All]" allUniqueName="[CurrentStockSales].[SalesValue021].[All]" dimensionUniqueName="[CurrentStockSales]" displayFolder="" count="0" unbalanced="0" hidden="1"/>
    <cacheHierarchy uniqueName="[CurrentStockSales].[StockBufferFactor]" caption="StockBufferFactor" attribute="1" defaultMemberUniqueName="[CurrentStockSales].[StockBufferFactor].[All]" allUniqueName="[CurrentStockSales].[StockBufferFactor].[All]" dimensionUniqueName="[CurrentStockSales]" displayFolder="" count="0" unbalanced="0" hidden="1"/>
    <cacheHierarchy uniqueName="[CurrentStockSales].[StoreCode]" caption="StoreCode" attribute="1" defaultMemberUniqueName="[CurrentStockSales].[StoreCode].[All]" allUniqueName="[CurrentStockSales].[StoreCode].[All]" dimensionUniqueName="[CurrentStockSales]" displayFolder="" count="0" unbalanced="0" hidden="1"/>
    <cacheHierarchy uniqueName="[CurrentStockSales].[StoreStockUnit]" caption="StoreStockUnit" attribute="1" defaultMemberUniqueName="[CurrentStockSales].[StoreStockUnit].[All]" allUniqueName="[CurrentStockSales].[StoreStockUnit].[All]" dimensionUniqueName="[CurrentStockSales]" displayFolder="" count="0" unbalanced="0" hidden="1"/>
    <cacheHierarchy uniqueName="[CurrentStockSales].[StoreTransitStockUnit]" caption="StoreTransitStockUnit" attribute="1" defaultMemberUniqueName="[CurrentStockSales].[StoreTransitStockUnit].[All]" allUniqueName="[CurrentStockSales].[StoreTransitStockUnit].[All]" dimensionUniqueName="[CurrentStockSales]" displayFolder="" count="0" unbalanced="0" hidden="1"/>
    <cacheHierarchy uniqueName="[CurrentStockSales].[TRMarj_w1]" caption="TRMarj_w1" attribute="1" defaultMemberUniqueName="[CurrentStockSales].[TRMarj_w1].[All]" allUniqueName="[CurrentStockSales].[TRMarj_w1].[All]" dimensionUniqueName="[CurrentStockSales]" displayFolder="" count="0" unbalanced="0" hidden="1"/>
    <cacheHierarchy uniqueName="[CurrentStockSales].[TRMarj_w3]" caption="TRMarj_w3" attribute="1" defaultMemberUniqueName="[CurrentStockSales].[TRMarj_w3].[All]" allUniqueName="[CurrentStockSales].[TRMarj_w3].[All]" dimensionUniqueName="[CurrentStockSales]" displayFolder="" count="0" unbalanced="0" hidden="1"/>
    <cacheHierarchy uniqueName="[CurrentStockSales].[WeeklyAvgSales]" caption="WeeklyAvgSales" attribute="1" defaultMemberUniqueName="[CurrentStockSales].[WeeklyAvgSales].[All]" allUniqueName="[CurrentStockSales].[WeeklyAvgSales].[All]" dimensionUniqueName="[CurrentStockSales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Delivery].[DeliveryBudget]" caption="DeliveryBudget" attribute="1" defaultMemberUniqueName="[Delivery].[DeliveryBudget].[All]" allUniqueName="[Delivery].[DeliveryBudget].[All]" dimensionUniqueName="[Delivery]" displayFolder="" count="0" unbalanced="0" hidden="1"/>
    <cacheHierarchy uniqueName="[Delivery].[DeliveryQty]" caption="DeliveryQty" attribute="1" defaultMemberUniqueName="[Delivery].[DeliveryQty].[All]" allUniqueName="[Delivery].[DeliveryQty].[All]" dimensionUniqueName="[Delivery]" displayFolder="" count="0" unbalanced="0" hidden="1"/>
    <cacheHierarchy uniqueName="[Delivery].[FirstDayofMonth]" caption="FirstDayofMonth" attribute="1" defaultMemberUniqueName="[Delivery].[FirstDayofMonth].[All]" allUniqueName="[Delivery].[FirstDayofMonth].[All]" dimensionUniqueName="[Delivery]" displayFolder="" count="0" unbalanced="0" hidden="1"/>
    <cacheHierarchy uniqueName="[Delivery].[MaterialKey]" caption="MaterialKey" attribute="1" defaultMemberUniqueName="[Delivery].[MaterialKey].[All]" allUniqueName="[Delivery].[MaterialKey].[All]" dimensionUniqueName="[Delivery]" displayFolder="" count="0" unbalanced="0" hidden="1"/>
    <cacheHierarchy uniqueName="[Delivery].[Month]" caption="Month" attribute="1" defaultMemberUniqueName="[Delivery].[Month].[All]" allUniqueName="[Delivery].[Month].[All]" dimensionUniqueName="[Delivery]" displayFolder="" count="0" unbalanced="0" hidden="1"/>
    <cacheHierarchy uniqueName="[Delivery].[Year]" caption="Year" attribute="1" defaultMemberUniqueName="[Delivery].[Year].[All]" allUniqueName="[Delivery].[Year].[All]" dimensionUniqueName="[Delivery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FROM_PLANT]" caption="FROM_PLANT" attribute="1" defaultMemberUniqueName="[OpenImportsStoreStock].[FROM_PLANT].[All]" allUniqueName="[OpenImportsStoreStock].[FROM_PLAN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 hidden="1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 hidden="1"/>
    <cacheHierarchy uniqueName="[PurchaseOrder].[ToptanSasCarpanı]" caption="ToptanSasCarpanı" attribute="1" defaultMemberUniqueName="[PurchaseOrder].[ToptanSasCarpanı].[All]" allUniqueName="[PurchaseOrder].[ToptanSasCarpanı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 hidden="1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 hidden="1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 hidden="1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 hidden="1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 hidden="1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 hidden="1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 hidden="1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 hidden="1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 hidden="1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 hidden="1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 hidden="1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 hidden="1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 hidden="1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 hidden="1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 hidden="1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 hidden="1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 hidden="1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 hidden="1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 hidden="1"/>
    <cacheHierarchy uniqueName="[PurchaseOrderGR].[ToptanSasCarpanı]" caption="ToptanSasCarpanı" attribute="1" defaultMemberUniqueName="[PurchaseOrderGR].[ToptanSasCarpanı].[All]" allUniqueName="[PurchaseOrderGR].[ToptanSasCarpanı].[All]" dimensionUniqueName="[PurchaseOrderG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CapacityUnit]" caption="CapacityUnit" attribute="1" defaultMemberUniqueName="[Store].[CapacityUnit].[All]" allUniqueName="[Store].[CapacityUnit].[All]" dimensionUniqueName="[Store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 oneField="1">
      <fieldsUsage count="1">
        <fieldUsage x="20"/>
      </fieldsUsage>
    </cacheHierarchy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 oneField="1">
      <fieldsUsage count="1">
        <fieldUsage x="21"/>
      </fieldsUsage>
    </cacheHierarchy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Kullanılabilir DC Stok Adet]" caption="Kullanılabilir DC Stok Adet" measure="1" displayFolder="00_CURRENT" measureGroup="StockDC" count="0"/>
    <cacheHierarchy uniqueName="[Measures].[TY Avg Store Stock Unit]" caption="TY Avg Store Stock Unit" measure="1" displayFolder="01_TY\_UNIT" measureGroup="StockStore" count="0" oneField="1">
      <fieldsUsage count="1">
        <fieldUsage x="4"/>
      </fieldsUsage>
    </cacheHierarchy>
    <cacheHierarchy uniqueName="[Measures].[TY Avg Store Transit Stock Unit]" caption="TY Avg Store Transit Stock Unit" measure="1" displayFolder="01_TY\_UNIT" measureGroup="StockStore" count="0"/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 oneField="1">
      <fieldsUsage count="1">
        <fieldUsage x="17"/>
      </fieldsUsage>
    </cacheHierarchy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CUR Unapproved Order Store Stock Unit Others]" caption="CUR Unapproved Order Store Stock Unit Others" measure="1" displayFolder="00_CURRENT" measureGroup="StockStore" count="0"/>
    <cacheHierarchy uniqueName="[Measures].[CUR Open Transfer Store Stock Unit Others]" caption="CUR Open Transfer Store Stock Unit Others" measure="1" displayFolder="00_CURRENT" measureGroup="StockStore" count="0"/>
    <cacheHierarchy uniqueName="[Measures].[CUR Open Transfer Store Stock Dm3 Others]" caption="CUR Open Transfer Store Stock Dm3 Others" measure="1" displayFolder="00_CURRENT" measureGroup="StockStore" count="0"/>
    <cacheHierarchy uniqueName="[Measures].[CUR Unapproved Order Store Stock Dm3 Others]" caption="CUR Unapproved Order Store Stock Dm3 Others" measure="1" displayFolder="00_CURRENT" measureGroup="StockStore" count="0"/>
    <cacheHierarchy uniqueName="[Measures].[TY Sales Unit]" caption="TY Sales Unit" measure="1" displayFolder="01_TY\_UNIT" measureGroup="Sales" count="0" oneField="1">
      <fieldsUsage count="1">
        <fieldUsage x="2"/>
      </fieldsUsage>
    </cacheHierarchy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 oneField="1">
      <fieldsUsage count="1">
        <fieldUsage x="3"/>
      </fieldsUsage>
    </cacheHierarchy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 oneField="1">
      <fieldsUsage count="1">
        <fieldUsage x="12"/>
      </fieldsUsage>
    </cacheHierarchy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 oneField="1">
      <fieldsUsage count="1">
        <fieldUsage x="15"/>
      </fieldsUsage>
    </cacheHierarchy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 oneField="1">
      <fieldsUsage count="1">
        <fieldUsage x="16"/>
      </fieldsUsage>
    </cacheHierarchy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 oneField="1">
      <fieldsUsage count="1">
        <fieldUsage x="14"/>
      </fieldsUsage>
    </cacheHierarchy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 oneField="1">
      <fieldsUsage count="1">
        <fieldUsage x="18"/>
      </fieldsUsage>
    </cacheHierarchy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 oneField="1">
      <fieldsUsage count="1">
        <fieldUsage x="19"/>
      </fieldsUsage>
    </cacheHierarchy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 oneField="1">
      <fieldsUsage count="1">
        <fieldUsage x="26"/>
      </fieldsUsage>
    </cacheHierarchy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 oneField="1">
      <fieldsUsage count="1">
        <fieldUsage x="27"/>
      </fieldsUsage>
    </cacheHierarchy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Unit Dm3]" caption="TY Sales Unit Dm3" measure="1" displayFolder="01_TY\_VOLUME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 oneField="1">
      <fieldsUsage count="1">
        <fieldUsage x="45"/>
      </fieldsUsage>
    </cacheHierarchy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 oneField="1">
      <fieldsUsage count="1">
        <fieldUsage x="46"/>
      </fieldsUsage>
    </cacheHierarchy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 oneField="1">
      <fieldsUsage count="1">
        <fieldUsage x="47"/>
      </fieldsUsage>
    </cacheHierarchy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 oneField="1">
      <fieldsUsage count="1">
        <fieldUsage x="24"/>
      </fieldsUsage>
    </cacheHierarchy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 oneField="1">
      <fieldsUsage count="1">
        <fieldUsage x="25"/>
      </fieldsUsage>
    </cacheHierarchy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/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 oneField="1">
      <fieldsUsage count="1">
        <fieldUsage x="29"/>
      </fieldsUsage>
    </cacheHierarchy>
    <cacheHierarchy uniqueName="[Measures].[LFL Sales Value TYvsLY LC%]" caption="LFL Sales Value TYvsLY LC%" measure="1" displayFolder="02_TYLFL\LC" measureGroup="KPI" count="0" oneField="1">
      <fieldsUsage count="1">
        <fieldUsage x="30"/>
      </fieldsUsage>
    </cacheHierarchy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 oneField="1">
      <fieldsUsage count="1">
        <fieldUsage x="28"/>
      </fieldsUsage>
    </cacheHierarchy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 oneField="1">
      <fieldsUsage count="1">
        <fieldUsage x="31"/>
      </fieldsUsage>
    </cacheHierarchy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 oneField="1">
      <fieldsUsage count="1">
        <fieldUsage x="40"/>
      </fieldsUsage>
    </cacheHierarchy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 oneField="1">
      <fieldsUsage count="1">
        <fieldUsage x="41"/>
      </fieldsUsage>
    </cacheHierarchy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 oneField="1">
      <fieldsUsage count="1">
        <fieldUsage x="39"/>
      </fieldsUsage>
    </cacheHierarchy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 oneField="1">
      <fieldsUsage count="1">
        <fieldUsage x="38"/>
      </fieldsUsage>
    </cacheHierarchy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 oneField="1">
      <fieldsUsage count="1">
        <fieldUsage x="42"/>
      </fieldsUsage>
    </cacheHierarchy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Pending PO Unit (WholeSale)]" caption="Pending PO Unit (WholeSale)" measure="1" displayFolder="_UNIT" measureGroup="PurchaseOrder" count="0"/>
    <cacheHierarchy uniqueName="[Measures].[Pending PO Value LC (WholeSale)]" caption="Pending PO Value LC (WholeSale)" measure="1" displayFolder="_VALUE" measureGroup="PurchaseOrder" count="0"/>
    <cacheHierarchy uniqueName="[Measures].[Goods Receipt PO Unit (WholeSale)]" caption="Goods Receipt PO Unit (WholeSale)" measure="1" displayFolder="_UNIT" measureGroup="PurchaseOrder" count="0"/>
    <cacheHierarchy uniqueName="[Measures].[Goods Receipt PO Value LC (WholeSale)]" caption="Goods Receipt PO Value LC (WholeSale)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DM3" measureGroup="Capacity" count="0"/>
    <cacheHierarchy uniqueName="[Measures].[CUR Backstore Capacity dm3]" caption="CUR Backstore Capacity dm3" measure="1" displayFolder="00_CURRENT\_DM3" measureGroup="Capacity" count="0"/>
    <cacheHierarchy uniqueName="[Measures].[CUR Total Store Capacity dm3]" caption="CUR Total Store Capacity dm3" measure="1" displayFolder="00_CURRENT\_DM3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Fiziki Dm3 Doluluk %]" caption="Fiziki Dm3 Doluluk %" measure="1" displayFolder="00_CURRENT\_DM3" measureGroup="Capacity" count="0"/>
    <cacheHierarchy uniqueName="[Measures].[Nihai Dm3 Doluluk %]" caption="Nihai Dm3 Doluluk %" measure="1" displayFolder="00_CURRENT\_DM3" measureGroup="Capacity" count="0"/>
    <cacheHierarchy uniqueName="[Measures].[Fiziki Adet Doluluk %]" caption="Fiziki Adet Doluluk %" measure="1" displayFolder="00_CURRENT\_UNIT" measureGroup="Capacity" count="0"/>
    <cacheHierarchy uniqueName="[Measures].[Nihai Adet Doluluk %]" caption="Nihai Adet Doluluk %" measure="1" displayFolder="00_CURRENT\_UNIT" measureGroup="Capacity" count="0"/>
    <cacheHierarchy uniqueName="[Measures].[BrKar/Dm3]" caption="BrKar/Dm3" measure="1" displayFolder="00_CURRENT\_DM3" measureGroup="Capacity" count="0"/>
    <cacheHierarchy uniqueName="[Measures].[NET Nihai Dm3 Doluluk %]" caption="NET Nihai Dm3 Doluluk %" measure="1" displayFolder="00_CURRENT\_DM3" measureGroup="Capacity" count="0"/>
    <cacheHierarchy uniqueName="[Measures].[Delivery Quantity Outbound from DC to Store]" caption="Delivery Quantity Outbound from DC to Store" measure="1" displayFolder="" measureGroup="Delivery" count="0"/>
    <cacheHierarchy uniqueName="[Measures].[Delivery Quantity Target from DC to Store]" caption="Delivery Quantity Target from DC to Store" measure="1" displayFolder="" measureGroup="Deliver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SumofSalesUnitDm3]" caption="SumofSalesUnitDm3" measure="1" displayFolder="" measureGroup="Sales" count="0" hidden="1"/>
    <cacheHierarchy uniqueName="[Measures].[TY Store Cover Unit]" caption="TY Store Cover Unit" measure="1" displayFolder="01_TY\_UNIT" measureGroup="KPI" count="0" oneField="1" hidden="1">
      <fieldsUsage count="1">
        <fieldUsage x="22"/>
      </fieldsUsage>
    </cacheHierarchy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oneField="1" hidden="1">
      <fieldsUsage count="1">
        <fieldUsage x="23"/>
      </fieldsUsage>
    </cacheHierarchy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Last 21Days TY Sales Unit]" caption="Last 21Days TY Sales Unit" measure="1" displayFolder="LASTN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Goods Receipt PO Value LC Old]" caption="Goods Receipt PO Value LC Old" measure="1" displayFolder="_VALUE" measureGroup="PurchaseOrder" count="0" hidden="1"/>
    <cacheHierarchy uniqueName="[Measures].[Goods Receipt PO Unit Base (WholeSale)]" caption="Goods Receipt PO Unit Base (WholeSale)" measure="1" displayFolder="" measureGroup="PurchaseOrder" count="0" hidden="1"/>
    <cacheHierarchy uniqueName="[Measures].[Goods Receipt PO Value Navlun LC Base (WholeSale)]" caption="Goods Receipt PO Value Navlun LC Base (WholeSale)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  <cacheHierarchy uniqueName="[Measures].[CUR NET Cumulative Stock DM3]" caption="CUR NET Cumulative Stock DM3" measure="1" displayFolder="" measureGroup="Capacity" count="0" hidden="1"/>
  </cacheHierarchies>
  <kpis count="0"/>
  <dimensions count="13">
    <dimension name="Calendar" uniqueName="[Calendar]" caption="Calendar"/>
    <dimension name="DCWarehouse" uniqueName="[DCWarehouse]" caption="DCWarehouse"/>
    <dimension name="Delivery" uniqueName="[Delivery]" caption="Delivery"/>
    <dimension name="ISPUnitPrice" uniqueName="[ISPUnitPrice]" caption="ISPUnitPrice"/>
    <dimension name="Material" uniqueName="[Material]" caption="Material"/>
    <dimension measure="1" name="Measures" uniqueName="[Measures]" caption="Measures"/>
    <dimension name="SalesBudget" uniqueName="[SalesBudget]" caption="SalesBudget"/>
    <dimension name="SalesChannel" uniqueName="[SalesChannel]" caption="SalesChannel"/>
    <dimension name="SalesSeason" uniqueName="[SalesSeason]" caption="SalesSeason"/>
    <dimension name="StockList" uniqueName="[StockList]" caption="StockList"/>
    <dimension name="Store" uniqueName="[Store]" caption="Store"/>
    <dimension name="StoreLFLStatu" uniqueName="[StoreLFLStatu]" caption="StoreLFLStatu"/>
    <dimension name="SubDistChannel" uniqueName="[SubDistChannel]" caption="SubDistChannel"/>
  </dimensions>
  <measureGroups count="35">
    <measureGroup name="Calendar" caption="Calendar"/>
    <measureGroup name="Capacity" caption="Capacity"/>
    <measureGroup name="CapacityPlanTY" caption="CapacityPlanTY"/>
    <measureGroup name="CurrentStockSales" caption="CurrentStockSales"/>
    <measureGroup name="CurrentStockStore" caption="CurrentStockStore"/>
    <measureGroup name="DCWarehouse" caption="DCWarehouse"/>
    <measureGroup name="Delivery" caption="Delivery"/>
    <measureGroup name="ISPUnitPrice" caption="ISPUnitPrice"/>
    <measureGroup name="KPI" caption="KPI"/>
    <measureGroup name="LFLDate" caption="LFLDate"/>
    <measureGroup name="Material" caption="Material"/>
    <measureGroup name="OpenImportsDCStock" caption="OpenImportsDCStock"/>
    <measureGroup name="OpenImportsStoreStock" caption="OpenImportsStoreStock"/>
    <measureGroup name="PurchaseOrder" caption="PurchaseOrder"/>
    <measureGroup name="PurchaseOrderGR" caption="PurchaseOrderGR"/>
    <measureGroup name="Sales" caption="Sales"/>
    <measureGroup name="SalesBudget" caption="SalesBudget"/>
    <measureGroup name="SalesBudgetLY" caption="SalesBudgetLY"/>
    <measureGroup name="SalesChannel" caption="SalesChannel"/>
    <measureGroup name="SalesLY" caption="SalesLY"/>
    <measureGroup name="SalesSeason" caption="SalesSeason"/>
    <measureGroup name="SalesTY" caption="SalesTY"/>
    <measureGroup name="StockDC" caption="StockDC"/>
    <measureGroup name="StockDCLY" caption="StockDCLY"/>
    <measureGroup name="StockList" caption="StockList"/>
    <measureGroup name="StockStore" caption="StockStore"/>
    <measureGroup name="StockStoreLY" caption="StockStoreLY"/>
    <measureGroup name="Store" caption="Store"/>
    <measureGroup name="StoreCapacity" caption="StoreCapacity"/>
    <measureGroup name="StoreLFLStatu" caption="StoreLFLStatu"/>
    <measureGroup name="StoreTarget" caption="StoreTarget"/>
    <measureGroup name="StoreTargetLY" caption="StoreTargetLY"/>
    <measureGroup name="SubDistChannel" caption="SubDistChannel"/>
    <measureGroup name="Visitor" caption="Visitor"/>
    <measureGroup name="VisitorHourly" caption="VisitorHourly"/>
  </measureGroups>
  <maps count="130">
    <map measureGroup="0" dimension="0"/>
    <map measureGroup="1" dimension="0"/>
    <map measureGroup="1" dimension="4"/>
    <map measureGroup="1" dimension="7"/>
    <map measureGroup="1" dimension="8"/>
    <map measureGroup="1" dimension="10"/>
    <map measureGroup="1" dimension="11"/>
    <map measureGroup="1" dimension="12"/>
    <map measureGroup="2" dimension="0"/>
    <map measureGroup="2" dimension="4"/>
    <map measureGroup="2" dimension="7"/>
    <map measureGroup="2" dimension="12"/>
    <map measureGroup="3" dimension="4"/>
    <map measureGroup="3" dimension="10"/>
    <map measureGroup="4" dimension="3"/>
    <map measureGroup="4" dimension="4"/>
    <map measureGroup="4" dimension="7"/>
    <map measureGroup="4" dimension="10"/>
    <map measureGroup="4" dimension="12"/>
    <map measureGroup="5" dimension="1"/>
    <map measureGroup="6" dimension="0"/>
    <map measureGroup="6" dimension="2"/>
    <map measureGroup="6" dimension="4"/>
    <map measureGroup="7" dimension="3"/>
    <map measureGroup="9" dimension="0"/>
    <map measureGroup="9" dimension="7"/>
    <map measureGroup="9" dimension="12"/>
    <map measureGroup="10" dimension="4"/>
    <map measureGroup="11" dimension="1"/>
    <map measureGroup="11" dimension="4"/>
    <map measureGroup="11" dimension="9"/>
    <map measureGroup="12" dimension="4"/>
    <map measureGroup="12" dimension="7"/>
    <map measureGroup="12" dimension="9"/>
    <map measureGroup="12" dimension="10"/>
    <map measureGroup="12" dimension="12"/>
    <map measureGroup="13" dimension="0"/>
    <map measureGroup="13" dimension="1"/>
    <map measureGroup="13" dimension="4"/>
    <map measureGroup="13" dimension="7"/>
    <map measureGroup="13" dimension="8"/>
    <map measureGroup="13" dimension="11"/>
    <map measureGroup="13" dimension="12"/>
    <map measureGroup="14" dimension="0"/>
    <map measureGroup="14" dimension="1"/>
    <map measureGroup="14" dimension="4"/>
    <map measureGroup="14" dimension="7"/>
    <map measureGroup="14" dimension="8"/>
    <map measureGroup="14" dimension="11"/>
    <map measureGroup="14" dimension="12"/>
    <map measureGroup="16" dimension="0"/>
    <map measureGroup="16" dimension="4"/>
    <map measureGroup="16" dimension="6"/>
    <map measureGroup="16" dimension="7"/>
    <map measureGroup="16" dimension="12"/>
    <map measureGroup="17" dimension="0"/>
    <map measureGroup="17" dimension="4"/>
    <map measureGroup="17" dimension="7"/>
    <map measureGroup="17" dimension="12"/>
    <map measureGroup="18" dimension="7"/>
    <map measureGroup="18" dimension="12"/>
    <map measureGroup="19" dimension="0"/>
    <map measureGroup="19" dimension="3"/>
    <map measureGroup="19" dimension="4"/>
    <map measureGroup="19" dimension="7"/>
    <map measureGroup="19" dimension="8"/>
    <map measureGroup="19" dimension="10"/>
    <map measureGroup="19" dimension="11"/>
    <map measureGroup="19" dimension="12"/>
    <map measureGroup="20" dimension="8"/>
    <map measureGroup="21" dimension="0"/>
    <map measureGroup="21" dimension="3"/>
    <map measureGroup="21" dimension="4"/>
    <map measureGroup="21" dimension="7"/>
    <map measureGroup="21" dimension="8"/>
    <map measureGroup="21" dimension="10"/>
    <map measureGroup="21" dimension="11"/>
    <map measureGroup="21" dimension="12"/>
    <map measureGroup="22" dimension="0"/>
    <map measureGroup="22" dimension="1"/>
    <map measureGroup="22" dimension="3"/>
    <map measureGroup="22" dimension="4"/>
    <map measureGroup="22" dimension="8"/>
    <map measureGroup="23" dimension="0"/>
    <map measureGroup="23" dimension="1"/>
    <map measureGroup="23" dimension="3"/>
    <map measureGroup="23" dimension="4"/>
    <map measureGroup="23" dimension="8"/>
    <map measureGroup="24" dimension="9"/>
    <map measureGroup="25" dimension="0"/>
    <map measureGroup="25" dimension="3"/>
    <map measureGroup="25" dimension="4"/>
    <map measureGroup="25" dimension="7"/>
    <map measureGroup="25" dimension="8"/>
    <map measureGroup="25" dimension="10"/>
    <map measureGroup="25" dimension="11"/>
    <map measureGroup="25" dimension="12"/>
    <map measureGroup="26" dimension="0"/>
    <map measureGroup="26" dimension="3"/>
    <map measureGroup="26" dimension="4"/>
    <map measureGroup="26" dimension="7"/>
    <map measureGroup="26" dimension="8"/>
    <map measureGroup="26" dimension="10"/>
    <map measureGroup="26" dimension="11"/>
    <map measureGroup="26" dimension="12"/>
    <map measureGroup="27" dimension="10"/>
    <map measureGroup="28" dimension="4"/>
    <map measureGroup="28" dimension="7"/>
    <map measureGroup="28" dimension="8"/>
    <map measureGroup="28" dimension="10"/>
    <map measureGroup="28" dimension="11"/>
    <map measureGroup="28" dimension="12"/>
    <map measureGroup="29" dimension="11"/>
    <map measureGroup="30" dimension="0"/>
    <map measureGroup="30" dimension="7"/>
    <map measureGroup="30" dimension="10"/>
    <map measureGroup="30" dimension="12"/>
    <map measureGroup="31" dimension="0"/>
    <map measureGroup="31" dimension="7"/>
    <map measureGroup="31" dimension="10"/>
    <map measureGroup="31" dimension="12"/>
    <map measureGroup="32" dimension="7"/>
    <map measureGroup="32" dimension="12"/>
    <map measureGroup="33" dimension="0"/>
    <map measureGroup="33" dimension="10"/>
    <map measureGroup="33" dimension="11"/>
    <map measureGroup="34" dimension="0"/>
    <map measureGroup="34" dimension="7"/>
    <map measureGroup="34" dimension="10"/>
    <map measureGroup="34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hmet Fatih Başol" refreshedDate="45761.521310416669" backgroundQuery="1" createdVersion="3" refreshedVersion="8" minRefreshableVersion="3" recordCount="0" supportSubquery="1" supportAdvancedDrill="1" xr:uid="{96D3C0FA-9D3C-4AFB-946C-4489DF622D14}">
  <cacheSource type="external" connectionId="3">
    <extLst>
      <ext xmlns:x14="http://schemas.microsoft.com/office/spreadsheetml/2009/9/main" uri="{F057638F-6D5F-4e77-A914-E7F072B9BCA8}">
        <x14:sourceConnection name="DataHome CURE Model2"/>
      </ext>
    </extLst>
  </cacheSource>
  <cacheFields count="0"/>
  <cacheHierarchies count="149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0" unbalanced="0"/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0" unbalanced="0"/>
    <cacheHierarchy uniqueName="[Calendar].[MerchMonth]" caption="MerchMonth" attribute="1" time="1" defaultMemberUniqueName="[Calendar].[MerchMonth].[All]" allUniqueName="[Calendar].[MerchMonth].[All]" dimensionUniqueName="[Calendar]" displayFolder="Merch" count="2" unbalanced="0"/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/>
    <cacheHierarchy uniqueName="[Calendar].[MerchYear]" caption="MerchYear" attribute="1" time="1" defaultMemberUniqueName="[Calendar].[MerchYear].[All]" allUniqueName="[Calendar].[MerchYear].[All]" dimensionUniqueName="[Calendar]" displayFolder="Merch" count="2" unbalanced="0"/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0" unbalanced="0"/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0" unbalanced="0"/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2" unbalanced="0"/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0" unbalanced="0"/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0" unbalanced="0"/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/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4" unbalanced="0"/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0" unbalanced="0"/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apacityUnit]" caption="CapacityUnit" attribute="1" defaultMemberUniqueName="[Store].[CapacityUnit].[All]" allUniqueName="[Store].[CapacityUnit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0" unbalanced="0"/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/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/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TY Avg Store Stock Unit]" caption="TY Avg Store Stock Unit" measure="1" displayFolder="01_TY\_UNIT" measureGroup="StockStore" count="0"/>
    <cacheHierarchy uniqueName="[Measures].[TY Avg Store Transit Stock Unit]" caption="TY Avg Store Transit Stock Unit" measure="1" displayFolder="01_TY\_UNIT" measureGroup="StockStore" count="0"/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/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TY Sales Unit]" caption="TY Sales Unit" measure="1" displayFolder="01_TY\_UNIT" measureGroup="Sales" count="0"/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/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/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/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/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/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/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/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/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/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/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/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/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/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/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/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/>
    <cacheHierarchy uniqueName="[Measures].[LFL Sales Value TYvsLY LC%]" caption="LFL Sales Value TYvsLY LC%" measure="1" displayFolder="02_TYLFL\LC" measureGroup="KPI" count="0"/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/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/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/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/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/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/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/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Goods Receipt PO Value Navlun LC]" caption="Goods Receipt PO Value Navlun LC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LCM" measureGroup="Capacity" count="0"/>
    <cacheHierarchy uniqueName="[Measures].[CUR Backstore Capacity dm3]" caption="CUR Backstore Capacity dm3" measure="1" displayFolder="00_CURRENT\_LCM" measureGroup="Capacity" count="0"/>
    <cacheHierarchy uniqueName="[Measures].[CUR Total Store Capacity dm3]" caption="CUR Total Store Capacity dm3" measure="1" displayFolder="00_CURRENT\_LCM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TY Store Cover Unit]" caption="TY Store Cover Unit" measure="1" displayFolder="01_TY\_UNIT" measureGroup="KPI" count="0" hidden="1"/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hidden="1"/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</cacheHierarchies>
  <kpis count="0"/>
  <extLst>
    <ext xmlns:x14="http://schemas.microsoft.com/office/spreadsheetml/2009/9/main" uri="{725AE2AE-9491-48be-B2B4-4EB974FC3084}">
      <x14:pivotCacheDefinition slicerData="1" pivotCacheId="166042810"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hmet Fatih Başol" refreshedDate="46063.389413310186" backgroundQuery="1" createdVersion="3" refreshedVersion="8" minRefreshableVersion="3" recordCount="0" supportSubquery="1" supportAdvancedDrill="1" xr:uid="{6BAF3C42-2F2E-4765-9F19-94DCF80389F9}">
  <cacheSource type="external" connectionId="2">
    <extLst>
      <ext xmlns:x14="http://schemas.microsoft.com/office/spreadsheetml/2009/9/main" uri="{F057638F-6D5F-4e77-A914-E7F072B9BCA8}">
        <x14:sourceConnection name="DataHome CURE Model1"/>
      </ext>
    </extLst>
  </cacheSource>
  <cacheFields count="0"/>
  <cacheHierarchies count="156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5" unbalanced="0"/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0" unbalanced="0"/>
    <cacheHierarchy uniqueName="[Calendar].[LastNMonths]" caption="LastNMonths" attribute="1" time="1" defaultMemberUniqueName="[Calendar].[LastNMonths].[All]" allUniqueName="[Calendar].[LastNMonths].[All]" dimensionUniqueName="[Calendar]" displayFolder="" count="0" unbalanced="0"/>
    <cacheHierarchy uniqueName="[Calendar].[LastNWeeks]" caption="LastNWeeks" attribute="1" time="1" defaultMemberUniqueName="[Calendar].[LastNWeeks].[All]" allUniqueName="[Calendar].[LastNWeeks].[All]" dimensionUniqueName="[Calendar]" displayFolder="" count="0" unbalanced="0"/>
    <cacheHierarchy uniqueName="[Calendar].[MerchMonth]" caption="MerchMonth" attribute="1" time="1" defaultMemberUniqueName="[Calendar].[MerchMonth].[All]" allUniqueName="[Calendar].[MerchMonth].[All]" dimensionUniqueName="[Calendar]" displayFolder="Merch" count="2" unbalanced="0"/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/>
    <cacheHierarchy uniqueName="[Calendar].[MerchYear]" caption="MerchYear" attribute="1" time="1" defaultMemberUniqueName="[Calendar].[MerchYear].[All]" allUniqueName="[Calendar].[MerchYear].[All]" dimensionUniqueName="[Calendar]" displayFolder="Merch" count="0" unbalanced="0"/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0" unbalanced="0"/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Delivery].[CustomerClass]" caption="CustomerClass" attribute="1" defaultMemberUniqueName="[Delivery].[CustomerClass].[All]" allUniqueName="[Delivery].[CustomerClass].[All]" dimensionUniqueName="[Delivery]" displayFolder="" count="0" unbalanced="0"/>
    <cacheHierarchy uniqueName="[Delivery].[MainCustomerClass]" caption="MainCustomerClass" attribute="1" defaultMemberUniqueName="[Delivery].[MainCustomerClass].[All]" allUniqueName="[Delivery].[MainCustomerClass].[All]" dimensionUniqueName="[Delivery]" displayFolder="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3" unbalanced="0"/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0" unbalanced="0"/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Desc]" caption="MaterialCodeDesc" attribute="1" defaultMemberUniqueName="[Material].[MaterialCodeDesc].[All]" allUniqueName="[Material].[MaterialCodeDesc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0" unbalanced="0"/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axStockQty]" caption="MaxStockQty" attribute="1" defaultMemberUniqueName="[Material].[MaxStockQty].[All]" allUniqueName="[Material].[MaxStockQty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0" unbalanced="0"/>
    <cacheHierarchy uniqueName="[Material].[MinStockQty]" caption="MinStockQty" attribute="1" defaultMemberUniqueName="[Material].[MinStockQty].[All]" allUniqueName="[Material].[MinStockQty].[All]" dimensionUniqueName="[Material]" displayFolder="" count="0" unbalanced="0"/>
    <cacheHierarchy uniqueName="[Material].[PackagingType]" caption="PackagingType" attribute="1" defaultMemberUniqueName="[Material].[PackagingType].[All]" allUniqueName="[Material].[PackagingType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PlanStatus]" caption="PlanStatus" attribute="1" defaultMemberUniqueName="[Material].[PlanStatus].[All]" allUniqueName="[Material].[PlanStatus].[All]" dimensionUniqueName="[Material]" displayFolder="" count="0" unbalanced="0"/>
    <cacheHierarchy uniqueName="[Material].[PriceX]" caption="PriceX" attribute="1" defaultMemberUniqueName="[Material].[PriceX].[All]" allUniqueName="[Material].[PriceX].[All]" dimensionUniqueName="[Material]" displayFolder="" count="0" unbalanced="0"/>
    <cacheHierarchy uniqueName="[Material].[ProductFamily]" caption="ProductFamily" attribute="1" defaultMemberUniqueName="[Material].[ProductFamily].[All]" allUniqueName="[Material].[ProductFamily].[All]" dimensionUniqueName="[Material]" displayFolder="" count="0" unbalanced="0"/>
    <cacheHierarchy uniqueName="[Material].[ProductSegment]" caption="ProductSegment" attribute="1" defaultMemberUniqueName="[Material].[ProductSegment].[All]" allUniqueName="[Material].[ProductSegment].[All]" dimensionUniqueName="[Material]" displayFolder="" count="0" unbalanced="0"/>
    <cacheHierarchy uniqueName="[Material].[ProductStoreSegment]" caption="ProductStoreSegment" attribute="1" defaultMemberUniqueName="[Material].[ProductStoreSegment].[All]" allUniqueName="[Material].[ProductStoreSegment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RemainingDaysforPlan]" caption="RemainingDaysforPlan" attribute="1" defaultMemberUniqueName="[Material].[RemainingDaysforPlan].[All]" allUniqueName="[Material].[RemainingDaysforPlan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0" unbalanced="0"/>
    <cacheHierarchy uniqueName="[Material].[TagGroupDesc]" caption="TagGroupDesc" attribute="1" defaultMemberUniqueName="[Material].[TagGroupDesc].[All]" allUniqueName="[Material].[Tag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atRate]" caption="VatRate" attribute="1" defaultMemberUniqueName="[Material].[VatRate].[All]" allUniqueName="[Material].[VatRate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0" unbalanced="0"/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0" unbalanced="0"/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0" unbalanced="0"/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0" unbalanced="0"/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0" unbalanced="0"/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Season]" caption="LocationSeason" attribute="1" defaultMemberUniqueName="[Store].[LocationSeason].[All]" allUniqueName="[Store].[LocationSeason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ckBufferFactor]" caption="StockBufferFactor" attribute="1" defaultMemberUniqueName="[Store].[StockBufferFactor].[All]" allUniqueName="[Store].[StockBufferFactor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PriceScore]" caption="StorePriceScore" attribute="1" defaultMemberUniqueName="[Store].[StorePriceScore].[All]" allUniqueName="[Store].[StorePriceScore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ales].[BanProfit]" caption="BanProfit" attribute="1" defaultMemberUniqueName="[CurrentStockSales].[BanProfit].[All]" allUniqueName="[CurrentStockSales].[BanProfit].[All]" dimensionUniqueName="[CurrentStockSales]" displayFolder="" count="0" unbalanced="0" hidden="1"/>
    <cacheHierarchy uniqueName="[CurrentStockSales].[CumStockDM3]" caption="CumStockDM3" attribute="1" defaultMemberUniqueName="[CurrentStockSales].[CumStockDM3].[All]" allUniqueName="[CurrentStockSales].[CumStockDM3].[All]" dimensionUniqueName="[CurrentStockSales]" displayFolder="" count="0" unbalanced="0" hidden="1"/>
    <cacheHierarchy uniqueName="[CurrentStockSales].[CumStokUnit]" caption="CumStokUnit" attribute="1" defaultMemberUniqueName="[CurrentStockSales].[CumStokUnit].[All]" allUniqueName="[CurrentStockSales].[CumStokUnit].[All]" dimensionUniqueName="[CurrentStockSales]" displayFolder="" count="0" unbalanced="0" hidden="1"/>
    <cacheHierarchy uniqueName="[CurrentStockSales].[CUROpenTransferStoreStockUnit]" caption="CUROpenTransferStoreStockUnit" attribute="1" defaultMemberUniqueName="[CurrentStockSales].[CUROpenTransferStoreStockUnit].[All]" allUniqueName="[CurrentStockSales].[CUROpenTransferStoreStockUnit].[All]" dimensionUniqueName="[CurrentStockSales]" displayFolder="" count="0" unbalanced="0" hidden="1"/>
    <cacheHierarchy uniqueName="[CurrentStockSales].[CURUnapprovedOrderStoreStockUnit]" caption="CURUnapprovedOrderStoreStockUnit" attribute="1" defaultMemberUniqueName="[CurrentStockSales].[CURUnapprovedOrderStoreStockUnit].[All]" allUniqueName="[CurrentStockSales].[CURUnapprovedOrderStoreStockUnit].[All]" dimensionUniqueName="[CurrentStockSales]" displayFolder="" count="0" unbalanced="0" hidden="1"/>
    <cacheHierarchy uniqueName="[CurrentStockSales].[GrossProfit007]" caption="GrossProfit007" attribute="1" defaultMemberUniqueName="[CurrentStockSales].[GrossProfit007].[All]" allUniqueName="[CurrentStockSales].[GrossProfit007].[All]" dimensionUniqueName="[CurrentStockSales]" displayFolder="" count="0" unbalanced="0" hidden="1"/>
    <cacheHierarchy uniqueName="[CurrentStockSales].[GrossProfit021]" caption="GrossProfit021" attribute="1" defaultMemberUniqueName="[CurrentStockSales].[GrossProfit021].[All]" allUniqueName="[CurrentStockSales].[GrossProfit021].[All]" dimensionUniqueName="[CurrentStockSales]" displayFolder="" count="0" unbalanced="0" hidden="1"/>
    <cacheHierarchy uniqueName="[CurrentStockSales].[LivingArea]" caption="LivingArea" attribute="1" defaultMemberUniqueName="[CurrentStockSales].[LivingArea].[All]" allUniqueName="[CurrentStockSales].[LivingArea].[All]" dimensionUniqueName="[CurrentStockSales]" displayFolder="" count="0" unbalanced="0" hidden="1"/>
    <cacheHierarchy uniqueName="[CurrentStockSales].[MainGroupCode]" caption="MainGroupCode" attribute="1" defaultMemberUniqueName="[CurrentStockSales].[MainGroupCode].[All]" allUniqueName="[CurrentStockSales].[MainGroupCode].[All]" dimensionUniqueName="[CurrentStockSales]" displayFolder="" count="0" unbalanced="0" hidden="1"/>
    <cacheHierarchy uniqueName="[CurrentStockSales].[Marj_w1]" caption="Marj_w1" attribute="1" defaultMemberUniqueName="[CurrentStockSales].[Marj_w1].[All]" allUniqueName="[CurrentStockSales].[Marj_w1].[All]" dimensionUniqueName="[CurrentStockSales]" displayFolder="" count="0" unbalanced="0" hidden="1"/>
    <cacheHierarchy uniqueName="[CurrentStockSales].[Marj_w3]" caption="Marj_w3" attribute="1" defaultMemberUniqueName="[CurrentStockSales].[Marj_w3].[All]" allUniqueName="[CurrentStockSales].[Marj_w3].[All]" dimensionUniqueName="[CurrentStockSales]" displayFolder="" count="0" unbalanced="0" hidden="1"/>
    <cacheHierarchy uniqueName="[CurrentStockSales].[MaterialCode]" caption="MaterialCode" attribute="1" defaultMemberUniqueName="[CurrentStockSales].[MaterialCode].[All]" allUniqueName="[CurrentStockSales].[MaterialCode].[All]" dimensionUniqueName="[CurrentStockSales]" displayFolder="" count="0" unbalanced="0" hidden="1"/>
    <cacheHierarchy uniqueName="[CurrentStockSales].[MaterialDm3]" caption="MaterialDm3" attribute="1" defaultMemberUniqueName="[CurrentStockSales].[MaterialDm3].[All]" allUniqueName="[CurrentStockSales].[MaterialDm3].[All]" dimensionUniqueName="[CurrentStockSales]" displayFolder="" count="0" unbalanced="0" hidden="1"/>
    <cacheHierarchy uniqueName="[CurrentStockSales].[MaterialKey]" caption="MaterialKey" attribute="1" defaultMemberUniqueName="[CurrentStockSales].[MaterialKey].[All]" allUniqueName="[CurrentStockSales].[MaterialKey].[All]" dimensionUniqueName="[CurrentStockSales]" displayFolder="" count="0" unbalanced="0" hidden="1"/>
    <cacheHierarchy uniqueName="[CurrentStockSales].[NetCumStockDM3]" caption="NetCumStockDM3" attribute="1" defaultMemberUniqueName="[CurrentStockSales].[NetCumStockDM3].[All]" allUniqueName="[CurrentStockSales].[NetCumStockDM3].[All]" dimensionUniqueName="[CurrentStockSales]" displayFolder="" count="0" unbalanced="0" hidden="1"/>
    <cacheHierarchy uniqueName="[CurrentStockSales].[NetCumStokUnit]" caption="NetCumStokUnit" attribute="1" defaultMemberUniqueName="[CurrentStockSales].[NetCumStokUnit].[All]" allUniqueName="[CurrentStockSales].[NetCumStokUnit].[All]" dimensionUniqueName="[CurrentStockSales]" displayFolder="" count="0" unbalanced="0" hidden="1"/>
    <cacheHierarchy uniqueName="[CurrentStockSales].[QtyInBox]" caption="QtyInBox" attribute="1" defaultMemberUniqueName="[CurrentStockSales].[QtyInBox].[All]" allUniqueName="[CurrentStockSales].[QtyInBox].[All]" dimensionUniqueName="[CurrentStockSales]" displayFolder="" count="0" unbalanced="0" hidden="1"/>
    <cacheHierarchy uniqueName="[CurrentStockSales].[SalesUnit007]" caption="SalesUnit007" attribute="1" defaultMemberUniqueName="[CurrentStockSales].[SalesUnit007].[All]" allUniqueName="[CurrentStockSales].[SalesUnit007].[All]" dimensionUniqueName="[CurrentStockSales]" displayFolder="" count="0" unbalanced="0" hidden="1"/>
    <cacheHierarchy uniqueName="[CurrentStockSales].[SalesUnit021]" caption="SalesUnit021" attribute="1" defaultMemberUniqueName="[CurrentStockSales].[SalesUnit021].[All]" allUniqueName="[CurrentStockSales].[SalesUnit021].[All]" dimensionUniqueName="[CurrentStockSales]" displayFolder="" count="0" unbalanced="0" hidden="1"/>
    <cacheHierarchy uniqueName="[CurrentStockSales].[SalesValue007]" caption="SalesValue007" attribute="1" defaultMemberUniqueName="[CurrentStockSales].[SalesValue007].[All]" allUniqueName="[CurrentStockSales].[SalesValue007].[All]" dimensionUniqueName="[CurrentStockSales]" displayFolder="" count="0" unbalanced="0" hidden="1"/>
    <cacheHierarchy uniqueName="[CurrentStockSales].[SalesValue021]" caption="SalesValue021" attribute="1" defaultMemberUniqueName="[CurrentStockSales].[SalesValue021].[All]" allUniqueName="[CurrentStockSales].[SalesValue021].[All]" dimensionUniqueName="[CurrentStockSales]" displayFolder="" count="0" unbalanced="0" hidden="1"/>
    <cacheHierarchy uniqueName="[CurrentStockSales].[StockBufferFactor]" caption="StockBufferFactor" attribute="1" defaultMemberUniqueName="[CurrentStockSales].[StockBufferFactor].[All]" allUniqueName="[CurrentStockSales].[StockBufferFactor].[All]" dimensionUniqueName="[CurrentStockSales]" displayFolder="" count="0" unbalanced="0" hidden="1"/>
    <cacheHierarchy uniqueName="[CurrentStockSales].[StoreCode]" caption="StoreCode" attribute="1" defaultMemberUniqueName="[CurrentStockSales].[StoreCode].[All]" allUniqueName="[CurrentStockSales].[StoreCode].[All]" dimensionUniqueName="[CurrentStockSales]" displayFolder="" count="0" unbalanced="0" hidden="1"/>
    <cacheHierarchy uniqueName="[CurrentStockSales].[StoreStockUnit]" caption="StoreStockUnit" attribute="1" defaultMemberUniqueName="[CurrentStockSales].[StoreStockUnit].[All]" allUniqueName="[CurrentStockSales].[StoreStockUnit].[All]" dimensionUniqueName="[CurrentStockSales]" displayFolder="" count="0" unbalanced="0" hidden="1"/>
    <cacheHierarchy uniqueName="[CurrentStockSales].[StoreTransitStockUnit]" caption="StoreTransitStockUnit" attribute="1" defaultMemberUniqueName="[CurrentStockSales].[StoreTransitStockUnit].[All]" allUniqueName="[CurrentStockSales].[StoreTransitStockUnit].[All]" dimensionUniqueName="[CurrentStockSales]" displayFolder="" count="0" unbalanced="0" hidden="1"/>
    <cacheHierarchy uniqueName="[CurrentStockSales].[TRMarj_w1]" caption="TRMarj_w1" attribute="1" defaultMemberUniqueName="[CurrentStockSales].[TRMarj_w1].[All]" allUniqueName="[CurrentStockSales].[TRMarj_w1].[All]" dimensionUniqueName="[CurrentStockSales]" displayFolder="" count="0" unbalanced="0" hidden="1"/>
    <cacheHierarchy uniqueName="[CurrentStockSales].[TRMarj_w3]" caption="TRMarj_w3" attribute="1" defaultMemberUniqueName="[CurrentStockSales].[TRMarj_w3].[All]" allUniqueName="[CurrentStockSales].[TRMarj_w3].[All]" dimensionUniqueName="[CurrentStockSales]" displayFolder="" count="0" unbalanced="0" hidden="1"/>
    <cacheHierarchy uniqueName="[CurrentStockSales].[WeeklyAvgSales]" caption="WeeklyAvgSales" attribute="1" defaultMemberUniqueName="[CurrentStockSales].[WeeklyAvgSales].[All]" allUniqueName="[CurrentStockSales].[WeeklyAvgSales].[All]" dimensionUniqueName="[CurrentStockSales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Delivery].[DeliveryBudget]" caption="DeliveryBudget" attribute="1" defaultMemberUniqueName="[Delivery].[DeliveryBudget].[All]" allUniqueName="[Delivery].[DeliveryBudget].[All]" dimensionUniqueName="[Delivery]" displayFolder="" count="0" unbalanced="0" hidden="1"/>
    <cacheHierarchy uniqueName="[Delivery].[DeliveryQty]" caption="DeliveryQty" attribute="1" defaultMemberUniqueName="[Delivery].[DeliveryQty].[All]" allUniqueName="[Delivery].[DeliveryQty].[All]" dimensionUniqueName="[Delivery]" displayFolder="" count="0" unbalanced="0" hidden="1"/>
    <cacheHierarchy uniqueName="[Delivery].[FirstDayofMonth]" caption="FirstDayofMonth" attribute="1" defaultMemberUniqueName="[Delivery].[FirstDayofMonth].[All]" allUniqueName="[Delivery].[FirstDayofMonth].[All]" dimensionUniqueName="[Delivery]" displayFolder="" count="0" unbalanced="0" hidden="1"/>
    <cacheHierarchy uniqueName="[Delivery].[MaterialKey]" caption="MaterialKey" attribute="1" defaultMemberUniqueName="[Delivery].[MaterialKey].[All]" allUniqueName="[Delivery].[MaterialKey].[All]" dimensionUniqueName="[Delivery]" displayFolder="" count="0" unbalanced="0" hidden="1"/>
    <cacheHierarchy uniqueName="[Delivery].[Month]" caption="Month" attribute="1" defaultMemberUniqueName="[Delivery].[Month].[All]" allUniqueName="[Delivery].[Month].[All]" dimensionUniqueName="[Delivery]" displayFolder="" count="0" unbalanced="0" hidden="1"/>
    <cacheHierarchy uniqueName="[Delivery].[Year]" caption="Year" attribute="1" defaultMemberUniqueName="[Delivery].[Year].[All]" allUniqueName="[Delivery].[Year].[All]" dimensionUniqueName="[Delivery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FROM_PLANT]" caption="FROM_PLANT" attribute="1" defaultMemberUniqueName="[OpenImportsStoreStock].[FROM_PLANT].[All]" allUniqueName="[OpenImportsStoreStock].[FROM_PLAN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 hidden="1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 hidden="1"/>
    <cacheHierarchy uniqueName="[PurchaseOrder].[ToptanSasCarpanı]" caption="ToptanSasCarpanı" attribute="1" defaultMemberUniqueName="[PurchaseOrder].[ToptanSasCarpanı].[All]" allUniqueName="[PurchaseOrder].[ToptanSasCarpanı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 hidden="1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 hidden="1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 hidden="1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 hidden="1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 hidden="1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 hidden="1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 hidden="1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 hidden="1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 hidden="1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 hidden="1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 hidden="1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 hidden="1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 hidden="1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 hidden="1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 hidden="1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 hidden="1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 hidden="1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 hidden="1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 hidden="1"/>
    <cacheHierarchy uniqueName="[PurchaseOrderGR].[ToptanSasCarpanı]" caption="ToptanSasCarpanı" attribute="1" defaultMemberUniqueName="[PurchaseOrderGR].[ToptanSasCarpanı].[All]" allUniqueName="[PurchaseOrderGR].[ToptanSasCarpanı].[All]" dimensionUniqueName="[PurchaseOrderG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CapacityUnit]" caption="CapacityUnit" attribute="1" defaultMemberUniqueName="[Store].[CapacityUnit].[All]" allUniqueName="[Store].[CapacityUnit].[All]" dimensionUniqueName="[Store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/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/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Kullanılabilir DC Stok Adet]" caption="Kullanılabilir DC Stok Adet" measure="1" displayFolder="00_CURRENT" measureGroup="StockDC" count="0"/>
    <cacheHierarchy uniqueName="[Measures].[TY Avg Store Stock Unit]" caption="TY Avg Store Stock Unit" measure="1" displayFolder="01_TY\_UNIT" measureGroup="StockStore" count="0"/>
    <cacheHierarchy uniqueName="[Measures].[TY Avg Store Transit Stock Unit]" caption="TY Avg Store Transit Stock Unit" measure="1" displayFolder="01_TY\_UNIT" measureGroup="StockStore" count="0"/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/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CUR Unapproved Order Store Stock Unit Others]" caption="CUR Unapproved Order Store Stock Unit Others" measure="1" displayFolder="00_CURRENT" measureGroup="StockStore" count="0"/>
    <cacheHierarchy uniqueName="[Measures].[CUR Open Transfer Store Stock Unit Others]" caption="CUR Open Transfer Store Stock Unit Others" measure="1" displayFolder="00_CURRENT" measureGroup="StockStore" count="0"/>
    <cacheHierarchy uniqueName="[Measures].[CUR Open Transfer Store Stock Dm3 Others]" caption="CUR Open Transfer Store Stock Dm3 Others" measure="1" displayFolder="00_CURRENT" measureGroup="StockStore" count="0"/>
    <cacheHierarchy uniqueName="[Measures].[CUR Unapproved Order Store Stock Dm3 Others]" caption="CUR Unapproved Order Store Stock Dm3 Others" measure="1" displayFolder="00_CURRENT" measureGroup="StockStore" count="0"/>
    <cacheHierarchy uniqueName="[Measures].[TY Sales Unit]" caption="TY Sales Unit" measure="1" displayFolder="01_TY\_UNIT" measureGroup="Sales" count="0"/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/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/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/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/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/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/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/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/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/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Unit Dm3]" caption="TY Sales Unit Dm3" measure="1" displayFolder="01_TY\_VOLUME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/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/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/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/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/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/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/>
    <cacheHierarchy uniqueName="[Measures].[LFL Sales Value TYvsLY LC%]" caption="LFL Sales Value TYvsLY LC%" measure="1" displayFolder="02_TYLFL\LC" measureGroup="KPI" count="0"/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/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/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/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/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/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/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/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Pending PO Unit (WholeSale)]" caption="Pending PO Unit (WholeSale)" measure="1" displayFolder="_UNIT" measureGroup="PurchaseOrder" count="0"/>
    <cacheHierarchy uniqueName="[Measures].[Pending PO Value LC (WholeSale)]" caption="Pending PO Value LC (WholeSale)" measure="1" displayFolder="_VALUE" measureGroup="PurchaseOrder" count="0"/>
    <cacheHierarchy uniqueName="[Measures].[Goods Receipt PO Unit (WholeSale)]" caption="Goods Receipt PO Unit (WholeSale)" measure="1" displayFolder="_UNIT" measureGroup="PurchaseOrder" count="0"/>
    <cacheHierarchy uniqueName="[Measures].[Goods Receipt PO Value LC (WholeSale)]" caption="Goods Receipt PO Value LC (WholeSale)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DM3" measureGroup="Capacity" count="0"/>
    <cacheHierarchy uniqueName="[Measures].[CUR Backstore Capacity dm3]" caption="CUR Backstore Capacity dm3" measure="1" displayFolder="00_CURRENT\_DM3" measureGroup="Capacity" count="0"/>
    <cacheHierarchy uniqueName="[Measures].[CUR Total Store Capacity dm3]" caption="CUR Total Store Capacity dm3" measure="1" displayFolder="00_CURRENT\_DM3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Fiziki Dm3 Doluluk %]" caption="Fiziki Dm3 Doluluk %" measure="1" displayFolder="00_CURRENT\_DM3" measureGroup="Capacity" count="0"/>
    <cacheHierarchy uniqueName="[Measures].[Nihai Dm3 Doluluk %]" caption="Nihai Dm3 Doluluk %" measure="1" displayFolder="00_CURRENT\_DM3" measureGroup="Capacity" count="0"/>
    <cacheHierarchy uniqueName="[Measures].[Fiziki Adet Doluluk %]" caption="Fiziki Adet Doluluk %" measure="1" displayFolder="00_CURRENT\_UNIT" measureGroup="Capacity" count="0"/>
    <cacheHierarchy uniqueName="[Measures].[Nihai Adet Doluluk %]" caption="Nihai Adet Doluluk %" measure="1" displayFolder="00_CURRENT\_UNIT" measureGroup="Capacity" count="0"/>
    <cacheHierarchy uniqueName="[Measures].[BrKar/Dm3]" caption="BrKar/Dm3" measure="1" displayFolder="00_CURRENT\_DM3" measureGroup="Capacity" count="0"/>
    <cacheHierarchy uniqueName="[Measures].[NET Nihai Dm3 Doluluk %]" caption="NET Nihai Dm3 Doluluk %" measure="1" displayFolder="00_CURRENT\_DM3" measureGroup="Capacity" count="0"/>
    <cacheHierarchy uniqueName="[Measures].[Delivery Quantity Outbound from DC to Store]" caption="Delivery Quantity Outbound from DC to Store" measure="1" displayFolder="" measureGroup="Delivery" count="0"/>
    <cacheHierarchy uniqueName="[Measures].[Delivery Quantity Target from DC to Store]" caption="Delivery Quantity Target from DC to Store" measure="1" displayFolder="" measureGroup="Deliver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SumofSalesUnitDm3]" caption="SumofSalesUnitDm3" measure="1" displayFolder="" measureGroup="Sales" count="0" hidden="1"/>
    <cacheHierarchy uniqueName="[Measures].[TY Store Cover Unit]" caption="TY Store Cover Unit" measure="1" displayFolder="01_TY\_UNIT" measureGroup="KPI" count="0" hidden="1"/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hidden="1"/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Last 21Days TY Sales Unit]" caption="Last 21Days TY Sales Unit" measure="1" displayFolder="LASTN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Goods Receipt PO Value LC Old]" caption="Goods Receipt PO Value LC Old" measure="1" displayFolder="_VALUE" measureGroup="PurchaseOrder" count="0" hidden="1"/>
    <cacheHierarchy uniqueName="[Measures].[Goods Receipt PO Unit Base (WholeSale)]" caption="Goods Receipt PO Unit Base (WholeSale)" measure="1" displayFolder="" measureGroup="PurchaseOrder" count="0" hidden="1"/>
    <cacheHierarchy uniqueName="[Measures].[Goods Receipt PO Value Navlun LC Base (WholeSale)]" caption="Goods Receipt PO Value Navlun LC Base (WholeSale)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  <cacheHierarchy uniqueName="[Measures].[CUR NET Cumulative Stock DM3]" caption="CUR NET Cumulative Stock DM3" measure="1" displayFolder="" measureGroup="Capacity" count="0" hidden="1"/>
  </cacheHierarchies>
  <kpis count="0"/>
  <extLst>
    <ext xmlns:x14="http://schemas.microsoft.com/office/spreadsheetml/2009/9/main" uri="{725AE2AE-9491-48be-B2B4-4EB974FC3084}">
      <x14:pivotCacheDefinition slicerData="1" pivotCacheId="37219940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B924D-6D3D-4C53-9720-95DCBBDF7D28}" name="PivotTable1" cacheId="0" applyNumberFormats="0" applyBorderFormats="0" applyFontFormats="0" applyPatternFormats="0" applyAlignmentFormats="0" applyWidthHeightFormats="1" dataCaption="Değerler" updatedVersion="8" minRefreshableVersion="3" subtotalHiddenItems="1" itemPrintTitles="1" createdVersion="8" indent="0" compact="0" compactData="0" gridDropZones="1" multipleFieldFilters="0" chartFormat="2" fieldListSortAscending="1">
  <location ref="A14:AM47" firstHeaderRow="1" firstDataRow="2" firstDataCol="4" rowPageCount="5" colPageCount="1"/>
  <pivotFields count="58">
    <pivotField name="Satış Kanalı" axis="axisPage" compact="0" allDrilled="1" outline="0" subtotalTop="0" showAll="0" defaultAttributeDrillState="1">
      <items count="2">
        <item x="0"/>
        <item t="default"/>
      </items>
    </pivotField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/>
    <pivotField compact="0" outline="0" subtotalTop="0" showAll="0" dataSourceSort="1" defaultSubtotal="0"/>
    <pivotField compact="0" outline="0" subtotalTop="0" showAll="0" dataSourceSort="1" defaultSubtotal="0"/>
    <pivotField compact="0" outline="0" subtotalTop="0" showAll="0" dataSourceSort="1" defaultSubtotal="0"/>
    <pivotField compact="0" allDrilled="1" outline="0" subtotalTop="0" showAll="0" dataSourceSort="1" defaultSubtotal="0"/>
    <pivotField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  <pivotField name="Ana Grup" axis="axisRow" compact="0" allDrilled="1" outline="0" subtotalTop="0" showAll="0" sortType="descending">
      <items count="2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t="default"/>
      </items>
      <autoSortScope>
        <pivotArea dataOnly="0" outline="0" fieldPosition="0">
          <references count="1">
            <reference field="4294967294" count="1" selected="0">
              <x v="8"/>
            </reference>
          </references>
        </pivotArea>
      </autoSortScope>
    </pivotField>
    <pivotField name="Alt Grup" axis="axisRow" compact="0" allDrilled="1" outline="0" subtotalTop="0" showAll="0" sortType="descending" defaultAttributeDrillState="1">
      <items count="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  <autoSortScope>
        <pivotArea dataOnly="0" outline="0" fieldPosition="0">
          <references count="1">
            <reference field="4294967294" count="1" selected="0">
              <x v="8"/>
            </reference>
          </references>
        </pivotArea>
      </autoSortScope>
    </pivotField>
    <pivotField name="Kalite" compact="0" allDrilled="1" outline="0" subtotalTop="0" showAll="0" sortType="descending" defaultSubtotal="0" defaultAttributeDrillState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  <autoSortScope>
        <pivotArea dataOnly="0" outline="0" fieldPosition="0">
          <references count="1">
            <reference field="4294967294" count="1" selected="0">
              <x v="8"/>
            </reference>
          </references>
        </pivotArea>
      </autoSortScope>
    </pivotField>
    <pivotField name="SKU" compact="0" allDrilled="1" outline="0" subtotalTop="0" showAll="0" sortType="descending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  <autoSortScope>
        <pivotArea dataOnly="0" outline="0" fieldPosition="0">
          <references count="1">
            <reference field="4294967294" count="1" selected="0">
              <x v="8"/>
            </reference>
          </references>
        </pivotArea>
      </autoSortScope>
    </pivotField>
    <pivotField compact="0" allDrilled="1" outline="0" subtotalTop="0" showAll="0" dataSourceSort="1" defaultSubtotal="0" defaultAttributeDrillState="1"/>
    <pivotField name="Ülke" axis="axisPage" compact="0" allDrilled="1" outline="0" subtotalTop="0" showAll="0" sortType="descending" defaultAttributeDrillState="1">
      <items count="1"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/>
    <pivotField compact="0" outline="0" subtotalTop="0" showAll="0" dataSourceSort="1" defaultSubtotal="0"/>
    <pivotField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Row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</pivotFields>
  <rowFields count="4">
    <field x="54"/>
    <field x="55"/>
    <field x="11"/>
    <field x="12"/>
  </rowFields>
  <rowItems count="32">
    <i>
      <x/>
      <x/>
      <x/>
    </i>
    <i r="1">
      <x v="1"/>
      <x v="1"/>
    </i>
    <i r="2">
      <x/>
    </i>
    <i r="1">
      <x v="2"/>
      <x/>
    </i>
    <i r="1">
      <x v="3"/>
      <x/>
    </i>
    <i t="default">
      <x/>
    </i>
    <i>
      <x v="1"/>
      <x v="4"/>
      <x v="2"/>
    </i>
    <i r="1">
      <x v="5"/>
      <x v="3"/>
    </i>
    <i r="1">
      <x v="6"/>
      <x v="2"/>
    </i>
    <i r="1">
      <x v="7"/>
      <x v="5"/>
    </i>
    <i r="2">
      <x v="4"/>
    </i>
    <i t="default">
      <x v="1"/>
    </i>
    <i>
      <x v="2"/>
      <x v="8"/>
      <x v="6"/>
    </i>
    <i r="1">
      <x v="9"/>
      <x v="9"/>
    </i>
    <i r="2">
      <x v="8"/>
    </i>
    <i r="2">
      <x v="10"/>
    </i>
    <i r="2">
      <x v="7"/>
    </i>
    <i t="default">
      <x v="2"/>
    </i>
    <i>
      <x v="3"/>
      <x v="10"/>
      <x v="12"/>
    </i>
    <i r="2">
      <x v="11"/>
    </i>
    <i r="2">
      <x v="14"/>
    </i>
    <i r="2">
      <x v="13"/>
    </i>
    <i r="1">
      <x v="11"/>
      <x v="17"/>
    </i>
    <i r="2">
      <x v="15"/>
    </i>
    <i r="2">
      <x v="16"/>
    </i>
    <i r="2">
      <x v="18"/>
    </i>
    <i r="2">
      <x v="9"/>
    </i>
    <i r="1">
      <x v="12"/>
      <x v="21"/>
    </i>
    <i r="2">
      <x v="20"/>
    </i>
    <i r="2">
      <x v="19"/>
    </i>
    <i t="default">
      <x v="3"/>
    </i>
    <i t="grand">
      <x/>
    </i>
  </rowItems>
  <colFields count="1">
    <field x="-2"/>
  </colFields>
  <colItems count="3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</colItems>
  <pageFields count="5">
    <pageField fld="21" hier="94" name="[Material].[MerchProduct].&amp;[Merch]" cap="Merch"/>
    <pageField fld="22" hier="107" name="[Material].[TextileProduct].[All]" cap="All"/>
    <pageField fld="0" hier="146" name="[SalesChannel].[DistrubitionChannelDesc].&amp;[Perakende Satış]" cap="Perakende Satış"/>
    <pageField fld="16" hier="144" name="[SalesChannel].[CountryName].[All]" cap="All"/>
    <pageField fld="53" hier="9" name="[Calendar].[LastNDays].&amp;[1]" cap="1"/>
  </pageFields>
  <dataFields count="35">
    <dataField fld="10" baseField="0" baseItem="0"/>
    <dataField fld="2" baseField="0" baseItem="0"/>
    <dataField fld="35" baseField="11" baseItem="11" numFmtId="165"/>
    <dataField fld="34" baseField="11" baseItem="11" numFmtId="165"/>
    <dataField fld="9" baseField="0" baseItem="0" numFmtId="3"/>
    <dataField fld="1" baseField="0" baseItem="0"/>
    <dataField fld="26" baseField="11" baseItem="12" numFmtId="165"/>
    <dataField fld="18" baseField="11" baseItem="0" numFmtId="3"/>
    <dataField fld="17" baseField="11" baseItem="11" numFmtId="3"/>
    <dataField fld="30" baseField="11" baseItem="12" numFmtId="165"/>
    <dataField fld="31" baseField="11" baseItem="12" numFmtId="165"/>
    <dataField fld="20" baseField="11" baseItem="0" numFmtId="165"/>
    <dataField fld="19" baseField="11" baseItem="0" numFmtId="165"/>
    <dataField fld="27" baseField="0" baseItem="0"/>
    <dataField fld="23" baseField="11" baseItem="0" numFmtId="4"/>
    <dataField fld="32" baseField="11" baseItem="12" numFmtId="165"/>
    <dataField fld="28" baseField="0" baseItem="0"/>
    <dataField fld="24" baseField="0" baseItem="0"/>
    <dataField fld="33" baseField="11" baseItem="12" numFmtId="165"/>
    <dataField fld="29" baseField="0" baseItem="0"/>
    <dataField fld="25" baseField="11" baseItem="0" numFmtId="167"/>
    <dataField fld="37" baseField="0" baseItem="0"/>
    <dataField fld="36" baseField="0" baseItem="0"/>
    <dataField fld="48" baseField="0" baseItem="0"/>
    <dataField fld="49" baseField="0" baseItem="0"/>
    <dataField fld="39" baseField="0" baseItem="0"/>
    <dataField fld="40" baseField="0" baseItem="0" numFmtId="2"/>
    <dataField fld="38" baseField="0" baseItem="0" numFmtId="2"/>
    <dataField fld="42" baseField="0" baseItem="0"/>
    <dataField fld="41" baseField="0" baseItem="0"/>
    <dataField fld="43" baseField="0" baseItem="0"/>
    <dataField fld="44" baseField="0" baseItem="0"/>
    <dataField fld="45" baseField="0" baseItem="0"/>
    <dataField fld="46" baseField="0" baseItem="0"/>
    <dataField fld="47" baseField="0" baseItem="0"/>
  </dataFields>
  <formats count="142">
    <format dxfId="279">
      <pivotArea field="3" type="button" dataOnly="0" labelOnly="1" outline="0"/>
    </format>
    <format dxfId="278">
      <pivotArea field="4" type="button" dataOnly="0" labelOnly="1" outline="0"/>
    </format>
    <format dxfId="277">
      <pivotArea field="4" type="button" dataOnly="0" labelOnly="1" outline="0"/>
    </format>
    <format dxfId="276">
      <pivotArea field="3" type="button" dataOnly="0" labelOnly="1" outline="0"/>
    </format>
    <format dxfId="275">
      <pivotArea field="4" type="button" dataOnly="0" labelOnly="1" outline="0"/>
    </format>
    <format dxfId="274">
      <pivotArea dataOnly="0" outline="0" fieldPosition="0">
        <references count="1">
          <reference field="4294967294" count="1">
            <x v="5"/>
          </reference>
        </references>
      </pivotArea>
    </format>
    <format dxfId="273">
      <pivotArea outline="0" fieldPosition="0">
        <references count="1">
          <reference field="4294967294" count="1" selected="0">
            <x v="4"/>
          </reference>
        </references>
      </pivotArea>
    </format>
    <format dxfId="272">
      <pivotArea field="3" type="button" dataOnly="0" labelOnly="1" outline="0"/>
    </format>
    <format dxfId="271">
      <pivotArea field="11" type="button" dataOnly="0" labelOnly="1" outline="0" axis="axisRow" fieldPosition="2"/>
    </format>
    <format dxfId="270">
      <pivotArea field="12" type="button" dataOnly="0" labelOnly="1" outline="0" axis="axisRow" fieldPosition="3"/>
    </format>
    <format dxfId="269">
      <pivotArea field="13" type="button" dataOnly="0" labelOnly="1" outline="0"/>
    </format>
    <format dxfId="268">
      <pivotArea field="14" type="button" dataOnly="0" labelOnly="1" outline="0"/>
    </format>
    <format dxfId="267">
      <pivotArea field="11" type="button" dataOnly="0" labelOnly="1" outline="0" axis="axisRow" fieldPosition="2"/>
    </format>
    <format dxfId="266">
      <pivotArea field="12" type="button" dataOnly="0" labelOnly="1" outline="0" axis="axisRow" fieldPosition="3"/>
    </format>
    <format dxfId="265">
      <pivotArea field="13" type="button" dataOnly="0" labelOnly="1" outline="0"/>
    </format>
    <format dxfId="264">
      <pivotArea field="14" type="button" dataOnly="0" labelOnly="1" outline="0"/>
    </format>
    <format dxfId="263">
      <pivotArea field="13" type="button" dataOnly="0" labelOnly="1" outline="0"/>
    </format>
    <format dxfId="262">
      <pivotArea field="14" type="button" dataOnly="0" labelOnly="1" outline="0"/>
    </format>
    <format dxfId="261">
      <pivotArea field="0" type="button" dataOnly="0" labelOnly="1" outline="0" axis="axisPage" fieldPosition="2"/>
    </format>
    <format dxfId="260">
      <pivotArea field="0" type="button" dataOnly="0" labelOnly="1" outline="0" axis="axisPage" fieldPosition="2"/>
    </format>
    <format dxfId="259">
      <pivotArea field="16" type="button" dataOnly="0" labelOnly="1" outline="0" axis="axisPage" fieldPosition="3"/>
    </format>
    <format dxfId="258">
      <pivotArea field="16" type="button" dataOnly="0" labelOnly="1" outline="0" axis="axisPage" fieldPosition="3"/>
    </format>
    <format dxfId="257">
      <pivotArea outline="0" collapsedLevelsAreSubtotals="1" fieldPosition="0"/>
    </format>
    <format dxfId="256">
      <pivotArea field="-2" type="button" dataOnly="0" labelOnly="1" outline="0" axis="axisCol" fieldPosition="0"/>
    </format>
    <format dxfId="255">
      <pivotArea type="topRight" dataOnly="0" labelOnly="1" outline="0" fieldPosition="0"/>
    </format>
    <format dxfId="254">
      <pivotArea dataOnly="0" labelOnly="1" outline="0" fieldPosition="0">
        <references count="1">
          <reference field="4294967294" count="4">
            <x v="0"/>
            <x v="1"/>
            <x v="4"/>
            <x v="5"/>
          </reference>
        </references>
      </pivotArea>
    </format>
    <format dxfId="253">
      <pivotArea outline="0" collapsedLevelsAreSubtotals="1" fieldPosition="0"/>
    </format>
    <format dxfId="252">
      <pivotArea field="-2" type="button" dataOnly="0" labelOnly="1" outline="0" axis="axisCol" fieldPosition="0"/>
    </format>
    <format dxfId="251">
      <pivotArea type="topRight" dataOnly="0" labelOnly="1" outline="0" fieldPosition="0"/>
    </format>
    <format dxfId="250">
      <pivotArea dataOnly="0" labelOnly="1" outline="0" fieldPosition="0">
        <references count="1">
          <reference field="4294967294" count="4">
            <x v="0"/>
            <x v="1"/>
            <x v="4"/>
            <x v="5"/>
          </reference>
        </references>
      </pivotArea>
    </format>
    <format dxfId="249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48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47">
      <pivotArea outline="0" fieldPosition="0">
        <references count="1">
          <reference field="4294967294" count="1">
            <x v="8"/>
          </reference>
        </references>
      </pivotArea>
    </format>
    <format dxfId="24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45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44">
      <pivotArea outline="0" fieldPosition="0">
        <references count="1">
          <reference field="4294967294" count="1">
            <x v="7"/>
          </reference>
        </references>
      </pivotArea>
    </format>
    <format dxfId="243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42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41">
      <pivotArea outline="0" fieldPosition="0">
        <references count="1">
          <reference field="4294967294" count="1">
            <x v="12"/>
          </reference>
        </references>
      </pivotArea>
    </format>
    <format dxfId="240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39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38">
      <pivotArea outline="0" fieldPosition="0">
        <references count="1">
          <reference field="4294967294" count="1">
            <x v="11"/>
          </reference>
        </references>
      </pivotArea>
    </format>
    <format dxfId="237">
      <pivotArea outline="0" fieldPosition="0">
        <references count="1">
          <reference field="4294967294" count="1">
            <x v="14"/>
          </reference>
        </references>
      </pivotArea>
    </format>
    <format dxfId="236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235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234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233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232">
      <pivotArea dataOnly="0" labelOnly="1" outline="0" fieldPosition="0">
        <references count="1">
          <reference field="4294967294" count="1">
            <x v="20"/>
          </reference>
        </references>
      </pivotArea>
    </format>
    <format dxfId="231">
      <pivotArea dataOnly="0" labelOnly="1" outline="0" fieldPosition="0">
        <references count="1">
          <reference field="4294967294" count="1">
            <x v="20"/>
          </reference>
        </references>
      </pivotArea>
    </format>
    <format dxfId="230">
      <pivotArea outline="0" fieldPosition="0">
        <references count="1">
          <reference field="4294967294" count="1">
            <x v="20"/>
          </reference>
        </references>
      </pivotArea>
    </format>
    <format dxfId="229">
      <pivotArea dataOnly="0" outline="0" fieldPosition="0">
        <references count="1">
          <reference field="4294967294" count="11">
            <x v="0"/>
            <x v="1"/>
            <x v="4"/>
            <x v="5"/>
            <x v="7"/>
            <x v="8"/>
            <x v="11"/>
            <x v="12"/>
            <x v="14"/>
            <x v="17"/>
            <x v="20"/>
          </reference>
        </references>
      </pivotArea>
    </format>
    <format dxfId="228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2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26">
      <pivotArea outline="0" fieldPosition="0">
        <references count="1">
          <reference field="4294967294" count="1">
            <x v="6"/>
          </reference>
        </references>
      </pivotArea>
    </format>
    <format dxfId="225">
      <pivotArea field="11" type="button" dataOnly="0" labelOnly="1" outline="0" axis="axisRow" fieldPosition="2"/>
    </format>
    <format dxfId="224">
      <pivotArea field="0" type="button" dataOnly="0" labelOnly="1" outline="0" axis="axisPage" fieldPosition="2"/>
    </format>
    <format dxfId="223">
      <pivotArea field="16" type="button" dataOnly="0" labelOnly="1" outline="0" axis="axisPage" fieldPosition="3"/>
    </format>
    <format dxfId="222">
      <pivotArea field="12" type="button" dataOnly="0" labelOnly="1" outline="0" axis="axisRow" fieldPosition="3"/>
    </format>
    <format dxfId="221">
      <pivotArea dataOnly="0" labelOnly="1" outline="0" fieldPosition="0">
        <references count="1">
          <reference field="4294967294" count="12">
            <x v="0"/>
            <x v="1"/>
            <x v="4"/>
            <x v="5"/>
            <x v="6"/>
            <x v="7"/>
            <x v="8"/>
            <x v="11"/>
            <x v="12"/>
            <x v="14"/>
            <x v="17"/>
            <x v="20"/>
          </reference>
        </references>
      </pivotArea>
    </format>
    <format dxfId="220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219">
      <pivotArea dataOnly="0" outline="0" fieldPosition="0">
        <references count="1">
          <reference field="4294967294" count="3">
            <x v="4"/>
            <x v="5"/>
            <x v="6"/>
          </reference>
        </references>
      </pivotArea>
    </format>
    <format dxfId="218">
      <pivotArea dataOnly="0" outline="0" fieldPosition="0">
        <references count="1">
          <reference field="4294967294" count="2">
            <x v="7"/>
            <x v="8"/>
          </reference>
        </references>
      </pivotArea>
    </format>
    <format dxfId="217">
      <pivotArea dataOnly="0" outline="0" fieldPosition="0">
        <references count="1">
          <reference field="4294967294" count="2">
            <x v="11"/>
            <x v="12"/>
          </reference>
        </references>
      </pivotArea>
    </format>
    <format dxfId="216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15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14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13">
      <pivotArea dataOnly="0" outline="0" fieldPosition="0">
        <references count="1">
          <reference field="4294967294" count="2">
            <x v="13"/>
            <x v="14"/>
          </reference>
        </references>
      </pivotArea>
    </format>
    <format dxfId="212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211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210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209">
      <pivotArea dataOnly="0" outline="0" fieldPosition="0">
        <references count="1">
          <reference field="4294967294" count="2">
            <x v="16"/>
            <x v="17"/>
          </reference>
        </references>
      </pivotArea>
    </format>
    <format dxfId="208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207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206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205">
      <pivotArea dataOnly="0" labelOnly="1" outline="0" fieldPosition="0">
        <references count="1">
          <reference field="4294967294" count="4">
            <x v="9"/>
            <x v="10"/>
            <x v="15"/>
            <x v="18"/>
          </reference>
        </references>
      </pivotArea>
    </format>
    <format dxfId="204">
      <pivotArea dataOnly="0" labelOnly="1" outline="0" fieldPosition="0">
        <references count="1">
          <reference field="4294967294" count="4">
            <x v="9"/>
            <x v="10"/>
            <x v="15"/>
            <x v="18"/>
          </reference>
        </references>
      </pivotArea>
    </format>
    <format dxfId="203">
      <pivotArea dataOnly="0" labelOnly="1" outline="0" fieldPosition="0">
        <references count="1">
          <reference field="4294967294" count="4">
            <x v="9"/>
            <x v="10"/>
            <x v="15"/>
            <x v="18"/>
          </reference>
        </references>
      </pivotArea>
    </format>
    <format dxfId="202">
      <pivotArea outline="0" fieldPosition="0">
        <references count="1">
          <reference field="4294967294" count="1">
            <x v="9"/>
          </reference>
        </references>
      </pivotArea>
    </format>
    <format dxfId="201">
      <pivotArea outline="0" fieldPosition="0">
        <references count="1">
          <reference field="4294967294" count="1">
            <x v="10"/>
          </reference>
        </references>
      </pivotArea>
    </format>
    <format dxfId="200">
      <pivotArea outline="0" fieldPosition="0">
        <references count="1">
          <reference field="4294967294" count="1">
            <x v="15"/>
          </reference>
        </references>
      </pivotArea>
    </format>
    <format dxfId="199">
      <pivotArea outline="0" fieldPosition="0">
        <references count="1">
          <reference field="4294967294" count="1">
            <x v="18"/>
          </reference>
        </references>
      </pivotArea>
    </format>
    <format dxfId="198">
      <pivotArea dataOnly="0" outline="0" fieldPosition="0">
        <references count="1">
          <reference field="4294967294" count="15">
            <x v="0"/>
            <x v="1"/>
            <x v="4"/>
            <x v="5"/>
            <x v="6"/>
            <x v="7"/>
            <x v="8"/>
            <x v="11"/>
            <x v="12"/>
            <x v="13"/>
            <x v="14"/>
            <x v="16"/>
            <x v="17"/>
            <x v="19"/>
            <x v="20"/>
          </reference>
        </references>
      </pivotArea>
    </format>
    <format dxfId="197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196">
      <pivotArea dataOnly="0" outline="0" fieldPosition="0">
        <references count="1">
          <reference field="4294967294" count="3">
            <x v="7"/>
            <x v="8"/>
            <x v="9"/>
          </reference>
        </references>
      </pivotArea>
    </format>
    <format dxfId="195">
      <pivotArea dataOnly="0" outline="0" fieldPosition="0">
        <references count="1">
          <reference field="4294967294" count="1">
            <x v="10"/>
          </reference>
        </references>
      </pivotArea>
    </format>
    <format dxfId="194">
      <pivotArea dataOnly="0" outline="0" fieldPosition="0">
        <references count="1">
          <reference field="4294967294" count="2">
            <x v="11"/>
            <x v="12"/>
          </reference>
        </references>
      </pivotArea>
    </format>
    <format dxfId="193">
      <pivotArea dataOnly="0" outline="0" fieldPosition="0">
        <references count="1">
          <reference field="4294967294" count="3">
            <x v="13"/>
            <x v="14"/>
            <x v="15"/>
          </reference>
        </references>
      </pivotArea>
    </format>
    <format dxfId="192">
      <pivotArea dataOnly="0" outline="0" fieldPosition="0">
        <references count="1">
          <reference field="4294967294" count="3">
            <x v="16"/>
            <x v="17"/>
            <x v="18"/>
          </reference>
        </references>
      </pivotArea>
    </format>
    <format dxfId="191">
      <pivotArea dataOnly="0" outline="0" fieldPosition="0">
        <references count="1">
          <reference field="4294967294" count="2">
            <x v="19"/>
            <x v="20"/>
          </reference>
        </references>
      </pivotArea>
    </format>
    <format dxfId="19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8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8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87">
      <pivotArea outline="0" fieldPosition="0">
        <references count="1">
          <reference field="4294967294" count="1">
            <x v="3"/>
          </reference>
        </references>
      </pivotArea>
    </format>
    <format dxfId="186">
      <pivotArea dataOnly="0" outline="0" fieldPosition="0">
        <references count="1">
          <reference field="4294967294" count="20">
            <x v="0"/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8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2">
      <pivotArea outline="0" fieldPosition="0">
        <references count="1">
          <reference field="4294967294" count="1">
            <x v="2"/>
          </reference>
        </references>
      </pivotArea>
    </format>
    <format dxfId="181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0">
      <pivotArea dataOnly="0" outline="0" fieldPosition="0">
        <references count="1">
          <reference field="4294967294" count="3">
            <x v="4"/>
            <x v="5"/>
            <x v="6"/>
          </reference>
        </references>
      </pivotArea>
    </format>
    <format dxfId="179">
      <pivotArea dataOnly="0" outline="0" fieldPosition="0">
        <references count="1">
          <reference field="4294967294" count="3">
            <x v="7"/>
            <x v="8"/>
            <x v="9"/>
          </reference>
        </references>
      </pivotArea>
    </format>
    <format dxfId="178">
      <pivotArea dataOnly="0" outline="0" fieldPosition="0">
        <references count="1">
          <reference field="4294967294" count="1">
            <x v="10"/>
          </reference>
        </references>
      </pivotArea>
    </format>
    <format dxfId="177">
      <pivotArea dataOnly="0" outline="0" fieldPosition="0">
        <references count="1">
          <reference field="4294967294" count="2">
            <x v="11"/>
            <x v="12"/>
          </reference>
        </references>
      </pivotArea>
    </format>
    <format dxfId="176">
      <pivotArea dataOnly="0" outline="0" fieldPosition="0">
        <references count="1">
          <reference field="4294967294" count="3">
            <x v="13"/>
            <x v="14"/>
            <x v="15"/>
          </reference>
        </references>
      </pivotArea>
    </format>
    <format dxfId="175">
      <pivotArea dataOnly="0" outline="0" fieldPosition="0">
        <references count="1">
          <reference field="4294967294" count="3">
            <x v="16"/>
            <x v="17"/>
            <x v="18"/>
          </reference>
        </references>
      </pivotArea>
    </format>
    <format dxfId="174">
      <pivotArea dataOnly="0" outline="0" fieldPosition="0">
        <references count="1">
          <reference field="4294967294" count="2">
            <x v="19"/>
            <x v="20"/>
          </reference>
        </references>
      </pivotArea>
    </format>
    <format dxfId="173">
      <pivotArea dataOnly="0" labelOnly="1" outline="0" fieldPosition="0">
        <references count="1">
          <reference field="4294967294" count="5">
            <x v="21"/>
            <x v="22"/>
            <x v="25"/>
            <x v="26"/>
            <x v="27"/>
          </reference>
        </references>
      </pivotArea>
    </format>
    <format dxfId="172">
      <pivotArea dataOnly="0" labelOnly="1" outline="0" fieldPosition="0">
        <references count="1">
          <reference field="4294967294" count="5">
            <x v="21"/>
            <x v="22"/>
            <x v="25"/>
            <x v="26"/>
            <x v="27"/>
          </reference>
        </references>
      </pivotArea>
    </format>
    <format dxfId="171">
      <pivotArea dataOnly="0" labelOnly="1" outline="0" fieldPosition="0">
        <references count="1">
          <reference field="4294967294" count="5">
            <x v="21"/>
            <x v="22"/>
            <x v="25"/>
            <x v="26"/>
            <x v="27"/>
          </reference>
        </references>
      </pivotArea>
    </format>
    <format dxfId="170">
      <pivotArea dataOnly="0" outline="0" fieldPosition="0">
        <references count="1">
          <reference field="4294967294" count="2">
            <x v="21"/>
            <x v="22"/>
          </reference>
        </references>
      </pivotArea>
    </format>
    <format dxfId="169">
      <pivotArea dataOnly="0" outline="0" fieldPosition="0">
        <references count="1">
          <reference field="4294967294" count="1">
            <x v="25"/>
          </reference>
        </references>
      </pivotArea>
    </format>
    <format dxfId="168">
      <pivotArea dataOnly="0" outline="0" fieldPosition="0">
        <references count="1">
          <reference field="4294967294" count="2">
            <x v="26"/>
            <x v="27"/>
          </reference>
        </references>
      </pivotArea>
    </format>
    <format dxfId="167">
      <pivotArea dataOnly="0" labelOnly="1" outline="0" fieldPosition="0">
        <references count="1">
          <reference field="4294967294" count="1">
            <x v="29"/>
          </reference>
        </references>
      </pivotArea>
    </format>
    <format dxfId="166">
      <pivotArea dataOnly="0" labelOnly="1" outline="0" fieldPosition="0">
        <references count="1">
          <reference field="4294967294" count="1">
            <x v="29"/>
          </reference>
        </references>
      </pivotArea>
    </format>
    <format dxfId="165">
      <pivotArea dataOnly="0" labelOnly="1" outline="0" fieldPosition="0">
        <references count="1">
          <reference field="4294967294" count="1">
            <x v="29"/>
          </reference>
        </references>
      </pivotArea>
    </format>
    <format dxfId="164">
      <pivotArea dataOnly="0" outline="0" fieldPosition="0">
        <references count="1">
          <reference field="4294967294" count="1">
            <x v="29"/>
          </reference>
        </references>
      </pivotArea>
    </format>
    <format dxfId="163">
      <pivotArea dataOnly="0" outline="0" fieldPosition="0">
        <references count="1">
          <reference field="4294967294" count="2">
            <x v="26"/>
            <x v="27"/>
          </reference>
        </references>
      </pivotArea>
    </format>
    <format dxfId="162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161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160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159">
      <pivotArea dataOnly="0" outline="0" fieldPosition="0">
        <references count="1">
          <reference field="4294967294" count="2">
            <x v="28"/>
            <x v="29"/>
          </reference>
        </references>
      </pivotArea>
    </format>
    <format dxfId="158">
      <pivotArea dataOnly="0" labelOnly="1" outline="0" fieldPosition="0">
        <references count="1">
          <reference field="4294967294" count="1">
            <x v="30"/>
          </reference>
        </references>
      </pivotArea>
    </format>
    <format dxfId="157">
      <pivotArea dataOnly="0" labelOnly="1" outline="0" fieldPosition="0">
        <references count="1">
          <reference field="4294967294" count="1">
            <x v="30"/>
          </reference>
        </references>
      </pivotArea>
    </format>
    <format dxfId="156">
      <pivotArea dataOnly="0" labelOnly="1" outline="0" fieldPosition="0">
        <references count="1">
          <reference field="4294967294" count="1">
            <x v="30"/>
          </reference>
        </references>
      </pivotArea>
    </format>
    <format dxfId="155">
      <pivotArea dataOnly="0" labelOnly="1" outline="0" fieldPosition="0">
        <references count="1">
          <reference field="4294967294" count="1">
            <x v="31"/>
          </reference>
        </references>
      </pivotArea>
    </format>
    <format dxfId="154">
      <pivotArea dataOnly="0" labelOnly="1" outline="0" fieldPosition="0">
        <references count="1">
          <reference field="4294967294" count="1">
            <x v="31"/>
          </reference>
        </references>
      </pivotArea>
    </format>
    <format dxfId="153">
      <pivotArea dataOnly="0" labelOnly="1" outline="0" fieldPosition="0">
        <references count="1">
          <reference field="4294967294" count="1">
            <x v="31"/>
          </reference>
        </references>
      </pivotArea>
    </format>
    <format dxfId="152">
      <pivotArea dataOnly="0" outline="0" fieldPosition="0">
        <references count="1">
          <reference field="4294967294" count="2">
            <x v="30"/>
            <x v="31"/>
          </reference>
        </references>
      </pivotArea>
    </format>
    <format dxfId="151">
      <pivotArea dataOnly="0" labelOnly="1" outline="0" fieldPosition="0">
        <references count="1">
          <reference field="4294967294" count="3">
            <x v="32"/>
            <x v="33"/>
            <x v="34"/>
          </reference>
        </references>
      </pivotArea>
    </format>
    <format dxfId="150">
      <pivotArea dataOnly="0" labelOnly="1" outline="0" fieldPosition="0">
        <references count="1">
          <reference field="4294967294" count="3">
            <x v="32"/>
            <x v="33"/>
            <x v="34"/>
          </reference>
        </references>
      </pivotArea>
    </format>
    <format dxfId="149">
      <pivotArea dataOnly="0" labelOnly="1" outline="0" fieldPosition="0">
        <references count="1">
          <reference field="4294967294" count="3">
            <x v="32"/>
            <x v="33"/>
            <x v="34"/>
          </reference>
        </references>
      </pivotArea>
    </format>
    <format dxfId="148">
      <pivotArea dataOnly="0" outline="0" fieldPosition="0">
        <references count="1">
          <reference field="4294967294" count="3">
            <x v="32"/>
            <x v="33"/>
            <x v="34"/>
          </reference>
        </references>
      </pivotArea>
    </format>
    <format dxfId="147">
      <pivotArea dataOnly="0" labelOnly="1" outline="0" fieldPosition="0">
        <references count="1">
          <reference field="4294967294" count="2">
            <x v="23"/>
            <x v="24"/>
          </reference>
        </references>
      </pivotArea>
    </format>
    <format dxfId="146">
      <pivotArea outline="0" fieldPosition="0">
        <references count="1">
          <reference field="4294967294" count="2" selected="0">
            <x v="26"/>
            <x v="27"/>
          </reference>
        </references>
      </pivotArea>
    </format>
    <format dxfId="145">
      <pivotArea dataOnly="0" outline="0" fieldPosition="0">
        <references count="1">
          <reference field="4294967294" count="3">
            <x v="32"/>
            <x v="33"/>
            <x v="34"/>
          </reference>
        </references>
      </pivotArea>
    </format>
    <format dxfId="144">
      <pivotArea dataOnly="0" outline="0" fieldPosition="0">
        <references count="1">
          <reference field="4294967294" count="1">
            <x v="2"/>
          </reference>
        </references>
      </pivotArea>
    </format>
    <format dxfId="143">
      <pivotArea dataOnly="0" outline="0" fieldPosition="0">
        <references count="1">
          <reference field="4294967294" count="1">
            <x v="12"/>
          </reference>
        </references>
      </pivotArea>
    </format>
    <format dxfId="142">
      <pivotArea dataOnly="0" outline="0" fieldPosition="0">
        <references count="1">
          <reference field="4294967294" count="2">
            <x v="6"/>
            <x v="9"/>
          </reference>
        </references>
      </pivotArea>
    </format>
    <format dxfId="141">
      <pivotArea dataOnly="0" outline="0" fieldPosition="0">
        <references count="1">
          <reference field="4294967294" count="1">
            <x v="20"/>
          </reference>
        </references>
      </pivotArea>
    </format>
    <format dxfId="140">
      <pivotArea dataOnly="0" outline="0" fieldPosition="0">
        <references count="1">
          <reference field="4294967294" count="1">
            <x v="15"/>
          </reference>
        </references>
      </pivotArea>
    </format>
    <format dxfId="139">
      <pivotArea dataOnly="0" outline="0" fieldPosition="0">
        <references count="1">
          <reference field="4294967294" count="1">
            <x v="18"/>
          </reference>
        </references>
      </pivotArea>
    </format>
    <format dxfId="138">
      <pivotArea dataOnly="0" outline="0" fieldPosition="0">
        <references count="1">
          <reference field="4294967294" count="1">
            <x v="10"/>
          </reference>
        </references>
      </pivotArea>
    </format>
  </formats>
  <pivotHierarchies count="1490">
    <pivotHierarchy/>
    <pivotHierarchy/>
    <pivotHierarchy/>
    <pivotHierarchy/>
    <pivotHierarchy/>
    <pivotHierarchy/>
    <pivotHierarchy multipleItemSelectionAllowed="1">
      <members count="1" level="1">
        <member name="[Calendar].[H_Merch].[MerchYear].&amp;[2023]"/>
      </members>
    </pivotHierarchy>
    <pivotHierarchy/>
    <pivotHierarchy/>
    <pivotHierarchy multipleItemSelectionAllowed="1">
      <members count="7" level="1">
        <member name="[Calendar].[LastNDays].&amp;[1]"/>
        <member name="[Calendar].[LastNDays].&amp;[2]"/>
        <member name="[Calendar].[LastNDays].&amp;[3]"/>
        <member name="[Calendar].[LastNDays].&amp;[4]"/>
        <member name="[Calendar].[LastNDays].&amp;[5]"/>
        <member name="[Calendar].[LastNDays].&amp;[6]"/>
        <member name="[Calendar].[LastNDays].&amp;[7]"/>
      </members>
    </pivotHierarchy>
    <pivotHierarchy multipleItemSelectionAllowed="1"/>
    <pivotHierarchy/>
    <pivotHierarchy multipleItemSelectionAllowed="1"/>
    <pivotHierarchy multipleItemSelectionAllowed="1">
      <members count="1" level="1">
        <member name="[Calendar].[MerchYear].&amp;[2025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4" level="1">
        <member name="[Material].[H_MainGroup].[MainGroupDesc].&amp;[Pike]"/>
        <member name="[Material].[H_MainGroup].[MainGroupDesc].&amp;[Banyo]"/>
        <member name="[Material].[H_MainGroup].[MainGroupDesc].&amp;[Havlu]"/>
        <member name="[Material].[H_MainGroup].[MainGroupDesc].&amp;[Salon]"/>
        <member name="[Material].[H_MainGroup].[MainGroupDesc].&amp;[Yatak]"/>
        <member name="[Material].[H_MainGroup].[MainGroupDesc].&amp;[Bornoz]"/>
        <member name="[Material].[H_MainGroup].[MainGroupDesc].&amp;[Mutfak]"/>
        <member name="[Material].[H_MainGroup].[MainGroupDesc].&amp;[Yastık]"/>
        <member name="[Material].[H_MainGroup].[MainGroupDesc].&amp;[Yorgan]"/>
        <member name="[Material].[H_MainGroup].[MainGroupDesc].&amp;[Mobilya]"/>
        <member name="[Material].[H_MainGroup].[MainGroupDesc].&amp;[Pişirme]"/>
        <member name="[Material].[H_MainGroup].[MainGroupDesc].&amp;[Aksesuar]"/>
        <member name="[Material].[H_MainGroup].[MainGroupDesc].&amp;[Kozmetik]"/>
        <member name="[Material].[H_MainGroup].[MainGroupDesc].&amp;[Nevresim]"/>
        <member name="[Material].[H_MainGroup].[MainGroupDesc].&amp;[Battaniye]"/>
        <member name="[Material].[H_MainGroup].[MainGroupDesc].&amp;[Ev Giysisi]"/>
        <member name="[Material].[H_MainGroup].[MainGroupDesc].&amp;[Hazır Perde]"/>
        <member name="[Material].[H_MainGroup].[MainGroupDesc].&amp;[Masa Örtüsü]"/>
        <member name="[Material].[H_MainGroup].[MainGroupDesc].&amp;[Bebe - Çocuk]"/>
        <member name="[Material].[H_MainGroup].[MainGroupDesc].&amp;[Halı - Kilim]"/>
        <member name="[Material].[H_MainGroup].[MainGroupDesc].&amp;[Yatak Örtüsü]"/>
        <member name="[Material].[H_MainGroup].[MainGroupDesc].&amp;[Mobilya Satış]"/>
        <member name="[Material].[H_MainGroup].[MainGroupDesc].&amp;[White Collection]"/>
        <member name="[Material].[H_MainGroup].[MainGroupDesc].&amp;[Küçük Elektrikli Ev Aletleri]"/>
      </members>
    </pivotHierarchy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SalesChannel].[DistrubitionChannelDesc].&amp;[Perakende Satış]"/>
      </members>
    </pivotHierarchy>
    <pivotHierarchy/>
    <pivotHierarchy multipleItemSelectionAllowed="1">
      <members count="1" level="2">
        <member name="[SalesChannel].[H_SalesChannel].[SalesOrgType].&amp;[İştirak].&amp;[TÜRKİY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EHM Taslak" showRowHeaders="1" showColHeaders="1" showRowStripes="0" showColStripes="0" showLastColumn="1"/>
  <rowHierarchiesUsage count="4">
    <rowHierarchyUsage hierarchyUsage="49"/>
    <rowHierarchyUsage hierarchyUsage="109"/>
    <rowHierarchyUsage hierarchyUsage="71"/>
    <rowHierarchyUsage hierarchyUsage="10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E8805-9F3D-4D30-AFFF-C162ECFBFBB9}" name="PivotTable1" cacheId="4" applyNumberFormats="0" applyBorderFormats="0" applyFontFormats="0" applyPatternFormats="0" applyAlignmentFormats="0" applyWidthHeightFormats="1" dataCaption="Değerler" updatedVersion="8" minRefreshableVersion="3" subtotalHiddenItems="1" itemPrintTitles="1" createdVersion="8" indent="0" compact="0" compactData="0" gridDropZones="1" multipleFieldFilters="0" chartFormat="2" fieldListSortAscending="1">
  <location ref="A13:AF646" firstHeaderRow="1" firstDataRow="2" firstDataCol="2" rowPageCount="10" colPageCount="1"/>
  <pivotFields count="48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2">
        <item s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descending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descending" defaultSubtotal="0">
      <items count="6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sortType="descending" defaultSubtotal="0" defaultAttributeDrillState="1"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0"/>
    <field x="11"/>
  </rowFields>
  <rowItems count="632">
    <i>
      <x v="14"/>
      <x v="467"/>
    </i>
    <i r="1">
      <x v="469"/>
    </i>
    <i r="1">
      <x v="455"/>
    </i>
    <i r="1">
      <x v="458"/>
    </i>
    <i r="1">
      <x v="459"/>
    </i>
    <i r="1">
      <x v="465"/>
    </i>
    <i r="1">
      <x v="466"/>
    </i>
    <i r="1">
      <x v="475"/>
    </i>
    <i r="1">
      <x v="460"/>
    </i>
    <i r="1">
      <x v="461"/>
    </i>
    <i r="1">
      <x v="471"/>
    </i>
    <i r="1">
      <x v="456"/>
    </i>
    <i r="1">
      <x v="472"/>
    </i>
    <i r="1">
      <x v="462"/>
    </i>
    <i r="1">
      <x v="470"/>
    </i>
    <i r="1">
      <x v="474"/>
    </i>
    <i r="1">
      <x v="473"/>
    </i>
    <i r="1">
      <x v="463"/>
    </i>
    <i r="1">
      <x v="464"/>
    </i>
    <i r="1">
      <x v="457"/>
    </i>
    <i r="1">
      <x v="468"/>
    </i>
    <i t="default">
      <x v="14"/>
    </i>
    <i>
      <x v="10"/>
      <x v="333"/>
    </i>
    <i r="1">
      <x v="332"/>
    </i>
    <i r="1">
      <x v="324"/>
    </i>
    <i r="1">
      <x v="331"/>
    </i>
    <i r="1">
      <x v="328"/>
    </i>
    <i r="1">
      <x v="322"/>
    </i>
    <i r="1">
      <x v="325"/>
    </i>
    <i r="1">
      <x v="329"/>
    </i>
    <i r="1">
      <x v="326"/>
    </i>
    <i r="1">
      <x v="323"/>
    </i>
    <i r="1">
      <x v="330"/>
    </i>
    <i r="1">
      <x v="327"/>
    </i>
    <i t="default">
      <x v="10"/>
    </i>
    <i>
      <x v="15"/>
      <x v="535"/>
    </i>
    <i r="1">
      <x v="541"/>
    </i>
    <i r="1">
      <x v="503"/>
    </i>
    <i r="1">
      <x v="494"/>
    </i>
    <i r="1">
      <x v="525"/>
    </i>
    <i r="1">
      <x v="496"/>
    </i>
    <i r="1">
      <x v="490"/>
    </i>
    <i r="1">
      <x v="521"/>
    </i>
    <i r="1">
      <x v="527"/>
    </i>
    <i r="1">
      <x v="476"/>
    </i>
    <i r="1">
      <x v="546"/>
    </i>
    <i r="1">
      <x v="481"/>
    </i>
    <i r="1">
      <x v="538"/>
    </i>
    <i r="1">
      <x v="501"/>
    </i>
    <i r="1">
      <x v="512"/>
    </i>
    <i r="1">
      <x v="491"/>
    </i>
    <i r="1">
      <x v="486"/>
    </i>
    <i r="1">
      <x v="530"/>
    </i>
    <i r="1">
      <x v="528"/>
    </i>
    <i r="1">
      <x v="511"/>
    </i>
    <i r="1">
      <x v="526"/>
    </i>
    <i r="1">
      <x v="509"/>
    </i>
    <i r="1">
      <x v="507"/>
    </i>
    <i r="1">
      <x v="485"/>
    </i>
    <i r="1">
      <x v="504"/>
    </i>
    <i r="1">
      <x v="505"/>
    </i>
    <i r="1">
      <x v="510"/>
    </i>
    <i r="1">
      <x v="542"/>
    </i>
    <i r="1">
      <x v="536"/>
    </i>
    <i r="1">
      <x v="513"/>
    </i>
    <i r="1">
      <x v="489"/>
    </i>
    <i r="1">
      <x v="534"/>
    </i>
    <i r="1">
      <x v="547"/>
    </i>
    <i r="1">
      <x v="529"/>
    </i>
    <i r="1">
      <x v="545"/>
    </i>
    <i r="1">
      <x v="479"/>
    </i>
    <i r="1">
      <x v="506"/>
    </i>
    <i r="1">
      <x v="498"/>
    </i>
    <i r="1">
      <x v="520"/>
    </i>
    <i r="1">
      <x v="515"/>
    </i>
    <i r="1">
      <x v="493"/>
    </i>
    <i r="1">
      <x v="497"/>
    </i>
    <i r="1">
      <x v="516"/>
    </i>
    <i r="1">
      <x v="499"/>
    </i>
    <i r="1">
      <x v="517"/>
    </i>
    <i r="1">
      <x v="532"/>
    </i>
    <i r="1">
      <x v="518"/>
    </i>
    <i r="1">
      <x v="478"/>
    </i>
    <i r="1">
      <x v="519"/>
    </i>
    <i r="1">
      <x v="540"/>
    </i>
    <i r="1">
      <x v="495"/>
    </i>
    <i r="1">
      <x v="544"/>
    </i>
    <i r="1">
      <x v="500"/>
    </i>
    <i r="1">
      <x v="531"/>
    </i>
    <i r="1">
      <x v="522"/>
    </i>
    <i r="1">
      <x v="533"/>
    </i>
    <i r="1">
      <x v="523"/>
    </i>
    <i r="1">
      <x v="492"/>
    </i>
    <i r="1">
      <x v="524"/>
    </i>
    <i r="1">
      <x v="537"/>
    </i>
    <i r="1">
      <x v="488"/>
    </i>
    <i r="1">
      <x v="539"/>
    </i>
    <i r="1">
      <x v="483"/>
    </i>
    <i r="1">
      <x v="477"/>
    </i>
    <i r="1">
      <x v="508"/>
    </i>
    <i r="1">
      <x v="543"/>
    </i>
    <i r="1">
      <x v="502"/>
    </i>
    <i r="1">
      <x v="514"/>
    </i>
    <i r="1">
      <x v="484"/>
    </i>
    <i r="1">
      <x v="480"/>
    </i>
    <i r="1">
      <x v="482"/>
    </i>
    <i r="1">
      <x v="487"/>
    </i>
    <i t="default">
      <x v="15"/>
    </i>
    <i>
      <x/>
      <x v="23"/>
    </i>
    <i r="1">
      <x v="111"/>
    </i>
    <i r="1">
      <x v="103"/>
    </i>
    <i r="1">
      <x v="8"/>
    </i>
    <i r="1">
      <x v="93"/>
    </i>
    <i r="1">
      <x v="96"/>
    </i>
    <i r="1">
      <x v="69"/>
    </i>
    <i r="1">
      <x v="21"/>
    </i>
    <i r="1">
      <x v="37"/>
    </i>
    <i r="1">
      <x/>
    </i>
    <i r="1">
      <x v="34"/>
    </i>
    <i r="1">
      <x v="85"/>
    </i>
    <i r="1">
      <x v="30"/>
    </i>
    <i r="1">
      <x v="29"/>
    </i>
    <i r="1">
      <x v="28"/>
    </i>
    <i r="1">
      <x v="79"/>
    </i>
    <i r="1">
      <x v="36"/>
    </i>
    <i r="1">
      <x v="16"/>
    </i>
    <i r="1">
      <x v="88"/>
    </i>
    <i r="1">
      <x v="38"/>
    </i>
    <i r="1">
      <x v="31"/>
    </i>
    <i r="1">
      <x v="9"/>
    </i>
    <i r="1">
      <x v="4"/>
    </i>
    <i r="1">
      <x v="64"/>
    </i>
    <i r="1">
      <x v="75"/>
    </i>
    <i r="1">
      <x v="7"/>
    </i>
    <i r="1">
      <x v="50"/>
    </i>
    <i r="1">
      <x v="44"/>
    </i>
    <i r="1">
      <x v="73"/>
    </i>
    <i r="1">
      <x v="58"/>
    </i>
    <i r="1">
      <x v="94"/>
    </i>
    <i r="1">
      <x v="76"/>
    </i>
    <i r="1">
      <x v="86"/>
    </i>
    <i r="1">
      <x v="74"/>
    </i>
    <i r="1">
      <x v="1"/>
    </i>
    <i r="1">
      <x v="35"/>
    </i>
    <i r="1">
      <x v="57"/>
    </i>
    <i r="1">
      <x v="52"/>
    </i>
    <i r="1">
      <x v="90"/>
    </i>
    <i r="1">
      <x v="42"/>
    </i>
    <i r="1">
      <x v="6"/>
    </i>
    <i r="1">
      <x v="82"/>
    </i>
    <i r="1">
      <x v="80"/>
    </i>
    <i r="1">
      <x v="32"/>
    </i>
    <i r="1">
      <x v="113"/>
    </i>
    <i r="1">
      <x v="112"/>
    </i>
    <i r="1">
      <x v="39"/>
    </i>
    <i r="1">
      <x v="98"/>
    </i>
    <i r="1">
      <x v="109"/>
    </i>
    <i r="1">
      <x v="54"/>
    </i>
    <i r="1">
      <x v="53"/>
    </i>
    <i r="1">
      <x v="105"/>
    </i>
    <i r="1">
      <x v="45"/>
    </i>
    <i r="1">
      <x v="70"/>
    </i>
    <i r="1">
      <x v="24"/>
    </i>
    <i r="1">
      <x v="102"/>
    </i>
    <i r="1">
      <x v="47"/>
    </i>
    <i r="1">
      <x v="55"/>
    </i>
    <i r="1">
      <x v="81"/>
    </i>
    <i r="1">
      <x v="56"/>
    </i>
    <i r="1">
      <x v="51"/>
    </i>
    <i r="1">
      <x v="12"/>
    </i>
    <i r="1">
      <x v="48"/>
    </i>
    <i r="1">
      <x v="18"/>
    </i>
    <i r="1">
      <x v="106"/>
    </i>
    <i r="1">
      <x v="59"/>
    </i>
    <i r="1">
      <x v="83"/>
    </i>
    <i r="1">
      <x v="60"/>
    </i>
    <i r="1">
      <x v="87"/>
    </i>
    <i r="1">
      <x v="61"/>
    </i>
    <i r="1">
      <x v="92"/>
    </i>
    <i r="1">
      <x v="62"/>
    </i>
    <i r="1">
      <x v="27"/>
    </i>
    <i r="1">
      <x v="63"/>
    </i>
    <i r="1">
      <x v="100"/>
    </i>
    <i r="1">
      <x v="19"/>
    </i>
    <i r="1">
      <x v="104"/>
    </i>
    <i r="1">
      <x v="65"/>
    </i>
    <i r="1">
      <x v="17"/>
    </i>
    <i r="1">
      <x v="66"/>
    </i>
    <i r="1">
      <x v="5"/>
    </i>
    <i r="1">
      <x v="67"/>
    </i>
    <i r="1">
      <x v="84"/>
    </i>
    <i r="1">
      <x v="68"/>
    </i>
    <i r="1">
      <x v="14"/>
    </i>
    <i r="1">
      <x v="20"/>
    </i>
    <i r="1">
      <x v="25"/>
    </i>
    <i r="1">
      <x v="89"/>
    </i>
    <i r="1">
      <x v="15"/>
    </i>
    <i r="1">
      <x v="91"/>
    </i>
    <i r="1">
      <x v="71"/>
    </i>
    <i r="1">
      <x v="26"/>
    </i>
    <i r="1">
      <x v="72"/>
    </i>
    <i r="1">
      <x v="95"/>
    </i>
    <i r="1">
      <x v="10"/>
    </i>
    <i r="1">
      <x v="97"/>
    </i>
    <i r="1">
      <x v="11"/>
    </i>
    <i r="1">
      <x v="99"/>
    </i>
    <i r="1">
      <x v="22"/>
    </i>
    <i r="1">
      <x v="101"/>
    </i>
    <i r="1">
      <x v="108"/>
    </i>
    <i r="1">
      <x v="3"/>
    </i>
    <i r="1">
      <x v="46"/>
    </i>
    <i r="1">
      <x v="33"/>
    </i>
    <i r="1">
      <x v="49"/>
    </i>
    <i r="1">
      <x v="107"/>
    </i>
    <i r="1">
      <x v="2"/>
    </i>
    <i r="1">
      <x v="43"/>
    </i>
    <i r="1">
      <x v="110"/>
    </i>
    <i r="1">
      <x v="40"/>
    </i>
    <i r="1">
      <x v="114"/>
    </i>
    <i r="1">
      <x v="116"/>
    </i>
    <i r="1">
      <x v="13"/>
    </i>
    <i r="1">
      <x v="115"/>
    </i>
    <i r="1">
      <x v="77"/>
    </i>
    <i r="1">
      <x v="41"/>
    </i>
    <i r="1">
      <x v="78"/>
    </i>
    <i t="default">
      <x/>
    </i>
    <i>
      <x v="12"/>
      <x v="356"/>
    </i>
    <i r="1">
      <x v="355"/>
    </i>
    <i r="1">
      <x v="353"/>
    </i>
    <i r="1">
      <x v="340"/>
    </i>
    <i r="1">
      <x v="343"/>
    </i>
    <i r="1">
      <x v="349"/>
    </i>
    <i r="1">
      <x v="354"/>
    </i>
    <i r="1">
      <x v="351"/>
    </i>
    <i r="1">
      <x v="339"/>
    </i>
    <i r="1">
      <x v="341"/>
    </i>
    <i r="1">
      <x v="350"/>
    </i>
    <i r="1">
      <x v="344"/>
    </i>
    <i r="1">
      <x v="342"/>
    </i>
    <i r="1">
      <x v="345"/>
    </i>
    <i r="1">
      <x v="346"/>
    </i>
    <i r="1">
      <x v="347"/>
    </i>
    <i r="1">
      <x v="357"/>
    </i>
    <i r="1">
      <x v="358"/>
    </i>
    <i r="1">
      <x v="352"/>
    </i>
    <i r="1">
      <x v="348"/>
    </i>
    <i t="default">
      <x v="12"/>
    </i>
    <i>
      <x v="16"/>
      <x v="561"/>
    </i>
    <i r="1">
      <x v="551"/>
    </i>
    <i r="1">
      <x v="554"/>
    </i>
    <i r="1">
      <x v="548"/>
    </i>
    <i r="1">
      <x v="550"/>
    </i>
    <i r="1">
      <x v="549"/>
    </i>
    <i r="1">
      <x v="557"/>
    </i>
    <i r="1">
      <x v="558"/>
    </i>
    <i r="1">
      <x v="559"/>
    </i>
    <i r="1">
      <x v="560"/>
    </i>
    <i r="1">
      <x v="552"/>
    </i>
    <i r="1">
      <x v="553"/>
    </i>
    <i r="1">
      <x v="555"/>
    </i>
    <i r="1">
      <x v="556"/>
    </i>
    <i t="default">
      <x v="16"/>
    </i>
    <i>
      <x v="8"/>
      <x v="228"/>
    </i>
    <i r="1">
      <x v="239"/>
    </i>
    <i r="1">
      <x v="246"/>
    </i>
    <i r="1">
      <x v="238"/>
    </i>
    <i r="1">
      <x v="242"/>
    </i>
    <i r="1">
      <x v="248"/>
    </i>
    <i r="1">
      <x v="247"/>
    </i>
    <i r="1">
      <x v="232"/>
    </i>
    <i r="1">
      <x v="225"/>
    </i>
    <i r="1">
      <x v="235"/>
    </i>
    <i r="1">
      <x v="256"/>
    </i>
    <i r="1">
      <x v="237"/>
    </i>
    <i r="1">
      <x v="223"/>
    </i>
    <i r="1">
      <x v="255"/>
    </i>
    <i r="1">
      <x v="259"/>
    </i>
    <i r="1">
      <x v="251"/>
    </i>
    <i r="1">
      <x v="240"/>
    </i>
    <i r="1">
      <x v="226"/>
    </i>
    <i r="1">
      <x v="245"/>
    </i>
    <i r="1">
      <x v="231"/>
    </i>
    <i r="1">
      <x v="233"/>
    </i>
    <i r="1">
      <x v="258"/>
    </i>
    <i r="1">
      <x v="252"/>
    </i>
    <i r="1">
      <x v="230"/>
    </i>
    <i r="1">
      <x v="254"/>
    </i>
    <i r="1">
      <x v="234"/>
    </i>
    <i r="1">
      <x v="224"/>
    </i>
    <i r="1">
      <x v="227"/>
    </i>
    <i r="1">
      <x v="253"/>
    </i>
    <i r="1">
      <x v="257"/>
    </i>
    <i r="1">
      <x v="229"/>
    </i>
    <i r="1">
      <x v="244"/>
    </i>
    <i r="1">
      <x v="243"/>
    </i>
    <i r="1">
      <x v="250"/>
    </i>
    <i r="1">
      <x v="236"/>
    </i>
    <i r="1">
      <x v="249"/>
    </i>
    <i r="1">
      <x v="241"/>
    </i>
    <i t="default">
      <x v="8"/>
    </i>
    <i>
      <x v="3"/>
      <x v="129"/>
    </i>
    <i r="1">
      <x v="131"/>
    </i>
    <i r="1">
      <x v="130"/>
    </i>
    <i r="1">
      <x v="125"/>
    </i>
    <i r="1">
      <x v="127"/>
    </i>
    <i r="1">
      <x v="128"/>
    </i>
    <i r="1">
      <x v="126"/>
    </i>
    <i r="1">
      <x v="124"/>
    </i>
    <i t="default">
      <x v="3"/>
    </i>
    <i>
      <x v="7"/>
      <x v="200"/>
    </i>
    <i r="1">
      <x v="214"/>
    </i>
    <i r="1">
      <x v="220"/>
    </i>
    <i r="1">
      <x v="209"/>
    </i>
    <i r="1">
      <x v="218"/>
    </i>
    <i r="1">
      <x v="207"/>
    </i>
    <i r="1">
      <x v="211"/>
    </i>
    <i r="1">
      <x v="206"/>
    </i>
    <i r="1">
      <x v="210"/>
    </i>
    <i r="1">
      <x v="201"/>
    </i>
    <i r="1">
      <x v="217"/>
    </i>
    <i r="1">
      <x v="204"/>
    </i>
    <i r="1">
      <x v="202"/>
    </i>
    <i r="1">
      <x v="222"/>
    </i>
    <i r="1">
      <x v="203"/>
    </i>
    <i r="1">
      <x v="205"/>
    </i>
    <i r="1">
      <x v="199"/>
    </i>
    <i r="1">
      <x v="219"/>
    </i>
    <i r="1">
      <x v="215"/>
    </i>
    <i r="1">
      <x v="216"/>
    </i>
    <i r="1">
      <x v="213"/>
    </i>
    <i r="1">
      <x v="221"/>
    </i>
    <i r="1">
      <x v="208"/>
    </i>
    <i r="1">
      <x v="212"/>
    </i>
    <i t="default">
      <x v="7"/>
    </i>
    <i>
      <x v="9"/>
      <x v="266"/>
    </i>
    <i r="1">
      <x v="296"/>
    </i>
    <i r="1">
      <x v="319"/>
    </i>
    <i r="1">
      <x v="285"/>
    </i>
    <i r="1">
      <x v="318"/>
    </i>
    <i r="1">
      <x v="310"/>
    </i>
    <i r="1">
      <x v="306"/>
    </i>
    <i r="1">
      <x v="288"/>
    </i>
    <i r="1">
      <x v="272"/>
    </i>
    <i r="1">
      <x v="271"/>
    </i>
    <i r="1">
      <x v="270"/>
    </i>
    <i r="1">
      <x v="295"/>
    </i>
    <i r="1">
      <x v="279"/>
    </i>
    <i r="1">
      <x v="320"/>
    </i>
    <i r="1">
      <x v="268"/>
    </i>
    <i r="1">
      <x v="294"/>
    </i>
    <i r="1">
      <x v="276"/>
    </i>
    <i r="1">
      <x v="311"/>
    </i>
    <i r="1">
      <x v="301"/>
    </i>
    <i r="1">
      <x v="304"/>
    </i>
    <i r="1">
      <x v="315"/>
    </i>
    <i r="1">
      <x v="287"/>
    </i>
    <i r="1">
      <x v="313"/>
    </i>
    <i r="1">
      <x v="280"/>
    </i>
    <i r="1">
      <x v="302"/>
    </i>
    <i r="1">
      <x v="298"/>
    </i>
    <i r="1">
      <x v="316"/>
    </i>
    <i r="1">
      <x v="286"/>
    </i>
    <i r="1">
      <x v="297"/>
    </i>
    <i r="1">
      <x v="307"/>
    </i>
    <i r="1">
      <x v="299"/>
    </i>
    <i r="1">
      <x v="260"/>
    </i>
    <i r="1">
      <x v="283"/>
    </i>
    <i r="1">
      <x v="264"/>
    </i>
    <i r="1">
      <x v="269"/>
    </i>
    <i r="1">
      <x v="293"/>
    </i>
    <i r="1">
      <x v="321"/>
    </i>
    <i r="1">
      <x v="273"/>
    </i>
    <i r="1">
      <x v="309"/>
    </i>
    <i r="1">
      <x v="274"/>
    </i>
    <i r="1">
      <x v="263"/>
    </i>
    <i r="1">
      <x v="275"/>
    </i>
    <i r="1">
      <x v="317"/>
    </i>
    <i r="1">
      <x v="261"/>
    </i>
    <i r="1">
      <x v="292"/>
    </i>
    <i r="1">
      <x v="277"/>
    </i>
    <i r="1">
      <x v="308"/>
    </i>
    <i r="1">
      <x v="278"/>
    </i>
    <i r="1">
      <x v="284"/>
    </i>
    <i r="1">
      <x v="300"/>
    </i>
    <i r="1">
      <x v="312"/>
    </i>
    <i r="1">
      <x v="267"/>
    </i>
    <i r="1">
      <x v="314"/>
    </i>
    <i r="1">
      <x v="262"/>
    </i>
    <i r="1">
      <x v="265"/>
    </i>
    <i r="1">
      <x v="303"/>
    </i>
    <i r="1">
      <x v="289"/>
    </i>
    <i r="1">
      <x v="281"/>
    </i>
    <i r="1">
      <x v="291"/>
    </i>
    <i r="1">
      <x v="305"/>
    </i>
    <i r="1">
      <x v="282"/>
    </i>
    <i r="1">
      <x v="290"/>
    </i>
    <i t="default">
      <x v="9"/>
    </i>
    <i>
      <x v="6"/>
      <x v="197"/>
    </i>
    <i r="1">
      <x v="185"/>
    </i>
    <i r="1">
      <x v="175"/>
    </i>
    <i r="1">
      <x v="189"/>
    </i>
    <i r="1">
      <x v="174"/>
    </i>
    <i r="1">
      <x v="194"/>
    </i>
    <i r="1">
      <x v="187"/>
    </i>
    <i r="1">
      <x v="183"/>
    </i>
    <i r="1">
      <x v="186"/>
    </i>
    <i r="1">
      <x v="177"/>
    </i>
    <i r="1">
      <x v="176"/>
    </i>
    <i r="1">
      <x v="190"/>
    </i>
    <i r="1">
      <x v="198"/>
    </i>
    <i r="1">
      <x v="196"/>
    </i>
    <i r="1">
      <x v="195"/>
    </i>
    <i r="1">
      <x v="182"/>
    </i>
    <i r="1">
      <x v="184"/>
    </i>
    <i r="1">
      <x v="188"/>
    </i>
    <i r="1">
      <x v="181"/>
    </i>
    <i r="1">
      <x v="179"/>
    </i>
    <i r="1">
      <x v="180"/>
    </i>
    <i r="1">
      <x v="178"/>
    </i>
    <i r="1">
      <x v="193"/>
    </i>
    <i r="1">
      <x v="191"/>
    </i>
    <i r="1">
      <x v="192"/>
    </i>
    <i t="default">
      <x v="6"/>
    </i>
    <i>
      <x v="2"/>
      <x v="120"/>
    </i>
    <i r="1">
      <x v="123"/>
    </i>
    <i r="1">
      <x v="121"/>
    </i>
    <i r="1">
      <x v="122"/>
    </i>
    <i t="default">
      <x v="2"/>
    </i>
    <i>
      <x v="20"/>
      <x v="609"/>
    </i>
    <i r="1">
      <x v="601"/>
    </i>
    <i r="1">
      <x v="606"/>
    </i>
    <i r="1">
      <x v="605"/>
    </i>
    <i r="1">
      <x v="603"/>
    </i>
    <i r="1">
      <x v="604"/>
    </i>
    <i r="1">
      <x v="602"/>
    </i>
    <i r="1">
      <x v="608"/>
    </i>
    <i r="1">
      <x v="607"/>
    </i>
    <i t="default">
      <x v="20"/>
    </i>
    <i>
      <x v="17"/>
      <x v="570"/>
    </i>
    <i r="1">
      <x v="562"/>
    </i>
    <i r="1">
      <x v="569"/>
    </i>
    <i r="1">
      <x v="563"/>
    </i>
    <i r="1">
      <x v="564"/>
    </i>
    <i r="1">
      <x v="571"/>
    </i>
    <i r="1">
      <x v="567"/>
    </i>
    <i r="1">
      <x v="568"/>
    </i>
    <i r="1">
      <x v="565"/>
    </i>
    <i r="1">
      <x v="566"/>
    </i>
    <i t="default">
      <x v="17"/>
    </i>
    <i>
      <x v="18"/>
      <x v="575"/>
    </i>
    <i r="1">
      <x v="577"/>
    </i>
    <i r="1">
      <x v="576"/>
    </i>
    <i r="1">
      <x v="573"/>
    </i>
    <i r="1">
      <x v="572"/>
    </i>
    <i r="1">
      <x v="574"/>
    </i>
    <i t="default">
      <x v="18"/>
    </i>
    <i>
      <x v="13"/>
      <x v="414"/>
    </i>
    <i r="1">
      <x v="418"/>
    </i>
    <i r="1">
      <x v="451"/>
    </i>
    <i r="1">
      <x v="437"/>
    </i>
    <i r="1">
      <x v="399"/>
    </i>
    <i r="1">
      <x v="433"/>
    </i>
    <i r="1">
      <x v="381"/>
    </i>
    <i r="1">
      <x v="407"/>
    </i>
    <i r="1">
      <x v="423"/>
    </i>
    <i r="1">
      <x v="395"/>
    </i>
    <i r="1">
      <x v="436"/>
    </i>
    <i r="1">
      <x v="404"/>
    </i>
    <i r="1">
      <x v="424"/>
    </i>
    <i r="1">
      <x v="427"/>
    </i>
    <i r="1">
      <x v="440"/>
    </i>
    <i r="1">
      <x v="432"/>
    </i>
    <i r="1">
      <x v="378"/>
    </i>
    <i r="1">
      <x v="446"/>
    </i>
    <i r="1">
      <x v="361"/>
    </i>
    <i r="1">
      <x v="408"/>
    </i>
    <i r="1">
      <x v="443"/>
    </i>
    <i r="1">
      <x v="454"/>
    </i>
    <i r="1">
      <x v="425"/>
    </i>
    <i r="1">
      <x v="429"/>
    </i>
    <i r="1">
      <x v="426"/>
    </i>
    <i r="1">
      <x v="441"/>
    </i>
    <i r="1">
      <x v="392"/>
    </i>
    <i r="1">
      <x v="435"/>
    </i>
    <i r="1">
      <x v="417"/>
    </i>
    <i r="1">
      <x v="375"/>
    </i>
    <i r="1">
      <x v="419"/>
    </i>
    <i r="1">
      <x v="442"/>
    </i>
    <i r="1">
      <x v="379"/>
    </i>
    <i r="1">
      <x v="450"/>
    </i>
    <i r="1">
      <x v="364"/>
    </i>
    <i r="1">
      <x v="384"/>
    </i>
    <i r="1">
      <x v="391"/>
    </i>
    <i r="1">
      <x v="439"/>
    </i>
    <i r="1">
      <x v="406"/>
    </i>
    <i r="1">
      <x v="383"/>
    </i>
    <i r="1">
      <x v="445"/>
    </i>
    <i r="1">
      <x v="388"/>
    </i>
    <i r="1">
      <x v="370"/>
    </i>
    <i r="1">
      <x v="397"/>
    </i>
    <i r="1">
      <x v="400"/>
    </i>
    <i r="1">
      <x v="385"/>
    </i>
    <i r="1">
      <x v="401"/>
    </i>
    <i r="1">
      <x v="367"/>
    </i>
    <i r="1">
      <x v="402"/>
    </i>
    <i r="1">
      <x v="449"/>
    </i>
    <i r="1">
      <x v="403"/>
    </i>
    <i r="1">
      <x v="382"/>
    </i>
    <i r="1">
      <x v="371"/>
    </i>
    <i r="1">
      <x v="431"/>
    </i>
    <i r="1">
      <x v="405"/>
    </i>
    <i r="1">
      <x v="386"/>
    </i>
    <i r="1">
      <x v="359"/>
    </i>
    <i r="1">
      <x v="389"/>
    </i>
    <i r="1">
      <x v="372"/>
    </i>
    <i r="1">
      <x v="393"/>
    </i>
    <i r="1">
      <x v="373"/>
    </i>
    <i r="1">
      <x v="447"/>
    </i>
    <i r="1">
      <x v="409"/>
    </i>
    <i r="1">
      <x v="396"/>
    </i>
    <i r="1">
      <x v="410"/>
    </i>
    <i r="1">
      <x v="398"/>
    </i>
    <i r="1">
      <x v="411"/>
    </i>
    <i r="1">
      <x v="428"/>
    </i>
    <i r="1">
      <x v="412"/>
    </i>
    <i r="1">
      <x v="430"/>
    </i>
    <i r="1">
      <x v="413"/>
    </i>
    <i r="1">
      <x v="366"/>
    </i>
    <i r="1">
      <x v="374"/>
    </i>
    <i r="1">
      <x v="434"/>
    </i>
    <i r="1">
      <x v="415"/>
    </i>
    <i r="1">
      <x v="387"/>
    </i>
    <i r="1">
      <x v="416"/>
    </i>
    <i r="1">
      <x v="438"/>
    </i>
    <i r="1">
      <x v="362"/>
    </i>
    <i r="1">
      <x v="390"/>
    </i>
    <i r="1">
      <x v="376"/>
    </i>
    <i r="1">
      <x v="368"/>
    </i>
    <i r="1">
      <x v="377"/>
    </i>
    <i r="1">
      <x v="444"/>
    </i>
    <i r="1">
      <x v="420"/>
    </i>
    <i r="1">
      <x v="394"/>
    </i>
    <i r="1">
      <x v="421"/>
    </i>
    <i r="1">
      <x v="448"/>
    </i>
    <i r="1">
      <x v="422"/>
    </i>
    <i r="1">
      <x v="369"/>
    </i>
    <i r="1">
      <x v="363"/>
    </i>
    <i r="1">
      <x v="452"/>
    </i>
    <i r="1">
      <x v="360"/>
    </i>
    <i r="1">
      <x v="380"/>
    </i>
    <i r="1">
      <x v="365"/>
    </i>
    <i r="1">
      <x v="453"/>
    </i>
    <i t="default">
      <x v="13"/>
    </i>
    <i>
      <x v="1"/>
      <x v="118"/>
    </i>
    <i r="1">
      <x v="117"/>
    </i>
    <i r="1">
      <x v="119"/>
    </i>
    <i t="default">
      <x v="1"/>
    </i>
    <i>
      <x v="4"/>
      <x v="155"/>
    </i>
    <i r="1">
      <x v="137"/>
    </i>
    <i r="1">
      <x v="135"/>
    </i>
    <i r="1">
      <x v="142"/>
    </i>
    <i r="1">
      <x v="140"/>
    </i>
    <i r="1">
      <x v="157"/>
    </i>
    <i r="1">
      <x v="156"/>
    </i>
    <i r="1">
      <x v="148"/>
    </i>
    <i r="1">
      <x v="153"/>
    </i>
    <i r="1">
      <x v="136"/>
    </i>
    <i r="1">
      <x v="133"/>
    </i>
    <i r="1">
      <x v="143"/>
    </i>
    <i r="1">
      <x v="146"/>
    </i>
    <i r="1">
      <x v="145"/>
    </i>
    <i r="1">
      <x v="134"/>
    </i>
    <i r="1">
      <x v="152"/>
    </i>
    <i r="1">
      <x v="147"/>
    </i>
    <i r="1">
      <x v="141"/>
    </i>
    <i r="1">
      <x v="139"/>
    </i>
    <i r="1">
      <x v="149"/>
    </i>
    <i r="1">
      <x v="151"/>
    </i>
    <i r="1">
      <x v="132"/>
    </i>
    <i r="1">
      <x v="144"/>
    </i>
    <i r="1">
      <x v="150"/>
    </i>
    <i r="1">
      <x v="158"/>
    </i>
    <i r="1">
      <x v="154"/>
    </i>
    <i r="1">
      <x v="138"/>
    </i>
    <i t="default">
      <x v="4"/>
    </i>
    <i>
      <x v="5"/>
      <x v="172"/>
    </i>
    <i r="1">
      <x v="173"/>
    </i>
    <i r="1">
      <x v="160"/>
    </i>
    <i r="1">
      <x v="166"/>
    </i>
    <i r="1">
      <x v="163"/>
    </i>
    <i r="1">
      <x v="167"/>
    </i>
    <i r="1">
      <x v="168"/>
    </i>
    <i r="1">
      <x v="165"/>
    </i>
    <i r="1">
      <x v="169"/>
    </i>
    <i r="1">
      <x v="170"/>
    </i>
    <i r="1">
      <x v="159"/>
    </i>
    <i r="1">
      <x v="164"/>
    </i>
    <i r="1">
      <x v="161"/>
    </i>
    <i r="1">
      <x v="162"/>
    </i>
    <i r="1">
      <x v="171"/>
    </i>
    <i t="default">
      <x v="5"/>
    </i>
    <i>
      <x v="11"/>
      <x v="338"/>
    </i>
    <i r="1">
      <x v="336"/>
    </i>
    <i r="1">
      <x v="334"/>
    </i>
    <i r="1">
      <x v="335"/>
    </i>
    <i r="1">
      <x v="337"/>
    </i>
    <i t="default">
      <x v="11"/>
    </i>
    <i>
      <x v="19"/>
      <x v="579"/>
    </i>
    <i r="1">
      <x v="594"/>
    </i>
    <i r="1">
      <x v="598"/>
    </i>
    <i r="1">
      <x v="590"/>
    </i>
    <i r="1">
      <x v="592"/>
    </i>
    <i r="1">
      <x v="580"/>
    </i>
    <i r="1">
      <x v="596"/>
    </i>
    <i r="1">
      <x v="582"/>
    </i>
    <i r="1">
      <x v="600"/>
    </i>
    <i r="1">
      <x v="583"/>
    </i>
    <i r="1">
      <x v="591"/>
    </i>
    <i r="1">
      <x v="584"/>
    </i>
    <i r="1">
      <x v="593"/>
    </i>
    <i r="1">
      <x v="585"/>
    </i>
    <i r="1">
      <x v="595"/>
    </i>
    <i r="1">
      <x v="586"/>
    </i>
    <i r="1">
      <x v="597"/>
    </i>
    <i r="1">
      <x v="587"/>
    </i>
    <i r="1">
      <x v="599"/>
    </i>
    <i r="1">
      <x v="588"/>
    </i>
    <i r="1">
      <x v="578"/>
    </i>
    <i r="1">
      <x v="589"/>
    </i>
    <i r="1">
      <x v="581"/>
    </i>
    <i t="default">
      <x v="19"/>
    </i>
    <i t="grand">
      <x/>
    </i>
  </rowItems>
  <colFields count="1">
    <field x="-2"/>
  </colFields>
  <colItems count="3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</colItems>
  <pageFields count="10">
    <pageField fld="37" hier="100" name="[Material].[MerchProduct].&amp;[Merch]" cap="Merch"/>
    <pageField fld="13" hier="16" name="[Calendar].[MerchYearMonth].[All]" cap="All"/>
    <pageField fld="33" hier="142" name="[SalesChannel].[H_SalesChannel].[SalesOrgType].&amp;[İştirak].&amp;[TÜRKİYE]" cap="TÜRKİYE"/>
    <pageField fld="9" hier="165" name="[Store].[LocationCountry].[All]" cap="All"/>
    <pageField fld="0" hier="148" name="[SalesChannel].[SalesOrgType].&amp;[İştirak]" cap="İştirak"/>
    <pageField fld="1" hier="140" name="[SalesChannel].[DistrubitionChannelDesc].&amp;[Perakende Satış]" cap="Perakende Satış"/>
    <pageField fld="5" hier="6" name="[Calendar].[H_Merch].[MerchYear].&amp;[2026]" cap="2026"/>
    <pageField fld="32" hier="81" name="[Material].[MaterialDesc].[All]" cap="All"/>
    <pageField fld="43" hier="11" name="[Calendar].[LastNWeeks].[All]" cap="All"/>
    <pageField fld="44" hier="9" name="[Calendar].[LastNDays].&amp;[1]" cap="1"/>
  </pageFields>
  <dataFields count="30">
    <dataField fld="12" baseField="0" baseItem="0"/>
    <dataField fld="14" baseField="0" baseItem="0"/>
    <dataField fld="2" baseField="0" baseItem="0"/>
    <dataField fld="15" baseField="0" baseItem="0" numFmtId="3"/>
    <dataField fld="3" baseField="0" baseItem="0" numFmtId="3"/>
    <dataField fld="16" baseField="0" baseItem="0" numFmtId="3"/>
    <dataField fld="26" baseField="0" baseItem="0"/>
    <dataField fld="27" baseField="0" baseItem="0"/>
    <dataField fld="4" baseField="0" baseItem="0"/>
    <dataField fld="17" baseField="0" baseItem="0"/>
    <dataField fld="22" baseField="0" baseItem="0"/>
    <dataField fld="23" baseField="0" baseItem="0"/>
    <dataField fld="18" baseField="0" baseItem="0"/>
    <dataField fld="19" baseField="0" baseItem="0"/>
    <dataField fld="24" baseField="0" baseItem="0"/>
    <dataField fld="25" baseField="0" baseItem="0"/>
    <dataField fld="20" baseField="0" baseItem="0"/>
    <dataField fld="21" baseField="0" baseItem="0"/>
    <dataField fld="28" baseField="0" baseItem="0"/>
    <dataField fld="29" baseField="0" baseItem="0"/>
    <dataField fld="30" baseField="0" baseItem="0"/>
    <dataField fld="31" baseField="0" baseItem="0"/>
    <dataField fld="38" baseField="0" baseItem="0"/>
    <dataField fld="39" baseField="0" baseItem="0"/>
    <dataField fld="40" baseField="0" baseItem="0"/>
    <dataField fld="41" baseField="0" baseItem="0"/>
    <dataField fld="42" baseField="0" baseItem="0"/>
    <dataField fld="45" baseField="0" baseItem="0"/>
    <dataField fld="46" baseField="0" baseItem="0"/>
    <dataField fld="47" baseField="0" baseItem="0"/>
  </dataFields>
  <formats count="44">
    <format dxfId="323">
      <pivotArea field="5" type="button" dataOnly="0" labelOnly="1" outline="0" axis="axisPage" fieldPosition="6"/>
    </format>
    <format dxfId="322">
      <pivotArea field="6" type="button" dataOnly="0" labelOnly="1" outline="0"/>
    </format>
    <format dxfId="321">
      <pivotArea dataOnly="0" labelOnly="1" outline="0" fieldPosition="0">
        <references count="1">
          <reference field="4294967294" count="3">
            <x v="2"/>
            <x v="4"/>
            <x v="8"/>
          </reference>
        </references>
      </pivotArea>
    </format>
    <format dxfId="320">
      <pivotArea field="5" type="button" dataOnly="0" labelOnly="1" outline="0" axis="axisPage" fieldPosition="6"/>
    </format>
    <format dxfId="319">
      <pivotArea field="6" type="button" dataOnly="0" labelOnly="1" outline="0"/>
    </format>
    <format dxfId="318">
      <pivotArea dataOnly="0" labelOnly="1" outline="0" fieldPosition="0">
        <references count="1">
          <reference field="4294967294" count="3">
            <x v="2"/>
            <x v="4"/>
            <x v="8"/>
          </reference>
        </references>
      </pivotArea>
    </format>
    <format dxfId="317">
      <pivotArea field="5" type="button" dataOnly="0" labelOnly="1" outline="0" axis="axisPage" fieldPosition="6"/>
    </format>
    <format dxfId="316">
      <pivotArea field="6" type="button" dataOnly="0" labelOnly="1" outline="0"/>
    </format>
    <format dxfId="315">
      <pivotArea dataOnly="0" labelOnly="1" outline="0" fieldPosition="0">
        <references count="1">
          <reference field="4294967294" count="3">
            <x v="2"/>
            <x v="4"/>
            <x v="8"/>
          </reference>
        </references>
      </pivotArea>
    </format>
    <format dxfId="314">
      <pivotArea outline="0" fieldPosition="0">
        <references count="1">
          <reference field="4294967294" count="1" selected="0">
            <x v="4"/>
          </reference>
        </references>
      </pivotArea>
    </format>
    <format dxfId="3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0">
      <pivotArea dataOnly="0" outline="0" fieldPosition="0">
        <references count="1">
          <reference field="4294967294" count="1">
            <x v="2"/>
          </reference>
        </references>
      </pivotArea>
    </format>
    <format dxfId="309">
      <pivotArea dataOnly="0" outline="0" fieldPosition="0">
        <references count="1">
          <reference field="13" count="0" defaultSubtotal="1"/>
        </references>
      </pivotArea>
    </format>
    <format dxfId="308">
      <pivotArea dataOnly="0" labelOnly="1" outline="0" fieldPosition="0">
        <references count="1">
          <reference field="4294967294" count="6">
            <x v="1"/>
            <x v="3"/>
            <x v="5"/>
            <x v="9"/>
            <x v="12"/>
            <x v="13"/>
          </reference>
        </references>
      </pivotArea>
    </format>
    <format dxfId="307">
      <pivotArea dataOnly="0" labelOnly="1" outline="0" fieldPosition="0">
        <references count="1">
          <reference field="4294967294" count="6">
            <x v="1"/>
            <x v="3"/>
            <x v="5"/>
            <x v="9"/>
            <x v="12"/>
            <x v="13"/>
          </reference>
        </references>
      </pivotArea>
    </format>
    <format dxfId="306">
      <pivotArea dataOnly="0" labelOnly="1" outline="0" fieldPosition="0">
        <references count="1">
          <reference field="4294967294" count="6">
            <x v="1"/>
            <x v="3"/>
            <x v="5"/>
            <x v="9"/>
            <x v="12"/>
            <x v="13"/>
          </reference>
        </references>
      </pivotArea>
    </format>
    <format dxfId="305">
      <pivotArea field="13" type="button" dataOnly="0" labelOnly="1" outline="0" axis="axisPage" fieldPosition="1"/>
    </format>
    <format dxfId="304">
      <pivotArea field="13" type="button" dataOnly="0" labelOnly="1" outline="0" axis="axisPage" fieldPosition="1"/>
    </format>
    <format dxfId="303">
      <pivotArea field="13" type="button" dataOnly="0" labelOnly="1" outline="0" axis="axisPage" fieldPosition="1"/>
    </format>
    <format dxfId="302">
      <pivotArea outline="0" fieldPosition="0">
        <references count="1">
          <reference field="4294967294" count="1" selected="0">
            <x v="3"/>
          </reference>
        </references>
      </pivotArea>
    </format>
    <format dxfId="301">
      <pivotArea outline="0" fieldPosition="0">
        <references count="1">
          <reference field="4294967294" count="1" selected="0">
            <x v="5"/>
          </reference>
        </references>
      </pivotArea>
    </format>
    <format dxfId="300">
      <pivotArea dataOnly="0" labelOnly="1" outline="0" fieldPosition="0">
        <references count="1">
          <reference field="4294967294" count="2">
            <x v="16"/>
            <x v="17"/>
          </reference>
        </references>
      </pivotArea>
    </format>
    <format dxfId="299">
      <pivotArea dataOnly="0" labelOnly="1" outline="0" fieldPosition="0">
        <references count="1">
          <reference field="4294967294" count="2">
            <x v="16"/>
            <x v="17"/>
          </reference>
        </references>
      </pivotArea>
    </format>
    <format dxfId="298">
      <pivotArea dataOnly="0" labelOnly="1" outline="0" fieldPosition="0">
        <references count="1">
          <reference field="4294967294" count="2">
            <x v="16"/>
            <x v="17"/>
          </reference>
        </references>
      </pivotArea>
    </format>
    <format dxfId="297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296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295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294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93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92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91">
      <pivotArea dataOnly="0" labelOnly="1" outline="0" fieldPosition="0">
        <references count="1">
          <reference field="4294967294" count="2">
            <x v="14"/>
            <x v="15"/>
          </reference>
        </references>
      </pivotArea>
    </format>
    <format dxfId="290">
      <pivotArea dataOnly="0" labelOnly="1" outline="0" fieldPosition="0">
        <references count="1">
          <reference field="4294967294" count="2">
            <x v="14"/>
            <x v="15"/>
          </reference>
        </references>
      </pivotArea>
    </format>
    <format dxfId="289">
      <pivotArea dataOnly="0" labelOnly="1" outline="0" fieldPosition="0">
        <references count="1">
          <reference field="4294967294" count="2">
            <x v="14"/>
            <x v="15"/>
          </reference>
        </references>
      </pivotArea>
    </format>
    <format dxfId="288">
      <pivotArea dataOnly="0" outline="0" fieldPosition="0">
        <references count="1">
          <reference field="4294967294" count="1">
            <x v="4"/>
          </reference>
        </references>
      </pivotArea>
    </format>
    <format dxfId="287">
      <pivotArea dataOnly="0" outline="0" fieldPosition="0">
        <references count="1">
          <reference field="10" count="0" defaultSubtotal="1"/>
        </references>
      </pivotArea>
    </format>
    <format dxfId="286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285">
      <pivotArea dataOnly="0" labelOnly="1" outline="0" fieldPosition="0">
        <references count="1">
          <reference field="4294967294" count="4">
            <x v="18"/>
            <x v="19"/>
            <x v="20"/>
            <x v="21"/>
          </reference>
        </references>
      </pivotArea>
    </format>
    <format dxfId="284">
      <pivotArea dataOnly="0" outline="0" fieldPosition="0">
        <references count="1">
          <reference field="4294967294" count="2">
            <x v="6"/>
            <x v="7"/>
          </reference>
        </references>
      </pivotArea>
    </format>
    <format dxfId="283">
      <pivotArea dataOnly="0" labelOnly="1" outline="0" fieldPosition="0">
        <references count="1">
          <reference field="4294967294" count="5">
            <x v="22"/>
            <x v="23"/>
            <x v="24"/>
            <x v="25"/>
            <x v="26"/>
          </reference>
        </references>
      </pivotArea>
    </format>
    <format dxfId="282">
      <pivotArea dataOnly="0" labelOnly="1" outline="0" fieldPosition="0">
        <references count="1">
          <reference field="4294967294" count="3">
            <x v="27"/>
            <x v="28"/>
            <x v="29"/>
          </reference>
        </references>
      </pivotArea>
    </format>
    <format dxfId="281">
      <pivotArea dataOnly="0" labelOnly="1" outline="0" fieldPosition="0">
        <references count="1">
          <reference field="4294967294" count="3">
            <x v="27"/>
            <x v="28"/>
            <x v="29"/>
          </reference>
        </references>
      </pivotArea>
    </format>
    <format dxfId="280">
      <pivotArea dataOnly="0" labelOnly="1" outline="0" fieldPosition="0">
        <references count="1">
          <reference field="4294967294" count="3">
            <x v="27"/>
            <x v="28"/>
            <x v="29"/>
          </reference>
        </references>
      </pivotArea>
    </format>
  </formats>
  <pivotHierarchies count="1569">
    <pivotHierarchy/>
    <pivotHierarchy/>
    <pivotHierarchy/>
    <pivotHierarchy/>
    <pivotHierarchy/>
    <pivotHierarchy/>
    <pivotHierarchy multipleItemSelectionAllowed="1">
      <members count="1" level="1">
        <member name="[Calendar].[H_Merch].[MerchYear].&amp;[2026]"/>
      </members>
    </pivotHierarchy>
    <pivotHierarchy/>
    <pivotHierarchy/>
    <pivotHierarchy multipleItemSelectionAllowed="1">
      <members count="7" level="1">
        <member name="[Calendar].[LastNDays].&amp;[1]"/>
        <member name="[Calendar].[LastNDays].&amp;[2]"/>
        <member name="[Calendar].[LastNDays].&amp;[3]"/>
        <member name="[Calendar].[LastNDays].&amp;[4]"/>
        <member name="[Calendar].[LastNDays].&amp;[5]"/>
        <member name="[Calendar].[LastNDays].&amp;[6]"/>
        <member name="[Calendar].[LastNDays].&amp;[7]"/>
      </members>
    </pivotHierarchy>
    <pivotHierarchy/>
    <pivotHierarchy/>
    <pivotHierarchy multipleItemSelectionAllowed="1"/>
    <pivotHierarchy/>
    <pivotHierarchy multipleItemSelectionAllowed="1"/>
    <pivotHierarchy multipleItemSelectionAllowed="1">
      <members count="1" level="1">
        <member name="[Calendar].[MerchYear].&amp;[20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 multipleItemSelectionAllowed="1">
      <members count="1" level="2">
        <member name="[SalesChannel].[H_SalesChannel].[SalesOrgType].&amp;[İştirak].&amp;[TÜRKİY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88471-CC6A-41D6-A56D-C3652BAE30EF}" name="PivotTable2" cacheId="2" applyNumberFormats="0" applyBorderFormats="0" applyFontFormats="0" applyPatternFormats="0" applyAlignmentFormats="0" applyWidthHeightFormats="1" dataCaption="Değerler" updatedVersion="8" minRefreshableVersion="3" subtotalHiddenItems="1" colGrandTotals="0" itemPrintTitles="1" mergeItem="1" createdVersion="8" indent="0" compact="0" compactData="0" gridDropZones="1" multipleFieldFilters="0" chartFormat="2" fieldListSortAscending="1">
  <location ref="A63:AA87" firstHeaderRow="1" firstDataRow="3" firstDataCol="1" rowPageCount="6" colPageCount="1"/>
  <pivotFields count="25"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2">
        <item s="1" x="0"/>
        <item s="1" x="1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>
      <items count="23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x="21"/>
        <item x="22"/>
      </items>
    </pivotField>
    <pivotField axis="axisRow" compact="0" outline="0" subtotalTop="0" showAll="0" sortType="descending" defaultSubtotal="0">
      <autoSortScope>
        <pivotArea dataOnly="0" outline="0" fieldPosition="0">
          <references count="2">
            <reference field="4294967294" count="1" selected="0">
              <x v="6"/>
            </reference>
            <reference field="1" count="1" selected="0">
              <x v="1"/>
            </reference>
          </references>
        </pivotArea>
      </autoSortScope>
    </pivotField>
    <pivotField dataField="1" compact="0" outline="0" subtotalTop="0" showAll="0" defaultSubtotal="0"/>
    <pivotField axis="axisPage" compact="0" allDrilled="1" outline="0" subtotalTop="0" showAll="0" dataSourceSort="1" defaultAttributeDrillState="1">
      <items count="1">
        <item t="default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2">
    <field x="1"/>
    <field x="-2"/>
  </colFields>
  <colItems count="26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</colItems>
  <pageFields count="6">
    <pageField fld="20" hier="100" name="[Material].[MerchProduct].&amp;[Merch]" cap="Merch"/>
    <pageField fld="19" hier="138" name="[SalesChannel].[CountryName].&amp;[TÜRKİYE]" cap="TÜRKİYE"/>
    <pageField fld="0" hier="148" name="[SalesChannel].[SalesOrgType].&amp;[İştirak]" cap="İştirak"/>
    <pageField fld="6" hier="6" name="[Calendar].[H_Merch].[MerchYearMonthName].&amp;[2025-Mart]" cap="2025-Mart"/>
    <pageField fld="10" hier="14" name="[Calendar].[MerchWeek].[All]" cap="All"/>
    <pageField fld="14" hier="75" name="[Material].[MainGroupDesc].[All]" cap="All"/>
  </pageFields>
  <dataFields count="13">
    <dataField name="TY Avg Store Stock Unit %" fld="4" baseField="14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TY Sales Unit %" fld="2" baseField="14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TY Sales Value LC %" fld="3" baseField="14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TY Gross Profit LC2" fld="15" showDataAs="percentOfCol" baseField="0" baseItem="0" numFmtId="10">
      <extLst>
        <ext xmlns:x14="http://schemas.microsoft.com/office/spreadsheetml/2009/9/main" uri="{E15A36E0-9728-4e99-A89B-3F7291B0FE68}">
          <x14:dataField sourceField="15" uniqueName="[__Xl2].[Measures].[TY Gross Profit LC]"/>
        </ext>
      </extLst>
    </dataField>
    <dataField name="TY Avg Store Stock Unit" fld="21" baseField="0" baseItem="0">
      <extLst>
        <ext xmlns:x14="http://schemas.microsoft.com/office/spreadsheetml/2009/9/main" uri="{E15A36E0-9728-4e99-A89B-3F7291B0FE68}">
          <x14:dataField sourceField="4" uniqueName="[__Xl2].[Measures].[TY Avg Store Stock Unit]"/>
        </ext>
      </extLst>
    </dataField>
    <dataField name="TY Sales Unit" fld="22" baseField="0" baseItem="0">
      <extLst>
        <ext xmlns:x14="http://schemas.microsoft.com/office/spreadsheetml/2009/9/main" uri="{E15A36E0-9728-4e99-A89B-3F7291B0FE68}">
          <x14:dataField sourceField="2" uniqueName="[__Xl2].[Measures].[TY Sales Unit]"/>
        </ext>
      </extLst>
    </dataField>
    <dataField name="TY Sales Value LC" fld="23" baseField="0" baseItem="0">
      <extLst>
        <ext xmlns:x14="http://schemas.microsoft.com/office/spreadsheetml/2009/9/main" uri="{E15A36E0-9728-4e99-A89B-3F7291B0FE68}">
          <x14:dataField sourceField="3" uniqueName="[__Xl2].[Measures].[TY Sales Value LC]"/>
        </ext>
      </extLst>
    </dataField>
    <dataField fld="24" baseField="11" baseItem="0" numFmtId="3">
      <extLst>
        <ext xmlns:x14="http://schemas.microsoft.com/office/spreadsheetml/2009/9/main" uri="{E15A36E0-9728-4e99-A89B-3F7291B0FE68}">
          <x14:dataField sourceField="15"/>
        </ext>
      </extLst>
    </dataField>
    <dataField fld="5" baseField="0" baseItem="0"/>
    <dataField fld="13" baseField="0" baseItem="0"/>
    <dataField fld="16" baseField="0" baseItem="0"/>
    <dataField fld="17" baseField="0" baseItem="0"/>
    <dataField fld="18" baseField="0" baseItem="0"/>
  </dataFields>
  <formats count="62">
    <format dxfId="61">
      <pivotArea field="6" type="button" dataOnly="0" labelOnly="1" outline="0" axis="axisPage" fieldPosition="3"/>
    </format>
    <format dxfId="60">
      <pivotArea field="7" type="button" dataOnly="0" labelOnly="1" outline="0"/>
    </format>
    <format dxfId="59">
      <pivotArea dataOnly="0" labelOnly="1" outline="0" fieldPosition="0">
        <references count="1">
          <reference field="4294967294" count="4">
            <x v="0"/>
            <x v="1"/>
            <x v="2"/>
            <x v="8"/>
          </reference>
        </references>
      </pivotArea>
    </format>
    <format dxfId="58">
      <pivotArea field="6" type="button" dataOnly="0" labelOnly="1" outline="0" axis="axisPage" fieldPosition="3"/>
    </format>
    <format dxfId="57">
      <pivotArea field="7" type="button" dataOnly="0" labelOnly="1" outline="0"/>
    </format>
    <format dxfId="56">
      <pivotArea dataOnly="0" labelOnly="1" outline="0" fieldPosition="0">
        <references count="1">
          <reference field="4294967294" count="4">
            <x v="0"/>
            <x v="1"/>
            <x v="2"/>
            <x v="8"/>
          </reference>
        </references>
      </pivotArea>
    </format>
    <format dxfId="55">
      <pivotArea field="6" type="button" dataOnly="0" labelOnly="1" outline="0" axis="axisPage" fieldPosition="3"/>
    </format>
    <format dxfId="54">
      <pivotArea field="7" type="button" dataOnly="0" labelOnly="1" outline="0"/>
    </format>
    <format dxfId="53">
      <pivotArea dataOnly="0" labelOnly="1" outline="0" fieldPosition="0">
        <references count="1">
          <reference field="4294967294" count="4">
            <x v="0"/>
            <x v="1"/>
            <x v="2"/>
            <x v="8"/>
          </reference>
        </references>
      </pivotArea>
    </format>
    <format dxfId="52">
      <pivotArea outline="0" fieldPosition="0">
        <references count="1">
          <reference field="4294967294" count="1" selected="0">
            <x v="2"/>
          </reference>
        </references>
      </pivotArea>
    </format>
    <format dxfId="51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49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48">
      <pivotArea dataOnly="0" outline="0" fieldPosition="0">
        <references count="1">
          <reference field="4294967294" count="1">
            <x v="1"/>
          </reference>
        </references>
      </pivotArea>
    </format>
    <format dxfId="47">
      <pivotArea dataOnly="0" outline="0" fieldPosition="0">
        <references count="1">
          <reference field="14" count="0" defaultSubtotal="1"/>
        </references>
      </pivotArea>
    </format>
    <format dxfId="46">
      <pivotArea field="10" type="button" dataOnly="0" labelOnly="1" outline="0" axis="axisPage" fieldPosition="4"/>
    </format>
    <format dxfId="45">
      <pivotArea field="10" type="button" dataOnly="0" labelOnly="1" outline="0" axis="axisPage" fieldPosition="4"/>
    </format>
    <format dxfId="44">
      <pivotArea field="10" type="button" dataOnly="0" labelOnly="1" outline="0" axis="axisPage" fieldPosition="4"/>
    </format>
    <format dxfId="43">
      <pivotArea field="14" type="button" dataOnly="0" labelOnly="1" outline="0" axis="axisPage" fieldPosition="5"/>
    </format>
    <format dxfId="42">
      <pivotArea field="14" type="button" dataOnly="0" labelOnly="1" outline="0" axis="axisPage" fieldPosition="5"/>
    </format>
    <format dxfId="41">
      <pivotArea field="14" type="button" dataOnly="0" labelOnly="1" outline="0" axis="axisPage" fieldPosition="5"/>
    </format>
    <format dxfId="40">
      <pivotArea outline="0" fieldPosition="0">
        <references count="2">
          <reference field="4294967294" count="1" selected="0">
            <x v="2"/>
          </reference>
          <reference field="10" count="1" selected="0">
            <x v="1"/>
          </reference>
        </references>
      </pivotArea>
    </format>
    <format dxfId="39">
      <pivotArea outline="0" fieldPosition="0">
        <references count="1">
          <reference field="4294967294" count="1">
            <x v="2"/>
          </reference>
        </references>
      </pivotArea>
    </format>
    <format dxfId="38">
      <pivotArea outline="0" fieldPosition="0">
        <references count="1">
          <reference field="4294967294" count="1">
            <x v="0"/>
          </reference>
        </references>
      </pivotArea>
    </format>
    <format dxfId="37">
      <pivotArea outline="0" fieldPosition="0">
        <references count="1">
          <reference field="4294967294" count="1">
            <x v="1"/>
          </reference>
        </references>
      </pivotArea>
    </format>
    <format dxfId="36">
      <pivotArea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format>
    <format dxfId="35">
      <pivotArea dataOnly="0" labelOnly="1" outline="0" fieldPosition="0">
        <references count="2">
          <reference field="4294967294" count="1">
            <x v="4"/>
          </reference>
          <reference field="10" count="1" selected="0">
            <x v="1"/>
          </reference>
        </references>
      </pivotArea>
    </format>
    <format dxfId="34">
      <pivotArea dataOnly="0" labelOnly="1" outline="0" fieldPosition="0">
        <references count="2">
          <reference field="4294967294" count="1">
            <x v="4"/>
          </reference>
          <reference field="10" count="1" selected="0">
            <x v="1"/>
          </reference>
        </references>
      </pivotArea>
    </format>
    <format dxfId="33">
      <pivotArea dataOnly="0" labelOnly="1" outline="0" fieldPosition="0">
        <references count="2">
          <reference field="4294967294" count="1">
            <x v="4"/>
          </reference>
          <reference field="10" count="1" selected="0">
            <x v="1"/>
          </reference>
        </references>
      </pivotArea>
    </format>
    <format dxfId="32">
      <pivotArea dataOnly="0" labelOnly="1" outline="0" fieldPosition="0">
        <references count="2">
          <reference field="4294967294" count="1">
            <x v="5"/>
          </reference>
          <reference field="10" count="1" selected="0">
            <x v="1"/>
          </reference>
        </references>
      </pivotArea>
    </format>
    <format dxfId="31">
      <pivotArea dataOnly="0" labelOnly="1" outline="0" fieldPosition="0">
        <references count="2">
          <reference field="4294967294" count="1">
            <x v="5"/>
          </reference>
          <reference field="10" count="1" selected="0">
            <x v="1"/>
          </reference>
        </references>
      </pivotArea>
    </format>
    <format dxfId="30">
      <pivotArea dataOnly="0" labelOnly="1" outline="0" fieldPosition="0">
        <references count="2">
          <reference field="4294967294" count="1">
            <x v="5"/>
          </reference>
          <reference field="10" count="1" selected="0">
            <x v="1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4"/>
            <x v="5"/>
          </reference>
          <reference field="10" count="1" selected="0">
            <x v="0"/>
          </reference>
        </references>
      </pivotArea>
    </format>
    <format dxfId="28">
      <pivotArea dataOnly="0" labelOnly="1" outline="0" fieldPosition="0">
        <references count="2">
          <reference field="4294967294" count="2">
            <x v="4"/>
            <x v="5"/>
          </reference>
          <reference field="10" count="1" selected="0">
            <x v="0"/>
          </reference>
        </references>
      </pivotArea>
    </format>
    <format dxfId="27">
      <pivotArea dataOnly="0" labelOnly="1" outline="0" fieldPosition="0">
        <references count="2">
          <reference field="4294967294" count="2">
            <x v="4"/>
            <x v="5"/>
          </reference>
          <reference field="10" count="1" selected="0">
            <x v="0"/>
          </reference>
        </references>
      </pivotArea>
    </format>
    <format dxfId="26">
      <pivotArea dataOnly="0" labelOnly="1" outline="0" fieldPosition="0">
        <references count="2">
          <reference field="4294967294" count="1">
            <x v="6"/>
          </reference>
          <reference field="10" count="1" selected="0">
            <x v="1"/>
          </reference>
        </references>
      </pivotArea>
    </format>
    <format dxfId="25">
      <pivotArea dataOnly="0" labelOnly="1" outline="0" fieldPosition="0">
        <references count="2">
          <reference field="4294967294" count="1">
            <x v="6"/>
          </reference>
          <reference field="10" count="1" selected="0">
            <x v="1"/>
          </reference>
        </references>
      </pivotArea>
    </format>
    <format dxfId="24">
      <pivotArea dataOnly="0" labelOnly="1" outline="0" fieldPosition="0">
        <references count="2">
          <reference field="4294967294" count="1">
            <x v="6"/>
          </reference>
          <reference field="10" count="1" selected="0">
            <x v="1"/>
          </reference>
        </references>
      </pivotArea>
    </format>
    <format dxfId="23">
      <pivotArea dataOnly="0" labelOnly="1" outline="0" fieldPosition="0">
        <references count="2">
          <reference field="4294967294" count="1">
            <x v="6"/>
          </reference>
          <reference field="10" count="1" selected="0">
            <x v="0"/>
          </reference>
        </references>
      </pivotArea>
    </format>
    <format dxfId="22">
      <pivotArea dataOnly="0" outline="0" fieldPosition="0">
        <references count="1">
          <reference field="4294967294" count="3">
            <x v="4"/>
            <x v="5"/>
            <x v="6"/>
          </reference>
        </references>
      </pivotArea>
    </format>
    <format dxfId="21">
      <pivotArea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4" count="0" selected="0"/>
        </references>
      </pivotArea>
    </format>
    <format dxfId="20">
      <pivotArea outline="0" fieldPosition="0">
        <references count="3">
          <reference field="4294967294" count="1" selected="0">
            <x v="1"/>
          </reference>
          <reference field="10" count="1" selected="0">
            <x v="1"/>
          </reference>
          <reference field="14" count="0" selected="0"/>
        </references>
      </pivotArea>
    </format>
    <format dxfId="19">
      <pivotArea outline="0" fieldPosition="0">
        <references count="3">
          <reference field="4294967294" count="1" selected="0">
            <x v="2"/>
          </reference>
          <reference field="10" count="1" selected="0">
            <x v="0"/>
          </reference>
          <reference field="14" count="0" selected="0"/>
        </references>
      </pivotArea>
    </format>
    <format dxfId="18">
      <pivotArea outline="0" fieldPosition="0">
        <references count="3">
          <reference field="4294967294" count="1" selected="0">
            <x v="1"/>
          </reference>
          <reference field="10" count="1" selected="0">
            <x v="0"/>
          </reference>
          <reference field="14" count="0" selected="0"/>
        </references>
      </pivotArea>
    </format>
    <format dxfId="17">
      <pivotArea dataOnly="0" labelOnly="1" outline="0" fieldPosition="0">
        <references count="2">
          <reference field="4294967294" count="3">
            <x v="4"/>
            <x v="5"/>
            <x v="6"/>
          </reference>
          <reference field="1" count="1" selected="0">
            <x v="0"/>
          </reference>
        </references>
      </pivotArea>
    </format>
    <format dxfId="16">
      <pivotArea dataOnly="0" labelOnly="1" outline="0" fieldPosition="0">
        <references count="2">
          <reference field="4294967294" count="3">
            <x v="4"/>
            <x v="5"/>
            <x v="6"/>
          </reference>
          <reference field="1" count="1" selected="0">
            <x v="0"/>
          </reference>
        </references>
      </pivotArea>
    </format>
    <format dxfId="15">
      <pivotArea dataOnly="0" labelOnly="1" outline="0" fieldPosition="0">
        <references count="2">
          <reference field="4294967294" count="3">
            <x v="4"/>
            <x v="5"/>
            <x v="6"/>
          </reference>
          <reference field="1" count="1" selected="0">
            <x v="1"/>
          </reference>
        </references>
      </pivotArea>
    </format>
    <format dxfId="14">
      <pivotArea dataOnly="0" labelOnly="1" outline="0" fieldPosition="0">
        <references count="2">
          <reference field="4294967294" count="3">
            <x v="4"/>
            <x v="5"/>
            <x v="6"/>
          </reference>
          <reference field="1" count="1" selected="0">
            <x v="1"/>
          </reference>
        </references>
      </pivotArea>
    </format>
    <format dxfId="13">
      <pivotArea dataOnly="0" labelOnly="1" outline="0" fieldPosition="0">
        <references count="2">
          <reference field="4294967294" count="3">
            <x v="4"/>
            <x v="5"/>
            <x v="6"/>
          </reference>
          <reference field="1" count="1" selected="0">
            <x v="1"/>
          </reference>
        </references>
      </pivotArea>
    </format>
    <format dxfId="12">
      <pivotArea dataOnly="0" labelOnly="1" outline="0" fieldPosition="0">
        <references count="2">
          <reference field="4294967294" count="3">
            <x v="4"/>
            <x v="5"/>
            <x v="6"/>
          </reference>
          <reference field="1" count="1" selected="0">
            <x v="0"/>
          </reference>
        </references>
      </pivotArea>
    </format>
    <format dxfId="11">
      <pivotArea dataOnly="0" outline="0" fieldPosition="0">
        <references count="1">
          <reference field="1" count="1">
            <x v="1"/>
          </reference>
        </references>
      </pivotArea>
    </format>
    <format dxfId="10">
      <pivotArea dataOnly="0" labelOnly="1" outline="0" fieldPosition="0">
        <references count="2">
          <reference field="4294967294" count="8">
            <x v="0"/>
            <x v="1"/>
            <x v="2"/>
            <x v="4"/>
            <x v="5"/>
            <x v="6"/>
            <x v="8"/>
            <x v="9"/>
          </reference>
          <reference field="1" count="1" selected="0">
            <x v="1"/>
          </reference>
        </references>
      </pivotArea>
    </format>
    <format dxfId="9">
      <pivotArea dataOnly="0" outline="0" fieldPosition="0">
        <references count="1">
          <reference field="1" count="1">
            <x v="0"/>
          </reference>
        </references>
      </pivotArea>
    </format>
    <format dxfId="8">
      <pivotArea dataOnly="0" labelOnly="1" outline="0" fieldPosition="0">
        <references count="2">
          <reference field="4294967294" count="8">
            <x v="0"/>
            <x v="1"/>
            <x v="2"/>
            <x v="4"/>
            <x v="5"/>
            <x v="6"/>
            <x v="8"/>
            <x v="9"/>
          </reference>
          <reference field="1" count="1" selected="0">
            <x v="0"/>
          </reference>
        </references>
      </pivotArea>
    </format>
    <format dxfId="7">
      <pivotArea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1" count="1" selected="0">
            <x v="0"/>
          </reference>
        </references>
      </pivotArea>
    </format>
    <format dxfId="6">
      <pivotArea field="11" type="button" dataOnly="0" labelOnly="1" outline="0" axis="axisRow" fieldPosition="0"/>
    </format>
    <format dxfId="5">
      <pivotArea field="11" type="button" dataOnly="0" labelOnly="1" outline="0" axis="axisRow" fieldPosition="0"/>
    </format>
    <format dxfId="4">
      <pivotArea dataOnly="0" labelOnly="1" outline="0" fieldPosition="0">
        <references count="1">
          <reference field="11" count="0"/>
        </references>
      </pivotArea>
    </format>
    <format dxfId="3">
      <pivotArea field="11" type="button" dataOnly="0" labelOnly="1" outline="0" axis="axisRow" fieldPosition="0"/>
    </format>
    <format dxfId="2">
      <pivotArea dataOnly="0" grandRow="1" outline="0" fieldPosition="0"/>
    </format>
    <format dxfId="1">
      <pivotArea outline="0" fieldPosition="0">
        <references count="1">
          <reference field="4294967294" count="1">
            <x v="3"/>
          </reference>
        </references>
      </pivotArea>
    </format>
    <format dxfId="0">
      <pivotArea outline="0" fieldPosition="0">
        <references count="1">
          <reference field="4294967294" count="1">
            <x v="7"/>
          </reference>
        </references>
      </pivotArea>
    </format>
  </formats>
  <conditionalFormats count="7">
    <conditionalFormat priority="34">
      <pivotAreas count="1">
        <pivotArea type="data" outline="0" collapsedLevelsAreSubtotals="1" fieldPosition="0">
          <references count="3">
            <reference field="4294967294" count="1" selected="0">
              <x v="2"/>
            </reference>
            <reference field="1" count="1" selected="0">
              <x v="0"/>
            </reference>
            <reference field="11" count="16" selected="0">
              <x v="0"/>
              <x v="1"/>
              <x v="2"/>
              <x v="5"/>
              <x v="6"/>
              <x v="8"/>
              <x v="9"/>
              <x v="10"/>
              <x v="11"/>
              <x v="12"/>
              <x v="13"/>
              <x v="17"/>
              <x v="18"/>
              <x v="20"/>
              <x v="21"/>
              <x v="22"/>
            </reference>
          </references>
        </pivotArea>
      </pivotAreas>
    </conditionalFormat>
    <conditionalFormat priority="33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1" count="1" selected="0">
              <x v="0"/>
            </reference>
            <reference field="11" count="16" selected="0">
              <x v="0"/>
              <x v="1"/>
              <x v="2"/>
              <x v="5"/>
              <x v="6"/>
              <x v="8"/>
              <x v="9"/>
              <x v="10"/>
              <x v="11"/>
              <x v="12"/>
              <x v="13"/>
              <x v="17"/>
              <x v="18"/>
              <x v="20"/>
              <x v="21"/>
              <x v="22"/>
            </reference>
          </references>
        </pivotArea>
      </pivotAreas>
    </conditionalFormat>
    <conditionalFormat priority="3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11" count="16" selected="0">
              <x v="0"/>
              <x v="1"/>
              <x v="2"/>
              <x v="5"/>
              <x v="6"/>
              <x v="8"/>
              <x v="9"/>
              <x v="10"/>
              <x v="11"/>
              <x v="12"/>
              <x v="13"/>
              <x v="17"/>
              <x v="18"/>
              <x v="20"/>
              <x v="21"/>
              <x v="22"/>
            </reference>
          </references>
        </pivotArea>
      </pivotAreas>
    </conditionalFormat>
    <conditionalFormat priority="31">
      <pivotAreas count="1">
        <pivotArea type="data" outline="0" collapsedLevelsAreSubtotals="1" fieldPosition="0">
          <references count="3">
            <reference field="4294967294" count="1" selected="0">
              <x v="2"/>
            </reference>
            <reference field="1" count="1" selected="0">
              <x v="1"/>
            </reference>
            <reference field="11" count="16" selected="0">
              <x v="0"/>
              <x v="1"/>
              <x v="2"/>
              <x v="5"/>
              <x v="6"/>
              <x v="8"/>
              <x v="9"/>
              <x v="10"/>
              <x v="11"/>
              <x v="12"/>
              <x v="13"/>
              <x v="17"/>
              <x v="18"/>
              <x v="20"/>
              <x v="21"/>
              <x v="22"/>
            </reference>
          </references>
        </pivotArea>
      </pivotAreas>
    </conditionalFormat>
    <conditionalFormat priority="30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1" count="1" selected="0">
              <x v="1"/>
            </reference>
            <reference field="11" count="16" selected="0">
              <x v="0"/>
              <x v="1"/>
              <x v="2"/>
              <x v="5"/>
              <x v="6"/>
              <x v="8"/>
              <x v="9"/>
              <x v="10"/>
              <x v="11"/>
              <x v="12"/>
              <x v="13"/>
              <x v="17"/>
              <x v="18"/>
              <x v="20"/>
              <x v="21"/>
              <x v="22"/>
            </reference>
          </references>
        </pivotArea>
      </pivotAreas>
    </conditionalFormat>
    <conditionalFormat priority="2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11" count="16" selected="0">
              <x v="0"/>
              <x v="1"/>
              <x v="2"/>
              <x v="5"/>
              <x v="6"/>
              <x v="8"/>
              <x v="9"/>
              <x v="10"/>
              <x v="11"/>
              <x v="12"/>
              <x v="13"/>
              <x v="17"/>
              <x v="18"/>
              <x v="20"/>
              <x v="21"/>
              <x v="22"/>
            </reference>
          </references>
        </pivotArea>
      </pivotAreas>
    </conditionalFormat>
    <conditionalFormat priority="24">
      <pivotAreas count="1">
        <pivotArea outline="0" fieldPosition="0">
          <references count="1">
            <reference field="4294967294" count="1">
              <x v="3"/>
            </reference>
          </references>
        </pivotArea>
      </pivotAreas>
    </conditionalFormat>
  </conditionalFormats>
  <pivotHierarchies count="157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Y Avg Store Stock Unit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Y Sales Unit %"/>
    <pivotHierarchy dragToRow="0" dragToCol="0" dragToPage="0" dragToData="1"/>
    <pivotHierarchy dragToRow="0" dragToCol="0" dragToPage="0" dragToData="1" caption="TY Sales Value LC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69"/>
  </rowHierarchiesUsage>
  <colHierarchiesUsage count="2">
    <colHierarchyUsage hierarchyUsage="14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7DCC6-0D18-46CD-8344-5C9009763927}" name="PivotTable1" cacheId="3" applyNumberFormats="0" applyBorderFormats="0" applyFontFormats="0" applyPatternFormats="0" applyAlignmentFormats="0" applyWidthHeightFormats="1" dataCaption="Değerler" updatedVersion="8" minRefreshableVersion="3" subtotalHiddenItems="1" rowGrandTotals="0" itemPrintTitles="1" createdVersion="8" indent="0" compact="0" compactData="0" gridDropZones="1" multipleFieldFilters="0" chartFormat="2" fieldListSortAscending="1">
  <location ref="A13:M31" firstHeaderRow="1" firstDataRow="2" firstDataCol="3" rowPageCount="8" colPageCount="1"/>
  <pivotFields count="29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/>
    <pivotField compact="0" outline="0" subtotalTop="0" showAll="0" dataSourceSort="1" defaultSubtotal="0"/>
    <pivotField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compact="0" allDrilled="1" outline="0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</pivotFields>
  <rowFields count="3">
    <field x="12"/>
    <field x="24"/>
    <field x="23"/>
  </rowFields>
  <rowItems count="17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t="default">
      <x/>
    </i>
    <i>
      <x v="1"/>
      <x v="6"/>
      <x v="6"/>
    </i>
    <i r="1">
      <x v="7"/>
      <x/>
    </i>
    <i r="1">
      <x v="8"/>
      <x v="1"/>
    </i>
    <i r="1">
      <x v="9"/>
      <x v="2"/>
    </i>
    <i r="1">
      <x v="10"/>
      <x v="3"/>
    </i>
    <i r="1">
      <x v="11"/>
      <x v="4"/>
    </i>
    <i r="1">
      <x v="12"/>
      <x v="5"/>
    </i>
    <i t="default">
      <x v="1"/>
    </i>
    <i>
      <x v="2"/>
      <x v="13"/>
      <x v="6"/>
    </i>
    <i t="default">
      <x v="2"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8">
    <pageField fld="27" hier="138" name="[SalesChannel].[CountryName].&amp;[TÜRKİYE]" cap="TÜRKİYE"/>
    <pageField fld="1" hier="140" name="[SalesChannel].[DistrubitionChannelDesc].&amp;[Perakende Satış]" cap="Perakende Satış"/>
    <pageField fld="0" hier="148" name="[SalesChannel].[SalesOrgType].&amp;[İştirak]" cap="İştirak"/>
    <pageField fld="26" hier="100" name="[Material].[MerchProduct].&amp;[Merch]" cap="Merch"/>
    <pageField fld="13" hier="69" name="[Material].[H_MainGroup].[All]" cap="All"/>
    <pageField fld="11" hier="165" name="[Store].[LocationCountry].[All]" cap="All"/>
    <pageField fld="7" hier="6" name="[Calendar].[H_Merch].[All]" cap="All"/>
    <pageField fld="22" hier="9" name="[Calendar].[LastNDays].&amp;[0]" cap="0"/>
  </pageFields>
  <dataFields count="10">
    <dataField fld="15" baseField="0" baseItem="0"/>
    <dataField fld="16" baseField="0" baseItem="0"/>
    <dataField fld="17" baseField="0" baseItem="0"/>
    <dataField fld="2" baseField="0" baseItem="0"/>
    <dataField fld="3" baseField="0" baseItem="0" numFmtId="3"/>
    <dataField fld="4" baseField="0" baseItem="0" numFmtId="3"/>
    <dataField fld="5" baseField="0" baseItem="0"/>
    <dataField fld="6" baseField="0" baseItem="0"/>
    <dataField fld="18" baseField="0" baseItem="0"/>
    <dataField fld="25" baseField="0" baseItem="0"/>
  </dataFields>
  <formats count="25">
    <format dxfId="86">
      <pivotArea field="7" type="button" dataOnly="0" labelOnly="1" outline="0" axis="axisPage" fieldPosition="6"/>
    </format>
    <format dxfId="85">
      <pivotArea field="8" type="button" dataOnly="0" labelOnly="1" outline="0"/>
    </format>
    <format dxfId="84">
      <pivotArea dataOnly="0" labelOnly="1" outline="0" fieldPosition="0">
        <references count="1">
          <reference field="4294967294" count="5">
            <x v="3"/>
            <x v="4"/>
            <x v="5"/>
            <x v="6"/>
            <x v="7"/>
          </reference>
        </references>
      </pivotArea>
    </format>
    <format dxfId="83">
      <pivotArea field="7" type="button" dataOnly="0" labelOnly="1" outline="0" axis="axisPage" fieldPosition="6"/>
    </format>
    <format dxfId="82">
      <pivotArea field="8" type="button" dataOnly="0" labelOnly="1" outline="0"/>
    </format>
    <format dxfId="81">
      <pivotArea dataOnly="0" labelOnly="1" outline="0" fieldPosition="0">
        <references count="1">
          <reference field="4294967294" count="5">
            <x v="3"/>
            <x v="4"/>
            <x v="5"/>
            <x v="6"/>
            <x v="7"/>
          </reference>
        </references>
      </pivotArea>
    </format>
    <format dxfId="80">
      <pivotArea field="7" type="button" dataOnly="0" labelOnly="1" outline="0" axis="axisPage" fieldPosition="6"/>
    </format>
    <format dxfId="79">
      <pivotArea field="8" type="button" dataOnly="0" labelOnly="1" outline="0"/>
    </format>
    <format dxfId="78">
      <pivotArea dataOnly="0" labelOnly="1" outline="0" fieldPosition="0">
        <references count="1">
          <reference field="4294967294" count="5">
            <x v="3"/>
            <x v="4"/>
            <x v="5"/>
            <x v="6"/>
            <x v="7"/>
          </reference>
        </references>
      </pivotArea>
    </format>
    <format dxfId="77">
      <pivotArea outline="0" fieldPosition="0">
        <references count="1">
          <reference field="4294967294" count="1" selected="0">
            <x v="4"/>
          </reference>
        </references>
      </pivotArea>
    </format>
    <format dxfId="76">
      <pivotArea outline="0" fieldPosition="0">
        <references count="1">
          <reference field="4294967294" count="1" selected="0">
            <x v="5"/>
          </reference>
        </references>
      </pivotArea>
    </format>
    <format dxfId="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63">
      <pivotArea dataOnly="0" outline="0" fieldPosition="0">
        <references count="1">
          <reference field="4294967294" count="1">
            <x v="3"/>
          </reference>
        </references>
      </pivotArea>
    </format>
    <format dxfId="62">
      <pivotArea dataOnly="0" labelOnly="1" outline="0" fieldPosition="0">
        <references count="1">
          <reference field="4294967294" count="1">
            <x v="9"/>
          </reference>
        </references>
      </pivotArea>
    </format>
  </formats>
  <pivotHierarchies count="1569">
    <pivotHierarchy/>
    <pivotHierarchy/>
    <pivotHierarchy/>
    <pivotHierarchy/>
    <pivotHierarchy/>
    <pivotHierarchy/>
    <pivotHierarchy multipleItemSelectionAllowed="1"/>
    <pivotHierarchy/>
    <pivotHierarchy/>
    <pivotHierarchy multipleItemSelectionAllowed="1">
      <members count="15" level="1">
        <member name="[Calendar].[LastNDays].&amp;[0]"/>
        <member name="[Calendar].[LastNDays].&amp;[1]"/>
        <member name="[Calendar].[LastNDays].&amp;[2]"/>
        <member name="[Calendar].[LastNDays].&amp;[3]"/>
        <member name="[Calendar].[LastNDays].&amp;[4]"/>
        <member name="[Calendar].[LastNDays].&amp;[5]"/>
        <member name="[Calendar].[LastNDays].&amp;[6]"/>
        <member name="[Calendar].[LastNDays].&amp;[7]"/>
        <member name="[Calendar].[LastNDays].&amp;[8]"/>
        <member name="[Calendar].[LastNDays].&amp;[9]"/>
        <member name="[Calendar].[LastNDays].&amp;[10]"/>
        <member name="[Calendar].[LastNDays].&amp;[11]"/>
        <member name="[Calendar].[LastNDays].&amp;[12]"/>
        <member name="[Calendar].[LastNDays].&amp;[13]"/>
        <member name="[Calendar].[LastNDays].&amp;[14]"/>
      </members>
    </pivotHierarchy>
    <pivotHierarchy/>
    <pivotHierarchy/>
    <pivotHierarchy multipleItemSelectionAllowed="1"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2">
        <member name="[SalesChannel].[H_SalesChannel].[SalesOrgType].&amp;[İştirak].&amp;[TÜRKİY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4"/>
    <rowHierarchyUsage hierarchyUsage="0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D4FCF-855D-4E19-AB85-04516E293851}" name="PivotTable3" cacheId="1" applyNumberFormats="0" applyBorderFormats="0" applyFontFormats="0" applyPatternFormats="0" applyAlignmentFormats="0" applyWidthHeightFormats="1" dataCaption="Değerler" updatedVersion="8" minRefreshableVersion="3" subtotalHiddenItems="1" colGrandTotals="0" itemPrintTitles="1" mergeItem="1" createdVersion="8" indent="0" compact="0" compactData="0" gridDropZones="1" multipleFieldFilters="0" chartFormat="2" fieldListSortAscending="1">
  <location ref="A183:O209" firstHeaderRow="1" firstDataRow="3" firstDataCol="3" rowPageCount="5" colPageCount="1"/>
  <pivotFields count="17"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2">
        <item s="1" x="0"/>
        <item s="1" x="1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>
      <items count="7">
        <item c="1" x="0"/>
        <item c="1" x="1"/>
        <item c="1" x="2" d="1"/>
        <item c="1" x="3"/>
        <item c="1" x="4"/>
        <item c="1" x="5"/>
        <item t="default"/>
      </items>
    </pivotField>
    <pivotField axis="axisRow" compact="0" outline="0" subtotalTop="0" showAll="0" dataSourceSort="1">
      <items count="13">
        <item c="1" x="0"/>
        <item c="1" x="1"/>
        <item c="1" x="2"/>
        <item c="1" x="3" d="1"/>
        <item c="1" x="4"/>
        <item c="1" x="5"/>
        <item c="1" x="6"/>
        <item c="1" x="7"/>
        <item c="1" x="8"/>
        <item c="1" x="9"/>
        <item c="1" x="10"/>
        <item c="1" x="11"/>
        <item t="default"/>
      </items>
    </pivotField>
    <pivotField axis="axisRow" compact="0" outline="0" subtotalTop="0" showAll="0" dataSourceSort="1" defaultSubtotal="0">
      <items count="5">
        <item c="1" x="0"/>
        <item c="1" x="1"/>
        <item c="1" x="2"/>
        <item c="1" x="3"/>
        <item c="1" x="4"/>
      </items>
    </pivotField>
    <pivotField axis="axisRow"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>
      <items count="2">
        <item x="0"/>
        <item x="1"/>
      </items>
    </pivotField>
    <pivotField axis="axisPage" compact="0" allDrilled="1" outline="0" subtotalTop="0" showAll="0" dataSourceSort="1" defaultSubtotal="0">
      <items count="19">
        <item s="1" c="1" x="0"/>
        <item s="1" c="1" x="1"/>
        <item s="1" c="1" x="2"/>
        <item s="1" c="1" x="3"/>
        <item s="1" c="1" x="4"/>
        <item s="1" c="1" x="5"/>
        <item s="1" c="1" x="6"/>
        <item s="1" c="1" x="7"/>
        <item s="1" c="1" x="8"/>
        <item s="1" c="1" x="9"/>
        <item s="1" c="1" x="10"/>
        <item s="1" c="1" x="11"/>
        <item s="1" c="1" x="12"/>
        <item s="1" c="1" x="13"/>
        <item s="1" c="1" x="14"/>
        <item s="1" c="1" x="15"/>
        <item s="1" c="1" x="16"/>
        <item s="1" c="1" x="17"/>
        <item s="1" c="1" x="18"/>
      </items>
    </pivotField>
    <pivotField axis="axisPage" compact="0" outline="0" subtotalTop="0" showAll="0" dataSourceSort="1" defaultSubtotal="0"/>
    <pivotField dataField="1" compact="0" outline="0" subtotalTop="0" showAll="0" defaultSubtotal="0"/>
    <pivotField axis="axisPage" compact="0" allDrilled="1" outline="0" subtotalTop="0" showAll="0" dataSourceSort="1" defaultAttributeDrillState="1">
      <items count="2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t="default"/>
      </items>
    </pivotField>
    <pivotField dataField="1" compact="0" outline="0" subtotalTop="0" showAll="0" defaultSubtotal="0"/>
  </pivotFields>
  <rowFields count="3">
    <field x="6"/>
    <field x="7"/>
    <field x="8"/>
  </rowFields>
  <rowItems count="24">
    <i>
      <x/>
    </i>
    <i>
      <x v="1"/>
    </i>
    <i>
      <x v="2"/>
      <x/>
    </i>
    <i r="1">
      <x v="1"/>
    </i>
    <i r="1">
      <x v="2"/>
    </i>
    <i r="1">
      <x v="3"/>
      <x/>
    </i>
    <i r="2">
      <x v="1"/>
    </i>
    <i r="2">
      <x v="2"/>
    </i>
    <i r="2">
      <x v="3"/>
    </i>
    <i r="2">
      <x v="4"/>
    </i>
    <i t="default"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</colItems>
  <pageFields count="5">
    <pageField fld="11" hier="14" name="[Calendar].[MerchWeek].[All]" cap="All"/>
    <pageField fld="12" hier="69" name="[Material].[H_MainGroup].[All]" cap="All"/>
    <pageField fld="10" hier="165" name="[Store].[LocationCountry].&amp;[TR]" cap="TR"/>
    <pageField fld="0" hier="148" name="[SalesChannel].[SalesOrgType].&amp;[İştirak]" cap="İştirak"/>
    <pageField fld="15" hier="75" name="[Material].[MainGroupDesc].[All]" cap="All"/>
  </pageFields>
  <dataFields count="6">
    <dataField name="TY Avg Store Stock Unit" fld="4" baseField="0" baseItem="0"/>
    <dataField name="TY Sales Unit" fld="2" baseField="0" baseItem="0"/>
    <dataField name="TY Sales Value LC" fld="3" baseField="0" baseItem="0"/>
    <dataField fld="16" baseField="12" baseItem="0" numFmtId="3"/>
    <dataField fld="5" baseField="0" baseItem="0"/>
    <dataField fld="14" baseField="0" baseItem="0"/>
  </dataFields>
  <formats count="51">
    <format dxfId="137">
      <pivotArea field="6" type="button" dataOnly="0" labelOnly="1" outline="0" axis="axisRow" fieldPosition="0"/>
    </format>
    <format dxfId="136">
      <pivotArea field="7" type="button" dataOnly="0" labelOnly="1" outline="0" axis="axisRow" fieldPosition="1"/>
    </format>
    <format dxfId="13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34">
      <pivotArea field="6" type="button" dataOnly="0" labelOnly="1" outline="0" axis="axisRow" fieldPosition="0"/>
    </format>
    <format dxfId="133">
      <pivotArea field="7" type="button" dataOnly="0" labelOnly="1" outline="0" axis="axisRow" fieldPosition="1"/>
    </format>
    <format dxfId="13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31">
      <pivotArea field="6" type="button" dataOnly="0" labelOnly="1" outline="0" axis="axisRow" fieldPosition="0"/>
    </format>
    <format dxfId="130">
      <pivotArea field="7" type="button" dataOnly="0" labelOnly="1" outline="0" axis="axisRow" fieldPosition="1"/>
    </format>
    <format dxfId="12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2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5">
      <pivotArea dataOnly="0" outline="0" fieldPosition="0">
        <references count="1">
          <reference field="15" count="0" defaultSubtotal="1"/>
        </references>
      </pivotArea>
    </format>
    <format dxfId="124">
      <pivotArea field="11" type="button" dataOnly="0" labelOnly="1" outline="0" axis="axisPage" fieldPosition="0"/>
    </format>
    <format dxfId="123">
      <pivotArea field="11" type="button" dataOnly="0" labelOnly="1" outline="0" axis="axisPage" fieldPosition="0"/>
    </format>
    <format dxfId="122">
      <pivotArea field="11" type="button" dataOnly="0" labelOnly="1" outline="0" axis="axisPage" fieldPosition="0"/>
    </format>
    <format dxfId="121">
      <pivotArea field="15" type="button" dataOnly="0" labelOnly="1" outline="0" axis="axisPage" fieldPosition="4"/>
    </format>
    <format dxfId="120">
      <pivotArea field="15" type="button" dataOnly="0" labelOnly="1" outline="0" axis="axisPage" fieldPosition="4"/>
    </format>
    <format dxfId="119">
      <pivotArea field="15" type="button" dataOnly="0" labelOnly="1" outline="0" axis="axisPage" fieldPosition="4"/>
    </format>
    <format dxfId="118">
      <pivotArea dataOnly="0" labelOnly="1" outline="0" fieldPosition="0">
        <references count="2">
          <reference field="4294967294" count="1">
            <x v="0"/>
          </reference>
          <reference field="11" count="1" selected="0">
            <x v="1"/>
          </reference>
        </references>
      </pivotArea>
    </format>
    <format dxfId="117">
      <pivotArea dataOnly="0" labelOnly="1" outline="0" fieldPosition="0">
        <references count="2">
          <reference field="4294967294" count="1">
            <x v="0"/>
          </reference>
          <reference field="11" count="1" selected="0">
            <x v="1"/>
          </reference>
        </references>
      </pivotArea>
    </format>
    <format dxfId="116">
      <pivotArea dataOnly="0" labelOnly="1" outline="0" fieldPosition="0">
        <references count="2">
          <reference field="4294967294" count="1">
            <x v="0"/>
          </reference>
          <reference field="11" count="1" selected="0">
            <x v="1"/>
          </reference>
        </references>
      </pivotArea>
    </format>
    <format dxfId="115">
      <pivotArea dataOnly="0" labelOnly="1" outline="0" fieldPosition="0">
        <references count="2">
          <reference field="4294967294" count="1">
            <x v="1"/>
          </reference>
          <reference field="11" count="1" selected="0">
            <x v="1"/>
          </reference>
        </references>
      </pivotArea>
    </format>
    <format dxfId="114">
      <pivotArea dataOnly="0" labelOnly="1" outline="0" fieldPosition="0">
        <references count="2">
          <reference field="4294967294" count="1">
            <x v="1"/>
          </reference>
          <reference field="11" count="1" selected="0">
            <x v="1"/>
          </reference>
        </references>
      </pivotArea>
    </format>
    <format dxfId="113">
      <pivotArea dataOnly="0" labelOnly="1" outline="0" fieldPosition="0">
        <references count="2">
          <reference field="4294967294" count="1">
            <x v="1"/>
          </reference>
          <reference field="11" count="1" selected="0">
            <x v="1"/>
          </reference>
        </references>
      </pivotArea>
    </format>
    <format dxfId="112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0"/>
          </reference>
        </references>
      </pivotArea>
    </format>
    <format dxfId="111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0"/>
          </reference>
        </references>
      </pivotArea>
    </format>
    <format dxfId="110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0"/>
          </reference>
        </references>
      </pivotArea>
    </format>
    <format dxfId="109">
      <pivotArea dataOnly="0" labelOnly="1" outline="0" fieldPosition="0">
        <references count="2">
          <reference field="4294967294" count="1">
            <x v="2"/>
          </reference>
          <reference field="11" count="1" selected="0">
            <x v="1"/>
          </reference>
        </references>
      </pivotArea>
    </format>
    <format dxfId="108">
      <pivotArea dataOnly="0" labelOnly="1" outline="0" fieldPosition="0">
        <references count="2">
          <reference field="4294967294" count="1">
            <x v="2"/>
          </reference>
          <reference field="11" count="1" selected="0">
            <x v="1"/>
          </reference>
        </references>
      </pivotArea>
    </format>
    <format dxfId="107">
      <pivotArea dataOnly="0" labelOnly="1" outline="0" fieldPosition="0">
        <references count="2">
          <reference field="4294967294" count="1">
            <x v="2"/>
          </reference>
          <reference field="11" count="1" selected="0">
            <x v="1"/>
          </reference>
        </references>
      </pivotArea>
    </format>
    <format dxfId="106">
      <pivotArea dataOnly="0" labelOnly="1" outline="0" fieldPosition="0">
        <references count="2">
          <reference field="4294967294" count="1">
            <x v="2"/>
          </reference>
          <reference field="11" count="1" selected="0">
            <x v="0"/>
          </reference>
        </references>
      </pivotArea>
    </format>
    <format dxfId="105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0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0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10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10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9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98">
      <pivotArea dataOnly="0" outline="0" fieldPosition="0">
        <references count="1">
          <reference field="1" count="1">
            <x v="1"/>
          </reference>
        </references>
      </pivotArea>
    </format>
    <format dxfId="97">
      <pivotArea dataOnly="0" labelOnly="1" outline="0" fieldPosition="0">
        <references count="2">
          <reference field="4294967294" count="5">
            <x v="0"/>
            <x v="1"/>
            <x v="2"/>
            <x v="4"/>
            <x v="5"/>
          </reference>
          <reference field="1" count="1" selected="0">
            <x v="1"/>
          </reference>
        </references>
      </pivotArea>
    </format>
    <format dxfId="96">
      <pivotArea dataOnly="0" outline="0" fieldPosition="0">
        <references count="1">
          <reference field="1" count="1">
            <x v="0"/>
          </reference>
        </references>
      </pivotArea>
    </format>
    <format dxfId="95">
      <pivotArea dataOnly="0" labelOnly="1" outline="0" fieldPosition="0">
        <references count="2">
          <reference field="4294967294" count="5">
            <x v="0"/>
            <x v="1"/>
            <x v="2"/>
            <x v="4"/>
            <x v="5"/>
          </reference>
          <reference field="1" count="1" selected="0">
            <x v="0"/>
          </reference>
        </references>
      </pivotArea>
    </format>
    <format dxfId="94">
      <pivotArea field="12" type="button" dataOnly="0" labelOnly="1" outline="0" axis="axisPage" fieldPosition="1"/>
    </format>
    <format dxfId="93">
      <pivotArea field="12" type="button" dataOnly="0" labelOnly="1" outline="0" axis="axisPage" fieldPosition="1"/>
    </format>
    <format dxfId="92">
      <pivotArea dataOnly="0" labelOnly="1" outline="0" fieldPosition="0">
        <references count="1">
          <reference field="12" count="0"/>
        </references>
      </pivotArea>
    </format>
    <format dxfId="91">
      <pivotArea field="12" type="button" dataOnly="0" labelOnly="1" outline="0" axis="axisPage" fieldPosition="1"/>
    </format>
    <format dxfId="90">
      <pivotArea dataOnly="0" grandRow="1" outline="0" fieldPosition="0"/>
    </format>
    <format dxfId="89">
      <pivotArea outline="0" fieldPosition="0">
        <references count="1">
          <reference field="4294967294" count="1">
            <x v="3"/>
          </reference>
        </references>
      </pivotArea>
    </format>
    <format dxfId="88">
      <pivotArea dataOnly="0" outline="0" fieldPosition="0">
        <references count="1">
          <reference field="7" count="0" defaultSubtotal="1"/>
        </references>
      </pivotArea>
    </format>
    <format dxfId="87">
      <pivotArea dataOnly="0" outline="0" fieldPosition="0">
        <references count="1">
          <reference field="6" count="0" defaultSubtotal="1"/>
        </references>
      </pivotArea>
    </format>
  </formats>
  <pivotHierarchies count="156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4" level="1">
        <member name=""/>
        <member name=""/>
        <member name=""/>
        <member name=""/>
        <member name="[Material].[H_MainGroup].[MainGroupDesc].&amp;[Yatak]"/>
        <member name=""/>
        <member name=""/>
        <member name=""/>
        <member name=""/>
        <member name="[Material].[H_MainGroup].[MainGroupDesc].&amp;[Mobilya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Material].[H_MainGroup].[MainGroupDesc].&amp;[White Collection]"/>
        <member name="[Material].[H_MainGroup].[MainGroupDesc].&amp;[Küçük Elektrikli Ev Aletleri]"/>
      </members>
    </pivotHierarchy>
    <pivotHierarchy/>
    <pivotHierarchy/>
    <pivotHierarchy/>
    <pivotHierarchy/>
    <pivotHierarchy/>
    <pivotHierarchy multipleItemSelectionAllowed="1">
      <members count="32" level="1">
        <member name=""/>
        <member name="[Material].[MainGroupDesc].&amp;[#NA]"/>
        <member name="[Material].[MainGroupDesc].&amp;[EBA]"/>
        <member name="[Material].[MainGroupDesc].&amp;[Cafe]"/>
        <member name=""/>
        <member name=""/>
        <member name=""/>
        <member name=""/>
        <member name="[Material].[MainGroupDesc].&amp;[Yatak]"/>
        <member name=""/>
        <member name=""/>
        <member name=""/>
        <member name=""/>
        <member name="[Material].[MainGroupDesc].&amp;[Mobilya]"/>
        <member name=""/>
        <member name=""/>
        <member name=""/>
        <member name=""/>
        <member name="[Material].[MainGroupDesc].&amp;[Planlama]"/>
        <member name=""/>
        <member name="[Material].[MainGroupDesc].&amp;[Pazarlama]"/>
        <member name=""/>
        <member name="[Material].[MainGroupDesc].&amp;[Yarı Mamul]"/>
        <member name="[Material].[MainGroupDesc].&amp;[Entegrasyon]"/>
        <member name=""/>
        <member name=""/>
        <member name=""/>
        <member name=""/>
        <member name=""/>
        <member name="[Material].[MainGroupDesc].&amp;[Bilgi Sistemleri]"/>
        <member name="[Material].[MainGroupDesc].&amp;[İnsan Kaynakları]"/>
        <member name="[Material].[MainGroupDesc].&amp;[Mağaza Yatırım ve Proj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Store].[LocationCountry].&amp;[TR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Y Avg Store Stock Unit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Y Sales Unit %"/>
    <pivotHierarchy dragToRow="0" dragToCol="0" dragToPage="0" dragToData="1"/>
    <pivotHierarchy dragToRow="0" dragToCol="0" dragToPage="0" dragToData="1" caption="TY Sales Value LC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2">
    <colHierarchyUsage hierarchyUsage="14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H_SalesChannel3" xr10:uid="{058DA068-76D2-4857-8211-391F1BDB8BAA}" sourceName="[SalesChannel].[H_SalesChannel]">
  <pivotTables>
    <pivotTable tabId="1" name="PivotTable1"/>
  </pivotTables>
  <data>
    <olap pivotCacheId="166042810">
      <levels count="4">
        <level uniqueName="[SalesChannel].[H_SalesChannel].[(All)]" sourceCaption="(All)" count="0"/>
        <level uniqueName="[SalesChannel].[H_SalesChannel].[SalesOrgType]" sourceCaption="SalesOrgType" count="0"/>
        <level uniqueName="[SalesChannel].[H_SalesChannel].[CountryName]" sourceCaption="CountryName" count="34">
          <ranges>
            <range startItem="0">
              <i n="[SalesChannel].[H_SalesChannel].[SalesOrgType].&amp;[İştirak].&amp;[BULGARİSTAN]" c="BULGARİSTAN">
                <p n="[SalesChannel].[H_SalesChannel].[SalesOrgType].&amp;[İştirak]"/>
              </i>
              <i n="[SalesChannel].[H_SalesChannel].[SalesOrgType].&amp;[İştirak].&amp;[BAHREYN]" c="BAHREYN">
                <p n="[SalesChannel].[H_SalesChannel].[SalesOrgType].&amp;[İştirak]"/>
              </i>
              <i n="[SalesChannel].[H_SalesChannel].[SalesOrgType].&amp;[İştirak].&amp;[YUNANİSTAN  ]" c="YUNANİSTAN  ">
                <p n="[SalesChannel].[H_SalesChannel].[SalesOrgType].&amp;[İştirak]"/>
              </i>
              <i n="[SalesChannel].[H_SalesChannel].[SalesOrgType].&amp;[İştirak].&amp;[IRAK]" c="IRAK">
                <p n="[SalesChannel].[H_SalesChannel].[SalesOrgType].&amp;[İştirak]"/>
              </i>
              <i n="[SalesChannel].[H_SalesChannel].[SalesOrgType].&amp;[İştirak].&amp;[İRAN ]" c="İRAN ">
                <p n="[SalesChannel].[H_SalesChannel].[SalesOrgType].&amp;[İştirak]"/>
              </i>
              <i n="[SalesChannel].[H_SalesChannel].[SalesOrgType].&amp;[İştirak].&amp;[ÜRDÜN]" c="ÜRDÜN">
                <p n="[SalesChannel].[H_SalesChannel].[SalesOrgType].&amp;[İştirak]"/>
              </i>
              <i n="[SalesChannel].[H_SalesChannel].[SalesOrgType].&amp;[İştirak].&amp;[KAZAKİSTAN]" c="KAZAKİSTAN">
                <p n="[SalesChannel].[H_SalesChannel].[SalesOrgType].&amp;[İştirak]"/>
              </i>
              <i n="[SalesChannel].[H_SalesChannel].[SalesOrgType].&amp;[İştirak].&amp;[FAS]" c="FAS">
                <p n="[SalesChannel].[H_SalesChannel].[SalesOrgType].&amp;[İştirak]"/>
              </i>
              <i n="[SalesChannel].[H_SalesChannel].[SalesOrgType].&amp;[İştirak].&amp;[HOLLANDA  ]" c="HOLLANDA  ">
                <p n="[SalesChannel].[H_SalesChannel].[SalesOrgType].&amp;[İştirak]"/>
              </i>
              <i n="[SalesChannel].[H_SalesChannel].[SalesOrgType].&amp;[İştirak].&amp;[POLONYA]" c="POLONYA">
                <p n="[SalesChannel].[H_SalesChannel].[SalesOrgType].&amp;[İştirak]"/>
              </i>
              <i n="[SalesChannel].[H_SalesChannel].[SalesOrgType].&amp;[İştirak].&amp;[ROMANYA]" c="ROMANYA">
                <p n="[SalesChannel].[H_SalesChannel].[SalesOrgType].&amp;[İştirak]"/>
              </i>
              <i n="[SalesChannel].[H_SalesChannel].[SalesOrgType].&amp;[İştirak].&amp;[SIRBİSTAN]" c="SIRBİSTAN">
                <p n="[SalesChannel].[H_SalesChannel].[SalesOrgType].&amp;[İştirak]"/>
              </i>
              <i n="[SalesChannel].[H_SalesChannel].[SalesOrgType].&amp;[İştirak].&amp;[SUUDİ ARABİSTAN]" c="SUUDİ ARABİSTAN">
                <p n="[SalesChannel].[H_SalesChannel].[SalesOrgType].&amp;[İştirak]"/>
              </i>
              <i n="[SalesChannel].[H_SalesChannel].[SalesOrgType].&amp;[İştirak].&amp;[TÜRKİYE]" c="TÜRKİYE">
                <p n="[SalesChannel].[H_SalesChannel].[SalesOrgType].&amp;[İştirak]"/>
              </i>
              <i n="[SalesChannel].[H_SalesChannel].[SalesOrgType].&amp;[İştirak].&amp;[UKRAYNA]" c="UKRAYNA">
                <p n="[SalesChannel].[H_SalesChannel].[SalesOrgType].&amp;[İştirak]"/>
              </i>
              <i n="[SalesChannel].[H_SalesChannel].[SalesOrgType].&amp;[Franchise].&amp;[BİRLEŞİK ARAP EMİRLİKLERİ]" c="BİRLEŞİK ARAP EMİRLİKLERİ">
                <p n="[SalesChannel].[H_SalesChannel].[SalesOrgType].&amp;[Franchise]"/>
              </i>
              <i n="[SalesChannel].[H_SalesChannel].[SalesOrgType].&amp;[Franchise].&amp;[AZERBAYCAN]" c="AZERBAYCAN">
                <p n="[SalesChannel].[H_SalesChannel].[SalesOrgType].&amp;[Franchise]"/>
              </i>
              <i n="[SalesChannel].[H_SalesChannel].[SalesOrgType].&amp;[Franchise].&amp;[BOSNA HERSEK]" c="BOSNA HERSEK">
                <p n="[SalesChannel].[H_SalesChannel].[SalesOrgType].&amp;[Franchise]"/>
              </i>
              <i n="[SalesChannel].[H_SalesChannel].[SalesOrgType].&amp;[Franchise].&amp;[BELÇİKA]" c="BELÇİKA">
                <p n="[SalesChannel].[H_SalesChannel].[SalesOrgType].&amp;[Franchise]"/>
              </i>
              <i n="[SalesChannel].[H_SalesChannel].[SalesOrgType].&amp;[Franchise].&amp;[İSVİÇRE  ]" c="İSVİÇRE  ">
                <p n="[SalesChannel].[H_SalesChannel].[SalesOrgType].&amp;[Franchise]"/>
              </i>
              <i n="[SalesChannel].[H_SalesChannel].[SalesOrgType].&amp;[Franchise].&amp;[KIBRIS]" c="KIBRIS">
                <p n="[SalesChannel].[H_SalesChannel].[SalesOrgType].&amp;[Franchise]"/>
              </i>
              <i n="[SalesChannel].[H_SalesChannel].[SalesOrgType].&amp;[Franchise].&amp;[ALMANYA  ]" c="ALMANYA  ">
                <p n="[SalesChannel].[H_SalesChannel].[SalesOrgType].&amp;[Franchise]"/>
              </i>
              <i n="[SalesChannel].[H_SalesChannel].[SalesOrgType].&amp;[Franchise].&amp;[GABON  ]" c="GABON  ">
                <p n="[SalesChannel].[H_SalesChannel].[SalesOrgType].&amp;[Franchise]"/>
              </i>
              <i n="[SalesChannel].[H_SalesChannel].[SalesOrgType].&amp;[Franchise].&amp;[GÜRCİSTAN  ]" c="GÜRCİSTAN  ">
                <p n="[SalesChannel].[H_SalesChannel].[SalesOrgType].&amp;[Franchise]"/>
              </i>
              <i n="[SalesChannel].[H_SalesChannel].[SalesOrgType].&amp;[Franchise].&amp;[KIRGIZİSTAN]" c="KIRGIZİSTAN">
                <p n="[SalesChannel].[H_SalesChannel].[SalesOrgType].&amp;[Franchise]"/>
              </i>
              <i n="[SalesChannel].[H_SalesChannel].[SalesOrgType].&amp;[Franchise].&amp;[KUVEYT]" c="KUVEYT">
                <p n="[SalesChannel].[H_SalesChannel].[SalesOrgType].&amp;[Franchise]"/>
              </i>
              <i n="[SalesChannel].[H_SalesChannel].[SalesOrgType].&amp;[Franchise].&amp;[LİBYA]" c="LİBYA">
                <p n="[SalesChannel].[H_SalesChannel].[SalesOrgType].&amp;[Franchise]"/>
              </i>
              <i n="[SalesChannel].[H_SalesChannel].[SalesOrgType].&amp;[Franchise].&amp;[MOĞOLİSTAN]" c="MOĞOLİSTAN">
                <p n="[SalesChannel].[H_SalesChannel].[SalesOrgType].&amp;[Franchise]"/>
              </i>
              <i n="[SalesChannel].[H_SalesChannel].[SalesOrgType].&amp;[Franchise].&amp;[KATAR]" c="KATAR">
                <p n="[SalesChannel].[H_SalesChannel].[SalesOrgType].&amp;[Franchise]"/>
              </i>
              <i n="[SalesChannel].[H_SalesChannel].[SalesOrgType].&amp;[Franchise].&amp;[TÜRKMENİSTAN  ]" c="TÜRKMENİSTAN  ">
                <p n="[SalesChannel].[H_SalesChannel].[SalesOrgType].&amp;[Franchise]"/>
              </i>
              <i n="[SalesChannel].[H_SalesChannel].[SalesOrgType].&amp;[Franchise].&amp;[ÖZBEKİSTAN]" c="ÖZBEKİSTAN">
                <p n="[SalesChannel].[H_SalesChannel].[SalesOrgType].&amp;[Franchise]"/>
              </i>
              <i n="[SalesChannel].[H_SalesChannel].[SalesOrgType].&amp;[Franchise].&amp;[KOSOVA]" c="KOSOVA">
                <p n="[SalesChannel].[H_SalesChannel].[SalesOrgType].&amp;[Franchise]"/>
              </i>
              <i n="[SalesChannel].[H_SalesChannel].[SalesOrgType].&amp;[#NA].&amp;[#NA]" c="#NA" nd="1">
                <p n="[SalesChannel].[H_SalesChannel].[SalesOrgType].&amp;[#NA]"/>
              </i>
              <i n="[SalesChannel].[H_SalesChannel].[SalesOrgType].&amp;.&amp;" c="" nd="1">
                <p n="[SalesChannel].[H_SalesChannel].[SalesOrgType].&amp;"/>
              </i>
            </range>
          </ranges>
        </level>
        <level uniqueName="[SalesChannel].[H_SalesChannel].[DistrubitionChannelDesc]" sourceCaption="DistrubitionChannelDesc" count="0"/>
      </levels>
      <selections count="1">
        <selection n="[SalesChannel].[H_SalesChannel].[SalesOrgType].&amp;[İştirak].&amp;[TÜRKİYE]">
          <p n="[SalesChannel].[H_SalesChannel].[SalesOrgType].&amp;[İştirak]"/>
        </selection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SalesChannel].[H_SalesChannel].[CountryName]" count="2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DistrubitionChannelDesc3" xr10:uid="{27F58A4E-919C-4E45-A962-D012809B3100}" sourceName="[SalesChannel].[DistrubitionChannelDesc]">
  <pivotTables>
    <pivotTable tabId="1" name="PivotTable1"/>
  </pivotTables>
  <data>
    <olap pivotCacheId="166042810">
      <levels count="2">
        <level uniqueName="[SalesChannel].[DistrubitionChannelDesc].[(All)]" sourceCaption="(All)" count="0"/>
        <level uniqueName="[SalesChannel].[DistrubitionChannelDesc].[DistrubitionChannelDesc]" sourceCaption="DistrubitionChannelDesc" count="5">
          <ranges>
            <range startItem="0">
              <i n="[SalesChannel].[DistrubitionChannelDesc].&amp;[E - Ticaret]" c="E - Ticaret"/>
              <i n="[SalesChannel].[DistrubitionChannelDesc].&amp;[Perakende Satış]" c="Perakende Satış"/>
              <i n="[SalesChannel].[DistrubitionChannelDesc].&amp;[Toptan Satış]" c="Toptan Satış"/>
              <i n="[SalesChannel].[DistrubitionChannelDesc].&amp;[#NA]" c="#NA" nd="1"/>
              <i n="[SalesChannel].[DistrubitionChannelDesc].&amp;" c="" nd="1"/>
            </range>
          </ranges>
        </level>
      </levels>
      <selections count="1">
        <selection n="[SalesChannel].[DistrubitionChannelDesc].&amp;[Perakende Satış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SalesChannel].[DistrubitionChannelDesc].[DistrubitionChannelDesc]" count="2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erchMonth4" xr10:uid="{6B413A51-FF62-4969-B617-2DCE8193D6CD}" sourceName="[Calendar].[MerchMonth]">
  <pivotTables>
    <pivotTable tabId="1" name="PivotTable1"/>
  </pivotTables>
  <data>
    <olap pivotCacheId="166042810">
      <levels count="2">
        <level uniqueName="[Calendar].[MerchMonth].[(All)]" sourceCaption="(All)" count="0"/>
        <level uniqueName="[Calendar].[MerchMonth].[MerchMonth]" sourceCaption="MerchMonth" count="13">
          <ranges>
            <range startItem="0">
              <i n="[Calendar].[MerchMonth].&amp;[4]" c="4"/>
              <i n="[Calendar].[MerchMonth].&amp;[1]" c="1" nd="1"/>
              <i n="[Calendar].[MerchMonth].&amp;[2]" c="2" nd="1"/>
              <i n="[Calendar].[MerchMonth].&amp;[3]" c="3" nd="1"/>
              <i n="[Calendar].[MerchMonth].&amp;[5]" c="5" nd="1"/>
              <i n="[Calendar].[MerchMonth].&amp;[6]" c="6" nd="1"/>
              <i n="[Calendar].[MerchMonth].&amp;[7]" c="7" nd="1"/>
              <i n="[Calendar].[MerchMonth].&amp;[8]" c="8" nd="1"/>
              <i n="[Calendar].[MerchMonth].&amp;[9]" c="9" nd="1"/>
              <i n="[Calendar].[MerchMonth].&amp;[10]" c="10" nd="1"/>
              <i n="[Calendar].[MerchMonth].&amp;[11]" c="11" nd="1"/>
              <i n="[Calendar].[MerchMonth].&amp;[12]" c="12" nd="1"/>
              <i n="[Calendar].[MerchMonth].&amp;" c="" nd="1"/>
            </range>
          </ranges>
        </level>
      </levels>
      <selections count="1">
        <selection n="[Calendar].[MerchMonth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lendar].[MerchMonth].[MerchMonth]" count="12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erchWeek4" xr10:uid="{6932076E-1D80-478B-8350-E8D848BF3F7B}" sourceName="[Calendar].[MerchWeek]">
  <pivotTables>
    <pivotTable tabId="1" name="PivotTable1"/>
  </pivotTables>
  <data>
    <olap pivotCacheId="166042810">
      <levels count="2">
        <level uniqueName="[Calendar].[MerchWeek].[(All)]" sourceCaption="(All)" count="0"/>
        <level uniqueName="[Calendar].[MerchWeek].[MerchWeek]" sourceCaption="MerchWeek" count="54">
          <ranges>
            <range startItem="0">
              <i n="[Calendar].[MerchWeek].&amp;[15]" c="15"/>
              <i n="[Calendar].[MerchWeek].&amp;[1]" c="1" nd="1"/>
              <i n="[Calendar].[MerchWeek].&amp;[2]" c="2" nd="1"/>
              <i n="[Calendar].[MerchWeek].&amp;[3]" c="3" nd="1"/>
              <i n="[Calendar].[MerchWeek].&amp;[4]" c="4" nd="1"/>
              <i n="[Calendar].[MerchWeek].&amp;[5]" c="5" nd="1"/>
              <i n="[Calendar].[MerchWeek].&amp;[6]" c="6" nd="1"/>
              <i n="[Calendar].[MerchWeek].&amp;[7]" c="7" nd="1"/>
              <i n="[Calendar].[MerchWeek].&amp;[8]" c="8" nd="1"/>
              <i n="[Calendar].[MerchWeek].&amp;[9]" c="9" nd="1"/>
              <i n="[Calendar].[MerchWeek].&amp;[10]" c="10" nd="1"/>
              <i n="[Calendar].[MerchWeek].&amp;[11]" c="11" nd="1"/>
              <i n="[Calendar].[MerchWeek].&amp;[12]" c="12" nd="1"/>
              <i n="[Calendar].[MerchWeek].&amp;[13]" c="13" nd="1"/>
              <i n="[Calendar].[MerchWeek].&amp;[14]" c="14" nd="1"/>
              <i n="[Calendar].[MerchWeek].&amp;[16]" c="16" nd="1"/>
              <i n="[Calendar].[MerchWeek].&amp;[17]" c="17" nd="1"/>
              <i n="[Calendar].[MerchWeek].&amp;[18]" c="18" nd="1"/>
              <i n="[Calendar].[MerchWeek].&amp;[19]" c="19" nd="1"/>
              <i n="[Calendar].[MerchWeek].&amp;[20]" c="20" nd="1"/>
              <i n="[Calendar].[MerchWeek].&amp;[21]" c="21" nd="1"/>
              <i n="[Calendar].[MerchWeek].&amp;[22]" c="22" nd="1"/>
              <i n="[Calendar].[MerchWeek].&amp;[23]" c="23" nd="1"/>
              <i n="[Calendar].[MerchWeek].&amp;[24]" c="24" nd="1"/>
              <i n="[Calendar].[MerchWeek].&amp;[25]" c="25" nd="1"/>
              <i n="[Calendar].[MerchWeek].&amp;[26]" c="26" nd="1"/>
              <i n="[Calendar].[MerchWeek].&amp;[27]" c="27" nd="1"/>
              <i n="[Calendar].[MerchWeek].&amp;[28]" c="28" nd="1"/>
              <i n="[Calendar].[MerchWeek].&amp;[29]" c="29" nd="1"/>
              <i n="[Calendar].[MerchWeek].&amp;[30]" c="30" nd="1"/>
              <i n="[Calendar].[MerchWeek].&amp;[31]" c="31" nd="1"/>
              <i n="[Calendar].[MerchWeek].&amp;[32]" c="32" nd="1"/>
              <i n="[Calendar].[MerchWeek].&amp;[33]" c="33" nd="1"/>
              <i n="[Calendar].[MerchWeek].&amp;[34]" c="34" nd="1"/>
              <i n="[Calendar].[MerchWeek].&amp;[35]" c="35" nd="1"/>
              <i n="[Calendar].[MerchWeek].&amp;[36]" c="36" nd="1"/>
              <i n="[Calendar].[MerchWeek].&amp;[37]" c="37" nd="1"/>
              <i n="[Calendar].[MerchWeek].&amp;[38]" c="38" nd="1"/>
              <i n="[Calendar].[MerchWeek].&amp;[39]" c="39" nd="1"/>
              <i n="[Calendar].[MerchWeek].&amp;[40]" c="40" nd="1"/>
              <i n="[Calendar].[MerchWeek].&amp;[41]" c="41" nd="1"/>
              <i n="[Calendar].[MerchWeek].&amp;[42]" c="42" nd="1"/>
              <i n="[Calendar].[MerchWeek].&amp;[43]" c="43" nd="1"/>
              <i n="[Calendar].[MerchWeek].&amp;[44]" c="44" nd="1"/>
              <i n="[Calendar].[MerchWeek].&amp;[45]" c="45" nd="1"/>
              <i n="[Calendar].[MerchWeek].&amp;[46]" c="46" nd="1"/>
              <i n="[Calendar].[MerchWeek].&amp;[47]" c="47" nd="1"/>
              <i n="[Calendar].[MerchWeek].&amp;[48]" c="48" nd="1"/>
              <i n="[Calendar].[MerchWeek].&amp;[49]" c="49" nd="1"/>
              <i n="[Calendar].[MerchWeek].&amp;[50]" c="50" nd="1"/>
              <i n="[Calendar].[MerchWeek].&amp;[51]" c="51" nd="1"/>
              <i n="[Calendar].[MerchWeek].&amp;[52]" c="52" nd="1"/>
              <i n="[Calendar].[MerchWeek].&amp;[53]" c="53" nd="1"/>
              <i n="[Calendar].[MerchWeek].&amp;" c="" nd="1"/>
            </range>
          </ranges>
        </level>
      </levels>
      <selections count="1">
        <selection n="[Calendar].[MerchWeek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lendar].[MerchWeek].[MerchWeek]" count="53"/>
      </x15:slicerCacheHideItemsWithNoData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erchYear3" xr10:uid="{912BA79D-6948-4704-8AB0-CE745440DA35}" sourceName="[Calendar].[MerchYear]">
  <pivotTables>
    <pivotTable tabId="1" name="PivotTable1"/>
  </pivotTables>
  <data>
    <olap pivotCacheId="166042810">
      <levels count="2">
        <level uniqueName="[Calendar].[MerchYear].[(All)]" sourceCaption="(All)" count="0"/>
        <level uniqueName="[Calendar].[MerchYear].[MerchYear]" sourceCaption="MerchYear" count="8">
          <ranges>
            <range startItem="0">
              <i n="[Calendar].[MerchYear].&amp;[2025]" c="2025"/>
              <i n="[Calendar].[MerchYear].&amp;[2021]" c="2021" nd="1"/>
              <i n="[Calendar].[MerchYear].&amp;[2022]" c="2022" nd="1"/>
              <i n="[Calendar].[MerchYear].&amp;[2023]" c="2023" nd="1"/>
              <i n="[Calendar].[MerchYear].&amp;[2024]" c="2024" nd="1"/>
              <i n="[Calendar].[MerchYear].&amp;[2026]" c="2026" nd="1"/>
              <i n="[Calendar].[MerchYear].&amp;[2027]" c="2027" nd="1"/>
              <i n="[Calendar].[MerchYear].&amp;" c="" nd="1"/>
            </range>
          </ranges>
        </level>
      </levels>
      <selections count="1">
        <selection n="[Calendar].[MerchYear].&amp;[2025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lendar].[MerchYear].[MerchYear]" count="7"/>
      </x15:slicerCacheHideItemsWithNoData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ainGroupDesc3" xr10:uid="{6EBC5F0D-BF0F-4E60-9925-13ABDA29DD9D}" sourceName="[Material].[MainGroupDesc]">
  <pivotTables>
    <pivotTable tabId="1" name="PivotTable1"/>
  </pivotTables>
  <data>
    <olap pivotCacheId="166042810">
      <levels count="2">
        <level uniqueName="[Material].[MainGroupDesc].[(All)]" sourceCaption="(All)" count="0"/>
        <level uniqueName="[Material].[MainGroupDesc].[MainGroupDesc]" sourceCaption="MainGroupDesc" count="38">
          <ranges>
            <range startItem="0">
              <i n="[Material].[MainGroupDesc].&amp;[Aksesuar]" c="Aksesuar"/>
              <i n="[Material].[MainGroupDesc].&amp;[Banyo]" c="Banyo"/>
              <i n="[Material].[MainGroupDesc].&amp;[Battaniye]" c="Battaniye"/>
              <i n="[Material].[MainGroupDesc].&amp;[Bornoz]" c="Bornoz"/>
              <i n="[Material].[MainGroupDesc].&amp;[Çarşaf]" c="Çarşaf"/>
              <i n="[Material].[MainGroupDesc].&amp;[Ev Giysisi]" c="Ev Giysisi"/>
              <i n="[Material].[MainGroupDesc].&amp;[Halı - Kilim]" c="Halı - Kilim"/>
              <i n="[Material].[MainGroupDesc].&amp;[Havlu]" c="Havlu"/>
              <i n="[Material].[MainGroupDesc].&amp;[KEA]" c="KEA"/>
              <i n="[Material].[MainGroupDesc].&amp;[Kozmetik]" c="Kozmetik"/>
              <i n="[Material].[MainGroupDesc].&amp;[Mutfak]" c="Mutfak"/>
              <i n="[Material].[MainGroupDesc].&amp;[Nevresim]" c="Nevresim"/>
              <i n="[Material].[MainGroupDesc].&amp;[Pike]" c="Pike"/>
              <i n="[Material].[MainGroupDesc].&amp;[Pişirme]" c="Pişirme"/>
              <i n="[Material].[MainGroupDesc].&amp;[Salon]" c="Salon"/>
              <i n="[Material].[MainGroupDesc].&amp;[Sofra]" c="Sofra"/>
              <i n="[Material].[MainGroupDesc].&amp;[Sofra Takımları]" c="Sofra Takımları"/>
              <i n="[Material].[MainGroupDesc].&amp;[White Collection]" c="White Collection"/>
              <i n="[Material].[MainGroupDesc].&amp;[Yastık]" c="Yastık"/>
              <i n="[Material].[MainGroupDesc].&amp;[Yatak Örtüsü]" c="Yatak Örtüsü"/>
              <i n="[Material].[MainGroupDesc].&amp;[YEDEK PARÇA]" c="YEDEK PARÇA"/>
              <i n="[Material].[MainGroupDesc].&amp;[Yorgan]" c="Yorgan"/>
              <i n="[Material].[MainGroupDesc].&amp;[#NA]" c="#NA" nd="1"/>
              <i n="[Material].[MainGroupDesc].&amp;[Bilgi Sistemleri]" c="Bilgi Sistemleri" nd="1"/>
              <i n="[Material].[MainGroupDesc].&amp;[Cafe]" c="Cafe" nd="1"/>
              <i n="[Material].[MainGroupDesc].&amp;[EBA]" c="EBA" nd="1"/>
              <i n="[Material].[MainGroupDesc].&amp;[Entegrasyon]" c="Entegrasyon" nd="1"/>
              <i n="[Material].[MainGroupDesc].&amp;[Hazır Perde]" c="Hazır Perde" nd="1"/>
              <i n="[Material].[MainGroupDesc].&amp;[İnsan Kaynakları]" c="İnsan Kaynakları" nd="1"/>
              <i n="[Material].[MainGroupDesc].&amp;[Küçük Elektrikli Ev Aletleri]" c="Küçük Elektrikli Ev Aletleri" nd="1"/>
              <i n="[Material].[MainGroupDesc].&amp;[Mağaza Yatırım ve Proje]" c="Mağaza Yatırım ve Proje" nd="1"/>
              <i n="[Material].[MainGroupDesc].&amp;[Mobilya]" c="Mobilya" nd="1"/>
              <i n="[Material].[MainGroupDesc].&amp;[Mobilya Satış]" c="Mobilya Satış" nd="1"/>
              <i n="[Material].[MainGroupDesc].&amp;[Pazarlama]" c="Pazarlama" nd="1"/>
              <i n="[Material].[MainGroupDesc].&amp;[Planlama]" c="Planlama" nd="1"/>
              <i n="[Material].[MainGroupDesc].&amp;[Yarı Mamul]" c="Yarı Mamul" nd="1"/>
              <i n="[Material].[MainGroupDesc].&amp;[Yatak]" c="Yatak" nd="1"/>
              <i n="[Material].[MainGroupDesc].&amp;" c="" nd="1"/>
            </range>
          </ranges>
        </level>
      </levels>
      <selections count="1">
        <selection n="[Material].[MainGroupDesc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Material].[MainGroupDesc].[MainGroupDesc]" count="16"/>
      </x15:slicerCacheHideItemsWithNoData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H_Merch" xr10:uid="{5D11EBD5-ABBA-4BF0-8240-733DC63A5389}" sourceName="[Calendar].[H_Merch]">
  <pivotTables>
    <pivotTable tabId="3" name="PivotTable1"/>
  </pivotTables>
  <data>
    <olap pivotCacheId="372199404">
      <levels count="5">
        <level uniqueName="[Calendar].[H_Merch].[(All)]" sourceCaption="(All)" count="0"/>
        <level uniqueName="[Calendar].[H_Merch].[MerchYear]" sourceCaption="MerchYear" count="0"/>
        <level uniqueName="[Calendar].[H_Merch].[MerchYearMonthName]" sourceCaption="MerchYearMonthName" count="0"/>
        <level uniqueName="[Calendar].[H_Merch].[MerchYearWeek]" sourceCaption="MerchYearWeek" count="0"/>
        <level uniqueName="[Calendar].[H_Merch].[Date]" sourceCaption="Date" count="2558">
          <ranges>
            <range startItem="0">
              <i n="[Calendar].[H_Merch].[Date].&amp;[2026-01-27T00:00:00]" c="27.01.2026">
                <p n="[Calendar].[H_Merch].[MerchYearWeek].&amp;[202605]"/>
                <p n="[Calendar].[H_Merch].[MerchYearMonthName].&amp;[2026-Ocak]"/>
                <p n="[Calendar].[H_Merch].[MerchYear].&amp;[2026]"/>
              </i>
              <i n="[Calendar].[H_Merch].[Date].&amp;[2026-01-28T00:00:00]" c="28.01.2026">
                <p n="[Calendar].[H_Merch].[MerchYearWeek].&amp;[202605]"/>
                <p n="[Calendar].[H_Merch].[MerchYearMonthName].&amp;[2026-Ocak]"/>
                <p n="[Calendar].[H_Merch].[MerchYear].&amp;[2026]"/>
              </i>
              <i n="[Calendar].[H_Merch].[Date].&amp;[2026-01-29T00:00:00]" c="29.01.2026">
                <p n="[Calendar].[H_Merch].[MerchYearWeek].&amp;[202605]"/>
                <p n="[Calendar].[H_Merch].[MerchYearMonthName].&amp;[2026-Ocak]"/>
                <p n="[Calendar].[H_Merch].[MerchYear].&amp;[2026]"/>
              </i>
              <i n="[Calendar].[H_Merch].[Date].&amp;[2026-01-30T00:00:00]" c="30.01.2026">
                <p n="[Calendar].[H_Merch].[MerchYearWeek].&amp;[202605]"/>
                <p n="[Calendar].[H_Merch].[MerchYearMonthName].&amp;[2026-Ocak]"/>
                <p n="[Calendar].[H_Merch].[MerchYear].&amp;[2026]"/>
              </i>
              <i n="[Calendar].[H_Merch].[Date].&amp;[2026-01-31T00:00:00]" c="31.01.2026">
                <p n="[Calendar].[H_Merch].[MerchYearWeek].&amp;[202605]"/>
                <p n="[Calendar].[H_Merch].[MerchYearMonthName].&amp;[2026-Ocak]"/>
                <p n="[Calendar].[H_Merch].[MerchYear].&amp;[2026]"/>
              </i>
              <i n="[Calendar].[H_Merch].[Date].&amp;[2026-02-01T00:00:00]" c="1.02.2026">
                <p n="[Calendar].[H_Merch].[MerchYearWeek].&amp;[202605]"/>
                <p n="[Calendar].[H_Merch].[MerchYearMonthName].&amp;[2026-Ocak]"/>
                <p n="[Calendar].[H_Merch].[MerchYear].&amp;[2026]"/>
              </i>
              <i n="[Calendar].[H_Merch].[Date].&amp;[2026-02-02T00:00:00]" c="2.02.2026">
                <p n="[Calendar].[H_Merch].[MerchYearWeek].&amp;[202606]"/>
                <p n="[Calendar].[H_Merch].[MerchYearMonthName].&amp;[2026-Şubat]"/>
                <p n="[Calendar].[H_Merch].[MerchYear].&amp;[2026]"/>
              </i>
              <i n="[Calendar].[H_Merch].[Date].&amp;[2026-02-03T00:00:00]" c="3.02.2026">
                <p n="[Calendar].[H_Merch].[MerchYearWeek].&amp;[202606]"/>
                <p n="[Calendar].[H_Merch].[MerchYearMonthName].&amp;[2026-Şubat]"/>
                <p n="[Calendar].[H_Merch].[MerchYear].&amp;[2026]"/>
              </i>
              <i n="[Calendar].[H_Merch].[Date].&amp;[2026-02-04T00:00:00]" c="4.02.2026">
                <p n="[Calendar].[H_Merch].[MerchYearWeek].&amp;[202606]"/>
                <p n="[Calendar].[H_Merch].[MerchYearMonthName].&amp;[2026-Şubat]"/>
                <p n="[Calendar].[H_Merch].[MerchYear].&amp;[2026]"/>
              </i>
              <i n="[Calendar].[H_Merch].[Date].&amp;[2026-02-05T00:00:00]" c="5.02.2026">
                <p n="[Calendar].[H_Merch].[MerchYearWeek].&amp;[202606]"/>
                <p n="[Calendar].[H_Merch].[MerchYearMonthName].&amp;[2026-Şubat]"/>
                <p n="[Calendar].[H_Merch].[MerchYear].&amp;[2026]"/>
              </i>
              <i n="[Calendar].[H_Merch].[Date].&amp;[2026-02-06T00:00:00]" c="6.02.2026">
                <p n="[Calendar].[H_Merch].[MerchYearWeek].&amp;[202606]"/>
                <p n="[Calendar].[H_Merch].[MerchYearMonthName].&amp;[2026-Şubat]"/>
                <p n="[Calendar].[H_Merch].[MerchYear].&amp;[2026]"/>
              </i>
              <i n="[Calendar].[H_Merch].[Date].&amp;[2026-02-07T00:00:00]" c="7.02.2026">
                <p n="[Calendar].[H_Merch].[MerchYearWeek].&amp;[202606]"/>
                <p n="[Calendar].[H_Merch].[MerchYearMonthName].&amp;[2026-Şubat]"/>
                <p n="[Calendar].[H_Merch].[MerchYear].&amp;[2026]"/>
              </i>
              <i n="[Calendar].[H_Merch].[Date].&amp;[2026-02-08T00:00:00]" c="8.02.2026">
                <p n="[Calendar].[H_Merch].[MerchYearWeek].&amp;[202606]"/>
                <p n="[Calendar].[H_Merch].[MerchYearMonthName].&amp;[2026-Şubat]"/>
                <p n="[Calendar].[H_Merch].[MerchYear].&amp;[2026]"/>
              </i>
              <i n="[Calendar].[H_Merch].[Date].&amp;[2026-02-09T00:00:00]" c="9.02.2026">
                <p n="[Calendar].[H_Merch].[MerchYearWeek].&amp;[202607]"/>
                <p n="[Calendar].[H_Merch].[MerchYearMonthName].&amp;[2026-Şubat]"/>
                <p n="[Calendar].[H_Merch].[MerchYear].&amp;[2026]"/>
              </i>
              <i n="[Calendar].[H_Merch].[Date].&amp;[2020-12-31T00:00:00]" c="31.12.2020" nd="1">
                <p n="[Calendar].[H_Merch].[MerchYearWeek].&amp;[202101]"/>
                <p n="[Calendar].[H_Merch].[MerchYearMonthName].&amp;[2021-Ocak]"/>
                <p n="[Calendar].[H_Merch].[MerchYear].&amp;[2021]"/>
              </i>
              <i n="[Calendar].[H_Merch].[Date].&amp;[2021-01-01T00:00:00]" c="1.01.2021" nd="1">
                <p n="[Calendar].[H_Merch].[MerchYearWeek].&amp;[202101]"/>
                <p n="[Calendar].[H_Merch].[MerchYearMonthName].&amp;[2021-Ocak]"/>
                <p n="[Calendar].[H_Merch].[MerchYear].&amp;[2021]"/>
              </i>
              <i n="[Calendar].[H_Merch].[Date].&amp;[2021-01-02T00:00:00]" c="2.01.2021" nd="1">
                <p n="[Calendar].[H_Merch].[MerchYearWeek].&amp;[202101]"/>
                <p n="[Calendar].[H_Merch].[MerchYearMonthName].&amp;[2021-Ocak]"/>
                <p n="[Calendar].[H_Merch].[MerchYear].&amp;[2021]"/>
              </i>
              <i n="[Calendar].[H_Merch].[Date].&amp;[2021-01-03T00:00:00]" c="3.01.2021" nd="1">
                <p n="[Calendar].[H_Merch].[MerchYearWeek].&amp;[202101]"/>
                <p n="[Calendar].[H_Merch].[MerchYearMonthName].&amp;[2021-Ocak]"/>
                <p n="[Calendar].[H_Merch].[MerchYear].&amp;[2021]"/>
              </i>
              <i n="[Calendar].[H_Merch].[Date].&amp;[2021-01-04T00:00:00]" c="4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05T00:00:00]" c="5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06T00:00:00]" c="6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07T00:00:00]" c="7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08T00:00:00]" c="8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09T00:00:00]" c="9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10T00:00:00]" c="10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11T00:00:00]" c="11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2T00:00:00]" c="12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3T00:00:00]" c="13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4T00:00:00]" c="14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5T00:00:00]" c="15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6T00:00:00]" c="16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7T00:00:00]" c="17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8T00:00:00]" c="18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19T00:00:00]" c="19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20T00:00:00]" c="20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21T00:00:00]" c="21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22T00:00:00]" c="22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23T00:00:00]" c="23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24T00:00:00]" c="24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25T00:00:00]" c="25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1-26T00:00:00]" c="26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1-27T00:00:00]" c="27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1-28T00:00:00]" c="28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1-29T00:00:00]" c="29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1-30T00:00:00]" c="30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1-31T00:00:00]" c="31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2-01T00:00:00]" c="1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2T00:00:00]" c="2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3T00:00:00]" c="3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4T00:00:00]" c="4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5T00:00:00]" c="5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6T00:00:00]" c="6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7T00:00:00]" c="7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8T00:00:00]" c="8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09T00:00:00]" c="9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10T00:00:00]" c="10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11T00:00:00]" c="11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12T00:00:00]" c="12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13T00:00:00]" c="13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14T00:00:00]" c="14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15T00:00:00]" c="15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16T00:00:00]" c="16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17T00:00:00]" c="17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18T00:00:00]" c="18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19T00:00:00]" c="19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20T00:00:00]" c="20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21T00:00:00]" c="21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22T00:00:00]" c="22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2-23T00:00:00]" c="23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2-24T00:00:00]" c="24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2-25T00:00:00]" c="25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2-26T00:00:00]" c="26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2-27T00:00:00]" c="27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2-28T00:00:00]" c="28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3-01T00:00:00]" c="1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2T00:00:00]" c="2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3T00:00:00]" c="3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4T00:00:00]" c="4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5T00:00:00]" c="5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6T00:00:00]" c="6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7T00:00:00]" c="7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8T00:00:00]" c="8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09T00:00:00]" c="9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10T00:00:00]" c="10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11T00:00:00]" c="11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12T00:00:00]" c="12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13T00:00:00]" c="13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14T00:00:00]" c="14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15T00:00:00]" c="15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16T00:00:00]" c="16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17T00:00:00]" c="17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18T00:00:00]" c="18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19T00:00:00]" c="19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20T00:00:00]" c="20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21T00:00:00]" c="21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22T00:00:00]" c="22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3T00:00:00]" c="23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4T00:00:00]" c="24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5T00:00:00]" c="25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6T00:00:00]" c="26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7T00:00:00]" c="27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8T00:00:00]" c="28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9T00:00:00]" c="29.03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3-30T00:00:00]" c="30.03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3-31T00:00:00]" c="31.03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4-01T00:00:00]" c="1.04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4-02T00:00:00]" c="2.04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4-03T00:00:00]" c="3.04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4-04T00:00:00]" c="4.04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4-05T00:00:00]" c="5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06T00:00:00]" c="6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07T00:00:00]" c="7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08T00:00:00]" c="8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09T00:00:00]" c="9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10T00:00:00]" c="10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11T00:00:00]" c="11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12T00:00:00]" c="12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3T00:00:00]" c="13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4T00:00:00]" c="14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5T00:00:00]" c="15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6T00:00:00]" c="16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7T00:00:00]" c="17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8T00:00:00]" c="18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9T00:00:00]" c="19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0T00:00:00]" c="20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1T00:00:00]" c="21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2T00:00:00]" c="22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3T00:00:00]" c="23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4T00:00:00]" c="24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5T00:00:00]" c="25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6T00:00:00]" c="26.04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4-27T00:00:00]" c="27.04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4-28T00:00:00]" c="28.04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4-29T00:00:00]" c="29.04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4-30T00:00:00]" c="30.04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5-01T00:00:00]" c="1.05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5-02T00:00:00]" c="2.05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5-03T00:00:00]" c="3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04T00:00:00]" c="4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05T00:00:00]" c="5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06T00:00:00]" c="6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07T00:00:00]" c="7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08T00:00:00]" c="8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09T00:00:00]" c="9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10T00:00:00]" c="10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1T00:00:00]" c="11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2T00:00:00]" c="12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3T00:00:00]" c="13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4T00:00:00]" c="14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5T00:00:00]" c="15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6T00:00:00]" c="16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7T00:00:00]" c="17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18T00:00:00]" c="18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19T00:00:00]" c="19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20T00:00:00]" c="20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21T00:00:00]" c="21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22T00:00:00]" c="22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23T00:00:00]" c="23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24T00:00:00]" c="24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25T00:00:00]" c="25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26T00:00:00]" c="26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27T00:00:00]" c="27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28T00:00:00]" c="28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29T00:00:00]" c="29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30T00:00:00]" c="30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31T00:00:00]" c="31.05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1T00:00:00]" c="1.06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2T00:00:00]" c="2.06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3T00:00:00]" c="3.06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4T00:00:00]" c="4.06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5T00:00:00]" c="5.06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6T00:00:00]" c="6.06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7T00:00:00]" c="7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08T00:00:00]" c="8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09T00:00:00]" c="9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10T00:00:00]" c="10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11T00:00:00]" c="11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12T00:00:00]" c="12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13T00:00:00]" c="13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14T00:00:00]" c="14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15T00:00:00]" c="15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16T00:00:00]" c="16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17T00:00:00]" c="17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18T00:00:00]" c="18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19T00:00:00]" c="19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20T00:00:00]" c="20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21T00:00:00]" c="21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2T00:00:00]" c="22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3T00:00:00]" c="23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4T00:00:00]" c="24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5T00:00:00]" c="25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6T00:00:00]" c="26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7T00:00:00]" c="27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8T00:00:00]" c="28.06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6-29T00:00:00]" c="29.06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6-30T00:00:00]" c="30.06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7-01T00:00:00]" c="1.07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7-02T00:00:00]" c="2.07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7-03T00:00:00]" c="3.07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7-04T00:00:00]" c="4.07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7-05T00:00:00]" c="5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06T00:00:00]" c="6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07T00:00:00]" c="7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08T00:00:00]" c="8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09T00:00:00]" c="9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10T00:00:00]" c="10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11T00:00:00]" c="11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12T00:00:00]" c="12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3T00:00:00]" c="13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4T00:00:00]" c="14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5T00:00:00]" c="15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6T00:00:00]" c="16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7T00:00:00]" c="17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8T00:00:00]" c="18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9T00:00:00]" c="19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0T00:00:00]" c="20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1T00:00:00]" c="21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2T00:00:00]" c="22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3T00:00:00]" c="23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4T00:00:00]" c="24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5T00:00:00]" c="25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6T00:00:00]" c="26.07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7-27T00:00:00]" c="27.07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7-28T00:00:00]" c="28.07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7-29T00:00:00]" c="29.07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7-30T00:00:00]" c="30.07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7-31T00:00:00]" c="31.07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8-01T00:00:00]" c="1.08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8-02T00:00:00]" c="2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3T00:00:00]" c="3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4T00:00:00]" c="4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5T00:00:00]" c="5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6T00:00:00]" c="6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7T00:00:00]" c="7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8T00:00:00]" c="8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9T00:00:00]" c="9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0T00:00:00]" c="10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1T00:00:00]" c="11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2T00:00:00]" c="12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3T00:00:00]" c="13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4T00:00:00]" c="14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5T00:00:00]" c="15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6T00:00:00]" c="16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17T00:00:00]" c="17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18T00:00:00]" c="18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19T00:00:00]" c="19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20T00:00:00]" c="20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21T00:00:00]" c="21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22T00:00:00]" c="22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23T00:00:00]" c="23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24T00:00:00]" c="24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25T00:00:00]" c="25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26T00:00:00]" c="26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27T00:00:00]" c="27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28T00:00:00]" c="28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29T00:00:00]" c="29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30T00:00:00]" c="30.08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8-31T00:00:00]" c="31.08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9-01T00:00:00]" c="1.09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9-02T00:00:00]" c="2.09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9-03T00:00:00]" c="3.09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9-04T00:00:00]" c="4.09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9-05T00:00:00]" c="5.09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9-06T00:00:00]" c="6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07T00:00:00]" c="7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08T00:00:00]" c="8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09T00:00:00]" c="9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10T00:00:00]" c="10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11T00:00:00]" c="11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12T00:00:00]" c="12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13T00:00:00]" c="13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14T00:00:00]" c="14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15T00:00:00]" c="15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16T00:00:00]" c="16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17T00:00:00]" c="17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18T00:00:00]" c="18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19T00:00:00]" c="19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20T00:00:00]" c="20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1T00:00:00]" c="21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2T00:00:00]" c="22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3T00:00:00]" c="23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4T00:00:00]" c="24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5T00:00:00]" c="25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6T00:00:00]" c="26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7T00:00:00]" c="27.09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09-28T00:00:00]" c="28.09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09-29T00:00:00]" c="29.09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09-30T00:00:00]" c="30.09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10-01T00:00:00]" c="1.10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10-02T00:00:00]" c="2.10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10-03T00:00:00]" c="3.10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10-04T00:00:00]" c="4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05T00:00:00]" c="5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06T00:00:00]" c="6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07T00:00:00]" c="7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08T00:00:00]" c="8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09T00:00:00]" c="9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10T00:00:00]" c="10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11T00:00:00]" c="11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2T00:00:00]" c="12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3T00:00:00]" c="13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4T00:00:00]" c="14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5T00:00:00]" c="15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6T00:00:00]" c="16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7T00:00:00]" c="17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8T00:00:00]" c="18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19T00:00:00]" c="19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20T00:00:00]" c="20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21T00:00:00]" c="21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22T00:00:00]" c="22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23T00:00:00]" c="23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24T00:00:00]" c="24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25T00:00:00]" c="25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0-26T00:00:00]" c="26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0-27T00:00:00]" c="27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0-28T00:00:00]" c="28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0-29T00:00:00]" c="29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0-30T00:00:00]" c="30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0-31T00:00:00]" c="31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1-01T00:00:00]" c="1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2T00:00:00]" c="2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3T00:00:00]" c="3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4T00:00:00]" c="4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5T00:00:00]" c="5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6T00:00:00]" c="6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7T00:00:00]" c="7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8T00:00:00]" c="8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09T00:00:00]" c="9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10T00:00:00]" c="10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11T00:00:00]" c="11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12T00:00:00]" c="12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13T00:00:00]" c="13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14T00:00:00]" c="14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15T00:00:00]" c="15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16T00:00:00]" c="16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17T00:00:00]" c="17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18T00:00:00]" c="18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19T00:00:00]" c="19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20T00:00:00]" c="20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21T00:00:00]" c="21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22T00:00:00]" c="22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3T00:00:00]" c="23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4T00:00:00]" c="24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5T00:00:00]" c="25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6T00:00:00]" c="26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7T00:00:00]" c="27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8T00:00:00]" c="28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9T00:00:00]" c="29.11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1-30T00:00:00]" c="30.11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2-01T00:00:00]" c="1.12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2-02T00:00:00]" c="2.12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2-03T00:00:00]" c="3.12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2-04T00:00:00]" c="4.12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2-05T00:00:00]" c="5.12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2-06T00:00:00]" c="6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07T00:00:00]" c="7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08T00:00:00]" c="8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09T00:00:00]" c="9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10T00:00:00]" c="10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11T00:00:00]" c="11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12T00:00:00]" c="12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13T00:00:00]" c="13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14T00:00:00]" c="14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15T00:00:00]" c="15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16T00:00:00]" c="16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17T00:00:00]" c="17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18T00:00:00]" c="18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19T00:00:00]" c="19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20T00:00:00]" c="20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1T00:00:00]" c="21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2T00:00:00]" c="22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3T00:00:00]" c="23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4T00:00:00]" c="24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5T00:00:00]" c="25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6T00:00:00]" c="26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7T00:00:00]" c="27.12.2021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1-12-28T00:00:00]" c="28.12.2021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1-12-29T00:00:00]" c="29.12.2021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1-12-30T00:00:00]" c="30.12.2021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1-12-31T00:00:00]" c="31.12.2021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2-01-01T00:00:00]" c="1.01.2022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2-01-02T00:00:00]" c="2.01.2022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2-01-03T00:00:00]" c="3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04T00:00:00]" c="4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05T00:00:00]" c="5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06T00:00:00]" c="6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07T00:00:00]" c="7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08T00:00:00]" c="8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09T00:00:00]" c="9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10T00:00:00]" c="10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1T00:00:00]" c="11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2T00:00:00]" c="12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3T00:00:00]" c="13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4T00:00:00]" c="14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5T00:00:00]" c="15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6T00:00:00]" c="16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7T00:00:00]" c="17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18T00:00:00]" c="18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19T00:00:00]" c="19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20T00:00:00]" c="20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21T00:00:00]" c="21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22T00:00:00]" c="22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23T00:00:00]" c="23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24T00:00:00]" c="24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25T00:00:00]" c="25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26T00:00:00]" c="26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27T00:00:00]" c="27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28T00:00:00]" c="28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29T00:00:00]" c="29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30T00:00:00]" c="30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31T00:00:00]" c="31.01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1T00:00:00]" c="1.02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2T00:00:00]" c="2.02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3T00:00:00]" c="3.02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4T00:00:00]" c="4.02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5T00:00:00]" c="5.02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6T00:00:00]" c="6.02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7T00:00:00]" c="7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08T00:00:00]" c="8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09T00:00:00]" c="9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10T00:00:00]" c="10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11T00:00:00]" c="11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12T00:00:00]" c="12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13T00:00:00]" c="13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14T00:00:00]" c="14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15T00:00:00]" c="15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16T00:00:00]" c="16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17T00:00:00]" c="17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18T00:00:00]" c="18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19T00:00:00]" c="19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20T00:00:00]" c="20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21T00:00:00]" c="21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2T00:00:00]" c="22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3T00:00:00]" c="23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4T00:00:00]" c="24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5T00:00:00]" c="25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6T00:00:00]" c="26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7T00:00:00]" c="27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8T00:00:00]" c="28.02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1T00:00:00]" c="1.03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2T00:00:00]" c="2.03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3T00:00:00]" c="3.03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4T00:00:00]" c="4.03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5T00:00:00]" c="5.03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6T00:00:00]" c="6.03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7T00:00:00]" c="7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08T00:00:00]" c="8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09T00:00:00]" c="9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10T00:00:00]" c="10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11T00:00:00]" c="11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12T00:00:00]" c="12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13T00:00:00]" c="13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14T00:00:00]" c="14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15T00:00:00]" c="15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16T00:00:00]" c="16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17T00:00:00]" c="17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18T00:00:00]" c="18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19T00:00:00]" c="19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20T00:00:00]" c="20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21T00:00:00]" c="21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2T00:00:00]" c="22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3T00:00:00]" c="23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4T00:00:00]" c="24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5T00:00:00]" c="25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6T00:00:00]" c="26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7T00:00:00]" c="27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8T00:00:00]" c="28.03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3-29T00:00:00]" c="29.03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3-30T00:00:00]" c="30.03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3-31T00:00:00]" c="31.03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4-01T00:00:00]" c="1.04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4-02T00:00:00]" c="2.04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4-03T00:00:00]" c="3.04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4-04T00:00:00]" c="4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05T00:00:00]" c="5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06T00:00:00]" c="6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07T00:00:00]" c="7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08T00:00:00]" c="8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09T00:00:00]" c="9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10T00:00:00]" c="10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11T00:00:00]" c="11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2T00:00:00]" c="12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3T00:00:00]" c="13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4T00:00:00]" c="14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5T00:00:00]" c="15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6T00:00:00]" c="16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7T00:00:00]" c="17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8T00:00:00]" c="18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19T00:00:00]" c="19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20T00:00:00]" c="20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21T00:00:00]" c="21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22T00:00:00]" c="22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23T00:00:00]" c="23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24T00:00:00]" c="24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25T00:00:00]" c="25.04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4-26T00:00:00]" c="26.04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4-27T00:00:00]" c="27.04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4-28T00:00:00]" c="28.04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4-29T00:00:00]" c="29.04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4-30T00:00:00]" c="30.04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5-01T00:00:00]" c="1.05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5-02T00:00:00]" c="2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3T00:00:00]" c="3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4T00:00:00]" c="4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5T00:00:00]" c="5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6T00:00:00]" c="6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7T00:00:00]" c="7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8T00:00:00]" c="8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9T00:00:00]" c="9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0T00:00:00]" c="10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1T00:00:00]" c="11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2T00:00:00]" c="12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3T00:00:00]" c="13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4T00:00:00]" c="14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5T00:00:00]" c="15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6T00:00:00]" c="16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17T00:00:00]" c="17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18T00:00:00]" c="18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19T00:00:00]" c="19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20T00:00:00]" c="20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21T00:00:00]" c="21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22T00:00:00]" c="22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23T00:00:00]" c="23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24T00:00:00]" c="24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25T00:00:00]" c="25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26T00:00:00]" c="26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27T00:00:00]" c="27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28T00:00:00]" c="28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29T00:00:00]" c="29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30T00:00:00]" c="30.05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5-31T00:00:00]" c="31.05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6-01T00:00:00]" c="1.06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6-02T00:00:00]" c="2.06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6-03T00:00:00]" c="3.06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6-04T00:00:00]" c="4.06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6-05T00:00:00]" c="5.06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6-06T00:00:00]" c="6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07T00:00:00]" c="7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08T00:00:00]" c="8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09T00:00:00]" c="9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10T00:00:00]" c="10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11T00:00:00]" c="11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12T00:00:00]" c="12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13T00:00:00]" c="13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14T00:00:00]" c="14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15T00:00:00]" c="15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16T00:00:00]" c="16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17T00:00:00]" c="17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18T00:00:00]" c="18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19T00:00:00]" c="19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20T00:00:00]" c="20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1T00:00:00]" c="21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2T00:00:00]" c="22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3T00:00:00]" c="23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4T00:00:00]" c="24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5T00:00:00]" c="25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6T00:00:00]" c="26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7T00:00:00]" c="27.06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6-28T00:00:00]" c="28.06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6-29T00:00:00]" c="29.06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6-30T00:00:00]" c="30.06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7-01T00:00:00]" c="1.07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7-02T00:00:00]" c="2.07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7-03T00:00:00]" c="3.07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7-04T00:00:00]" c="4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05T00:00:00]" c="5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06T00:00:00]" c="6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07T00:00:00]" c="7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08T00:00:00]" c="8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09T00:00:00]" c="9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10T00:00:00]" c="10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11T00:00:00]" c="11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2T00:00:00]" c="12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3T00:00:00]" c="13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4T00:00:00]" c="14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5T00:00:00]" c="15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6T00:00:00]" c="16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7T00:00:00]" c="17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8T00:00:00]" c="18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19T00:00:00]" c="19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20T00:00:00]" c="20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21T00:00:00]" c="21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22T00:00:00]" c="22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23T00:00:00]" c="23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24T00:00:00]" c="24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25T00:00:00]" c="25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7-26T00:00:00]" c="26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7-27T00:00:00]" c="27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7-28T00:00:00]" c="28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7-29T00:00:00]" c="29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7-30T00:00:00]" c="30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7-31T00:00:00]" c="31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8-01T00:00:00]" c="1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2T00:00:00]" c="2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3T00:00:00]" c="3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4T00:00:00]" c="4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5T00:00:00]" c="5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6T00:00:00]" c="6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7T00:00:00]" c="7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8T00:00:00]" c="8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09T00:00:00]" c="9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10T00:00:00]" c="10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11T00:00:00]" c="11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12T00:00:00]" c="12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13T00:00:00]" c="13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14T00:00:00]" c="14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15T00:00:00]" c="15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16T00:00:00]" c="16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17T00:00:00]" c="17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18T00:00:00]" c="18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19T00:00:00]" c="19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20T00:00:00]" c="20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21T00:00:00]" c="21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22T00:00:00]" c="22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3T00:00:00]" c="23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4T00:00:00]" c="24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5T00:00:00]" c="25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6T00:00:00]" c="26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7T00:00:00]" c="27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8T00:00:00]" c="28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9T00:00:00]" c="29.08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8-30T00:00:00]" c="30.08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8-31T00:00:00]" c="31.08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9-01T00:00:00]" c="1.09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9-02T00:00:00]" c="2.09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9-03T00:00:00]" c="3.09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9-04T00:00:00]" c="4.09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9-05T00:00:00]" c="5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06T00:00:00]" c="6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07T00:00:00]" c="7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08T00:00:00]" c="8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09T00:00:00]" c="9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10T00:00:00]" c="10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11T00:00:00]" c="11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12T00:00:00]" c="12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3T00:00:00]" c="13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4T00:00:00]" c="14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5T00:00:00]" c="15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6T00:00:00]" c="16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7T00:00:00]" c="17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8T00:00:00]" c="18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9T00:00:00]" c="19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0T00:00:00]" c="20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1T00:00:00]" c="21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2T00:00:00]" c="22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3T00:00:00]" c="23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4T00:00:00]" c="24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5T00:00:00]" c="25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6T00:00:00]" c="26.09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09-27T00:00:00]" c="27.09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09-28T00:00:00]" c="28.09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09-29T00:00:00]" c="29.09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09-30T00:00:00]" c="30.09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10-01T00:00:00]" c="1.10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10-02T00:00:00]" c="2.10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10-03T00:00:00]" c="3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04T00:00:00]" c="4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05T00:00:00]" c="5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06T00:00:00]" c="6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07T00:00:00]" c="7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08T00:00:00]" c="8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09T00:00:00]" c="9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10T00:00:00]" c="10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1T00:00:00]" c="11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2T00:00:00]" c="12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3T00:00:00]" c="13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4T00:00:00]" c="14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5T00:00:00]" c="15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6T00:00:00]" c="16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7T00:00:00]" c="17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18T00:00:00]" c="18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19T00:00:00]" c="19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20T00:00:00]" c="20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21T00:00:00]" c="21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22T00:00:00]" c="22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23T00:00:00]" c="23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24T00:00:00]" c="24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25T00:00:00]" c="25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26T00:00:00]" c="26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27T00:00:00]" c="27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28T00:00:00]" c="28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29T00:00:00]" c="29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30T00:00:00]" c="30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31T00:00:00]" c="31.10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1T00:00:00]" c="1.11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2T00:00:00]" c="2.11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3T00:00:00]" c="3.11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4T00:00:00]" c="4.11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5T00:00:00]" c="5.11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6T00:00:00]" c="6.11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7T00:00:00]" c="7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08T00:00:00]" c="8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09T00:00:00]" c="9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10T00:00:00]" c="10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11T00:00:00]" c="11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12T00:00:00]" c="12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13T00:00:00]" c="13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14T00:00:00]" c="14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15T00:00:00]" c="15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16T00:00:00]" c="16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17T00:00:00]" c="17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18T00:00:00]" c="18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19T00:00:00]" c="19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20T00:00:00]" c="20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21T00:00:00]" c="21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2T00:00:00]" c="22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3T00:00:00]" c="23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4T00:00:00]" c="24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5T00:00:00]" c="25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6T00:00:00]" c="26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7T00:00:00]" c="27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8T00:00:00]" c="28.11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1-29T00:00:00]" c="29.11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1-30T00:00:00]" c="30.11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2-01T00:00:00]" c="1.12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2-02T00:00:00]" c="2.12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2-03T00:00:00]" c="3.12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2-04T00:00:00]" c="4.12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2-05T00:00:00]" c="5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06T00:00:00]" c="6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07T00:00:00]" c="7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08T00:00:00]" c="8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09T00:00:00]" c="9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10T00:00:00]" c="10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11T00:00:00]" c="11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12T00:00:00]" c="12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3T00:00:00]" c="13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4T00:00:00]" c="14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5T00:00:00]" c="15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6T00:00:00]" c="16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7T00:00:00]" c="17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8T00:00:00]" c="18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9T00:00:00]" c="19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0T00:00:00]" c="20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1T00:00:00]" c="21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2T00:00:00]" c="22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3T00:00:00]" c="23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4T00:00:00]" c="24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5T00:00:00]" c="25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6T00:00:00]" c="26.12.2022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2-12-27T00:00:00]" c="27.12.2022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2-12-28T00:00:00]" c="28.12.2022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2-12-29T00:00:00]" c="29.12.2022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2-12-30T00:00:00]" c="30.12.2022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2-12-31T00:00:00]" c="31.12.2022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3-01-01T00:00:00]" c="1.01.2023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3-01-02T00:00:00]" c="2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3T00:00:00]" c="3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4T00:00:00]" c="4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5T00:00:00]" c="5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6T00:00:00]" c="6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7T00:00:00]" c="7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8T00:00:00]" c="8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9T00:00:00]" c="9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0T00:00:00]" c="10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1T00:00:00]" c="11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2T00:00:00]" c="12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3T00:00:00]" c="13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4T00:00:00]" c="14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5T00:00:00]" c="15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6T00:00:00]" c="16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17T00:00:00]" c="17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18T00:00:00]" c="18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19T00:00:00]" c="19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20T00:00:00]" c="20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21T00:00:00]" c="21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22T00:00:00]" c="22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23T00:00:00]" c="23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24T00:00:00]" c="24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25T00:00:00]" c="25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26T00:00:00]" c="26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27T00:00:00]" c="27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28T00:00:00]" c="28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29T00:00:00]" c="29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30T00:00:00]" c="30.01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1-31T00:00:00]" c="31.01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2-01T00:00:00]" c="1.02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2-02T00:00:00]" c="2.02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2-03T00:00:00]" c="3.02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2-04T00:00:00]" c="4.02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2-05T00:00:00]" c="5.02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2-06T00:00:00]" c="6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07T00:00:00]" c="7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08T00:00:00]" c="8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09T00:00:00]" c="9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10T00:00:00]" c="10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11T00:00:00]" c="11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12T00:00:00]" c="12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13T00:00:00]" c="13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14T00:00:00]" c="14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15T00:00:00]" c="15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16T00:00:00]" c="16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17T00:00:00]" c="17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18T00:00:00]" c="18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19T00:00:00]" c="19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20T00:00:00]" c="20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1T00:00:00]" c="21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2T00:00:00]" c="22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3T00:00:00]" c="23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4T00:00:00]" c="24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5T00:00:00]" c="25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6T00:00:00]" c="26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7T00:00:00]" c="27.02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2-28T00:00:00]" c="28.02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3-01T00:00:00]" c="1.03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3-02T00:00:00]" c="2.03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3-03T00:00:00]" c="3.03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3-04T00:00:00]" c="4.03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3-05T00:00:00]" c="5.03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3-06T00:00:00]" c="6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07T00:00:00]" c="7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08T00:00:00]" c="8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09T00:00:00]" c="9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10T00:00:00]" c="10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11T00:00:00]" c="11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12T00:00:00]" c="12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13T00:00:00]" c="13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14T00:00:00]" c="14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15T00:00:00]" c="15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16T00:00:00]" c="16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17T00:00:00]" c="17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18T00:00:00]" c="18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19T00:00:00]" c="19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20T00:00:00]" c="20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1T00:00:00]" c="21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2T00:00:00]" c="22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3T00:00:00]" c="23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4T00:00:00]" c="24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5T00:00:00]" c="25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6T00:00:00]" c="26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7T00:00:00]" c="27.03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3-28T00:00:00]" c="28.03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3-29T00:00:00]" c="29.03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3-30T00:00:00]" c="30.03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3-31T00:00:00]" c="31.03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4-01T00:00:00]" c="1.04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4-02T00:00:00]" c="2.04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4-03T00:00:00]" c="3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04T00:00:00]" c="4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05T00:00:00]" c="5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06T00:00:00]" c="6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07T00:00:00]" c="7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08T00:00:00]" c="8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09T00:00:00]" c="9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10T00:00:00]" c="10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1T00:00:00]" c="11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2T00:00:00]" c="12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3T00:00:00]" c="13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4T00:00:00]" c="14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5T00:00:00]" c="15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6T00:00:00]" c="16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7T00:00:00]" c="17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18T00:00:00]" c="18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19T00:00:00]" c="19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20T00:00:00]" c="20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21T00:00:00]" c="21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22T00:00:00]" c="22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23T00:00:00]" c="23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24T00:00:00]" c="24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4-25T00:00:00]" c="25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4-26T00:00:00]" c="26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4-27T00:00:00]" c="27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4-28T00:00:00]" c="28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4-29T00:00:00]" c="29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4-30T00:00:00]" c="30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5-01T00:00:00]" c="1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2T00:00:00]" c="2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3T00:00:00]" c="3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4T00:00:00]" c="4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5T00:00:00]" c="5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6T00:00:00]" c="6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7T00:00:00]" c="7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8T00:00:00]" c="8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09T00:00:00]" c="9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10T00:00:00]" c="10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11T00:00:00]" c="11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12T00:00:00]" c="12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13T00:00:00]" c="13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14T00:00:00]" c="14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15T00:00:00]" c="15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16T00:00:00]" c="16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17T00:00:00]" c="17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18T00:00:00]" c="18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19T00:00:00]" c="19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20T00:00:00]" c="20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21T00:00:00]" c="21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22T00:00:00]" c="22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3T00:00:00]" c="23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4T00:00:00]" c="24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5T00:00:00]" c="25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6T00:00:00]" c="26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7T00:00:00]" c="27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8T00:00:00]" c="28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9T00:00:00]" c="29.05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5-30T00:00:00]" c="30.05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5-31T00:00:00]" c="31.05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6-01T00:00:00]" c="1.06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6-02T00:00:00]" c="2.06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6-03T00:00:00]" c="3.06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6-04T00:00:00]" c="4.06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6-05T00:00:00]" c="5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06T00:00:00]" c="6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07T00:00:00]" c="7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08T00:00:00]" c="8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09T00:00:00]" c="9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10T00:00:00]" c="10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11T00:00:00]" c="11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12T00:00:00]" c="12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3T00:00:00]" c="13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4T00:00:00]" c="14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5T00:00:00]" c="15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6T00:00:00]" c="16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7T00:00:00]" c="17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8T00:00:00]" c="18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9T00:00:00]" c="19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0T00:00:00]" c="20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1T00:00:00]" c="21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2T00:00:00]" c="22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3T00:00:00]" c="23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4T00:00:00]" c="24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5T00:00:00]" c="25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6T00:00:00]" c="26.06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6-27T00:00:00]" c="27.06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6-28T00:00:00]" c="28.06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6-29T00:00:00]" c="29.06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6-30T00:00:00]" c="30.06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7-01T00:00:00]" c="1.07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7-02T00:00:00]" c="2.07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7-03T00:00:00]" c="3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04T00:00:00]" c="4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05T00:00:00]" c="5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06T00:00:00]" c="6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07T00:00:00]" c="7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08T00:00:00]" c="8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09T00:00:00]" c="9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10T00:00:00]" c="10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1T00:00:00]" c="11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2T00:00:00]" c="12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3T00:00:00]" c="13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4T00:00:00]" c="14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5T00:00:00]" c="15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6T00:00:00]" c="16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7T00:00:00]" c="17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18T00:00:00]" c="18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19T00:00:00]" c="19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20T00:00:00]" c="20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21T00:00:00]" c="21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22T00:00:00]" c="22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23T00:00:00]" c="23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24T00:00:00]" c="24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25T00:00:00]" c="25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26T00:00:00]" c="26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27T00:00:00]" c="27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28T00:00:00]" c="28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29T00:00:00]" c="29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30T00:00:00]" c="30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31T00:00:00]" c="31.07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1T00:00:00]" c="1.08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2T00:00:00]" c="2.08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3T00:00:00]" c="3.08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4T00:00:00]" c="4.08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5T00:00:00]" c="5.08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6T00:00:00]" c="6.08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7T00:00:00]" c="7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08T00:00:00]" c="8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09T00:00:00]" c="9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10T00:00:00]" c="10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11T00:00:00]" c="11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12T00:00:00]" c="12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13T00:00:00]" c="13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14T00:00:00]" c="14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15T00:00:00]" c="15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16T00:00:00]" c="16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17T00:00:00]" c="17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18T00:00:00]" c="18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19T00:00:00]" c="19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20T00:00:00]" c="20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21T00:00:00]" c="21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2T00:00:00]" c="22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3T00:00:00]" c="23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4T00:00:00]" c="24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5T00:00:00]" c="25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6T00:00:00]" c="26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7T00:00:00]" c="27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8T00:00:00]" c="28.08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8-29T00:00:00]" c="29.08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8-30T00:00:00]" c="30.08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8-31T00:00:00]" c="31.08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9-01T00:00:00]" c="1.09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9-02T00:00:00]" c="2.09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9-03T00:00:00]" c="3.09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9-04T00:00:00]" c="4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05T00:00:00]" c="5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06T00:00:00]" c="6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07T00:00:00]" c="7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08T00:00:00]" c="8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09T00:00:00]" c="9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10T00:00:00]" c="10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11T00:00:00]" c="11.09.2023" nd="1">
                <p n="[Calendar].[H_Merch].[MerchYearWeek].&amp;[202338]"/>
                <p n="[Calendar].[H_Merch].[MerchYearMonthName].&amp;[2023-Eylül]"/>
                <p n="[Calendar].[H_Merch].[MerchYear].&amp;[2023]"/>
              </i>
              <i n="[Calendar].[H_Merch].[Date].&amp;[2023-09-12T00:00:00]" c="12.09.2023" nd="1">
                <p n="[Calendar].[H_Merch].[MerchYearWeek].&amp;[202338]"/>
                <p n="[Calendar].[H_Merch].[MerchYearMonthName].&amp;[2023-Eylül]"/>
                <p n="[Calendar].[H_Merch].[MerchYear].&amp;[2023]"/>
              </i>
            </range>
          </ranges>
        </level>
      </levels>
      <selections count="1">
        <selection n="[Calendar].[H_Merch].[All]"/>
      </selections>
    </olap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H_MainGroup1" xr10:uid="{A959C683-A497-47AC-8E5C-C6EDC29A2288}" sourceName="[Material].[H_MainGroup]">
  <pivotTables>
    <pivotTable tabId="3" name="PivotTable1"/>
  </pivotTables>
  <data>
    <olap pivotCacheId="372199404">
      <levels count="3">
        <level uniqueName="[Material].[H_MainGroup].[(All)]" sourceCaption="(All)" count="0"/>
        <level uniqueName="[Material].[H_MainGroup].[MainGroupDesc]" sourceCaption="MainGroupDesc" count="39">
          <ranges>
            <range startItem="0">
              <i n="[Material].[H_MainGroup].[MainGroupDesc].&amp;[Aksesuar]" c="Aksesuar"/>
              <i n="[Material].[H_MainGroup].[MainGroupDesc].&amp;[Banyo]" c="Banyo"/>
              <i n="[Material].[H_MainGroup].[MainGroupDesc].&amp;[Battaniye]" c="Battaniye"/>
              <i n="[Material].[H_MainGroup].[MainGroupDesc].&amp;[Çarşaf]" c="Çarşaf"/>
              <i n="[Material].[H_MainGroup].[MainGroupDesc].&amp;[Dünya Markaları]" c="Dünya Markaları"/>
              <i n="[Material].[H_MainGroup].[MainGroupDesc].&amp;[Halı - Kilim]" c="Halı - Kilim"/>
              <i n="[Material].[H_MainGroup].[MainGroupDesc].&amp;[Havlu]" c="Havlu"/>
              <i n="[Material].[H_MainGroup].[MainGroupDesc].&amp;[KEA]" c="KEA"/>
              <i n="[Material].[H_MainGroup].[MainGroupDesc].&amp;[Kozmetik]" c="Kozmetik"/>
              <i n="[Material].[H_MainGroup].[MainGroupDesc].&amp;[Mutfak]" c="Mutfak"/>
              <i n="[Material].[H_MainGroup].[MainGroupDesc].&amp;[Nevresim]" c="Nevresim"/>
              <i n="[Material].[H_MainGroup].[MainGroupDesc].&amp;[Pike]" c="Pike"/>
              <i n="[Material].[H_MainGroup].[MainGroupDesc].&amp;[Pişirme]" c="Pişirme"/>
              <i n="[Material].[H_MainGroup].[MainGroupDesc].&amp;[Salon]" c="Salon"/>
              <i n="[Material].[H_MainGroup].[MainGroupDesc].&amp;[Sofra İçecek]" c="Sofra İçecek"/>
              <i n="[Material].[H_MainGroup].[MainGroupDesc].&amp;[Sofra Sunum]" c="Sofra Sunum"/>
              <i n="[Material].[H_MainGroup].[MainGroupDesc].&amp;[Sofra Takımları]" c="Sofra Takımları"/>
              <i n="[Material].[H_MainGroup].[MainGroupDesc].&amp;[Yastık]" c="Yastık"/>
              <i n="[Material].[H_MainGroup].[MainGroupDesc].&amp;[Yatak Örtüsü]" c="Yatak Örtüsü"/>
              <i n="[Material].[H_MainGroup].[MainGroupDesc].&amp;[YEDEK PARÇA]" c="YEDEK PARÇA"/>
              <i n="[Material].[H_MainGroup].[MainGroupDesc].&amp;[Yorgan]" c="Yorgan"/>
              <i n="[Material].[H_MainGroup].[MainGroupDesc].&amp;[#NA]" c="#NA" nd="1"/>
              <i n="[Material].[H_MainGroup].[MainGroupDesc].&amp;[Bilgi Sistemleri]" c="Bilgi Sistemleri" nd="1"/>
              <i n="[Material].[H_MainGroup].[MainGroupDesc].&amp;[Cafe]" c="Cafe" nd="1"/>
              <i n="[Material].[H_MainGroup].[MainGroupDesc].&amp;[EBA]" c="EBA" nd="1"/>
              <i n="[Material].[H_MainGroup].[MainGroupDesc].&amp;[Entegrasyon]" c="Entegrasyon" nd="1"/>
              <i n="[Material].[H_MainGroup].[MainGroupDesc].&amp;[Ev Giysisi]" c="Ev Giysisi" nd="1"/>
              <i n="[Material].[H_MainGroup].[MainGroupDesc].&amp;[İnsan Kaynakları]" c="İnsan Kaynakları" nd="1"/>
              <i n="[Material].[H_MainGroup].[MainGroupDesc].&amp;[Küçük Elektrikli Ev Aletleri]" c="Küçük Elektrikli Ev Aletleri" nd="1"/>
              <i n="[Material].[H_MainGroup].[MainGroupDesc].&amp;[Mağaza Yatırım ve Proje]" c="Mağaza Yatırım ve Proje" nd="1"/>
              <i n="[Material].[H_MainGroup].[MainGroupDesc].&amp;[Mobilya]" c="Mobilya" nd="1"/>
              <i n="[Material].[H_MainGroup].[MainGroupDesc].&amp;[Mobilya Satış]" c="Mobilya Satış" nd="1"/>
              <i n="[Material].[H_MainGroup].[MainGroupDesc].&amp;[Pazarlama]" c="Pazarlama" nd="1"/>
              <i n="[Material].[H_MainGroup].[MainGroupDesc].&amp;[Planlama]" c="Planlama" nd="1"/>
              <i n="[Material].[H_MainGroup].[MainGroupDesc].&amp;[Sofra]" c="Sofra" nd="1"/>
              <i n="[Material].[H_MainGroup].[MainGroupDesc].&amp;[White Collection]" c="White Collection" nd="1"/>
              <i n="[Material].[H_MainGroup].[MainGroupDesc].&amp;[Yarı Mamul]" c="Yarı Mamul" nd="1"/>
              <i n="[Material].[H_MainGroup].[MainGroupDesc].&amp;[Yatak]" c="Yatak" nd="1"/>
              <i n="[Material].[H_MainGroup].[MainGroupDesc].&amp;" c="" nd="1"/>
            </range>
          </ranges>
        </level>
        <level uniqueName="[Material].[H_MainGroup].[SubGroupDesc]" sourceCaption="SubGroupDesc" count="1240">
          <ranges>
            <range startItem="0">
              <i n="[Material].[H_MainGroup].[MainGroupDesc].&amp;[Aksesuar].&amp;[Abajur]" c="Abajur">
                <p n="[Material].[H_MainGroup].[MainGroupDesc].&amp;[Aksesuar]"/>
              </i>
              <i n="[Material].[H_MainGroup].[MainGroupDesc].&amp;[Aksesuar].&amp;[Alışveriş Çantası]" c="Alışveriş Çantası">
                <p n="[Material].[H_MainGroup].[MainGroupDesc].&amp;[Aksesuar]"/>
              </i>
              <i n="[Material].[H_MainGroup].[MainGroupDesc].&amp;[Aksesuar].&amp;[Askı]" c="Askı">
                <p n="[Material].[H_MainGroup].[MainGroupDesc].&amp;[Aksesuar]"/>
              </i>
              <i n="[Material].[H_MainGroup].[MainGroupDesc].&amp;[Aksesuar].&amp;[Askılı Aksesuar]" c="Askılı Aksesuar">
                <p n="[Material].[H_MainGroup].[MainGroupDesc].&amp;[Aksesuar]"/>
              </i>
              <i n="[Material].[H_MainGroup].[MainGroupDesc].&amp;[Aksesuar].&amp;[Ayakkabı Rampası]" c="Ayakkabı Rampası">
                <p n="[Material].[H_MainGroup].[MainGroupDesc].&amp;[Aksesuar]"/>
              </i>
              <i n="[Material].[H_MainGroup].[MainGroupDesc].&amp;[Aksesuar].&amp;[Ayakkabı Saklama Kts]" c="Ayakkabı Saklama Kts">
                <p n="[Material].[H_MainGroup].[MainGroupDesc].&amp;[Aksesuar]"/>
              </i>
              <i n="[Material].[H_MainGroup].[MainGroupDesc].&amp;[Aksesuar].&amp;[Ayna]" c="Ayna">
                <p n="[Material].[H_MainGroup].[MainGroupDesc].&amp;[Aksesuar]"/>
              </i>
              <i n="[Material].[H_MainGroup].[MainGroupDesc].&amp;[Aksesuar].&amp;[Banyo Seti]" c="Banyo Seti">
                <p n="[Material].[H_MainGroup].[MainGroupDesc].&amp;[Aksesuar]"/>
              </i>
              <i n="[Material].[H_MainGroup].[MainGroupDesc].&amp;[Aksesuar].&amp;[Banyo Sıvı Sabunluk]" c="Banyo Sıvı Sabunluk">
                <p n="[Material].[H_MainGroup].[MainGroupDesc].&amp;[Aksesuar]"/>
              </i>
              <i n="[Material].[H_MainGroup].[MainGroupDesc].&amp;[Aksesuar].&amp;[Bardak Tutacağı]" c="Bardak Tutacağı">
                <p n="[Material].[H_MainGroup].[MainGroupDesc].&amp;[Aksesuar]"/>
              </i>
              <i n="[Material].[H_MainGroup].[MainGroupDesc].&amp;[Aksesuar].&amp;[Bebe Hurç]" c="Bebe Hurç">
                <p n="[Material].[H_MainGroup].[MainGroupDesc].&amp;[Aksesuar]"/>
              </i>
              <i n="[Material].[H_MainGroup].[MainGroupDesc].&amp;[Aksesuar].&amp;[Bebe Mama Önlüğü]" c="Bebe Mama Önlüğü">
                <p n="[Material].[H_MainGroup].[MainGroupDesc].&amp;[Aksesuar]"/>
              </i>
              <i n="[Material].[H_MainGroup].[MainGroupDesc].&amp;[Aksesuar].&amp;[Bebek Sepeti]" c="Bebek Sepeti">
                <p n="[Material].[H_MainGroup].[MainGroupDesc].&amp;[Aksesuar]"/>
              </i>
              <i n="[Material].[H_MainGroup].[MainGroupDesc].&amp;[Aksesuar].&amp;[Bereket Fili]" c="Bereket Fili">
                <p n="[Material].[H_MainGroup].[MainGroupDesc].&amp;[Aksesuar]"/>
              </i>
              <i n="[Material].[H_MainGroup].[MainGroupDesc].&amp;[Aksesuar].&amp;[Bereket Kuşu]" c="Bereket Kuşu">
                <p n="[Material].[H_MainGroup].[MainGroupDesc].&amp;[Aksesuar]"/>
              </i>
              <i n="[Material].[H_MainGroup].[MainGroupDesc].&amp;[Aksesuar].&amp;[Biblo]" c="Biblo">
                <p n="[Material].[H_MainGroup].[MainGroupDesc].&amp;[Aksesuar]"/>
              </i>
              <i n="[Material].[H_MainGroup].[MainGroupDesc].&amp;[Aksesuar].&amp;[Bileklik]" c="Bileklik">
                <p n="[Material].[H_MainGroup].[MainGroupDesc].&amp;[Aksesuar]"/>
              </i>
              <i n="[Material].[H_MainGroup].[MainGroupDesc].&amp;[Aksesuar].&amp;[Büyüteç]" c="Büyüteç">
                <p n="[Material].[H_MainGroup].[MainGroupDesc].&amp;[Aksesuar]"/>
              </i>
              <i n="[Material].[H_MainGroup].[MainGroupDesc].&amp;[Aksesuar].&amp;[Cam Sileceği]" c="Cam Sileceği">
                <p n="[Material].[H_MainGroup].[MainGroupDesc].&amp;[Aksesuar]"/>
              </i>
              <i n="[Material].[H_MainGroup].[MainGroupDesc].&amp;[Aksesuar].&amp;[Çamaşır Sepeti]" c="Çamaşır Sepeti">
                <p n="[Material].[H_MainGroup].[MainGroupDesc].&amp;[Aksesuar]"/>
              </i>
              <i n="[Material].[H_MainGroup].[MainGroupDesc].&amp;[Aksesuar].&amp;[Canlı Çiçek]" c="Canlı Çiçek">
                <p n="[Material].[H_MainGroup].[MainGroupDesc].&amp;[Aksesuar]"/>
              </i>
              <i n="[Material].[H_MainGroup].[MainGroupDesc].&amp;[Aksesuar].&amp;[Çerçeve]" c="Çerçeve">
                <p n="[Material].[H_MainGroup].[MainGroupDesc].&amp;[Aksesuar]"/>
              </i>
              <i n="[Material].[H_MainGroup].[MainGroupDesc].&amp;[Aksesuar].&amp;[Çocuk Duvar Kağıdı]" c="Çocuk Duvar Kağıdı">
                <p n="[Material].[H_MainGroup].[MainGroupDesc].&amp;[Aksesuar]"/>
              </i>
              <i n="[Material].[H_MainGroup].[MainGroupDesc].&amp;[Aksesuar].&amp;[Çocuk Duvar Saati]" c="Çocuk Duvar Saati">
                <p n="[Material].[H_MainGroup].[MainGroupDesc].&amp;[Aksesuar]"/>
              </i>
              <i n="[Material].[H_MainGroup].[MainGroupDesc].&amp;[Aksesuar].&amp;[Çocuk Maske]" c="Çocuk Maske">
                <p n="[Material].[H_MainGroup].[MainGroupDesc].&amp;[Aksesuar]"/>
              </i>
              <i n="[Material].[H_MainGroup].[MainGroupDesc].&amp;[Aksesuar].&amp;[Cüzdan]" c="Cüzdan">
                <p n="[Material].[H_MainGroup].[MainGroupDesc].&amp;[Aksesuar]"/>
              </i>
              <i n="[Material].[H_MainGroup].[MainGroupDesc].&amp;[Aksesuar].&amp;[Dekoratif]" c="Dekoratif">
                <p n="[Material].[H_MainGroup].[MainGroupDesc].&amp;[Aksesuar]"/>
              </i>
              <i n="[Material].[H_MainGroup].[MainGroupDesc].&amp;[Aksesuar].&amp;[Dekoratif Aydınlatma]" c="Dekoratif Aydınlatma">
                <p n="[Material].[H_MainGroup].[MainGroupDesc].&amp;[Aksesuar]"/>
              </i>
              <i n="[Material].[H_MainGroup].[MainGroupDesc].&amp;[Aksesuar].&amp;[Dekoratif Kutu]" c="Dekoratif Kutu">
                <p n="[Material].[H_MainGroup].[MainGroupDesc].&amp;[Aksesuar]"/>
              </i>
              <i n="[Material].[H_MainGroup].[MainGroupDesc].&amp;[Aksesuar].&amp;[Dekoratif Obje]" c="Dekoratif Obje">
                <p n="[Material].[H_MainGroup].[MainGroupDesc].&amp;[Aksesuar]"/>
              </i>
              <i n="[Material].[H_MainGroup].[MainGroupDesc].&amp;[Aksesuar].&amp;[Dekoratif Peçetelik]" c="Dekoratif Peçetelik">
                <p n="[Material].[H_MainGroup].[MainGroupDesc].&amp;[Aksesuar]"/>
              </i>
              <i n="[Material].[H_MainGroup].[MainGroupDesc].&amp;[Aksesuar].&amp;[Dekoratif Raf]" c="Dekoratif Raf">
                <p n="[Material].[H_MainGroup].[MainGroupDesc].&amp;[Aksesuar]"/>
              </i>
              <i n="[Material].[H_MainGroup].[MainGroupDesc].&amp;[Aksesuar].&amp;[Dekoratif Tepsi]" c="Dekoratif Tepsi">
                <p n="[Material].[H_MainGroup].[MainGroupDesc].&amp;[Aksesuar]"/>
              </i>
              <i n="[Material].[H_MainGroup].[MainGroupDesc].&amp;[Aksesuar].&amp;[Diş Fırçalık]" c="Diş Fırçalık">
                <p n="[Material].[H_MainGroup].[MainGroupDesc].&amp;[Aksesuar]"/>
              </i>
              <i n="[Material].[H_MainGroup].[MainGroupDesc].&amp;[Aksesuar].&amp;[Duş Kaydırmaz]" c="Duş Kaydırmaz">
                <p n="[Material].[H_MainGroup].[MainGroupDesc].&amp;[Aksesuar]"/>
              </i>
              <i n="[Material].[H_MainGroup].[MainGroupDesc].&amp;[Aksesuar].&amp;[Duvar Aksesuarı]" c="Duvar Aksesuarı">
                <p n="[Material].[H_MainGroup].[MainGroupDesc].&amp;[Aksesuar]"/>
              </i>
              <i n="[Material].[H_MainGroup].[MainGroupDesc].&amp;[Aksesuar].&amp;[Duvar Saati]" c="Duvar Saati">
                <p n="[Material].[H_MainGroup].[MainGroupDesc].&amp;[Aksesuar]"/>
              </i>
              <i n="[Material].[H_MainGroup].[MainGroupDesc].&amp;[Aksesuar].&amp;[Duvar Süsü]" c="Duvar Süsü">
                <p n="[Material].[H_MainGroup].[MainGroupDesc].&amp;[Aksesuar]"/>
              </i>
              <i n="[Material].[H_MainGroup].[MainGroupDesc].&amp;[Aksesuar].&amp;[El Aynası]" c="El Aynası">
                <p n="[Material].[H_MainGroup].[MainGroupDesc].&amp;[Aksesuar]"/>
              </i>
              <i n="[Material].[H_MainGroup].[MainGroupDesc].&amp;[Aksesuar].&amp;[Elbise Askısı]" c="Elbise Askısı">
                <p n="[Material].[H_MainGroup].[MainGroupDesc].&amp;[Aksesuar]"/>
              </i>
              <i n="[Material].[H_MainGroup].[MainGroupDesc].&amp;[Aksesuar].&amp;[Elbise Kılıfı]" c="Elbise Kılıfı">
                <p n="[Material].[H_MainGroup].[MainGroupDesc].&amp;[Aksesuar]"/>
              </i>
              <i n="[Material].[H_MainGroup].[MainGroupDesc].&amp;[Aksesuar].&amp;[Etamin]" c="Etamin">
                <p n="[Material].[H_MainGroup].[MainGroupDesc].&amp;[Aksesuar]"/>
              </i>
              <i n="[Material].[H_MainGroup].[MainGroupDesc].&amp;[Aksesuar].&amp;[Fener]" c="Fener">
                <p n="[Material].[H_MainGroup].[MainGroupDesc].&amp;[Aksesuar]"/>
              </i>
              <i n="[Material].[H_MainGroup].[MainGroupDesc].&amp;[Aksesuar].&amp;[Fırçalı Faraş]" c="Fırçalı Faraş">
                <p n="[Material].[H_MainGroup].[MainGroupDesc].&amp;[Aksesuar]"/>
              </i>
              <i n="[Material].[H_MainGroup].[MainGroupDesc].&amp;[Aksesuar].&amp;[Hamak]" c="Hamak">
                <p n="[Material].[H_MainGroup].[MainGroupDesc].&amp;[Aksesuar]"/>
              </i>
              <i n="[Material].[H_MainGroup].[MainGroupDesc].&amp;[Aksesuar].&amp;[Hesap Makinesi]" c="Hesap Makinesi">
                <p n="[Material].[H_MainGroup].[MainGroupDesc].&amp;[Aksesuar]"/>
              </i>
              <i n="[Material].[H_MainGroup].[MainGroupDesc].&amp;[Aksesuar].&amp;[Hobi Kumaşı]" c="Hobi Kumaşı">
                <p n="[Material].[H_MainGroup].[MainGroupDesc].&amp;[Aksesuar]"/>
              </i>
              <i n="[Material].[H_MainGroup].[MainGroupDesc].&amp;[Aksesuar].&amp;[Hurç]" c="Hurç">
                <p n="[Material].[H_MainGroup].[MainGroupDesc].&amp;[Aksesuar]"/>
              </i>
              <i n="[Material].[H_MainGroup].[MainGroupDesc].&amp;[Aksesuar].&amp;[Kalemlik]" c="Kalemlik">
                <p n="[Material].[H_MainGroup].[MainGroupDesc].&amp;[Aksesuar]"/>
              </i>
              <i n="[Material].[H_MainGroup].[MainGroupDesc].&amp;[Aksesuar].&amp;[Kandil]" c="Kandil">
                <p n="[Material].[H_MainGroup].[MainGroupDesc].&amp;[Aksesuar]"/>
              </i>
              <i n="[Material].[H_MainGroup].[MainGroupDesc].&amp;[Aksesuar].&amp;[Kandil Fitili]" c="Kandil Fitili">
                <p n="[Material].[H_MainGroup].[MainGroupDesc].&amp;[Aksesuar]"/>
              </i>
              <i n="[Material].[H_MainGroup].[MainGroupDesc].&amp;[Aksesuar].&amp;[Kandil Yağı]" c="Kandil Yağı">
                <p n="[Material].[H_MainGroup].[MainGroupDesc].&amp;[Aksesuar]"/>
              </i>
              <i n="[Material].[H_MainGroup].[MainGroupDesc].&amp;[Aksesuar].&amp;[Kapı Numarası]" c="Kapı Numarası">
                <p n="[Material].[H_MainGroup].[MainGroupDesc].&amp;[Aksesuar]"/>
              </i>
              <i n="[Material].[H_MainGroup].[MainGroupDesc].&amp;[Aksesuar].&amp;[Kapı Önü Ağırlığı]" c="Kapı Önü Ağırlığı">
                <p n="[Material].[H_MainGroup].[MainGroupDesc].&amp;[Aksesuar]"/>
              </i>
              <i n="[Material].[H_MainGroup].[MainGroupDesc].&amp;[Aksesuar].&amp;[Kapı Süsü]" c="Kapı Süsü">
                <p n="[Material].[H_MainGroup].[MainGroupDesc].&amp;[Aksesuar]"/>
              </i>
              <i n="[Material].[H_MainGroup].[MainGroupDesc].&amp;[Aksesuar].&amp;[Kar Küresi]" c="Kar Küresi">
                <p n="[Material].[H_MainGroup].[MainGroupDesc].&amp;[Aksesuar]"/>
              </i>
              <i n="[Material].[H_MainGroup].[MainGroupDesc].&amp;[Aksesuar].&amp;[Katlanır Tabure]" c="Katlanır Tabure">
                <p n="[Material].[H_MainGroup].[MainGroupDesc].&amp;[Aksesuar]"/>
              </i>
              <i n="[Material].[H_MainGroup].[MainGroupDesc].&amp;[Aksesuar].&amp;[Keyif Tepsisi]" c="Keyif Tepsisi">
                <p n="[Material].[H_MainGroup].[MainGroupDesc].&amp;[Aksesuar]"/>
              </i>
              <i n="[Material].[H_MainGroup].[MainGroupDesc].&amp;[Aksesuar].&amp;[Kitap Ayracı]" c="Kitap Ayracı">
                <p n="[Material].[H_MainGroup].[MainGroupDesc].&amp;[Aksesuar]"/>
              </i>
              <i n="[Material].[H_MainGroup].[MainGroupDesc].&amp;[Aksesuar].&amp;[Kitap Tutucu]" c="Kitap Tutucu">
                <p n="[Material].[H_MainGroup].[MainGroupDesc].&amp;[Aksesuar]"/>
              </i>
              <i n="[Material].[H_MainGroup].[MainGroupDesc].&amp;[Aksesuar].&amp;[Küllük]" c="Küllük">
                <p n="[Material].[H_MainGroup].[MainGroupDesc].&amp;[Aksesuar]"/>
              </i>
              <i n="[Material].[H_MainGroup].[MainGroupDesc].&amp;[Aksesuar].&amp;[Kum Saati]" c="Kum Saati">
                <p n="[Material].[H_MainGroup].[MainGroupDesc].&amp;[Aksesuar]"/>
              </i>
              <i n="[Material].[H_MainGroup].[MainGroupDesc].&amp;[Aksesuar].&amp;[Kumbara]" c="Kumbara">
                <p n="[Material].[H_MainGroup].[MainGroupDesc].&amp;[Aksesuar]"/>
              </i>
              <i n="[Material].[H_MainGroup].[MainGroupDesc].&amp;[Aksesuar].&amp;[Kurdele]" c="Kurdele">
                <p n="[Material].[H_MainGroup].[MainGroupDesc].&amp;[Aksesuar]"/>
              </i>
              <i n="[Material].[H_MainGroup].[MainGroupDesc].&amp;[Aksesuar].&amp;[Lambader]" c="Lambader">
                <p n="[Material].[H_MainGroup].[MainGroupDesc].&amp;[Aksesuar]"/>
              </i>
              <i n="[Material].[H_MainGroup].[MainGroupDesc].&amp;[Aksesuar].&amp;[Magnet]" c="Magnet">
                <p n="[Material].[H_MainGroup].[MainGroupDesc].&amp;[Aksesuar]"/>
              </i>
              <i n="[Material].[H_MainGroup].[MainGroupDesc].&amp;[Aksesuar].&amp;[Masa Saati]" c="Masa Saati">
                <p n="[Material].[H_MainGroup].[MainGroupDesc].&amp;[Aksesuar]"/>
              </i>
              <i n="[Material].[H_MainGroup].[MainGroupDesc].&amp;[Aksesuar].&amp;[Maske]" c="Maske">
                <p n="[Material].[H_MainGroup].[MainGroupDesc].&amp;[Aksesuar]"/>
              </i>
              <i n="[Material].[H_MainGroup].[MainGroupDesc].&amp;[Aksesuar].&amp;[Maske Kutusu]" c="Maske Kutusu">
                <p n="[Material].[H_MainGroup].[MainGroupDesc].&amp;[Aksesuar]"/>
              </i>
              <i n="[Material].[H_MainGroup].[MainGroupDesc].&amp;[Aksesuar].&amp;[Mop]" c="Mop">
                <p n="[Material].[H_MainGroup].[MainGroupDesc].&amp;[Aksesuar]"/>
              </i>
              <i n="[Material].[H_MainGroup].[MainGroupDesc].&amp;[Aksesuar].&amp;[Mum]" c="Mum">
                <p n="[Material].[H_MainGroup].[MainGroupDesc].&amp;[Aksesuar]"/>
              </i>
              <i n="[Material].[H_MainGroup].[MainGroupDesc].&amp;[Aksesuar].&amp;[Mum Bakım Seti]" c="Mum Bakım Seti">
                <p n="[Material].[H_MainGroup].[MainGroupDesc].&amp;[Aksesuar]"/>
              </i>
              <i n="[Material].[H_MainGroup].[MainGroupDesc].&amp;[Aksesuar].&amp;[Mum Söndürme Aleti]" c="Mum Söndürme Aleti">
                <p n="[Material].[H_MainGroup].[MainGroupDesc].&amp;[Aksesuar]"/>
              </i>
              <i n="[Material].[H_MainGroup].[MainGroupDesc].&amp;[Aksesuar].&amp;[Müzik Kutusu]" c="Müzik Kutusu">
                <p n="[Material].[H_MainGroup].[MainGroupDesc].&amp;[Aksesuar]"/>
              </i>
              <i n="[Material].[H_MainGroup].[MainGroupDesc].&amp;[Aksesuar].&amp;[Not Defteri]" c="Not Defteri">
                <p n="[Material].[H_MainGroup].[MainGroupDesc].&amp;[Aksesuar]"/>
              </i>
              <i n="[Material].[H_MainGroup].[MainGroupDesc].&amp;[Aksesuar].&amp;[Not Panosu]" c="Not Panosu">
                <p n="[Material].[H_MainGroup].[MainGroupDesc].&amp;[Aksesuar]"/>
              </i>
              <i n="[Material].[H_MainGroup].[MainGroupDesc].&amp;[Aksesuar].&amp;[Organizer]" c="Organizer">
                <p n="[Material].[H_MainGroup].[MainGroupDesc].&amp;[Aksesuar]"/>
              </i>
              <i n="[Material].[H_MainGroup].[MainGroupDesc].&amp;[Aksesuar].&amp;[Oyuncak Sepeti]" c="Oyuncak Sepeti">
                <p n="[Material].[H_MainGroup].[MainGroupDesc].&amp;[Aksesuar]"/>
              </i>
              <i n="[Material].[H_MainGroup].[MainGroupDesc].&amp;[Aksesuar].&amp;[Pamukluk]" c="Pamukluk">
                <p n="[Material].[H_MainGroup].[MainGroupDesc].&amp;[Aksesuar]"/>
              </i>
              <i n="[Material].[H_MainGroup].[MainGroupDesc].&amp;[Aksesuar].&amp;[Sabunluk]" c="Sabunluk">
                <p n="[Material].[H_MainGroup].[MainGroupDesc].&amp;[Aksesuar]"/>
              </i>
              <i n="[Material].[H_MainGroup].[MainGroupDesc].&amp;[Aksesuar].&amp;[Saç Bandı]" c="Saç Bandı">
                <p n="[Material].[H_MainGroup].[MainGroupDesc].&amp;[Aksesuar]"/>
              </i>
              <i n="[Material].[H_MainGroup].[MainGroupDesc].&amp;[Aksesuar].&amp;[Saç Tokası]" c="Saç Tokası">
                <p n="[Material].[H_MainGroup].[MainGroupDesc].&amp;[Aksesuar]"/>
              </i>
              <i n="[Material].[H_MainGroup].[MainGroupDesc].&amp;[Aksesuar].&amp;[Saklama Kutusu]" c="Saklama Kutusu">
                <p n="[Material].[H_MainGroup].[MainGroupDesc].&amp;[Aksesuar]"/>
              </i>
              <i n="[Material].[H_MainGroup].[MainGroupDesc].&amp;[Aksesuar].&amp;[Saksı]" c="Saksı">
                <p n="[Material].[H_MainGroup].[MainGroupDesc].&amp;[Aksesuar]"/>
              </i>
              <i n="[Material].[H_MainGroup].[MainGroupDesc].&amp;[Aksesuar].&amp;[Salıncak]" c="Salıncak">
                <p n="[Material].[H_MainGroup].[MainGroupDesc].&amp;[Aksesuar]"/>
              </i>
              <i n="[Material].[H_MainGroup].[MainGroupDesc].&amp;[Aksesuar].&amp;[Şamdan]" c="Şamdan">
                <p n="[Material].[H_MainGroup].[MainGroupDesc].&amp;[Aksesuar]"/>
              </i>
              <i n="[Material].[H_MainGroup].[MainGroupDesc].&amp;[Aksesuar].&amp;[Sandalye]" c="Sandalye">
                <p n="[Material].[H_MainGroup].[MainGroupDesc].&amp;[Aksesuar]"/>
              </i>
              <i n="[Material].[H_MainGroup].[MainGroupDesc].&amp;[Aksesuar].&amp;[Sehpa.]" c="Sehpa.">
                <p n="[Material].[H_MainGroup].[MainGroupDesc].&amp;[Aksesuar]"/>
              </i>
              <i n="[Material].[H_MainGroup].[MainGroupDesc].&amp;[Aksesuar].&amp;[Şemsiye]" c="Şemsiye">
                <p n="[Material].[H_MainGroup].[MainGroupDesc].&amp;[Aksesuar]"/>
              </i>
              <i n="[Material].[H_MainGroup].[MainGroupDesc].&amp;[Aksesuar].&amp;[Şemsiyelik]" c="Şemsiyelik">
                <p n="[Material].[H_MainGroup].[MainGroupDesc].&amp;[Aksesuar]"/>
              </i>
              <i n="[Material].[H_MainGroup].[MainGroupDesc].&amp;[Aksesuar].&amp;[Sepet]" c="Sepet">
                <p n="[Material].[H_MainGroup].[MainGroupDesc].&amp;[Aksesuar]"/>
              </i>
              <i n="[Material].[H_MainGroup].[MainGroupDesc].&amp;[Aksesuar].&amp;[Şezlong]" c="Şezlong">
                <p n="[Material].[H_MainGroup].[MainGroupDesc].&amp;[Aksesuar]"/>
              </i>
              <i n="[Material].[H_MainGroup].[MainGroupDesc].&amp;[Aksesuar].&amp;[Showroom Hibe]" c="Showroom Hibe">
                <p n="[Material].[H_MainGroup].[MainGroupDesc].&amp;[Aksesuar]"/>
              </i>
              <i n="[Material].[H_MainGroup].[MainGroupDesc].&amp;[Aksesuar].&amp;[Sıcak Su Torbası]" c="Sıcak Su Torbası">
                <p n="[Material].[H_MainGroup].[MainGroupDesc].&amp;[Aksesuar]"/>
              </i>
              <i n="[Material].[H_MainGroup].[MainGroupDesc].&amp;[Aksesuar].&amp;[Süpürgelik]" c="Süpürgelik">
                <p n="[Material].[H_MainGroup].[MainGroupDesc].&amp;[Aksesuar]"/>
              </i>
              <i n="[Material].[H_MainGroup].[MainGroupDesc].&amp;[Aksesuar].&amp;[Tablo]" c="Tablo">
                <p n="[Material].[H_MainGroup].[MainGroupDesc].&amp;[Aksesuar]"/>
              </i>
              <i n="[Material].[H_MainGroup].[MainGroupDesc].&amp;[Aksesuar].&amp;[Taç]" c="Taç">
                <p n="[Material].[H_MainGroup].[MainGroupDesc].&amp;[Aksesuar]"/>
              </i>
              <i n="[Material].[H_MainGroup].[MainGroupDesc].&amp;[Aksesuar].&amp;[Takılık]" c="Takılık">
                <p n="[Material].[H_MainGroup].[MainGroupDesc].&amp;[Aksesuar]"/>
              </i>
              <i n="[Material].[H_MainGroup].[MainGroupDesc].&amp;[Aksesuar].&amp;[Tavla]" c="Tavla">
                <p n="[Material].[H_MainGroup].[MainGroupDesc].&amp;[Aksesuar]"/>
              </i>
              <i n="[Material].[H_MainGroup].[MainGroupDesc].&amp;[Aksesuar].&amp;[Tek Dal Yapay Çiçek]" c="Tek Dal Yapay Çiçek">
                <p n="[Material].[H_MainGroup].[MainGroupDesc].&amp;[Aksesuar]"/>
              </i>
              <i n="[Material].[H_MainGroup].[MainGroupDesc].&amp;[Aksesuar].&amp;[Temizlik Fırçası]" c="Temizlik Fırçası">
                <p n="[Material].[H_MainGroup].[MainGroupDesc].&amp;[Aksesuar]"/>
              </i>
              <i n="[Material].[H_MainGroup].[MainGroupDesc].&amp;[Aksesuar].&amp;[Tütsülük]" c="Tütsülük">
                <p n="[Material].[H_MainGroup].[MainGroupDesc].&amp;[Aksesuar]"/>
              </i>
              <i n="[Material].[H_MainGroup].[MainGroupDesc].&amp;[Aksesuar].&amp;[Tuvalet Fırçalığı]" c="Tuvalet Fırçalığı">
                <p n="[Material].[H_MainGroup].[MainGroupDesc].&amp;[Aksesuar]"/>
              </i>
              <i n="[Material].[H_MainGroup].[MainGroupDesc].&amp;[Aksesuar].&amp;[Uyku Gözlüğü]" c="Uyku Gözlüğü">
                <p n="[Material].[H_MainGroup].[MainGroupDesc].&amp;[Aksesuar]"/>
              </i>
              <i n="[Material].[H_MainGroup].[MainGroupDesc].&amp;[Aksesuar].&amp;[Vakumlu Poşet]" c="Vakumlu Poşet">
                <p n="[Material].[H_MainGroup].[MainGroupDesc].&amp;[Aksesuar]"/>
              </i>
              <i n="[Material].[H_MainGroup].[MainGroupDesc].&amp;[Aksesuar].&amp;[Vazo]" c="Vazo">
                <p n="[Material].[H_MainGroup].[MainGroupDesc].&amp;[Aksesuar]"/>
              </i>
              <i n="[Material].[H_MainGroup].[MainGroupDesc].&amp;[Aksesuar].&amp;[Vazolu Yapay Çiçek]" c="Vazolu Yapay Çiçek">
                <p n="[Material].[H_MainGroup].[MainGroupDesc].&amp;[Aksesuar]"/>
              </i>
              <i n="[Material].[H_MainGroup].[MainGroupDesc].&amp;[Aksesuar].&amp;[Yapay Ağaç]" c="Yapay Ağaç">
                <p n="[Material].[H_MainGroup].[MainGroupDesc].&amp;[Aksesuar]"/>
              </i>
              <i n="[Material].[H_MainGroup].[MainGroupDesc].&amp;[Aksesuar].&amp;[Yapay Çiçek]" c="Yapay Çiçek">
                <p n="[Material].[H_MainGroup].[MainGroupDesc].&amp;[Aksesuar]"/>
              </i>
              <i n="[Material].[H_MainGroup].[MainGroupDesc].&amp;[Aksesuar].&amp;[Yılbaşı Aksesuar]" c="Yılbaşı Aksesuar">
                <p n="[Material].[H_MainGroup].[MainGroupDesc].&amp;[Aksesuar]"/>
              </i>
              <i n="[Material].[H_MainGroup].[MainGroupDesc].&amp;[Banyo].&amp;[Banyo Paspası]" c="Banyo Paspası">
                <p n="[Material].[H_MainGroup].[MainGroupDesc].&amp;[Banyo]"/>
              </i>
              <i n="[Material].[H_MainGroup].[MainGroupDesc].&amp;[Banyo].&amp;[Banyo Paspası Seti]" c="Banyo Paspası Seti">
                <p n="[Material].[H_MainGroup].[MainGroupDesc].&amp;[Banyo]"/>
              </i>
              <i n="[Material].[H_MainGroup].[MainGroupDesc].&amp;[Banyo].&amp;[Klozet Seti]" c="Klozet Seti">
                <p n="[Material].[H_MainGroup].[MainGroupDesc].&amp;[Banyo]"/>
              </i>
              <i n="[Material].[H_MainGroup].[MainGroupDesc].&amp;[Battaniye].&amp;[Battaniye]" c="Battaniye">
                <p n="[Material].[H_MainGroup].[MainGroupDesc].&amp;[Battaniye]"/>
              </i>
              <i n="[Material].[H_MainGroup].[MainGroupDesc].&amp;[Battaniye].&amp;[Bebe Battaniye]" c="Bebe Battaniye">
                <p n="[Material].[H_MainGroup].[MainGroupDesc].&amp;[Battaniye]"/>
              </i>
              <i n="[Material].[H_MainGroup].[MainGroupDesc].&amp;[Battaniye].&amp;[Çocuk Battaniye]" c="Çocuk Battaniye">
                <p n="[Material].[H_MainGroup].[MainGroupDesc].&amp;[Battaniye]"/>
              </i>
              <i n="[Material].[H_MainGroup].[MainGroupDesc].&amp;[Battaniye].&amp;[TV Battaniye]" c="TV Battaniye">
                <p n="[Material].[H_MainGroup].[MainGroupDesc].&amp;[Battaniye]"/>
              </i>
              <i n="[Material].[H_MainGroup].[MainGroupDesc].&amp;[Çarşaf].&amp;[Bebe Çarşaf Takımı]" c="Bebe Çarşaf Takımı">
                <p n="[Material].[H_MainGroup].[MainGroupDesc].&amp;[Çarşaf]"/>
              </i>
              <i n="[Material].[H_MainGroup].[MainGroupDesc].&amp;[Çarşaf].&amp;[Bebe Las. Çarşaf Tkm]" c="Bebe Las. Çarşaf Tkm">
                <p n="[Material].[H_MainGroup].[MainGroupDesc].&amp;[Çarşaf]"/>
              </i>
              <i n="[Material].[H_MainGroup].[MainGroupDesc].&amp;[Çarşaf].&amp;[Bebe Lastikli Çarşaf]" c="Bebe Lastikli Çarşaf">
                <p n="[Material].[H_MainGroup].[MainGroupDesc].&amp;[Çarşaf]"/>
              </i>
              <i n="[Material].[H_MainGroup].[MainGroupDesc].&amp;[Çarşaf].&amp;[Çarşaf]" c="Çarşaf">
                <p n="[Material].[H_MainGroup].[MainGroupDesc].&amp;[Çarşaf]"/>
              </i>
              <i n="[Material].[H_MainGroup].[MainGroupDesc].&amp;[Çarşaf].&amp;[Çocuk Las.Çarşaf Tkm]" c="Çocuk Las.Çarşaf Tkm">
                <p n="[Material].[H_MainGroup].[MainGroupDesc].&amp;[Çarşaf]"/>
              </i>
              <i n="[Material].[H_MainGroup].[MainGroupDesc].&amp;[Çarşaf].&amp;[Lastikli Çarşaf]" c="Lastikli Çarşaf">
                <p n="[Material].[H_MainGroup].[MainGroupDesc].&amp;[Çarşaf]"/>
              </i>
              <i n="[Material].[H_MainGroup].[MainGroupDesc].&amp;[Çarşaf].&amp;[Lastikli Çarşaf Tkm]" c="Lastikli Çarşaf Tkm">
                <p n="[Material].[H_MainGroup].[MainGroupDesc].&amp;[Çarşaf]"/>
              </i>
              <i n="[Material].[H_MainGroup].[MainGroupDesc].&amp;[Çarşaf].&amp;[Yastık Kılıfı]" c="Yastık Kılıfı">
                <p n="[Material].[H_MainGroup].[MainGroupDesc].&amp;[Çarşaf]"/>
              </i>
              <i n="[Material].[H_MainGroup].[MainGroupDesc].&amp;[Dünya Markaları].&amp;[DM Bardak]" c="DM Bardak">
                <p n="[Material].[H_MainGroup].[MainGroupDesc].&amp;[Dünya Markaları]"/>
              </i>
              <i n="[Material].[H_MainGroup].[MainGroupDesc].&amp;[Dünya Markaları].&amp;[DM Bıçak]" c="DM Bıçak">
                <p n="[Material].[H_MainGroup].[MainGroupDesc].&amp;[Dünya Markaları]"/>
              </i>
              <i n="[Material].[H_MainGroup].[MainGroupDesc].&amp;[Dünya Markaları].&amp;[DM Bıçak Seti]" c="DM Bıçak Seti">
                <p n="[Material].[H_MainGroup].[MainGroupDesc].&amp;[Dünya Markaları]"/>
              </i>
              <i n="[Material].[H_MainGroup].[MainGroupDesc].&amp;[Dünya Markaları].&amp;[DM Buhar Kazanlı Ütü]" c="DM Buhar Kazanlı Ütü">
                <p n="[Material].[H_MainGroup].[MainGroupDesc].&amp;[Dünya Markaları]"/>
              </i>
              <i n="[Material].[H_MainGroup].[MainGroupDesc].&amp;[Dünya Markaları].&amp;[DM Buharlı Düzleştir]" c="DM Buharlı Düzleştir">
                <p n="[Material].[H_MainGroup].[MainGroupDesc].&amp;[Dünya Markaları]"/>
              </i>
              <i n="[Material].[H_MainGroup].[MainGroupDesc].&amp;[Dünya Markaları].&amp;[DM Buharlı Ütü]" c="DM Buharlı Ütü">
                <p n="[Material].[H_MainGroup].[MainGroupDesc].&amp;[Dünya Markaları]"/>
              </i>
              <i n="[Material].[H_MainGroup].[MainGroupDesc].&amp;[Dünya Markaları].&amp;[DM Değirmen]" c="DM Değirmen">
                <p n="[Material].[H_MainGroup].[MainGroupDesc].&amp;[Dünya Markaları]"/>
              </i>
              <i n="[Material].[H_MainGroup].[MainGroupDesc].&amp;[Dünya Markaları].&amp;[DM Doğrayıcı]" c="DM Doğrayıcı">
                <p n="[Material].[H_MainGroup].[MainGroupDesc].&amp;[Dünya Markaları]"/>
              </i>
              <i n="[Material].[H_MainGroup].[MainGroupDesc].&amp;[Dünya Markaları].&amp;[DM Doğrayıcılar]" c="DM Doğrayıcılar">
                <p n="[Material].[H_MainGroup].[MainGroupDesc].&amp;[Dünya Markaları]"/>
              </i>
              <i n="[Material].[H_MainGroup].[MainGroupDesc].&amp;[Dünya Markaları].&amp;[DM Ekmek Kızartma M.]" c="DM Ekmek Kızartma M.">
                <p n="[Material].[H_MainGroup].[MainGroupDesc].&amp;[Dünya Markaları]"/>
              </i>
              <i n="[Material].[H_MainGroup].[MainGroupDesc].&amp;[Dünya Markaları].&amp;[DM Espresso Makinesi]" c="DM Espresso Makinesi">
                <p n="[Material].[H_MainGroup].[MainGroupDesc].&amp;[Dünya Markaları]"/>
              </i>
              <i n="[Material].[H_MainGroup].[MainGroupDesc].&amp;[Dünya Markaları].&amp;[DM Filtre Kahve M.]" c="DM Filtre Kahve M.">
                <p n="[Material].[H_MainGroup].[MainGroupDesc].&amp;[Dünya Markaları]"/>
              </i>
              <i n="[Material].[H_MainGroup].[MainGroupDesc].&amp;[Dünya Markaları].&amp;[DM Izgara Ve Tost M.]" c="DM Izgara Ve Tost M.">
                <p n="[Material].[H_MainGroup].[MainGroupDesc].&amp;[Dünya Markaları]"/>
              </i>
              <i n="[Material].[H_MainGroup].[MainGroupDesc].&amp;[Dünya Markaları].&amp;[DM Sahan]" c="DM Sahan">
                <p n="[Material].[H_MainGroup].[MainGroupDesc].&amp;[Dünya Markaları]"/>
              </i>
              <i n="[Material].[H_MainGroup].[MainGroupDesc].&amp;[Dünya Markaları].&amp;[DM Saklama Kabı]" c="DM Saklama Kabı">
                <p n="[Material].[H_MainGroup].[MainGroupDesc].&amp;[Dünya Markaları]"/>
              </i>
              <i n="[Material].[H_MainGroup].[MainGroupDesc].&amp;[Dünya Markaları].&amp;[DM Saklama Termosu]" c="DM Saklama Termosu">
                <p n="[Material].[H_MainGroup].[MainGroupDesc].&amp;[Dünya Markaları]"/>
              </i>
              <i n="[Material].[H_MainGroup].[MainGroupDesc].&amp;[Dünya Markaları].&amp;[DM Şarjlı Dikey Süpü]" c="DM Şarjlı Dikey Süpü">
                <p n="[Material].[H_MainGroup].[MainGroupDesc].&amp;[Dünya Markaları]"/>
              </i>
              <i n="[Material].[H_MainGroup].[MainGroupDesc].&amp;[Dünya Markaları].&amp;[DM Soyacak]" c="DM Soyacak">
                <p n="[Material].[H_MainGroup].[MainGroupDesc].&amp;[Dünya Markaları]"/>
              </i>
              <i n="[Material].[H_MainGroup].[MainGroupDesc].&amp;[Dünya Markaları].&amp;[DM Stand Mikseri]" c="DM Stand Mikseri">
                <p n="[Material].[H_MainGroup].[MainGroupDesc].&amp;[Dünya Markaları]"/>
              </i>
              <i n="[Material].[H_MainGroup].[MainGroupDesc].&amp;[Dünya Markaları].&amp;[DM Su Isıtıcı]" c="DM Su Isıtıcı">
                <p n="[Material].[H_MainGroup].[MainGroupDesc].&amp;[Dünya Markaları]"/>
              </i>
              <i n="[Material].[H_MainGroup].[MainGroupDesc].&amp;[Dünya Markaları].&amp;[DM Sürahi Blender]" c="DM Sürahi Blender">
                <p n="[Material].[H_MainGroup].[MainGroupDesc].&amp;[Dünya Markaları]"/>
              </i>
              <i n="[Material].[H_MainGroup].[MainGroupDesc].&amp;[Dünya Markaları].&amp;[DM Tava]" c="DM Tava">
                <p n="[Material].[H_MainGroup].[MainGroupDesc].&amp;[Dünya Markaları]"/>
              </i>
              <i n="[Material].[H_MainGroup].[MainGroupDesc].&amp;[Dünya Markaları].&amp;[DM Tava Seti]" c="DM Tava Seti">
                <p n="[Material].[H_MainGroup].[MainGroupDesc].&amp;[Dünya Markaları]"/>
              </i>
              <i n="[Material].[H_MainGroup].[MainGroupDesc].&amp;[Dünya Markaları].&amp;[DM Tencere]" c="DM Tencere">
                <p n="[Material].[H_MainGroup].[MainGroupDesc].&amp;[Dünya Markaları]"/>
              </i>
              <i n="[Material].[H_MainGroup].[MainGroupDesc].&amp;[Dünya Markaları].&amp;[DM Tencere Seti]" c="DM Tencere Seti">
                <p n="[Material].[H_MainGroup].[MainGroupDesc].&amp;[Dünya Markaları]"/>
              </i>
              <i n="[Material].[H_MainGroup].[MainGroupDesc].&amp;[Dünya Markaları].&amp;[DM Torbasız Süpürge]" c="DM Torbasız Süpürge">
                <p n="[Material].[H_MainGroup].[MainGroupDesc].&amp;[Dünya Markaları]"/>
              </i>
              <i n="[Material].[H_MainGroup].[MainGroupDesc].&amp;[Dünya Markaları].&amp;[DMNarenciye Sıkacağı]" c="DMNarenciye Sıkacağı">
                <p n="[Material].[H_MainGroup].[MainGroupDesc].&amp;[Dünya Markaları]"/>
              </i>
              <i n="[Material].[H_MainGroup].[MainGroupDesc].&amp;[Halı - Kilim].&amp;[Bebek Halısı]" c="Bebek Halısı">
                <p n="[Material].[H_MainGroup].[MainGroupDesc].&amp;[Halı - Kilim]"/>
              </i>
              <i n="[Material].[H_MainGroup].[MainGroupDesc].&amp;[Halı - Kilim].&amp;[Bukle Kilim]" c="Bukle Kilim">
                <p n="[Material].[H_MainGroup].[MainGroupDesc].&amp;[Halı - Kilim]"/>
              </i>
              <i n="[Material].[H_MainGroup].[MainGroupDesc].&amp;[Halı - Kilim].&amp;[Çocuk Halısı]" c="Çocuk Halısı">
                <p n="[Material].[H_MainGroup].[MainGroupDesc].&amp;[Halı - Kilim]"/>
              </i>
              <i n="[Material].[H_MainGroup].[MainGroupDesc].&amp;[Halı - Kilim].&amp;[Dekoratif Halı]" c="Dekoratif Halı">
                <p n="[Material].[H_MainGroup].[MainGroupDesc].&amp;[Halı - Kilim]"/>
              </i>
              <i n="[Material].[H_MainGroup].[MainGroupDesc].&amp;[Halı - Kilim].&amp;[Dekoratif Jüt Kilim]" c="Dekoratif Jüt Kilim">
                <p n="[Material].[H_MainGroup].[MainGroupDesc].&amp;[Halı - Kilim]"/>
              </i>
              <i n="[Material].[H_MainGroup].[MainGroupDesc].&amp;[Halı - Kilim].&amp;[Dış Mekan Kilim]" c="Dış Mekan Kilim">
                <p n="[Material].[H_MainGroup].[MainGroupDesc].&amp;[Halı - Kilim]"/>
              </i>
              <i n="[Material].[H_MainGroup].[MainGroupDesc].&amp;[Halı - Kilim].&amp;[Dokuma Halı]" c="Dokuma Halı">
                <p n="[Material].[H_MainGroup].[MainGroupDesc].&amp;[Halı - Kilim]"/>
              </i>
              <i n="[Material].[H_MainGroup].[MainGroupDesc].&amp;[Halı - Kilim].&amp;[Dokuma Kilim]" c="Dokuma Kilim">
                <p n="[Material].[H_MainGroup].[MainGroupDesc].&amp;[Halı - Kilim]"/>
              </i>
              <i n="[Material].[H_MainGroup].[MainGroupDesc].&amp;[Halı - Kilim].&amp;[Halı]" c="Halı">
                <p n="[Material].[H_MainGroup].[MainGroupDesc].&amp;[Halı - Kilim]"/>
              </i>
              <i n="[Material].[H_MainGroup].[MainGroupDesc].&amp;[Halı - Kilim].&amp;[Kapı Önü Paspası]" c="Kapı Önü Paspası">
                <p n="[Material].[H_MainGroup].[MainGroupDesc].&amp;[Halı - Kilim]"/>
              </i>
              <i n="[Material].[H_MainGroup].[MainGroupDesc].&amp;[Halı - Kilim].&amp;[Kilim]" c="Kilim">
                <p n="[Material].[H_MainGroup].[MainGroupDesc].&amp;[Halı - Kilim]"/>
              </i>
              <i n="[Material].[H_MainGroup].[MainGroupDesc].&amp;[Halı - Kilim].&amp;[Makine Halısı]" c="Makine Halısı">
                <p n="[Material].[H_MainGroup].[MainGroupDesc].&amp;[Halı - Kilim]"/>
              </i>
              <i n="[Material].[H_MainGroup].[MainGroupDesc].&amp;[Halı - Kilim].&amp;[Mutfak Paspası]" c="Mutfak Paspası">
                <p n="[Material].[H_MainGroup].[MainGroupDesc].&amp;[Halı - Kilim]"/>
              </i>
              <i n="[Material].[H_MainGroup].[MainGroupDesc].&amp;[Halı - Kilim].&amp;[Peluş Halı]" c="Peluş Halı">
                <p n="[Material].[H_MainGroup].[MainGroupDesc].&amp;[Halı - Kilim]"/>
              </i>
              <i n="[Material].[H_MainGroup].[MainGroupDesc].&amp;[Halı - Kilim].&amp;[Post]" c="Post">
                <p n="[Material].[H_MainGroup].[MainGroupDesc].&amp;[Halı - Kilim]"/>
              </i>
              <i n="[Material].[H_MainGroup].[MainGroupDesc].&amp;[Havlu].&amp;[Ayak Havlusu]" c="Ayak Havlusu">
                <p n="[Material].[H_MainGroup].[MainGroupDesc].&amp;[Havlu]"/>
              </i>
              <i n="[Material].[H_MainGroup].[MainGroupDesc].&amp;[Havlu].&amp;[Banyo Havlusu]" c="Banyo Havlusu">
                <p n="[Material].[H_MainGroup].[MainGroupDesc].&amp;[Havlu]"/>
              </i>
              <i n="[Material].[H_MainGroup].[MainGroupDesc].&amp;[Havlu].&amp;[Banyo Havlusu Takımı]" c="Banyo Havlusu Takımı">
                <p n="[Material].[H_MainGroup].[MainGroupDesc].&amp;[Havlu]"/>
              </i>
              <i n="[Material].[H_MainGroup].[MainGroupDesc].&amp;[Havlu].&amp;[Banyo Terliği]" c="Banyo Terliği">
                <p n="[Material].[H_MainGroup].[MainGroupDesc].&amp;[Havlu]"/>
              </i>
              <i n="[Material].[H_MainGroup].[MainGroupDesc].&amp;[Havlu].&amp;[Bebe Ağız Silme Bezi]" c="Bebe Ağız Silme Bezi">
                <p n="[Material].[H_MainGroup].[MainGroupDesc].&amp;[Havlu]"/>
              </i>
              <i n="[Material].[H_MainGroup].[MainGroupDesc].&amp;[Havlu].&amp;[Bebe Banyo Havlu Set]" c="Bebe Banyo Havlu Set">
                <p n="[Material].[H_MainGroup].[MainGroupDesc].&amp;[Havlu]"/>
              </i>
              <i n="[Material].[H_MainGroup].[MainGroupDesc].&amp;[Havlu].&amp;[Bebe Banyo Havlusu]" c="Bebe Banyo Havlusu">
                <p n="[Material].[H_MainGroup].[MainGroupDesc].&amp;[Havlu]"/>
              </i>
              <i n="[Material].[H_MainGroup].[MainGroupDesc].&amp;[Havlu].&amp;[Bebe Bornoz]" c="Bebe Bornoz">
                <p n="[Material].[H_MainGroup].[MainGroupDesc].&amp;[Havlu]"/>
              </i>
              <i n="[Material].[H_MainGroup].[MainGroupDesc].&amp;[Havlu].&amp;[Bebe El Havlusu]" c="Bebe El Havlusu">
                <p n="[Material].[H_MainGroup].[MainGroupDesc].&amp;[Havlu]"/>
              </i>
              <i n="[Material].[H_MainGroup].[MainGroupDesc].&amp;[Havlu].&amp;[Bebe Havlu]" c="Bebe Havlu">
                <p n="[Material].[H_MainGroup].[MainGroupDesc].&amp;[Havlu]"/>
              </i>
              <i n="[Material].[H_MainGroup].[MainGroupDesc].&amp;[Havlu].&amp;[Bebek Ter Havlusu]" c="Bebek Ter Havlusu">
                <p n="[Material].[H_MainGroup].[MainGroupDesc].&amp;[Havlu]"/>
              </i>
              <i n="[Material].[H_MainGroup].[MainGroupDesc].&amp;[Havlu].&amp;[Bornoz]" c="Bornoz">
                <p n="[Material].[H_MainGroup].[MainGroupDesc].&amp;[Havlu]"/>
              </i>
              <i n="[Material].[H_MainGroup].[MainGroupDesc].&amp;[Havlu].&amp;[Bornoz Seti]" c="Bornoz Seti">
                <p n="[Material].[H_MainGroup].[MainGroupDesc].&amp;[Havlu]"/>
              </i>
              <i n="[Material].[H_MainGroup].[MainGroupDesc].&amp;[Havlu].&amp;[Çocuk Bornoz]" c="Çocuk Bornoz">
                <p n="[Material].[H_MainGroup].[MainGroupDesc].&amp;[Havlu]"/>
              </i>
              <i n="[Material].[H_MainGroup].[MainGroupDesc].&amp;[Havlu].&amp;[Çocuk Plaj Havlusu]" c="Çocuk Plaj Havlusu">
                <p n="[Material].[H_MainGroup].[MainGroupDesc].&amp;[Havlu]"/>
              </i>
              <i n="[Material].[H_MainGroup].[MainGroupDesc].&amp;[Havlu].&amp;[El Havlusu]" c="El Havlusu">
                <p n="[Material].[H_MainGroup].[MainGroupDesc].&amp;[Havlu]"/>
              </i>
              <i n="[Material].[H_MainGroup].[MainGroupDesc].&amp;[Havlu].&amp;[El Havlusu Seti]" c="El Havlusu Seti">
                <p n="[Material].[H_MainGroup].[MainGroupDesc].&amp;[Havlu]"/>
              </i>
              <i n="[Material].[H_MainGroup].[MainGroupDesc].&amp;[Havlu].&amp;[Havlu Seti]" c="Havlu Seti">
                <p n="[Material].[H_MainGroup].[MainGroupDesc].&amp;[Havlu]"/>
              </i>
              <i n="[Material].[H_MainGroup].[MainGroupDesc].&amp;[Havlu].&amp;[Hediyelik Havlu]" c="Hediyelik Havlu">
                <p n="[Material].[H_MainGroup].[MainGroupDesc].&amp;[Havlu]"/>
              </i>
              <i n="[Material].[H_MainGroup].[MainGroupDesc].&amp;[Havlu].&amp;[Kutulu Havlu]" c="Kutulu Havlu">
                <p n="[Material].[H_MainGroup].[MainGroupDesc].&amp;[Havlu]"/>
              </i>
              <i n="[Material].[H_MainGroup].[MainGroupDesc].&amp;[Havlu].&amp;[Peştamal]" c="Peştamal">
                <p n="[Material].[H_MainGroup].[MainGroupDesc].&amp;[Havlu]"/>
              </i>
              <i n="[Material].[H_MainGroup].[MainGroupDesc].&amp;[Havlu].&amp;[Plaj Havlusu]" c="Plaj Havlusu">
                <p n="[Material].[H_MainGroup].[MainGroupDesc].&amp;[Havlu]"/>
              </i>
              <i n="[Material].[H_MainGroup].[MainGroupDesc].&amp;[Havlu].&amp;[Saç Bonesi]" c="Saç Bonesi">
                <p n="[Material].[H_MainGroup].[MainGroupDesc].&amp;[Havlu]"/>
              </i>
              <i n="[Material].[H_MainGroup].[MainGroupDesc].&amp;[Havlu].&amp;[Yüz Havlusu]" c="Yüz Havlusu">
                <p n="[Material].[H_MainGroup].[MainGroupDesc].&amp;[Havlu]"/>
              </i>
              <i n="[Material].[H_MainGroup].[MainGroupDesc].&amp;[Havlu].&amp;[Yüz Havlusu Seti]" c="Yüz Havlusu Seti">
                <p n="[Material].[H_MainGroup].[MainGroupDesc].&amp;[Havlu]"/>
              </i>
              <i n="[Material].[H_MainGroup].[MainGroupDesc].&amp;[KEA].&amp;[Airfryer]" c="Airfryer">
                <p n="[Material].[H_MainGroup].[MainGroupDesc].&amp;[KEA]"/>
              </i>
              <i n="[Material].[H_MainGroup].[MainGroupDesc].&amp;[KEA].&amp;[Çay Makinesi]" c="Çay Makinesi">
                <p n="[Material].[H_MainGroup].[MainGroupDesc].&amp;[KEA]"/>
              </i>
              <i n="[Material].[H_MainGroup].[MainGroupDesc].&amp;[KEA].&amp;[Doğrayıcı]" c="Doğrayıcı">
                <p n="[Material].[H_MainGroup].[MainGroupDesc].&amp;[KEA]"/>
              </i>
              <i n="[Material].[H_MainGroup].[MainGroupDesc].&amp;[KEA].&amp;[Ekmek Kızartma M.]" c="Ekmek Kızartma M.">
                <p n="[Material].[H_MainGroup].[MainGroupDesc].&amp;[KEA]"/>
              </i>
              <i n="[Material].[H_MainGroup].[MainGroupDesc].&amp;[KEA].&amp;[El Blenderı]" c="El Blenderı">
                <p n="[Material].[H_MainGroup].[MainGroupDesc].&amp;[KEA]"/>
              </i>
              <i n="[Material].[H_MainGroup].[MainGroupDesc].&amp;[KEA].&amp;[El Mikseri]" c="El Mikseri">
                <p n="[Material].[H_MainGroup].[MainGroupDesc].&amp;[KEA]"/>
              </i>
              <i n="[Material].[H_MainGroup].[MainGroupDesc].&amp;[KEA].&amp;[Espresso Makinesi]" c="Espresso Makinesi">
                <p n="[Material].[H_MainGroup].[MainGroupDesc].&amp;[KEA]"/>
              </i>
              <i n="[Material].[H_MainGroup].[MainGroupDesc].&amp;[KEA].&amp;[Filtre Kahve M.]" c="Filtre Kahve M.">
                <p n="[Material].[H_MainGroup].[MainGroupDesc].&amp;[KEA]"/>
              </i>
              <i n="[Material].[H_MainGroup].[MainGroupDesc].&amp;[KEA].&amp;[Izgara Ve Tost M.]" c="Izgara Ve Tost M.">
                <p n="[Material].[H_MainGroup].[MainGroupDesc].&amp;[KEA]"/>
              </i>
              <i n="[Material].[H_MainGroup].[MainGroupDesc].&amp;[KEA].&amp;[Kablolu Dikey Süpürg]" c="Kablolu Dikey Süpürg">
                <p n="[Material].[H_MainGroup].[MainGroupDesc].&amp;[KEA]"/>
              </i>
              <i n="[Material].[H_MainGroup].[MainGroupDesc].&amp;[KEA].&amp;[Kişisel Blender]" c="Kişisel Blender">
                <p n="[Material].[H_MainGroup].[MainGroupDesc].&amp;[KEA]"/>
              </i>
              <i n="[Material].[H_MainGroup].[MainGroupDesc].&amp;[KEA].&amp;[Mini Blender Seti]" c="Mini Blender Seti">
                <p n="[Material].[H_MainGroup].[MainGroupDesc].&amp;[KEA]"/>
              </i>
              <i n="[Material].[H_MainGroup].[MainGroupDesc].&amp;[KEA].&amp;[Multi Blender Seti]" c="Multi Blender Seti">
                <p n="[Material].[H_MainGroup].[MainGroupDesc].&amp;[KEA]"/>
              </i>
              <i n="[Material].[H_MainGroup].[MainGroupDesc].&amp;[KEA].&amp;[Saç Kurutma Makinesi]" c="Saç Kurutma Makinesi">
                <p n="[Material].[H_MainGroup].[MainGroupDesc].&amp;[KEA]"/>
              </i>
              <i n="[Material].[H_MainGroup].[MainGroupDesc].&amp;[KEA].&amp;[Şarjlı Dikey Süpürge]" c="Şarjlı Dikey Süpürge">
                <p n="[Material].[H_MainGroup].[MainGroupDesc].&amp;[KEA]"/>
              </i>
              <i n="[Material].[H_MainGroup].[MainGroupDesc].&amp;[KEA].&amp;[Stand Mikseri]" c="Stand Mikseri">
                <p n="[Material].[H_MainGroup].[MainGroupDesc].&amp;[KEA]"/>
              </i>
              <i n="[Material].[H_MainGroup].[MainGroupDesc].&amp;[KEA].&amp;[Su Arıtma Filtresi]" c="Su Arıtma Filtresi">
                <p n="[Material].[H_MainGroup].[MainGroupDesc].&amp;[KEA]"/>
              </i>
              <i n="[Material].[H_MainGroup].[MainGroupDesc].&amp;[KEA].&amp;[Su Arıtma Sürahisi]" c="Su Arıtma Sürahisi">
                <p n="[Material].[H_MainGroup].[MainGroupDesc].&amp;[KEA]"/>
              </i>
              <i n="[Material].[H_MainGroup].[MainGroupDesc].&amp;[KEA].&amp;[Su Isıtıcı]" c="Su Isıtıcı">
                <p n="[Material].[H_MainGroup].[MainGroupDesc].&amp;[KEA]"/>
              </i>
              <i n="[Material].[H_MainGroup].[MainGroupDesc].&amp;[KEA].&amp;[Sürahi Blender]" c="Sürahi Blender">
                <p n="[Material].[H_MainGroup].[MainGroupDesc].&amp;[KEA]"/>
              </i>
              <i n="[Material].[H_MainGroup].[MainGroupDesc].&amp;[KEA].&amp;[Tost Makinesi]" c="Tost Makinesi">
                <p n="[Material].[H_MainGroup].[MainGroupDesc].&amp;[KEA]"/>
              </i>
              <i n="[Material].[H_MainGroup].[MainGroupDesc].&amp;[KEA].&amp;[Türk Kahve M.]" c="Türk Kahve M.">
                <p n="[Material].[H_MainGroup].[MainGroupDesc].&amp;[KEA]"/>
              </i>
              <i n="[Material].[H_MainGroup].[MainGroupDesc].&amp;[KEA].&amp;[Ütüleme Sistemleri]" c="Ütüleme Sistemleri">
                <p n="[Material].[H_MainGroup].[MainGroupDesc].&amp;[KEA]"/>
              </i>
              <i n="[Material].[H_MainGroup].[MainGroupDesc].&amp;[KEA].&amp;[Waffle Makinesi]" c="Waffle Makinesi">
                <p n="[Material].[H_MainGroup].[MainGroupDesc].&amp;[KEA]"/>
              </i>
              <i n="[Material].[H_MainGroup].[MainGroupDesc].&amp;[Kozmetik].&amp;[Aromaterapi Set]" c="Aromaterapi Set">
                <p n="[Material].[H_MainGroup].[MainGroupDesc].&amp;[Kozmetik]"/>
              </i>
              <i n="[Material].[H_MainGroup].[MainGroupDesc].&amp;[Kozmetik].&amp;[Askılı Koku]" c="Askılı Koku">
                <p n="[Material].[H_MainGroup].[MainGroupDesc].&amp;[Kozmetik]"/>
              </i>
              <i n="[Material].[H_MainGroup].[MainGroupDesc].&amp;[Kozmetik].&amp;[Body Mist]" c="Body Mist">
                <p n="[Material].[H_MainGroup].[MainGroupDesc].&amp;[Kozmetik]"/>
              </i>
              <i n="[Material].[H_MainGroup].[MainGroupDesc].&amp;[Kozmetik].&amp;[Çamaşır Kokusu]" c="Çamaşır Kokusu">
                <p n="[Material].[H_MainGroup].[MainGroupDesc].&amp;[Kozmetik]"/>
              </i>
              <i n="[Material].[H_MainGroup].[MainGroupDesc].&amp;[Kozmetik].&amp;[Çok Amaçlı Kutu]" c="Çok Amaçlı Kutu">
                <p n="[Material].[H_MainGroup].[MainGroupDesc].&amp;[Kozmetik]"/>
              </i>
              <i n="[Material].[H_MainGroup].[MainGroupDesc].&amp;[Kozmetik].&amp;[Çubuklu Oda Kokusu]" c="Çubuklu Oda Kokusu">
                <p n="[Material].[H_MainGroup].[MainGroupDesc].&amp;[Kozmetik]"/>
              </i>
              <i n="[Material].[H_MainGroup].[MainGroupDesc].&amp;[Kozmetik].&amp;[Dezenfektan]" c="Dezenfektan">
                <p n="[Material].[H_MainGroup].[MainGroupDesc].&amp;[Kozmetik]"/>
              </i>
              <i n="[Material].[H_MainGroup].[MainGroupDesc].&amp;[Kozmetik].&amp;[Dolap İçi Koku]" c="Dolap İçi Koku">
                <p n="[Material].[H_MainGroup].[MainGroupDesc].&amp;[Kozmetik]"/>
              </i>
              <i n="[Material].[H_MainGroup].[MainGroupDesc].&amp;[Kozmetik].&amp;[Duş Jeli]" c="Duş Jeli">
                <p n="[Material].[H_MainGroup].[MainGroupDesc].&amp;[Kozmetik]"/>
              </i>
              <i n="[Material].[H_MainGroup].[MainGroupDesc].&amp;[Kozmetik].&amp;[El Kremi]" c="El Kremi">
                <p n="[Material].[H_MainGroup].[MainGroupDesc].&amp;[Kozmetik]"/>
              </i>
              <i n="[Material].[H_MainGroup].[MainGroupDesc].&amp;[Kozmetik].&amp;[Esansiyel Koku Yağı]" c="Esansiyel Koku Yağı">
                <p n="[Material].[H_MainGroup].[MainGroupDesc].&amp;[Kozmetik]"/>
              </i>
              <i n="[Material].[H_MainGroup].[MainGroupDesc].&amp;[Kozmetik].&amp;[Güneş Kremi]" c="Güneş Kremi">
                <p n="[Material].[H_MainGroup].[MainGroupDesc].&amp;[Kozmetik]"/>
              </i>
              <i n="[Material].[H_MainGroup].[MainGroupDesc].&amp;[Kozmetik].&amp;[Katı Sabun]" c="Katı Sabun">
                <p n="[Material].[H_MainGroup].[MainGroupDesc].&amp;[Kozmetik]"/>
              </i>
              <i n="[Material].[H_MainGroup].[MainGroupDesc].&amp;[Kozmetik].&amp;[Katı Sabun Set]" c="Katı Sabun Set">
                <p n="[Material].[H_MainGroup].[MainGroupDesc].&amp;[Kozmetik]"/>
              </i>
              <i n="[Material].[H_MainGroup].[MainGroupDesc].&amp;[Kozmetik].&amp;[Koku Barı]" c="Koku Barı">
                <p n="[Material].[H_MainGroup].[MainGroupDesc].&amp;[Kozmetik]"/>
              </i>
              <i n="[Material].[H_MainGroup].[MainGroupDesc].&amp;[Kozmetik].&amp;[Kokulu Kese]" c="Kokulu Kese">
                <p n="[Material].[H_MainGroup].[MainGroupDesc].&amp;[Kozmetik]"/>
              </i>
              <i n="[Material].[H_MainGroup].[MainGroupDesc].&amp;[Kozmetik].&amp;[Kokulu Mum]" c="Kokulu Mum">
                <p n="[Material].[H_MainGroup].[MainGroupDesc].&amp;[Kozmetik]"/>
              </i>
              <i n="[Material].[H_MainGroup].[MainGroupDesc].&amp;[Kozmetik].&amp;[Kokulu Set]" c="Kokulu Set">
                <p n="[Material].[H_MainGroup].[MainGroupDesc].&amp;[Kozmetik]"/>
              </i>
              <i n="[Material].[H_MainGroup].[MainGroupDesc].&amp;[Kozmetik].&amp;[Kokulu Taş]" c="Kokulu Taş">
                <p n="[Material].[H_MainGroup].[MainGroupDesc].&amp;[Kozmetik]"/>
              </i>
              <i n="[Material].[H_MainGroup].[MainGroupDesc].&amp;[Kozmetik].&amp;[Kolonya]" c="Kolonya">
                <p n="[Material].[H_MainGroup].[MainGroupDesc].&amp;[Kozmetik]"/>
              </i>
              <i n="[Material].[H_MainGroup].[MainGroupDesc].&amp;[Kozmetik].&amp;[Kolonyalı Mendil]" c="Kolonyalı Mendil">
                <p n="[Material].[H_MainGroup].[MainGroupDesc].&amp;[Kozmetik]"/>
              </i>
              <i n="[Material].[H_MainGroup].[MainGroupDesc].&amp;[Kozmetik].&amp;[Makyaj Çantası]" c="Makyaj Çantası">
                <p n="[Material].[H_MainGroup].[MainGroupDesc].&amp;[Kozmetik]"/>
              </i>
              <i n="[Material].[H_MainGroup].[MainGroupDesc].&amp;[Kozmetik].&amp;[Nemlendirici Jel]" c="Nemlendirici Jel">
                <p n="[Material].[H_MainGroup].[MainGroupDesc].&amp;[Kozmetik]"/>
              </i>
              <i n="[Material].[H_MainGroup].[MainGroupDesc].&amp;[Kozmetik].&amp;[Oda Spreyi]" c="Oda Spreyi">
                <p n="[Material].[H_MainGroup].[MainGroupDesc].&amp;[Kozmetik]"/>
              </i>
              <i n="[Material].[H_MainGroup].[MainGroupDesc].&amp;[Kozmetik].&amp;[Oto Kokusu]" c="Oto Kokusu">
                <p n="[Material].[H_MainGroup].[MainGroupDesc].&amp;[Kozmetik]"/>
              </i>
              <i n="[Material].[H_MainGroup].[MainGroupDesc].&amp;[Kozmetik].&amp;[Parfüm]" c="Parfüm">
                <p n="[Material].[H_MainGroup].[MainGroupDesc].&amp;[Kozmetik]"/>
              </i>
              <i n="[Material].[H_MainGroup].[MainGroupDesc].&amp;[Kozmetik].&amp;[Pudra Ponponu]" c="Pudra Ponponu">
                <p n="[Material].[H_MainGroup].[MainGroupDesc].&amp;[Kozmetik]"/>
              </i>
              <i n="[Material].[H_MainGroup].[MainGroupDesc].&amp;[Kozmetik].&amp;[Sabun]" c="Sabun">
                <p n="[Material].[H_MainGroup].[MainGroupDesc].&amp;[Kozmetik]"/>
              </i>
              <i n="[Material].[H_MainGroup].[MainGroupDesc].&amp;[Kozmetik].&amp;[Sıvı Sabun]" c="Sıvı Sabun">
                <p n="[Material].[H_MainGroup].[MainGroupDesc].&amp;[Kozmetik]"/>
              </i>
              <i n="[Material].[H_MainGroup].[MainGroupDesc].&amp;[Kozmetik].&amp;[Sprey Kolonya]" c="Sprey Kolonya">
                <p n="[Material].[H_MainGroup].[MainGroupDesc].&amp;[Kozmetik]"/>
              </i>
              <i n="[Material].[H_MainGroup].[MainGroupDesc].&amp;[Kozmetik].&amp;[Su Torbası]" c="Su Torbası">
                <p n="[Material].[H_MainGroup].[MainGroupDesc].&amp;[Kozmetik]"/>
              </i>
              <i n="[Material].[H_MainGroup].[MainGroupDesc].&amp;[Kozmetik].&amp;[TEALIGHT MUM]" c="TEALIGHT MUM">
                <p n="[Material].[H_MainGroup].[MainGroupDesc].&amp;[Kozmetik]"/>
              </i>
              <i n="[Material].[H_MainGroup].[MainGroupDesc].&amp;[Kozmetik].&amp;[Tütsü]" c="Tütsü">
                <p n="[Material].[H_MainGroup].[MainGroupDesc].&amp;[Kozmetik]"/>
              </i>
              <i n="[Material].[H_MainGroup].[MainGroupDesc].&amp;[Kozmetik].&amp;[Vücut Losyonu]" c="Vücut Losyonu">
                <p n="[Material].[H_MainGroup].[MainGroupDesc].&amp;[Kozmetik]"/>
              </i>
              <i n="[Material].[H_MainGroup].[MainGroupDesc].&amp;[Kozmetik].&amp;[WHT Kokulu Çubuk]" c="WHT Kokulu Çubuk">
                <p n="[Material].[H_MainGroup].[MainGroupDesc].&amp;[Kozmetik]"/>
              </i>
              <i n="[Material].[H_MainGroup].[MainGroupDesc].&amp;[Kozmetik].&amp;[WHT Oda Spreyi]" c="WHT Oda Spreyi">
                <p n="[Material].[H_MainGroup].[MainGroupDesc].&amp;[Kozmetik]"/>
              </i>
              <i n="[Material].[H_MainGroup].[MainGroupDesc].&amp;[Kozmetik].&amp;[Yüz &amp; Vücut Spreyi]" c="Yüz &amp; Vücut Spreyi">
                <p n="[Material].[H_MainGroup].[MainGroupDesc].&amp;[Kozmetik]"/>
              </i>
              <i n="[Material].[H_MainGroup].[MainGroupDesc].&amp;[Kozmetik].&amp;[Yüz Maskesi]" c="Yüz Maskesi">
                <p n="[Material].[H_MainGroup].[MainGroupDesc].&amp;[Kozmetik]"/>
              </i>
              <i n="[Material].[H_MainGroup].[MainGroupDesc].&amp;[Mutfak].&amp;[Açacak]" c="Açacak">
                <p n="[Material].[H_MainGroup].[MainGroupDesc].&amp;[Mutfak]"/>
              </i>
              <i n="[Material].[H_MainGroup].[MainGroupDesc].&amp;[Mutfak].&amp;[Baharatlık]" c="Baharatlık">
                <p n="[Material].[H_MainGroup].[MainGroupDesc].&amp;[Mutfak]"/>
              </i>
              <i n="[Material].[H_MainGroup].[MainGroupDesc].&amp;[Mutfak].&amp;[Bal Kavanozu]" c="Bal Kavanozu">
                <p n="[Material].[H_MainGroup].[MainGroupDesc].&amp;[Mutfak]"/>
              </i>
              <i n="[Material].[H_MainGroup].[MainGroupDesc].&amp;[Mutfak].&amp;[Bardak Altı]" c="Bardak Altı">
                <p n="[Material].[H_MainGroup].[MainGroupDesc].&amp;[Mutfak]"/>
              </i>
              <i n="[Material].[H_MainGroup].[MainGroupDesc].&amp;[Mutfak].&amp;[Bulaşık Seti]" c="Bulaşık Seti">
                <p n="[Material].[H_MainGroup].[MainGroupDesc].&amp;[Mutfak]"/>
              </i>
              <i n="[Material].[H_MainGroup].[MainGroupDesc].&amp;[Mutfak].&amp;[Çatal Bıçaklık]" c="Çatal Bıçaklık">
                <p n="[Material].[H_MainGroup].[MainGroupDesc].&amp;[Mutfak]"/>
              </i>
              <i n="[Material].[H_MainGroup].[MainGroupDesc].&amp;[Mutfak].&amp;[Çaydanlık]" c="Çaydanlık">
                <p n="[Material].[H_MainGroup].[MainGroupDesc].&amp;[Mutfak]"/>
              </i>
              <i n="[Material].[H_MainGroup].[MainGroupDesc].&amp;[Mutfak].&amp;[Çekmece Düzenleyici]" c="Çekmece Düzenleyici">
                <p n="[Material].[H_MainGroup].[MainGroupDesc].&amp;[Mutfak]"/>
              </i>
              <i n="[Material].[H_MainGroup].[MainGroupDesc].&amp;[Mutfak].&amp;[Çocuk Suluk]" c="Çocuk Suluk">
                <p n="[Material].[H_MainGroup].[MainGroupDesc].&amp;[Mutfak]"/>
              </i>
              <i n="[Material].[H_MainGroup].[MainGroupDesc].&amp;[Mutfak].&amp;[Coffee Maker]" c="Coffee Maker">
                <p n="[Material].[H_MainGroup].[MainGroupDesc].&amp;[Mutfak]"/>
              </i>
              <i n="[Material].[H_MainGroup].[MainGroupDesc].&amp;[Mutfak].&amp;[Değirmen]" c="Değirmen">
                <p n="[Material].[H_MainGroup].[MainGroupDesc].&amp;[Mutfak]"/>
              </i>
              <i n="[Material].[H_MainGroup].[MainGroupDesc].&amp;[Mutfak].&amp;[Demleme Ürünleri]" c="Demleme Ürünleri">
                <p n="[Material].[H_MainGroup].[MainGroupDesc].&amp;[Mutfak]"/>
              </i>
              <i n="[Material].[H_MainGroup].[MainGroupDesc].&amp;[Mutfak].&amp;[Doğrayıcılar]" c="Doğrayıcılar">
                <p n="[Material].[H_MainGroup].[MainGroupDesc].&amp;[Mutfak]"/>
              </i>
              <i n="[Material].[H_MainGroup].[MainGroupDesc].&amp;[Mutfak].&amp;[Düzenleyici Set]" c="Düzenleyici Set">
                <p n="[Material].[H_MainGroup].[MainGroupDesc].&amp;[Mutfak]"/>
              </i>
              <i n="[Material].[H_MainGroup].[MainGroupDesc].&amp;[Mutfak].&amp;[Ekmek Kutusu]" c="Ekmek Kutusu">
                <p n="[Material].[H_MainGroup].[MainGroupDesc].&amp;[Mutfak]"/>
              </i>
              <i n="[Material].[H_MainGroup].[MainGroupDesc].&amp;[Mutfak].&amp;[El Rondosu]" c="El Rondosu">
                <p n="[Material].[H_MainGroup].[MainGroupDesc].&amp;[Mutfak]"/>
              </i>
              <i n="[Material].[H_MainGroup].[MainGroupDesc].&amp;[Mutfak].&amp;[Fondü Seti]" c="Fondü Seti">
                <p n="[Material].[H_MainGroup].[MainGroupDesc].&amp;[Mutfak]"/>
              </i>
              <i n="[Material].[H_MainGroup].[MainGroupDesc].&amp;[Mutfak].&amp;[Hamur ruleti]" c="Hamur ruleti">
                <p n="[Material].[H_MainGroup].[MainGroupDesc].&amp;[Mutfak]"/>
              </i>
              <i n="[Material].[H_MainGroup].[MainGroupDesc].&amp;[Mutfak].&amp;[Havan]" c="Havan">
                <p n="[Material].[H_MainGroup].[MainGroupDesc].&amp;[Mutfak]"/>
              </i>
              <i n="[Material].[H_MainGroup].[MainGroupDesc].&amp;[Mutfak].&amp;[Hazırlık Seti]" c="Hazırlık Seti">
                <p n="[Material].[H_MainGroup].[MainGroupDesc].&amp;[Mutfak]"/>
              </i>
              <i n="[Material].[H_MainGroup].[MainGroupDesc].&amp;[Mutfak].&amp;[Huni]" c="Huni">
                <p n="[Material].[H_MainGroup].[MainGroupDesc].&amp;[Mutfak]"/>
              </i>
              <i n="[Material].[H_MainGroup].[MainGroupDesc].&amp;[Mutfak].&amp;[İbrik]" c="İbrik">
                <p n="[Material].[H_MainGroup].[MainGroupDesc].&amp;[Mutfak]"/>
              </i>
              <i n="[Material].[H_MainGroup].[MainGroupDesc].&amp;[Mutfak].&amp;[Isıtıcı]" c="Isıtıcı">
                <p n="[Material].[H_MainGroup].[MainGroupDesc].&amp;[Mutfak]"/>
              </i>
              <i n="[Material].[H_MainGroup].[MainGroupDesc].&amp;[Mutfak].&amp;[Kağıt Havluluk]" c="Kağıt Havluluk">
                <p n="[Material].[H_MainGroup].[MainGroupDesc].&amp;[Mutfak]"/>
              </i>
              <i n="[Material].[H_MainGroup].[MainGroupDesc].&amp;[Mutfak].&amp;[Kahve Ölçü Kaşığı]" c="Kahve Ölçü Kaşığı">
                <p n="[Material].[H_MainGroup].[MainGroupDesc].&amp;[Mutfak]"/>
              </i>
              <i n="[Material].[H_MainGroup].[MainGroupDesc].&amp;[Mutfak].&amp;[Kavanoz]" c="Kavanoz">
                <p n="[Material].[H_MainGroup].[MainGroupDesc].&amp;[Mutfak]"/>
              </i>
              <i n="[Material].[H_MainGroup].[MainGroupDesc].&amp;[Mutfak].&amp;[Kavanoz Kapağı]" c="Kavanoz Kapağı">
                <p n="[Material].[H_MainGroup].[MainGroupDesc].&amp;[Mutfak]"/>
              </i>
              <i n="[Material].[H_MainGroup].[MainGroupDesc].&amp;[Mutfak].&amp;[Kepçe]" c="Kepçe">
                <p n="[Material].[H_MainGroup].[MainGroupDesc].&amp;[Mutfak]"/>
              </i>
              <i n="[Material].[H_MainGroup].[MainGroupDesc].&amp;[Mutfak].&amp;[Kesme Tahtası]" c="Kesme Tahtası">
                <p n="[Material].[H_MainGroup].[MainGroupDesc].&amp;[Mutfak]"/>
              </i>
              <i n="[Material].[H_MainGroup].[MainGroupDesc].&amp;[Mutfak].&amp;[Kettle]" c="Kettle">
                <p n="[Material].[H_MainGroup].[MainGroupDesc].&amp;[Mutfak]"/>
              </i>
              <i n="[Material].[H_MainGroup].[MainGroupDesc].&amp;[Mutfak].&amp;[Krep Tava]" c="Krep Tava">
                <p n="[Material].[H_MainGroup].[MainGroupDesc].&amp;[Mutfak]"/>
              </i>
              <i n="[Material].[H_MainGroup].[MainGroupDesc].&amp;[Mutfak].&amp;[Kurabiye Kutusu]" c="Kurabiye Kutusu">
                <p n="[Material].[H_MainGroup].[MainGroupDesc].&amp;[Mutfak]"/>
              </i>
              <i n="[Material].[H_MainGroup].[MainGroupDesc].&amp;[Mutfak].&amp;[Matara]" c="Matara">
                <p n="[Material].[H_MainGroup].[MainGroupDesc].&amp;[Mutfak]"/>
              </i>
              <i n="[Material].[H_MainGroup].[MainGroupDesc].&amp;[Mutfak].&amp;[Merdane]" c="Merdane">
                <p n="[Material].[H_MainGroup].[MainGroupDesc].&amp;[Mutfak]"/>
              </i>
              <i n="[Material].[H_MainGroup].[MainGroupDesc].&amp;[Mutfak].&amp;[Moka Pot]" c="Moka Pot">
                <p n="[Material].[H_MainGroup].[MainGroupDesc].&amp;[Mutfak]"/>
              </i>
              <i n="[Material].[H_MainGroup].[MainGroupDesc].&amp;[Mutfak].&amp;[Mutfak Gereci]" c="Mutfak Gereci">
                <p n="[Material].[H_MainGroup].[MainGroupDesc].&amp;[Mutfak]"/>
              </i>
              <i n="[Material].[H_MainGroup].[MainGroupDesc].&amp;[Mutfak].&amp;[Ölçü Kabı]" c="Ölçü Kabı">
                <p n="[Material].[H_MainGroup].[MainGroupDesc].&amp;[Mutfak]"/>
              </i>
              <i n="[Material].[H_MainGroup].[MainGroupDesc].&amp;[Mutfak].&amp;[Ölçü Kaşığı]" c="Ölçü Kaşığı">
                <p n="[Material].[H_MainGroup].[MainGroupDesc].&amp;[Mutfak]"/>
              </i>
              <i n="[Material].[H_MainGroup].[MainGroupDesc].&amp;[Mutfak].&amp;[Perforated Spatula]" c="Perforated Spatula">
                <p n="[Material].[H_MainGroup].[MainGroupDesc].&amp;[Mutfak]"/>
              </i>
              <i n="[Material].[H_MainGroup].[MainGroupDesc].&amp;[Mutfak].&amp;[Piknik Sepeti]" c="Piknik Sepeti">
                <p n="[Material].[H_MainGroup].[MainGroupDesc].&amp;[Mutfak]"/>
              </i>
              <i n="[Material].[H_MainGroup].[MainGroupDesc].&amp;[Mutfak].&amp;[Piknik Seti]" c="Piknik Seti">
                <p n="[Material].[H_MainGroup].[MainGroupDesc].&amp;[Mutfak]"/>
              </i>
              <i n="[Material].[H_MainGroup].[MainGroupDesc].&amp;[Mutfak].&amp;[Pipet]" c="Pipet">
                <p n="[Material].[H_MainGroup].[MainGroupDesc].&amp;[Mutfak]"/>
              </i>
              <i n="[Material].[H_MainGroup].[MainGroupDesc].&amp;[Mutfak].&amp;[Pizza Kesici]" c="Pizza Kesici">
                <p n="[Material].[H_MainGroup].[MainGroupDesc].&amp;[Mutfak]"/>
              </i>
              <i n="[Material].[H_MainGroup].[MainGroupDesc].&amp;[Mutfak].&amp;[Poşet Klipsi]" c="Poşet Klipsi">
                <p n="[Material].[H_MainGroup].[MainGroupDesc].&amp;[Mutfak]"/>
              </i>
              <i n="[Material].[H_MainGroup].[MainGroupDesc].&amp;[Mutfak].&amp;[Poşet Torbalığı]" c="Poşet Torbalığı">
                <p n="[Material].[H_MainGroup].[MainGroupDesc].&amp;[Mutfak]"/>
              </i>
              <i n="[Material].[H_MainGroup].[MainGroupDesc].&amp;[Mutfak].&amp;[Saklama Kabı]" c="Saklama Kabı">
                <p n="[Material].[H_MainGroup].[MainGroupDesc].&amp;[Mutfak]"/>
              </i>
              <i n="[Material].[H_MainGroup].[MainGroupDesc].&amp;[Mutfak].&amp;[Saklama Kabı Seti]" c="Saklama Kabı Seti">
                <p n="[Material].[H_MainGroup].[MainGroupDesc].&amp;[Mutfak]"/>
              </i>
              <i n="[Material].[H_MainGroup].[MainGroupDesc].&amp;[Mutfak].&amp;[Salata Seti]" c="Salata Seti">
                <p n="[Material].[H_MainGroup].[MainGroupDesc].&amp;[Mutfak]"/>
              </i>
              <i n="[Material].[H_MainGroup].[MainGroupDesc].&amp;[Mutfak].&amp;[Satır]" c="Satır">
                <p n="[Material].[H_MainGroup].[MainGroupDesc].&amp;[Mutfak]"/>
              </i>
              <i n="[Material].[H_MainGroup].[MainGroupDesc].&amp;[Mutfak].&amp;[Servis Gereçleri]" c="Servis Gereçleri">
                <p n="[Material].[H_MainGroup].[MainGroupDesc].&amp;[Mutfak]"/>
              </i>
              <i n="[Material].[H_MainGroup].[MainGroupDesc].&amp;[Mutfak].&amp;[Servis Kaşığı]" c="Servis Kaşığı">
                <p n="[Material].[H_MainGroup].[MainGroupDesc].&amp;[Mutfak]"/>
              </i>
              <i n="[Material].[H_MainGroup].[MainGroupDesc].&amp;[Mutfak].&amp;[Shaker]" c="Shaker">
                <p n="[Material].[H_MainGroup].[MainGroupDesc].&amp;[Mutfak]"/>
              </i>
              <i n="[Material].[H_MainGroup].[MainGroupDesc].&amp;[Mutfak].&amp;[Şişe Tıpası]" c="Şişe Tıpası">
                <p n="[Material].[H_MainGroup].[MainGroupDesc].&amp;[Mutfak]"/>
              </i>
              <i n="[Material].[H_MainGroup].[MainGroupDesc].&amp;[Mutfak].&amp;[Spagetti Kaşığı]" c="Spagetti Kaşığı">
                <p n="[Material].[H_MainGroup].[MainGroupDesc].&amp;[Mutfak]"/>
              </i>
              <i n="[Material].[H_MainGroup].[MainGroupDesc].&amp;[Mutfak].&amp;[Sufle Kabı]" c="Sufle Kabı">
                <p n="[Material].[H_MainGroup].[MainGroupDesc].&amp;[Mutfak]"/>
              </i>
              <i n="[Material].[H_MainGroup].[MainGroupDesc].&amp;[Mutfak].&amp;[Süt Potu]" c="Süt Potu">
                <p n="[Material].[H_MainGroup].[MainGroupDesc].&amp;[Mutfak]"/>
              </i>
              <i n="[Material].[H_MainGroup].[MainGroupDesc].&amp;[Mutfak].&amp;[Termos]" c="Termos">
                <p n="[Material].[H_MainGroup].[MainGroupDesc].&amp;[Mutfak]"/>
              </i>
              <i n="[Material].[H_MainGroup].[MainGroupDesc].&amp;[Mutfak].&amp;[Yemek Hazırlama]" c="Yemek Hazırlama">
                <p n="[Material].[H_MainGroup].[MainGroupDesc].&amp;[Mutfak]"/>
              </i>
              <i n="[Material].[H_MainGroup].[MainGroupDesc].&amp;[Mutfak].&amp;[Yumurta Fırçası]" c="Yumurta Fırçası">
                <p n="[Material].[H_MainGroup].[MainGroupDesc].&amp;[Mutfak]"/>
              </i>
              <i n="[Material].[H_MainGroup].[MainGroupDesc].&amp;[Mutfak].&amp;[Yumurtalık]" c="Yumurtalık">
                <p n="[Material].[H_MainGroup].[MainGroupDesc].&amp;[Mutfak]"/>
              </i>
              <i n="[Material].[H_MainGroup].[MainGroupDesc].&amp;[Nevresim].&amp;[Bebe Nevr.ve Yastk K]" c="Bebe Nevr.ve Yastk K">
                <p n="[Material].[H_MainGroup].[MainGroupDesc].&amp;[Nevresim]"/>
              </i>
              <i n="[Material].[H_MainGroup].[MainGroupDesc].&amp;[Nevresim].&amp;[Bebe Nevresim]" c="Bebe Nevresim">
                <p n="[Material].[H_MainGroup].[MainGroupDesc].&amp;[Nevresim]"/>
              </i>
              <i n="[Material].[H_MainGroup].[MainGroupDesc].&amp;[Nevresim].&amp;[Bebe Nevresim Seti]" c="Bebe Nevresim Seti">
                <p n="[Material].[H_MainGroup].[MainGroupDesc].&amp;[Nevresim]"/>
              </i>
              <i n="[Material].[H_MainGroup].[MainGroupDesc].&amp;[Nevresim].&amp;[Bebe Nevresim Takımı]" c="Bebe Nevresim Takımı">
                <p n="[Material].[H_MainGroup].[MainGroupDesc].&amp;[Nevresim]"/>
              </i>
              <i n="[Material].[H_MainGroup].[MainGroupDesc].&amp;[Nevresim].&amp;[Bebe Yastık Kılıfı]" c="Bebe Yastık Kılıfı">
                <p n="[Material].[H_MainGroup].[MainGroupDesc].&amp;[Nevresim]"/>
              </i>
              <i n="[Material].[H_MainGroup].[MainGroupDesc].&amp;[Nevresim].&amp;[Cibinlik]" c="Cibinlik">
                <p n="[Material].[H_MainGroup].[MainGroupDesc].&amp;[Nevresim]"/>
              </i>
              <i n="[Material].[H_MainGroup].[MainGroupDesc].&amp;[Nevresim].&amp;[Çocuk Nevresim]" c="Çocuk Nevresim">
                <p n="[Material].[H_MainGroup].[MainGroupDesc].&amp;[Nevresim]"/>
              </i>
              <i n="[Material].[H_MainGroup].[MainGroupDesc].&amp;[Nevresim].&amp;[Çocuk Nevresim Seti]" c="Çocuk Nevresim Seti">
                <p n="[Material].[H_MainGroup].[MainGroupDesc].&amp;[Nevresim]"/>
              </i>
              <i n="[Material].[H_MainGroup].[MainGroupDesc].&amp;[Nevresim].&amp;[Çocuk Nevresim Takım]" c="Çocuk Nevresim Takım">
                <p n="[Material].[H_MainGroup].[MainGroupDesc].&amp;[Nevresim]"/>
              </i>
              <i n="[Material].[H_MainGroup].[MainGroupDesc].&amp;[Nevresim].&amp;[Düz Çarşaf NVR TK]" c="Düz Çarşaf NVR TK">
                <p n="[Material].[H_MainGroup].[MainGroupDesc].&amp;[Nevresim]"/>
              </i>
              <i n="[Material].[H_MainGroup].[MainGroupDesc].&amp;[Nevresim].&amp;[Nevr. ve Yastık Klf]" c="Nevr. ve Yastık Klf">
                <p n="[Material].[H_MainGroup].[MainGroupDesc].&amp;[Nevresim]"/>
              </i>
              <i n="[Material].[H_MainGroup].[MainGroupDesc].&amp;[Nevresim].&amp;[Nevresim]" c="Nevresim">
                <p n="[Material].[H_MainGroup].[MainGroupDesc].&amp;[Nevresim]"/>
              </i>
              <i n="[Material].[H_MainGroup].[MainGroupDesc].&amp;[Nevresim].&amp;[Nevresim Seti]" c="Nevresim Seti">
                <p n="[Material].[H_MainGroup].[MainGroupDesc].&amp;[Nevresim]"/>
              </i>
              <i n="[Material].[H_MainGroup].[MainGroupDesc].&amp;[Nevresim].&amp;[Nevresim Takımı]" c="Nevresim Takımı">
                <p n="[Material].[H_MainGroup].[MainGroupDesc].&amp;[Nevresim]"/>
              </i>
              <i n="[Material].[H_MainGroup].[MainGroupDesc].&amp;[Pike].&amp;[Bebe Pike]" c="Bebe Pike">
                <p n="[Material].[H_MainGroup].[MainGroupDesc].&amp;[Pike]"/>
              </i>
              <i n="[Material].[H_MainGroup].[MainGroupDesc].&amp;[Pike].&amp;[Çocuk Pike Takımı]" c="Çocuk Pike Takımı">
                <p n="[Material].[H_MainGroup].[MainGroupDesc].&amp;[Pike]"/>
              </i>
              <i n="[Material].[H_MainGroup].[MainGroupDesc].&amp;[Pike].&amp;[Pike]" c="Pike">
                <p n="[Material].[H_MainGroup].[MainGroupDesc].&amp;[Pike]"/>
              </i>
              <i n="[Material].[H_MainGroup].[MainGroupDesc].&amp;[Pike].&amp;[Pike Seti]" c="Pike Seti">
                <p n="[Material].[H_MainGroup].[MainGroupDesc].&amp;[Pike]"/>
              </i>
              <i n="[Material].[H_MainGroup].[MainGroupDesc].&amp;[Pike].&amp;[Pike Takımı]" c="Pike Takımı">
                <p n="[Material].[H_MainGroup].[MainGroupDesc].&amp;[Pike]"/>
              </i>
              <i n="[Material].[H_MainGroup].[MainGroupDesc].&amp;[Pişirme].&amp;[Bakraç]" c="Bakraç">
                <p n="[Material].[H_MainGroup].[MainGroupDesc].&amp;[Pişirme]"/>
              </i>
              <i n="[Material].[H_MainGroup].[MainGroupDesc].&amp;[Pişirme].&amp;[Fırın Kabı]" c="Fırın Kabı">
                <p n="[Material].[H_MainGroup].[MainGroupDesc].&amp;[Pişirme]"/>
              </i>
              <i n="[Material].[H_MainGroup].[MainGroupDesc].&amp;[Pişirme].&amp;[Fırın Tencere]" c="Fırın Tencere">
                <p n="[Material].[H_MainGroup].[MainGroupDesc].&amp;[Pişirme]"/>
              </i>
              <i n="[Material].[H_MainGroup].[MainGroupDesc].&amp;[Pişirme].&amp;[Kek Kalıbı]" c="Kek Kalıbı">
                <p n="[Material].[H_MainGroup].[MainGroupDesc].&amp;[Pişirme]"/>
              </i>
              <i n="[Material].[H_MainGroup].[MainGroupDesc].&amp;[Pişirme].&amp;[Kek Kalıp Set]" c="Kek Kalıp Set">
                <p n="[Material].[H_MainGroup].[MainGroupDesc].&amp;[Pişirme]"/>
              </i>
              <i n="[Material].[H_MainGroup].[MainGroupDesc].&amp;[Pişirme].&amp;[Pişirme Seti]" c="Pişirme Seti">
                <p n="[Material].[H_MainGroup].[MainGroupDesc].&amp;[Pişirme]"/>
              </i>
              <i n="[Material].[H_MainGroup].[MainGroupDesc].&amp;[Pişirme].&amp;[Pişir-Sakla Set]" c="Pişir-Sakla Set">
                <p n="[Material].[H_MainGroup].[MainGroupDesc].&amp;[Pişirme]"/>
              </i>
              <i n="[Material].[H_MainGroup].[MainGroupDesc].&amp;[Pişirme].&amp;[Sahan]" c="Sahan">
                <p n="[Material].[H_MainGroup].[MainGroupDesc].&amp;[Pişirme]"/>
              </i>
              <i n="[Material].[H_MainGroup].[MainGroupDesc].&amp;[Pişirme].&amp;[Sahan Seti]" c="Sahan Seti">
                <p n="[Material].[H_MainGroup].[MainGroupDesc].&amp;[Pişirme]"/>
              </i>
              <i n="[Material].[H_MainGroup].[MainGroupDesc].&amp;[Pişirme].&amp;[Sos Tenceresi]" c="Sos Tenceresi">
                <p n="[Material].[H_MainGroup].[MainGroupDesc].&amp;[Pişirme]"/>
              </i>
              <i n="[Material].[H_MainGroup].[MainGroupDesc].&amp;[Pişirme].&amp;[Tart Kalıbı]" c="Tart Kalıbı">
                <p n="[Material].[H_MainGroup].[MainGroupDesc].&amp;[Pişirme]"/>
              </i>
              <i n="[Material].[H_MainGroup].[MainGroupDesc].&amp;[Pişirme].&amp;[Tava]" c="Tava">
                <p n="[Material].[H_MainGroup].[MainGroupDesc].&amp;[Pişirme]"/>
              </i>
              <i n="[Material].[H_MainGroup].[MainGroupDesc].&amp;[Pişirme].&amp;[Tava Seti]" c="Tava Seti">
                <p n="[Material].[H_MainGroup].[MainGroupDesc].&amp;[Pişirme]"/>
              </i>
              <i n="[Material].[H_MainGroup].[MainGroupDesc].&amp;[Pişirme].&amp;[Tencere]" c="Tencere">
                <p n="[Material].[H_MainGroup].[MainGroupDesc].&amp;[Pişirme]"/>
              </i>
              <i n="[Material].[H_MainGroup].[MainGroupDesc].&amp;[Pişirme].&amp;[Tencere Seti]" c="Tencere Seti">
                <p n="[Material].[H_MainGroup].[MainGroupDesc].&amp;[Pişirme]"/>
              </i>
              <i n="[Material].[H_MainGroup].[MainGroupDesc].&amp;[Pişirme].&amp;[Tencere-Tava Seti]" c="Tencere-Tava Seti">
                <p n="[Material].[H_MainGroup].[MainGroupDesc].&amp;[Pişirme]"/>
              </i>
              <i n="[Material].[H_MainGroup].[MainGroupDesc].&amp;[Pişirme].&amp;[Wok Tava]" c="Wok Tava">
                <p n="[Material].[H_MainGroup].[MainGroupDesc].&amp;[Pişirme]"/>
              </i>
              <i n="[Material].[H_MainGroup].[MainGroupDesc].&amp;[Salon].&amp;[Atlet]" c="Atlet">
                <p n="[Material].[H_MainGroup].[MainGroupDesc].&amp;[Salon]"/>
              </i>
              <i n="[Material].[H_MainGroup].[MainGroupDesc].&amp;[Salon].&amp;[Ayaklı Tepsi]" c="Ayaklı Tepsi">
                <p n="[Material].[H_MainGroup].[MainGroupDesc].&amp;[Salon]"/>
              </i>
              <i n="[Material].[H_MainGroup].[MainGroupDesc].&amp;[Salon].&amp;[Babet Çorap]" c="Babet Çorap">
                <p n="[Material].[H_MainGroup].[MainGroupDesc].&amp;[Salon]"/>
              </i>
              <i n="[Material].[H_MainGroup].[MainGroupDesc].&amp;[Salon].&amp;[Bebe Alt Açma Yedek]" c="Bebe Alt Açma Yedek">
                <p n="[Material].[H_MainGroup].[MainGroupDesc].&amp;[Salon]"/>
              </i>
              <i n="[Material].[H_MainGroup].[MainGroupDesc].&amp;[Salon].&amp;[Bebe Body]" c="Bebe Body">
                <p n="[Material].[H_MainGroup].[MainGroupDesc].&amp;[Salon]"/>
              </i>
              <i n="[Material].[H_MainGroup].[MainGroupDesc].&amp;[Salon].&amp;[Bebe Çorap]" c="Bebe Çorap">
                <p n="[Material].[H_MainGroup].[MainGroupDesc].&amp;[Salon]"/>
              </i>
              <i n="[Material].[H_MainGroup].[MainGroupDesc].&amp;[Salon].&amp;[Bebe Hediyelik Set]" c="Bebe Hediyelik Set">
                <p n="[Material].[H_MainGroup].[MainGroupDesc].&amp;[Salon]"/>
              </i>
              <i n="[Material].[H_MainGroup].[MainGroupDesc].&amp;[Salon].&amp;[Bebe Müslin Set]" c="Bebe Müslin Set">
                <p n="[Material].[H_MainGroup].[MainGroupDesc].&amp;[Salon]"/>
              </i>
              <i n="[Material].[H_MainGroup].[MainGroupDesc].&amp;[Salon].&amp;[Bebe Önlük]" c="Bebe Önlük">
                <p n="[Material].[H_MainGroup].[MainGroupDesc].&amp;[Salon]"/>
              </i>
              <i n="[Material].[H_MainGroup].[MainGroupDesc].&amp;[Salon].&amp;[Bebe Örtü]" c="Bebe Örtü">
                <p n="[Material].[H_MainGroup].[MainGroupDesc].&amp;[Salon]"/>
              </i>
              <i n="[Material].[H_MainGroup].[MainGroupDesc].&amp;[Salon].&amp;[Bebe Pijama Takımı]" c="Bebe Pijama Takımı">
                <p n="[Material].[H_MainGroup].[MainGroupDesc].&amp;[Salon]"/>
              </i>
              <i n="[Material].[H_MainGroup].[MainGroupDesc].&amp;[Salon].&amp;[Bebe Puset Örtüsü]" c="Bebe Puset Örtüsü">
                <p n="[Material].[H_MainGroup].[MainGroupDesc].&amp;[Salon]"/>
              </i>
              <i n="[Material].[H_MainGroup].[MainGroupDesc].&amp;[Salon].&amp;[Bebe Sandalyesi]" c="Bebe Sandalyesi">
                <p n="[Material].[H_MainGroup].[MainGroupDesc].&amp;[Salon]"/>
              </i>
              <i n="[Material].[H_MainGroup].[MainGroupDesc].&amp;[Salon].&amp;[Bebe Tulum]" c="Bebe Tulum">
                <p n="[Material].[H_MainGroup].[MainGroupDesc].&amp;[Salon]"/>
              </i>
              <i n="[Material].[H_MainGroup].[MainGroupDesc].&amp;[Salon].&amp;[Bebe Uyku Tulumu]" c="Bebe Uyku Tulumu">
                <p n="[Material].[H_MainGroup].[MainGroupDesc].&amp;[Salon]"/>
              </i>
              <i n="[Material].[H_MainGroup].[MainGroupDesc].&amp;[Salon].&amp;[Berjer]" c="Berjer">
                <p n="[Material].[H_MainGroup].[MainGroupDesc].&amp;[Salon]"/>
              </i>
              <i n="[Material].[H_MainGroup].[MainGroupDesc].&amp;[Salon].&amp;[Bluz]" c="Bluz">
                <p n="[Material].[H_MainGroup].[MainGroupDesc].&amp;[Salon]"/>
              </i>
              <i n="[Material].[H_MainGroup].[MainGroupDesc].&amp;[Salon].&amp;[Boxer]" c="Boxer">
                <p n="[Material].[H_MainGroup].[MainGroupDesc].&amp;[Salon]"/>
              </i>
              <i n="[Material].[H_MainGroup].[MainGroupDesc].&amp;[Salon].&amp;[Braçol]" c="Braçol">
                <p n="[Material].[H_MainGroup].[MainGroupDesc].&amp;[Salon]"/>
              </i>
              <i n="[Material].[H_MainGroup].[MainGroupDesc].&amp;[Salon].&amp;[Büyük Kırlent]" c="Büyük Kırlent">
                <p n="[Material].[H_MainGroup].[MainGroupDesc].&amp;[Salon]"/>
              </i>
              <i n="[Material].[H_MainGroup].[MainGroupDesc].&amp;[Salon].&amp;[Çanta.]" c="Çanta.">
                <p n="[Material].[H_MainGroup].[MainGroupDesc].&amp;[Salon]"/>
              </i>
              <i n="[Material].[H_MainGroup].[MainGroupDesc].&amp;[Salon].&amp;[Çocuk Atlet]" c="Çocuk Atlet">
                <p n="[Material].[H_MainGroup].[MainGroupDesc].&amp;[Salon]"/>
              </i>
              <i n="[Material].[H_MainGroup].[MainGroupDesc].&amp;[Salon].&amp;[Çocuk Boxer]" c="Çocuk Boxer">
                <p n="[Material].[H_MainGroup].[MainGroupDesc].&amp;[Salon]"/>
              </i>
              <i n="[Material].[H_MainGroup].[MainGroupDesc].&amp;[Salon].&amp;[Çocuk Çanta]" c="Çocuk Çanta">
                <p n="[Material].[H_MainGroup].[MainGroupDesc].&amp;[Salon]"/>
              </i>
              <i n="[Material].[H_MainGroup].[MainGroupDesc].&amp;[Salon].&amp;[Çocuk Çarşaf]" c="Çocuk Çarşaf">
                <p n="[Material].[H_MainGroup].[MainGroupDesc].&amp;[Salon]"/>
              </i>
              <i n="[Material].[H_MainGroup].[MainGroupDesc].&amp;[Salon].&amp;[Çocuk Çorap]" c="Çocuk Çorap">
                <p n="[Material].[H_MainGroup].[MainGroupDesc].&amp;[Salon]"/>
              </i>
              <i n="[Material].[H_MainGroup].[MainGroupDesc].&amp;[Salon].&amp;[Çocuk Ev Ayakkabısı]" c="Çocuk Ev Ayakkabısı">
                <p n="[Material].[H_MainGroup].[MainGroupDesc].&amp;[Salon]"/>
              </i>
              <i n="[Material].[H_MainGroup].[MainGroupDesc].&amp;[Salon].&amp;[Çocuk Panço]" c="Çocuk Panço">
                <p n="[Material].[H_MainGroup].[MainGroupDesc].&amp;[Salon]"/>
              </i>
              <i n="[Material].[H_MainGroup].[MainGroupDesc].&amp;[Salon].&amp;[Çocuk Pijama Takımı]" c="Çocuk Pijama Takımı">
                <p n="[Material].[H_MainGroup].[MainGroupDesc].&amp;[Salon]"/>
              </i>
              <i n="[Material].[H_MainGroup].[MainGroupDesc].&amp;[Salon].&amp;[Çocuk Terliği]" c="Çocuk Terliği">
                <p n="[Material].[H_MainGroup].[MainGroupDesc].&amp;[Salon]"/>
              </i>
              <i n="[Material].[H_MainGroup].[MainGroupDesc].&amp;[Salon].&amp;[Çocuk Üst]" c="Çocuk Üst">
                <p n="[Material].[H_MainGroup].[MainGroupDesc].&amp;[Salon]"/>
              </i>
              <i n="[Material].[H_MainGroup].[MainGroupDesc].&amp;[Salon].&amp;[Çorap]" c="Çorap">
                <p n="[Material].[H_MainGroup].[MainGroupDesc].&amp;[Salon]"/>
              </i>
              <i n="[Material].[H_MainGroup].[MainGroupDesc].&amp;[Salon].&amp;[Dekoratif Koltuk]" c="Dekoratif Koltuk">
                <p n="[Material].[H_MainGroup].[MainGroupDesc].&amp;[Salon]"/>
              </i>
              <i n="[Material].[H_MainGroup].[MainGroupDesc].&amp;[Salon].&amp;[Dekoratif Minder]" c="Dekoratif Minder">
                <p n="[Material].[H_MainGroup].[MainGroupDesc].&amp;[Salon]"/>
              </i>
              <i n="[Material].[H_MainGroup].[MainGroupDesc].&amp;[Salon].&amp;[Dekoratif Puf]" c="Dekoratif Puf">
                <p n="[Material].[H_MainGroup].[MainGroupDesc].&amp;[Salon]"/>
              </i>
              <i n="[Material].[H_MainGroup].[MainGroupDesc].&amp;[Salon].&amp;[Deniz Şortu]" c="Deniz Şortu">
                <p n="[Material].[H_MainGroup].[MainGroupDesc].&amp;[Salon]"/>
              </i>
              <i n="[Material].[H_MainGroup].[MainGroupDesc].&amp;[Salon].&amp;[Diğer]" c="Diğer">
                <p n="[Material].[H_MainGroup].[MainGroupDesc].&amp;[Salon]"/>
              </i>
              <i n="[Material].[H_MainGroup].[MainGroupDesc].&amp;[Salon].&amp;[Dolgulu Kırlent]" c="Dolgulu Kırlent">
                <p n="[Material].[H_MainGroup].[MainGroupDesc].&amp;[Salon]"/>
              </i>
              <i n="[Material].[H_MainGroup].[MainGroupDesc].&amp;[Salon].&amp;[Duvar Kağıdı]" c="Duvar Kağıdı">
                <p n="[Material].[H_MainGroup].[MainGroupDesc].&amp;[Salon]"/>
              </i>
              <i n="[Material].[H_MainGroup].[MainGroupDesc].&amp;[Salon].&amp;[Düzenleyici]" c="Düzenleyici">
                <p n="[Material].[H_MainGroup].[MainGroupDesc].&amp;[Salon]"/>
              </i>
              <i n="[Material].[H_MainGroup].[MainGroupDesc].&amp;[Salon].&amp;[Eldiven]" c="Eldiven">
                <p n="[Material].[H_MainGroup].[MainGroupDesc].&amp;[Salon]"/>
              </i>
              <i n="[Material].[H_MainGroup].[MainGroupDesc].&amp;[Salon].&amp;[Ev Terliği]" c="Ev Terliği">
                <p n="[Material].[H_MainGroup].[MainGroupDesc].&amp;[Salon]"/>
              </i>
              <i n="[Material].[H_MainGroup].[MainGroupDesc].&amp;[Salon].&amp;[Evcil Hayvan Yatağı]" c="Evcil Hayvan Yatağı">
                <p n="[Material].[H_MainGroup].[MainGroupDesc].&amp;[Salon]"/>
              </i>
              <i n="[Material].[H_MainGroup].[MainGroupDesc].&amp;[Salon].&amp;[Fanila]" c="Fanila">
                <p n="[Material].[H_MainGroup].[MainGroupDesc].&amp;[Salon]"/>
              </i>
              <i n="[Material].[H_MainGroup].[MainGroupDesc].&amp;[Salon].&amp;[Fon Perde]" c="Fon Perde">
                <p n="[Material].[H_MainGroup].[MainGroupDesc].&amp;[Salon]"/>
              </i>
              <i n="[Material].[H_MainGroup].[MainGroupDesc].&amp;[Salon].&amp;[Gecelik]" c="Gecelik">
                <p n="[Material].[H_MainGroup].[MainGroupDesc].&amp;[Salon]"/>
              </i>
              <i n="[Material].[H_MainGroup].[MainGroupDesc].&amp;[Salon].&amp;[Hasır Çanta]" c="Hasır Çanta">
                <p n="[Material].[H_MainGroup].[MainGroupDesc].&amp;[Salon]"/>
              </i>
              <i n="[Material].[H_MainGroup].[MainGroupDesc].&amp;[Salon].&amp;[İç Çamaşır Takımı]" c="İç Çamaşır Takımı">
                <p n="[Material].[H_MainGroup].[MainGroupDesc].&amp;[Salon]"/>
              </i>
              <i n="[Material].[H_MainGroup].[MainGroupDesc].&amp;[Salon].&amp;[İçlik]" c="İçlik">
                <p n="[Material].[H_MainGroup].[MainGroupDesc].&amp;[Salon]"/>
              </i>
              <i n="[Material].[H_MainGroup].[MainGroupDesc].&amp;[Salon].&amp;[Kapri Takım]" c="Kapri Takım">
                <p n="[Material].[H_MainGroup].[MainGroupDesc].&amp;[Salon]"/>
              </i>
              <i n="[Material].[H_MainGroup].[MainGroupDesc].&amp;[Salon].&amp;[Kartela Kumaşı]" c="Kartela Kumaşı">
                <p n="[Material].[H_MainGroup].[MainGroupDesc].&amp;[Salon]"/>
              </i>
              <i n="[Material].[H_MainGroup].[MainGroupDesc].&amp;[Salon].&amp;[Kırlent]" c="Kırlent">
                <p n="[Material].[H_MainGroup].[MainGroupDesc].&amp;[Salon]"/>
              </i>
              <i n="[Material].[H_MainGroup].[MainGroupDesc].&amp;[Salon].&amp;[Kısa Gecelik]" c="Kısa Gecelik">
                <p n="[Material].[H_MainGroup].[MainGroupDesc].&amp;[Salon]"/>
              </i>
              <i n="[Material].[H_MainGroup].[MainGroupDesc].&amp;[Salon].&amp;[Koltuk Örtüsü]" c="Koltuk Örtüsü">
                <p n="[Material].[H_MainGroup].[MainGroupDesc].&amp;[Salon]"/>
              </i>
              <i n="[Material].[H_MainGroup].[MainGroupDesc].&amp;[Salon].&amp;[Koltuk Şalı]" c="Koltuk Şalı">
                <p n="[Material].[H_MainGroup].[MainGroupDesc].&amp;[Salon]"/>
              </i>
              <i n="[Material].[H_MainGroup].[MainGroupDesc].&amp;[Salon].&amp;[Külot]" c="Külot">
                <p n="[Material].[H_MainGroup].[MainGroupDesc].&amp;[Salon]"/>
              </i>
              <i n="[Material].[H_MainGroup].[MainGroupDesc].&amp;[Salon].&amp;[Omuz Şalı]" c="Omuz Şalı">
                <p n="[Material].[H_MainGroup].[MainGroupDesc].&amp;[Salon]"/>
              </i>
              <i n="[Material].[H_MainGroup].[MainGroupDesc].&amp;[Salon].&amp;[Panço]" c="Panço">
                <p n="[Material].[H_MainGroup].[MainGroupDesc].&amp;[Salon]"/>
              </i>
              <i n="[Material].[H_MainGroup].[MainGroupDesc].&amp;[Salon].&amp;[Panduf Ev Babeti]" c="Panduf Ev Babeti">
                <p n="[Material].[H_MainGroup].[MainGroupDesc].&amp;[Salon]"/>
              </i>
              <i n="[Material].[H_MainGroup].[MainGroupDesc].&amp;[Salon].&amp;[Panduf Ev Botu]" c="Panduf Ev Botu">
                <p n="[Material].[H_MainGroup].[MainGroupDesc].&amp;[Salon]"/>
              </i>
              <i n="[Material].[H_MainGroup].[MainGroupDesc].&amp;[Salon].&amp;[Patik Çorap]" c="Patik Çorap">
                <p n="[Material].[H_MainGroup].[MainGroupDesc].&amp;[Salon]"/>
              </i>
              <i n="[Material].[H_MainGroup].[MainGroupDesc].&amp;[Salon].&amp;[Peluş Çorap]" c="Peluş Çorap">
                <p n="[Material].[H_MainGroup].[MainGroupDesc].&amp;[Salon]"/>
              </i>
              <i n="[Material].[H_MainGroup].[MainGroupDesc].&amp;[Salon].&amp;[Pijama Takımı]" c="Pijama Takımı">
                <p n="[Material].[H_MainGroup].[MainGroupDesc].&amp;[Salon]"/>
              </i>
              <i n="[Material].[H_MainGroup].[MainGroupDesc].&amp;[Salon].&amp;[Pijama Üst]" c="Pijama Üst">
                <p n="[Material].[H_MainGroup].[MainGroupDesc].&amp;[Salon]"/>
              </i>
              <i n="[Material].[H_MainGroup].[MainGroupDesc].&amp;[Salon].&amp;[Plaj Çantası.]" c="Plaj Çantası.">
                <p n="[Material].[H_MainGroup].[MainGroupDesc].&amp;[Salon]"/>
              </i>
              <i n="[Material].[H_MainGroup].[MainGroupDesc].&amp;[Salon].&amp;[Plaj Elbisesi]" c="Plaj Elbisesi">
                <p n="[Material].[H_MainGroup].[MainGroupDesc].&amp;[Salon]"/>
              </i>
              <i n="[Material].[H_MainGroup].[MainGroupDesc].&amp;[Salon].&amp;[Plaj Pantolonu]" c="Plaj Pantolonu">
                <p n="[Material].[H_MainGroup].[MainGroupDesc].&amp;[Salon]"/>
              </i>
              <i n="[Material].[H_MainGroup].[MainGroupDesc].&amp;[Salon].&amp;[Plaj Terliği]" c="Plaj Terliği">
                <p n="[Material].[H_MainGroup].[MainGroupDesc].&amp;[Salon]"/>
              </i>
              <i n="[Material].[H_MainGroup].[MainGroupDesc].&amp;[Salon].&amp;[Puf.]" c="Puf.">
                <p n="[Material].[H_MainGroup].[MainGroupDesc].&amp;[Salon]"/>
              </i>
              <i n="[Material].[H_MainGroup].[MainGroupDesc].&amp;[Salon].&amp;[Puset]" c="Puset">
                <p n="[Material].[H_MainGroup].[MainGroupDesc].&amp;[Salon]"/>
              </i>
              <i n="[Material].[H_MainGroup].[MainGroupDesc].&amp;[Salon].&amp;[Sabahlık]" c="Sabahlık">
                <p n="[Material].[H_MainGroup].[MainGroupDesc].&amp;[Salon]"/>
              </i>
              <i n="[Material].[H_MainGroup].[MainGroupDesc].&amp;[Salon].&amp;[Sallanan Koltuk]" c="Sallanan Koltuk">
                <p n="[Material].[H_MainGroup].[MainGroupDesc].&amp;[Salon]"/>
              </i>
              <i n="[Material].[H_MainGroup].[MainGroupDesc].&amp;[Salon].&amp;[Sandalye Minderi]" c="Sandalye Minderi">
                <p n="[Material].[H_MainGroup].[MainGroupDesc].&amp;[Salon]"/>
              </i>
              <i n="[Material].[H_MainGroup].[MainGroupDesc].&amp;[Salon].&amp;[Seyahat Çantası]" c="Seyahat Çantası">
                <p n="[Material].[H_MainGroup].[MainGroupDesc].&amp;[Salon]"/>
              </i>
              <i n="[Material].[H_MainGroup].[MainGroupDesc].&amp;[Salon].&amp;[Sneaker Çorap]" c="Sneaker Çorap">
                <p n="[Material].[H_MainGroup].[MainGroupDesc].&amp;[Salon]"/>
              </i>
              <i n="[Material].[H_MainGroup].[MainGroupDesc].&amp;[Salon].&amp;[Sokak Terliği]" c="Sokak Terliği">
                <p n="[Material].[H_MainGroup].[MainGroupDesc].&amp;[Salon]"/>
              </i>
              <i n="[Material].[H_MainGroup].[MainGroupDesc].&amp;[Salon].&amp;[Soket Çorap]" c="Soket Çorap">
                <p n="[Material].[H_MainGroup].[MainGroupDesc].&amp;[Salon]"/>
              </i>
              <i n="[Material].[H_MainGroup].[MainGroupDesc].&amp;[Salon].&amp;[Şort]" c="Şort">
                <p n="[Material].[H_MainGroup].[MainGroupDesc].&amp;[Salon]"/>
              </i>
              <i n="[Material].[H_MainGroup].[MainGroupDesc].&amp;[Salon].&amp;[Şort Takım]" c="Şort Takım">
                <p n="[Material].[H_MainGroup].[MainGroupDesc].&amp;[Salon]"/>
              </i>
              <i n="[Material].[H_MainGroup].[MainGroupDesc].&amp;[Salon].&amp;[Spor Tshirt]" c="Spor Tshirt">
                <p n="[Material].[H_MainGroup].[MainGroupDesc].&amp;[Salon]"/>
              </i>
              <i n="[Material].[H_MainGroup].[MainGroupDesc].&amp;[Salon].&amp;[Stor Perde]" c="Stor Perde">
                <p n="[Material].[H_MainGroup].[MainGroupDesc].&amp;[Salon]"/>
              </i>
              <i n="[Material].[H_MainGroup].[MainGroupDesc].&amp;[Salon].&amp;[Sütyen]" c="Sütyen">
                <p n="[Material].[H_MainGroup].[MainGroupDesc].&amp;[Salon]"/>
              </i>
              <i n="[Material].[H_MainGroup].[MainGroupDesc].&amp;[Salon].&amp;[Tek Alt]" c="Tek Alt">
                <p n="[Material].[H_MainGroup].[MainGroupDesc].&amp;[Salon]"/>
              </i>
              <i n="[Material].[H_MainGroup].[MainGroupDesc].&amp;[Salon].&amp;[Tek Uzun Alt]" c="Tek Uzun Alt">
                <p n="[Material].[H_MainGroup].[MainGroupDesc].&amp;[Salon]"/>
              </i>
              <i n="[Material].[H_MainGroup].[MainGroupDesc].&amp;[Salon].&amp;[Ten Çorap]" c="Ten Çorap">
                <p n="[Material].[H_MainGroup].[MainGroupDesc].&amp;[Salon]"/>
              </i>
              <i n="[Material].[H_MainGroup].[MainGroupDesc].&amp;[Salon].&amp;[Tül Perde]" c="Tül Perde">
                <p n="[Material].[H_MainGroup].[MainGroupDesc].&amp;[Salon]"/>
              </i>
              <i n="[Material].[H_MainGroup].[MainGroupDesc].&amp;[Salon].&amp;[Uzun Gecelik]" c="Uzun Gecelik">
                <p n="[Material].[H_MainGroup].[MainGroupDesc].&amp;[Salon]"/>
              </i>
              <i n="[Material].[H_MainGroup].[MainGroupDesc].&amp;[Salon].&amp;[Yaslanma Minderi]" c="Yaslanma Minderi">
                <p n="[Material].[H_MainGroup].[MainGroupDesc].&amp;[Salon]"/>
              </i>
              <i n="[Material].[H_MainGroup].[MainGroupDesc].&amp;[Salon].&amp;[Yer Minderi]" c="Yer Minderi">
                <p n="[Material].[H_MainGroup].[MainGroupDesc].&amp;[Salon]"/>
              </i>
              <i n="[Material].[H_MainGroup].[MainGroupDesc].&amp;[Sofra İçecek].&amp;[Bardak]" c="Bardak">
                <p n="[Material].[H_MainGroup].[MainGroupDesc].&amp;[Sofra İçecek]"/>
              </i>
              <i n="[Material].[H_MainGroup].[MainGroupDesc].&amp;[Sofra İçecek].&amp;[Bira Bardağı]" c="Bira Bardağı">
                <p n="[Material].[H_MainGroup].[MainGroupDesc].&amp;[Sofra İçecek]"/>
              </i>
              <i n="[Material].[H_MainGroup].[MainGroupDesc].&amp;[Sofra İçecek].&amp;[Çay Bardağı]" c="Çay Bardağı">
                <p n="[Material].[H_MainGroup].[MainGroupDesc].&amp;[Sofra İçecek]"/>
              </i>
              <i n="[Material].[H_MainGroup].[MainGroupDesc].&amp;[Sofra İçecek].&amp;[Çay Fincanı]" c="Çay Fincanı">
                <p n="[Material].[H_MainGroup].[MainGroupDesc].&amp;[Sofra İçecek]"/>
              </i>
              <i n="[Material].[H_MainGroup].[MainGroupDesc].&amp;[Sofra İçecek].&amp;[Çay Seti]" c="Çay Seti">
                <p n="[Material].[H_MainGroup].[MainGroupDesc].&amp;[Sofra İçecek]"/>
              </i>
              <i n="[Material].[H_MainGroup].[MainGroupDesc].&amp;[Sofra İçecek].&amp;[Çay Takımı]" c="Çay Takımı">
                <p n="[Material].[H_MainGroup].[MainGroupDesc].&amp;[Sofra İçecek]"/>
              </i>
              <i n="[Material].[H_MainGroup].[MainGroupDesc].&amp;[Sofra İçecek].&amp;[Çay-Kahve Takımı]" c="Çay-Kahve Takımı">
                <p n="[Material].[H_MainGroup].[MainGroupDesc].&amp;[Sofra İçecek]"/>
              </i>
              <i n="[Material].[H_MainGroup].[MainGroupDesc].&amp;[Sofra İçecek].&amp;[Detoks Bardağı]" c="Detoks Bardağı">
                <p n="[Material].[H_MainGroup].[MainGroupDesc].&amp;[Sofra İçecek]"/>
              </i>
              <i n="[Material].[H_MainGroup].[MainGroupDesc].&amp;[Sofra İçecek].&amp;[Fincan]" c="Fincan">
                <p n="[Material].[H_MainGroup].[MainGroupDesc].&amp;[Sofra İçecek]"/>
              </i>
              <i n="[Material].[H_MainGroup].[MainGroupDesc].&amp;[Sofra İçecek].&amp;[Kadeh]" c="Kadeh">
                <p n="[Material].[H_MainGroup].[MainGroupDesc].&amp;[Sofra İçecek]"/>
              </i>
              <i n="[Material].[H_MainGroup].[MainGroupDesc].&amp;[Sofra İçecek].&amp;[Kahve Fincan Takımı]" c="Kahve Fincan Takımı">
                <p n="[Material].[H_MainGroup].[MainGroupDesc].&amp;[Sofra İçecek]"/>
              </i>
              <i n="[Material].[H_MainGroup].[MainGroupDesc].&amp;[Sofra İçecek].&amp;[Kahve Fincanı]" c="Kahve Fincanı">
                <p n="[Material].[H_MainGroup].[MainGroupDesc].&amp;[Sofra İçecek]"/>
              </i>
              <i n="[Material].[H_MainGroup].[MainGroupDesc].&amp;[Sofra İçecek].&amp;[Kokteyl Bardağı]" c="Kokteyl Bardağı">
                <p n="[Material].[H_MainGroup].[MainGroupDesc].&amp;[Sofra İçecek]"/>
              </i>
              <i n="[Material].[H_MainGroup].[MainGroupDesc].&amp;[Sofra İçecek].&amp;[Kupa]" c="Kupa">
                <p n="[Material].[H_MainGroup].[MainGroupDesc].&amp;[Sofra İçecek]"/>
              </i>
              <i n="[Material].[H_MainGroup].[MainGroupDesc].&amp;[Sofra İçecek].&amp;[Meşrubat Bardağı]" c="Meşrubat Bardağı">
                <p n="[Material].[H_MainGroup].[MainGroupDesc].&amp;[Sofra İçecek]"/>
              </i>
              <i n="[Material].[H_MainGroup].[MainGroupDesc].&amp;[Sofra İçecek].&amp;[Mug]" c="Mug">
                <p n="[Material].[H_MainGroup].[MainGroupDesc].&amp;[Sofra İçecek]"/>
              </i>
              <i n="[Material].[H_MainGroup].[MainGroupDesc].&amp;[Sofra İçecek].&amp;[Pipetli Bardak]" c="Pipetli Bardak">
                <p n="[Material].[H_MainGroup].[MainGroupDesc].&amp;[Sofra İçecek]"/>
              </i>
              <i n="[Material].[H_MainGroup].[MainGroupDesc].&amp;[Sofra İçecek].&amp;[Şarap Kadehi]" c="Şarap Kadehi">
                <p n="[Material].[H_MainGroup].[MainGroupDesc].&amp;[Sofra İçecek]"/>
              </i>
              <i n="[Material].[H_MainGroup].[MainGroupDesc].&amp;[Sofra İçecek].&amp;[Su Bardağı]" c="Su Bardağı">
                <p n="[Material].[H_MainGroup].[MainGroupDesc].&amp;[Sofra İçecek]"/>
              </i>
              <i n="[Material].[H_MainGroup].[MainGroupDesc].&amp;[Sofra Sunum].&amp;[Amerikan Servis]" c="Amerikan Servis">
                <p n="[Material].[H_MainGroup].[MainGroupDesc].&amp;[Sofra Sunum]"/>
              </i>
              <i n="[Material].[H_MainGroup].[MainGroupDesc].&amp;[Sofra Sunum].&amp;[Başucu Sürahi]" c="Başucu Sürahi">
                <p n="[Material].[H_MainGroup].[MainGroupDesc].&amp;[Sofra Sunum]"/>
              </i>
              <i n="[Material].[H_MainGroup].[MainGroupDesc].&amp;[Sofra Sunum].&amp;[Bebe Mama Takımı]" c="Bebe Mama Takımı">
                <p n="[Material].[H_MainGroup].[MainGroupDesc].&amp;[Sofra Sunum]"/>
              </i>
              <i n="[Material].[H_MainGroup].[MainGroupDesc].&amp;[Sofra Sunum].&amp;[Buz Kovası]" c="Buz Kovası">
                <p n="[Material].[H_MainGroup].[MainGroupDesc].&amp;[Sofra Sunum]"/>
              </i>
              <i n="[Material].[H_MainGroup].[MainGroupDesc].&amp;[Sofra Sunum].&amp;[Çerezlik]" c="Çerezlik">
                <p n="[Material].[H_MainGroup].[MainGroupDesc].&amp;[Sofra Sunum]"/>
              </i>
              <i n="[Material].[H_MainGroup].[MainGroupDesc].&amp;[Sofra Sunum].&amp;[Çocuk Fırın Eldiveni]" c="Çocuk Fırın Eldiveni">
                <p n="[Material].[H_MainGroup].[MainGroupDesc].&amp;[Sofra Sunum]"/>
              </i>
              <i n="[Material].[H_MainGroup].[MainGroupDesc].&amp;[Sofra Sunum].&amp;[Çocuk Önlüğü]" c="Çocuk Önlüğü">
                <p n="[Material].[H_MainGroup].[MainGroupDesc].&amp;[Sofra Sunum]"/>
              </i>
              <i n="[Material].[H_MainGroup].[MainGroupDesc].&amp;[Sofra Sunum].&amp;[Çorba Kasesi]" c="Çorba Kasesi">
                <p n="[Material].[H_MainGroup].[MainGroupDesc].&amp;[Sofra Sunum]"/>
              </i>
              <i n="[Material].[H_MainGroup].[MainGroupDesc].&amp;[Sofra Sunum].&amp;[Çukur Tabak]" c="Çukur Tabak">
                <p n="[Material].[H_MainGroup].[MainGroupDesc].&amp;[Sofra Sunum]"/>
              </i>
              <i n="[Material].[H_MainGroup].[MainGroupDesc].&amp;[Sofra Sunum].&amp;[Cup]" c="Cup">
                <p n="[Material].[H_MainGroup].[MainGroupDesc].&amp;[Sofra Sunum]"/>
              </i>
              <i n="[Material].[H_MainGroup].[MainGroupDesc].&amp;[Sofra Sunum].&amp;[Damacana Kılıfı]" c="Damacana Kılıfı">
                <p n="[Material].[H_MainGroup].[MainGroupDesc].&amp;[Sofra Sunum]"/>
              </i>
              <i n="[Material].[H_MainGroup].[MainGroupDesc].&amp;[Sofra Sunum].&amp;[Dekoratif Şekerlik]" c="Dekoratif Şekerlik">
                <p n="[Material].[H_MainGroup].[MainGroupDesc].&amp;[Sofra Sunum]"/>
              </i>
              <i n="[Material].[H_MainGroup].[MainGroupDesc].&amp;[Sofra Sunum].&amp;[Dizüstü Tepsi]" c="Dizüstü Tepsi">
                <p n="[Material].[H_MainGroup].[MainGroupDesc].&amp;[Sofra Sunum]"/>
              </i>
              <i n="[Material].[H_MainGroup].[MainGroupDesc].&amp;[Sofra Sunum].&amp;[Kağıt Peçete]" c="Kağıt Peçete">
                <p n="[Material].[H_MainGroup].[MainGroupDesc].&amp;[Sofra Sunum]"/>
              </i>
              <i n="[Material].[H_MainGroup].[MainGroupDesc].&amp;[Sofra Sunum].&amp;[Kahvaltılık]" c="Kahvaltılık">
                <p n="[Material].[H_MainGroup].[MainGroupDesc].&amp;[Sofra Sunum]"/>
              </i>
              <i n="[Material].[H_MainGroup].[MainGroupDesc].&amp;[Sofra Sunum].&amp;[Karaf]" c="Karaf">
                <p n="[Material].[H_MainGroup].[MainGroupDesc].&amp;[Sofra Sunum]"/>
              </i>
              <i n="[Material].[H_MainGroup].[MainGroupDesc].&amp;[Sofra Sunum].&amp;[Karaf Seti]" c="Karaf Seti">
                <p n="[Material].[H_MainGroup].[MainGroupDesc].&amp;[Sofra Sunum]"/>
              </i>
              <i n="[Material].[H_MainGroup].[MainGroupDesc].&amp;[Sofra Sunum].&amp;[Kase]" c="Kase">
                <p n="[Material].[H_MainGroup].[MainGroupDesc].&amp;[Sofra Sunum]"/>
              </i>
              <i n="[Material].[H_MainGroup].[MainGroupDesc].&amp;[Sofra Sunum].&amp;[Katlı Servis]" c="Katlı Servis">
                <p n="[Material].[H_MainGroup].[MainGroupDesc].&amp;[Sofra Sunum]"/>
              </i>
              <i n="[Material].[H_MainGroup].[MainGroupDesc].&amp;[Sofra Sunum].&amp;[Kayık Tabak]" c="Kayık Tabak">
                <p n="[Material].[H_MainGroup].[MainGroupDesc].&amp;[Sofra Sunum]"/>
              </i>
              <i n="[Material].[H_MainGroup].[MainGroupDesc].&amp;[Sofra Sunum].&amp;[Kek Fanus]" c="Kek Fanus">
                <p n="[Material].[H_MainGroup].[MainGroupDesc].&amp;[Sofra Sunum]"/>
              </i>
              <i n="[Material].[H_MainGroup].[MainGroupDesc].&amp;[Sofra Sunum].&amp;[Kokteyl Peçetesi]" c="Kokteyl Peçetesi">
                <p n="[Material].[H_MainGroup].[MainGroupDesc].&amp;[Sofra Sunum]"/>
              </i>
              <i n="[Material].[H_MainGroup].[MainGroupDesc].&amp;[Sofra Sunum].&amp;[Kokteyl Seti]" c="Kokteyl Seti">
                <p n="[Material].[H_MainGroup].[MainGroupDesc].&amp;[Sofra Sunum]"/>
              </i>
              <i n="[Material].[H_MainGroup].[MainGroupDesc].&amp;[Sofra Sunum].&amp;[Kurabiyelik]" c="Kurabiyelik">
                <p n="[Material].[H_MainGroup].[MainGroupDesc].&amp;[Sofra Sunum]"/>
              </i>
              <i n="[Material].[H_MainGroup].[MainGroupDesc].&amp;[Sofra Sunum].&amp;[Kurulama Bezi]" c="Kurulama Bezi">
                <p n="[Material].[H_MainGroup].[MainGroupDesc].&amp;[Sofra Sunum]"/>
              </i>
              <i n="[Material].[H_MainGroup].[MainGroupDesc].&amp;[Sofra Sunum].&amp;[Lokumluk]" c="Lokumluk">
                <p n="[Material].[H_MainGroup].[MainGroupDesc].&amp;[Sofra Sunum]"/>
              </i>
              <i n="[Material].[H_MainGroup].[MainGroupDesc].&amp;[Sofra Sunum].&amp;[Masa Örtüsü]" c="Masa Örtüsü">
                <p n="[Material].[H_MainGroup].[MainGroupDesc].&amp;[Sofra Sunum]"/>
              </i>
              <i n="[Material].[H_MainGroup].[MainGroupDesc].&amp;[Sofra Sunum].&amp;[Meşrubatlık]" c="Meşrubatlık">
                <p n="[Material].[H_MainGroup].[MainGroupDesc].&amp;[Sofra Sunum]"/>
              </i>
              <i n="[Material].[H_MainGroup].[MainGroupDesc].&amp;[Sofra Sunum].&amp;[Misafir Peçetesi]" c="Misafir Peçetesi">
                <p n="[Material].[H_MainGroup].[MainGroupDesc].&amp;[Sofra Sunum]"/>
              </i>
              <i n="[Material].[H_MainGroup].[MainGroupDesc].&amp;[Sofra Sunum].&amp;[Mutfak Bezi]" c="Mutfak Bezi">
                <p n="[Material].[H_MainGroup].[MainGroupDesc].&amp;[Sofra Sunum]"/>
              </i>
              <i n="[Material].[H_MainGroup].[MainGroupDesc].&amp;[Sofra Sunum].&amp;[Mutfak Masa Örtüsü]" c="Mutfak Masa Örtüsü">
                <p n="[Material].[H_MainGroup].[MainGroupDesc].&amp;[Sofra Sunum]"/>
              </i>
              <i n="[Material].[H_MainGroup].[MainGroupDesc].&amp;[Sofra Sunum].&amp;[Mutfak Minderi]" c="Mutfak Minderi">
                <p n="[Material].[H_MainGroup].[MainGroupDesc].&amp;[Sofra Sunum]"/>
              </i>
              <i n="[Material].[H_MainGroup].[MainGroupDesc].&amp;[Sofra Sunum].&amp;[Mutfak Önlüğü]" c="Mutfak Önlüğü">
                <p n="[Material].[H_MainGroup].[MainGroupDesc].&amp;[Sofra Sunum]"/>
              </i>
              <i n="[Material].[H_MainGroup].[MainGroupDesc].&amp;[Sofra Sunum].&amp;[Mutfak Runnerı]" c="Mutfak Runnerı">
                <p n="[Material].[H_MainGroup].[MainGroupDesc].&amp;[Sofra Sunum]"/>
              </i>
              <i n="[Material].[H_MainGroup].[MainGroupDesc].&amp;[Sofra Sunum].&amp;[Mutfak Seti]" c="Mutfak Seti">
                <p n="[Material].[H_MainGroup].[MainGroupDesc].&amp;[Sofra Sunum]"/>
              </i>
              <i n="[Material].[H_MainGroup].[MainGroupDesc].&amp;[Sofra Sunum].&amp;[Pasta Tabağı]" c="Pasta Tabağı">
                <p n="[Material].[H_MainGroup].[MainGroupDesc].&amp;[Sofra Sunum]"/>
              </i>
              <i n="[Material].[H_MainGroup].[MainGroupDesc].&amp;[Sofra Sunum].&amp;[Peçete Halkası]" c="Peçete Halkası">
                <p n="[Material].[H_MainGroup].[MainGroupDesc].&amp;[Sofra Sunum]"/>
              </i>
              <i n="[Material].[H_MainGroup].[MainGroupDesc].&amp;[Sofra Sunum].&amp;[Peçete Yüzüğü]" c="Peçete Yüzüğü">
                <p n="[Material].[H_MainGroup].[MainGroupDesc].&amp;[Sofra Sunum]"/>
              </i>
              <i n="[Material].[H_MainGroup].[MainGroupDesc].&amp;[Sofra Sunum].&amp;[Peynir Tahtası]" c="Peynir Tahtası">
                <p n="[Material].[H_MainGroup].[MainGroupDesc].&amp;[Sofra Sunum]"/>
              </i>
              <i n="[Material].[H_MainGroup].[MainGroupDesc].&amp;[Sofra Sunum].&amp;[Piknik Çantası]" c="Piknik Çantası">
                <p n="[Material].[H_MainGroup].[MainGroupDesc].&amp;[Sofra Sunum]"/>
              </i>
              <i n="[Material].[H_MainGroup].[MainGroupDesc].&amp;[Sofra Sunum].&amp;[Piknik Örtüsü.]" c="Piknik Örtüsü.">
                <p n="[Material].[H_MainGroup].[MainGroupDesc].&amp;[Sofra Sunum]"/>
              </i>
              <i n="[Material].[H_MainGroup].[MainGroupDesc].&amp;[Sofra Sunum].&amp;[Reçellik]" c="Reçellik">
                <p n="[Material].[H_MainGroup].[MainGroupDesc].&amp;[Sofra Sunum]"/>
              </i>
              <i n="[Material].[H_MainGroup].[MainGroupDesc].&amp;[Sofra Sunum].&amp;[Runner]" c="Runner">
                <p n="[Material].[H_MainGroup].[MainGroupDesc].&amp;[Sofra Sunum]"/>
              </i>
              <i n="[Material].[H_MainGroup].[MainGroupDesc].&amp;[Sofra Sunum].&amp;[Salata Kasesi]" c="Salata Kasesi">
                <p n="[Material].[H_MainGroup].[MainGroupDesc].&amp;[Sofra Sunum]"/>
              </i>
              <i n="[Material].[H_MainGroup].[MainGroupDesc].&amp;[Sofra Sunum].&amp;[Sehpa Örtüsü]" c="Sehpa Örtüsü">
                <p n="[Material].[H_MainGroup].[MainGroupDesc].&amp;[Sofra Sunum]"/>
              </i>
              <i n="[Material].[H_MainGroup].[MainGroupDesc].&amp;[Sofra Sunum].&amp;[Servis Standı]" c="Servis Standı">
                <p n="[Material].[H_MainGroup].[MainGroupDesc].&amp;[Sofra Sunum]"/>
              </i>
              <i n="[Material].[H_MainGroup].[MainGroupDesc].&amp;[Sofra Sunum].&amp;[Servis Tabağı]" c="Servis Tabağı">
                <p n="[Material].[H_MainGroup].[MainGroupDesc].&amp;[Sofra Sunum]"/>
              </i>
              <i n="[Material].[H_MainGroup].[MainGroupDesc].&amp;[Sofra Sunum].&amp;[Servis Tamamlayıcı]" c="Servis Tamamlayıcı">
                <p n="[Material].[H_MainGroup].[MainGroupDesc].&amp;[Sofra Sunum]"/>
              </i>
              <i n="[Material].[H_MainGroup].[MainGroupDesc].&amp;[Sofra Sunum].&amp;[Şişe]" c="Şişe">
                <p n="[Material].[H_MainGroup].[MainGroupDesc].&amp;[Sofra Sunum]"/>
              </i>
              <i n="[Material].[H_MainGroup].[MainGroupDesc].&amp;[Sofra Sunum].&amp;[Sosluk]" c="Sosluk">
                <p n="[Material].[H_MainGroup].[MainGroupDesc].&amp;[Sofra Sunum]"/>
              </i>
              <i n="[Material].[H_MainGroup].[MainGroupDesc].&amp;[Sofra Sunum].&amp;[Su Takımı]" c="Su Takımı">
                <p n="[Material].[H_MainGroup].[MainGroupDesc].&amp;[Sofra Sunum]"/>
              </i>
              <i n="[Material].[H_MainGroup].[MainGroupDesc].&amp;[Sofra Sunum].&amp;[Sunum Kasesi]" c="Sunum Kasesi">
                <p n="[Material].[H_MainGroup].[MainGroupDesc].&amp;[Sofra Sunum]"/>
              </i>
              <i n="[Material].[H_MainGroup].[MainGroupDesc].&amp;[Sofra Sunum].&amp;[Sunum Seti]" c="Sunum Seti">
                <p n="[Material].[H_MainGroup].[MainGroupDesc].&amp;[Sofra Sunum]"/>
              </i>
              <i n="[Material].[H_MainGroup].[MainGroupDesc].&amp;[Sofra Sunum].&amp;[Sunum Tabağı]" c="Sunum Tabağı">
                <p n="[Material].[H_MainGroup].[MainGroupDesc].&amp;[Sofra Sunum]"/>
              </i>
              <i n="[Material].[H_MainGroup].[MainGroupDesc].&amp;[Sofra Sunum].&amp;[Sunum Tahtası]" c="Sunum Tahtası">
                <p n="[Material].[H_MainGroup].[MainGroupDesc].&amp;[Sofra Sunum]"/>
              </i>
              <i n="[Material].[H_MainGroup].[MainGroupDesc].&amp;[Sofra Sunum].&amp;[Sunumluk]" c="Sunumluk">
                <p n="[Material].[H_MainGroup].[MainGroupDesc].&amp;[Sofra Sunum]"/>
              </i>
              <i n="[Material].[H_MainGroup].[MainGroupDesc].&amp;[Sofra Sunum].&amp;[Supla]" c="Supla">
                <p n="[Material].[H_MainGroup].[MainGroupDesc].&amp;[Sofra Sunum]"/>
              </i>
              <i n="[Material].[H_MainGroup].[MainGroupDesc].&amp;[Sofra Sunum].&amp;[Supla Altı]" c="Supla Altı">
                <p n="[Material].[H_MainGroup].[MainGroupDesc].&amp;[Sofra Sunum]"/>
              </i>
              <i n="[Material].[H_MainGroup].[MainGroupDesc].&amp;[Sofra Sunum].&amp;[Sürahi]" c="Sürahi">
                <p n="[Material].[H_MainGroup].[MainGroupDesc].&amp;[Sofra Sunum]"/>
              </i>
              <i n="[Material].[H_MainGroup].[MainGroupDesc].&amp;[Sofra Sunum].&amp;[Tabak]" c="Tabak">
                <p n="[Material].[H_MainGroup].[MainGroupDesc].&amp;[Sofra Sunum]"/>
              </i>
              <i n="[Material].[H_MainGroup].[MainGroupDesc].&amp;[Sofra Sunum].&amp;[Tatlı Tabağı]" c="Tatlı Tabağı">
                <p n="[Material].[H_MainGroup].[MainGroupDesc].&amp;[Sofra Sunum]"/>
              </i>
              <i n="[Material].[H_MainGroup].[MainGroupDesc].&amp;[Sofra Sunum].&amp;[Tepsi]" c="Tepsi">
                <p n="[Material].[H_MainGroup].[MainGroupDesc].&amp;[Sofra Sunum]"/>
              </i>
              <i n="[Material].[H_MainGroup].[MainGroupDesc].&amp;[Sofra Sunum].&amp;[Tereyağlık]" c="Tereyağlık">
                <p n="[Material].[H_MainGroup].[MainGroupDesc].&amp;[Sofra Sunum]"/>
              </i>
              <i n="[Material].[H_MainGroup].[MainGroupDesc].&amp;[Sofra Sunum].&amp;[Tuzluk]" c="Tuzluk">
                <p n="[Material].[H_MainGroup].[MainGroupDesc].&amp;[Sofra Sunum]"/>
              </i>
              <i n="[Material].[H_MainGroup].[MainGroupDesc].&amp;[Sofra Sunum].&amp;[Tuzluk - Biberlik]" c="Tuzluk - Biberlik">
                <p n="[Material].[H_MainGroup].[MainGroupDesc].&amp;[Sofra Sunum]"/>
              </i>
              <i n="[Material].[H_MainGroup].[MainGroupDesc].&amp;[Sofra Sunum].&amp;[Yağdanlık]" c="Yağdanlık">
                <p n="[Material].[H_MainGroup].[MainGroupDesc].&amp;[Sofra Sunum]"/>
              </i>
              <i n="[Material].[H_MainGroup].[MainGroupDesc].&amp;[Sofra Sunum].&amp;[Yağ-Sirke-Tuz-Bbr]" c="Yağ-Sirke-Tuz-Bbr">
                <p n="[Material].[H_MainGroup].[MainGroupDesc].&amp;[Sofra Sunum]"/>
              </i>
              <i n="[Material].[H_MainGroup].[MainGroupDesc].&amp;[Sofra Takımları].&amp;[Çatal Kaşık Bıçak Tk]" c="Çatal Kaşık Bıçak Tk">
                <p n="[Material].[H_MainGroup].[MainGroupDesc].&amp;[Sofra Takımları]"/>
              </i>
              <i n="[Material].[H_MainGroup].[MainGroupDesc].&amp;[Sofra Takımları].&amp;[Çay Kaşığı]" c="Çay Kaşığı">
                <p n="[Material].[H_MainGroup].[MainGroupDesc].&amp;[Sofra Takımları]"/>
              </i>
              <i n="[Material].[H_MainGroup].[MainGroupDesc].&amp;[Sofra Takımları].&amp;[Çay Tabağı]" c="Çay Tabağı">
                <p n="[Material].[H_MainGroup].[MainGroupDesc].&amp;[Sofra Takımları]"/>
              </i>
              <i n="[Material].[H_MainGroup].[MainGroupDesc].&amp;[Sofra Takımları].&amp;[Kahvaltı Takımı]" c="Kahvaltı Takımı">
                <p n="[Material].[H_MainGroup].[MainGroupDesc].&amp;[Sofra Takımları]"/>
              </i>
              <i n="[Material].[H_MainGroup].[MainGroupDesc].&amp;[Sofra Takımları].&amp;[Kokteyl Çatalı]" c="Kokteyl Çatalı">
                <p n="[Material].[H_MainGroup].[MainGroupDesc].&amp;[Sofra Takımları]"/>
              </i>
              <i n="[Material].[H_MainGroup].[MainGroupDesc].&amp;[Sofra Takımları].&amp;[Kokteyl Karıştırıcı]" c="Kokteyl Karıştırıcı">
                <p n="[Material].[H_MainGroup].[MainGroupDesc].&amp;[Sofra Takımları]"/>
              </i>
              <i n="[Material].[H_MainGroup].[MainGroupDesc].&amp;[Sofra Takımları].&amp;[Pasta Seti]" c="Pasta Seti">
                <p n="[Material].[H_MainGroup].[MainGroupDesc].&amp;[Sofra Takımları]"/>
              </i>
              <i n="[Material].[H_MainGroup].[MainGroupDesc].&amp;[Sofra Takımları].&amp;[Tatlı Bıçağı]" c="Tatlı Bıçağı">
                <p n="[Material].[H_MainGroup].[MainGroupDesc].&amp;[Sofra Takımları]"/>
              </i>
              <i n="[Material].[H_MainGroup].[MainGroupDesc].&amp;[Sofra Takımları].&amp;[Tatlı Çatalı]" c="Tatlı Çatalı">
                <p n="[Material].[H_MainGroup].[MainGroupDesc].&amp;[Sofra Takımları]"/>
              </i>
              <i n="[Material].[H_MainGroup].[MainGroupDesc].&amp;[Sofra Takımları].&amp;[Tatlı Kaşığı]" c="Tatlı Kaşığı">
                <p n="[Material].[H_MainGroup].[MainGroupDesc].&amp;[Sofra Takımları]"/>
              </i>
              <i n="[Material].[H_MainGroup].[MainGroupDesc].&amp;[Sofra Takımları].&amp;[Yemek Bıçağı]" c="Yemek Bıçağı">
                <p n="[Material].[H_MainGroup].[MainGroupDesc].&amp;[Sofra Takımları]"/>
              </i>
              <i n="[Material].[H_MainGroup].[MainGroupDesc].&amp;[Sofra Takımları].&amp;[Yemek Çatalı]" c="Yemek Çatalı">
                <p n="[Material].[H_MainGroup].[MainGroupDesc].&amp;[Sofra Takımları]"/>
              </i>
              <i n="[Material].[H_MainGroup].[MainGroupDesc].&amp;[Sofra Takımları].&amp;[Yemek Kaşığı]" c="Yemek Kaşığı">
                <p n="[Material].[H_MainGroup].[MainGroupDesc].&amp;[Sofra Takımları]"/>
              </i>
              <i n="[Material].[H_MainGroup].[MainGroupDesc].&amp;[Sofra Takımları].&amp;[Yemek Takımı]" c="Yemek Takımı">
                <p n="[Material].[H_MainGroup].[MainGroupDesc].&amp;[Sofra Takımları]"/>
              </i>
              <i n="[Material].[H_MainGroup].[MainGroupDesc].&amp;[Yastık].&amp;[Alez Yastık Kılıfı]" c="Alez Yastık Kılıfı">
                <p n="[Material].[H_MainGroup].[MainGroupDesc].&amp;[Yastık]"/>
              </i>
              <i n="[Material].[H_MainGroup].[MainGroupDesc].&amp;[Yastık].&amp;[Bebe Yastık]" c="Bebe Yastık">
                <p n="[Material].[H_MainGroup].[MainGroupDesc].&amp;[Yastık]"/>
              </i>
              <i n="[Material].[H_MainGroup].[MainGroupDesc].&amp;[Yastık].&amp;[Bel Yastığı]" c="Bel Yastığı">
                <p n="[Material].[H_MainGroup].[MainGroupDesc].&amp;[Yastık]"/>
              </i>
              <i n="[Material].[H_MainGroup].[MainGroupDesc].&amp;[Yastık].&amp;[Çocuk Yastık Kılıfı]" c="Çocuk Yastık Kılıfı">
                <p n="[Material].[H_MainGroup].[MainGroupDesc].&amp;[Yastık]"/>
              </i>
              <i n="[Material].[H_MainGroup].[MainGroupDesc].&amp;[Yastık].&amp;[Dekoratif Yastık]" c="Dekoratif Yastık">
                <p n="[Material].[H_MainGroup].[MainGroupDesc].&amp;[Yastık]"/>
              </i>
              <i n="[Material].[H_MainGroup].[MainGroupDesc].&amp;[Yastık].&amp;[Destekli Yastık]" c="Destekli Yastık">
                <p n="[Material].[H_MainGroup].[MainGroupDesc].&amp;[Yastık]"/>
              </i>
              <i n="[Material].[H_MainGroup].[MainGroupDesc].&amp;[Yastık].&amp;[Kırlent Yastık]" c="Kırlent Yastık">
                <p n="[Material].[H_MainGroup].[MainGroupDesc].&amp;[Yastık]"/>
              </i>
              <i n="[Material].[H_MainGroup].[MainGroupDesc].&amp;[Yastık].&amp;[Yastık]" c="Yastık">
                <p n="[Material].[H_MainGroup].[MainGroupDesc].&amp;[Yastık]"/>
              </i>
              <i n="[Material].[H_MainGroup].[MainGroupDesc].&amp;[Yastık].&amp;[Yastık Alezi]" c="Yastık Alezi">
                <p n="[Material].[H_MainGroup].[MainGroupDesc].&amp;[Yastık]"/>
              </i>
              <i n="[Material].[H_MainGroup].[MainGroupDesc].&amp;[Yatak Örtüsü].&amp;[Bebe Yatak K. Koruma]" c="Bebe Yatak K. Koruma">
                <p n="[Material].[H_MainGroup].[MainGroupDesc].&amp;[Yatak Örtüsü]"/>
              </i>
              <i n="[Material].[H_MainGroup].[MainGroupDesc].&amp;[Yatak Örtüsü].&amp;[Bebe Yatak Koruma]" c="Bebe Yatak Koruma">
                <p n="[Material].[H_MainGroup].[MainGroupDesc].&amp;[Yatak Örtüsü]"/>
              </i>
              <i n="[Material].[H_MainGroup].[MainGroupDesc].&amp;[Yatak Örtüsü].&amp;[Çocuk Yatak Örtü Tkm]" c="Çocuk Yatak Örtü Tkm">
                <p n="[Material].[H_MainGroup].[MainGroupDesc].&amp;[Yatak Örtüsü]"/>
              </i>
              <i n="[Material].[H_MainGroup].[MainGroupDesc].&amp;[Yatak Örtüsü].&amp;[Çok Amaçlı Örtü]" c="Çok Amaçlı Örtü">
                <p n="[Material].[H_MainGroup].[MainGroupDesc].&amp;[Yatak Örtüsü]"/>
              </i>
              <i n="[Material].[H_MainGroup].[MainGroupDesc].&amp;[Yatak Örtüsü].&amp;[Yatak Örtüsü]" c="Yatak Örtüsü">
                <p n="[Material].[H_MainGroup].[MainGroupDesc].&amp;[Yatak Örtüsü]"/>
              </i>
              <i n="[Material].[H_MainGroup].[MainGroupDesc].&amp;[Yatak Örtüsü].&amp;[Yatak Örtüsü Takımı]" c="Yatak Örtüsü Takımı">
                <p n="[Material].[H_MainGroup].[MainGroupDesc].&amp;[Yatak Örtüsü]"/>
              </i>
              <i n="[Material].[H_MainGroup].[MainGroupDesc].&amp;[YEDEK PARÇA].&amp;[Airfryer YP]" c="Airfryer YP">
                <p n="[Material].[H_MainGroup].[MainGroupDesc].&amp;[YEDEK PARÇA]"/>
              </i>
              <i n="[Material].[H_MainGroup].[MainGroupDesc].&amp;[YEDEK PARÇA].&amp;[Çay Makinesi YP]" c="Çay Makinesi YP">
                <p n="[Material].[H_MainGroup].[MainGroupDesc].&amp;[YEDEK PARÇA]"/>
              </i>
              <i n="[Material].[H_MainGroup].[MainGroupDesc].&amp;[YEDEK PARÇA].&amp;[Doğrayıcı YP]" c="Doğrayıcı YP">
                <p n="[Material].[H_MainGroup].[MainGroupDesc].&amp;[YEDEK PARÇA]"/>
              </i>
              <i n="[Material].[H_MainGroup].[MainGroupDesc].&amp;[YEDEK PARÇA].&amp;[El Blen.Multi Set YP]" c="El Blen.Multi Set YP">
                <p n="[Material].[H_MainGroup].[MainGroupDesc].&amp;[YEDEK PARÇA]"/>
              </i>
              <i n="[Material].[H_MainGroup].[MainGroupDesc].&amp;[YEDEK PARÇA].&amp;[El Mikseri YP]" c="El Mikseri YP">
                <p n="[Material].[H_MainGroup].[MainGroupDesc].&amp;[YEDEK PARÇA]"/>
              </i>
              <i n="[Material].[H_MainGroup].[MainGroupDesc].&amp;[YEDEK PARÇA].&amp;[Elektrikli Süpürge Y]" c="Elektrikli Süpürge Y">
                <p n="[Material].[H_MainGroup].[MainGroupDesc].&amp;[YEDEK PARÇA]"/>
              </i>
              <i n="[Material].[H_MainGroup].[MainGroupDesc].&amp;[YEDEK PARÇA].&amp;[Filtre Kahve M.YP]" c="Filtre Kahve M.YP">
                <p n="[Material].[H_MainGroup].[MainGroupDesc].&amp;[YEDEK PARÇA]"/>
              </i>
              <i n="[Material].[H_MainGroup].[MainGroupDesc].&amp;[YEDEK PARÇA].&amp;[Izgara ve Tost M. YP]" c="Izgara ve Tost M. YP">
                <p n="[Material].[H_MainGroup].[MainGroupDesc].&amp;[YEDEK PARÇA]"/>
              </i>
              <i n="[Material].[H_MainGroup].[MainGroupDesc].&amp;[YEDEK PARÇA].&amp;[Kişisel Blender YP]" c="Kişisel Blender YP">
                <p n="[Material].[H_MainGroup].[MainGroupDesc].&amp;[YEDEK PARÇA]"/>
              </i>
              <i n="[Material].[H_MainGroup].[MainGroupDesc].&amp;[YEDEK PARÇA].&amp;[Kozmetik YP]" c="Kozmetik YP">
                <p n="[Material].[H_MainGroup].[MainGroupDesc].&amp;[YEDEK PARÇA]"/>
              </i>
              <i n="[Material].[H_MainGroup].[MainGroupDesc].&amp;[YEDEK PARÇA].&amp;[Mutfak YP]" c="Mutfak YP">
                <p n="[Material].[H_MainGroup].[MainGroupDesc].&amp;[YEDEK PARÇA]"/>
              </i>
              <i n="[Material].[H_MainGroup].[MainGroupDesc].&amp;[YEDEK PARÇA].&amp;[Pişirme YP]" c="Pişirme YP">
                <p n="[Material].[H_MainGroup].[MainGroupDesc].&amp;[YEDEK PARÇA]"/>
              </i>
              <i n="[Material].[H_MainGroup].[MainGroupDesc].&amp;[YEDEK PARÇA].&amp;[Saç Kurutma YP]" c="Saç Kurutma YP">
                <p n="[Material].[H_MainGroup].[MainGroupDesc].&amp;[YEDEK PARÇA]"/>
              </i>
              <i n="[Material].[H_MainGroup].[MainGroupDesc].&amp;[YEDEK PARÇA].&amp;[Sarf YP]" c="Sarf YP">
                <p n="[Material].[H_MainGroup].[MainGroupDesc].&amp;[YEDEK PARÇA]"/>
              </i>
              <i n="[Material].[H_MainGroup].[MainGroupDesc].&amp;[YEDEK PARÇA].&amp;[Şarjlı Süpürge YP.]" c="Şarjlı Süpürge YP.">
                <p n="[Material].[H_MainGroup].[MainGroupDesc].&amp;[YEDEK PARÇA]"/>
              </i>
              <i n="[Material].[H_MainGroup].[MainGroupDesc].&amp;[YEDEK PARÇA].&amp;[Sofra YP]" c="Sofra YP">
                <p n="[Material].[H_MainGroup].[MainGroupDesc].&amp;[YEDEK PARÇA]"/>
              </i>
              <i n="[Material].[H_MainGroup].[MainGroupDesc].&amp;[YEDEK PARÇA].&amp;[SSH YP]" c="SSH YP">
                <p n="[Material].[H_MainGroup].[MainGroupDesc].&amp;[YEDEK PARÇA]"/>
              </i>
              <i n="[Material].[H_MainGroup].[MainGroupDesc].&amp;[YEDEK PARÇA].&amp;[Stand Mikser YP]" c="Stand Mikser YP">
                <p n="[Material].[H_MainGroup].[MainGroupDesc].&amp;[YEDEK PARÇA]"/>
              </i>
              <i n="[Material].[H_MainGroup].[MainGroupDesc].&amp;[YEDEK PARÇA].&amp;[Su Isıtıcısı YP.]" c="Su Isıtıcısı YP.">
                <p n="[Material].[H_MainGroup].[MainGroupDesc].&amp;[YEDEK PARÇA]"/>
              </i>
              <i n="[Material].[H_MainGroup].[MainGroupDesc].&amp;[YEDEK PARÇA].&amp;[Sürahi Blender YP]" c="Sürahi Blender YP">
                <p n="[Material].[H_MainGroup].[MainGroupDesc].&amp;[YEDEK PARÇA]"/>
              </i>
              <i n="[Material].[H_MainGroup].[MainGroupDesc].&amp;[YEDEK PARÇA].&amp;[Türk Kahve M. YP]" c="Türk Kahve M. YP">
                <p n="[Material].[H_MainGroup].[MainGroupDesc].&amp;[YEDEK PARÇA]"/>
              </i>
              <i n="[Material].[H_MainGroup].[MainGroupDesc].&amp;[YEDEK PARÇA].&amp;[Waffle Makinesi YP]" c="Waffle Makinesi YP">
                <p n="[Material].[H_MainGroup].[MainGroupDesc].&amp;[YEDEK PARÇA]"/>
              </i>
              <i n="[Material].[H_MainGroup].[MainGroupDesc].&amp;[Yorgan].&amp;[Alez]" c="Alez">
                <p n="[Material].[H_MainGroup].[MainGroupDesc].&amp;[Yorgan]"/>
              </i>
              <i n="[Material].[H_MainGroup].[MainGroupDesc].&amp;[Yorgan].&amp;[Bebe Alez]" c="Bebe Alez">
                <p n="[Material].[H_MainGroup].[MainGroupDesc].&amp;[Yorgan]"/>
              </i>
              <i n="[Material].[H_MainGroup].[MainGroupDesc].&amp;[Yorgan].&amp;[Bebe Yorgan]" c="Bebe Yorgan">
                <p n="[Material].[H_MainGroup].[MainGroupDesc].&amp;[Yorgan]"/>
              </i>
              <i n="[Material].[H_MainGroup].[MainGroupDesc].&amp;[Yorgan].&amp;[Bebe Yorgan Set]" c="Bebe Yorgan Set">
                <p n="[Material].[H_MainGroup].[MainGroupDesc].&amp;[Yorgan]"/>
              </i>
              <i n="[Material].[H_MainGroup].[MainGroupDesc].&amp;[Yorgan].&amp;[Uyku Seti]" c="Uyku Seti">
                <p n="[Material].[H_MainGroup].[MainGroupDesc].&amp;[Yorgan]"/>
              </i>
              <i n="[Material].[H_MainGroup].[MainGroupDesc].&amp;[Yorgan].&amp;[Yastık ve Yorgan Tk]" c="Yastık ve Yorgan Tk">
                <p n="[Material].[H_MainGroup].[MainGroupDesc].&amp;[Yorgan]"/>
              </i>
              <i n="[Material].[H_MainGroup].[MainGroupDesc].&amp;[Yorgan].&amp;[Yatak Eteği]" c="Yatak Eteği">
                <p n="[Material].[H_MainGroup].[MainGroupDesc].&amp;[Yorgan]"/>
              </i>
              <i n="[Material].[H_MainGroup].[MainGroupDesc].&amp;[Yorgan].&amp;[Yatak Pedi.]" c="Yatak Pedi.">
                <p n="[Material].[H_MainGroup].[MainGroupDesc].&amp;[Yorgan]"/>
              </i>
              <i n="[Material].[H_MainGroup].[MainGroupDesc].&amp;[Yorgan].&amp;[Yorgan]" c="Yorgan">
                <p n="[Material].[H_MainGroup].[MainGroupDesc].&amp;[Yorgan]"/>
              </i>
              <i n="[Material].[H_MainGroup].[MainGroupDesc].&amp;[#NA].&amp;[#NA]" c="#NA" nd="1">
                <p n="[Material].[H_MainGroup].[MainGroupDesc].&amp;[#NA]"/>
              </i>
              <i n="[Material].[H_MainGroup].[MainGroupDesc].&amp;[Aksesuar].&amp;[#NA]" c="#NA" nd="1">
                <p n="[Material].[H_MainGroup].[MainGroupDesc].&amp;[Aksesuar]"/>
              </i>
              <i n="[Material].[H_MainGroup].[MainGroupDesc].&amp;[Aksesuar].&amp;[Alışveriş Arabası]" c="Alışveriş Arabası" nd="1">
                <p n="[Material].[H_MainGroup].[MainGroupDesc].&amp;[Aksesuar]"/>
              </i>
              <i n="[Material].[H_MainGroup].[MainGroupDesc].&amp;[Aksesuar].&amp;[Alışveriş Defteri]" c="Alışveriş Defteri" nd="1">
                <p n="[Material].[H_MainGroup].[MainGroupDesc].&amp;[Aksesuar]"/>
              </i>
              <i n="[Material].[H_MainGroup].[MainGroupDesc].&amp;[Aksesuar].&amp;[Alışveriş Tablosu]" c="Alışveriş Tablosu" nd="1">
                <p n="[Material].[H_MainGroup].[MainGroupDesc].&amp;[Aksesuar]"/>
              </i>
              <i n="[Material].[H_MainGroup].[MainGroupDesc].&amp;[Aksesuar].&amp;[Anahtarlık]" c="Anahtarlık" nd="1">
                <p n="[Material].[H_MainGroup].[MainGroupDesc].&amp;[Aksesuar]"/>
              </i>
              <i n="[Material].[H_MainGroup].[MainGroupDesc].&amp;[Aksesuar].&amp;[Araba Güneşliği]" c="Araba Güneşliği" nd="1">
                <p n="[Material].[H_MainGroup].[MainGroupDesc].&amp;[Aksesuar]"/>
              </i>
              <i n="[Material].[H_MainGroup].[MainGroupDesc].&amp;[Aksesuar].&amp;[Araç İçi Organizer]" c="Araç İçi Organizer" nd="1">
                <p n="[Material].[H_MainGroup].[MainGroupDesc].&amp;[Aksesuar]"/>
              </i>
              <i n="[Material].[H_MainGroup].[MainGroupDesc].&amp;[Aksesuar].&amp;[Armut Hamak]" c="Armut Hamak" nd="1">
                <p n="[Material].[H_MainGroup].[MainGroupDesc].&amp;[Aksesuar]"/>
              </i>
              <i n="[Material].[H_MainGroup].[MainGroupDesc].&amp;[Aksesuar].&amp;[Ataş Raptiye]" c="Ataş Raptiye" nd="1">
                <p n="[Material].[H_MainGroup].[MainGroupDesc].&amp;[Aksesuar]"/>
              </i>
              <i n="[Material].[H_MainGroup].[MainGroupDesc].&amp;[Aksesuar].&amp;[Atlama İpi]" c="Atlama İpi" nd="1">
                <p n="[Material].[H_MainGroup].[MainGroupDesc].&amp;[Aksesuar]"/>
              </i>
              <i n="[Material].[H_MainGroup].[MainGroupDesc].&amp;[Aksesuar].&amp;[Ayakkabı Çekeceği]" c="Ayakkabı Çekeceği" nd="1">
                <p n="[Material].[H_MainGroup].[MainGroupDesc].&amp;[Aksesuar]"/>
              </i>
              <i n="[Material].[H_MainGroup].[MainGroupDesc].&amp;[Aksesuar].&amp;[Ayakkabı Tabanlık]" c="Ayakkabı Tabanlık" nd="1">
                <p n="[Material].[H_MainGroup].[MainGroupDesc].&amp;[Aksesuar]"/>
              </i>
              <i n="[Material].[H_MainGroup].[MainGroupDesc].&amp;[Aksesuar].&amp;[Ayakkabı Torbası]" c="Ayakkabı Torbası" nd="1">
                <p n="[Material].[H_MainGroup].[MainGroupDesc].&amp;[Aksesuar]"/>
              </i>
              <i n="[Material].[H_MainGroup].[MainGroupDesc].&amp;[Aksesuar].&amp;[Ayakkabılık]" c="Ayakkabılık" nd="1">
                <p n="[Material].[H_MainGroup].[MainGroupDesc].&amp;[Aksesuar]"/>
              </i>
              <i n="[Material].[H_MainGroup].[MainGroupDesc].&amp;[Aksesuar].&amp;[Ayıcık]" c="Ayıcık" nd="1">
                <p n="[Material].[H_MainGroup].[MainGroupDesc].&amp;[Aksesuar]"/>
              </i>
              <i n="[Material].[H_MainGroup].[MainGroupDesc].&amp;[Aksesuar].&amp;[Ayna Set]" c="Ayna Set" nd="1">
                <p n="[Material].[H_MainGroup].[MainGroupDesc].&amp;[Aksesuar]"/>
              </i>
              <i n="[Material].[H_MainGroup].[MainGroupDesc].&amp;[Aksesuar].&amp;[Bahçe Malzemeleri]" c="Bahçe Malzemeleri" nd="1">
                <p n="[Material].[H_MainGroup].[MainGroupDesc].&amp;[Aksesuar]"/>
              </i>
              <i n="[Material].[H_MainGroup].[MainGroupDesc].&amp;[Aksesuar].&amp;[Balkon Kurutmalığı]" c="Balkon Kurutmalığı" nd="1">
                <p n="[Material].[H_MainGroup].[MainGroupDesc].&amp;[Aksesuar]"/>
              </i>
              <i n="[Material].[H_MainGroup].[MainGroupDesc].&amp;[Aksesuar].&amp;[Bant]" c="Bant" nd="1">
                <p n="[Material].[H_MainGroup].[MainGroupDesc].&amp;[Aksesuar]"/>
              </i>
              <i n="[Material].[H_MainGroup].[MainGroupDesc].&amp;[Aksesuar].&amp;[Banyo Çöp Kovası]" c="Banyo Çöp Kovası" nd="1">
                <p n="[Material].[H_MainGroup].[MainGroupDesc].&amp;[Aksesuar]"/>
              </i>
              <i n="[Material].[H_MainGroup].[MainGroupDesc].&amp;[Aksesuar].&amp;[Banyo Perdesi]" c="Banyo Perdesi" nd="1">
                <p n="[Material].[H_MainGroup].[MainGroupDesc].&amp;[Aksesuar]"/>
              </i>
              <i n="[Material].[H_MainGroup].[MainGroupDesc].&amp;[Aksesuar].&amp;[Banyo Rafı]" c="Banyo Rafı" nd="1">
                <p n="[Material].[H_MainGroup].[MainGroupDesc].&amp;[Aksesuar]"/>
              </i>
              <i n="[Material].[H_MainGroup].[MainGroupDesc].&amp;[Aksesuar].&amp;[Barbekü Koruma Örtü]" c="Barbekü Koruma Örtü" nd="1">
                <p n="[Material].[H_MainGroup].[MainGroupDesc].&amp;[Aksesuar]"/>
              </i>
              <i n="[Material].[H_MainGroup].[MainGroupDesc].&amp;[Aksesuar].&amp;[Basketbol Seti]" c="Basketbol Seti" nd="1">
                <p n="[Material].[H_MainGroup].[MainGroupDesc].&amp;[Aksesuar]"/>
              </i>
              <i n="[Material].[H_MainGroup].[MainGroupDesc].&amp;[Aksesuar].&amp;[Bebe Boy Ölçer]" c="Bebe Boy Ölçer" nd="1">
                <p n="[Material].[H_MainGroup].[MainGroupDesc].&amp;[Aksesuar]"/>
              </i>
              <i n="[Material].[H_MainGroup].[MainGroupDesc].&amp;[Aksesuar].&amp;[Bebe Elbise Askısı]" c="Bebe Elbise Askısı" nd="1">
                <p n="[Material].[H_MainGroup].[MainGroupDesc].&amp;[Aksesuar]"/>
              </i>
              <i n="[Material].[H_MainGroup].[MainGroupDesc].&amp;[Aksesuar].&amp;[Bebe Flatör]" c="Bebe Flatör" nd="1">
                <p n="[Material].[H_MainGroup].[MainGroupDesc].&amp;[Aksesuar]"/>
              </i>
              <i n="[Material].[H_MainGroup].[MainGroupDesc].&amp;[Aksesuar].&amp;[Bebe Küvet]" c="Bebe Küvet" nd="1">
                <p n="[Material].[H_MainGroup].[MainGroupDesc].&amp;[Aksesuar]"/>
              </i>
              <i n="[Material].[H_MainGroup].[MainGroupDesc].&amp;[Aksesuar].&amp;[Bebe Lamba]" c="Bebe Lamba" nd="1">
                <p n="[Material].[H_MainGroup].[MainGroupDesc].&amp;[Aksesuar]"/>
              </i>
              <i n="[Material].[H_MainGroup].[MainGroupDesc].&amp;[Aksesuar].&amp;[Bebe Lazımlık]" c="Bebe Lazımlık" nd="1">
                <p n="[Material].[H_MainGroup].[MainGroupDesc].&amp;[Aksesuar]"/>
              </i>
              <i n="[Material].[H_MainGroup].[MainGroupDesc].&amp;[Aksesuar].&amp;[Bebe salıncak]" c="Bebe salıncak" nd="1">
                <p n="[Material].[H_MainGroup].[MainGroupDesc].&amp;[Aksesuar]"/>
              </i>
              <i n="[Material].[H_MainGroup].[MainGroupDesc].&amp;[Aksesuar].&amp;[Bebe Yıkama Aparatı]" c="Bebe Yıkama Aparatı" nd="1">
                <p n="[Material].[H_MainGroup].[MainGroupDesc].&amp;[Aksesuar]"/>
              </i>
              <i n="[Material].[H_MainGroup].[MainGroupDesc].&amp;[Aksesuar].&amp;[Beşik Hamak]" c="Beşik Hamak" nd="1">
                <p n="[Material].[H_MainGroup].[MainGroupDesc].&amp;[Aksesuar]"/>
              </i>
              <i n="[Material].[H_MainGroup].[MainGroupDesc].&amp;[Aksesuar].&amp;[Beslenme Çantası]" c="Beslenme Çantası" nd="1">
                <p n="[Material].[H_MainGroup].[MainGroupDesc].&amp;[Aksesuar]"/>
              </i>
              <i n="[Material].[H_MainGroup].[MainGroupDesc].&amp;[Aksesuar].&amp;[Biberon Fırçası]" c="Biberon Fırçası" nd="1">
                <p n="[Material].[H_MainGroup].[MainGroupDesc].&amp;[Aksesuar]"/>
              </i>
              <i n="[Material].[H_MainGroup].[MainGroupDesc].&amp;[Aksesuar].&amp;[Biberon Isıtıcı]" c="Biberon Isıtıcı" nd="1">
                <p n="[Material].[H_MainGroup].[MainGroupDesc].&amp;[Aksesuar]"/>
              </i>
              <i n="[Material].[H_MainGroup].[MainGroupDesc].&amp;[Aksesuar].&amp;[Bisiklet Koruma Örtü]" c="Bisiklet Koruma Örtü" nd="1">
                <p n="[Material].[H_MainGroup].[MainGroupDesc].&amp;[Aksesuar]"/>
              </i>
              <i n="[Material].[H_MainGroup].[MainGroupDesc].&amp;[Aksesuar].&amp;[Boya]" c="Boya" nd="1">
                <p n="[Material].[H_MainGroup].[MainGroupDesc].&amp;[Aksesuar]"/>
              </i>
              <i n="[Material].[H_MainGroup].[MainGroupDesc].&amp;[Aksesuar].&amp;[Boya Fırçası]" c="Boya Fırçası" nd="1">
                <p n="[Material].[H_MainGroup].[MainGroupDesc].&amp;[Aksesuar]"/>
              </i>
              <i n="[Material].[H_MainGroup].[MainGroupDesc].&amp;[Aksesuar].&amp;[Boyama Kitabı]" c="Boyama Kitabı" nd="1">
                <p n="[Material].[H_MainGroup].[MainGroupDesc].&amp;[Aksesuar]"/>
              </i>
              <i n="[Material].[H_MainGroup].[MainGroupDesc].&amp;[Aksesuar].&amp;[Boyunluk]" c="Boyunluk" nd="1">
                <p n="[Material].[H_MainGroup].[MainGroupDesc].&amp;[Aksesuar]"/>
              </i>
              <i n="[Material].[H_MainGroup].[MainGroupDesc].&amp;[Aksesuar].&amp;[Bulaşık Fırçası]" c="Bulaşık Fırçası" nd="1">
                <p n="[Material].[H_MainGroup].[MainGroupDesc].&amp;[Aksesuar]"/>
              </i>
              <i n="[Material].[H_MainGroup].[MainGroupDesc].&amp;[Aksesuar].&amp;[Cam Bezi]" c="Cam Bezi" nd="1">
                <p n="[Material].[H_MainGroup].[MainGroupDesc].&amp;[Aksesuar]"/>
              </i>
              <i n="[Material].[H_MainGroup].[MainGroupDesc].&amp;[Aksesuar].&amp;[Çamaşır Torbası]" c="Çamaşır Torbası" nd="1">
                <p n="[Material].[H_MainGroup].[MainGroupDesc].&amp;[Aksesuar]"/>
              </i>
              <i n="[Material].[H_MainGroup].[MainGroupDesc].&amp;[Aksesuar].&amp;[Çanta Askı Aparatı]" c="Çanta Askı Aparatı" nd="1">
                <p n="[Material].[H_MainGroup].[MainGroupDesc].&amp;[Aksesuar]"/>
              </i>
              <i n="[Material].[H_MainGroup].[MainGroupDesc].&amp;[Aksesuar].&amp;[Çizim Seti]" c="Çizim Seti" nd="1">
                <p n="[Material].[H_MainGroup].[MainGroupDesc].&amp;[Aksesuar]"/>
              </i>
              <i n="[Material].[H_MainGroup].[MainGroupDesc].&amp;[Aksesuar].&amp;[Çocuk Kova Seti]" c="Çocuk Kova Seti" nd="1">
                <p n="[Material].[H_MainGroup].[MainGroupDesc].&amp;[Aksesuar]"/>
              </i>
              <i n="[Material].[H_MainGroup].[MainGroupDesc].&amp;[Aksesuar].&amp;[Çocuk Sıcak Su Tor.]" c="Çocuk Sıcak Su Tor." nd="1">
                <p n="[Material].[H_MainGroup].[MainGroupDesc].&amp;[Aksesuar]"/>
              </i>
              <i n="[Material].[H_MainGroup].[MainGroupDesc].&amp;[Aksesuar].&amp;[Çocuk Yemek Seti]" c="Çocuk Yemek Seti" nd="1">
                <p n="[Material].[H_MainGroup].[MainGroupDesc].&amp;[Aksesuar]"/>
              </i>
              <i n="[Material].[H_MainGroup].[MainGroupDesc].&amp;[Aksesuar].&amp;[Dambıl]" c="Dambıl" nd="1">
                <p n="[Material].[H_MainGroup].[MainGroupDesc].&amp;[Aksesuar]"/>
              </i>
              <i n="[Material].[H_MainGroup].[MainGroupDesc].&amp;[Aksesuar].&amp;[Dekoratif Set]" c="Dekoratif Set" nd="1">
                <p n="[Material].[H_MainGroup].[MainGroupDesc].&amp;[Aksesuar]"/>
              </i>
              <i n="[Material].[H_MainGroup].[MainGroupDesc].&amp;[Aksesuar].&amp;[Dekoratif Zil]" c="Dekoratif Zil" nd="1">
                <p n="[Material].[H_MainGroup].[MainGroupDesc].&amp;[Aksesuar]"/>
              </i>
              <i n="[Material].[H_MainGroup].[MainGroupDesc].&amp;[Aksesuar].&amp;[Delgeç]" c="Delgeç" nd="1">
                <p n="[Material].[H_MainGroup].[MainGroupDesc].&amp;[Aksesuar]"/>
              </i>
              <i n="[Material].[H_MainGroup].[MainGroupDesc].&amp;[Aksesuar].&amp;[Deniz Simidi]" c="Deniz Simidi" nd="1">
                <p n="[Material].[H_MainGroup].[MainGroupDesc].&amp;[Aksesuar]"/>
              </i>
              <i n="[Material].[H_MainGroup].[MainGroupDesc].&amp;[Aksesuar].&amp;[Deniz Topu]" c="Deniz Topu" nd="1">
                <p n="[Material].[H_MainGroup].[MainGroupDesc].&amp;[Aksesuar]"/>
              </i>
              <i n="[Material].[H_MainGroup].[MainGroupDesc].&amp;[Aksesuar].&amp;[Deterjan Kutusu]" c="Deterjan Kutusu" nd="1">
                <p n="[Material].[H_MainGroup].[MainGroupDesc].&amp;[Aksesuar]"/>
              </i>
              <i n="[Material].[H_MainGroup].[MainGroupDesc].&amp;[Aksesuar].&amp;[Dikiş Kitabı]" c="Dikiş Kitabı" nd="1">
                <p n="[Material].[H_MainGroup].[MainGroupDesc].&amp;[Aksesuar]"/>
              </i>
              <i n="[Material].[H_MainGroup].[MainGroupDesc].&amp;[Aksesuar].&amp;[Dikiş Kutusu]" c="Dikiş Kutusu" nd="1">
                <p n="[Material].[H_MainGroup].[MainGroupDesc].&amp;[Aksesuar]"/>
              </i>
              <i n="[Material].[H_MainGroup].[MainGroupDesc].&amp;[Aksesuar].&amp;[Dikiş Seti]" c="Dikiş Seti" nd="1">
                <p n="[Material].[H_MainGroup].[MainGroupDesc].&amp;[Aksesuar]"/>
              </i>
              <i n="[Material].[H_MainGroup].[MainGroupDesc].&amp;[Aksesuar].&amp;[Dolap Kulbu]" c="Dolap Kulbu" nd="1">
                <p n="[Material].[H_MainGroup].[MainGroupDesc].&amp;[Aksesuar]"/>
              </i>
              <i n="[Material].[H_MainGroup].[MainGroupDesc].&amp;[Aksesuar].&amp;[Dosya]" c="Dosya" nd="1">
                <p n="[Material].[H_MainGroup].[MainGroupDesc].&amp;[Aksesuar]"/>
              </i>
              <i n="[Material].[H_MainGroup].[MainGroupDesc].&amp;[Aksesuar].&amp;[Egzersiz Bandı]" c="Egzersiz Bandı" nd="1">
                <p n="[Material].[H_MainGroup].[MainGroupDesc].&amp;[Aksesuar]"/>
              </i>
              <i n="[Material].[H_MainGroup].[MainGroupDesc].&amp;[Aksesuar].&amp;[Egzersiz Bilekliği]" c="Egzersiz Bilekliği" nd="1">
                <p n="[Material].[H_MainGroup].[MainGroupDesc].&amp;[Aksesuar]"/>
              </i>
              <i n="[Material].[H_MainGroup].[MainGroupDesc].&amp;[Aksesuar].&amp;[Egzersiz Eldiveni]" c="Egzersiz Eldiveni" nd="1">
                <p n="[Material].[H_MainGroup].[MainGroupDesc].&amp;[Aksesuar]"/>
              </i>
              <i n="[Material].[H_MainGroup].[MainGroupDesc].&amp;[Aksesuar].&amp;[Emzik]" c="Emzik" nd="1">
                <p n="[Material].[H_MainGroup].[MainGroupDesc].&amp;[Aksesuar]"/>
              </i>
              <i n="[Material].[H_MainGroup].[MainGroupDesc].&amp;[Aksesuar].&amp;[Evcil Hayvan Ürünler]" c="Evcil Hayvan Ürünler" nd="1">
                <p n="[Material].[H_MainGroup].[MainGroupDesc].&amp;[Aksesuar]"/>
              </i>
              <i n="[Material].[H_MainGroup].[MainGroupDesc].&amp;[Aksesuar].&amp;[Foto Albüm]" c="Foto Albüm" nd="1">
                <p n="[Material].[H_MainGroup].[MainGroupDesc].&amp;[Aksesuar]"/>
              </i>
              <i n="[Material].[H_MainGroup].[MainGroupDesc].&amp;[Aksesuar].&amp;[Futbol Kalesi]" c="Futbol Kalesi" nd="1">
                <p n="[Material].[H_MainGroup].[MainGroupDesc].&amp;[Aksesuar]"/>
              </i>
              <i n="[Material].[H_MainGroup].[MainGroupDesc].&amp;[Aksesuar].&amp;[Gazetelik]" c="Gazetelik" nd="1">
                <p n="[Material].[H_MainGroup].[MainGroupDesc].&amp;[Aksesuar]"/>
              </i>
              <i n="[Material].[H_MainGroup].[MainGroupDesc].&amp;[Aksesuar].&amp;[Gözlük Kabı]" c="Gözlük Kabı" nd="1">
                <p n="[Material].[H_MainGroup].[MainGroupDesc].&amp;[Aksesuar]"/>
              </i>
              <i n="[Material].[H_MainGroup].[MainGroupDesc].&amp;[Aksesuar].&amp;[Güvenlik]" c="Güvenlik" nd="1">
                <p n="[Material].[H_MainGroup].[MainGroupDesc].&amp;[Aksesuar]"/>
              </i>
              <i n="[Material].[H_MainGroup].[MainGroupDesc].&amp;[Aksesuar].&amp;[Gymball]" c="Gymball" nd="1">
                <p n="[Material].[H_MainGroup].[MainGroupDesc].&amp;[Aksesuar]"/>
              </i>
              <i n="[Material].[H_MainGroup].[MainGroupDesc].&amp;[Aksesuar].&amp;[Hacıyatmaz]" c="Hacıyatmaz" nd="1">
                <p n="[Material].[H_MainGroup].[MainGroupDesc].&amp;[Aksesuar]"/>
              </i>
              <i n="[Material].[H_MainGroup].[MainGroupDesc].&amp;[Aksesuar].&amp;[Halat Oyuncak]" c="Halat Oyuncak" nd="1">
                <p n="[Material].[H_MainGroup].[MainGroupDesc].&amp;[Aksesuar]"/>
              </i>
              <i n="[Material].[H_MainGroup].[MainGroupDesc].&amp;[Aksesuar].&amp;[Halhal]" c="Halhal" nd="1">
                <p n="[Material].[H_MainGroup].[MainGroupDesc].&amp;[Aksesuar]"/>
              </i>
              <i n="[Material].[H_MainGroup].[MainGroupDesc].&amp;[Aksesuar].&amp;[Havluluk]" c="Havluluk" nd="1">
                <p n="[Material].[H_MainGroup].[MainGroupDesc].&amp;[Aksesuar]"/>
              </i>
              <i n="[Material].[H_MainGroup].[MainGroupDesc].&amp;[Aksesuar].&amp;[Hediye Torbası]" c="Hediye Torbası" nd="1">
                <p n="[Material].[H_MainGroup].[MainGroupDesc].&amp;[Aksesuar]"/>
              </i>
              <i n="[Material].[H_MainGroup].[MainGroupDesc].&amp;[Aksesuar].&amp;[Hoparlör]" c="Hoparlör" nd="1">
                <p n="[Material].[H_MainGroup].[MainGroupDesc].&amp;[Aksesuar]"/>
              </i>
              <i n="[Material].[H_MainGroup].[MainGroupDesc].&amp;[Aksesuar].&amp;[İğnelik]" c="İğnelik" nd="1">
                <p n="[Material].[H_MainGroup].[MainGroupDesc].&amp;[Aksesuar]"/>
              </i>
              <i n="[Material].[H_MainGroup].[MainGroupDesc].&amp;[Aksesuar].&amp;[İkinci Kalite]" c="İkinci Kalite" nd="1">
                <p n="[Material].[H_MainGroup].[MainGroupDesc].&amp;[Aksesuar]"/>
              </i>
              <i n="[Material].[H_MainGroup].[MainGroupDesc].&amp;[Aksesuar].&amp;[İplik Seti]" c="İplik Seti" nd="1">
                <p n="[Material].[H_MainGroup].[MainGroupDesc].&amp;[Aksesuar]"/>
              </i>
              <i n="[Material].[H_MainGroup].[MainGroupDesc].&amp;[Aksesuar].&amp;[Kağıt Ağırlığı]" c="Kağıt Ağırlığı" nd="1">
                <p n="[Material].[H_MainGroup].[MainGroupDesc].&amp;[Aksesuar]"/>
              </i>
              <i n="[Material].[H_MainGroup].[MainGroupDesc].&amp;[Aksesuar].&amp;[Kalem]" c="Kalem" nd="1">
                <p n="[Material].[H_MainGroup].[MainGroupDesc].&amp;[Aksesuar]"/>
              </i>
              <i n="[Material].[H_MainGroup].[MainGroupDesc].&amp;[Aksesuar].&amp;[Kapı Kulbu]" c="Kapı Kulbu" nd="1">
                <p n="[Material].[H_MainGroup].[MainGroupDesc].&amp;[Aksesuar]"/>
              </i>
              <i n="[Material].[H_MainGroup].[MainGroupDesc].&amp;[Aksesuar].&amp;[Kartlık]" c="Kartlık" nd="1">
                <p n="[Material].[H_MainGroup].[MainGroupDesc].&amp;[Aksesuar]"/>
              </i>
              <i n="[Material].[H_MainGroup].[MainGroupDesc].&amp;[Aksesuar].&amp;[Kartvizitlik]" c="Kartvizitlik" nd="1">
                <p n="[Material].[H_MainGroup].[MainGroupDesc].&amp;[Aksesuar]"/>
              </i>
              <i n="[Material].[H_MainGroup].[MainGroupDesc].&amp;[Aksesuar].&amp;[Kedi Oyuncağı]" c="Kedi Oyuncağı" nd="1">
                <p n="[Material].[H_MainGroup].[MainGroupDesc].&amp;[Aksesuar]"/>
              </i>
              <i n="[Material].[H_MainGroup].[MainGroupDesc].&amp;[Aksesuar].&amp;[Kedi Paspası]" c="Kedi Paspası" nd="1">
                <p n="[Material].[H_MainGroup].[MainGroupDesc].&amp;[Aksesuar]"/>
              </i>
              <i n="[Material].[H_MainGroup].[MainGroupDesc].&amp;[Aksesuar].&amp;[Kedi Tüneli]" c="Kedi Tüneli" nd="1">
                <p n="[Material].[H_MainGroup].[MainGroupDesc].&amp;[Aksesuar]"/>
              </i>
              <i n="[Material].[H_MainGroup].[MainGroupDesc].&amp;[Aksesuar].&amp;[Kemer Askısı]" c="Kemer Askısı" nd="1">
                <p n="[Material].[H_MainGroup].[MainGroupDesc].&amp;[Aksesuar]"/>
              </i>
              <i n="[Material].[H_MainGroup].[MainGroupDesc].&amp;[Aksesuar].&amp;[Kettlebell Ağırlık]" c="Kettlebell Ağırlık" nd="1">
                <p n="[Material].[H_MainGroup].[MainGroupDesc].&amp;[Aksesuar]"/>
              </i>
              <i n="[Material].[H_MainGroup].[MainGroupDesc].&amp;[Aksesuar].&amp;[Kickboard]" c="Kickboard" nd="1">
                <p n="[Material].[H_MainGroup].[MainGroupDesc].&amp;[Aksesuar]"/>
              </i>
              <i n="[Material].[H_MainGroup].[MainGroupDesc].&amp;[Aksesuar].&amp;[Kırtasiye Seti]" c="Kırtasiye Seti" nd="1">
                <p n="[Material].[H_MainGroup].[MainGroupDesc].&amp;[Aksesuar]"/>
              </i>
              <i n="[Material].[H_MainGroup].[MainGroupDesc].&amp;[Aksesuar].&amp;[Kitap]" c="Kitap" nd="1">
                <p n="[Material].[H_MainGroup].[MainGroupDesc].&amp;[Aksesuar]"/>
              </i>
              <i n="[Material].[H_MainGroup].[MainGroupDesc].&amp;[Aksesuar].&amp;[Klasör]" c="Klasör" nd="1">
                <p n="[Material].[H_MainGroup].[MainGroupDesc].&amp;[Aksesuar]"/>
              </i>
              <i n="[Material].[H_MainGroup].[MainGroupDesc].&amp;[Aksesuar].&amp;[Kokulu Mum Seti]" c="Kokulu Mum Seti" nd="1">
                <p n="[Material].[H_MainGroup].[MainGroupDesc].&amp;[Aksesuar]"/>
              </i>
              <i n="[Material].[H_MainGroup].[MainGroupDesc].&amp;[Aksesuar].&amp;[Kol Bandı]" c="Kol Bandı" nd="1">
                <p n="[Material].[H_MainGroup].[MainGroupDesc].&amp;[Aksesuar]"/>
              </i>
              <i n="[Material].[H_MainGroup].[MainGroupDesc].&amp;[Aksesuar].&amp;[Kol Saati]" c="Kol Saati" nd="1">
                <p n="[Material].[H_MainGroup].[MainGroupDesc].&amp;[Aksesuar]"/>
              </i>
              <i n="[Material].[H_MainGroup].[MainGroupDesc].&amp;[Aksesuar].&amp;[Kolluk]" c="Kolluk" nd="1">
                <p n="[Material].[H_MainGroup].[MainGroupDesc].&amp;[Aksesuar]"/>
              </i>
              <i n="[Material].[H_MainGroup].[MainGroupDesc].&amp;[Aksesuar].&amp;[Kolye]" c="Kolye" nd="1">
                <p n="[Material].[H_MainGroup].[MainGroupDesc].&amp;[Aksesuar]"/>
              </i>
              <i n="[Material].[H_MainGroup].[MainGroupDesc].&amp;[Aksesuar].&amp;[Koşu Takımı ]" c="Koşu Takımı " nd="1">
                <p n="[Material].[H_MainGroup].[MainGroupDesc].&amp;[Aksesuar]"/>
              </i>
              <i n="[Material].[H_MainGroup].[MainGroupDesc].&amp;[Aksesuar].&amp;[Kravat Askısı]" c="Kravat Askısı" nd="1">
                <p n="[Material].[H_MainGroup].[MainGroupDesc].&amp;[Aksesuar]"/>
              </i>
              <i n="[Material].[H_MainGroup].[MainGroupDesc].&amp;[Aksesuar].&amp;[Kulak Koruyucu]" c="Kulak Koruyucu" nd="1">
                <p n="[Material].[H_MainGroup].[MainGroupDesc].&amp;[Aksesuar]"/>
              </i>
              <i n="[Material].[H_MainGroup].[MainGroupDesc].&amp;[Aksesuar].&amp;[Kulaklık]" c="Kulaklık" nd="1">
                <p n="[Material].[H_MainGroup].[MainGroupDesc].&amp;[Aksesuar]"/>
              </i>
              <i n="[Material].[H_MainGroup].[MainGroupDesc].&amp;[Aksesuar].&amp;[Kurutmalık]" c="Kurutmalık" nd="1">
                <p n="[Material].[H_MainGroup].[MainGroupDesc].&amp;[Aksesuar]"/>
              </i>
              <i n="[Material].[H_MainGroup].[MainGroupDesc].&amp;[Aksesuar].&amp;[Kuş Kafesi]" c="Kuş Kafesi" nd="1">
                <p n="[Material].[H_MainGroup].[MainGroupDesc].&amp;[Aksesuar]"/>
              </i>
              <i n="[Material].[H_MainGroup].[MainGroupDesc].&amp;[Aksesuar].&amp;[Küvet Fırçası]" c="Küvet Fırçası" nd="1">
                <p n="[Material].[H_MainGroup].[MainGroupDesc].&amp;[Aksesuar]"/>
              </i>
              <i n="[Material].[H_MainGroup].[MainGroupDesc].&amp;[Aksesuar].&amp;[Lamba]" c="Lamba" nd="1">
                <p n="[Material].[H_MainGroup].[MainGroupDesc].&amp;[Aksesuar]"/>
              </i>
              <i n="[Material].[H_MainGroup].[MainGroupDesc].&amp;[Aksesuar].&amp;[Laptop Altlığı]" c="Laptop Altlığı" nd="1">
                <p n="[Material].[H_MainGroup].[MainGroupDesc].&amp;[Aksesuar]"/>
              </i>
              <i n="[Material].[H_MainGroup].[MainGroupDesc].&amp;[Aksesuar].&amp;[Lavabo Fırçası]" c="Lavabo Fırçası" nd="1">
                <p n="[Material].[H_MainGroup].[MainGroupDesc].&amp;[Aksesuar]"/>
              </i>
              <i n="[Material].[H_MainGroup].[MainGroupDesc].&amp;[Aksesuar].&amp;[Lens Kabı]" c="Lens Kabı" nd="1">
                <p n="[Material].[H_MainGroup].[MainGroupDesc].&amp;[Aksesuar]"/>
              </i>
              <i n="[Material].[H_MainGroup].[MainGroupDesc].&amp;[Aksesuar].&amp;[Magazinlik]" c="Magazinlik" nd="1">
                <p n="[Material].[H_MainGroup].[MainGroupDesc].&amp;[Aksesuar]"/>
              </i>
              <i n="[Material].[H_MainGroup].[MainGroupDesc].&amp;[Aksesuar].&amp;[Makas]" c="Makas" nd="1">
                <p n="[Material].[H_MainGroup].[MainGroupDesc].&amp;[Aksesuar]"/>
              </i>
              <i n="[Material].[H_MainGroup].[MainGroupDesc].&amp;[Aksesuar].&amp;[Makyaj Kutusu]" c="Makyaj Kutusu" nd="1">
                <p n="[Material].[H_MainGroup].[MainGroupDesc].&amp;[Aksesuar]"/>
              </i>
              <i n="[Material].[H_MainGroup].[MainGroupDesc].&amp;[Aksesuar].&amp;[Makyaj Organizer]" c="Makyaj Organizer" nd="1">
                <p n="[Material].[H_MainGroup].[MainGroupDesc].&amp;[Aksesuar]"/>
              </i>
              <i n="[Material].[H_MainGroup].[MainGroupDesc].&amp;[Aksesuar].&amp;[Mama Kabı]" c="Mama Kabı" nd="1">
                <p n="[Material].[H_MainGroup].[MainGroupDesc].&amp;[Aksesuar]"/>
              </i>
              <i n="[Material].[H_MainGroup].[MainGroupDesc].&amp;[Aksesuar].&amp;[Mandal]" c="Mandal" nd="1">
                <p n="[Material].[H_MainGroup].[MainGroupDesc].&amp;[Aksesuar]"/>
              </i>
              <i n="[Material].[H_MainGroup].[MainGroupDesc].&amp;[Aksesuar].&amp;[Mandallık]" c="Mandallık" nd="1">
                <p n="[Material].[H_MainGroup].[MainGroupDesc].&amp;[Aksesuar]"/>
              </i>
              <i n="[Material].[H_MainGroup].[MainGroupDesc].&amp;[Aksesuar].&amp;[Mantar Pano]" c="Mantar Pano" nd="1">
                <p n="[Material].[H_MainGroup].[MainGroupDesc].&amp;[Aksesuar]"/>
              </i>
              <i n="[Material].[H_MainGroup].[MainGroupDesc].&amp;[Aksesuar].&amp;[Market Arabası]" c="Market Arabası" nd="1">
                <p n="[Material].[H_MainGroup].[MainGroupDesc].&amp;[Aksesuar]"/>
              </i>
              <i n="[Material].[H_MainGroup].[MainGroupDesc].&amp;[Aksesuar].&amp;[Masa Gırgırı]" c="Masa Gırgırı" nd="1">
                <p n="[Material].[H_MainGroup].[MainGroupDesc].&amp;[Aksesuar]"/>
              </i>
              <i n="[Material].[H_MainGroup].[MainGroupDesc].&amp;[Aksesuar].&amp;[Masaüstü Şömine]" c="Masaüstü Şömine" nd="1">
                <p n="[Material].[H_MainGroup].[MainGroupDesc].&amp;[Aksesuar]"/>
              </i>
              <i n="[Material].[H_MainGroup].[MainGroupDesc].&amp;[Aksesuar].&amp;[Mendil]" c="Mendil" nd="1">
                <p n="[Material].[H_MainGroup].[MainGroupDesc].&amp;[Aksesuar]"/>
              </i>
              <i n="[Material].[H_MainGroup].[MainGroupDesc].&amp;[Aksesuar].&amp;[Mezura]" c="Mezura" nd="1">
                <p n="[Material].[H_MainGroup].[MainGroupDesc].&amp;[Aksesuar]"/>
              </i>
              <i n="[Material].[H_MainGroup].[MainGroupDesc].&amp;[Aksesuar].&amp;[Mobilya Koruma Örtü]" c="Mobilya Koruma Örtü" nd="1">
                <p n="[Material].[H_MainGroup].[MainGroupDesc].&amp;[Aksesuar]"/>
              </i>
              <i n="[Material].[H_MainGroup].[MainGroupDesc].&amp;[Aksesuar].&amp;[Mouse]" c="Mouse" nd="1">
                <p n="[Material].[H_MainGroup].[MainGroupDesc].&amp;[Aksesuar]"/>
              </i>
              <i n="[Material].[H_MainGroup].[MainGroupDesc].&amp;[Aksesuar].&amp;[Mouse Pad]" c="Mouse Pad" nd="1">
                <p n="[Material].[H_MainGroup].[MainGroupDesc].&amp;[Aksesuar]"/>
              </i>
              <i n="[Material].[H_MainGroup].[MainGroupDesc].&amp;[Aksesuar].&amp;[Ofis Masa Seti]" c="Ofis Masa Seti" nd="1">
                <p n="[Material].[H_MainGroup].[MainGroupDesc].&amp;[Aksesuar]"/>
              </i>
              <i n="[Material].[H_MainGroup].[MainGroupDesc].&amp;[Aksesuar].&amp;[Örgü Kutusu]" c="Örgü Kutusu" nd="1">
                <p n="[Material].[H_MainGroup].[MainGroupDesc].&amp;[Aksesuar]"/>
              </i>
              <i n="[Material].[H_MainGroup].[MainGroupDesc].&amp;[Aksesuar].&amp;[Oyun Evi]" c="Oyun Evi" nd="1">
                <p n="[Material].[H_MainGroup].[MainGroupDesc].&amp;[Aksesuar]"/>
              </i>
              <i n="[Material].[H_MainGroup].[MainGroupDesc].&amp;[Aksesuar].&amp;[Oyun Hamuru]" c="Oyun Hamuru" nd="1">
                <p n="[Material].[H_MainGroup].[MainGroupDesc].&amp;[Aksesuar]"/>
              </i>
              <i n="[Material].[H_MainGroup].[MainGroupDesc].&amp;[Aksesuar].&amp;[Oyun Matı]" c="Oyun Matı" nd="1">
                <p n="[Material].[H_MainGroup].[MainGroupDesc].&amp;[Aksesuar]"/>
              </i>
              <i n="[Material].[H_MainGroup].[MainGroupDesc].&amp;[Aksesuar].&amp;[Oyun Pedi]" c="Oyun Pedi" nd="1">
                <p n="[Material].[H_MainGroup].[MainGroupDesc].&amp;[Aksesuar]"/>
              </i>
              <i n="[Material].[H_MainGroup].[MainGroupDesc].&amp;[Aksesuar].&amp;[Oyun Yer Karosu]" c="Oyun Yer Karosu" nd="1">
                <p n="[Material].[H_MainGroup].[MainGroupDesc].&amp;[Aksesuar]"/>
              </i>
              <i n="[Material].[H_MainGroup].[MainGroupDesc].&amp;[Aksesuar].&amp;[Oyuncak]" c="Oyuncak" nd="1">
                <p n="[Material].[H_MainGroup].[MainGroupDesc].&amp;[Aksesuar]"/>
              </i>
              <i n="[Material].[H_MainGroup].[MainGroupDesc].&amp;[Aksesuar].&amp;[Oyuncak Top]" c="Oyuncak Top" nd="1">
                <p n="[Material].[H_MainGroup].[MainGroupDesc].&amp;[Aksesuar]"/>
              </i>
              <i n="[Material].[H_MainGroup].[MainGroupDesc].&amp;[Aksesuar].&amp;[Pantolon Askısı]" c="Pantolon Askısı" nd="1">
                <p n="[Material].[H_MainGroup].[MainGroupDesc].&amp;[Aksesuar]"/>
              </i>
              <i n="[Material].[H_MainGroup].[MainGroupDesc].&amp;[Aksesuar].&amp;[Parfüm Şişesi]" c="Parfüm Şişesi" nd="1">
                <p n="[Material].[H_MainGroup].[MainGroupDesc].&amp;[Aksesuar]"/>
              </i>
              <i n="[Material].[H_MainGroup].[MainGroupDesc].&amp;[Aksesuar].&amp;[Peçete Kutusu]" c="Peçete Kutusu" nd="1">
                <p n="[Material].[H_MainGroup].[MainGroupDesc].&amp;[Aksesuar]"/>
              </i>
              <i n="[Material].[H_MainGroup].[MainGroupDesc].&amp;[Aksesuar].&amp;[Pet Yatağı]" c="Pet Yatağı" nd="1">
                <p n="[Material].[H_MainGroup].[MainGroupDesc].&amp;[Aksesuar]"/>
              </i>
              <i n="[Material].[H_MainGroup].[MainGroupDesc].&amp;[Aksesuar].&amp;[Piknik Şiltesi]" c="Piknik Şiltesi" nd="1">
                <p n="[Material].[H_MainGroup].[MainGroupDesc].&amp;[Aksesuar]"/>
              </i>
              <i n="[Material].[H_MainGroup].[MainGroupDesc].&amp;[Aksesuar].&amp;[Pilates Topu]" c="Pilates Topu" nd="1">
                <p n="[Material].[H_MainGroup].[MainGroupDesc].&amp;[Aksesuar]"/>
              </i>
              <i n="[Material].[H_MainGroup].[MainGroupDesc].&amp;[Aksesuar].&amp;[Pin]" c="Pin" nd="1">
                <p n="[Material].[H_MainGroup].[MainGroupDesc].&amp;[Aksesuar]"/>
              </i>
              <i n="[Material].[H_MainGroup].[MainGroupDesc].&amp;[Aksesuar].&amp;[Pipetli Matara]" c="Pipetli Matara" nd="1">
                <p n="[Material].[H_MainGroup].[MainGroupDesc].&amp;[Aksesuar]"/>
              </i>
              <i n="[Material].[H_MainGroup].[MainGroupDesc].&amp;[Aksesuar].&amp;[Planlayıcı]" c="Planlayıcı" nd="1">
                <p n="[Material].[H_MainGroup].[MainGroupDesc].&amp;[Aksesuar]"/>
              </i>
              <i n="[Material].[H_MainGroup].[MainGroupDesc].&amp;[Aksesuar].&amp;[Plates Band]" c="Plates Band" nd="1">
                <p n="[Material].[H_MainGroup].[MainGroupDesc].&amp;[Aksesuar]"/>
              </i>
              <i n="[Material].[H_MainGroup].[MainGroupDesc].&amp;[Aksesuar].&amp;[Plates Çemberi]" c="Plates Çemberi" nd="1">
                <p n="[Material].[H_MainGroup].[MainGroupDesc].&amp;[Aksesuar]"/>
              </i>
              <i n="[Material].[H_MainGroup].[MainGroupDesc].&amp;[Aksesuar].&amp;[Puzzle]" c="Puzzle" nd="1">
                <p n="[Material].[H_MainGroup].[MainGroupDesc].&amp;[Aksesuar]"/>
              </i>
              <i n="[Material].[H_MainGroup].[MainGroupDesc].&amp;[Aksesuar].&amp;[Radyo]" c="Radyo" nd="1">
                <p n="[Material].[H_MainGroup].[MainGroupDesc].&amp;[Aksesuar]"/>
              </i>
              <i n="[Material].[H_MainGroup].[MainGroupDesc].&amp;[Aksesuar].&amp;[Rahatlama Yastığı]" c="Rahatlama Yastığı" nd="1">
                <p n="[Material].[H_MainGroup].[MainGroupDesc].&amp;[Aksesuar]"/>
              </i>
              <i n="[Material].[H_MainGroup].[MainGroupDesc].&amp;[Aksesuar].&amp;[Reçme]" c="Reçme" nd="1">
                <p n="[Material].[H_MainGroup].[MainGroupDesc].&amp;[Aksesuar]"/>
              </i>
              <i n="[Material].[H_MainGroup].[MainGroupDesc].&amp;[Aksesuar].&amp;[Rüya Kovucu]" c="Rüya Kovucu" nd="1">
                <p n="[Material].[H_MainGroup].[MainGroupDesc].&amp;[Aksesuar]"/>
              </i>
              <i n="[Material].[H_MainGroup].[MainGroupDesc].&amp;[Aksesuar].&amp;[Saç Aksesuarı]" c="Saç Aksesuarı" nd="1">
                <p n="[Material].[H_MainGroup].[MainGroupDesc].&amp;[Aksesuar]"/>
              </i>
              <i n="[Material].[H_MainGroup].[MainGroupDesc].&amp;[Aksesuar].&amp;[Saç Halkası]" c="Saç Halkası" nd="1">
                <p n="[Material].[H_MainGroup].[MainGroupDesc].&amp;[Aksesuar]"/>
              </i>
              <i n="[Material].[H_MainGroup].[MainGroupDesc].&amp;[Aksesuar].&amp;[Saç Kurut.Mak.Tutucu]" c="Saç Kurut.Mak.Tutucu" nd="1">
                <p n="[Material].[H_MainGroup].[MainGroupDesc].&amp;[Aksesuar]"/>
              </i>
              <i n="[Material].[H_MainGroup].[MainGroupDesc].&amp;[Aksesuar].&amp;[Saksılık]" c="Saksılık" nd="1">
                <p n="[Material].[H_MainGroup].[MainGroupDesc].&amp;[Aksesuar]"/>
              </i>
              <i n="[Material].[H_MainGroup].[MainGroupDesc].&amp;[Aksesuar].&amp;[Şal Askısı]" c="Şal Askısı" nd="1">
                <p n="[Material].[H_MainGroup].[MainGroupDesc].&amp;[Aksesuar]"/>
              </i>
              <i n="[Material].[H_MainGroup].[MainGroupDesc].&amp;[Aksesuar].&amp;[Şaraplık]" c="Şaraplık" nd="1">
                <p n="[Material].[H_MainGroup].[MainGroupDesc].&amp;[Aksesuar]"/>
              </i>
              <i n="[Material].[H_MainGroup].[MainGroupDesc].&amp;[Aksesuar].&amp;[Sekreterlik]" c="Sekreterlik" nd="1">
                <p n="[Material].[H_MainGroup].[MainGroupDesc].&amp;[Aksesuar]"/>
              </i>
              <i n="[Material].[H_MainGroup].[MainGroupDesc].&amp;[Aksesuar].&amp;[Seyahat Su Kabı]" c="Seyahat Su Kabı" nd="1">
                <p n="[Material].[H_MainGroup].[MainGroupDesc].&amp;[Aksesuar]"/>
              </i>
              <i n="[Material].[H_MainGroup].[MainGroupDesc].&amp;[Aksesuar].&amp;[Silgi]" c="Silgi" nd="1">
                <p n="[Material].[H_MainGroup].[MainGroupDesc].&amp;[Aksesuar]"/>
              </i>
              <i n="[Material].[H_MainGroup].[MainGroupDesc].&amp;[Aksesuar].&amp;[Şişe Fırçası]" c="Şişe Fırçası" nd="1">
                <p n="[Material].[H_MainGroup].[MainGroupDesc].&amp;[Aksesuar]"/>
              </i>
              <i n="[Material].[H_MainGroup].[MainGroupDesc].&amp;[Aksesuar].&amp;[Şişme Deniz Yatağı]" c="Şişme Deniz Yatağı" nd="1">
                <p n="[Material].[H_MainGroup].[MainGroupDesc].&amp;[Aksesuar]"/>
              </i>
              <i n="[Material].[H_MainGroup].[MainGroupDesc].&amp;[Aksesuar].&amp;[Şişme Havuz]" c="Şişme Havuz" nd="1">
                <p n="[Material].[H_MainGroup].[MainGroupDesc].&amp;[Aksesuar]"/>
              </i>
              <i n="[Material].[H_MainGroup].[MainGroupDesc].&amp;[Aksesuar].&amp;[Şişme Koltuk]" c="Şişme Koltuk" nd="1">
                <p n="[Material].[H_MainGroup].[MainGroupDesc].&amp;[Aksesuar]"/>
              </i>
              <i n="[Material].[H_MainGroup].[MainGroupDesc].&amp;[Aksesuar].&amp;[Şişme Yelek]" c="Şişme Yelek" nd="1">
                <p n="[Material].[H_MainGroup].[MainGroupDesc].&amp;[Aksesuar]"/>
              </i>
              <i n="[Material].[H_MainGroup].[MainGroupDesc].&amp;[Aksesuar].&amp;[Soğuk Tutma Matı]" c="Soğuk Tutma Matı" nd="1">
                <p n="[Material].[H_MainGroup].[MainGroupDesc].&amp;[Aksesuar]"/>
              </i>
              <i n="[Material].[H_MainGroup].[MainGroupDesc].&amp;[Aksesuar].&amp;[Sulak]" c="Sulak" nd="1">
                <p n="[Material].[H_MainGroup].[MainGroupDesc].&amp;[Aksesuar]"/>
              </i>
              <i n="[Material].[H_MainGroup].[MainGroupDesc].&amp;[Aksesuar].&amp;[Süpürge]" c="Süpürge" nd="1">
                <p n="[Material].[H_MainGroup].[MainGroupDesc].&amp;[Aksesuar]"/>
              </i>
              <i n="[Material].[H_MainGroup].[MainGroupDesc].&amp;[Aksesuar].&amp;[Tahterevalli]" c="Tahterevalli" nd="1">
                <p n="[Material].[H_MainGroup].[MainGroupDesc].&amp;[Aksesuar]"/>
              </i>
              <i n="[Material].[H_MainGroup].[MainGroupDesc].&amp;[Aksesuar].&amp;[Tarak]" c="Tarak" nd="1">
                <p n="[Material].[H_MainGroup].[MainGroupDesc].&amp;[Aksesuar]"/>
              </i>
              <i n="[Material].[H_MainGroup].[MainGroupDesc].&amp;[Aksesuar].&amp;[Taşınabilir Şarj]" c="Taşınabilir Şarj" nd="1">
                <p n="[Material].[H_MainGroup].[MainGroupDesc].&amp;[Aksesuar]"/>
              </i>
              <i n="[Material].[H_MainGroup].[MainGroupDesc].&amp;[Aksesuar].&amp;[Tasma]" c="Tasma" nd="1">
                <p n="[Material].[H_MainGroup].[MainGroupDesc].&amp;[Aksesuar]"/>
              </i>
              <i n="[Material].[H_MainGroup].[MainGroupDesc].&amp;[Aksesuar].&amp;[Tasma Kayışı]" c="Tasma Kayışı" nd="1">
                <p n="[Material].[H_MainGroup].[MainGroupDesc].&amp;[Aksesuar]"/>
              </i>
              <i n="[Material].[H_MainGroup].[MainGroupDesc].&amp;[Aksesuar].&amp;[Tasma Süsü]" c="Tasma Süsü" nd="1">
                <p n="[Material].[H_MainGroup].[MainGroupDesc].&amp;[Aksesuar]"/>
              </i>
              <i n="[Material].[H_MainGroup].[MainGroupDesc].&amp;[Aksesuar].&amp;[Telefon Kılıfı]" c="Telefon Kılıfı" nd="1">
                <p n="[Material].[H_MainGroup].[MainGroupDesc].&amp;[Aksesuar]"/>
              </i>
              <i n="[Material].[H_MainGroup].[MainGroupDesc].&amp;[Aksesuar].&amp;[Temizlik Bezi]" c="Temizlik Bezi" nd="1">
                <p n="[Material].[H_MainGroup].[MainGroupDesc].&amp;[Aksesuar]"/>
              </i>
              <i n="[Material].[H_MainGroup].[MainGroupDesc].&amp;[Aksesuar].&amp;[Temizlik Kovası]" c="Temizlik Kovası" nd="1">
                <p n="[Material].[H_MainGroup].[MainGroupDesc].&amp;[Aksesuar]"/>
              </i>
              <i n="[Material].[H_MainGroup].[MainGroupDesc].&amp;[Aksesuar].&amp;[Tencere Korumalık]" c="Tencere Korumalık" nd="1">
                <p n="[Material].[H_MainGroup].[MainGroupDesc].&amp;[Aksesuar]"/>
              </i>
              <i n="[Material].[H_MainGroup].[MainGroupDesc].&amp;[Aksesuar].&amp;[Terlik Organizer]" c="Terlik Organizer" nd="1">
                <p n="[Material].[H_MainGroup].[MainGroupDesc].&amp;[Aksesuar]"/>
              </i>
              <i n="[Material].[H_MainGroup].[MainGroupDesc].&amp;[Aksesuar].&amp;[Toz Alıcı]" c="Toz Alıcı" nd="1">
                <p n="[Material].[H_MainGroup].[MainGroupDesc].&amp;[Aksesuar]"/>
              </i>
              <i n="[Material].[H_MainGroup].[MainGroupDesc].&amp;[Aksesuar].&amp;[Tuvalet Eğitim Pedi]" c="Tuvalet Eğitim Pedi" nd="1">
                <p n="[Material].[H_MainGroup].[MainGroupDesc].&amp;[Aksesuar]"/>
              </i>
              <i n="[Material].[H_MainGroup].[MainGroupDesc].&amp;[Aksesuar].&amp;[Tuvalet Kağıtlığı]" c="Tuvalet Kağıtlığı" nd="1">
                <p n="[Material].[H_MainGroup].[MainGroupDesc].&amp;[Aksesuar]"/>
              </i>
              <i n="[Material].[H_MainGroup].[MainGroupDesc].&amp;[Aksesuar].&amp;[Tüy Toplama Eldiveni]" c="Tüy Toplama Eldiveni" nd="1">
                <p n="[Material].[H_MainGroup].[MainGroupDesc].&amp;[Aksesuar]"/>
              </i>
              <i n="[Material].[H_MainGroup].[MainGroupDesc].&amp;[Aksesuar].&amp;[Tüy Toplayıcı]" c="Tüy Toplayıcı" nd="1">
                <p n="[Material].[H_MainGroup].[MainGroupDesc].&amp;[Aksesuar]"/>
              </i>
              <i n="[Material].[H_MainGroup].[MainGroupDesc].&amp;[Aksesuar].&amp;[USB Memory]" c="USB Memory" nd="1">
                <p n="[Material].[H_MainGroup].[MainGroupDesc].&amp;[Aksesuar]"/>
              </i>
              <i n="[Material].[H_MainGroup].[MainGroupDesc].&amp;[Aksesuar].&amp;[Ütü Masası]" c="Ütü Masası" nd="1">
                <p n="[Material].[H_MainGroup].[MainGroupDesc].&amp;[Aksesuar]"/>
              </i>
              <i n="[Material].[H_MainGroup].[MainGroupDesc].&amp;[Aksesuar].&amp;[Ütü Masası Kılıfı]" c="Ütü Masası Kılıfı" nd="1">
                <p n="[Material].[H_MainGroup].[MainGroupDesc].&amp;[Aksesuar]"/>
              </i>
              <i n="[Material].[H_MainGroup].[MainGroupDesc].&amp;[Aksesuar].&amp;[Ütülük]" c="Ütülük" nd="1">
                <p n="[Material].[H_MainGroup].[MainGroupDesc].&amp;[Aksesuar]"/>
              </i>
              <i n="[Material].[H_MainGroup].[MainGroupDesc].&amp;[Aksesuar].&amp;[Valiz]" c="Valiz" nd="1">
                <p n="[Material].[H_MainGroup].[MainGroupDesc].&amp;[Aksesuar]"/>
              </i>
              <i n="[Material].[H_MainGroup].[MainGroupDesc].&amp;[Aksesuar].&amp;[Valiz Kemeri]" c="Valiz Kemeri" nd="1">
                <p n="[Material].[H_MainGroup].[MainGroupDesc].&amp;[Aksesuar]"/>
              </i>
              <i n="[Material].[H_MainGroup].[MainGroupDesc].&amp;[Aksesuar].&amp;[Yapay Şömine]" c="Yapay Şömine" nd="1">
                <p n="[Material].[H_MainGroup].[MainGroupDesc].&amp;[Aksesuar]"/>
              </i>
              <i n="[Material].[H_MainGroup].[MainGroupDesc].&amp;[Aksesuar].&amp;[Yemlik]" c="Yemlik" nd="1">
                <p n="[Material].[H_MainGroup].[MainGroupDesc].&amp;[Aksesuar]"/>
              </i>
              <i n="[Material].[H_MainGroup].[MainGroupDesc].&amp;[Aksesuar].&amp;[Yer Fırçası]" c="Yer Fırçası" nd="1">
                <p n="[Material].[H_MainGroup].[MainGroupDesc].&amp;[Aksesuar]"/>
              </i>
              <i n="[Material].[H_MainGroup].[MainGroupDesc].&amp;[Aksesuar].&amp;[Yer Karosu]" c="Yer Karosu" nd="1">
                <p n="[Material].[H_MainGroup].[MainGroupDesc].&amp;[Aksesuar]"/>
              </i>
              <i n="[Material].[H_MainGroup].[MainGroupDesc].&amp;[Aksesuar].&amp;[Yıkama Filesi]" c="Yıkama Filesi" nd="1">
                <p n="[Material].[H_MainGroup].[MainGroupDesc].&amp;[Aksesuar]"/>
              </i>
              <i n="[Material].[H_MainGroup].[MainGroupDesc].&amp;[Aksesuar].&amp;[Yıkama Seti]" c="Yıkama Seti" nd="1">
                <p n="[Material].[H_MainGroup].[MainGroupDesc].&amp;[Aksesuar]"/>
              </i>
              <i n="[Material].[H_MainGroup].[MainGroupDesc].&amp;[Aksesuar].&amp;[Yıkama Torbası]" c="Yıkama Torbası" nd="1">
                <p n="[Material].[H_MainGroup].[MainGroupDesc].&amp;[Aksesuar]"/>
              </i>
              <i n="[Material].[H_MainGroup].[MainGroupDesc].&amp;[Aksesuar].&amp;[Yoga Mat]" c="Yoga Mat" nd="1">
                <p n="[Material].[H_MainGroup].[MainGroupDesc].&amp;[Aksesuar]"/>
              </i>
              <i n="[Material].[H_MainGroup].[MainGroupDesc].&amp;[Aksesuar].&amp;[Zeka Kartı]" c="Zeka Kartı" nd="1">
                <p n="[Material].[H_MainGroup].[MainGroupDesc].&amp;[Aksesuar]"/>
              </i>
              <i n="[Material].[H_MainGroup].[MainGroupDesc].&amp;[Aksesuar].&amp;[Zımba]" c="Zımba" nd="1">
                <p n="[Material].[H_MainGroup].[MainGroupDesc].&amp;[Aksesuar]"/>
              </i>
              <i n="[Material].[H_MainGroup].[MainGroupDesc].&amp;[Aksesuar].&amp;[Кüp]" c="Кüp" nd="1">
                <p n="[Material].[H_MainGroup].[MainGroupDesc].&amp;[Aksesuar]"/>
              </i>
              <i n="[Material].[H_MainGroup].[MainGroupDesc].&amp;[Banyo].&amp;[#NA]" c="#NA" nd="1">
                <p n="[Material].[H_MainGroup].[MainGroupDesc].&amp;[Banyo]"/>
              </i>
              <i n="[Material].[H_MainGroup].[MainGroupDesc].&amp;[Banyo].&amp;[Banyo Kesesi]" c="Banyo Kesesi" nd="1">
                <p n="[Material].[H_MainGroup].[MainGroupDesc].&amp;[Banyo]"/>
              </i>
              <i n="[Material].[H_MainGroup].[MainGroupDesc].&amp;[Banyo].&amp;[Dekoratif Küvet]" c="Dekoratif Küvet" nd="1">
                <p n="[Material].[H_MainGroup].[MainGroupDesc].&amp;[Banyo]"/>
              </i>
              <i n="[Material].[H_MainGroup].[MainGroupDesc].&amp;[Banyo].&amp;[Kağıt Mendil]" c="Kağıt Mendil" nd="1">
                <p n="[Material].[H_MainGroup].[MainGroupDesc].&amp;[Banyo]"/>
              </i>
              <i n="[Material].[H_MainGroup].[MainGroupDesc].&amp;[Banyo].&amp;[Kulak Çubukluğu]" c="Kulak Çubukluğu" nd="1">
                <p n="[Material].[H_MainGroup].[MainGroupDesc].&amp;[Banyo]"/>
              </i>
              <i n="[Material].[H_MainGroup].[MainGroupDesc].&amp;[Battaniye].&amp;[#NA]" c="#NA" nd="1">
                <p n="[Material].[H_MainGroup].[MainGroupDesc].&amp;[Battaniye]"/>
              </i>
              <i n="[Material].[H_MainGroup].[MainGroupDesc].&amp;[Battaniye].&amp;[Bebe Battaniye Seti]" c="Bebe Battaniye Seti" nd="1">
                <p n="[Material].[H_MainGroup].[MainGroupDesc].&amp;[Battaniye]"/>
              </i>
              <i n="[Material].[H_MainGroup].[MainGroupDesc].&amp;[Bilgi Sistemleri].&amp;[#NA]" c="#NA" nd="1">
                <p n="[Material].[H_MainGroup].[MainGroupDesc].&amp;[Bilgi Sistemleri]"/>
              </i>
              <i n="[Material].[H_MainGroup].[MainGroupDesc].&amp;[Bilgi Sistemleri].&amp;[BT Sarf Malzemeleri]" c="BT Sarf Malzemeleri" nd="1">
                <p n="[Material].[H_MainGroup].[MainGroupDesc].&amp;[Bilgi Sistemleri]"/>
              </i>
              <i n="[Material].[H_MainGroup].[MainGroupDesc].&amp;[Bilgi Sistemleri].&amp;[Danışmanlık]" c="Danışmanlık" nd="1">
                <p n="[Material].[H_MainGroup].[MainGroupDesc].&amp;[Bilgi Sistemleri]"/>
              </i>
              <i n="[Material].[H_MainGroup].[MainGroupDesc].&amp;[Bilgi Sistemleri].&amp;[Hizmet/Bakım]" c="Hizmet/Bakım" nd="1">
                <p n="[Material].[H_MainGroup].[MainGroupDesc].&amp;[Bilgi Sistemleri]"/>
              </i>
              <i n="[Material].[H_MainGroup].[MainGroupDesc].&amp;[Bilgi Sistemleri].&amp;[Kamera]" c="Kamera" nd="1">
                <p n="[Material].[H_MainGroup].[MainGroupDesc].&amp;[Bilgi Sistemleri]"/>
              </i>
              <i n="[Material].[H_MainGroup].[MainGroupDesc].&amp;[Bilgi Sistemleri].&amp;[Lisans]" c="Lisans" nd="1">
                <p n="[Material].[H_MainGroup].[MainGroupDesc].&amp;[Bilgi Sistemleri]"/>
              </i>
              <i n="[Material].[H_MainGroup].[MainGroupDesc].&amp;[Cafe].&amp;[#NA]" c="#NA" nd="1">
                <p n="[Material].[H_MainGroup].[MainGroupDesc].&amp;[Cafe]"/>
              </i>
              <i n="[Material].[H_MainGroup].[MainGroupDesc].&amp;[Cafe].&amp;[Çikolata Kaplı Badem]" c="Çikolata Kaplı Badem" nd="1">
                <p n="[Material].[H_MainGroup].[MainGroupDesc].&amp;[Cafe]"/>
              </i>
              <i n="[Material].[H_MainGroup].[MainGroupDesc].&amp;[Cafe].&amp;[Gıda]" c="Gıda" nd="1">
                <p n="[Material].[H_MainGroup].[MainGroupDesc].&amp;[Cafe]"/>
              </i>
              <i n="[Material].[H_MainGroup].[MainGroupDesc].&amp;[Çarşaf].&amp;[#NA]" c="#NA" nd="1">
                <p n="[Material].[H_MainGroup].[MainGroupDesc].&amp;[Çarşaf]"/>
              </i>
              <i n="[Material].[H_MainGroup].[MainGroupDesc].&amp;[Çarşaf].&amp;[Çarşaf Takımı]" c="Çarşaf Takımı" nd="1">
                <p n="[Material].[H_MainGroup].[MainGroupDesc].&amp;[Çarşaf]"/>
              </i>
              <i n="[Material].[H_MainGroup].[MainGroupDesc].&amp;[Dünya Markaları].&amp;[#NA]" c="#NA" nd="1">
                <p n="[Material].[H_MainGroup].[MainGroupDesc].&amp;[Dünya Markaları]"/>
              </i>
              <i n="[Material].[H_MainGroup].[MainGroupDesc].&amp;[Dünya Markaları].&amp;[DM Fırın Kabı]" c="DM Fırın Kabı" nd="1">
                <p n="[Material].[H_MainGroup].[MainGroupDesc].&amp;[Dünya Markaları]"/>
              </i>
              <i n="[Material].[H_MainGroup].[MainGroupDesc].&amp;[Dünya Markaları].&amp;[DM Rende]" c="DM Rende" nd="1">
                <p n="[Material].[H_MainGroup].[MainGroupDesc].&amp;[Dünya Markaları]"/>
              </i>
              <i n="[Material].[H_MainGroup].[MainGroupDesc].&amp;[EBA].&amp;[#NA]" c="#NA" nd="1">
                <p n="[Material].[H_MainGroup].[MainGroupDesc].&amp;[EBA]"/>
              </i>
              <i n="[Material].[H_MainGroup].[MainGroupDesc].&amp;[EBA].&amp;[Hizmet/İdari]" c="Hizmet/İdari" nd="1">
                <p n="[Material].[H_MainGroup].[MainGroupDesc].&amp;[EBA]"/>
              </i>
              <i n="[Material].[H_MainGroup].[MainGroupDesc].&amp;[EBA].&amp;[Numuneler]" c="Numuneler" nd="1">
                <p n="[Material].[H_MainGroup].[MainGroupDesc].&amp;[EBA]"/>
              </i>
              <i n="[Material].[H_MainGroup].[MainGroupDesc].&amp;[Entegrasyon].&amp;[#NA]" c="#NA" nd="1">
                <p n="[Material].[H_MainGroup].[MainGroupDesc].&amp;[Entegrasyon]"/>
              </i>
              <i n="[Material].[H_MainGroup].[MainGroupDesc].&amp;[Entegrasyon].&amp;[Bulaşık Deterjanı]" c="Bulaşık Deterjanı" nd="1">
                <p n="[Material].[H_MainGroup].[MainGroupDesc].&amp;[Entegrasyon]"/>
              </i>
              <i n="[Material].[H_MainGroup].[MainGroupDesc].&amp;[Entegrasyon].&amp;[Entegrasyon MG]" c="Entegrasyon MG" nd="1">
                <p n="[Material].[H_MainGroup].[MainGroupDesc].&amp;[Entegrasyon]"/>
              </i>
              <i n="[Material].[H_MainGroup].[MainGroupDesc].&amp;[Ev Giysisi].&amp;[Eşofman Takımı]" c="Eşofman Takımı" nd="1">
                <p n="[Material].[H_MainGroup].[MainGroupDesc].&amp;[Ev Giysisi]"/>
              </i>
              <i n="[Material].[H_MainGroup].[MainGroupDesc].&amp;[Halı - Kilim].&amp;[#NA]" c="#NA" nd="1">
                <p n="[Material].[H_MainGroup].[MainGroupDesc].&amp;[Halı - Kilim]"/>
              </i>
              <i n="[Material].[H_MainGroup].[MainGroupDesc].&amp;[Halı - Kilim].&amp;[Halı Tabanı]" c="Halı Tabanı" nd="1">
                <p n="[Material].[H_MainGroup].[MainGroupDesc].&amp;[Halı - Kilim]"/>
              </i>
              <i n="[Material].[H_MainGroup].[MainGroupDesc].&amp;[Havlu].&amp;[#NA]" c="#NA" nd="1">
                <p n="[Material].[H_MainGroup].[MainGroupDesc].&amp;[Havlu]"/>
              </i>
              <i n="[Material].[H_MainGroup].[MainGroupDesc].&amp;[Havlu].&amp;[Banyo Bonesi]" c="Banyo Bonesi" nd="1">
                <p n="[Material].[H_MainGroup].[MainGroupDesc].&amp;[Havlu]"/>
              </i>
              <i n="[Material].[H_MainGroup].[MainGroupDesc].&amp;[Havlu].&amp;[Peştamal Set]" c="Peştamal Set" nd="1">
                <p n="[Material].[H_MainGroup].[MainGroupDesc].&amp;[Havlu]"/>
              </i>
              <i n="[Material].[H_MainGroup].[MainGroupDesc].&amp;[Havlu].&amp;[Spor Havlusu]" c="Spor Havlusu" nd="1">
                <p n="[Material].[H_MainGroup].[MainGroupDesc].&amp;[Havlu]"/>
              </i>
              <i n="[Material].[H_MainGroup].[MainGroupDesc].&amp;[Havlu].&amp;[Vaftiz Havlusu]" c="Vaftiz Havlusu" nd="1">
                <p n="[Material].[H_MainGroup].[MainGroupDesc].&amp;[Havlu]"/>
              </i>
              <i n="[Material].[H_MainGroup].[MainGroupDesc].&amp;[İnsan Kaynakları].&amp;[#NA]" c="#NA" nd="1">
                <p n="[Material].[H_MainGroup].[MainGroupDesc].&amp;[İnsan Kaynakları]"/>
              </i>
              <i n="[Material].[H_MainGroup].[MainGroupDesc].&amp;[İnsan Kaynakları].&amp;[IK Ofis - Kırtasiye]" c="IK Ofis - Kırtasiye" nd="1">
                <p n="[Material].[H_MainGroup].[MainGroupDesc].&amp;[İnsan Kaynakları]"/>
              </i>
              <i n="[Material].[H_MainGroup].[MainGroupDesc].&amp;[KEA].&amp;[#NA]" c="#NA" nd="1">
                <p n="[Material].[H_MainGroup].[MainGroupDesc].&amp;[KEA]"/>
              </i>
              <i n="[Material].[H_MainGroup].[MainGroupDesc].&amp;[KEA].&amp;[Buharlı Düzleştirici]" c="Buharlı Düzleştirici" nd="1">
                <p n="[Material].[H_MainGroup].[MainGroupDesc].&amp;[KEA]"/>
              </i>
              <i n="[Material].[H_MainGroup].[MainGroupDesc].&amp;[KEA].&amp;[Buharlı El Ütüsü]" c="Buharlı El Ütüsü" nd="1">
                <p n="[Material].[H_MainGroup].[MainGroupDesc].&amp;[KEA]"/>
              </i>
              <i n="[Material].[H_MainGroup].[MainGroupDesc].&amp;[KEA].&amp;[Buharlı Temizleyici]" c="Buharlı Temizleyici" nd="1">
                <p n="[Material].[H_MainGroup].[MainGroupDesc].&amp;[KEA]"/>
              </i>
              <i n="[Material].[H_MainGroup].[MainGroupDesc].&amp;[KEA].&amp;[Derin Yağ Fritözü]" c="Derin Yağ Fritözü" nd="1">
                <p n="[Material].[H_MainGroup].[MainGroupDesc].&amp;[KEA]"/>
              </i>
              <i n="[Material].[H_MainGroup].[MainGroupDesc].&amp;[KEA].&amp;[Düzleştirici]" c="Düzleştirici" nd="1">
                <p n="[Material].[H_MainGroup].[MainGroupDesc].&amp;[KEA]"/>
              </i>
              <i n="[Material].[H_MainGroup].[MainGroupDesc].&amp;[KEA].&amp;[Düzleştirme Tarağı]" c="Düzleştirme Tarağı" nd="1">
                <p n="[Material].[H_MainGroup].[MainGroupDesc].&amp;[KEA]"/>
              </i>
              <i n="[Material].[H_MainGroup].[MainGroupDesc].&amp;[KEA].&amp;[Elektirikli Diş Fırç]" c="Elektirikli Diş Fırç" nd="1">
                <p n="[Material].[H_MainGroup].[MainGroupDesc].&amp;[KEA]"/>
              </i>
              <i n="[Material].[H_MainGroup].[MainGroupDesc].&amp;[KEA].&amp;[Erkek Tıraş Makinesi]" c="Erkek Tıraş Makinesi" nd="1">
                <p n="[Material].[H_MainGroup].[MainGroupDesc].&amp;[KEA]"/>
              </i>
              <i n="[Material].[H_MainGroup].[MainGroupDesc].&amp;[KEA].&amp;[Islak Kuru Süpürge]" c="Islak Kuru Süpürge" nd="1">
                <p n="[Material].[H_MainGroup].[MainGroupDesc].&amp;[KEA]"/>
              </i>
              <i n="[Material].[H_MainGroup].[MainGroupDesc].&amp;[KEA].&amp;[Kadın Tıraş Makinesi]" c="Kadın Tıraş Makinesi" nd="1">
                <p n="[Material].[H_MainGroup].[MainGroupDesc].&amp;[KEA]"/>
              </i>
              <i n="[Material].[H_MainGroup].[MainGroupDesc].&amp;[KEA].&amp;[Katı Meyve Sıkacağı]" c="Katı Meyve Sıkacağı" nd="1">
                <p n="[Material].[H_MainGroup].[MainGroupDesc].&amp;[KEA]"/>
              </i>
              <i n="[Material].[H_MainGroup].[MainGroupDesc].&amp;[KEA].&amp;[Kıyma Makinesi]" c="Kıyma Makinesi" nd="1">
                <p n="[Material].[H_MainGroup].[MainGroupDesc].&amp;[KEA]"/>
              </i>
              <i n="[Material].[H_MainGroup].[MainGroupDesc].&amp;[KEA].&amp;[Krep Makinesi]" c="Krep Makinesi" nd="1">
                <p n="[Material].[H_MainGroup].[MainGroupDesc].&amp;[KEA]"/>
              </i>
              <i n="[Material].[H_MainGroup].[MainGroupDesc].&amp;[KEA].&amp;[Mutfak Robotu]" c="Mutfak Robotu" nd="1">
                <p n="[Material].[H_MainGroup].[MainGroupDesc].&amp;[KEA]"/>
              </i>
              <i n="[Material].[H_MainGroup].[MainGroupDesc].&amp;[KEA].&amp;[Narenciye Sıkacağı]" c="Narenciye Sıkacağı" nd="1">
                <p n="[Material].[H_MainGroup].[MainGroupDesc].&amp;[KEA]"/>
              </i>
              <i n="[Material].[H_MainGroup].[MainGroupDesc].&amp;[KEA].&amp;[Oyun Konsolları]" c="Oyun Konsolları" nd="1">
                <p n="[Material].[H_MainGroup].[MainGroupDesc].&amp;[KEA]"/>
              </i>
              <i n="[Material].[H_MainGroup].[MainGroupDesc].&amp;[KEA].&amp;[Robot Süpürge]" c="Robot Süpürge" nd="1">
                <p n="[Material].[H_MainGroup].[MainGroupDesc].&amp;[KEA]"/>
              </i>
              <i n="[Material].[H_MainGroup].[MainGroupDesc].&amp;[KEA].&amp;[Saç Düzleştirici]" c="Saç Düzleştirici" nd="1">
                <p n="[Material].[H_MainGroup].[MainGroupDesc].&amp;[KEA]"/>
              </i>
              <i n="[Material].[H_MainGroup].[MainGroupDesc].&amp;[KEA].&amp;[Saç Maşası]" c="Saç Maşası" nd="1">
                <p n="[Material].[H_MainGroup].[MainGroupDesc].&amp;[KEA]"/>
              </i>
              <i n="[Material].[H_MainGroup].[MainGroupDesc].&amp;[KEA].&amp;[Saç Şekillendirici]" c="Saç Şekillendirici" nd="1">
                <p n="[Material].[H_MainGroup].[MainGroupDesc].&amp;[KEA]"/>
              </i>
              <i n="[Material].[H_MainGroup].[MainGroupDesc].&amp;[KEA].&amp;[Sandviç Mono]" c="Sandviç Mono" nd="1">
                <p n="[Material].[H_MainGroup].[MainGroupDesc].&amp;[KEA]"/>
              </i>
              <i n="[Material].[H_MainGroup].[MainGroupDesc].&amp;[KEA].&amp;[Seyahat Ütüsü]" c="Seyahat Ütüsü" nd="1">
                <p n="[Material].[H_MainGroup].[MainGroupDesc].&amp;[KEA]"/>
              </i>
              <i n="[Material].[H_MainGroup].[MainGroupDesc].&amp;[KEA].&amp;[Silindir Süpürge]" c="Silindir Süpürge" nd="1">
                <p n="[Material].[H_MainGroup].[MainGroupDesc].&amp;[KEA]"/>
              </i>
              <i n="[Material].[H_MainGroup].[MainGroupDesc].&amp;[KEA].&amp;[Slow Juicer]" c="Slow Juicer" nd="1">
                <p n="[Material].[H_MainGroup].[MainGroupDesc].&amp;[KEA]"/>
              </i>
              <i n="[Material].[H_MainGroup].[MainGroupDesc].&amp;[KEA].&amp;[Toz Torbasız Süpürge]" c="Toz Torbasız Süpürge" nd="1">
                <p n="[Material].[H_MainGroup].[MainGroupDesc].&amp;[KEA]"/>
              </i>
              <i n="[Material].[H_MainGroup].[MainGroupDesc].&amp;[Kozmetik].&amp;[#NA]" c="#NA" nd="1">
                <p n="[Material].[H_MainGroup].[MainGroupDesc].&amp;[Kozmetik]"/>
              </i>
              <i n="[Material].[H_MainGroup].[MainGroupDesc].&amp;[Kozmetik].&amp;[Allık]" c="Allık" nd="1">
                <p n="[Material].[H_MainGroup].[MainGroupDesc].&amp;[Kozmetik]"/>
              </i>
              <i n="[Material].[H_MainGroup].[MainGroupDesc].&amp;[Kozmetik].&amp;[Ayak Bakım Kremi]" c="Ayak Bakım Kremi" nd="1">
                <p n="[Material].[H_MainGroup].[MainGroupDesc].&amp;[Kozmetik]"/>
              </i>
              <i n="[Material].[H_MainGroup].[MainGroupDesc].&amp;[Kozmetik].&amp;[Ayak Peelingi]" c="Ayak Peelingi" nd="1">
                <p n="[Material].[H_MainGroup].[MainGroupDesc].&amp;[Kozmetik]"/>
              </i>
              <i n="[Material].[H_MainGroup].[MainGroupDesc].&amp;[Kozmetik].&amp;[Aydınlatıcı]" c="Aydınlatıcı" nd="1">
                <p n="[Material].[H_MainGroup].[MainGroupDesc].&amp;[Kozmetik]"/>
              </i>
              <i n="[Material].[H_MainGroup].[MainGroupDesc].&amp;[Kozmetik].&amp;[Bakım Seti]" c="Bakım Seti" nd="1">
                <p n="[Material].[H_MainGroup].[MainGroupDesc].&amp;[Kozmetik]"/>
              </i>
              <i n="[Material].[H_MainGroup].[MainGroupDesc].&amp;[Kozmetik].&amp;[Banyo Tuzu]" c="Banyo Tuzu" nd="1">
                <p n="[Material].[H_MainGroup].[MainGroupDesc].&amp;[Kozmetik]"/>
              </i>
              <i n="[Material].[H_MainGroup].[MainGroupDesc].&amp;[Kozmetik].&amp;[Bebe Bakım Seti]" c="Bebe Bakım Seti" nd="1">
                <p n="[Material].[H_MainGroup].[MainGroupDesc].&amp;[Kozmetik]"/>
              </i>
              <i n="[Material].[H_MainGroup].[MainGroupDesc].&amp;[Kozmetik].&amp;[Bebek Yağı]" c="Bebek Yağı" nd="1">
                <p n="[Material].[H_MainGroup].[MainGroupDesc].&amp;[Kozmetik]"/>
              </i>
              <i n="[Material].[H_MainGroup].[MainGroupDesc].&amp;[Kozmetik].&amp;[Bigudi]" c="Bigudi" nd="1">
                <p n="[Material].[H_MainGroup].[MainGroupDesc].&amp;[Kozmetik]"/>
              </i>
              <i n="[Material].[H_MainGroup].[MainGroupDesc].&amp;[Kozmetik].&amp;[Body Mist&amp;Losyon Set]" c="Body Mist&amp;Losyon Set" nd="1">
                <p n="[Material].[H_MainGroup].[MainGroupDesc].&amp;[Kozmetik]"/>
              </i>
              <i n="[Material].[H_MainGroup].[MainGroupDesc].&amp;[Kozmetik].&amp;[Body Polish]" c="Body Polish" nd="1">
                <p n="[Material].[H_MainGroup].[MainGroupDesc].&amp;[Kozmetik]"/>
              </i>
              <i n="[Material].[H_MainGroup].[MainGroupDesc].&amp;[Kozmetik].&amp;[Bronzlaştırıcı]" c="Bronzlaştırıcı" nd="1">
                <p n="[Material].[H_MainGroup].[MainGroupDesc].&amp;[Kozmetik]"/>
              </i>
              <i n="[Material].[H_MainGroup].[MainGroupDesc].&amp;[Kozmetik].&amp;[Buklet Set]" c="Buklet Set" nd="1">
                <p n="[Material].[H_MainGroup].[MainGroupDesc].&amp;[Kozmetik]"/>
              </i>
              <i n="[Material].[H_MainGroup].[MainGroupDesc].&amp;[Kozmetik].&amp;[Çamaşır Spreyi]" c="Çamaşır Spreyi" nd="1">
                <p n="[Material].[H_MainGroup].[MainGroupDesc].&amp;[Kozmetik]"/>
              </i>
              <i n="[Material].[H_MainGroup].[MainGroupDesc].&amp;[Kozmetik].&amp;[Çamaşır Yumuşatıcısı]" c="Çamaşır Yumuşatıcısı" nd="1">
                <p n="[Material].[H_MainGroup].[MainGroupDesc].&amp;[Kozmetik]"/>
              </i>
              <i n="[Material].[H_MainGroup].[MainGroupDesc].&amp;[Kozmetik].&amp;[Cilt Temizleme Fırça]" c="Cilt Temizleme Fırça" nd="1">
                <p n="[Material].[H_MainGroup].[MainGroupDesc].&amp;[Kozmetik]"/>
              </i>
              <i n="[Material].[H_MainGroup].[MainGroupDesc].&amp;[Kozmetik].&amp;[Cımbız]" c="Cımbız" nd="1">
                <p n="[Material].[H_MainGroup].[MainGroupDesc].&amp;[Kozmetik]"/>
              </i>
              <i n="[Material].[H_MainGroup].[MainGroupDesc].&amp;[Kozmetik].&amp;[Deodorant]" c="Deodorant" nd="1">
                <p n="[Material].[H_MainGroup].[MainGroupDesc].&amp;[Kozmetik]"/>
              </i>
              <i n="[Material].[H_MainGroup].[MainGroupDesc].&amp;[Kozmetik].&amp;[Deterjan]" c="Deterjan" nd="1">
                <p n="[Material].[H_MainGroup].[MainGroupDesc].&amp;[Kozmetik]"/>
              </i>
              <i n="[Material].[H_MainGroup].[MainGroupDesc].&amp;[Kozmetik].&amp;[Diş Fırçası]" c="Diş Fırçası" nd="1">
                <p n="[Material].[H_MainGroup].[MainGroupDesc].&amp;[Kozmetik]"/>
              </i>
              <i n="[Material].[H_MainGroup].[MainGroupDesc].&amp;[Kozmetik].&amp;[Diş Fırçası Kabı]" c="Diş Fırçası Kabı" nd="1">
                <p n="[Material].[H_MainGroup].[MainGroupDesc].&amp;[Kozmetik]"/>
              </i>
              <i n="[Material].[H_MainGroup].[MainGroupDesc].&amp;[Kozmetik].&amp;[Duş Lifi]" c="Duş Lifi" nd="1">
                <p n="[Material].[H_MainGroup].[MainGroupDesc].&amp;[Kozmetik]"/>
              </i>
              <i n="[Material].[H_MainGroup].[MainGroupDesc].&amp;[Kozmetik].&amp;[El Temizleme Jeli]" c="El Temizleme Jeli" nd="1">
                <p n="[Material].[H_MainGroup].[MainGroupDesc].&amp;[Kozmetik]"/>
              </i>
              <i n="[Material].[H_MainGroup].[MainGroupDesc].&amp;[Kozmetik].&amp;[El Vücut Bakım Kremi]" c="El Vücut Bakım Kremi" nd="1">
                <p n="[Material].[H_MainGroup].[MainGroupDesc].&amp;[Kozmetik]"/>
              </i>
              <i n="[Material].[H_MainGroup].[MainGroupDesc].&amp;[Kozmetik].&amp;[Eyeliner]" c="Eyeliner" nd="1">
                <p n="[Material].[H_MainGroup].[MainGroupDesc].&amp;[Kozmetik]"/>
              </i>
              <i n="[Material].[H_MainGroup].[MainGroupDesc].&amp;[Kozmetik].&amp;[Göz Farı]" c="Göz Farı" nd="1">
                <p n="[Material].[H_MainGroup].[MainGroupDesc].&amp;[Kozmetik]"/>
              </i>
              <i n="[Material].[H_MainGroup].[MainGroupDesc].&amp;[Kozmetik].&amp;[Gül Suyu]" c="Gül Suyu" nd="1">
                <p n="[Material].[H_MainGroup].[MainGroupDesc].&amp;[Kozmetik]"/>
              </i>
              <i n="[Material].[H_MainGroup].[MainGroupDesc].&amp;[Kozmetik].&amp;[Güneş Sonrası Jel]" c="Güneş Sonrası Jel" nd="1">
                <p n="[Material].[H_MainGroup].[MainGroupDesc].&amp;[Kozmetik]"/>
              </i>
              <i n="[Material].[H_MainGroup].[MainGroupDesc].&amp;[Kozmetik].&amp;[Hediyelik Set]" c="Hediyelik Set" nd="1">
                <p n="[Material].[H_MainGroup].[MainGroupDesc].&amp;[Kozmetik]"/>
              </i>
              <i n="[Material].[H_MainGroup].[MainGroupDesc].&amp;[Kozmetik].&amp;[Islak Mendil]" c="Islak Mendil" nd="1">
                <p n="[Material].[H_MainGroup].[MainGroupDesc].&amp;[Kozmetik]"/>
              </i>
              <i n="[Material].[H_MainGroup].[MainGroupDesc].&amp;[Kozmetik].&amp;[Kirpik Kıvırıcı]" c="Kirpik Kıvırıcı" nd="1">
                <p n="[Material].[H_MainGroup].[MainGroupDesc].&amp;[Kozmetik]"/>
              </i>
              <i n="[Material].[H_MainGroup].[MainGroupDesc].&amp;[Kozmetik].&amp;[Lip Balm]" c="Lip Balm" nd="1">
                <p n="[Material].[H_MainGroup].[MainGroupDesc].&amp;[Kozmetik]"/>
              </i>
              <i n="[Material].[H_MainGroup].[MainGroupDesc].&amp;[Kozmetik].&amp;[Makyaj Aynası]" c="Makyaj Aynası" nd="1">
                <p n="[Material].[H_MainGroup].[MainGroupDesc].&amp;[Kozmetik]"/>
              </i>
              <i n="[Material].[H_MainGroup].[MainGroupDesc].&amp;[Kozmetik].&amp;[Makyaj Fırçası]" c="Makyaj Fırçası" nd="1">
                <p n="[Material].[H_MainGroup].[MainGroupDesc].&amp;[Kozmetik]"/>
              </i>
              <i n="[Material].[H_MainGroup].[MainGroupDesc].&amp;[Kozmetik].&amp;[Makyaj Süngeri]" c="Makyaj Süngeri" nd="1">
                <p n="[Material].[H_MainGroup].[MainGroupDesc].&amp;[Kozmetik]"/>
              </i>
              <i n="[Material].[H_MainGroup].[MainGroupDesc].&amp;[Kozmetik].&amp;[Makyaj Temizleme Men]" c="Makyaj Temizleme Men" nd="1">
                <p n="[Material].[H_MainGroup].[MainGroupDesc].&amp;[Kozmetik]"/>
              </i>
              <i n="[Material].[H_MainGroup].[MainGroupDesc].&amp;[Kozmetik].&amp;[Manikür Seti]" c="Manikür Seti" nd="1">
                <p n="[Material].[H_MainGroup].[MainGroupDesc].&amp;[Kozmetik]"/>
              </i>
              <i n="[Material].[H_MainGroup].[MainGroupDesc].&amp;[Kozmetik].&amp;[Maskara]" c="Maskara" nd="1">
                <p n="[Material].[H_MainGroup].[MainGroupDesc].&amp;[Kozmetik]"/>
              </i>
              <i n="[Material].[H_MainGroup].[MainGroupDesc].&amp;[Kozmetik].&amp;[Micellar Su]" c="Micellar Su" nd="1">
                <p n="[Material].[H_MainGroup].[MainGroupDesc].&amp;[Kozmetik]"/>
              </i>
              <i n="[Material].[H_MainGroup].[MainGroupDesc].&amp;[Kozmetik].&amp;[Parfüm&amp;El Kremi Set]" c="Parfüm&amp;El Kremi Set" nd="1">
                <p n="[Material].[H_MainGroup].[MainGroupDesc].&amp;[Kozmetik]"/>
              </i>
              <i n="[Material].[H_MainGroup].[MainGroupDesc].&amp;[Kozmetik].&amp;[Ponza Taşı]" c="Ponza Taşı" nd="1">
                <p n="[Material].[H_MainGroup].[MainGroupDesc].&amp;[Kozmetik]"/>
              </i>
              <i n="[Material].[H_MainGroup].[MainGroupDesc].&amp;[Kozmetik].&amp;[Refil]" c="Refil" nd="1">
                <p n="[Material].[H_MainGroup].[MainGroupDesc].&amp;[Kozmetik]"/>
              </i>
              <i n="[Material].[H_MainGroup].[MainGroupDesc].&amp;[Kozmetik].&amp;[Saç Fırçası]" c="Saç Fırçası" nd="1">
                <p n="[Material].[H_MainGroup].[MainGroupDesc].&amp;[Kozmetik]"/>
              </i>
              <i n="[Material].[H_MainGroup].[MainGroupDesc].&amp;[Kozmetik].&amp;[Şampuan]" c="Şampuan" nd="1">
                <p n="[Material].[H_MainGroup].[MainGroupDesc].&amp;[Kozmetik]"/>
              </i>
              <i n="[Material].[H_MainGroup].[MainGroupDesc].&amp;[Kozmetik].&amp;[Seyahat Seti]" c="Seyahat Seti" nd="1">
                <p n="[Material].[H_MainGroup].[MainGroupDesc].&amp;[Kozmetik]"/>
              </i>
              <i n="[Material].[H_MainGroup].[MainGroupDesc].&amp;[Kozmetik].&amp;[Sıvı Saç Kremi]" c="Sıvı Saç Kremi" nd="1">
                <p n="[Material].[H_MainGroup].[MainGroupDesc].&amp;[Kozmetik]"/>
              </i>
              <i n="[Material].[H_MainGroup].[MainGroupDesc].&amp;[Kozmetik].&amp;[Sugar Scrub]" c="Sugar Scrub" nd="1">
                <p n="[Material].[H_MainGroup].[MainGroupDesc].&amp;[Kozmetik]"/>
              </i>
              <i n="[Material].[H_MainGroup].[MainGroupDesc].&amp;[Kozmetik].&amp;[Tonik]" c="Tonik" nd="1">
                <p n="[Material].[H_MainGroup].[MainGroupDesc].&amp;[Kozmetik]"/>
              </i>
              <i n="[Material].[H_MainGroup].[MainGroupDesc].&amp;[Kozmetik].&amp;[Törpü]" c="Törpü" nd="1">
                <p n="[Material].[H_MainGroup].[MainGroupDesc].&amp;[Kozmetik]"/>
              </i>
              <i n="[Material].[H_MainGroup].[MainGroupDesc].&amp;[Kozmetik].&amp;[WHT Kokulu Mum]" c="WHT Kokulu Mum" nd="1">
                <p n="[Material].[H_MainGroup].[MainGroupDesc].&amp;[Kozmetik]"/>
              </i>
              <i n="[Material].[H_MainGroup].[MainGroupDesc].&amp;[Kozmetik].&amp;[Yüz Temizleme Jeli]" c="Yüz Temizleme Jeli" nd="1">
                <p n="[Material].[H_MainGroup].[MainGroupDesc].&amp;[Kozmetik]"/>
              </i>
              <i n="[Material].[H_MainGroup].[MainGroupDesc].&amp;[Küçük Elektrikli Ev Aletleri].&amp;[#NA]" c="#NA" nd="1">
                <p n="[Material].[H_MainGroup].[MainGroupDesc].&amp;[Küçük Elektrikli Ev Aletleri]"/>
              </i>
              <i n="[Material].[H_MainGroup].[MainGroupDesc].&amp;[Küçük Elektrikli Ev Aletleri].&amp;[Baskül]" c="Baskül" nd="1">
                <p n="[Material].[H_MainGroup].[MainGroupDesc].&amp;[Küçük Elektrikli Ev Aletleri]"/>
              </i>
              <i n="[Material].[H_MainGroup].[MainGroupDesc].&amp;[Küçük Elektrikli Ev Aletleri].&amp;[Blender Set]" c="Blender Set" nd="1">
                <p n="[Material].[H_MainGroup].[MainGroupDesc].&amp;[Küçük Elektrikli Ev Aletleri]"/>
              </i>
              <i n="[Material].[H_MainGroup].[MainGroupDesc].&amp;[Küçük Elektrikli Ev Aletleri].&amp;[Buharlı Pişirici]" c="Buharlı Pişirici" nd="1">
                <p n="[Material].[H_MainGroup].[MainGroupDesc].&amp;[Küçük Elektrikli Ev Aletleri]"/>
              </i>
              <i n="[Material].[H_MainGroup].[MainGroupDesc].&amp;[Küçük Elektrikli Ev Aletleri].&amp;[Çaycı]" c="Çaycı" nd="1">
                <p n="[Material].[H_MainGroup].[MainGroupDesc].&amp;[Küçük Elektrikli Ev Aletleri]"/>
              </i>
              <i n="[Material].[H_MainGroup].[MainGroupDesc].&amp;[Küçük Elektrikli Ev Aletleri].&amp;[Dik Süpürge]" c="Dik Süpürge" nd="1">
                <p n="[Material].[H_MainGroup].[MainGroupDesc].&amp;[Küçük Elektrikli Ev Aletleri]"/>
              </i>
              <i n="[Material].[H_MainGroup].[MainGroupDesc].&amp;[Küçük Elektrikli Ev Aletleri].&amp;[Dikiş Makinesi]" c="Dikiş Makinesi" nd="1">
                <p n="[Material].[H_MainGroup].[MainGroupDesc].&amp;[Küçük Elektrikli Ev Aletleri]"/>
              </i>
              <i n="[Material].[H_MainGroup].[MainGroupDesc].&amp;[Küçük Elektrikli Ev Aletleri].&amp;[Ekmek Kızrtma Makine]" c="Ekmek Kızrtma Makine" nd="1">
                <p n="[Material].[H_MainGroup].[MainGroupDesc].&amp;[Küçük Elektrikli Ev Aletleri]"/>
              </i>
              <i n="[Material].[H_MainGroup].[MainGroupDesc].&amp;[Küçük Elektrikli Ev Aletleri].&amp;[El Mikseri]" c="El Mikseri" nd="1">
                <p n="[Material].[H_MainGroup].[MainGroupDesc].&amp;[Küçük Elektrikli Ev Aletleri]"/>
              </i>
              <i n="[Material].[H_MainGroup].[MainGroupDesc].&amp;[Küçük Elektrikli Ev Aletleri].&amp;[Erkek Bakım Kiti]" c="Erkek Bakım Kiti" nd="1">
                <p n="[Material].[H_MainGroup].[MainGroupDesc].&amp;[Küçük Elektrikli Ev Aletleri]"/>
              </i>
              <i n="[Material].[H_MainGroup].[MainGroupDesc].&amp;[Küçük Elektrikli Ev Aletleri].&amp;[Filtre Kahve Makines]" c="Filtre Kahve Makines" nd="1">
                <p n="[Material].[H_MainGroup].[MainGroupDesc].&amp;[Küçük Elektrikli Ev Aletleri]"/>
              </i>
              <i n="[Material].[H_MainGroup].[MainGroupDesc].&amp;[Küçük Elektrikli Ev Aletleri].&amp;[Mutfak Tartısı]" c="Mutfak Tartısı" nd="1">
                <p n="[Material].[H_MainGroup].[MainGroupDesc].&amp;[Küçük Elektrikli Ev Aletleri]"/>
              </i>
              <i n="[Material].[H_MainGroup].[MainGroupDesc].&amp;[Küçük Elektrikli Ev Aletleri].&amp;[Rondo]" c="Rondo" nd="1">
                <p n="[Material].[H_MainGroup].[MainGroupDesc].&amp;[Küçük Elektrikli Ev Aletleri]"/>
              </i>
              <i n="[Material].[H_MainGroup].[MainGroupDesc].&amp;[Küçük Elektrikli Ev Aletleri].&amp;[Saç Düzleştiricisi]" c="Saç Düzleştiricisi" nd="1">
                <p n="[Material].[H_MainGroup].[MainGroupDesc].&amp;[Küçük Elektrikli Ev Aletleri]"/>
              </i>
              <i n="[Material].[H_MainGroup].[MainGroupDesc].&amp;[Küçük Elektrikli Ev Aletleri].&amp;[Saç Kurutma Makinesi]" c="Saç Kurutma Makinesi" nd="1">
                <p n="[Material].[H_MainGroup].[MainGroupDesc].&amp;[Küçük Elektrikli Ev Aletleri]"/>
              </i>
              <i n="[Material].[H_MainGroup].[MainGroupDesc].&amp;[Küçük Elektrikli Ev Aletleri].&amp;[Salon Pro System]" c="Salon Pro System" nd="1">
                <p n="[Material].[H_MainGroup].[MainGroupDesc].&amp;[Küçük Elektrikli Ev Aletleri]"/>
              </i>
              <i n="[Material].[H_MainGroup].[MainGroupDesc].&amp;[Küçük Elektrikli Ev Aletleri].&amp;[Satinskin Pro System]" c="Satinskin Pro System" nd="1">
                <p n="[Material].[H_MainGroup].[MainGroupDesc].&amp;[Küçük Elektrikli Ev Aletleri]"/>
              </i>
              <i n="[Material].[H_MainGroup].[MainGroupDesc].&amp;[Küçük Elektrikli Ev Aletleri].&amp;[Tost Makinesi]" c="Tost Makinesi" nd="1">
                <p n="[Material].[H_MainGroup].[MainGroupDesc].&amp;[Küçük Elektrikli Ev Aletleri]"/>
              </i>
              <i n="[Material].[H_MainGroup].[MainGroupDesc].&amp;[Küçük Elektrikli Ev Aletleri].&amp;[Toz Torbasız Kuru Va]" c="Toz Torbasız Kuru Va" nd="1">
                <p n="[Material].[H_MainGroup].[MainGroupDesc].&amp;[Küçük Elektrikli Ev Aletleri]"/>
              </i>
              <i n="[Material].[H_MainGroup].[MainGroupDesc].&amp;[Küçük Elektrikli Ev Aletleri].&amp;[Türk Kahvesi Makines]" c="Türk Kahvesi Makines" nd="1">
                <p n="[Material].[H_MainGroup].[MainGroupDesc].&amp;[Küçük Elektrikli Ev Aletleri]"/>
              </i>
              <i n="[Material].[H_MainGroup].[MainGroupDesc].&amp;[Küçük Elektrikli Ev Aletleri].&amp;[Ütü]" c="Ütü" nd="1">
                <p n="[Material].[H_MainGroup].[MainGroupDesc].&amp;[Küçük Elektrikli Ev Aletleri]"/>
              </i>
              <i n="[Material].[H_MainGroup].[MainGroupDesc].&amp;[Küçük Elektrikli Ev Aletleri].&amp;[Yumurta Pişirici]" c="Yumurta Pişirici" nd="1">
                <p n="[Material].[H_MainGroup].[MainGroupDesc].&amp;[Küçük Elektrikli Ev Aletleri]"/>
              </i>
              <i n="[Material].[H_MainGroup].[MainGroupDesc].&amp;[Mağaza Yatırım ve Proje].&amp;[#NA]" c="#NA" nd="1">
                <p n="[Material].[H_MainGroup].[MainGroupDesc].&amp;[Mağaza Yatırım ve Proje]"/>
              </i>
              <i n="[Material].[H_MainGroup].[MainGroupDesc].&amp;[Mağaza Yatırım ve Proje].&amp;[Görsel Unsurlar]" c="Görsel Unsurlar" nd="1">
                <p n="[Material].[H_MainGroup].[MainGroupDesc].&amp;[Mağaza Yatırım ve Proje]"/>
              </i>
              <i n="[Material].[H_MainGroup].[MainGroupDesc].&amp;[Mağaza Yatırım ve Proje].&amp;[Mağaza Duran Varlığı]" c="Mağaza Duran Varlığı" nd="1">
                <p n="[Material].[H_MainGroup].[MainGroupDesc].&amp;[Mağaza Yatırım ve Proje]"/>
              </i>
              <i n="[Material].[H_MainGroup].[MainGroupDesc].&amp;[Mobilya].&amp;[#NA]" c="#NA" nd="1">
                <p n="[Material].[H_MainGroup].[MainGroupDesc].&amp;[Mobilya]"/>
              </i>
              <i n="[Material].[H_MainGroup].[MainGroupDesc].&amp;[Mobilya].&amp;[Ayaklı Askılık]" c="Ayaklı Askılık" nd="1">
                <p n="[Material].[H_MainGroup].[MainGroupDesc].&amp;[Mobilya]"/>
              </i>
              <i n="[Material].[H_MainGroup].[MainGroupDesc].&amp;[Mobilya].&amp;[Mağaza Ünite]" c="Mağaza Ünite" nd="1">
                <p n="[Material].[H_MainGroup].[MainGroupDesc].&amp;[Mobilya]"/>
              </i>
              <i n="[Material].[H_MainGroup].[MainGroupDesc].&amp;[Mobilya Satış].&amp;[#NA]" c="#NA" nd="1">
                <p n="[Material].[H_MainGroup].[MainGroupDesc].&amp;[Mobilya Satış]"/>
              </i>
              <i n="[Material].[H_MainGroup].[MainGroupDesc].&amp;[Mobilya Satış].&amp;[Abajur Ayağı]" c="Abajur Ayağı" nd="1">
                <p n="[Material].[H_MainGroup].[MainGroupDesc].&amp;[Mobilya Satış]"/>
              </i>
              <i n="[Material].[H_MainGroup].[MainGroupDesc].&amp;[Mobilya Satış].&amp;[Abajur Şapkası]" c="Abajur Şapkası" nd="1">
                <p n="[Material].[H_MainGroup].[MainGroupDesc].&amp;[Mobilya Satış]"/>
              </i>
              <i n="[Material].[H_MainGroup].[MainGroupDesc].&amp;[Mobilya Satış].&amp;[Anahtarlık Ünitesi]" c="Anahtarlık Ünitesi" nd="1">
                <p n="[Material].[H_MainGroup].[MainGroupDesc].&amp;[Mobilya Satış]"/>
              </i>
              <i n="[Material].[H_MainGroup].[MainGroupDesc].&amp;[Mobilya Satış].&amp;[Bench]" c="Bench" nd="1">
                <p n="[Material].[H_MainGroup].[MainGroupDesc].&amp;[Mobilya Satış]"/>
              </i>
              <i n="[Material].[H_MainGroup].[MainGroupDesc].&amp;[Mobilya Satış].&amp;[Çalışma Masası]" c="Çalışma Masası" nd="1">
                <p n="[Material].[H_MainGroup].[MainGroupDesc].&amp;[Mobilya Satış]"/>
              </i>
              <i n="[Material].[H_MainGroup].[MainGroupDesc].&amp;[Mobilya Satış].&amp;[Çiçeklik]" c="Çiçeklik" nd="1">
                <p n="[Material].[H_MainGroup].[MainGroupDesc].&amp;[Mobilya Satış]"/>
              </i>
              <i n="[Material].[H_MainGroup].[MainGroupDesc].&amp;[Mobilya Satış].&amp;[Dilsiz Uşak]" c="Dilsiz Uşak" nd="1">
                <p n="[Material].[H_MainGroup].[MainGroupDesc].&amp;[Mobilya Satış]"/>
              </i>
              <i n="[Material].[H_MainGroup].[MainGroupDesc].&amp;[Mobilya Satış].&amp;[Divan]" c="Divan" nd="1">
                <p n="[Material].[H_MainGroup].[MainGroupDesc].&amp;[Mobilya Satış]"/>
              </i>
              <i n="[Material].[H_MainGroup].[MainGroupDesc].&amp;[Mobilya Satış].&amp;[Dolap]" c="Dolap" nd="1">
                <p n="[Material].[H_MainGroup].[MainGroupDesc].&amp;[Mobilya Satış]"/>
              </i>
              <i n="[Material].[H_MainGroup].[MainGroupDesc].&amp;[Mobilya Satış].&amp;[Dresuar]" c="Dresuar" nd="1">
                <p n="[Material].[H_MainGroup].[MainGroupDesc].&amp;[Mobilya Satış]"/>
              </i>
              <i n="[Material].[H_MainGroup].[MainGroupDesc].&amp;[Mobilya Satış].&amp;[Duvar Dolabı]" c="Duvar Dolabı" nd="1">
                <p n="[Material].[H_MainGroup].[MainGroupDesc].&amp;[Mobilya Satış]"/>
              </i>
              <i n="[Material].[H_MainGroup].[MainGroupDesc].&amp;[Mobilya Satış].&amp;[Ecza Dolabı]" c="Ecza Dolabı" nd="1">
                <p n="[Material].[H_MainGroup].[MainGroupDesc].&amp;[Mobilya Satış]"/>
              </i>
              <i n="[Material].[H_MainGroup].[MainGroupDesc].&amp;[Mobilya Satış].&amp;[Komidin]" c="Komidin" nd="1">
                <p n="[Material].[H_MainGroup].[MainGroupDesc].&amp;[Mobilya Satış]"/>
              </i>
              <i n="[Material].[H_MainGroup].[MainGroupDesc].&amp;[Mobilya Satış].&amp;[Makyaj Masası]" c="Makyaj Masası" nd="1">
                <p n="[Material].[H_MainGroup].[MainGroupDesc].&amp;[Mobilya Satış]"/>
              </i>
              <i n="[Material].[H_MainGroup].[MainGroupDesc].&amp;[Mobilya Satış].&amp;[Manken]" c="Manken" nd="1">
                <p n="[Material].[H_MainGroup].[MainGroupDesc].&amp;[Mobilya Satış]"/>
              </i>
              <i n="[Material].[H_MainGroup].[MainGroupDesc].&amp;[Mobilya Satış].&amp;[Masa]" c="Masa" nd="1">
                <p n="[Material].[H_MainGroup].[MainGroupDesc].&amp;[Mobilya Satış]"/>
              </i>
              <i n="[Material].[H_MainGroup].[MainGroupDesc].&amp;[Mobilya Satış].&amp;[Mobilya]" c="Mobilya" nd="1">
                <p n="[Material].[H_MainGroup].[MainGroupDesc].&amp;[Mobilya Satış]"/>
              </i>
              <i n="[Material].[H_MainGroup].[MainGroupDesc].&amp;[Mobilya Satış].&amp;[Oyuncak Kutusu]" c="Oyuncak Kutusu" nd="1">
                <p n="[Material].[H_MainGroup].[MainGroupDesc].&amp;[Mobilya Satış]"/>
              </i>
              <i n="[Material].[H_MainGroup].[MainGroupDesc].&amp;[Mobilya Satış].&amp;[Raf]" c="Raf" nd="1">
                <p n="[Material].[H_MainGroup].[MainGroupDesc].&amp;[Mobilya Satış]"/>
              </i>
              <i n="[Material].[H_MainGroup].[MainGroupDesc].&amp;[Mobilya Satış].&amp;[Servis Arabası]" c="Servis Arabası" nd="1">
                <p n="[Material].[H_MainGroup].[MainGroupDesc].&amp;[Mobilya Satış]"/>
              </i>
              <i n="[Material].[H_MainGroup].[MainGroupDesc].&amp;[Mobilya Satış].&amp;[Tabure]" c="Tabure" nd="1">
                <p n="[Material].[H_MainGroup].[MainGroupDesc].&amp;[Mobilya Satış]"/>
              </i>
              <i n="[Material].[H_MainGroup].[MainGroupDesc].&amp;[Mobilya Satış].&amp;[Takı Dolabı]" c="Takı Dolabı" nd="1">
                <p n="[Material].[H_MainGroup].[MainGroupDesc].&amp;[Mobilya Satış]"/>
              </i>
              <i n="[Material].[H_MainGroup].[MainGroupDesc].&amp;[Mutfak].&amp;[#NA]" c="#NA" nd="1">
                <p n="[Material].[H_MainGroup].[MainGroupDesc].&amp;[Mutfak]"/>
              </i>
              <i n="[Material].[H_MainGroup].[MainGroupDesc].&amp;[Mutfak].&amp;[Bakliyat Torbası]" c="Bakliyat Torbası" nd="1">
                <p n="[Material].[H_MainGroup].[MainGroupDesc].&amp;[Mutfak]"/>
              </i>
              <i n="[Material].[H_MainGroup].[MainGroupDesc].&amp;[Mutfak].&amp;[Barbekü]" c="Barbekü" nd="1">
                <p n="[Material].[H_MainGroup].[MainGroupDesc].&amp;[Mutfak]"/>
              </i>
              <i n="[Material].[H_MainGroup].[MainGroupDesc].&amp;[Mutfak].&amp;[Bardak Kapağı]" c="Bardak Kapağı" nd="1">
                <p n="[Material].[H_MainGroup].[MainGroupDesc].&amp;[Mutfak]"/>
              </i>
              <i n="[Material].[H_MainGroup].[MainGroupDesc].&amp;[Mutfak].&amp;[Bisküvi Kutusu]" c="Bisküvi Kutusu" nd="1">
                <p n="[Material].[H_MainGroup].[MainGroupDesc].&amp;[Mutfak]"/>
              </i>
              <i n="[Material].[H_MainGroup].[MainGroupDesc].&amp;[Mutfak].&amp;[Çay Kutusu]" c="Çay Kutusu" nd="1">
                <p n="[Material].[H_MainGroup].[MainGroupDesc].&amp;[Mutfak]"/>
              </i>
              <i n="[Material].[H_MainGroup].[MainGroupDesc].&amp;[Mutfak].&amp;[Çay Saklama Kabı]" c="Çay Saklama Kabı" nd="1">
                <p n="[Material].[H_MainGroup].[MainGroupDesc].&amp;[Mutfak]"/>
              </i>
              <i n="[Material].[H_MainGroup].[MainGroupDesc].&amp;[Mutfak].&amp;[Çaydanlık Sck Tutma]" c="Çaydanlık Sck Tutma" nd="1">
                <p n="[Material].[H_MainGroup].[MainGroupDesc].&amp;[Mutfak]"/>
              </i>
              <i n="[Material].[H_MainGroup].[MainGroupDesc].&amp;[Mutfak].&amp;[Çeyiz Seti]" c="Çeyiz Seti" nd="1">
                <p n="[Material].[H_MainGroup].[MainGroupDesc].&amp;[Mutfak]"/>
              </i>
              <i n="[Material].[H_MainGroup].[MainGroupDesc].&amp;[Mutfak].&amp;[Çikolata Kalıbı]" c="Çikolata Kalıbı" nd="1">
                <p n="[Material].[H_MainGroup].[MainGroupDesc].&amp;[Mutfak]"/>
              </i>
              <i n="[Material].[H_MainGroup].[MainGroupDesc].&amp;[Mutfak].&amp;[Cupcake Kağıdı]" c="Cupcake Kağıdı" nd="1">
                <p n="[Material].[H_MainGroup].[MainGroupDesc].&amp;[Mutfak]"/>
              </i>
              <i n="[Material].[H_MainGroup].[MainGroupDesc].&amp;[Mutfak].&amp;[Cupcake Set]" c="Cupcake Set" nd="1">
                <p n="[Material].[H_MainGroup].[MainGroupDesc].&amp;[Mutfak]"/>
              </i>
              <i n="[Material].[H_MainGroup].[MainGroupDesc].&amp;[Mutfak].&amp;[Demlik]" c="Demlik" nd="1">
                <p n="[Material].[H_MainGroup].[MainGroupDesc].&amp;[Mutfak]"/>
              </i>
              <i n="[Material].[H_MainGroup].[MainGroupDesc].&amp;[Mutfak].&amp;[Dondurma Kaşığı]" c="Dondurma Kaşığı" nd="1">
                <p n="[Material].[H_MainGroup].[MainGroupDesc].&amp;[Mutfak]"/>
              </i>
              <i n="[Material].[H_MainGroup].[MainGroupDesc].&amp;[Mutfak].&amp;[Ekmek Torbası]" c="Ekmek Torbası" nd="1">
                <p n="[Material].[H_MainGroup].[MainGroupDesc].&amp;[Mutfak]"/>
              </i>
              <i n="[Material].[H_MainGroup].[MainGroupDesc].&amp;[Mutfak].&amp;[Fındık Ceviz Kırcağı]" c="Fındık Ceviz Kırcağı" nd="1">
                <p n="[Material].[H_MainGroup].[MainGroupDesc].&amp;[Mutfak]"/>
              </i>
              <i n="[Material].[H_MainGroup].[MainGroupDesc].&amp;[Mutfak].&amp;[Karıştır-Sakla Set]" c="Karıştır-Sakla Set" nd="1">
                <p n="[Material].[H_MainGroup].[MainGroupDesc].&amp;[Mutfak]"/>
              </i>
              <i n="[Material].[H_MainGroup].[MainGroupDesc].&amp;[Mutfak].&amp;[Kavanoz Örtüsü]" c="Kavanoz Örtüsü" nd="1">
                <p n="[Material].[H_MainGroup].[MainGroupDesc].&amp;[Mutfak]"/>
              </i>
              <i n="[Material].[H_MainGroup].[MainGroupDesc].&amp;[Mutfak].&amp;[Kavanoz Seti]" c="Kavanoz Seti" nd="1">
                <p n="[Material].[H_MainGroup].[MainGroupDesc].&amp;[Mutfak]"/>
              </i>
              <i n="[Material].[H_MainGroup].[MainGroupDesc].&amp;[Mutfak].&amp;[Kavun Oyucu]" c="Kavun Oyucu" nd="1">
                <p n="[Material].[H_MainGroup].[MainGroupDesc].&amp;[Mutfak]"/>
              </i>
              <i n="[Material].[H_MainGroup].[MainGroupDesc].&amp;[Mutfak].&amp;[Kek Spatula Seti]" c="Kek Spatula Seti" nd="1">
                <p n="[Material].[H_MainGroup].[MainGroupDesc].&amp;[Mutfak]"/>
              </i>
              <i n="[Material].[H_MainGroup].[MainGroupDesc].&amp;[Mutfak].&amp;[Kek Spatulası]" c="Kek Spatulası" nd="1">
                <p n="[Material].[H_MainGroup].[MainGroupDesc].&amp;[Mutfak]"/>
              </i>
              <i n="[Material].[H_MainGroup].[MainGroupDesc].&amp;[Mutfak].&amp;[Kestane Çizici]" c="Kestane Çizici" nd="1">
                <p n="[Material].[H_MainGroup].[MainGroupDesc].&amp;[Mutfak]"/>
              </i>
              <i n="[Material].[H_MainGroup].[MainGroupDesc].&amp;[Mutfak].&amp;[Kova]" c="Kova" nd="1">
                <p n="[Material].[H_MainGroup].[MainGroupDesc].&amp;[Mutfak]"/>
              </i>
              <i n="[Material].[H_MainGroup].[MainGroupDesc].&amp;[Mutfak].&amp;[Krema Pompası]" c="Krema Pompası" nd="1">
                <p n="[Material].[H_MainGroup].[MainGroupDesc].&amp;[Mutfak]"/>
              </i>
              <i n="[Material].[H_MainGroup].[MainGroupDesc].&amp;[Mutfak].&amp;[Kupalık]" c="Kupalık" nd="1">
                <p n="[Material].[H_MainGroup].[MainGroupDesc].&amp;[Mutfak]"/>
              </i>
              <i n="[Material].[H_MainGroup].[MainGroupDesc].&amp;[Mutfak].&amp;[Kurabiye Kalıbı]" c="Kurabiye Kalıbı" nd="1">
                <p n="[Material].[H_MainGroup].[MainGroupDesc].&amp;[Mutfak]"/>
              </i>
              <i n="[Material].[H_MainGroup].[MainGroupDesc].&amp;[Mutfak].&amp;[Meşrubat Bardağı Set]" c="Meşrubat Bardağı Set" nd="1">
                <p n="[Material].[H_MainGroup].[MainGroupDesc].&amp;[Mutfak]"/>
              </i>
              <i n="[Material].[H_MainGroup].[MainGroupDesc].&amp;[Mutfak].&amp;[Mikser Kabı]" c="Mikser Kabı" nd="1">
                <p n="[Material].[H_MainGroup].[MainGroupDesc].&amp;[Mutfak]"/>
              </i>
              <i n="[Material].[H_MainGroup].[MainGroupDesc].&amp;[Mutfak].&amp;[Mısır Kovası]" c="Mısır Kovası" nd="1">
                <p n="[Material].[H_MainGroup].[MainGroupDesc].&amp;[Mutfak]"/>
              </i>
              <i n="[Material].[H_MainGroup].[MainGroupDesc].&amp;[Mutfak].&amp;[Mısır Patlatma]" c="Mısır Patlatma" nd="1">
                <p n="[Material].[H_MainGroup].[MainGroupDesc].&amp;[Mutfak]"/>
              </i>
              <i n="[Material].[H_MainGroup].[MainGroupDesc].&amp;[Mutfak].&amp;[Muffin Oyacağı]" c="Muffin Oyacağı" nd="1">
                <p n="[Material].[H_MainGroup].[MainGroupDesc].&amp;[Mutfak]"/>
              </i>
              <i n="[Material].[H_MainGroup].[MainGroupDesc].&amp;[Mutfak].&amp;[Mutfak Çöp Kutusu]" c="Mutfak Çöp Kutusu" nd="1">
                <p n="[Material].[H_MainGroup].[MainGroupDesc].&amp;[Mutfak]"/>
              </i>
              <i n="[Material].[H_MainGroup].[MainGroupDesc].&amp;[Mutfak].&amp;[Mutfak Saklama Kutu]" c="Mutfak Saklama Kutu" nd="1">
                <p n="[Material].[H_MainGroup].[MainGroupDesc].&amp;[Mutfak]"/>
              </i>
              <i n="[Material].[H_MainGroup].[MainGroupDesc].&amp;[Mutfak].&amp;[Mutfak Sepeti]" c="Mutfak Sepeti" nd="1">
                <p n="[Material].[H_MainGroup].[MainGroupDesc].&amp;[Mutfak]"/>
              </i>
              <i n="[Material].[H_MainGroup].[MainGroupDesc].&amp;[Mutfak].&amp;[Mutfak Sıvı Sabunluk]" c="Mutfak Sıvı Sabunluk" nd="1">
                <p n="[Material].[H_MainGroup].[MainGroupDesc].&amp;[Mutfak]"/>
              </i>
              <i n="[Material].[H_MainGroup].[MainGroupDesc].&amp;[Mutfak].&amp;[Nar Ayık-Narency Sık]" c="Nar Ayık-Narency Sık" nd="1">
                <p n="[Material].[H_MainGroup].[MainGroupDesc].&amp;[Mutfak]"/>
              </i>
              <i n="[Material].[H_MainGroup].[MainGroupDesc].&amp;[Mutfak].&amp;[Oto Termos]" c="Oto Termos" nd="1">
                <p n="[Material].[H_MainGroup].[MainGroupDesc].&amp;[Mutfak]"/>
              </i>
              <i n="[Material].[H_MainGroup].[MainGroupDesc].&amp;[Mutfak].&amp;[Pasta - Börek Kabı]" c="Pasta - Börek Kabı" nd="1">
                <p n="[Material].[H_MainGroup].[MainGroupDesc].&amp;[Mutfak]"/>
              </i>
              <i n="[Material].[H_MainGroup].[MainGroupDesc].&amp;[Mutfak].&amp;[Pasta Mumluğu]" c="Pasta Mumluğu" nd="1">
                <p n="[Material].[H_MainGroup].[MainGroupDesc].&amp;[Mutfak]"/>
              </i>
              <i n="[Material].[H_MainGroup].[MainGroupDesc].&amp;[Mutfak].&amp;[Patates Dilimleyici]" c="Patates Dilimleyici" nd="1">
                <p n="[Material].[H_MainGroup].[MainGroupDesc].&amp;[Mutfak]"/>
              </i>
              <i n="[Material].[H_MainGroup].[MainGroupDesc].&amp;[Mutfak].&amp;[Pilav Ve Tatlı Kalıp]" c="Pilav Ve Tatlı Kalıp" nd="1">
                <p n="[Material].[H_MainGroup].[MainGroupDesc].&amp;[Mutfak]"/>
              </i>
              <i n="[Material].[H_MainGroup].[MainGroupDesc].&amp;[Mutfak].&amp;[Salata Kurutucu]" c="Salata Kurutucu" nd="1">
                <p n="[Material].[H_MainGroup].[MainGroupDesc].&amp;[Mutfak]"/>
              </i>
              <i n="[Material].[H_MainGroup].[MainGroupDesc].&amp;[Mutfak].&amp;[Salata Maşası]" c="Salata Maşası" nd="1">
                <p n="[Material].[H_MainGroup].[MainGroupDesc].&amp;[Mutfak]"/>
              </i>
              <i n="[Material].[H_MainGroup].[MainGroupDesc].&amp;[Mutfak].&amp;[Salata Servisi]" c="Salata Servisi" nd="1">
                <p n="[Material].[H_MainGroup].[MainGroupDesc].&amp;[Mutfak]"/>
              </i>
              <i n="[Material].[H_MainGroup].[MainGroupDesc].&amp;[Mutfak].&amp;[Sarmsk Ez-Çekrdk Çık]" c="Sarmsk Ez-Çekrdk Çık" nd="1">
                <p n="[Material].[H_MainGroup].[MainGroupDesc].&amp;[Mutfak]"/>
              </i>
            </range>
          </ranges>
        </level>
      </levels>
      <selections count="1">
        <selection n="[Material].[H_MainGroup].[All]"/>
      </selections>
    </olap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erchMonth2" xr10:uid="{677F5EE1-EE74-475D-B323-C96DC8869A0A}" sourceName="[Calendar].[MerchMonth]">
  <pivotTables>
    <pivotTable tabId="3" name="PivotTable1"/>
  </pivotTables>
  <data>
    <olap pivotCacheId="372199404">
      <levels count="2">
        <level uniqueName="[Calendar].[MerchMonth].[(All)]" sourceCaption="(All)" count="0"/>
        <level uniqueName="[Calendar].[MerchMonth].[MerchMonth]" sourceCaption="MerchMonth" count="13">
          <ranges>
            <range startItem="0">
              <i n="[Calendar].[MerchMonth].&amp;[1]" c="1"/>
              <i n="[Calendar].[MerchMonth].&amp;[2]" c="2"/>
              <i n="[Calendar].[MerchMonth].&amp;[3]" c="3" nd="1"/>
              <i n="[Calendar].[MerchMonth].&amp;[4]" c="4" nd="1"/>
              <i n="[Calendar].[MerchMonth].&amp;[5]" c="5" nd="1"/>
              <i n="[Calendar].[MerchMonth].&amp;[6]" c="6" nd="1"/>
              <i n="[Calendar].[MerchMonth].&amp;[7]" c="7" nd="1"/>
              <i n="[Calendar].[MerchMonth].&amp;[8]" c="8" nd="1"/>
              <i n="[Calendar].[MerchMonth].&amp;[9]" c="9" nd="1"/>
              <i n="[Calendar].[MerchMonth].&amp;[10]" c="10" nd="1"/>
              <i n="[Calendar].[MerchMonth].&amp;[11]" c="11" nd="1"/>
              <i n="[Calendar].[MerchMonth].&amp;[12]" c="12" nd="1"/>
              <i n="[Calendar].[MerchMonth].&amp;" c="" nd="1"/>
            </range>
          </ranges>
        </level>
      </levels>
      <selections count="1">
        <selection n="[Calendar].[MerchMonth].[All]"/>
      </selections>
    </olap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erchWeek2" xr10:uid="{5BEABC0D-4FA4-4176-B021-52C90B46F480}" sourceName="[Calendar].[MerchWeek]">
  <pivotTables>
    <pivotTable tabId="3" name="PivotTable1"/>
  </pivotTables>
  <data>
    <olap pivotCacheId="372199404">
      <levels count="2">
        <level uniqueName="[Calendar].[MerchWeek].[(All)]" sourceCaption="(All)" count="0"/>
        <level uniqueName="[Calendar].[MerchWeek].[MerchWeek]" sourceCaption="MerchWeek" count="54">
          <ranges>
            <range startItem="0">
              <i n="[Calendar].[MerchWeek].&amp;[5]" c="5"/>
              <i n="[Calendar].[MerchWeek].&amp;[6]" c="6"/>
              <i n="[Calendar].[MerchWeek].&amp;[7]" c="7"/>
              <i n="[Calendar].[MerchWeek].&amp;[1]" c="1" nd="1"/>
              <i n="[Calendar].[MerchWeek].&amp;[2]" c="2" nd="1"/>
              <i n="[Calendar].[MerchWeek].&amp;[3]" c="3" nd="1"/>
              <i n="[Calendar].[MerchWeek].&amp;[4]" c="4" nd="1"/>
              <i n="[Calendar].[MerchWeek].&amp;[8]" c="8" nd="1"/>
              <i n="[Calendar].[MerchWeek].&amp;[9]" c="9" nd="1"/>
              <i n="[Calendar].[MerchWeek].&amp;[10]" c="10" nd="1"/>
              <i n="[Calendar].[MerchWeek].&amp;[11]" c="11" nd="1"/>
              <i n="[Calendar].[MerchWeek].&amp;[12]" c="12" nd="1"/>
              <i n="[Calendar].[MerchWeek].&amp;[13]" c="13" nd="1"/>
              <i n="[Calendar].[MerchWeek].&amp;[14]" c="14" nd="1"/>
              <i n="[Calendar].[MerchWeek].&amp;[15]" c="15" nd="1"/>
              <i n="[Calendar].[MerchWeek].&amp;[16]" c="16" nd="1"/>
              <i n="[Calendar].[MerchWeek].&amp;[17]" c="17" nd="1"/>
              <i n="[Calendar].[MerchWeek].&amp;[18]" c="18" nd="1"/>
              <i n="[Calendar].[MerchWeek].&amp;[19]" c="19" nd="1"/>
              <i n="[Calendar].[MerchWeek].&amp;[20]" c="20" nd="1"/>
              <i n="[Calendar].[MerchWeek].&amp;[21]" c="21" nd="1"/>
              <i n="[Calendar].[MerchWeek].&amp;[22]" c="22" nd="1"/>
              <i n="[Calendar].[MerchWeek].&amp;[23]" c="23" nd="1"/>
              <i n="[Calendar].[MerchWeek].&amp;[24]" c="24" nd="1"/>
              <i n="[Calendar].[MerchWeek].&amp;[25]" c="25" nd="1"/>
              <i n="[Calendar].[MerchWeek].&amp;[26]" c="26" nd="1"/>
              <i n="[Calendar].[MerchWeek].&amp;[27]" c="27" nd="1"/>
              <i n="[Calendar].[MerchWeek].&amp;[28]" c="28" nd="1"/>
              <i n="[Calendar].[MerchWeek].&amp;[29]" c="29" nd="1"/>
              <i n="[Calendar].[MerchWeek].&amp;[30]" c="30" nd="1"/>
              <i n="[Calendar].[MerchWeek].&amp;[31]" c="31" nd="1"/>
              <i n="[Calendar].[MerchWeek].&amp;[32]" c="32" nd="1"/>
              <i n="[Calendar].[MerchWeek].&amp;[33]" c="33" nd="1"/>
              <i n="[Calendar].[MerchWeek].&amp;[34]" c="34" nd="1"/>
              <i n="[Calendar].[MerchWeek].&amp;[35]" c="35" nd="1"/>
              <i n="[Calendar].[MerchWeek].&amp;[36]" c="36" nd="1"/>
              <i n="[Calendar].[MerchWeek].&amp;[37]" c="37" nd="1"/>
              <i n="[Calendar].[MerchWeek].&amp;[38]" c="38" nd="1"/>
              <i n="[Calendar].[MerchWeek].&amp;[39]" c="39" nd="1"/>
              <i n="[Calendar].[MerchWeek].&amp;[40]" c="40" nd="1"/>
              <i n="[Calendar].[MerchWeek].&amp;[41]" c="41" nd="1"/>
              <i n="[Calendar].[MerchWeek].&amp;[42]" c="42" nd="1"/>
              <i n="[Calendar].[MerchWeek].&amp;[43]" c="43" nd="1"/>
              <i n="[Calendar].[MerchWeek].&amp;[44]" c="44" nd="1"/>
              <i n="[Calendar].[MerchWeek].&amp;[45]" c="45" nd="1"/>
              <i n="[Calendar].[MerchWeek].&amp;[46]" c="46" nd="1"/>
              <i n="[Calendar].[MerchWeek].&amp;[47]" c="47" nd="1"/>
              <i n="[Calendar].[MerchWeek].&amp;[48]" c="48" nd="1"/>
              <i n="[Calendar].[MerchWeek].&amp;[49]" c="49" nd="1"/>
              <i n="[Calendar].[MerchWeek].&amp;[50]" c="50" nd="1"/>
              <i n="[Calendar].[MerchWeek].&amp;[51]" c="51" nd="1"/>
              <i n="[Calendar].[MerchWeek].&amp;[52]" c="52" nd="1"/>
              <i n="[Calendar].[MerchWeek].&amp;[53]" c="53" nd="1"/>
              <i n="[Calendar].[MerchWeek].&amp;" c="" nd="1"/>
            </range>
          </ranges>
        </level>
      </levels>
      <selections count="1">
        <selection n="[Calendar].[MerchWeek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Name 4" xr10:uid="{8D78972F-46D3-4391-94D2-6C1BC687DC3D}" cache="Dilimleyici_H_SalesChannel3" caption="Ülke" columnCount="4" level="2" style="EHM Dilimleyici Taslak" lockedPosition="1" rowHeight="180000"/>
  <slicer name="DistrubitionChannelDesc 3" xr10:uid="{1C575998-698B-445B-80EB-9BE9CFB65698}" cache="Dilimleyici_DistrubitionChannelDesc3" caption="Satış Kanalı" level="1" style="EHM Dilimleyici Taslak" lockedPosition="1" rowHeight="241300"/>
  <slicer name="MerchMonth 4" xr10:uid="{D76434C7-8CE7-436D-8E8F-EFE2923F4C64}" cache="Dilimleyici_MerchMonth4" caption="MerchMonth" columnCount="4" level="1" style="EHM Dilimleyici Taslak" lockedPosition="1" rowHeight="241300"/>
  <slicer name="MerchWeek 4" xr10:uid="{A4766B06-A15D-4406-A378-4FFFA2A8862A}" cache="Dilimleyici_MerchWeek4" caption="MerchWeek" columnCount="6" level="1" style="EHM Dilimleyici Taslak" lockedPosition="1" rowHeight="241300"/>
  <slicer name="MerchYear 3" xr10:uid="{829FE3FE-9509-40EF-B0BD-02140FE937A2}" cache="Dilimleyici_MerchYear3" caption="MerchYear" columnCount="2" level="1" style="EHM Dilimleyici Taslak" lockedPosition="1" rowHeight="241300"/>
  <slicer name="MainGroupDesc 5" xr10:uid="{41EBAEED-CCA7-45F9-A517-D64BFD179FFC}" cache="Dilimleyici_MainGroupDesc3" caption="Ana Gruplar" columnCount="8" level="1" style="EHM Dilimleyici Taslak" lockedPosition="1" rowHeight="180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 1" xr10:uid="{CAF533B1-A9DB-49E4-97A2-F8F0FDA9AC0E}" cache="Dilimleyici_H_Merch" caption="Date" columnCount="3" level="4" style="SlicerStyleLight4" rowHeight="241300"/>
  <slicer name="MainGroupDesc 3" xr10:uid="{65CE1DDF-577E-4ACD-8DA9-876BA702ACA1}" cache="Dilimleyici_H_MainGroup1" caption="MainGroupDesc" columnCount="3" level="1" style="SlicerStyleLight4" rowHeight="241300"/>
  <slicer name="SubGroupDesc 3" xr10:uid="{A6C65887-6CAA-4F41-8374-06CDEC78B7DA}" cache="Dilimleyici_H_MainGroup1" caption="SubGroupDesc" columnCount="3" level="2" style="SlicerStyleLight4" rowHeight="241300"/>
  <slicer name="MerchMonth 2" xr10:uid="{B39A8302-AA3E-4A99-A50F-2E725E88CD21}" cache="Dilimleyici_MerchMonth2" caption="MerchMonth" columnCount="2" level="1" style="SlicerStyleLight4" rowHeight="241300"/>
  <slicer name="MerchWeek 2" xr10:uid="{7B6F59E0-F35E-403D-AE32-9D642721B26B}" cache="Dilimleyici_MerchWeek2" caption="MerchWeek" columnCount="4" level="1" style="SlicerStyleLight4" rowHeight="241300"/>
</slicer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microsoft.com/office/2007/relationships/slicer" Target="../slicers/slicer2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455C7-DA5B-4621-ACC0-5ABA0D125CF8}">
  <sheetPr>
    <tabColor theme="3"/>
  </sheetPr>
  <dimension ref="A1:AW73"/>
  <sheetViews>
    <sheetView showGridLines="0" zoomScale="70" zoomScaleNormal="70" workbookViewId="0">
      <pane xSplit="4" ySplit="15" topLeftCell="E16" activePane="bottomRight" state="frozen"/>
      <selection activeCell="A21" sqref="A21:S25"/>
      <selection pane="topRight" activeCell="A21" sqref="A21:S25"/>
      <selection pane="bottomLeft" activeCell="A21" sqref="A21:S25"/>
      <selection pane="bottomRight" activeCell="AL25" sqref="E23:AL25"/>
    </sheetView>
  </sheetViews>
  <sheetFormatPr defaultColWidth="22.54296875" defaultRowHeight="14.5" outlineLevelRow="1" outlineLevelCol="1" x14ac:dyDescent="0.35"/>
  <cols>
    <col min="1" max="1" width="18.54296875" customWidth="1"/>
    <col min="2" max="2" width="18.26953125" customWidth="1"/>
    <col min="3" max="3" width="11.54296875" customWidth="1" outlineLevel="1"/>
    <col min="4" max="4" width="15.453125" customWidth="1" outlineLevel="1"/>
    <col min="5" max="5" width="12.54296875" customWidth="1"/>
    <col min="6" max="6" width="12.54296875" hidden="1" customWidth="1" outlineLevel="1"/>
    <col min="7" max="8" width="12.54296875" style="1" hidden="1" customWidth="1" outlineLevel="1"/>
    <col min="9" max="9" width="12.54296875" style="1" customWidth="1" collapsed="1"/>
    <col min="10" max="11" width="12.54296875" style="1" hidden="1" customWidth="1" outlineLevel="1"/>
    <col min="12" max="12" width="12.54296875" style="1" customWidth="1" collapsed="1"/>
    <col min="13" max="15" width="12.54296875" style="1" customWidth="1"/>
    <col min="16" max="17" width="12.54296875" style="1" hidden="1" customWidth="1" outlineLevel="1"/>
    <col min="18" max="18" width="12.54296875" style="1" customWidth="1" collapsed="1"/>
    <col min="19" max="20" width="12.54296875" style="1" hidden="1" customWidth="1" outlineLevel="1"/>
    <col min="21" max="21" width="12.453125" style="1" customWidth="1" collapsed="1"/>
    <col min="22" max="22" width="13" style="1" customWidth="1"/>
    <col min="23" max="23" width="12" style="1" customWidth="1"/>
    <col min="24" max="24" width="10.453125" style="1" hidden="1" customWidth="1" outlineLevel="1"/>
    <col min="25" max="25" width="11.54296875" style="1" hidden="1" customWidth="1" outlineLevel="1"/>
    <col min="26" max="26" width="12.26953125" style="1" hidden="1" customWidth="1" outlineLevel="1" collapsed="1"/>
    <col min="27" max="28" width="13.54296875" hidden="1" customWidth="1" outlineLevel="1"/>
    <col min="29" max="29" width="13" hidden="1" customWidth="1" outlineLevel="1" collapsed="1"/>
    <col min="30" max="30" width="13" hidden="1" customWidth="1" outlineLevel="1"/>
    <col min="31" max="31" width="13" customWidth="1" collapsed="1"/>
    <col min="32" max="32" width="13" customWidth="1"/>
    <col min="33" max="34" width="11.81640625" customWidth="1" outlineLevel="1"/>
    <col min="35" max="35" width="13.7265625" customWidth="1" outlineLevel="1" collapsed="1"/>
    <col min="36" max="36" width="13.7265625" customWidth="1" outlineLevel="1"/>
    <col min="37" max="47" width="12.453125" customWidth="1" outlineLevel="1"/>
    <col min="48" max="48" width="14.453125" bestFit="1" customWidth="1"/>
    <col min="49" max="49" width="12.453125" customWidth="1"/>
  </cols>
  <sheetData>
    <row r="1" spans="1:49" hidden="1" outlineLevel="1" x14ac:dyDescent="0.35"/>
    <row r="2" spans="1:49" hidden="1" outlineLevel="1" x14ac:dyDescent="0.35"/>
    <row r="3" spans="1:49" hidden="1" outlineLevel="1" x14ac:dyDescent="0.35"/>
    <row r="4" spans="1:49" hidden="1" outlineLevel="1" x14ac:dyDescent="0.35"/>
    <row r="5" spans="1:49" hidden="1" outlineLevel="1" x14ac:dyDescent="0.35"/>
    <row r="6" spans="1:49" hidden="1" outlineLevel="1" x14ac:dyDescent="0.35"/>
    <row r="7" spans="1:49" hidden="1" outlineLevel="1" x14ac:dyDescent="0.35"/>
    <row r="8" spans="1:49" collapsed="1" x14ac:dyDescent="0.35">
      <c r="A8" t="s">
        <v>0</v>
      </c>
      <c r="B8" t="s" vm="1">
        <v>1</v>
      </c>
    </row>
    <row r="9" spans="1:49" x14ac:dyDescent="0.35">
      <c r="A9" t="s">
        <v>2</v>
      </c>
      <c r="B9" t="s" vm="2">
        <v>3</v>
      </c>
    </row>
    <row r="10" spans="1:49" ht="29" x14ac:dyDescent="0.35">
      <c r="A10" s="2" t="s">
        <v>4</v>
      </c>
      <c r="B10" t="s" vm="3">
        <v>5</v>
      </c>
    </row>
    <row r="11" spans="1:49" x14ac:dyDescent="0.35">
      <c r="A11" s="2" t="s">
        <v>6</v>
      </c>
      <c r="B11" t="s" vm="4">
        <v>3</v>
      </c>
    </row>
    <row r="12" spans="1:49" x14ac:dyDescent="0.35">
      <c r="A12" t="s">
        <v>7</v>
      </c>
      <c r="B12" t="s" vm="5">
        <v>8</v>
      </c>
    </row>
    <row r="13" spans="1:49" ht="32.15" customHeight="1" x14ac:dyDescent="0.35">
      <c r="C13" s="147" t="s">
        <v>9</v>
      </c>
      <c r="D13" s="148"/>
      <c r="E13" s="148"/>
      <c r="F13" s="149"/>
      <c r="G13" s="154" t="s">
        <v>10</v>
      </c>
      <c r="H13" s="154"/>
      <c r="I13" s="154"/>
      <c r="J13" s="154" t="s">
        <v>11</v>
      </c>
      <c r="K13" s="154"/>
      <c r="L13" s="154"/>
      <c r="M13" s="3" t="s">
        <v>12</v>
      </c>
      <c r="N13" s="150" t="s">
        <v>13</v>
      </c>
      <c r="O13" s="151"/>
      <c r="P13" s="154" t="s">
        <v>14</v>
      </c>
      <c r="Q13" s="154"/>
      <c r="R13" s="154"/>
      <c r="S13" s="153" t="s">
        <v>15</v>
      </c>
      <c r="T13" s="153"/>
      <c r="U13" s="153"/>
      <c r="V13" s="150" t="s">
        <v>16</v>
      </c>
      <c r="W13" s="151"/>
      <c r="X13" s="147" t="s">
        <v>17</v>
      </c>
      <c r="Y13" s="149"/>
      <c r="Z13" s="152" t="s">
        <v>18</v>
      </c>
      <c r="AA13" s="152"/>
      <c r="AB13" s="3" t="s">
        <v>19</v>
      </c>
      <c r="AC13" s="147" t="s">
        <v>20</v>
      </c>
      <c r="AD13" s="149"/>
      <c r="AE13" s="147" t="s">
        <v>21</v>
      </c>
      <c r="AF13" s="148"/>
      <c r="AG13" s="147" t="s">
        <v>22</v>
      </c>
      <c r="AH13" s="148"/>
      <c r="AI13" s="147" t="s">
        <v>23</v>
      </c>
      <c r="AJ13" s="148"/>
      <c r="AK13" s="149"/>
    </row>
    <row r="14" spans="1:49" x14ac:dyDescent="0.35">
      <c r="E14" s="1" t="s">
        <v>24</v>
      </c>
      <c r="F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49" s="12" customFormat="1" ht="43.5" x14ac:dyDescent="0.35">
      <c r="A15" t="s">
        <v>25</v>
      </c>
      <c r="B15" t="s">
        <v>26</v>
      </c>
      <c r="C15" s="2" t="s">
        <v>27</v>
      </c>
      <c r="D15" s="2" t="s">
        <v>28</v>
      </c>
      <c r="E15" s="4" t="s">
        <v>29</v>
      </c>
      <c r="F15" s="5" t="s">
        <v>30</v>
      </c>
      <c r="G15" s="6" t="s">
        <v>31</v>
      </c>
      <c r="H15" s="7" t="s">
        <v>32</v>
      </c>
      <c r="I15" s="5" t="s">
        <v>33</v>
      </c>
      <c r="J15" s="8" t="s">
        <v>34</v>
      </c>
      <c r="K15" s="9" t="s">
        <v>35</v>
      </c>
      <c r="L15" s="5" t="s">
        <v>36</v>
      </c>
      <c r="M15" s="5" t="s">
        <v>37</v>
      </c>
      <c r="N15" s="9" t="s">
        <v>38</v>
      </c>
      <c r="O15" s="9" t="s">
        <v>39</v>
      </c>
      <c r="P15" s="5" t="s">
        <v>40</v>
      </c>
      <c r="Q15" s="9" t="s">
        <v>41</v>
      </c>
      <c r="R15" s="5" t="s">
        <v>42</v>
      </c>
      <c r="S15" s="5" t="s">
        <v>43</v>
      </c>
      <c r="T15" s="9" t="s">
        <v>44</v>
      </c>
      <c r="U15" s="5" t="s">
        <v>45</v>
      </c>
      <c r="V15" s="5" t="s">
        <v>46</v>
      </c>
      <c r="W15" s="9" t="s">
        <v>47</v>
      </c>
      <c r="X15" s="5" t="s">
        <v>48</v>
      </c>
      <c r="Y15" s="6" t="s">
        <v>49</v>
      </c>
      <c r="Z15" s="4" t="s">
        <v>50</v>
      </c>
      <c r="AA15" s="7" t="s">
        <v>51</v>
      </c>
      <c r="AB15" s="2" t="s">
        <v>52</v>
      </c>
      <c r="AC15" s="2" t="s">
        <v>53</v>
      </c>
      <c r="AD15" s="7" t="s">
        <v>54</v>
      </c>
      <c r="AE15" s="5" t="s">
        <v>55</v>
      </c>
      <c r="AF15" s="7" t="s">
        <v>56</v>
      </c>
      <c r="AG15" s="5" t="s">
        <v>57</v>
      </c>
      <c r="AH15" s="7" t="s">
        <v>58</v>
      </c>
      <c r="AI15" s="5" t="s">
        <v>59</v>
      </c>
      <c r="AJ15" s="7" t="s">
        <v>60</v>
      </c>
      <c r="AK15" s="8" t="s">
        <v>61</v>
      </c>
      <c r="AL15" s="8" t="s">
        <v>62</v>
      </c>
      <c r="AM15" s="10" t="s">
        <v>63</v>
      </c>
      <c r="AN15"/>
      <c r="AO15"/>
      <c r="AP15"/>
      <c r="AQ15"/>
      <c r="AR15"/>
      <c r="AS15"/>
      <c r="AT15"/>
      <c r="AU15"/>
      <c r="AV15" s="11" t="s">
        <v>64</v>
      </c>
      <c r="AW15" s="11" t="s">
        <v>65</v>
      </c>
    </row>
    <row r="16" spans="1:49" x14ac:dyDescent="0.35">
      <c r="A16" t="s">
        <v>66</v>
      </c>
      <c r="B16" t="s">
        <v>67</v>
      </c>
      <c r="C16" t="s">
        <v>68</v>
      </c>
      <c r="E16" s="13">
        <v>3751.8571428571427</v>
      </c>
      <c r="F16" s="14">
        <v>15113.857142857143</v>
      </c>
      <c r="G16" s="15">
        <v>2.7562350074248947</v>
      </c>
      <c r="H16" s="16">
        <v>2.5366310535090459</v>
      </c>
      <c r="I16" s="14">
        <v>424</v>
      </c>
      <c r="J16" s="17">
        <v>504</v>
      </c>
      <c r="K16" s="18">
        <v>0.10849056603773577</v>
      </c>
      <c r="L16" s="14">
        <v>1048187.4399999938</v>
      </c>
      <c r="M16" s="14">
        <v>956164.14999999676</v>
      </c>
      <c r="N16" s="18">
        <v>-0.15304014709429981</v>
      </c>
      <c r="O16" s="18">
        <v>-0.20961120210631556</v>
      </c>
      <c r="P16" s="19">
        <v>0.41786056890740492</v>
      </c>
      <c r="Q16" s="18">
        <v>0.3934861602999849</v>
      </c>
      <c r="R16" s="20">
        <v>1439.1302830188679</v>
      </c>
      <c r="S16" s="20">
        <v>1150.6483928571413</v>
      </c>
      <c r="T16" s="18">
        <v>-0.19930158233601369</v>
      </c>
      <c r="U16" s="20">
        <v>2472.1401886792305</v>
      </c>
      <c r="V16" s="20">
        <v>1897.1510912698348</v>
      </c>
      <c r="W16" s="18">
        <v>-0.23593409014464495</v>
      </c>
      <c r="X16" s="21">
        <v>8.8487196765498641</v>
      </c>
      <c r="Y16" s="22">
        <v>29.987811791383219</v>
      </c>
      <c r="Z16" s="23">
        <v>0.10444860850857103</v>
      </c>
      <c r="AA16" s="24">
        <v>3.3346881291530003E-2</v>
      </c>
      <c r="AB16" s="25">
        <v>7.2798297050321245E-2</v>
      </c>
      <c r="AC16" s="25">
        <v>1.7838432370624633E-2</v>
      </c>
      <c r="AD16" s="26">
        <v>0.29421140512191524</v>
      </c>
      <c r="AE16" s="27">
        <v>1.7184621416465653</v>
      </c>
      <c r="AF16" s="28">
        <v>1.6487669935027454</v>
      </c>
      <c r="AG16" s="14">
        <v>404</v>
      </c>
      <c r="AH16" s="29">
        <v>508</v>
      </c>
      <c r="AI16" s="14">
        <v>897783</v>
      </c>
      <c r="AJ16" s="29">
        <v>850309</v>
      </c>
      <c r="AK16" s="17">
        <v>559.20539999999994</v>
      </c>
      <c r="AL16" s="17">
        <v>1118997.0331999999</v>
      </c>
      <c r="AM16" s="30">
        <v>397425.87100000004</v>
      </c>
      <c r="AV16" s="31">
        <f>K16</f>
        <v>0.10849056603773577</v>
      </c>
      <c r="AW16" s="31">
        <f>IF(K16&gt;(J16*(1+$L$38)),K16,(J16*(1+$L$38)))</f>
        <v>1989205318.799952</v>
      </c>
    </row>
    <row r="17" spans="1:49" x14ac:dyDescent="0.35">
      <c r="B17" t="s">
        <v>66</v>
      </c>
      <c r="C17" t="s">
        <v>69</v>
      </c>
      <c r="E17" s="32">
        <v>1.1428571428571428</v>
      </c>
      <c r="F17" s="33">
        <v>1746.2857142857142</v>
      </c>
      <c r="G17" s="34">
        <v>1504.25</v>
      </c>
      <c r="H17" s="35">
        <v>899.79835201499077</v>
      </c>
      <c r="I17" s="33"/>
      <c r="J17" s="36">
        <v>11</v>
      </c>
      <c r="K17" s="37"/>
      <c r="L17" s="33"/>
      <c r="M17" s="33">
        <v>3051.5700000000006</v>
      </c>
      <c r="N17" s="37"/>
      <c r="O17" s="37"/>
      <c r="P17" s="38"/>
      <c r="Q17" s="37">
        <v>0.72687829543480897</v>
      </c>
      <c r="R17" s="39"/>
      <c r="S17" s="39">
        <v>75.76818181818183</v>
      </c>
      <c r="T17" s="37"/>
      <c r="U17" s="39"/>
      <c r="V17" s="39">
        <v>277.41545454545462</v>
      </c>
      <c r="W17" s="37"/>
      <c r="X17" s="25"/>
      <c r="Y17" s="40">
        <v>158.75324675324674</v>
      </c>
      <c r="Z17" s="41"/>
      <c r="AA17" s="42">
        <v>6.2990837696335084E-3</v>
      </c>
      <c r="AB17" s="25"/>
      <c r="AC17" s="25">
        <v>1.7976962405774705E-2</v>
      </c>
      <c r="AD17" s="43">
        <v>2.8649653118980708E-2</v>
      </c>
      <c r="AE17" s="44">
        <v>1</v>
      </c>
      <c r="AF17" s="45">
        <v>3.6613714080028799</v>
      </c>
      <c r="AG17" s="33"/>
      <c r="AH17" s="46">
        <v>7</v>
      </c>
      <c r="AI17" s="33">
        <v>897783</v>
      </c>
      <c r="AJ17" s="46">
        <v>850309</v>
      </c>
      <c r="AK17" s="36"/>
      <c r="AL17" s="36"/>
      <c r="AM17" s="47"/>
      <c r="AV17" s="31">
        <f t="shared" ref="AV17:AV37" si="0">K17</f>
        <v>0</v>
      </c>
      <c r="AW17" s="31">
        <f t="shared" ref="AW17:AW37" si="1">IF(K17&gt;(J17*(1+$L$38)),K17,(J17*(1+$L$38)))</f>
        <v>43415195.449998952</v>
      </c>
    </row>
    <row r="18" spans="1:49" x14ac:dyDescent="0.35">
      <c r="C18" t="s">
        <v>68</v>
      </c>
      <c r="E18" s="32"/>
      <c r="F18" s="33">
        <v>4</v>
      </c>
      <c r="G18" s="34"/>
      <c r="H18" s="35"/>
      <c r="I18" s="33"/>
      <c r="J18" s="36"/>
      <c r="K18" s="37"/>
      <c r="L18" s="33"/>
      <c r="M18" s="33"/>
      <c r="N18" s="37"/>
      <c r="O18" s="37"/>
      <c r="P18" s="38"/>
      <c r="Q18" s="37"/>
      <c r="R18" s="39"/>
      <c r="S18" s="39"/>
      <c r="T18" s="37"/>
      <c r="U18" s="39"/>
      <c r="V18" s="39"/>
      <c r="W18" s="37"/>
      <c r="X18" s="25"/>
      <c r="Y18" s="40"/>
      <c r="Z18" s="41"/>
      <c r="AA18" s="42"/>
      <c r="AB18" s="25"/>
      <c r="AC18" s="25"/>
      <c r="AD18" s="43"/>
      <c r="AE18" s="44">
        <v>1</v>
      </c>
      <c r="AF18" s="45">
        <v>1</v>
      </c>
      <c r="AG18" s="33"/>
      <c r="AH18" s="46"/>
      <c r="AI18" s="33">
        <v>897783</v>
      </c>
      <c r="AJ18" s="46">
        <v>850309</v>
      </c>
      <c r="AK18" s="36"/>
      <c r="AL18" s="36"/>
      <c r="AM18" s="47"/>
      <c r="AV18" s="31">
        <f t="shared" si="0"/>
        <v>0</v>
      </c>
      <c r="AW18" s="31">
        <f t="shared" si="1"/>
        <v>0</v>
      </c>
    </row>
    <row r="19" spans="1:49" x14ac:dyDescent="0.35">
      <c r="B19" t="s">
        <v>70</v>
      </c>
      <c r="C19" t="s">
        <v>68</v>
      </c>
      <c r="E19" s="32">
        <v>11390.285714285714</v>
      </c>
      <c r="F19" s="33">
        <v>30701.428571428572</v>
      </c>
      <c r="G19" s="34">
        <v>1.4944438870215224</v>
      </c>
      <c r="H19" s="35">
        <v>2.3886367506001074</v>
      </c>
      <c r="I19" s="33">
        <v>1069</v>
      </c>
      <c r="J19" s="36">
        <v>2169</v>
      </c>
      <c r="K19" s="37">
        <v>0.91019644527595878</v>
      </c>
      <c r="L19" s="33">
        <v>1540781.679999996</v>
      </c>
      <c r="M19" s="33">
        <v>3588750.0300000948</v>
      </c>
      <c r="N19" s="37">
        <v>1.1965185100072655</v>
      </c>
      <c r="O19" s="37">
        <v>0.51922380924822109</v>
      </c>
      <c r="P19" s="38">
        <v>0.56118812368017723</v>
      </c>
      <c r="Q19" s="37">
        <v>0.38835658052228428</v>
      </c>
      <c r="R19" s="39">
        <v>632.47268475211126</v>
      </c>
      <c r="S19" s="39">
        <v>1012.0033840479543</v>
      </c>
      <c r="T19" s="37">
        <v>0.60334177588786209</v>
      </c>
      <c r="U19" s="39">
        <v>1441.3299158091636</v>
      </c>
      <c r="V19" s="39">
        <v>1654.5643291839995</v>
      </c>
      <c r="W19" s="37">
        <v>0.14989142370115927</v>
      </c>
      <c r="X19" s="25">
        <v>10.655084859013764</v>
      </c>
      <c r="Y19" s="40">
        <v>14.154646644273202</v>
      </c>
      <c r="Z19" s="41">
        <v>8.7080722447475126E-2</v>
      </c>
      <c r="AA19" s="42">
        <v>7.0648178307198356E-2</v>
      </c>
      <c r="AB19" s="25">
        <v>9.3414531850469079E-2</v>
      </c>
      <c r="AC19" s="25">
        <v>4.4175515987877653E-2</v>
      </c>
      <c r="AD19" s="43">
        <v>0.28500432733631414</v>
      </c>
      <c r="AE19" s="44">
        <v>2.2796135136799629</v>
      </c>
      <c r="AF19" s="45">
        <v>1.6349395222038083</v>
      </c>
      <c r="AG19" s="33">
        <v>1027</v>
      </c>
      <c r="AH19" s="46">
        <v>2096</v>
      </c>
      <c r="AI19" s="33">
        <v>897783</v>
      </c>
      <c r="AJ19" s="46">
        <v>850309</v>
      </c>
      <c r="AK19" s="36">
        <v>2137.449700000001</v>
      </c>
      <c r="AL19" s="36">
        <v>3623980.0408000005</v>
      </c>
      <c r="AM19" s="47">
        <v>1474125.1766000001</v>
      </c>
      <c r="AV19" s="31">
        <f t="shared" si="0"/>
        <v>0.91019644527595878</v>
      </c>
      <c r="AW19" s="31">
        <f t="shared" si="1"/>
        <v>8560687175.5497932</v>
      </c>
    </row>
    <row r="20" spans="1:49" x14ac:dyDescent="0.35">
      <c r="B20" t="s">
        <v>71</v>
      </c>
      <c r="C20" t="s">
        <v>68</v>
      </c>
      <c r="E20" s="32">
        <v>33319.428571428572</v>
      </c>
      <c r="F20" s="33">
        <v>34875</v>
      </c>
      <c r="G20" s="34">
        <v>-1.9130837435044401E-2</v>
      </c>
      <c r="H20" s="35">
        <v>0.33547869175215195</v>
      </c>
      <c r="I20" s="33">
        <v>3377</v>
      </c>
      <c r="J20" s="36">
        <v>2361</v>
      </c>
      <c r="K20" s="37">
        <v>-0.34320402724311516</v>
      </c>
      <c r="L20" s="33">
        <v>4511017.6800000733</v>
      </c>
      <c r="M20" s="33">
        <v>3090751.5399999907</v>
      </c>
      <c r="N20" s="37">
        <v>-0.35885217590192753</v>
      </c>
      <c r="O20" s="37">
        <v>-0.56474532000434829</v>
      </c>
      <c r="P20" s="38">
        <v>0.42784555878752895</v>
      </c>
      <c r="Q20" s="37">
        <v>0.29011619290497936</v>
      </c>
      <c r="R20" s="39">
        <v>764.28747408943423</v>
      </c>
      <c r="S20" s="39">
        <v>929.29880135535427</v>
      </c>
      <c r="T20" s="37">
        <v>0.21058989435630648</v>
      </c>
      <c r="U20" s="39">
        <v>1335.8062422268501</v>
      </c>
      <c r="V20" s="39">
        <v>1309.0857856840282</v>
      </c>
      <c r="W20" s="37">
        <v>-2.3824976564837397E-2</v>
      </c>
      <c r="X20" s="25">
        <v>9.8665764203223496</v>
      </c>
      <c r="Y20" s="40">
        <v>14.7712833545108</v>
      </c>
      <c r="Z20" s="41">
        <v>9.3733453092090038E-2</v>
      </c>
      <c r="AA20" s="42">
        <v>6.7698924731182802E-2</v>
      </c>
      <c r="AB20" s="25">
        <v>6.8235209069268679E-2</v>
      </c>
      <c r="AC20" s="25">
        <v>2.4031353941781262E-2</v>
      </c>
      <c r="AD20" s="43">
        <v>0.2814098938165342</v>
      </c>
      <c r="AE20" s="44">
        <v>1.7481514514681009</v>
      </c>
      <c r="AF20" s="45">
        <v>1.408681237697462</v>
      </c>
      <c r="AG20" s="33">
        <v>3110</v>
      </c>
      <c r="AH20" s="46">
        <v>2235</v>
      </c>
      <c r="AI20" s="33">
        <v>897783</v>
      </c>
      <c r="AJ20" s="46">
        <v>850309</v>
      </c>
      <c r="AK20" s="36">
        <v>2967.3870000000002</v>
      </c>
      <c r="AL20" s="36">
        <v>4616476.0907999994</v>
      </c>
      <c r="AM20" s="47">
        <v>1638666.9009</v>
      </c>
      <c r="AV20" s="31">
        <f t="shared" si="0"/>
        <v>-0.34320402724311516</v>
      </c>
      <c r="AW20" s="31">
        <f t="shared" si="1"/>
        <v>9318479677.9497757</v>
      </c>
    </row>
    <row r="21" spans="1:49" x14ac:dyDescent="0.35">
      <c r="A21" t="s">
        <v>72</v>
      </c>
      <c r="E21" s="32">
        <v>48462.714285714283</v>
      </c>
      <c r="F21" s="33">
        <v>82440.571428571435</v>
      </c>
      <c r="G21" s="34">
        <v>0.58702566627068253</v>
      </c>
      <c r="H21" s="35">
        <v>1.0815221531431236</v>
      </c>
      <c r="I21" s="33">
        <v>4870</v>
      </c>
      <c r="J21" s="36">
        <v>5045</v>
      </c>
      <c r="K21" s="37">
        <v>-2.6488706365503045E-2</v>
      </c>
      <c r="L21" s="33">
        <v>7099986.8000002829</v>
      </c>
      <c r="M21" s="33">
        <v>7638717.2900005393</v>
      </c>
      <c r="N21" s="37">
        <v>9.4960880772623213E-3</v>
      </c>
      <c r="O21" s="37">
        <v>-0.22600527364957756</v>
      </c>
      <c r="P21" s="38">
        <v>0.45530837606630425</v>
      </c>
      <c r="Q21" s="37">
        <v>0.34938421447985724</v>
      </c>
      <c r="R21" s="39">
        <v>794.10746201231166</v>
      </c>
      <c r="S21" s="39">
        <v>985.10803766104993</v>
      </c>
      <c r="T21" s="37">
        <v>0.23917612896321994</v>
      </c>
      <c r="U21" s="39">
        <v>1457.9028336756228</v>
      </c>
      <c r="V21" s="39">
        <v>1514.1164103073418</v>
      </c>
      <c r="W21" s="37">
        <v>3.6963920889320434E-2</v>
      </c>
      <c r="X21" s="25">
        <v>9.9512760340275737</v>
      </c>
      <c r="Y21" s="40">
        <v>16.341044881778281</v>
      </c>
      <c r="Z21" s="41">
        <v>9.3007693075692191E-2</v>
      </c>
      <c r="AA21" s="42">
        <v>6.1195597174761383E-2</v>
      </c>
      <c r="AB21" s="25">
        <v>7.4212819178614164E-2</v>
      </c>
      <c r="AC21" s="25">
        <v>2.9628473910326695E-2</v>
      </c>
      <c r="AD21" s="43">
        <v>0.28464919121025373</v>
      </c>
      <c r="AE21" s="44">
        <v>1.8362875419915032</v>
      </c>
      <c r="AF21" s="45">
        <v>1.5370054373958015</v>
      </c>
      <c r="AG21" s="33">
        <v>4319</v>
      </c>
      <c r="AH21" s="46">
        <v>4695</v>
      </c>
      <c r="AI21" s="33">
        <v>897783</v>
      </c>
      <c r="AJ21" s="46">
        <v>850309</v>
      </c>
      <c r="AK21" s="36">
        <v>5664.0420999999978</v>
      </c>
      <c r="AL21" s="36">
        <v>9359453.1647999976</v>
      </c>
      <c r="AM21" s="47">
        <v>3510217.9485000023</v>
      </c>
      <c r="AV21" s="31">
        <f t="shared" si="0"/>
        <v>-2.6488706365503045E-2</v>
      </c>
      <c r="AW21" s="31">
        <f t="shared" si="1"/>
        <v>19911787367.749519</v>
      </c>
    </row>
    <row r="22" spans="1:49" x14ac:dyDescent="0.35">
      <c r="A22" t="s">
        <v>73</v>
      </c>
      <c r="B22" t="s">
        <v>74</v>
      </c>
      <c r="C22" t="s">
        <v>75</v>
      </c>
      <c r="E22" s="32">
        <v>715200.14285714284</v>
      </c>
      <c r="F22" s="33">
        <v>926083.14285714284</v>
      </c>
      <c r="G22" s="34">
        <v>0.20946124771068075</v>
      </c>
      <c r="H22" s="35">
        <v>1.4471665962873019</v>
      </c>
      <c r="I22" s="33">
        <v>54502</v>
      </c>
      <c r="J22" s="36">
        <v>41139</v>
      </c>
      <c r="K22" s="37">
        <v>-0.29211772045062567</v>
      </c>
      <c r="L22" s="33">
        <v>6396055.2600008138</v>
      </c>
      <c r="M22" s="33">
        <v>7799854.6200015359</v>
      </c>
      <c r="N22" s="37">
        <v>0.14513574418374775</v>
      </c>
      <c r="O22" s="37">
        <v>5.149502855993382E-2</v>
      </c>
      <c r="P22" s="38">
        <v>0.5036207723446875</v>
      </c>
      <c r="Q22" s="37">
        <v>0.46181483956950803</v>
      </c>
      <c r="R22" s="39">
        <v>58.252338813252777</v>
      </c>
      <c r="S22" s="39">
        <v>102.03860108413041</v>
      </c>
      <c r="T22" s="37">
        <v>0.75190507681820007</v>
      </c>
      <c r="U22" s="39">
        <v>117.35450552274804</v>
      </c>
      <c r="V22" s="39">
        <v>189.59757456431939</v>
      </c>
      <c r="W22" s="37">
        <v>0.61769234414615015</v>
      </c>
      <c r="X22" s="25">
        <v>13.122456842999208</v>
      </c>
      <c r="Y22" s="40">
        <v>22.511075691123821</v>
      </c>
      <c r="Z22" s="41">
        <v>6.9925472079689924E-2</v>
      </c>
      <c r="AA22" s="42">
        <v>4.4422577300217723E-2</v>
      </c>
      <c r="AB22" s="25">
        <v>7.2822275941921491E-2</v>
      </c>
      <c r="AC22" s="25">
        <v>3.4053988706642016E-2</v>
      </c>
      <c r="AD22" s="43">
        <v>0.76469086977897549</v>
      </c>
      <c r="AE22" s="44">
        <v>2.0157364534298141</v>
      </c>
      <c r="AF22" s="45">
        <v>1.8580965688464997</v>
      </c>
      <c r="AG22" s="33">
        <v>27743</v>
      </c>
      <c r="AH22" s="46">
        <v>21956</v>
      </c>
      <c r="AI22" s="33">
        <v>897783</v>
      </c>
      <c r="AJ22" s="46">
        <v>850309</v>
      </c>
      <c r="AK22" s="36">
        <v>39337.37309999999</v>
      </c>
      <c r="AL22" s="36">
        <v>7483047.1247000033</v>
      </c>
      <c r="AM22" s="47">
        <v>3405884.4387000017</v>
      </c>
      <c r="AV22" s="31">
        <f t="shared" si="0"/>
        <v>-0.29211772045062567</v>
      </c>
      <c r="AW22" s="31">
        <f t="shared" si="1"/>
        <v>162368884147.04608</v>
      </c>
    </row>
    <row r="23" spans="1:49" x14ac:dyDescent="0.35">
      <c r="B23" t="s">
        <v>76</v>
      </c>
      <c r="C23" t="s">
        <v>77</v>
      </c>
      <c r="E23" s="32">
        <v>324317</v>
      </c>
      <c r="F23" s="33">
        <v>379721.85714285716</v>
      </c>
      <c r="G23" s="34">
        <v>8.6976630888914164E-2</v>
      </c>
      <c r="H23" s="35">
        <v>1.4318443710832924</v>
      </c>
      <c r="I23" s="33">
        <v>18016</v>
      </c>
      <c r="J23" s="36">
        <v>18435</v>
      </c>
      <c r="K23" s="37">
        <v>-2.9751332149200671E-2</v>
      </c>
      <c r="L23" s="33">
        <v>3033976.1000001798</v>
      </c>
      <c r="M23" s="33">
        <v>7739704.0100007197</v>
      </c>
      <c r="N23" s="37">
        <v>1.4282101035668133</v>
      </c>
      <c r="O23" s="37">
        <v>1.4004841826653118</v>
      </c>
      <c r="P23" s="38">
        <v>0.47604809411652355</v>
      </c>
      <c r="Q23" s="37">
        <v>0.47039024687461639</v>
      </c>
      <c r="R23" s="39">
        <v>88.235876998224427</v>
      </c>
      <c r="S23" s="39">
        <v>222.35002603743004</v>
      </c>
      <c r="T23" s="37">
        <v>1.5286312505276487</v>
      </c>
      <c r="U23" s="39">
        <v>168.40453485791406</v>
      </c>
      <c r="V23" s="39">
        <v>419.83748359103441</v>
      </c>
      <c r="W23" s="37">
        <v>1.5026678046830497</v>
      </c>
      <c r="X23" s="25">
        <v>18.00160968028419</v>
      </c>
      <c r="Y23" s="40">
        <v>20.597876709674921</v>
      </c>
      <c r="Z23" s="41">
        <v>5.0861031960768584E-2</v>
      </c>
      <c r="AA23" s="42">
        <v>4.8548693348101031E-2</v>
      </c>
      <c r="AB23" s="25">
        <v>4.540778746548034E-2</v>
      </c>
      <c r="AC23" s="25">
        <v>4.7208423860593644E-2</v>
      </c>
      <c r="AD23" s="43">
        <v>0.73687861470319937</v>
      </c>
      <c r="AE23" s="44">
        <v>1.9110239172590051</v>
      </c>
      <c r="AF23" s="45">
        <v>1.888182749843077</v>
      </c>
      <c r="AG23" s="33">
        <v>5545</v>
      </c>
      <c r="AH23" s="46">
        <v>7303</v>
      </c>
      <c r="AI23" s="33">
        <v>897783</v>
      </c>
      <c r="AJ23" s="46">
        <v>850309</v>
      </c>
      <c r="AK23" s="36">
        <v>24392.58760000001</v>
      </c>
      <c r="AL23" s="36">
        <v>9923890.6820999999</v>
      </c>
      <c r="AM23" s="47">
        <v>4502193.3251999998</v>
      </c>
      <c r="AV23" s="31">
        <f t="shared" si="0"/>
        <v>-2.9751332149200671E-2</v>
      </c>
      <c r="AW23" s="31">
        <f t="shared" si="1"/>
        <v>72759920738.248245</v>
      </c>
    </row>
    <row r="24" spans="1:49" x14ac:dyDescent="0.35">
      <c r="B24" t="s">
        <v>78</v>
      </c>
      <c r="C24" t="s">
        <v>75</v>
      </c>
      <c r="E24" s="32">
        <v>435018.28571428574</v>
      </c>
      <c r="F24" s="33">
        <v>398814.28571428574</v>
      </c>
      <c r="G24" s="34">
        <v>-0.16422199657945424</v>
      </c>
      <c r="H24" s="35">
        <v>0.45126232036819602</v>
      </c>
      <c r="I24" s="33">
        <v>23537</v>
      </c>
      <c r="J24" s="36">
        <v>24113</v>
      </c>
      <c r="K24" s="37">
        <v>-3.1567319539448579E-2</v>
      </c>
      <c r="L24" s="33">
        <v>5261250.4600004386</v>
      </c>
      <c r="M24" s="33">
        <v>7562201.5200012429</v>
      </c>
      <c r="N24" s="37">
        <v>0.36672406202090757</v>
      </c>
      <c r="O24" s="37">
        <v>0.32732512412079062</v>
      </c>
      <c r="P24" s="38">
        <v>0.54663326748377039</v>
      </c>
      <c r="Q24" s="37">
        <v>0.53033046387272287</v>
      </c>
      <c r="R24" s="39">
        <v>101.34154437693456</v>
      </c>
      <c r="S24" s="39">
        <v>147.29547049309394</v>
      </c>
      <c r="T24" s="37">
        <v>0.46032674438002341</v>
      </c>
      <c r="U24" s="39">
        <v>223.53105578452812</v>
      </c>
      <c r="V24" s="39">
        <v>313.61512545105307</v>
      </c>
      <c r="W24" s="37">
        <v>0.41127420583425911</v>
      </c>
      <c r="X24" s="25">
        <v>18.482316595755012</v>
      </c>
      <c r="Y24" s="40">
        <v>16.539388948462893</v>
      </c>
      <c r="Z24" s="41">
        <v>4.9421773733626023E-2</v>
      </c>
      <c r="AA24" s="42">
        <v>6.046172583013934E-2</v>
      </c>
      <c r="AB24" s="25">
        <v>6.8360225567251645E-2</v>
      </c>
      <c r="AC24" s="25">
        <v>6.6454882949255722E-2</v>
      </c>
      <c r="AD24" s="43">
        <v>0.76807656912614741</v>
      </c>
      <c r="AE24" s="44">
        <v>2.2070165562973196</v>
      </c>
      <c r="AF24" s="45">
        <v>2.1291566156187893</v>
      </c>
      <c r="AG24" s="33">
        <v>15663</v>
      </c>
      <c r="AH24" s="46">
        <v>16581</v>
      </c>
      <c r="AI24" s="33">
        <v>897783</v>
      </c>
      <c r="AJ24" s="46">
        <v>850309</v>
      </c>
      <c r="AK24" s="36">
        <v>27525.638799999993</v>
      </c>
      <c r="AL24" s="36">
        <v>9113326.9235999975</v>
      </c>
      <c r="AM24" s="47">
        <v>4632243.0109000001</v>
      </c>
      <c r="AV24" s="31">
        <f t="shared" si="0"/>
        <v>-3.1567319539448579E-2</v>
      </c>
      <c r="AW24" s="31">
        <f t="shared" si="1"/>
        <v>95170055262.347702</v>
      </c>
    </row>
    <row r="25" spans="1:49" x14ac:dyDescent="0.35">
      <c r="B25" t="s">
        <v>79</v>
      </c>
      <c r="C25" t="s">
        <v>80</v>
      </c>
      <c r="E25" s="32">
        <v>72788.857142857145</v>
      </c>
      <c r="F25" s="33">
        <v>251916.85714285713</v>
      </c>
      <c r="G25" s="34">
        <v>2.2270834232869237</v>
      </c>
      <c r="H25" s="35">
        <v>2.7183028451086129</v>
      </c>
      <c r="I25" s="33">
        <v>4340</v>
      </c>
      <c r="J25" s="36">
        <v>11053</v>
      </c>
      <c r="K25" s="37">
        <v>1.4087557603686638</v>
      </c>
      <c r="L25" s="33">
        <v>2184885.3199999901</v>
      </c>
      <c r="M25" s="33">
        <v>7526483.4100008449</v>
      </c>
      <c r="N25" s="37">
        <v>2.2399048614600563</v>
      </c>
      <c r="O25" s="37">
        <v>3.1841132253852864</v>
      </c>
      <c r="P25" s="38">
        <v>0.36562358339245549</v>
      </c>
      <c r="Q25" s="37">
        <v>0.47240998967411307</v>
      </c>
      <c r="R25" s="39">
        <v>319.36399078341515</v>
      </c>
      <c r="S25" s="39">
        <v>359.25969962905657</v>
      </c>
      <c r="T25" s="37">
        <v>0.11912935311843853</v>
      </c>
      <c r="U25" s="39">
        <v>503.42979723502077</v>
      </c>
      <c r="V25" s="39">
        <v>680.94484845750878</v>
      </c>
      <c r="W25" s="37">
        <v>0.34505329048561739</v>
      </c>
      <c r="X25" s="25">
        <v>16.771626069782752</v>
      </c>
      <c r="Y25" s="40">
        <v>22.791717827092839</v>
      </c>
      <c r="Z25" s="41">
        <v>5.433853691886964E-2</v>
      </c>
      <c r="AA25" s="42">
        <v>4.3875587070110432E-2</v>
      </c>
      <c r="AB25" s="25">
        <v>3.1074457676609078E-2</v>
      </c>
      <c r="AC25" s="25">
        <v>3.7829369595880895E-2</v>
      </c>
      <c r="AD25" s="43">
        <v>0.70273990832475575</v>
      </c>
      <c r="AE25" s="44">
        <v>1.5767200144079847</v>
      </c>
      <c r="AF25" s="45">
        <v>1.8954111723652809</v>
      </c>
      <c r="AG25" s="33">
        <v>3280</v>
      </c>
      <c r="AH25" s="46">
        <v>8471</v>
      </c>
      <c r="AI25" s="33">
        <v>897783</v>
      </c>
      <c r="AJ25" s="46">
        <v>850309</v>
      </c>
      <c r="AK25" s="36">
        <v>12328.6369</v>
      </c>
      <c r="AL25" s="36">
        <v>8993629.8420000039</v>
      </c>
      <c r="AM25" s="47">
        <v>4133235.659599999</v>
      </c>
      <c r="AV25" s="31">
        <f t="shared" si="0"/>
        <v>1.4087557603686638</v>
      </c>
      <c r="AW25" s="31">
        <f t="shared" si="1"/>
        <v>43624377755.348946</v>
      </c>
    </row>
    <row r="26" spans="1:49" x14ac:dyDescent="0.35">
      <c r="C26" t="s">
        <v>81</v>
      </c>
      <c r="E26" s="32">
        <v>281973.85714285716</v>
      </c>
      <c r="F26" s="33">
        <v>719327.85714285716</v>
      </c>
      <c r="G26" s="34">
        <v>1.3794647629440822</v>
      </c>
      <c r="H26" s="35">
        <v>2.2258292966909727</v>
      </c>
      <c r="I26" s="33">
        <v>18170</v>
      </c>
      <c r="J26" s="36">
        <v>34014</v>
      </c>
      <c r="K26" s="37">
        <v>0.76378646119977978</v>
      </c>
      <c r="L26" s="33">
        <v>2651834.4700001357</v>
      </c>
      <c r="M26" s="33">
        <v>5968992.2200011695</v>
      </c>
      <c r="N26" s="37">
        <v>1.1027706340964629</v>
      </c>
      <c r="O26" s="37">
        <v>0.92601373667757048</v>
      </c>
      <c r="P26" s="38">
        <v>0.48000634443826967</v>
      </c>
      <c r="Q26" s="37">
        <v>0.43993563288656323</v>
      </c>
      <c r="R26" s="39">
        <v>75.890869565215979</v>
      </c>
      <c r="S26" s="39">
        <v>98.283643499734893</v>
      </c>
      <c r="T26" s="37">
        <v>0.28469916527366923</v>
      </c>
      <c r="U26" s="39">
        <v>145.94576059439382</v>
      </c>
      <c r="V26" s="39">
        <v>175.48633562654112</v>
      </c>
      <c r="W26" s="37">
        <v>0.1921911639270073</v>
      </c>
      <c r="X26" s="25">
        <v>15.518649264879315</v>
      </c>
      <c r="Y26" s="40">
        <v>21.147993683273274</v>
      </c>
      <c r="Z26" s="41">
        <v>5.8651422357205475E-2</v>
      </c>
      <c r="AA26" s="42">
        <v>4.7285809470944601E-2</v>
      </c>
      <c r="AB26" s="25">
        <v>5.4234221170541642E-2</v>
      </c>
      <c r="AC26" s="25">
        <v>3.5931851087313046E-2</v>
      </c>
      <c r="AD26" s="43">
        <v>0.77312317818798304</v>
      </c>
      <c r="AE26" s="44">
        <v>1.9232339661644753</v>
      </c>
      <c r="AF26" s="45">
        <v>1.7855090570285426</v>
      </c>
      <c r="AG26" s="33">
        <v>11239</v>
      </c>
      <c r="AH26" s="46">
        <v>17486</v>
      </c>
      <c r="AI26" s="33">
        <v>897783</v>
      </c>
      <c r="AJ26" s="46">
        <v>850309</v>
      </c>
      <c r="AK26" s="36">
        <v>32899.320500000009</v>
      </c>
      <c r="AL26" s="36">
        <v>6018268.7690999983</v>
      </c>
      <c r="AM26" s="47">
        <v>2564930.3055000007</v>
      </c>
      <c r="AV26" s="31">
        <f t="shared" si="0"/>
        <v>0.76378646119977978</v>
      </c>
      <c r="AW26" s="31">
        <f t="shared" si="1"/>
        <v>134247678003.29675</v>
      </c>
    </row>
    <row r="27" spans="1:49" x14ac:dyDescent="0.35">
      <c r="A27" t="s">
        <v>82</v>
      </c>
      <c r="E27" s="32">
        <v>1829298.142857143</v>
      </c>
      <c r="F27" s="33">
        <v>2675864</v>
      </c>
      <c r="G27" s="34">
        <v>0.35951220011234586</v>
      </c>
      <c r="H27" s="35">
        <v>1.4975549629019058</v>
      </c>
      <c r="I27" s="33">
        <v>118565</v>
      </c>
      <c r="J27" s="36">
        <v>128754</v>
      </c>
      <c r="K27" s="37">
        <v>2.3548264664951635E-2</v>
      </c>
      <c r="L27" s="33">
        <v>19528001.610004541</v>
      </c>
      <c r="M27" s="33">
        <v>36597235.779982626</v>
      </c>
      <c r="N27" s="37">
        <v>0.76859780277211898</v>
      </c>
      <c r="O27" s="37">
        <v>0.71280306693756423</v>
      </c>
      <c r="P27" s="38">
        <v>0.49227885791852771</v>
      </c>
      <c r="Q27" s="37">
        <v>0.47639647307785576</v>
      </c>
      <c r="R27" s="39">
        <v>83.623154219207478</v>
      </c>
      <c r="S27" s="39">
        <v>148.82987503301018</v>
      </c>
      <c r="T27" s="37">
        <v>0.78076169987757371</v>
      </c>
      <c r="U27" s="39">
        <v>164.70291915830592</v>
      </c>
      <c r="V27" s="39">
        <v>284.24154418490008</v>
      </c>
      <c r="W27" s="37">
        <v>0.72790855480669636</v>
      </c>
      <c r="X27" s="25">
        <v>15.428652155839774</v>
      </c>
      <c r="Y27" s="40">
        <v>20.782764030632059</v>
      </c>
      <c r="Z27" s="41">
        <v>5.9296139944128523E-2</v>
      </c>
      <c r="AA27" s="42">
        <v>4.8116795173446782E-2</v>
      </c>
      <c r="AB27" s="25">
        <v>5.7493543698313027E-2</v>
      </c>
      <c r="AC27" s="25">
        <v>4.249114367519892E-2</v>
      </c>
      <c r="AD27" s="43">
        <v>0.75069595163946334</v>
      </c>
      <c r="AE27" s="44">
        <v>1.9710284872501165</v>
      </c>
      <c r="AF27" s="45">
        <v>1.9098419865087966</v>
      </c>
      <c r="AG27" s="33">
        <v>53185</v>
      </c>
      <c r="AH27" s="46">
        <v>59390</v>
      </c>
      <c r="AI27" s="33">
        <v>897783</v>
      </c>
      <c r="AJ27" s="46">
        <v>850309</v>
      </c>
      <c r="AK27" s="36">
        <v>136483.5569</v>
      </c>
      <c r="AL27" s="36">
        <v>41532163.341499999</v>
      </c>
      <c r="AM27" s="47">
        <v>19238486.739900015</v>
      </c>
      <c r="AV27" s="31">
        <f t="shared" si="0"/>
        <v>2.3548264664951635E-2</v>
      </c>
      <c r="AW27" s="31">
        <f t="shared" si="1"/>
        <v>508170915906.28772</v>
      </c>
    </row>
    <row r="28" spans="1:49" x14ac:dyDescent="0.35">
      <c r="A28" t="s">
        <v>83</v>
      </c>
      <c r="B28" t="s">
        <v>84</v>
      </c>
      <c r="C28" t="s">
        <v>85</v>
      </c>
      <c r="E28" s="32">
        <v>620489.42857142852</v>
      </c>
      <c r="F28" s="33">
        <v>579942</v>
      </c>
      <c r="G28" s="34">
        <v>-0.12280006612291772</v>
      </c>
      <c r="H28" s="35">
        <v>0.12252438252205344</v>
      </c>
      <c r="I28" s="33">
        <v>34903</v>
      </c>
      <c r="J28" s="36">
        <v>35754</v>
      </c>
      <c r="K28" s="37">
        <v>-3.9051084434002847E-2</v>
      </c>
      <c r="L28" s="33">
        <v>7146590.2200022042</v>
      </c>
      <c r="M28" s="33">
        <v>7997809.4300020635</v>
      </c>
      <c r="N28" s="37">
        <v>4.1755323981558679E-2</v>
      </c>
      <c r="O28" s="37">
        <v>-8.0618713071682113E-2</v>
      </c>
      <c r="P28" s="38">
        <v>0.57670580698285678</v>
      </c>
      <c r="Q28" s="37">
        <v>0.50900019006841446</v>
      </c>
      <c r="R28" s="39">
        <v>86.671923330373929</v>
      </c>
      <c r="S28" s="39">
        <v>109.8317086200161</v>
      </c>
      <c r="T28" s="37">
        <v>0.2575908304823693</v>
      </c>
      <c r="U28" s="39">
        <v>204.75575795783183</v>
      </c>
      <c r="V28" s="39">
        <v>223.68992084807471</v>
      </c>
      <c r="W28" s="37">
        <v>8.4090222806450177E-2</v>
      </c>
      <c r="X28" s="25">
        <v>17.77753856606677</v>
      </c>
      <c r="Y28" s="40">
        <v>16.220338983050848</v>
      </c>
      <c r="Z28" s="41">
        <v>5.1599468341192264E-2</v>
      </c>
      <c r="AA28" s="42">
        <v>6.1650992685475442E-2</v>
      </c>
      <c r="AB28" s="25">
        <v>6.6441730065691249E-2</v>
      </c>
      <c r="AC28" s="25">
        <v>5.9520197454280478E-2</v>
      </c>
      <c r="AD28" s="43">
        <v>0.79371322815236989</v>
      </c>
      <c r="AE28" s="44">
        <v>2.3626688668606812</v>
      </c>
      <c r="AF28" s="45">
        <v>2.0366606662013518</v>
      </c>
      <c r="AG28" s="33">
        <v>15074</v>
      </c>
      <c r="AH28" s="46">
        <v>18998</v>
      </c>
      <c r="AI28" s="33">
        <v>897783</v>
      </c>
      <c r="AJ28" s="46">
        <v>850309</v>
      </c>
      <c r="AK28" s="36">
        <v>35307.224600000001</v>
      </c>
      <c r="AL28" s="36">
        <v>10404372.649699997</v>
      </c>
      <c r="AM28" s="47">
        <v>5880326.5174999963</v>
      </c>
      <c r="AV28" s="31">
        <f t="shared" si="0"/>
        <v>-3.9051084434002847E-2</v>
      </c>
      <c r="AW28" s="31">
        <f t="shared" si="1"/>
        <v>141115172556.2966</v>
      </c>
    </row>
    <row r="29" spans="1:49" x14ac:dyDescent="0.35">
      <c r="B29" t="s">
        <v>86</v>
      </c>
      <c r="C29" t="s">
        <v>87</v>
      </c>
      <c r="E29" s="32">
        <v>978237</v>
      </c>
      <c r="F29" s="33">
        <v>526912.42857142852</v>
      </c>
      <c r="G29" s="34">
        <v>-0.49429666401320516</v>
      </c>
      <c r="H29" s="35">
        <v>2.855502433475432E-2</v>
      </c>
      <c r="I29" s="33">
        <v>48422</v>
      </c>
      <c r="J29" s="36">
        <v>37929</v>
      </c>
      <c r="K29" s="37">
        <v>-0.25422328693569041</v>
      </c>
      <c r="L29" s="33">
        <v>5001675.3799993694</v>
      </c>
      <c r="M29" s="33">
        <v>5254021.9800003059</v>
      </c>
      <c r="N29" s="37">
        <v>9.1604505547127069E-4</v>
      </c>
      <c r="O29" s="37">
        <v>-0.1470105685292491</v>
      </c>
      <c r="P29" s="38">
        <v>0.56644456202190085</v>
      </c>
      <c r="Q29" s="37">
        <v>0.48246440149079267</v>
      </c>
      <c r="R29" s="39">
        <v>44.783436454502123</v>
      </c>
      <c r="S29" s="39">
        <v>71.69035329167626</v>
      </c>
      <c r="T29" s="37">
        <v>0.60126166451861662</v>
      </c>
      <c r="U29" s="39">
        <v>103.29344884555304</v>
      </c>
      <c r="V29" s="39">
        <v>138.52255477340046</v>
      </c>
      <c r="W29" s="37">
        <v>0.34211222678544617</v>
      </c>
      <c r="X29" s="25">
        <v>20.202325389285861</v>
      </c>
      <c r="Y29" s="40">
        <v>13.892072782605092</v>
      </c>
      <c r="Z29" s="41">
        <v>4.5404164410053405E-2</v>
      </c>
      <c r="AA29" s="42">
        <v>7.1983498477789898E-2</v>
      </c>
      <c r="AB29" s="25">
        <v>6.5936243094512625E-2</v>
      </c>
      <c r="AC29" s="25">
        <v>5.8432908920887282E-2</v>
      </c>
      <c r="AD29" s="43">
        <v>0.78435508343857463</v>
      </c>
      <c r="AE29" s="44">
        <v>2.307911430236123</v>
      </c>
      <c r="AF29" s="45">
        <v>1.9322342325446993</v>
      </c>
      <c r="AG29" s="33">
        <v>18381</v>
      </c>
      <c r="AH29" s="46">
        <v>19864</v>
      </c>
      <c r="AI29" s="33">
        <v>897783</v>
      </c>
      <c r="AJ29" s="46">
        <v>850309</v>
      </c>
      <c r="AK29" s="36">
        <v>47856.160699999993</v>
      </c>
      <c r="AL29" s="36">
        <v>7156080.3379999986</v>
      </c>
      <c r="AM29" s="47">
        <v>3786591.9932999988</v>
      </c>
      <c r="AV29" s="31">
        <f t="shared" si="0"/>
        <v>-0.25422328693569041</v>
      </c>
      <c r="AW29" s="31">
        <f t="shared" si="1"/>
        <v>149699540747.54639</v>
      </c>
    </row>
    <row r="30" spans="1:49" x14ac:dyDescent="0.35">
      <c r="C30" t="s">
        <v>88</v>
      </c>
      <c r="E30" s="32">
        <v>40602.571428571428</v>
      </c>
      <c r="F30" s="33">
        <v>33262.428571428572</v>
      </c>
      <c r="G30" s="34">
        <v>-0.22174879845752204</v>
      </c>
      <c r="H30" s="35">
        <v>8.0403607179539094E-2</v>
      </c>
      <c r="I30" s="33">
        <v>2719</v>
      </c>
      <c r="J30" s="36">
        <v>2209</v>
      </c>
      <c r="K30" s="37">
        <v>-0.210003677822729</v>
      </c>
      <c r="L30" s="33">
        <v>1614766.5600000108</v>
      </c>
      <c r="M30" s="33">
        <v>1576463.5600000022</v>
      </c>
      <c r="N30" s="37">
        <v>-4.6137195211677473E-2</v>
      </c>
      <c r="O30" s="37">
        <v>-0.11603375511946579</v>
      </c>
      <c r="P30" s="38">
        <v>0.50637942366109356</v>
      </c>
      <c r="Q30" s="37">
        <v>0.46920728063007228</v>
      </c>
      <c r="R30" s="39">
        <v>293.15262964325069</v>
      </c>
      <c r="S30" s="39">
        <v>378.80279764599294</v>
      </c>
      <c r="T30" s="37">
        <v>0.29819087222015717</v>
      </c>
      <c r="U30" s="39">
        <v>593.8825156307505</v>
      </c>
      <c r="V30" s="39">
        <v>713.6548483476696</v>
      </c>
      <c r="W30" s="37">
        <v>0.2074268930258143</v>
      </c>
      <c r="X30" s="25">
        <v>14.932906005359113</v>
      </c>
      <c r="Y30" s="40">
        <v>15.057686089374636</v>
      </c>
      <c r="Z30" s="41">
        <v>6.1680161682736247E-2</v>
      </c>
      <c r="AA30" s="42">
        <v>6.6411266250638853E-2</v>
      </c>
      <c r="AB30" s="25">
        <v>6.4156422475727684E-2</v>
      </c>
      <c r="AC30" s="25">
        <v>5.5200262649816791E-2</v>
      </c>
      <c r="AD30" s="43">
        <v>0.79830788652372875</v>
      </c>
      <c r="AE30" s="44">
        <v>2.0264638585467845</v>
      </c>
      <c r="AF30" s="45">
        <v>1.8839745978185987</v>
      </c>
      <c r="AG30" s="33">
        <v>1984</v>
      </c>
      <c r="AH30" s="46">
        <v>1374</v>
      </c>
      <c r="AI30" s="33">
        <v>897783</v>
      </c>
      <c r="AJ30" s="46">
        <v>850309</v>
      </c>
      <c r="AK30" s="36">
        <v>1784.8451000000007</v>
      </c>
      <c r="AL30" s="36">
        <v>1064953.8575999998</v>
      </c>
      <c r="AM30" s="47">
        <v>570511.2993999999</v>
      </c>
      <c r="AV30" s="31">
        <f t="shared" si="0"/>
        <v>-0.210003677822729</v>
      </c>
      <c r="AW30" s="31">
        <f t="shared" si="1"/>
        <v>8718560613.5497894</v>
      </c>
    </row>
    <row r="31" spans="1:49" x14ac:dyDescent="0.35">
      <c r="C31" t="s">
        <v>89</v>
      </c>
      <c r="E31" s="32">
        <v>119680.71428571429</v>
      </c>
      <c r="F31" s="33">
        <v>96640.857142857145</v>
      </c>
      <c r="G31" s="34">
        <v>-0.23449416005681789</v>
      </c>
      <c r="H31" s="35">
        <v>0.1805092775893451</v>
      </c>
      <c r="I31" s="33">
        <v>4754</v>
      </c>
      <c r="J31" s="36">
        <v>4216</v>
      </c>
      <c r="K31" s="37">
        <v>-0.16659655027345388</v>
      </c>
      <c r="L31" s="33">
        <v>1077242.6499999992</v>
      </c>
      <c r="M31" s="33">
        <v>1298464.6900000111</v>
      </c>
      <c r="N31" s="37">
        <v>0.12502146104223688</v>
      </c>
      <c r="O31" s="37">
        <v>-8.4027375559164841E-2</v>
      </c>
      <c r="P31" s="38">
        <v>0.53257294445220971</v>
      </c>
      <c r="Q31" s="37">
        <v>0.43460041258419552</v>
      </c>
      <c r="R31" s="39">
        <v>105.91761884728618</v>
      </c>
      <c r="S31" s="39">
        <v>174.13458254269372</v>
      </c>
      <c r="T31" s="37">
        <v>0.63570920413215792</v>
      </c>
      <c r="U31" s="39">
        <v>226.59710769877981</v>
      </c>
      <c r="V31" s="39">
        <v>307.9849833965871</v>
      </c>
      <c r="W31" s="37">
        <v>0.34991217208349146</v>
      </c>
      <c r="X31" s="25">
        <v>25.174740068513735</v>
      </c>
      <c r="Y31" s="40">
        <v>22.922404445649228</v>
      </c>
      <c r="Z31" s="41">
        <v>3.6277757237820014E-2</v>
      </c>
      <c r="AA31" s="42">
        <v>4.3625440881259921E-2</v>
      </c>
      <c r="AB31" s="25">
        <v>4.1645908126592204E-2</v>
      </c>
      <c r="AC31" s="25">
        <v>3.6148438933418424E-2</v>
      </c>
      <c r="AD31" s="43">
        <v>0.76992851706074039</v>
      </c>
      <c r="AE31" s="44">
        <v>2.1404873300159899</v>
      </c>
      <c r="AF31" s="45">
        <v>1.7686606468366293</v>
      </c>
      <c r="AG31" s="33">
        <v>2266</v>
      </c>
      <c r="AH31" s="46">
        <v>2215</v>
      </c>
      <c r="AI31" s="33">
        <v>897783</v>
      </c>
      <c r="AJ31" s="46">
        <v>850309</v>
      </c>
      <c r="AK31" s="36">
        <v>4322.3086999999996</v>
      </c>
      <c r="AL31" s="36">
        <v>1284241.8</v>
      </c>
      <c r="AM31" s="47">
        <v>623825.07319999998</v>
      </c>
      <c r="AV31" s="31">
        <f t="shared" si="0"/>
        <v>-0.16659655027345388</v>
      </c>
      <c r="AW31" s="31">
        <f t="shared" si="1"/>
        <v>16639860365.199598</v>
      </c>
    </row>
    <row r="32" spans="1:49" x14ac:dyDescent="0.35">
      <c r="C32" t="s">
        <v>90</v>
      </c>
      <c r="E32" s="32">
        <v>261707.85714285713</v>
      </c>
      <c r="F32" s="33">
        <v>64796.285714285717</v>
      </c>
      <c r="G32" s="34">
        <v>-0.75475380126695246</v>
      </c>
      <c r="H32" s="35">
        <v>-0.59921239303841922</v>
      </c>
      <c r="I32" s="33">
        <v>12817</v>
      </c>
      <c r="J32" s="36">
        <v>2372</v>
      </c>
      <c r="K32" s="37">
        <v>-0.81758601856908797</v>
      </c>
      <c r="L32" s="33">
        <v>902215.16000000725</v>
      </c>
      <c r="M32" s="33">
        <v>159284.32999999973</v>
      </c>
      <c r="N32" s="37">
        <v>-0.82688096262980237</v>
      </c>
      <c r="O32" s="37">
        <v>-0.98312769638672892</v>
      </c>
      <c r="P32" s="38">
        <v>0.43459566784490877</v>
      </c>
      <c r="Q32" s="37">
        <v>4.373550116322858E-2</v>
      </c>
      <c r="R32" s="39">
        <v>39.799981274869538</v>
      </c>
      <c r="S32" s="39">
        <v>64.214987352445462</v>
      </c>
      <c r="T32" s="37">
        <v>0.60742850664984394</v>
      </c>
      <c r="U32" s="39">
        <v>70.392069907155133</v>
      </c>
      <c r="V32" s="39">
        <v>67.151909780775597</v>
      </c>
      <c r="W32" s="37">
        <v>-5.0955217290923005E-2</v>
      </c>
      <c r="X32" s="25">
        <v>20.418807610428114</v>
      </c>
      <c r="Y32" s="40">
        <v>27.31715249337509</v>
      </c>
      <c r="Z32" s="41">
        <v>4.3689859408297796E-2</v>
      </c>
      <c r="AA32" s="42">
        <v>3.6607036558532896E-2</v>
      </c>
      <c r="AB32" s="25">
        <v>2.9310321281506541E-2</v>
      </c>
      <c r="AC32" s="25">
        <v>1.4169550402141795E-3</v>
      </c>
      <c r="AD32" s="43">
        <v>0.85485560384110393</v>
      </c>
      <c r="AE32" s="44">
        <v>1.7694344380997566</v>
      </c>
      <c r="AF32" s="45">
        <v>1.045735778350477</v>
      </c>
      <c r="AG32" s="33">
        <v>5806</v>
      </c>
      <c r="AH32" s="46">
        <v>1110</v>
      </c>
      <c r="AI32" s="33">
        <v>897783</v>
      </c>
      <c r="AJ32" s="46">
        <v>850309</v>
      </c>
      <c r="AK32" s="36"/>
      <c r="AL32" s="36"/>
      <c r="AM32" s="47"/>
      <c r="AV32" s="31">
        <f t="shared" si="0"/>
        <v>-0.81758601856908797</v>
      </c>
      <c r="AW32" s="31">
        <f t="shared" si="1"/>
        <v>9361894873.3997746</v>
      </c>
    </row>
    <row r="33" spans="1:49" x14ac:dyDescent="0.35">
      <c r="A33" t="s">
        <v>91</v>
      </c>
      <c r="E33" s="32">
        <v>2020717.5714285714</v>
      </c>
      <c r="F33" s="33">
        <v>1301554</v>
      </c>
      <c r="G33" s="34">
        <v>-0.39309225584150687</v>
      </c>
      <c r="H33" s="35">
        <v>3.0256322977491701E-2</v>
      </c>
      <c r="I33" s="33">
        <v>103615</v>
      </c>
      <c r="J33" s="36">
        <v>82480</v>
      </c>
      <c r="K33" s="37">
        <v>-0.24624813009699364</v>
      </c>
      <c r="L33" s="33">
        <v>15742489.970006865</v>
      </c>
      <c r="M33" s="33">
        <v>16286043.990008304</v>
      </c>
      <c r="N33" s="37">
        <v>-2.4319973570173903E-2</v>
      </c>
      <c r="O33" s="37">
        <v>-0.14618023729277285</v>
      </c>
      <c r="P33" s="38">
        <v>0.55506756343212482</v>
      </c>
      <c r="Q33" s="37">
        <v>0.48610533932399369</v>
      </c>
      <c r="R33" s="39">
        <v>67.599714520103163</v>
      </c>
      <c r="S33" s="39">
        <v>101.47079352570113</v>
      </c>
      <c r="T33" s="37">
        <v>0.49612184111980495</v>
      </c>
      <c r="U33" s="39">
        <v>151.93253843562096</v>
      </c>
      <c r="V33" s="39">
        <v>197.45446156654103</v>
      </c>
      <c r="W33" s="37">
        <v>0.29443131803490918</v>
      </c>
      <c r="X33" s="25">
        <v>19.502172189630567</v>
      </c>
      <c r="Y33" s="40">
        <v>15.780237633365664</v>
      </c>
      <c r="Z33" s="41">
        <v>4.6854171226119595E-2</v>
      </c>
      <c r="AA33" s="42">
        <v>6.3370401842720317E-2</v>
      </c>
      <c r="AB33" s="25">
        <v>6.0308075337495111E-2</v>
      </c>
      <c r="AC33" s="25">
        <v>5.4334511440772511E-2</v>
      </c>
      <c r="AD33" s="43">
        <v>0.79037662352838134</v>
      </c>
      <c r="AE33" s="44">
        <v>2.2483680020728327</v>
      </c>
      <c r="AF33" s="45">
        <v>1.9459240901326802</v>
      </c>
      <c r="AG33" s="33">
        <v>38885</v>
      </c>
      <c r="AH33" s="46">
        <v>39350</v>
      </c>
      <c r="AI33" s="33">
        <v>897783</v>
      </c>
      <c r="AJ33" s="46">
        <v>850309</v>
      </c>
      <c r="AK33" s="36">
        <v>89270.539099999965</v>
      </c>
      <c r="AL33" s="36">
        <v>19909648.645300012</v>
      </c>
      <c r="AM33" s="47">
        <v>10861254.883400012</v>
      </c>
      <c r="AV33" s="31">
        <f t="shared" si="0"/>
        <v>-0.24624813009699364</v>
      </c>
      <c r="AW33" s="31">
        <f t="shared" si="1"/>
        <v>325535029155.99213</v>
      </c>
    </row>
    <row r="34" spans="1:49" x14ac:dyDescent="0.35">
      <c r="A34" t="s">
        <v>92</v>
      </c>
      <c r="B34" t="s">
        <v>93</v>
      </c>
      <c r="C34" t="s">
        <v>94</v>
      </c>
      <c r="E34" s="32">
        <v>274833.14285714284</v>
      </c>
      <c r="F34" s="33">
        <v>185035.42857142858</v>
      </c>
      <c r="G34" s="34">
        <v>-0.37571835794393682</v>
      </c>
      <c r="H34" s="35">
        <v>-4.7674181478226774E-2</v>
      </c>
      <c r="I34" s="33">
        <v>13894</v>
      </c>
      <c r="J34" s="36">
        <v>11153</v>
      </c>
      <c r="K34" s="37">
        <v>-0.23758456887865265</v>
      </c>
      <c r="L34" s="33">
        <v>9779332.0099996123</v>
      </c>
      <c r="M34" s="33">
        <v>11139016.739999928</v>
      </c>
      <c r="N34" s="37">
        <v>7.9185361454998215E-2</v>
      </c>
      <c r="O34" s="37">
        <v>0.22048636082526096</v>
      </c>
      <c r="P34" s="38">
        <v>0.43046664288471287</v>
      </c>
      <c r="Q34" s="37">
        <v>0.48688018939093558</v>
      </c>
      <c r="R34" s="39">
        <v>400.86769756730013</v>
      </c>
      <c r="S34" s="39">
        <v>512.47647807764372</v>
      </c>
      <c r="T34" s="37">
        <v>0.27540277764556542</v>
      </c>
      <c r="U34" s="39">
        <v>703.8528868576085</v>
      </c>
      <c r="V34" s="39">
        <v>998.74623330045074</v>
      </c>
      <c r="W34" s="37">
        <v>0.41548205532481308</v>
      </c>
      <c r="X34" s="25">
        <v>19.780706985543606</v>
      </c>
      <c r="Y34" s="40">
        <v>16.59064185164786</v>
      </c>
      <c r="Z34" s="41">
        <v>4.5666843986870556E-2</v>
      </c>
      <c r="AA34" s="42">
        <v>6.0274943485726283E-2</v>
      </c>
      <c r="AB34" s="25">
        <v>3.5228085893358754E-2</v>
      </c>
      <c r="AC34" s="25">
        <v>4.8875944201759787E-2</v>
      </c>
      <c r="AD34" s="43">
        <v>0.75130836870589723</v>
      </c>
      <c r="AE34" s="44">
        <v>1.7549026174359155</v>
      </c>
      <c r="AF34" s="45">
        <v>1.9488625839899207</v>
      </c>
      <c r="AG34" s="33">
        <v>9376</v>
      </c>
      <c r="AH34" s="46">
        <v>8008</v>
      </c>
      <c r="AI34" s="33">
        <v>897783</v>
      </c>
      <c r="AJ34" s="46">
        <v>850309</v>
      </c>
      <c r="AK34" s="36">
        <v>12165.369199999999</v>
      </c>
      <c r="AL34" s="36">
        <v>12427087.353099998</v>
      </c>
      <c r="AM34" s="47">
        <v>5715841.9907000009</v>
      </c>
      <c r="AV34" s="31">
        <f t="shared" si="0"/>
        <v>-0.23758456887865265</v>
      </c>
      <c r="AW34" s="31">
        <f t="shared" si="1"/>
        <v>44019061350.348938</v>
      </c>
    </row>
    <row r="35" spans="1:49" x14ac:dyDescent="0.35">
      <c r="C35" t="s">
        <v>95</v>
      </c>
      <c r="E35" s="32">
        <v>567026.42857142852</v>
      </c>
      <c r="F35" s="33">
        <v>433769.14285714284</v>
      </c>
      <c r="G35" s="34">
        <v>-0.2796092900683641</v>
      </c>
      <c r="H35" s="35">
        <v>7.9428167472575639E-2</v>
      </c>
      <c r="I35" s="33">
        <v>42809</v>
      </c>
      <c r="J35" s="36">
        <v>27006</v>
      </c>
      <c r="K35" s="37">
        <v>-0.39508047373215915</v>
      </c>
      <c r="L35" s="33">
        <v>10757152.809999149</v>
      </c>
      <c r="M35" s="33">
        <v>8331151.7900001211</v>
      </c>
      <c r="N35" s="37">
        <v>-0.25869887219713705</v>
      </c>
      <c r="O35" s="37">
        <v>-0.28703364879138027</v>
      </c>
      <c r="P35" s="38">
        <v>0.4692978039046099</v>
      </c>
      <c r="Q35" s="37">
        <v>0.45145975308175879</v>
      </c>
      <c r="R35" s="39">
        <v>133.35617790652071</v>
      </c>
      <c r="S35" s="39">
        <v>169.22061986225333</v>
      </c>
      <c r="T35" s="37">
        <v>0.26687505160192693</v>
      </c>
      <c r="U35" s="39">
        <v>251.28250624866615</v>
      </c>
      <c r="V35" s="39">
        <v>308.49262349108056</v>
      </c>
      <c r="W35" s="37">
        <v>0.22545412342109827</v>
      </c>
      <c r="X35" s="25">
        <v>13.24549577358566</v>
      </c>
      <c r="Y35" s="40">
        <v>16.061954486304629</v>
      </c>
      <c r="Z35" s="41">
        <v>6.884259062092267E-2</v>
      </c>
      <c r="AA35" s="42">
        <v>6.2258923772487276E-2</v>
      </c>
      <c r="AB35" s="25">
        <v>6.6241063593747332E-2</v>
      </c>
      <c r="AC35" s="25">
        <v>4.7017997342862078E-2</v>
      </c>
      <c r="AD35" s="43">
        <v>0.80250320808012443</v>
      </c>
      <c r="AE35" s="44">
        <v>1.8845064212664218</v>
      </c>
      <c r="AF35" s="45">
        <v>1.823020289975273</v>
      </c>
      <c r="AG35" s="33">
        <v>18437</v>
      </c>
      <c r="AH35" s="46">
        <v>14206</v>
      </c>
      <c r="AI35" s="33">
        <v>897783</v>
      </c>
      <c r="AJ35" s="46">
        <v>850309</v>
      </c>
      <c r="AK35" s="36">
        <v>30679.734599999992</v>
      </c>
      <c r="AL35" s="36">
        <v>9213462.2930999994</v>
      </c>
      <c r="AM35" s="47">
        <v>4093450.2514000004</v>
      </c>
      <c r="AV35" s="31">
        <f t="shared" si="0"/>
        <v>-0.39508047373215915</v>
      </c>
      <c r="AW35" s="31">
        <f t="shared" si="1"/>
        <v>106588251665.69743</v>
      </c>
    </row>
    <row r="36" spans="1:49" x14ac:dyDescent="0.35">
      <c r="C36" t="s">
        <v>96</v>
      </c>
      <c r="E36" s="32">
        <v>67834</v>
      </c>
      <c r="F36" s="33">
        <v>66294.428571428565</v>
      </c>
      <c r="G36" s="34">
        <v>-8.0482185503266357E-2</v>
      </c>
      <c r="H36" s="35">
        <v>0.60210004952741225</v>
      </c>
      <c r="I36" s="33">
        <v>5033</v>
      </c>
      <c r="J36" s="36">
        <v>4476</v>
      </c>
      <c r="K36" s="37">
        <v>-0.15795748062785619</v>
      </c>
      <c r="L36" s="33">
        <v>2796499.9299999163</v>
      </c>
      <c r="M36" s="33">
        <v>3215624.4599999613</v>
      </c>
      <c r="N36" s="37">
        <v>8.9077609953686299E-2</v>
      </c>
      <c r="O36" s="37">
        <v>-6.3240888987864285E-2</v>
      </c>
      <c r="P36" s="38">
        <v>0.48432902696334268</v>
      </c>
      <c r="Q36" s="37">
        <v>0.41733205997567957</v>
      </c>
      <c r="R36" s="39">
        <v>286.52371150407333</v>
      </c>
      <c r="S36" s="39">
        <v>418.59724754244752</v>
      </c>
      <c r="T36" s="37">
        <v>0.46327331507375269</v>
      </c>
      <c r="U36" s="39">
        <v>555.63280945756333</v>
      </c>
      <c r="V36" s="39">
        <v>718.41475871312809</v>
      </c>
      <c r="W36" s="37">
        <v>0.29337602899879744</v>
      </c>
      <c r="X36" s="25">
        <v>13.477846214981124</v>
      </c>
      <c r="Y36" s="40">
        <v>14.811087705859823</v>
      </c>
      <c r="Z36" s="41">
        <v>6.7719728907625801E-2</v>
      </c>
      <c r="AA36" s="42">
        <v>6.7516985913489827E-2</v>
      </c>
      <c r="AB36" s="25">
        <v>7.1077921139330591E-2</v>
      </c>
      <c r="AC36" s="25">
        <v>4.5217467885794789E-2</v>
      </c>
      <c r="AD36" s="43">
        <v>0.79632375708089953</v>
      </c>
      <c r="AE36" s="44">
        <v>1.9386019522560864</v>
      </c>
      <c r="AF36" s="45">
        <v>1.7162433889159239</v>
      </c>
      <c r="AG36" s="33">
        <v>2854</v>
      </c>
      <c r="AH36" s="46">
        <v>3321</v>
      </c>
      <c r="AI36" s="33">
        <v>897783</v>
      </c>
      <c r="AJ36" s="46">
        <v>850309</v>
      </c>
      <c r="AK36" s="36">
        <v>4364.1405999999997</v>
      </c>
      <c r="AL36" s="36">
        <v>3063180.4178999993</v>
      </c>
      <c r="AM36" s="47">
        <v>1425459.4884000001</v>
      </c>
      <c r="AV36" s="31">
        <f t="shared" si="0"/>
        <v>-0.15795748062785619</v>
      </c>
      <c r="AW36" s="31">
        <f t="shared" si="1"/>
        <v>17666037712.199574</v>
      </c>
    </row>
    <row r="37" spans="1:49" x14ac:dyDescent="0.35">
      <c r="C37" t="s">
        <v>97</v>
      </c>
      <c r="E37" s="32">
        <v>74353.71428571429</v>
      </c>
      <c r="F37" s="33">
        <v>90132</v>
      </c>
      <c r="G37" s="34">
        <v>0.14122649267209231</v>
      </c>
      <c r="H37" s="35">
        <v>0.3313413049389764</v>
      </c>
      <c r="I37" s="33">
        <v>5515</v>
      </c>
      <c r="J37" s="36">
        <v>7674</v>
      </c>
      <c r="K37" s="37">
        <v>0.31804170444242974</v>
      </c>
      <c r="L37" s="33">
        <v>2042412.2400000084</v>
      </c>
      <c r="M37" s="33">
        <v>2919835.1800000696</v>
      </c>
      <c r="N37" s="37">
        <v>0.34753293487903059</v>
      </c>
      <c r="O37" s="37">
        <v>0.15464812029453912</v>
      </c>
      <c r="P37" s="38">
        <v>0.64361280463145087</v>
      </c>
      <c r="Q37" s="37">
        <v>0.55146899764391322</v>
      </c>
      <c r="R37" s="39">
        <v>131.98360290117847</v>
      </c>
      <c r="S37" s="39">
        <v>170.65892624446133</v>
      </c>
      <c r="T37" s="37">
        <v>0.28665940001729795</v>
      </c>
      <c r="U37" s="39">
        <v>370.33766817769873</v>
      </c>
      <c r="V37" s="39">
        <v>380.4841256189822</v>
      </c>
      <c r="W37" s="37">
        <v>2.2375035886346595E-2</v>
      </c>
      <c r="X37" s="25">
        <v>13.482087812459527</v>
      </c>
      <c r="Y37" s="40">
        <v>11.745113369820173</v>
      </c>
      <c r="Z37" s="41">
        <v>6.7590834918124412E-2</v>
      </c>
      <c r="AA37" s="42">
        <v>8.5141792038343767E-2</v>
      </c>
      <c r="AB37" s="25">
        <v>0.12107026548495488</v>
      </c>
      <c r="AC37" s="25">
        <v>0.11311146941855449</v>
      </c>
      <c r="AD37" s="43">
        <v>0.75489891083141869</v>
      </c>
      <c r="AE37" s="44">
        <v>2.8072944165411648</v>
      </c>
      <c r="AF37" s="45">
        <v>2.2295002903859573</v>
      </c>
      <c r="AG37" s="33">
        <v>2845</v>
      </c>
      <c r="AH37" s="46">
        <v>3984</v>
      </c>
      <c r="AI37" s="33">
        <v>897783</v>
      </c>
      <c r="AJ37" s="46">
        <v>850309</v>
      </c>
      <c r="AK37" s="36">
        <v>8233.963099999999</v>
      </c>
      <c r="AL37" s="36">
        <v>3033294.7409999999</v>
      </c>
      <c r="AM37" s="47">
        <v>1564329.8373</v>
      </c>
      <c r="AV37" s="31">
        <f t="shared" si="0"/>
        <v>0.31804170444242974</v>
      </c>
      <c r="AW37" s="31">
        <f t="shared" si="1"/>
        <v>30288019080.299271</v>
      </c>
    </row>
    <row r="38" spans="1:49" x14ac:dyDescent="0.35">
      <c r="B38" t="s">
        <v>98</v>
      </c>
      <c r="C38" t="s">
        <v>99</v>
      </c>
      <c r="E38" s="32">
        <v>455432.14285714284</v>
      </c>
      <c r="F38" s="33">
        <v>494329.57142857142</v>
      </c>
      <c r="G38" s="34">
        <v>4.0830921965793188E-3</v>
      </c>
      <c r="H38" s="35">
        <v>0.70762433269237168</v>
      </c>
      <c r="I38" s="33">
        <v>29328</v>
      </c>
      <c r="J38" s="36">
        <v>25625</v>
      </c>
      <c r="K38" s="37">
        <v>-0.17440671031096566</v>
      </c>
      <c r="L38" s="33">
        <v>3946834.9499999047</v>
      </c>
      <c r="M38" s="33">
        <v>4502294.5600000899</v>
      </c>
      <c r="N38" s="37">
        <v>7.7193334370405653E-2</v>
      </c>
      <c r="O38" s="37">
        <v>-2.5201393716797083E-2</v>
      </c>
      <c r="P38" s="38">
        <v>0.53491633593645682</v>
      </c>
      <c r="Q38" s="37">
        <v>0.48435205225667816</v>
      </c>
      <c r="R38" s="39">
        <v>62.588940943808204</v>
      </c>
      <c r="S38" s="39">
        <v>90.598983414632912</v>
      </c>
      <c r="T38" s="37">
        <v>0.44739876764993292</v>
      </c>
      <c r="U38" s="39">
        <v>134.5756597790475</v>
      </c>
      <c r="V38" s="39">
        <v>175.69929990244253</v>
      </c>
      <c r="W38" s="37">
        <v>0.30475059308698871</v>
      </c>
      <c r="X38" s="25">
        <v>15.528919219078793</v>
      </c>
      <c r="Y38" s="40">
        <v>19.290910104529615</v>
      </c>
      <c r="Z38" s="41">
        <v>5.8009650749211758E-2</v>
      </c>
      <c r="AA38" s="42">
        <v>5.1837886060398686E-2</v>
      </c>
      <c r="AB38" s="25">
        <v>7.3171708534412752E-2</v>
      </c>
      <c r="AC38" s="25">
        <v>4.5605726421678143E-2</v>
      </c>
      <c r="AD38" s="43">
        <v>0.75654837638624772</v>
      </c>
      <c r="AE38" s="44">
        <v>2.1504917519572144</v>
      </c>
      <c r="AF38" s="45">
        <v>1.9393076310618385</v>
      </c>
      <c r="AG38" s="33">
        <v>10086</v>
      </c>
      <c r="AH38" s="46">
        <v>9719</v>
      </c>
      <c r="AI38" s="33">
        <v>897783</v>
      </c>
      <c r="AJ38" s="46">
        <v>850309</v>
      </c>
      <c r="AK38" s="36">
        <v>29595.804499999998</v>
      </c>
      <c r="AL38" s="36">
        <v>5854791.031299999</v>
      </c>
      <c r="AM38" s="47">
        <v>2953774.1861999994</v>
      </c>
      <c r="AV38" s="31">
        <f>SUM(AV16:AV37)</f>
        <v>0.2853588248710005</v>
      </c>
      <c r="AW38" s="31">
        <f>SUM(AW16:AW37)</f>
        <v>1905796834668.604</v>
      </c>
    </row>
    <row r="39" spans="1:49" x14ac:dyDescent="0.35">
      <c r="C39" t="s">
        <v>100</v>
      </c>
      <c r="E39" s="32">
        <v>38123.142857142855</v>
      </c>
      <c r="F39" s="33">
        <v>57792.857142857145</v>
      </c>
      <c r="G39" s="34">
        <v>0.39734769281501325</v>
      </c>
      <c r="H39" s="35">
        <v>1.4081135390744217</v>
      </c>
      <c r="I39" s="33">
        <v>2679</v>
      </c>
      <c r="J39" s="36">
        <v>3361</v>
      </c>
      <c r="K39" s="37">
        <v>0.17506532288167231</v>
      </c>
      <c r="L39" s="33">
        <v>1347585.0000000426</v>
      </c>
      <c r="M39" s="33">
        <v>1697957.1600000234</v>
      </c>
      <c r="N39" s="37">
        <v>0.17813586527007419</v>
      </c>
      <c r="O39" s="37">
        <v>-0.11677786770957421</v>
      </c>
      <c r="P39" s="38">
        <v>0.59572771290865945</v>
      </c>
      <c r="Q39" s="37">
        <v>0.44566000711113957</v>
      </c>
      <c r="R39" s="39">
        <v>203.35620380739135</v>
      </c>
      <c r="S39" s="39">
        <v>280.04925914906357</v>
      </c>
      <c r="T39" s="37">
        <v>0.37244706858562782</v>
      </c>
      <c r="U39" s="39">
        <v>503.01791713327458</v>
      </c>
      <c r="V39" s="39">
        <v>505.19403748884957</v>
      </c>
      <c r="W39" s="37">
        <v>2.613082293052349E-3</v>
      </c>
      <c r="X39" s="25">
        <v>14.230363141897296</v>
      </c>
      <c r="Y39" s="40">
        <v>17.195137501593916</v>
      </c>
      <c r="Z39" s="41">
        <v>6.3713506414789373E-2</v>
      </c>
      <c r="AA39" s="42">
        <v>5.8155975775553079E-2</v>
      </c>
      <c r="AB39" s="25">
        <v>0.10550765775551532</v>
      </c>
      <c r="AC39" s="25">
        <v>4.2054373599729113E-2</v>
      </c>
      <c r="AD39" s="43">
        <v>0.79515292593252429</v>
      </c>
      <c r="AE39" s="44">
        <v>2.473921186495148</v>
      </c>
      <c r="AF39" s="45">
        <v>1.8039470592562676</v>
      </c>
      <c r="AG39" s="33">
        <v>2226</v>
      </c>
      <c r="AH39" s="46">
        <v>2813</v>
      </c>
      <c r="AI39" s="33">
        <v>897783</v>
      </c>
      <c r="AJ39" s="46">
        <v>850309</v>
      </c>
      <c r="AK39" s="36">
        <v>3267.2707999999998</v>
      </c>
      <c r="AL39" s="36">
        <v>1713572.4740999998</v>
      </c>
      <c r="AM39" s="47">
        <v>826476.07660000015</v>
      </c>
    </row>
    <row r="40" spans="1:49" x14ac:dyDescent="0.35">
      <c r="C40" t="s">
        <v>101</v>
      </c>
      <c r="E40" s="32">
        <v>70766.857142857145</v>
      </c>
      <c r="F40" s="33">
        <v>45685.428571428572</v>
      </c>
      <c r="G40" s="34">
        <v>-0.39296442240919882</v>
      </c>
      <c r="H40" s="35">
        <v>-6.387332424202341E-2</v>
      </c>
      <c r="I40" s="33">
        <v>2433</v>
      </c>
      <c r="J40" s="36">
        <v>1975</v>
      </c>
      <c r="K40" s="37">
        <v>-0.24290998766954375</v>
      </c>
      <c r="L40" s="33">
        <v>1181616.8300000082</v>
      </c>
      <c r="M40" s="33">
        <v>1358891.5600000063</v>
      </c>
      <c r="N40" s="37">
        <v>6.4553794481746696E-2</v>
      </c>
      <c r="O40" s="37">
        <v>-8.1094353962831267E-2</v>
      </c>
      <c r="P40" s="38">
        <v>0.48820582557207221</v>
      </c>
      <c r="Q40" s="37">
        <v>0.41827993986511047</v>
      </c>
      <c r="R40" s="39">
        <v>248.55923140156156</v>
      </c>
      <c r="S40" s="39">
        <v>400.25036962025194</v>
      </c>
      <c r="T40" s="37">
        <v>0.58962483956360812</v>
      </c>
      <c r="U40" s="39">
        <v>485.66248664200913</v>
      </c>
      <c r="V40" s="39">
        <v>688.04635949367412</v>
      </c>
      <c r="W40" s="37">
        <v>0.40611258521937543</v>
      </c>
      <c r="X40" s="25">
        <v>29.086254477129941</v>
      </c>
      <c r="Y40" s="40">
        <v>23.131862567811936</v>
      </c>
      <c r="Z40" s="41">
        <v>3.1343531607406015E-2</v>
      </c>
      <c r="AA40" s="42">
        <v>4.3230414198963098E-2</v>
      </c>
      <c r="AB40" s="25">
        <v>2.9728924302715745E-2</v>
      </c>
      <c r="AC40" s="25">
        <v>3.2264817677661026E-2</v>
      </c>
      <c r="AD40" s="43">
        <v>0.78314496455531968</v>
      </c>
      <c r="AE40" s="44">
        <v>1.9556079088424354</v>
      </c>
      <c r="AF40" s="45">
        <v>1.7190399103103295</v>
      </c>
      <c r="AG40" s="33">
        <v>1715</v>
      </c>
      <c r="AH40" s="46">
        <v>1440</v>
      </c>
      <c r="AI40" s="33">
        <v>897783</v>
      </c>
      <c r="AJ40" s="46">
        <v>850309</v>
      </c>
      <c r="AK40" s="36">
        <v>1482.6811</v>
      </c>
      <c r="AL40" s="36">
        <v>1176256.1873999999</v>
      </c>
      <c r="AM40" s="47">
        <v>492774.31519999995</v>
      </c>
    </row>
    <row r="41" spans="1:49" x14ac:dyDescent="0.35">
      <c r="C41" t="s">
        <v>102</v>
      </c>
      <c r="E41" s="32">
        <v>4536.7142857142853</v>
      </c>
      <c r="F41" s="33">
        <v>19243</v>
      </c>
      <c r="G41" s="34">
        <v>2.7706647353339426</v>
      </c>
      <c r="H41" s="35">
        <v>4.7449641830128471</v>
      </c>
      <c r="I41" s="33">
        <v>261</v>
      </c>
      <c r="J41" s="36">
        <v>579</v>
      </c>
      <c r="K41" s="37">
        <v>1.0727969348659006</v>
      </c>
      <c r="L41" s="33">
        <v>295553.81000000035</v>
      </c>
      <c r="M41" s="33">
        <v>646521.98999999929</v>
      </c>
      <c r="N41" s="37">
        <v>1.0235721204203019</v>
      </c>
      <c r="O41" s="37">
        <v>0.21081312701542076</v>
      </c>
      <c r="P41" s="38">
        <v>0.49777260526602651</v>
      </c>
      <c r="Q41" s="37">
        <v>0.30017127491672746</v>
      </c>
      <c r="R41" s="39">
        <v>568.7173180076627</v>
      </c>
      <c r="S41" s="39">
        <v>781.44155440414477</v>
      </c>
      <c r="T41" s="37">
        <v>0.36488135495021568</v>
      </c>
      <c r="U41" s="39">
        <v>1132.3900766283539</v>
      </c>
      <c r="V41" s="39">
        <v>1116.6182901554391</v>
      </c>
      <c r="W41" s="37">
        <v>-2.3748015841592029E-2</v>
      </c>
      <c r="X41" s="25">
        <v>17.382047071702242</v>
      </c>
      <c r="Y41" s="40">
        <v>33.23488773747841</v>
      </c>
      <c r="Z41" s="41">
        <v>5.5306876558416193E-2</v>
      </c>
      <c r="AA41" s="42">
        <v>3.0088863482824923E-2</v>
      </c>
      <c r="AB41" s="25">
        <v>5.4475858480308649E-2</v>
      </c>
      <c r="AC41" s="25">
        <v>1.1623142779413597E-2</v>
      </c>
      <c r="AD41" s="43">
        <v>0.76102864452992747</v>
      </c>
      <c r="AE41" s="44">
        <v>1.9930895780664482</v>
      </c>
      <c r="AF41" s="45">
        <v>1.4289210547638069</v>
      </c>
      <c r="AG41" s="33">
        <v>210</v>
      </c>
      <c r="AH41" s="46">
        <v>407</v>
      </c>
      <c r="AI41" s="33">
        <v>897783</v>
      </c>
      <c r="AJ41" s="46">
        <v>850309</v>
      </c>
      <c r="AK41" s="36">
        <v>987.60839999999996</v>
      </c>
      <c r="AL41" s="36">
        <v>1188007.6734000002</v>
      </c>
      <c r="AM41" s="47">
        <v>334815.40989999997</v>
      </c>
    </row>
    <row r="42" spans="1:49" x14ac:dyDescent="0.35">
      <c r="C42" t="s">
        <v>87</v>
      </c>
      <c r="E42" s="32">
        <v>5531.2857142857147</v>
      </c>
      <c r="F42" s="33">
        <v>10473.285714285714</v>
      </c>
      <c r="G42" s="34">
        <v>0.73204369947570935</v>
      </c>
      <c r="H42" s="35">
        <v>2.145272814301173</v>
      </c>
      <c r="I42" s="33">
        <v>190</v>
      </c>
      <c r="J42" s="36">
        <v>847</v>
      </c>
      <c r="K42" s="37">
        <v>3.2368421052631575</v>
      </c>
      <c r="L42" s="33">
        <v>42991.130000000099</v>
      </c>
      <c r="M42" s="33">
        <v>202437.71000000148</v>
      </c>
      <c r="N42" s="37">
        <v>3.4708950427681522</v>
      </c>
      <c r="O42" s="37">
        <v>0.93797090137351757</v>
      </c>
      <c r="P42" s="38">
        <v>0.56860892002606245</v>
      </c>
      <c r="Q42" s="37">
        <v>0.24853857514986555</v>
      </c>
      <c r="R42" s="39">
        <v>97.610473684210476</v>
      </c>
      <c r="S42" s="39">
        <v>179.60345926800403</v>
      </c>
      <c r="T42" s="37">
        <v>0.84323540245707163</v>
      </c>
      <c r="U42" s="39">
        <v>226.26910526315842</v>
      </c>
      <c r="V42" s="39">
        <v>239.00556080283528</v>
      </c>
      <c r="W42" s="37">
        <v>5.5242308230992299E-2</v>
      </c>
      <c r="X42" s="25">
        <v>29.11203007518797</v>
      </c>
      <c r="Y42" s="40">
        <v>12.365154326193286</v>
      </c>
      <c r="Z42" s="41">
        <v>3.1545666894745535E-2</v>
      </c>
      <c r="AA42" s="42">
        <v>8.0872423717485306E-2</v>
      </c>
      <c r="AB42" s="25">
        <v>3.9889093460891249E-2</v>
      </c>
      <c r="AC42" s="25">
        <v>2.5938514177813447E-2</v>
      </c>
      <c r="AD42" s="43">
        <v>0.80742708513584693</v>
      </c>
      <c r="AE42" s="44">
        <v>2.3194376058494033</v>
      </c>
      <c r="AF42" s="45">
        <v>1.3307402974137124</v>
      </c>
      <c r="AG42" s="33">
        <v>135</v>
      </c>
      <c r="AH42" s="46">
        <v>687</v>
      </c>
      <c r="AI42" s="33">
        <v>897783</v>
      </c>
      <c r="AJ42" s="46">
        <v>850309</v>
      </c>
      <c r="AK42" s="36">
        <v>454.76600000000008</v>
      </c>
      <c r="AL42" s="36">
        <v>123358.92609999998</v>
      </c>
      <c r="AM42" s="47">
        <v>47319.132000000005</v>
      </c>
    </row>
    <row r="43" spans="1:49" x14ac:dyDescent="0.35">
      <c r="B43" t="s">
        <v>103</v>
      </c>
      <c r="C43" t="s">
        <v>104</v>
      </c>
      <c r="E43" s="32">
        <v>83009.857142857145</v>
      </c>
      <c r="F43" s="33">
        <v>152956.85714285713</v>
      </c>
      <c r="G43" s="34">
        <v>0.71505621535480279</v>
      </c>
      <c r="H43" s="35">
        <v>1.4530337301331939</v>
      </c>
      <c r="I43" s="33">
        <v>6275</v>
      </c>
      <c r="J43" s="36">
        <v>13932</v>
      </c>
      <c r="K43" s="37">
        <v>1.103426294820717</v>
      </c>
      <c r="L43" s="33">
        <v>3696044.180000009</v>
      </c>
      <c r="M43" s="33">
        <v>9124768.2700007148</v>
      </c>
      <c r="N43" s="37">
        <v>1.3362357291953555</v>
      </c>
      <c r="O43" s="37">
        <v>1.1022425775856881</v>
      </c>
      <c r="P43" s="38">
        <v>0.66291139138926525</v>
      </c>
      <c r="Q43" s="37">
        <v>0.59679551949874754</v>
      </c>
      <c r="R43" s="39">
        <v>198.5489067729095</v>
      </c>
      <c r="S43" s="39">
        <v>264.07891544645065</v>
      </c>
      <c r="T43" s="37">
        <v>0.32945079316367254</v>
      </c>
      <c r="U43" s="39">
        <v>589.01102470119667</v>
      </c>
      <c r="V43" s="39">
        <v>654.95034955503263</v>
      </c>
      <c r="W43" s="37">
        <v>0.11068105164791686</v>
      </c>
      <c r="X43" s="25">
        <v>13.228662492885601</v>
      </c>
      <c r="Y43" s="40">
        <v>10.978815471063532</v>
      </c>
      <c r="Z43" s="41">
        <v>6.895139585857285E-2</v>
      </c>
      <c r="AA43" s="42">
        <v>9.1084507489506847E-2</v>
      </c>
      <c r="AB43" s="25">
        <v>0.13322568596270271</v>
      </c>
      <c r="AC43" s="25">
        <v>0.12364113352633899</v>
      </c>
      <c r="AD43" s="43">
        <v>0.77235755885953705</v>
      </c>
      <c r="AE43" s="44">
        <v>2.9609816474464314</v>
      </c>
      <c r="AF43" s="45">
        <v>2.480131170062466</v>
      </c>
      <c r="AG43" s="33">
        <v>4780</v>
      </c>
      <c r="AH43" s="46">
        <v>9935</v>
      </c>
      <c r="AI43" s="33">
        <v>897783</v>
      </c>
      <c r="AJ43" s="46">
        <v>850309</v>
      </c>
      <c r="AK43" s="36">
        <v>7932.8087999999989</v>
      </c>
      <c r="AL43" s="36">
        <v>4868181.2634000005</v>
      </c>
      <c r="AM43" s="47">
        <v>2901891.3796000001</v>
      </c>
    </row>
    <row r="44" spans="1:49" x14ac:dyDescent="0.35">
      <c r="C44" t="s">
        <v>105</v>
      </c>
      <c r="E44" s="32">
        <v>136092.57142857142</v>
      </c>
      <c r="F44" s="33">
        <v>117421.71428571429</v>
      </c>
      <c r="G44" s="34">
        <v>-0.17938000184748193</v>
      </c>
      <c r="H44" s="35">
        <v>4.2150220876080891E-2</v>
      </c>
      <c r="I44" s="33">
        <v>5579</v>
      </c>
      <c r="J44" s="36">
        <v>3786</v>
      </c>
      <c r="K44" s="37">
        <v>-0.34576088904821656</v>
      </c>
      <c r="L44" s="33">
        <v>3640286.9200000111</v>
      </c>
      <c r="M44" s="33">
        <v>2688520.6999999802</v>
      </c>
      <c r="N44" s="37">
        <v>-0.29183194988378269</v>
      </c>
      <c r="O44" s="37">
        <v>-0.34049244109902221</v>
      </c>
      <c r="P44" s="38">
        <v>0.5927116261484151</v>
      </c>
      <c r="Q44" s="37">
        <v>0.55261674570703412</v>
      </c>
      <c r="R44" s="39">
        <v>265.75489155762659</v>
      </c>
      <c r="S44" s="39">
        <v>317.69655044902112</v>
      </c>
      <c r="T44" s="37">
        <v>0.19066842777376802</v>
      </c>
      <c r="U44" s="39">
        <v>652.49810360279821</v>
      </c>
      <c r="V44" s="39">
        <v>710.1216851558321</v>
      </c>
      <c r="W44" s="37">
        <v>8.2430014136541496E-2</v>
      </c>
      <c r="X44" s="25">
        <v>24.393721353033055</v>
      </c>
      <c r="Y44" s="40">
        <v>31.014715870500339</v>
      </c>
      <c r="Z44" s="41">
        <v>3.7811038155553478E-2</v>
      </c>
      <c r="AA44" s="42">
        <v>3.2242758701238029E-2</v>
      </c>
      <c r="AB44" s="25">
        <v>5.4573557290123607E-2</v>
      </c>
      <c r="AC44" s="25">
        <v>3.7165590989672585E-2</v>
      </c>
      <c r="AD44" s="43">
        <v>0.7665431459023655</v>
      </c>
      <c r="AE44" s="44">
        <v>2.4551342671272609</v>
      </c>
      <c r="AF44" s="45">
        <v>2.2352200052287983</v>
      </c>
      <c r="AG44" s="33">
        <v>4301</v>
      </c>
      <c r="AH44" s="46">
        <v>2820</v>
      </c>
      <c r="AI44" s="33">
        <v>897783</v>
      </c>
      <c r="AJ44" s="46">
        <v>850309</v>
      </c>
      <c r="AK44" s="36">
        <v>5277.7218999999996</v>
      </c>
      <c r="AL44" s="36">
        <v>4047837.4190000002</v>
      </c>
      <c r="AM44" s="47">
        <v>2285821.7222000002</v>
      </c>
    </row>
    <row r="45" spans="1:49" x14ac:dyDescent="0.35">
      <c r="C45" t="s">
        <v>106</v>
      </c>
      <c r="E45" s="32">
        <v>28482.857142857141</v>
      </c>
      <c r="F45" s="33">
        <v>32298.428571428572</v>
      </c>
      <c r="G45" s="34">
        <v>3.5249272745511151E-2</v>
      </c>
      <c r="H45" s="35">
        <v>0.61296681426683675</v>
      </c>
      <c r="I45" s="33">
        <v>949</v>
      </c>
      <c r="J45" s="36">
        <v>2154</v>
      </c>
      <c r="K45" s="37">
        <v>1.1127502634351951</v>
      </c>
      <c r="L45" s="33">
        <v>270299.73000000138</v>
      </c>
      <c r="M45" s="33">
        <v>697217.63999999361</v>
      </c>
      <c r="N45" s="37">
        <v>1.3768240538012684</v>
      </c>
      <c r="O45" s="37">
        <v>-9.1919249823366411E-2</v>
      </c>
      <c r="P45" s="38">
        <v>0.40529348660466941</v>
      </c>
      <c r="Q45" s="37">
        <v>0.1578046705760269</v>
      </c>
      <c r="R45" s="39">
        <v>169.38778714436256</v>
      </c>
      <c r="S45" s="39">
        <v>272.60605385329603</v>
      </c>
      <c r="T45" s="37">
        <v>0.59875738167323433</v>
      </c>
      <c r="U45" s="39">
        <v>284.82584826132916</v>
      </c>
      <c r="V45" s="39">
        <v>323.68506963788002</v>
      </c>
      <c r="W45" s="37">
        <v>0.12499053718573783</v>
      </c>
      <c r="X45" s="25">
        <v>30.013548095739875</v>
      </c>
      <c r="Y45" s="40">
        <v>14.994627934739356</v>
      </c>
      <c r="Z45" s="41">
        <v>3.0501632902199628E-2</v>
      </c>
      <c r="AA45" s="42">
        <v>6.6690551066173054E-2</v>
      </c>
      <c r="AB45" s="25">
        <v>2.0564062788342642E-2</v>
      </c>
      <c r="AC45" s="25">
        <v>1.2658366204489459E-2</v>
      </c>
      <c r="AD45" s="43">
        <v>0.86505347403322508</v>
      </c>
      <c r="AE45" s="44">
        <v>1.6806231023449016</v>
      </c>
      <c r="AF45" s="45">
        <v>1.1873730060744445</v>
      </c>
      <c r="AG45" s="33">
        <v>518</v>
      </c>
      <c r="AH45" s="46">
        <v>1564</v>
      </c>
      <c r="AI45" s="33">
        <v>897783</v>
      </c>
      <c r="AJ45" s="46">
        <v>850309</v>
      </c>
      <c r="AK45" s="36"/>
      <c r="AL45" s="36"/>
      <c r="AM45" s="47"/>
    </row>
    <row r="46" spans="1:49" x14ac:dyDescent="0.35">
      <c r="A46" t="s">
        <v>107</v>
      </c>
      <c r="E46" s="32">
        <v>1806022.7142857143</v>
      </c>
      <c r="F46" s="33">
        <v>1705432.142857143</v>
      </c>
      <c r="G46" s="34">
        <v>-0.11904517258484093</v>
      </c>
      <c r="H46" s="35">
        <v>0.2633828447194686</v>
      </c>
      <c r="I46" s="33">
        <v>114945</v>
      </c>
      <c r="J46" s="36">
        <v>102568</v>
      </c>
      <c r="K46" s="37">
        <v>-0.15264691809126107</v>
      </c>
      <c r="L46" s="33">
        <v>39796609.539990172</v>
      </c>
      <c r="M46" s="33">
        <v>46524237.759992182</v>
      </c>
      <c r="N46" s="37">
        <v>0.10733969374224928</v>
      </c>
      <c r="O46" s="37">
        <v>6.957853155085747E-2</v>
      </c>
      <c r="P46" s="38">
        <v>0.51026282049442429</v>
      </c>
      <c r="Q46" s="37">
        <v>0.49282440624334634</v>
      </c>
      <c r="R46" s="39">
        <v>169.55830449344882</v>
      </c>
      <c r="S46" s="39">
        <v>230.05184765228688</v>
      </c>
      <c r="T46" s="37">
        <v>0.35325345360598925</v>
      </c>
      <c r="U46" s="39">
        <v>346.22305920214166</v>
      </c>
      <c r="V46" s="39">
        <v>453.59408158482353</v>
      </c>
      <c r="W46" s="37">
        <v>0.30682205255909034</v>
      </c>
      <c r="X46" s="25">
        <v>15.712059804999907</v>
      </c>
      <c r="Y46" s="40">
        <v>16.627331554258081</v>
      </c>
      <c r="Z46" s="41">
        <v>5.7824560723772782E-2</v>
      </c>
      <c r="AA46" s="42">
        <v>6.014194140152998E-2</v>
      </c>
      <c r="AB46" s="25">
        <v>5.8335530896888484E-2</v>
      </c>
      <c r="AC46" s="25">
        <v>5.3365703936375117E-2</v>
      </c>
      <c r="AD46" s="43">
        <v>0.77659102973401184</v>
      </c>
      <c r="AE46" s="44">
        <v>2.0414288543200771</v>
      </c>
      <c r="AF46" s="45">
        <v>1.9717037103323369</v>
      </c>
      <c r="AG46" s="33">
        <v>43157</v>
      </c>
      <c r="AH46" s="46">
        <v>45232</v>
      </c>
      <c r="AI46" s="33">
        <v>897783</v>
      </c>
      <c r="AJ46" s="46">
        <v>850309</v>
      </c>
      <c r="AK46" s="36">
        <v>104441.86900000008</v>
      </c>
      <c r="AL46" s="36">
        <v>46709029.779800028</v>
      </c>
      <c r="AM46" s="47">
        <v>22641953.789499998</v>
      </c>
    </row>
    <row r="47" spans="1:49" x14ac:dyDescent="0.35">
      <c r="A47" t="s">
        <v>108</v>
      </c>
      <c r="E47" s="48">
        <v>5704501.1428571427</v>
      </c>
      <c r="F47" s="49">
        <v>5765290.7142857146</v>
      </c>
      <c r="G47" s="50">
        <v>-5.6661020665685902E-2</v>
      </c>
      <c r="H47" s="51">
        <v>0.56046120986162107</v>
      </c>
      <c r="I47" s="49">
        <v>341995</v>
      </c>
      <c r="J47" s="52">
        <v>318847</v>
      </c>
      <c r="K47" s="53">
        <v>-0.11812453398441503</v>
      </c>
      <c r="L47" s="49">
        <v>82167087.920000091</v>
      </c>
      <c r="M47" s="49">
        <v>107046234.81999978</v>
      </c>
      <c r="N47" s="53">
        <v>0.23081626293565582</v>
      </c>
      <c r="O47" s="53">
        <v>0.14937174470101411</v>
      </c>
      <c r="P47" s="54">
        <v>0.50982434245188168</v>
      </c>
      <c r="Q47" s="53">
        <v>0.47594998708428088</v>
      </c>
      <c r="R47" s="55">
        <v>117.7686993961902</v>
      </c>
      <c r="S47" s="55">
        <v>175.93886955185405</v>
      </c>
      <c r="T47" s="53">
        <v>0.49173611731805456</v>
      </c>
      <c r="U47" s="55">
        <v>240.25815558707018</v>
      </c>
      <c r="V47" s="55">
        <v>335.7291579346828</v>
      </c>
      <c r="W47" s="53">
        <v>0.3956803543890679</v>
      </c>
      <c r="X47" s="56">
        <v>16.680071763789361</v>
      </c>
      <c r="Y47" s="57">
        <v>18.081684049985462</v>
      </c>
      <c r="Z47" s="58">
        <v>5.4712858643674825E-2</v>
      </c>
      <c r="AA47" s="59">
        <v>5.5304583203399357E-2</v>
      </c>
      <c r="AB47" s="25">
        <v>5.9526658630771383E-2</v>
      </c>
      <c r="AC47" s="25">
        <v>4.7361445338398526E-2</v>
      </c>
      <c r="AD47" s="60">
        <v>0.75858666890817716</v>
      </c>
      <c r="AE47" s="61">
        <v>2.0403151290352621</v>
      </c>
      <c r="AF47" s="62">
        <v>1.9082148179639986</v>
      </c>
      <c r="AG47" s="49">
        <v>113399</v>
      </c>
      <c r="AH47" s="63">
        <v>119205</v>
      </c>
      <c r="AI47" s="49">
        <v>897783</v>
      </c>
      <c r="AJ47" s="63">
        <v>850309</v>
      </c>
      <c r="AK47" s="52">
        <v>335860.00710000005</v>
      </c>
      <c r="AL47" s="52">
        <v>117510294.93139999</v>
      </c>
      <c r="AM47" s="64">
        <v>56251913.361299992</v>
      </c>
    </row>
    <row r="48" spans="1:49" x14ac:dyDescent="0.35"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</sheetData>
  <mergeCells count="13">
    <mergeCell ref="S13:U13"/>
    <mergeCell ref="C13:F13"/>
    <mergeCell ref="G13:I13"/>
    <mergeCell ref="J13:L13"/>
    <mergeCell ref="N13:O13"/>
    <mergeCell ref="P13:R13"/>
    <mergeCell ref="AI13:AK13"/>
    <mergeCell ref="V13:W13"/>
    <mergeCell ref="X13:Y13"/>
    <mergeCell ref="Z13:AA13"/>
    <mergeCell ref="AC13:AD13"/>
    <mergeCell ref="AE13:AF13"/>
    <mergeCell ref="AG13:AH13"/>
  </mergeCell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CC1E-9254-4FD1-BE71-F689907B013F}">
  <sheetPr>
    <tabColor rgb="FFFF0000"/>
  </sheetPr>
  <dimension ref="A2:AF646"/>
  <sheetViews>
    <sheetView showGridLines="0" tabSelected="1" topLeftCell="A11" zoomScale="85" zoomScaleNormal="85" workbookViewId="0">
      <pane xSplit="2" ySplit="4" topLeftCell="AB632" activePane="bottomRight" state="frozen"/>
      <selection activeCell="A11" sqref="A11"/>
      <selection pane="topRight" activeCell="C11" sqref="C11"/>
      <selection pane="bottomLeft" activeCell="A15" sqref="A15"/>
      <selection pane="bottomRight" activeCell="AD14" sqref="AD14:AF14"/>
    </sheetView>
  </sheetViews>
  <sheetFormatPr defaultColWidth="22.54296875" defaultRowHeight="14.5" x14ac:dyDescent="0.35"/>
  <cols>
    <col min="1" max="1" width="26.81640625" customWidth="1"/>
    <col min="2" max="2" width="24.453125" bestFit="1" customWidth="1"/>
    <col min="3" max="3" width="10.54296875" customWidth="1"/>
    <col min="4" max="4" width="11.54296875" customWidth="1"/>
    <col min="5" max="6" width="9" bestFit="1" customWidth="1"/>
    <col min="7" max="8" width="11.6328125" bestFit="1" customWidth="1"/>
    <col min="9" max="10" width="11.81640625" bestFit="1" customWidth="1"/>
    <col min="11" max="11" width="10.81640625" customWidth="1"/>
    <col min="12" max="12" width="9.54296875" bestFit="1" customWidth="1"/>
    <col min="13" max="13" width="9.453125" bestFit="1" customWidth="1"/>
    <col min="14" max="14" width="8" bestFit="1" customWidth="1"/>
    <col min="15" max="16" width="8.26953125" bestFit="1" customWidth="1"/>
    <col min="17" max="17" width="12.54296875" customWidth="1"/>
    <col min="18" max="18" width="8.7265625" bestFit="1" customWidth="1"/>
    <col min="19" max="21" width="9.453125" bestFit="1" customWidth="1"/>
    <col min="22" max="22" width="8.1796875" bestFit="1" customWidth="1"/>
    <col min="23" max="24" width="9.1796875" bestFit="1" customWidth="1"/>
    <col min="25" max="25" width="10.26953125" bestFit="1" customWidth="1"/>
    <col min="26" max="26" width="9.81640625" bestFit="1" customWidth="1"/>
    <col min="27" max="27" width="8.1796875" bestFit="1" customWidth="1"/>
    <col min="28" max="28" width="8.26953125" customWidth="1"/>
    <col min="29" max="29" width="8.7265625" customWidth="1"/>
    <col min="30" max="32" width="14.1796875" customWidth="1"/>
  </cols>
  <sheetData>
    <row r="2" spans="1:32" x14ac:dyDescent="0.35">
      <c r="A2" s="132" t="s">
        <v>0</v>
      </c>
      <c r="B2" t="s" vm="6">
        <v>1</v>
      </c>
    </row>
    <row r="3" spans="1:32" x14ac:dyDescent="0.35">
      <c r="A3" s="133" t="s">
        <v>109</v>
      </c>
      <c r="B3" t="s" vm="7">
        <v>3</v>
      </c>
    </row>
    <row r="4" spans="1:32" x14ac:dyDescent="0.35">
      <c r="A4" s="132" t="s">
        <v>832</v>
      </c>
      <c r="B4" t="s" vm="28">
        <v>140</v>
      </c>
    </row>
    <row r="5" spans="1:32" x14ac:dyDescent="0.35">
      <c r="A5" s="132" t="s">
        <v>110</v>
      </c>
      <c r="B5" t="s" vm="8">
        <v>3</v>
      </c>
    </row>
    <row r="6" spans="1:32" x14ac:dyDescent="0.35">
      <c r="A6" s="132" t="s">
        <v>111</v>
      </c>
      <c r="B6" t="s" vm="9">
        <v>112</v>
      </c>
    </row>
    <row r="7" spans="1:32" x14ac:dyDescent="0.35">
      <c r="A7" s="132" t="s">
        <v>4</v>
      </c>
      <c r="B7" t="s" vm="29">
        <v>5</v>
      </c>
    </row>
    <row r="8" spans="1:32" x14ac:dyDescent="0.35">
      <c r="A8" s="133" t="s">
        <v>113</v>
      </c>
      <c r="B8" t="s" vm="27">
        <v>200</v>
      </c>
    </row>
    <row r="9" spans="1:32" x14ac:dyDescent="0.35">
      <c r="A9" s="132" t="s">
        <v>114</v>
      </c>
      <c r="B9" t="s" vm="10">
        <v>3</v>
      </c>
    </row>
    <row r="10" spans="1:32" x14ac:dyDescent="0.35">
      <c r="A10" s="132" t="s">
        <v>756</v>
      </c>
      <c r="B10" t="s" vm="25">
        <v>3</v>
      </c>
    </row>
    <row r="11" spans="1:32" x14ac:dyDescent="0.35">
      <c r="A11" s="132" t="s">
        <v>7</v>
      </c>
      <c r="B11" t="s" vm="26">
        <v>857</v>
      </c>
    </row>
    <row r="12" spans="1:32" x14ac:dyDescent="0.35">
      <c r="C12" s="65" t="s">
        <v>115</v>
      </c>
      <c r="D12" s="66"/>
      <c r="E12" s="67" t="s">
        <v>116</v>
      </c>
      <c r="F12" s="68"/>
      <c r="G12" s="65" t="s">
        <v>117</v>
      </c>
      <c r="H12" s="66"/>
      <c r="I12" s="67" t="s">
        <v>118</v>
      </c>
      <c r="J12" s="68"/>
      <c r="K12" s="65" t="s">
        <v>119</v>
      </c>
      <c r="L12" s="66"/>
      <c r="M12" s="67" t="s">
        <v>120</v>
      </c>
      <c r="N12" s="68"/>
      <c r="O12" s="65" t="s">
        <v>121</v>
      </c>
      <c r="P12" s="66"/>
      <c r="Q12" s="67" t="s">
        <v>122</v>
      </c>
      <c r="R12" s="68"/>
      <c r="S12" s="65" t="s">
        <v>123</v>
      </c>
      <c r="T12" s="66"/>
      <c r="U12" s="67" t="s">
        <v>124</v>
      </c>
      <c r="V12" s="69"/>
      <c r="W12" s="69"/>
      <c r="X12" s="68"/>
      <c r="Y12" s="145" t="s">
        <v>833</v>
      </c>
      <c r="Z12" s="146"/>
      <c r="AA12" s="146"/>
      <c r="AB12" s="146"/>
      <c r="AC12" s="146"/>
    </row>
    <row r="13" spans="1:32" x14ac:dyDescent="0.35">
      <c r="C13" s="132" t="s">
        <v>24</v>
      </c>
    </row>
    <row r="14" spans="1:32" ht="87" x14ac:dyDescent="0.35">
      <c r="A14" s="132" t="s">
        <v>125</v>
      </c>
      <c r="B14" s="132" t="s">
        <v>229</v>
      </c>
      <c r="C14" s="2" t="s">
        <v>58</v>
      </c>
      <c r="D14" s="2" t="s">
        <v>57</v>
      </c>
      <c r="E14" s="70" t="s">
        <v>34</v>
      </c>
      <c r="F14" s="2" t="s">
        <v>33</v>
      </c>
      <c r="G14" s="71" t="s">
        <v>126</v>
      </c>
      <c r="H14" s="2" t="s">
        <v>127</v>
      </c>
      <c r="I14" s="70" t="s">
        <v>128</v>
      </c>
      <c r="J14" s="70" t="s">
        <v>129</v>
      </c>
      <c r="K14" s="2" t="s">
        <v>30</v>
      </c>
      <c r="L14" s="2" t="s">
        <v>29</v>
      </c>
      <c r="M14" s="2" t="s">
        <v>130</v>
      </c>
      <c r="N14" s="2" t="s">
        <v>131</v>
      </c>
      <c r="O14" s="2" t="s">
        <v>132</v>
      </c>
      <c r="P14" s="2" t="s">
        <v>133</v>
      </c>
      <c r="Q14" s="2" t="s">
        <v>134</v>
      </c>
      <c r="R14" s="2" t="s">
        <v>135</v>
      </c>
      <c r="S14" s="2" t="s">
        <v>136</v>
      </c>
      <c r="T14" s="2" t="s">
        <v>137</v>
      </c>
      <c r="U14" s="2" t="s">
        <v>31</v>
      </c>
      <c r="V14" s="2" t="s">
        <v>35</v>
      </c>
      <c r="W14" s="2" t="s">
        <v>138</v>
      </c>
      <c r="X14" s="2" t="s">
        <v>139</v>
      </c>
      <c r="Y14" s="2" t="s">
        <v>224</v>
      </c>
      <c r="Z14" s="2" t="s">
        <v>225</v>
      </c>
      <c r="AA14" s="2" t="s">
        <v>226</v>
      </c>
      <c r="AB14" s="2" t="s">
        <v>227</v>
      </c>
      <c r="AC14" s="2" t="s">
        <v>228</v>
      </c>
      <c r="AD14" s="144" t="s">
        <v>834</v>
      </c>
      <c r="AE14" s="144" t="s">
        <v>858</v>
      </c>
      <c r="AF14" s="144" t="s">
        <v>859</v>
      </c>
    </row>
    <row r="15" spans="1:32" x14ac:dyDescent="0.35">
      <c r="A15" t="s">
        <v>202</v>
      </c>
      <c r="B15" t="s">
        <v>230</v>
      </c>
      <c r="C15" s="31">
        <v>14278</v>
      </c>
      <c r="D15" s="31">
        <v>12565</v>
      </c>
      <c r="E15" s="72">
        <v>18101</v>
      </c>
      <c r="F15" s="31">
        <v>16639</v>
      </c>
      <c r="G15" s="73">
        <v>8123410.3100020895</v>
      </c>
      <c r="H15" s="31">
        <v>5394320.2100006985</v>
      </c>
      <c r="I15" s="72">
        <v>4883618.700000287</v>
      </c>
      <c r="J15" s="72">
        <v>2755187.2800006988</v>
      </c>
      <c r="K15" s="31">
        <v>217225.85714285713</v>
      </c>
      <c r="L15" s="31">
        <v>204179.14285714287</v>
      </c>
      <c r="M15" s="74">
        <v>12.000765545707813</v>
      </c>
      <c r="N15" s="74">
        <v>12.494608845549338</v>
      </c>
      <c r="O15" s="75">
        <v>448.78240483962708</v>
      </c>
      <c r="P15" s="75">
        <v>324.19738025125901</v>
      </c>
      <c r="Q15" s="76">
        <v>0.60117838612525176</v>
      </c>
      <c r="R15" s="76">
        <v>0.50227122089714815</v>
      </c>
      <c r="S15" s="31">
        <v>33624.714285714283</v>
      </c>
      <c r="T15" s="31"/>
      <c r="U15" s="76">
        <v>2.8498083615648317E-2</v>
      </c>
      <c r="V15" s="76">
        <v>4.8981308972894988E-2</v>
      </c>
      <c r="W15" s="76">
        <v>0.45215335854170702</v>
      </c>
      <c r="X15" s="76">
        <v>0.73697795063291882</v>
      </c>
      <c r="Y15" s="76">
        <v>-3.3906339848600142E-2</v>
      </c>
      <c r="Z15" s="76">
        <v>-2.7487912200363396E-2</v>
      </c>
      <c r="AA15" s="76">
        <v>-6.9128216382290386E-3</v>
      </c>
      <c r="AB15" s="76">
        <v>8.5222898681516668E-2</v>
      </c>
      <c r="AC15" s="76">
        <v>9.2777071668305844E-2</v>
      </c>
      <c r="AD15" s="142">
        <v>-0.12683644009793593</v>
      </c>
      <c r="AE15" s="142">
        <v>0.18003716916115142</v>
      </c>
      <c r="AF15" s="142">
        <v>0.41732046157551583</v>
      </c>
    </row>
    <row r="16" spans="1:32" x14ac:dyDescent="0.35">
      <c r="A16" t="s">
        <v>202</v>
      </c>
      <c r="B16" t="s">
        <v>231</v>
      </c>
      <c r="C16" s="31">
        <v>8139</v>
      </c>
      <c r="D16" s="31">
        <v>7391</v>
      </c>
      <c r="E16" s="72">
        <v>12343</v>
      </c>
      <c r="F16" s="31">
        <v>11783</v>
      </c>
      <c r="G16" s="73">
        <v>3585824.9800002198</v>
      </c>
      <c r="H16" s="31">
        <v>1926124.6699999359</v>
      </c>
      <c r="I16" s="72">
        <v>2201281.0700000483</v>
      </c>
      <c r="J16" s="72">
        <v>893646.17999994452</v>
      </c>
      <c r="K16" s="31">
        <v>130670.28571428571</v>
      </c>
      <c r="L16" s="31">
        <v>166383.14285714287</v>
      </c>
      <c r="M16" s="74">
        <v>10.586590432981099</v>
      </c>
      <c r="N16" s="74">
        <v>14.368237865576965</v>
      </c>
      <c r="O16" s="75">
        <v>290.51486510574574</v>
      </c>
      <c r="P16" s="75">
        <v>163.46640668759534</v>
      </c>
      <c r="Q16" s="76">
        <v>0.61388413608516756</v>
      </c>
      <c r="R16" s="76">
        <v>0.45548060340822366</v>
      </c>
      <c r="S16" s="31">
        <v>55568</v>
      </c>
      <c r="T16" s="31"/>
      <c r="U16" s="76">
        <v>-0.23703809280129684</v>
      </c>
      <c r="V16" s="76">
        <v>1.2645336501739823E-2</v>
      </c>
      <c r="W16" s="76">
        <v>0.80217282093184084</v>
      </c>
      <c r="X16" s="76">
        <v>1.4293075298068922</v>
      </c>
      <c r="Y16" s="76">
        <v>5.1490770986056145E-2</v>
      </c>
      <c r="Z16" s="76">
        <v>9.0536522943016617E-3</v>
      </c>
      <c r="AA16" s="76">
        <v>0.15484655688622762</v>
      </c>
      <c r="AB16" s="76">
        <v>0.22409792125268391</v>
      </c>
      <c r="AC16" s="76">
        <v>5.996585776137775E-2</v>
      </c>
      <c r="AD16" s="142">
        <v>-0.1045389508072309</v>
      </c>
      <c r="AE16" s="142">
        <v>0.21952447241910811</v>
      </c>
      <c r="AF16" s="142">
        <v>0.54912684184803573</v>
      </c>
    </row>
    <row r="17" spans="1:32" x14ac:dyDescent="0.35">
      <c r="A17" t="s">
        <v>202</v>
      </c>
      <c r="B17" t="s">
        <v>232</v>
      </c>
      <c r="C17" s="31">
        <v>3071</v>
      </c>
      <c r="D17" s="31">
        <v>6066</v>
      </c>
      <c r="E17" s="72">
        <v>7313</v>
      </c>
      <c r="F17" s="31">
        <v>11465</v>
      </c>
      <c r="G17" s="73">
        <v>1453641.3399999633</v>
      </c>
      <c r="H17" s="31">
        <v>1814530.3699999715</v>
      </c>
      <c r="I17" s="72">
        <v>664582.29000000097</v>
      </c>
      <c r="J17" s="72">
        <v>704805.82999998541</v>
      </c>
      <c r="K17" s="31">
        <v>82969.71428571429</v>
      </c>
      <c r="L17" s="31">
        <v>241853.57142857142</v>
      </c>
      <c r="M17" s="74">
        <v>11.345509952921413</v>
      </c>
      <c r="N17" s="74">
        <v>21.411523188547896</v>
      </c>
      <c r="O17" s="75">
        <v>198.77496786544009</v>
      </c>
      <c r="P17" s="75">
        <v>158.26693153074325</v>
      </c>
      <c r="Q17" s="76">
        <v>0.45718450054538057</v>
      </c>
      <c r="R17" s="76">
        <v>0.38204309427802224</v>
      </c>
      <c r="S17" s="31">
        <v>26668</v>
      </c>
      <c r="T17" s="31"/>
      <c r="U17" s="76">
        <v>-0.66864484118194301</v>
      </c>
      <c r="V17" s="76">
        <v>-0.38848669864805929</v>
      </c>
      <c r="W17" s="76">
        <v>-0.22339529098100264</v>
      </c>
      <c r="X17" s="76">
        <v>-6.6040802992299641E-2</v>
      </c>
      <c r="Y17" s="76">
        <v>-1.4749043774442971E-2</v>
      </c>
      <c r="Z17" s="76">
        <v>-2.6363170017803306E-2</v>
      </c>
      <c r="AA17" s="76">
        <v>0.4336404626543815</v>
      </c>
      <c r="AB17" s="76">
        <v>5.1185074417904541E-2</v>
      </c>
      <c r="AC17" s="76">
        <v>-0.26677217768279349</v>
      </c>
      <c r="AD17" s="142">
        <v>2.662565498625534E-2</v>
      </c>
      <c r="AE17" s="142">
        <v>-5.0455974583775244E-2</v>
      </c>
      <c r="AF17" s="142">
        <v>-3.0538759707454868E-2</v>
      </c>
    </row>
    <row r="18" spans="1:32" x14ac:dyDescent="0.35">
      <c r="A18" t="s">
        <v>202</v>
      </c>
      <c r="B18" t="s">
        <v>233</v>
      </c>
      <c r="C18" s="31">
        <v>1159</v>
      </c>
      <c r="D18" s="31">
        <v>2199</v>
      </c>
      <c r="E18" s="72">
        <v>1341</v>
      </c>
      <c r="F18" s="31">
        <v>2732</v>
      </c>
      <c r="G18" s="73">
        <v>951752.3499999909</v>
      </c>
      <c r="H18" s="31">
        <v>1239550.7899999977</v>
      </c>
      <c r="I18" s="72">
        <v>559426.14000000083</v>
      </c>
      <c r="J18" s="72">
        <v>624717.34000000032</v>
      </c>
      <c r="K18" s="31">
        <v>15253.714285714286</v>
      </c>
      <c r="L18" s="31">
        <v>28973.142857142859</v>
      </c>
      <c r="M18" s="74">
        <v>11.374880153403645</v>
      </c>
      <c r="N18" s="74">
        <v>10.873694010551361</v>
      </c>
      <c r="O18" s="75">
        <v>709.7332960477188</v>
      </c>
      <c r="P18" s="75">
        <v>453.71551610541644</v>
      </c>
      <c r="Q18" s="76">
        <v>0.58778540446998229</v>
      </c>
      <c r="R18" s="76">
        <v>0.49926518069269699</v>
      </c>
      <c r="S18" s="31">
        <v>619.85714285714289</v>
      </c>
      <c r="T18" s="31"/>
      <c r="U18" s="76">
        <v>-0.49320059957004514</v>
      </c>
      <c r="V18" s="76">
        <v>-0.53074670571010252</v>
      </c>
      <c r="W18" s="76">
        <v>-0.26754159867866878</v>
      </c>
      <c r="X18" s="76">
        <v>-0.13936963305877359</v>
      </c>
      <c r="Y18" s="76">
        <v>-6.0021542845156262E-2</v>
      </c>
      <c r="Z18" s="76">
        <v>-5.9250579290050176E-2</v>
      </c>
      <c r="AA18" s="76">
        <v>2.2103658536585469E-2</v>
      </c>
      <c r="AB18" s="76">
        <v>2.9830259613631505E-2</v>
      </c>
      <c r="AC18" s="76">
        <v>7.559508287162231E-3</v>
      </c>
      <c r="AD18" s="142">
        <v>-0.48748901837254405</v>
      </c>
      <c r="AE18" s="142">
        <v>-0.48204659908593428</v>
      </c>
      <c r="AF18" s="142">
        <v>-0.37634255654613918</v>
      </c>
    </row>
    <row r="19" spans="1:32" x14ac:dyDescent="0.35">
      <c r="A19" t="s">
        <v>202</v>
      </c>
      <c r="B19" t="s">
        <v>235</v>
      </c>
      <c r="C19" s="31">
        <v>949</v>
      </c>
      <c r="D19" s="31">
        <v>1479</v>
      </c>
      <c r="E19" s="72">
        <v>1231</v>
      </c>
      <c r="F19" s="31">
        <v>1833</v>
      </c>
      <c r="G19" s="73">
        <v>702711.50999999384</v>
      </c>
      <c r="H19" s="31">
        <v>659648.59000000032</v>
      </c>
      <c r="I19" s="72">
        <v>356669.51999999897</v>
      </c>
      <c r="J19" s="72">
        <v>323119.93000000104</v>
      </c>
      <c r="K19" s="31">
        <v>13890.857142857143</v>
      </c>
      <c r="L19" s="31">
        <v>32158.714285714286</v>
      </c>
      <c r="M19" s="74">
        <v>11.284205640013926</v>
      </c>
      <c r="N19" s="74">
        <v>17.884252208346027</v>
      </c>
      <c r="O19" s="75">
        <v>570.84606823720048</v>
      </c>
      <c r="P19" s="75">
        <v>359.87375340971101</v>
      </c>
      <c r="Q19" s="76">
        <v>0.50756180157060771</v>
      </c>
      <c r="R19" s="76">
        <v>0.47948577424816086</v>
      </c>
      <c r="S19" s="31">
        <v>867.42857142857144</v>
      </c>
      <c r="T19" s="31"/>
      <c r="U19" s="76">
        <v>-0.58142871738831059</v>
      </c>
      <c r="V19" s="76">
        <v>-0.35188216039279874</v>
      </c>
      <c r="W19" s="76">
        <v>2.0782565456545887E-2</v>
      </c>
      <c r="X19" s="76">
        <v>7.7428759571235961E-2</v>
      </c>
      <c r="Y19" s="76">
        <v>-4.3591525029068601E-2</v>
      </c>
      <c r="Z19" s="76">
        <v>-5.0957962852708927E-2</v>
      </c>
      <c r="AA19" s="76">
        <v>2.6688907422852459E-2</v>
      </c>
      <c r="AB19" s="76">
        <v>-1.1314529857660127E-2</v>
      </c>
      <c r="AC19" s="76">
        <v>-3.7015533143245016E-2</v>
      </c>
      <c r="AD19" s="142">
        <v>-9.1117635145676362E-2</v>
      </c>
      <c r="AE19" s="142">
        <v>-0.2847015718987852</v>
      </c>
      <c r="AF19" s="142">
        <v>-0.24635600148481948</v>
      </c>
    </row>
    <row r="20" spans="1:32" x14ac:dyDescent="0.35">
      <c r="A20" t="s">
        <v>202</v>
      </c>
      <c r="B20" t="s">
        <v>234</v>
      </c>
      <c r="C20" s="31">
        <v>683</v>
      </c>
      <c r="D20" s="31">
        <v>1600</v>
      </c>
      <c r="E20" s="72">
        <v>1548</v>
      </c>
      <c r="F20" s="31">
        <v>2586</v>
      </c>
      <c r="G20" s="73">
        <v>447246.61000000197</v>
      </c>
      <c r="H20" s="31">
        <v>637666.50999999628</v>
      </c>
      <c r="I20" s="72">
        <v>161334.06000000043</v>
      </c>
      <c r="J20" s="72">
        <v>233939.99999999639</v>
      </c>
      <c r="K20" s="31">
        <v>21396</v>
      </c>
      <c r="L20" s="31">
        <v>69677.71428571429</v>
      </c>
      <c r="M20" s="74">
        <v>13.821705426356589</v>
      </c>
      <c r="N20" s="74">
        <v>27.264110180934381</v>
      </c>
      <c r="O20" s="75">
        <v>288.9189987080116</v>
      </c>
      <c r="P20" s="75">
        <v>246.58411059551287</v>
      </c>
      <c r="Q20" s="76">
        <v>0.36072729539526244</v>
      </c>
      <c r="R20" s="76">
        <v>0.35940933532332953</v>
      </c>
      <c r="S20" s="31">
        <v>3447.2857142857142</v>
      </c>
      <c r="T20" s="31"/>
      <c r="U20" s="76">
        <v>-0.70300403490355601</v>
      </c>
      <c r="V20" s="76">
        <v>-0.41840680587780354</v>
      </c>
      <c r="W20" s="76">
        <v>-0.32100944112620167</v>
      </c>
      <c r="X20" s="76">
        <v>-0.31914238376029913</v>
      </c>
      <c r="Y20" s="76">
        <v>-5.8916924709087271E-2</v>
      </c>
      <c r="Z20" s="76">
        <v>-6.2002104313843343E-2</v>
      </c>
      <c r="AA20" s="76">
        <v>0.17718631178707223</v>
      </c>
      <c r="AB20" s="76">
        <v>0.15653529756967699</v>
      </c>
      <c r="AC20" s="76">
        <v>-1.7542689726017247E-2</v>
      </c>
      <c r="AD20" s="142">
        <v>-9.186884708878261E-2</v>
      </c>
      <c r="AE20" s="142">
        <v>-0.22575455110074205</v>
      </c>
      <c r="AF20" s="142">
        <v>-0.34545588552799078</v>
      </c>
    </row>
    <row r="21" spans="1:32" x14ac:dyDescent="0.35">
      <c r="A21" t="s">
        <v>202</v>
      </c>
      <c r="B21" t="s">
        <v>764</v>
      </c>
      <c r="C21" s="31">
        <v>18</v>
      </c>
      <c r="D21" s="31"/>
      <c r="E21" s="72">
        <v>20</v>
      </c>
      <c r="F21" s="31"/>
      <c r="G21" s="73">
        <v>9499.8399999999983</v>
      </c>
      <c r="H21" s="31"/>
      <c r="I21" s="72">
        <v>2349.8799999999997</v>
      </c>
      <c r="J21" s="72"/>
      <c r="K21" s="31">
        <v>239.28571428571428</v>
      </c>
      <c r="L21" s="31"/>
      <c r="M21" s="74">
        <v>11.964285714285714</v>
      </c>
      <c r="N21" s="74"/>
      <c r="O21" s="75">
        <v>474.9919999999999</v>
      </c>
      <c r="P21" s="75"/>
      <c r="Q21" s="76">
        <v>0.24735995553609325</v>
      </c>
      <c r="R21" s="76"/>
      <c r="S21" s="31"/>
      <c r="T21" s="31"/>
      <c r="U21" s="76"/>
      <c r="V21" s="76"/>
      <c r="W21" s="76"/>
      <c r="X21" s="76"/>
      <c r="Y21" s="76">
        <v>-5.6485453238841798E-2</v>
      </c>
      <c r="Z21" s="76">
        <v>-5.1528878822197033E-2</v>
      </c>
      <c r="AA21" s="76">
        <v>1.5</v>
      </c>
      <c r="AB21" s="76">
        <v>1.5333447113538416</v>
      </c>
      <c r="AC21" s="76">
        <v>1.3337884541536615E-2</v>
      </c>
      <c r="AD21" s="142"/>
      <c r="AE21" s="142"/>
      <c r="AF21" s="142"/>
    </row>
    <row r="22" spans="1:32" x14ac:dyDescent="0.35">
      <c r="A22" t="s">
        <v>202</v>
      </c>
      <c r="B22" t="s">
        <v>239</v>
      </c>
      <c r="C22" s="31">
        <v>15</v>
      </c>
      <c r="D22" s="31">
        <v>8</v>
      </c>
      <c r="E22" s="72">
        <v>20</v>
      </c>
      <c r="F22" s="31">
        <v>9</v>
      </c>
      <c r="G22" s="73">
        <v>4691.49</v>
      </c>
      <c r="H22" s="31">
        <v>589.99</v>
      </c>
      <c r="I22" s="72">
        <v>1143.95</v>
      </c>
      <c r="J22" s="72">
        <v>158.10999999999996</v>
      </c>
      <c r="K22" s="31">
        <v>143.85714285714286</v>
      </c>
      <c r="L22" s="31">
        <v>61.571428571428569</v>
      </c>
      <c r="M22" s="74">
        <v>7.1928571428571431</v>
      </c>
      <c r="N22" s="74">
        <v>6.8412698412698409</v>
      </c>
      <c r="O22" s="75">
        <v>234.5745</v>
      </c>
      <c r="P22" s="75">
        <v>65.554444444444442</v>
      </c>
      <c r="Q22" s="76">
        <v>0.2438351142174448</v>
      </c>
      <c r="R22" s="76">
        <v>0.26798759301005093</v>
      </c>
      <c r="S22" s="31">
        <v>35.714285714285715</v>
      </c>
      <c r="T22" s="31"/>
      <c r="U22" s="76">
        <v>-0.85150812064965198</v>
      </c>
      <c r="V22" s="76">
        <v>-0.66666666666666674</v>
      </c>
      <c r="W22" s="76">
        <v>-0.70341870201189849</v>
      </c>
      <c r="X22" s="76">
        <v>-0.76332932768325845</v>
      </c>
      <c r="Y22" s="76">
        <v>-7.952909498524019E-2</v>
      </c>
      <c r="Z22" s="76">
        <v>-4.9999999999999933E-2</v>
      </c>
      <c r="AA22" s="76">
        <v>1.8571428571428572</v>
      </c>
      <c r="AB22" s="76">
        <v>2.9371349446122852</v>
      </c>
      <c r="AC22" s="76">
        <v>0.3779972306142998</v>
      </c>
      <c r="AD22" s="142"/>
      <c r="AE22" s="142"/>
      <c r="AF22" s="142"/>
    </row>
    <row r="23" spans="1:32" x14ac:dyDescent="0.35">
      <c r="A23" t="s">
        <v>202</v>
      </c>
      <c r="B23" t="s">
        <v>238</v>
      </c>
      <c r="C23" s="31">
        <v>2</v>
      </c>
      <c r="D23" s="31">
        <v>1</v>
      </c>
      <c r="E23" s="72">
        <v>2</v>
      </c>
      <c r="F23" s="31">
        <v>1</v>
      </c>
      <c r="G23" s="73">
        <v>916.65000000000009</v>
      </c>
      <c r="H23" s="31">
        <v>363.33</v>
      </c>
      <c r="I23" s="72">
        <v>318.19</v>
      </c>
      <c r="J23" s="72">
        <v>104.97999999999996</v>
      </c>
      <c r="K23" s="31">
        <v>121.14285714285714</v>
      </c>
      <c r="L23" s="31">
        <v>76.714285714285708</v>
      </c>
      <c r="M23" s="74">
        <v>60.571428571428569</v>
      </c>
      <c r="N23" s="74">
        <v>76.714285714285708</v>
      </c>
      <c r="O23" s="75">
        <v>458.32500000000005</v>
      </c>
      <c r="P23" s="75">
        <v>363.33</v>
      </c>
      <c r="Q23" s="76">
        <v>0.34712267495772647</v>
      </c>
      <c r="R23" s="76">
        <v>0.28893843062780383</v>
      </c>
      <c r="S23" s="31">
        <v>1</v>
      </c>
      <c r="T23" s="31"/>
      <c r="U23" s="76">
        <v>5.5865921787709993E-3</v>
      </c>
      <c r="V23" s="76">
        <v>0</v>
      </c>
      <c r="W23" s="76">
        <v>0.37613189111826717</v>
      </c>
      <c r="X23" s="76">
        <v>1.0308630215279107</v>
      </c>
      <c r="Y23" s="76">
        <v>-5.3237225201054228E-2</v>
      </c>
      <c r="Z23" s="76">
        <v>-5.6729699666295819E-2</v>
      </c>
      <c r="AA23" s="76">
        <v>-0.5</v>
      </c>
      <c r="AB23" s="76">
        <v>-0.5582324478544165</v>
      </c>
      <c r="AC23" s="76">
        <v>-0.11646489570883289</v>
      </c>
      <c r="AD23" s="142"/>
      <c r="AE23" s="142"/>
      <c r="AF23" s="142"/>
    </row>
    <row r="24" spans="1:32" x14ac:dyDescent="0.35">
      <c r="A24" t="s">
        <v>202</v>
      </c>
      <c r="B24" t="s">
        <v>237</v>
      </c>
      <c r="C24" s="31">
        <v>1</v>
      </c>
      <c r="D24" s="31">
        <v>1</v>
      </c>
      <c r="E24" s="72">
        <v>1</v>
      </c>
      <c r="F24" s="31">
        <v>1</v>
      </c>
      <c r="G24" s="73">
        <v>499.99</v>
      </c>
      <c r="H24" s="31">
        <v>600</v>
      </c>
      <c r="I24" s="72">
        <v>30</v>
      </c>
      <c r="J24" s="72">
        <v>130.01</v>
      </c>
      <c r="K24" s="31">
        <v>14.714285714285714</v>
      </c>
      <c r="L24" s="31">
        <v>94</v>
      </c>
      <c r="M24" s="74">
        <v>14.714285714285714</v>
      </c>
      <c r="N24" s="74">
        <v>100</v>
      </c>
      <c r="O24" s="75">
        <v>499.99</v>
      </c>
      <c r="P24" s="75">
        <v>600</v>
      </c>
      <c r="Q24" s="76">
        <v>6.000120002400048E-2</v>
      </c>
      <c r="R24" s="76">
        <v>0.21668333333333331</v>
      </c>
      <c r="S24" s="31">
        <v>1</v>
      </c>
      <c r="T24" s="31"/>
      <c r="U24" s="76">
        <v>-0.84346504559270519</v>
      </c>
      <c r="V24" s="76">
        <v>0</v>
      </c>
      <c r="W24" s="76">
        <v>-0.16668333333333329</v>
      </c>
      <c r="X24" s="76">
        <v>-0.76924851934466576</v>
      </c>
      <c r="Y24" s="76">
        <v>-0.27843658950924999</v>
      </c>
      <c r="Z24" s="76">
        <v>-0.27464788732394363</v>
      </c>
      <c r="AA24" s="76">
        <v>-0.5</v>
      </c>
      <c r="AB24" s="76">
        <v>-0.4000024000384006</v>
      </c>
      <c r="AC24" s="76">
        <v>0.19999519992319881</v>
      </c>
      <c r="AD24" s="142"/>
      <c r="AE24" s="142"/>
      <c r="AF24" s="142"/>
    </row>
    <row r="25" spans="1:32" x14ac:dyDescent="0.35">
      <c r="A25" t="s">
        <v>202</v>
      </c>
      <c r="B25" t="s">
        <v>236</v>
      </c>
      <c r="C25" s="31">
        <v>4</v>
      </c>
      <c r="D25" s="31">
        <v>25</v>
      </c>
      <c r="E25" s="72">
        <v>7</v>
      </c>
      <c r="F25" s="31">
        <v>36</v>
      </c>
      <c r="G25" s="73">
        <v>324.93999999999994</v>
      </c>
      <c r="H25" s="31">
        <v>2784.2900000000004</v>
      </c>
      <c r="I25" s="72">
        <v>-585.13</v>
      </c>
      <c r="J25" s="72">
        <v>861.63000000000056</v>
      </c>
      <c r="K25" s="31">
        <v>66.857142857142861</v>
      </c>
      <c r="L25" s="31">
        <v>507</v>
      </c>
      <c r="M25" s="74">
        <v>9.5510204081632661</v>
      </c>
      <c r="N25" s="74">
        <v>14.111111111111111</v>
      </c>
      <c r="O25" s="75">
        <v>46.419999999999995</v>
      </c>
      <c r="P25" s="75">
        <v>77.341388888888901</v>
      </c>
      <c r="Q25" s="76">
        <v>-1.800732442912538</v>
      </c>
      <c r="R25" s="76">
        <v>0.30946129893078683</v>
      </c>
      <c r="S25" s="31">
        <v>281.71428571428572</v>
      </c>
      <c r="T25" s="31"/>
      <c r="U25" s="76">
        <v>-0.86813186813186816</v>
      </c>
      <c r="V25" s="76">
        <v>-0.80555555555555558</v>
      </c>
      <c r="W25" s="76">
        <v>-0.88329520272672746</v>
      </c>
      <c r="X25" s="76">
        <v>-1.6790965959866759</v>
      </c>
      <c r="Y25" s="76">
        <v>-0.14605746485487181</v>
      </c>
      <c r="Z25" s="76">
        <v>-0.16428571428571426</v>
      </c>
      <c r="AA25" s="76">
        <v>-0.36363636363636365</v>
      </c>
      <c r="AB25" s="76">
        <v>-0.56670044804779174</v>
      </c>
      <c r="AC25" s="76">
        <v>-0.31910070407510138</v>
      </c>
      <c r="AD25" s="142"/>
      <c r="AE25" s="142"/>
      <c r="AF25" s="142"/>
    </row>
    <row r="26" spans="1:32" x14ac:dyDescent="0.35">
      <c r="A26" t="s">
        <v>202</v>
      </c>
      <c r="B26" t="s">
        <v>244</v>
      </c>
      <c r="C26" s="31">
        <v>1</v>
      </c>
      <c r="D26" s="31"/>
      <c r="E26" s="72">
        <v>4</v>
      </c>
      <c r="F26" s="31"/>
      <c r="G26" s="73">
        <v>33.299999999999997</v>
      </c>
      <c r="H26" s="31"/>
      <c r="I26" s="72">
        <v>-27.7</v>
      </c>
      <c r="J26" s="72"/>
      <c r="K26" s="31">
        <v>1.1428571428571428</v>
      </c>
      <c r="L26" s="31">
        <v>1</v>
      </c>
      <c r="M26" s="74">
        <v>0.2857142857142857</v>
      </c>
      <c r="N26" s="74"/>
      <c r="O26" s="75">
        <v>8.3249999999999993</v>
      </c>
      <c r="P26" s="75"/>
      <c r="Q26" s="76">
        <v>-0.83183183183183185</v>
      </c>
      <c r="R26" s="76"/>
      <c r="S26" s="31">
        <v>21.142857142857142</v>
      </c>
      <c r="T26" s="31"/>
      <c r="U26" s="76">
        <v>3</v>
      </c>
      <c r="V26" s="76"/>
      <c r="W26" s="76"/>
      <c r="X26" s="76"/>
      <c r="Y26" s="76">
        <v>-0.58296885001066778</v>
      </c>
      <c r="Z26" s="76">
        <v>-0.65217391304347827</v>
      </c>
      <c r="AA26" s="76"/>
      <c r="AB26" s="76"/>
      <c r="AC26" s="76"/>
      <c r="AD26" s="142"/>
      <c r="AE26" s="142"/>
      <c r="AF26" s="142"/>
    </row>
    <row r="27" spans="1:32" x14ac:dyDescent="0.35">
      <c r="A27" t="s">
        <v>202</v>
      </c>
      <c r="B27" t="s">
        <v>242</v>
      </c>
      <c r="C27" s="31"/>
      <c r="D27" s="31"/>
      <c r="E27" s="72"/>
      <c r="F27" s="31"/>
      <c r="G27" s="73"/>
      <c r="H27" s="31"/>
      <c r="I27" s="72"/>
      <c r="J27" s="72"/>
      <c r="K27" s="31"/>
      <c r="L27" s="31">
        <v>1</v>
      </c>
      <c r="M27" s="74"/>
      <c r="N27" s="74"/>
      <c r="O27" s="75"/>
      <c r="P27" s="75"/>
      <c r="Q27" s="76"/>
      <c r="R27" s="76"/>
      <c r="S27" s="31">
        <v>3</v>
      </c>
      <c r="T27" s="31"/>
      <c r="U27" s="76"/>
      <c r="V27" s="76"/>
      <c r="W27" s="76"/>
      <c r="X27" s="76"/>
      <c r="Y27" s="76"/>
      <c r="Z27" s="76"/>
      <c r="AA27" s="76"/>
      <c r="AB27" s="76"/>
      <c r="AC27" s="76"/>
      <c r="AD27" s="142"/>
      <c r="AE27" s="142"/>
      <c r="AF27" s="142"/>
    </row>
    <row r="28" spans="1:32" x14ac:dyDescent="0.35">
      <c r="A28" t="s">
        <v>202</v>
      </c>
      <c r="B28" t="s">
        <v>246</v>
      </c>
      <c r="C28" s="31"/>
      <c r="D28" s="31"/>
      <c r="E28" s="72"/>
      <c r="F28" s="31"/>
      <c r="G28" s="73"/>
      <c r="H28" s="31"/>
      <c r="I28" s="72"/>
      <c r="J28" s="72"/>
      <c r="K28" s="31"/>
      <c r="L28" s="31"/>
      <c r="M28" s="74"/>
      <c r="N28" s="74"/>
      <c r="O28" s="75"/>
      <c r="P28" s="75"/>
      <c r="Q28" s="76"/>
      <c r="R28" s="76"/>
      <c r="S28" s="31">
        <v>31</v>
      </c>
      <c r="T28" s="31"/>
      <c r="U28" s="76"/>
      <c r="V28" s="76"/>
      <c r="W28" s="76"/>
      <c r="X28" s="76"/>
      <c r="Y28" s="76"/>
      <c r="Z28" s="76"/>
      <c r="AA28" s="76"/>
      <c r="AB28" s="76"/>
      <c r="AC28" s="76"/>
      <c r="AD28" s="142"/>
      <c r="AE28" s="142"/>
      <c r="AF28" s="142"/>
    </row>
    <row r="29" spans="1:32" x14ac:dyDescent="0.35">
      <c r="A29" t="s">
        <v>202</v>
      </c>
      <c r="B29" t="s">
        <v>241</v>
      </c>
      <c r="C29" s="31"/>
      <c r="D29" s="31"/>
      <c r="E29" s="72"/>
      <c r="F29" s="31"/>
      <c r="G29" s="73"/>
      <c r="H29" s="31"/>
      <c r="I29" s="72"/>
      <c r="J29" s="72"/>
      <c r="K29" s="31"/>
      <c r="L29" s="31">
        <v>-1</v>
      </c>
      <c r="M29" s="74"/>
      <c r="N29" s="74"/>
      <c r="O29" s="75"/>
      <c r="P29" s="75"/>
      <c r="Q29" s="76"/>
      <c r="R29" s="76"/>
      <c r="S29" s="31"/>
      <c r="T29" s="31"/>
      <c r="U29" s="76"/>
      <c r="V29" s="76"/>
      <c r="W29" s="76"/>
      <c r="X29" s="76"/>
      <c r="Y29" s="76"/>
      <c r="Z29" s="76"/>
      <c r="AA29" s="76"/>
      <c r="AB29" s="76"/>
      <c r="AC29" s="76"/>
      <c r="AD29" s="142"/>
      <c r="AE29" s="142"/>
      <c r="AF29" s="142"/>
    </row>
    <row r="30" spans="1:32" x14ac:dyDescent="0.35">
      <c r="A30" t="s">
        <v>202</v>
      </c>
      <c r="B30" t="s">
        <v>243</v>
      </c>
      <c r="C30" s="31"/>
      <c r="D30" s="31"/>
      <c r="E30" s="72"/>
      <c r="F30" s="31"/>
      <c r="G30" s="73"/>
      <c r="H30" s="31"/>
      <c r="I30" s="72"/>
      <c r="J30" s="72"/>
      <c r="K30" s="31">
        <v>2</v>
      </c>
      <c r="L30" s="31">
        <v>2</v>
      </c>
      <c r="M30" s="74"/>
      <c r="N30" s="74"/>
      <c r="O30" s="75"/>
      <c r="P30" s="75"/>
      <c r="Q30" s="76"/>
      <c r="R30" s="76"/>
      <c r="S30" s="31"/>
      <c r="T30" s="31"/>
      <c r="U30" s="76"/>
      <c r="V30" s="76"/>
      <c r="W30" s="76"/>
      <c r="X30" s="76"/>
      <c r="Y30" s="76">
        <v>0</v>
      </c>
      <c r="Z30" s="76">
        <v>0</v>
      </c>
      <c r="AA30" s="76"/>
      <c r="AB30" s="76"/>
      <c r="AC30" s="76"/>
      <c r="AD30" s="142"/>
      <c r="AE30" s="142"/>
      <c r="AF30" s="142"/>
    </row>
    <row r="31" spans="1:32" x14ac:dyDescent="0.35">
      <c r="A31" t="s">
        <v>202</v>
      </c>
      <c r="B31" t="s">
        <v>240</v>
      </c>
      <c r="C31" s="31"/>
      <c r="D31" s="31"/>
      <c r="E31" s="72"/>
      <c r="F31" s="31"/>
      <c r="G31" s="73"/>
      <c r="H31" s="31"/>
      <c r="I31" s="72"/>
      <c r="J31" s="72"/>
      <c r="K31" s="31">
        <v>2</v>
      </c>
      <c r="L31" s="31">
        <v>14.285714285714286</v>
      </c>
      <c r="M31" s="74"/>
      <c r="N31" s="74"/>
      <c r="O31" s="75"/>
      <c r="P31" s="75"/>
      <c r="Q31" s="76"/>
      <c r="R31" s="76"/>
      <c r="S31" s="31">
        <v>6.4285714285714288</v>
      </c>
      <c r="T31" s="31"/>
      <c r="U31" s="76">
        <v>-0.86</v>
      </c>
      <c r="V31" s="76"/>
      <c r="W31" s="76"/>
      <c r="X31" s="76"/>
      <c r="Y31" s="76">
        <v>-35.911809815950889</v>
      </c>
      <c r="Z31" s="76">
        <v>-0.41666666666666663</v>
      </c>
      <c r="AA31" s="76"/>
      <c r="AB31" s="76"/>
      <c r="AC31" s="76"/>
      <c r="AD31" s="142"/>
      <c r="AE31" s="142"/>
      <c r="AF31" s="142"/>
    </row>
    <row r="32" spans="1:32" x14ac:dyDescent="0.35">
      <c r="A32" t="s">
        <v>202</v>
      </c>
      <c r="B32" t="s">
        <v>245</v>
      </c>
      <c r="C32" s="31"/>
      <c r="D32" s="31"/>
      <c r="E32" s="72"/>
      <c r="F32" s="31"/>
      <c r="G32" s="73"/>
      <c r="H32" s="31"/>
      <c r="I32" s="72"/>
      <c r="J32" s="72"/>
      <c r="K32" s="31"/>
      <c r="L32" s="31">
        <v>2</v>
      </c>
      <c r="M32" s="74"/>
      <c r="N32" s="74"/>
      <c r="O32" s="75"/>
      <c r="P32" s="75"/>
      <c r="Q32" s="76"/>
      <c r="R32" s="76"/>
      <c r="S32" s="31"/>
      <c r="T32" s="31"/>
      <c r="U32" s="76"/>
      <c r="V32" s="76"/>
      <c r="W32" s="76"/>
      <c r="X32" s="76"/>
      <c r="Y32" s="76"/>
      <c r="Z32" s="76"/>
      <c r="AA32" s="76"/>
      <c r="AB32" s="76"/>
      <c r="AC32" s="76"/>
      <c r="AD32" s="142"/>
      <c r="AE32" s="142"/>
      <c r="AF32" s="142"/>
    </row>
    <row r="33" spans="1:32" x14ac:dyDescent="0.35">
      <c r="A33" t="s">
        <v>202</v>
      </c>
      <c r="B33" t="s">
        <v>765</v>
      </c>
      <c r="C33" s="31"/>
      <c r="D33" s="31"/>
      <c r="E33" s="72"/>
      <c r="F33" s="31"/>
      <c r="G33" s="73"/>
      <c r="H33" s="31"/>
      <c r="I33" s="72"/>
      <c r="J33" s="72"/>
      <c r="K33" s="31">
        <v>30</v>
      </c>
      <c r="L33" s="31"/>
      <c r="M33" s="74"/>
      <c r="N33" s="74"/>
      <c r="O33" s="75"/>
      <c r="P33" s="75"/>
      <c r="Q33" s="76"/>
      <c r="R33" s="76"/>
      <c r="S33" s="31"/>
      <c r="T33" s="31"/>
      <c r="U33" s="76"/>
      <c r="V33" s="76"/>
      <c r="W33" s="76"/>
      <c r="X33" s="76"/>
      <c r="Y33" s="76">
        <v>-7.0796460176991149E-2</v>
      </c>
      <c r="Z33" s="76">
        <v>-7.0796460176991149E-2</v>
      </c>
      <c r="AA33" s="76"/>
      <c r="AB33" s="76"/>
      <c r="AC33" s="76"/>
      <c r="AD33" s="142"/>
      <c r="AE33" s="142"/>
      <c r="AF33" s="142"/>
    </row>
    <row r="34" spans="1:32" x14ac:dyDescent="0.35">
      <c r="A34" t="s">
        <v>202</v>
      </c>
      <c r="B34" t="s">
        <v>766</v>
      </c>
      <c r="C34" s="31"/>
      <c r="D34" s="31"/>
      <c r="E34" s="72"/>
      <c r="F34" s="31"/>
      <c r="G34" s="73"/>
      <c r="H34" s="31"/>
      <c r="I34" s="72"/>
      <c r="J34" s="72"/>
      <c r="K34" s="31">
        <v>16</v>
      </c>
      <c r="L34" s="31"/>
      <c r="M34" s="74"/>
      <c r="N34" s="74"/>
      <c r="O34" s="75"/>
      <c r="P34" s="75"/>
      <c r="Q34" s="76"/>
      <c r="R34" s="76"/>
      <c r="S34" s="31"/>
      <c r="T34" s="31"/>
      <c r="U34" s="76"/>
      <c r="V34" s="76"/>
      <c r="W34" s="76"/>
      <c r="X34" s="76"/>
      <c r="Y34" s="76">
        <v>0</v>
      </c>
      <c r="Z34" s="76">
        <v>0</v>
      </c>
      <c r="AA34" s="76"/>
      <c r="AB34" s="76"/>
      <c r="AC34" s="76"/>
      <c r="AD34" s="142"/>
      <c r="AE34" s="142"/>
      <c r="AF34" s="142"/>
    </row>
    <row r="35" spans="1:32" x14ac:dyDescent="0.35">
      <c r="A35" t="s">
        <v>202</v>
      </c>
      <c r="B35" t="s">
        <v>247</v>
      </c>
      <c r="C35" s="31"/>
      <c r="D35" s="31">
        <v>1</v>
      </c>
      <c r="E35" s="72"/>
      <c r="F35" s="31">
        <v>1</v>
      </c>
      <c r="G35" s="73"/>
      <c r="H35" s="31">
        <v>25.83</v>
      </c>
      <c r="I35" s="72"/>
      <c r="J35" s="72">
        <v>8.68</v>
      </c>
      <c r="K35" s="31"/>
      <c r="L35" s="31">
        <v>1</v>
      </c>
      <c r="M35" s="74"/>
      <c r="N35" s="74">
        <v>0.8571428571428571</v>
      </c>
      <c r="O35" s="75"/>
      <c r="P35" s="75">
        <v>25.83</v>
      </c>
      <c r="Q35" s="76"/>
      <c r="R35" s="76">
        <v>0.33604336043360433</v>
      </c>
      <c r="S35" s="31"/>
      <c r="T35" s="31"/>
      <c r="U35" s="76"/>
      <c r="V35" s="76"/>
      <c r="W35" s="76"/>
      <c r="X35" s="76"/>
      <c r="Y35" s="76"/>
      <c r="Z35" s="76"/>
      <c r="AA35" s="76"/>
      <c r="AB35" s="76"/>
      <c r="AC35" s="76"/>
      <c r="AD35" s="142"/>
      <c r="AE35" s="142"/>
      <c r="AF35" s="142"/>
    </row>
    <row r="36" spans="1:32" x14ac:dyDescent="0.35">
      <c r="A36" s="138" t="s">
        <v>835</v>
      </c>
      <c r="B36" s="138"/>
      <c r="C36" s="127">
        <v>26608</v>
      </c>
      <c r="D36" s="127">
        <v>28810</v>
      </c>
      <c r="E36" s="126">
        <v>41931</v>
      </c>
      <c r="F36" s="127">
        <v>47086</v>
      </c>
      <c r="G36" s="127">
        <v>15280553.310002232</v>
      </c>
      <c r="H36" s="127">
        <v>11676204.580002548</v>
      </c>
      <c r="I36" s="126">
        <v>8830140.9700006042</v>
      </c>
      <c r="J36" s="126">
        <v>5536679.9700025134</v>
      </c>
      <c r="K36" s="127">
        <v>482043.42857142858</v>
      </c>
      <c r="L36" s="127">
        <v>743984.85714285716</v>
      </c>
      <c r="M36" s="140">
        <v>11.496110957798015</v>
      </c>
      <c r="N36" s="140">
        <v>16.070097456123875</v>
      </c>
      <c r="O36" s="139">
        <v>364.42139014099905</v>
      </c>
      <c r="P36" s="139">
        <v>247.97614110356685</v>
      </c>
      <c r="Q36" s="141">
        <v>0.57786788153938351</v>
      </c>
      <c r="R36" s="141">
        <v>0.46633696020920534</v>
      </c>
      <c r="S36" s="127">
        <v>121176.14285714286</v>
      </c>
      <c r="T36" s="127"/>
      <c r="U36" s="141">
        <v>-0.37352142727943394</v>
      </c>
      <c r="V36" s="141">
        <v>-0.1422715881578388</v>
      </c>
      <c r="W36" s="141">
        <v>0.26150089090007378</v>
      </c>
      <c r="X36" s="141">
        <v>0.5633544330779876</v>
      </c>
      <c r="Y36" s="141">
        <v>-1.8776763700328769E-2</v>
      </c>
      <c r="Z36" s="141">
        <v>-2.1092767037877103E-2</v>
      </c>
      <c r="AA36" s="141">
        <v>0.1070014256296532</v>
      </c>
      <c r="AB36" s="141">
        <v>0.10496873575989629</v>
      </c>
      <c r="AC36" s="141">
        <v>-1.8362125130964024E-3</v>
      </c>
      <c r="AD36" s="143">
        <v>-0.113756887990168</v>
      </c>
      <c r="AE36" s="143">
        <v>3.5770092776945199E-2</v>
      </c>
      <c r="AF36" s="143">
        <v>0.23172528792828959</v>
      </c>
    </row>
    <row r="37" spans="1:32" x14ac:dyDescent="0.35">
      <c r="A37" t="s">
        <v>94</v>
      </c>
      <c r="B37" t="s">
        <v>248</v>
      </c>
      <c r="C37" s="31">
        <v>7839</v>
      </c>
      <c r="D37" s="31">
        <v>6443</v>
      </c>
      <c r="E37" s="72">
        <v>9916</v>
      </c>
      <c r="F37" s="31">
        <v>8411</v>
      </c>
      <c r="G37" s="73">
        <v>11500960.190000676</v>
      </c>
      <c r="H37" s="31">
        <v>8891894.8999999799</v>
      </c>
      <c r="I37" s="72">
        <v>5579947.2800002191</v>
      </c>
      <c r="J37" s="72">
        <v>3361653.4000000255</v>
      </c>
      <c r="K37" s="31">
        <v>132244.14285714287</v>
      </c>
      <c r="L37" s="31">
        <v>96943.857142857145</v>
      </c>
      <c r="M37" s="74">
        <v>13.336440384947849</v>
      </c>
      <c r="N37" s="74">
        <v>11.596639633051918</v>
      </c>
      <c r="O37" s="75">
        <v>1159.8386637757842</v>
      </c>
      <c r="P37" s="75">
        <v>1057.1745214599905</v>
      </c>
      <c r="Q37" s="76">
        <v>0.48517229760099634</v>
      </c>
      <c r="R37" s="76">
        <v>0.36997660796881221</v>
      </c>
      <c r="S37" s="31">
        <v>16073.714285714286</v>
      </c>
      <c r="T37" s="31"/>
      <c r="U37" s="76">
        <v>0.28737104097069444</v>
      </c>
      <c r="V37" s="76">
        <v>0.13684460825109968</v>
      </c>
      <c r="W37" s="76">
        <v>0.24658378721960728</v>
      </c>
      <c r="X37" s="76">
        <v>0.64466280848254431</v>
      </c>
      <c r="Y37" s="76">
        <v>1.4789430447539553E-2</v>
      </c>
      <c r="Z37" s="76">
        <v>1.7796141493948037E-2</v>
      </c>
      <c r="AA37" s="76">
        <v>5.9741370097253332E-2</v>
      </c>
      <c r="AB37" s="76">
        <v>7.124095564721622E-2</v>
      </c>
      <c r="AC37" s="76">
        <v>1.0851313230234361E-2</v>
      </c>
      <c r="AD37" s="142">
        <v>-0.12954412902269821</v>
      </c>
      <c r="AE37" s="142">
        <v>-6.6773746941406045E-2</v>
      </c>
      <c r="AF37" s="142">
        <v>4.9327811824560419E-2</v>
      </c>
    </row>
    <row r="38" spans="1:32" x14ac:dyDescent="0.35">
      <c r="A38" t="s">
        <v>94</v>
      </c>
      <c r="B38" t="s">
        <v>249</v>
      </c>
      <c r="C38" s="31">
        <v>3781</v>
      </c>
      <c r="D38" s="31">
        <v>3663</v>
      </c>
      <c r="E38" s="72">
        <v>4841</v>
      </c>
      <c r="F38" s="31">
        <v>4850</v>
      </c>
      <c r="G38" s="73">
        <v>3348666.3500000099</v>
      </c>
      <c r="H38" s="31">
        <v>2971102.0100000235</v>
      </c>
      <c r="I38" s="72">
        <v>1716603.2900000236</v>
      </c>
      <c r="J38" s="72">
        <v>1127124.470000024</v>
      </c>
      <c r="K38" s="31">
        <v>51365.714285714283</v>
      </c>
      <c r="L38" s="31">
        <v>56263</v>
      </c>
      <c r="M38" s="74">
        <v>10.610558621300203</v>
      </c>
      <c r="N38" s="74">
        <v>11.7617600231582</v>
      </c>
      <c r="O38" s="75">
        <v>691.73029332782687</v>
      </c>
      <c r="P38" s="75">
        <v>612.59835257732448</v>
      </c>
      <c r="Q38" s="76">
        <v>0.5126229700370174</v>
      </c>
      <c r="R38" s="76">
        <v>0.37291152779562164</v>
      </c>
      <c r="S38" s="31">
        <v>9170</v>
      </c>
      <c r="T38" s="31"/>
      <c r="U38" s="76">
        <v>-0.12614735388138865</v>
      </c>
      <c r="V38" s="76">
        <v>-3.793814432989695E-2</v>
      </c>
      <c r="W38" s="76">
        <v>8.6898009267604603E-2</v>
      </c>
      <c r="X38" s="76">
        <v>0.49509493530350279</v>
      </c>
      <c r="Y38" s="76">
        <v>-1.7441259759276795E-2</v>
      </c>
      <c r="Z38" s="76">
        <v>-1.5030941221267469E-2</v>
      </c>
      <c r="AA38" s="76">
        <v>2.8249787595582054E-2</v>
      </c>
      <c r="AB38" s="76">
        <v>2.1441905944160622E-2</v>
      </c>
      <c r="AC38" s="76">
        <v>-6.6208442088188102E-3</v>
      </c>
      <c r="AD38" s="142">
        <v>-0.2470127591595897</v>
      </c>
      <c r="AE38" s="142">
        <v>-0.20397256557887192</v>
      </c>
      <c r="AF38" s="142">
        <v>-5.4300111101747379E-2</v>
      </c>
    </row>
    <row r="39" spans="1:32" x14ac:dyDescent="0.35">
      <c r="A39" t="s">
        <v>94</v>
      </c>
      <c r="B39" t="s">
        <v>251</v>
      </c>
      <c r="C39" s="31">
        <v>82</v>
      </c>
      <c r="D39" s="31">
        <v>182</v>
      </c>
      <c r="E39" s="72">
        <v>88</v>
      </c>
      <c r="F39" s="31">
        <v>198</v>
      </c>
      <c r="G39" s="73">
        <v>46496.439999999966</v>
      </c>
      <c r="H39" s="31">
        <v>115315.55999999971</v>
      </c>
      <c r="I39" s="72">
        <v>8721.8900000000031</v>
      </c>
      <c r="J39" s="72">
        <v>33838.119999999719</v>
      </c>
      <c r="K39" s="31">
        <v>2181</v>
      </c>
      <c r="L39" s="31">
        <v>5489.4285714285716</v>
      </c>
      <c r="M39" s="74">
        <v>24.78409090909091</v>
      </c>
      <c r="N39" s="74">
        <v>28.631313131313131</v>
      </c>
      <c r="O39" s="75">
        <v>528.36863636363603</v>
      </c>
      <c r="P39" s="75">
        <v>582.40181818181668</v>
      </c>
      <c r="Q39" s="76">
        <v>0.18758188798970435</v>
      </c>
      <c r="R39" s="76">
        <v>0.29378672538096989</v>
      </c>
      <c r="S39" s="31">
        <v>290</v>
      </c>
      <c r="T39" s="31"/>
      <c r="U39" s="76">
        <v>-0.63771925258939266</v>
      </c>
      <c r="V39" s="76">
        <v>-0.55555555555555558</v>
      </c>
      <c r="W39" s="76">
        <v>-0.59678953993719419</v>
      </c>
      <c r="X39" s="76">
        <v>-0.74437010704526774</v>
      </c>
      <c r="Y39" s="76">
        <v>-7.444243337373968E-2</v>
      </c>
      <c r="Z39" s="76">
        <v>-6.9425819822016344E-2</v>
      </c>
      <c r="AA39" s="76">
        <v>0.18918918918918926</v>
      </c>
      <c r="AB39" s="76">
        <v>0.25049425199253861</v>
      </c>
      <c r="AC39" s="76">
        <v>5.1551984630089587E-2</v>
      </c>
      <c r="AD39" s="142"/>
      <c r="AE39" s="142"/>
      <c r="AF39" s="142"/>
    </row>
    <row r="40" spans="1:32" x14ac:dyDescent="0.35">
      <c r="A40" t="s">
        <v>94</v>
      </c>
      <c r="B40" t="s">
        <v>94</v>
      </c>
      <c r="C40" s="31">
        <v>120</v>
      </c>
      <c r="D40" s="31">
        <v>525</v>
      </c>
      <c r="E40" s="72">
        <v>155</v>
      </c>
      <c r="F40" s="31">
        <v>982</v>
      </c>
      <c r="G40" s="73">
        <v>45143.260000000038</v>
      </c>
      <c r="H40" s="31">
        <v>229919.92000000033</v>
      </c>
      <c r="I40" s="72">
        <v>16275.290000000006</v>
      </c>
      <c r="J40" s="72">
        <v>81652.740000000194</v>
      </c>
      <c r="K40" s="31">
        <v>2877.2857142857142</v>
      </c>
      <c r="L40" s="31">
        <v>9324.4285714285706</v>
      </c>
      <c r="M40" s="74">
        <v>18.563133640552994</v>
      </c>
      <c r="N40" s="74">
        <v>9.6868131868131879</v>
      </c>
      <c r="O40" s="75">
        <v>291.24683870967766</v>
      </c>
      <c r="P40" s="75">
        <v>234.13433808554007</v>
      </c>
      <c r="Q40" s="76">
        <v>0.36052535860281232</v>
      </c>
      <c r="R40" s="76">
        <v>0.35200751361014149</v>
      </c>
      <c r="S40" s="31">
        <v>484.71428571428572</v>
      </c>
      <c r="T40" s="31"/>
      <c r="U40" s="76">
        <v>-0.69274256561106773</v>
      </c>
      <c r="V40" s="76">
        <v>-0.8431771894093687</v>
      </c>
      <c r="W40" s="76">
        <v>-0.80563354406177612</v>
      </c>
      <c r="X40" s="76">
        <v>-0.8000686220927451</v>
      </c>
      <c r="Y40" s="76">
        <v>-5.2707812383560926E-2</v>
      </c>
      <c r="Z40" s="76">
        <v>-4.6579881656804711E-2</v>
      </c>
      <c r="AA40" s="76">
        <v>0.30252100840336138</v>
      </c>
      <c r="AB40" s="76">
        <v>0.18198537208904186</v>
      </c>
      <c r="AC40" s="76">
        <v>-9.2540262718735611E-2</v>
      </c>
      <c r="AD40" s="142"/>
      <c r="AE40" s="142"/>
      <c r="AF40" s="142"/>
    </row>
    <row r="41" spans="1:32" x14ac:dyDescent="0.35">
      <c r="A41" t="s">
        <v>94</v>
      </c>
      <c r="B41" t="s">
        <v>250</v>
      </c>
      <c r="C41" s="31">
        <v>49</v>
      </c>
      <c r="D41" s="31">
        <v>174</v>
      </c>
      <c r="E41" s="72">
        <v>54</v>
      </c>
      <c r="F41" s="31">
        <v>187</v>
      </c>
      <c r="G41" s="73">
        <v>31497.189999999973</v>
      </c>
      <c r="H41" s="31">
        <v>156917.9499999999</v>
      </c>
      <c r="I41" s="72">
        <v>4601.3499999999976</v>
      </c>
      <c r="J41" s="72">
        <v>59101.579999999856</v>
      </c>
      <c r="K41" s="31">
        <v>906.14285714285711</v>
      </c>
      <c r="L41" s="31">
        <v>3644.5714285714284</v>
      </c>
      <c r="M41" s="74">
        <v>16.780423280423278</v>
      </c>
      <c r="N41" s="74">
        <v>19.959939531368104</v>
      </c>
      <c r="O41" s="75">
        <v>583.28129629629575</v>
      </c>
      <c r="P41" s="75">
        <v>839.13342245989247</v>
      </c>
      <c r="Q41" s="76">
        <v>0.1460876351191964</v>
      </c>
      <c r="R41" s="76">
        <v>0.37275290718997106</v>
      </c>
      <c r="S41" s="31">
        <v>189</v>
      </c>
      <c r="T41" s="31"/>
      <c r="U41" s="76">
        <v>-0.7523126371903418</v>
      </c>
      <c r="V41" s="76">
        <v>-0.71122994652406413</v>
      </c>
      <c r="W41" s="76">
        <v>-0.79927605477894659</v>
      </c>
      <c r="X41" s="76">
        <v>-0.92137635086206071</v>
      </c>
      <c r="Y41" s="76">
        <v>-8.1068029720557044E-2</v>
      </c>
      <c r="Z41" s="76">
        <v>-8.2586057275094049E-2</v>
      </c>
      <c r="AA41" s="76">
        <v>-0.22857142857142854</v>
      </c>
      <c r="AB41" s="76">
        <v>-0.12704366224273989</v>
      </c>
      <c r="AC41" s="76">
        <v>0.13161006746311488</v>
      </c>
      <c r="AD41" s="142"/>
      <c r="AE41" s="142"/>
      <c r="AF41" s="142"/>
    </row>
    <row r="42" spans="1:32" x14ac:dyDescent="0.35">
      <c r="A42" t="s">
        <v>94</v>
      </c>
      <c r="B42" t="s">
        <v>255</v>
      </c>
      <c r="C42" s="31">
        <v>6</v>
      </c>
      <c r="D42" s="31"/>
      <c r="E42" s="72">
        <v>9</v>
      </c>
      <c r="F42" s="31"/>
      <c r="G42" s="73">
        <v>2045.37</v>
      </c>
      <c r="H42" s="31"/>
      <c r="I42" s="72">
        <v>587.37</v>
      </c>
      <c r="J42" s="72"/>
      <c r="K42" s="31">
        <v>92.714285714285708</v>
      </c>
      <c r="L42" s="31">
        <v>1</v>
      </c>
      <c r="M42" s="74">
        <v>10.301587301587301</v>
      </c>
      <c r="N42" s="74"/>
      <c r="O42" s="75">
        <v>227.26333333333332</v>
      </c>
      <c r="P42" s="75"/>
      <c r="Q42" s="76">
        <v>0.28717053638217049</v>
      </c>
      <c r="R42" s="76"/>
      <c r="S42" s="31">
        <v>6</v>
      </c>
      <c r="T42" s="31"/>
      <c r="U42" s="76">
        <v>0</v>
      </c>
      <c r="V42" s="76"/>
      <c r="W42" s="76"/>
      <c r="X42" s="76"/>
      <c r="Y42" s="76">
        <v>-6.3288885141666751E-2</v>
      </c>
      <c r="Z42" s="76">
        <v>-6.2138728323699488E-2</v>
      </c>
      <c r="AA42" s="76">
        <v>1.25</v>
      </c>
      <c r="AB42" s="76">
        <v>1.2500082503712666</v>
      </c>
      <c r="AC42" s="76">
        <v>3.6668316740762208E-6</v>
      </c>
      <c r="AD42" s="142"/>
      <c r="AE42" s="142"/>
      <c r="AF42" s="142"/>
    </row>
    <row r="43" spans="1:32" x14ac:dyDescent="0.35">
      <c r="A43" t="s">
        <v>94</v>
      </c>
      <c r="B43" t="s">
        <v>253</v>
      </c>
      <c r="C43" s="31">
        <v>6</v>
      </c>
      <c r="D43" s="31">
        <v>2</v>
      </c>
      <c r="E43" s="72">
        <v>12</v>
      </c>
      <c r="F43" s="31">
        <v>3</v>
      </c>
      <c r="G43" s="73">
        <v>734.15</v>
      </c>
      <c r="H43" s="31">
        <v>37.260000000000005</v>
      </c>
      <c r="I43" s="72">
        <v>533.73</v>
      </c>
      <c r="J43" s="72">
        <v>11.000000000000007</v>
      </c>
      <c r="K43" s="31">
        <v>230.85714285714286</v>
      </c>
      <c r="L43" s="31">
        <v>84.285714285714292</v>
      </c>
      <c r="M43" s="74">
        <v>19.238095238095237</v>
      </c>
      <c r="N43" s="74">
        <v>28.095238095238098</v>
      </c>
      <c r="O43" s="75">
        <v>61.179166666666667</v>
      </c>
      <c r="P43" s="75">
        <v>12.420000000000002</v>
      </c>
      <c r="Q43" s="76">
        <v>0.7270040182524008</v>
      </c>
      <c r="R43" s="76">
        <v>0.29522275899087508</v>
      </c>
      <c r="S43" s="31">
        <v>153</v>
      </c>
      <c r="T43" s="31"/>
      <c r="U43" s="76">
        <v>1.7271186440677964</v>
      </c>
      <c r="V43" s="76">
        <v>3</v>
      </c>
      <c r="W43" s="76">
        <v>18.703435319377345</v>
      </c>
      <c r="X43" s="76">
        <v>47.520909090909058</v>
      </c>
      <c r="Y43" s="76">
        <v>-1.909609296489323E-2</v>
      </c>
      <c r="Z43" s="76">
        <v>-3.6991368680641123E-3</v>
      </c>
      <c r="AA43" s="76">
        <v>5</v>
      </c>
      <c r="AB43" s="76">
        <v>5.7309984413679294</v>
      </c>
      <c r="AC43" s="76">
        <v>0.12183307356132156</v>
      </c>
      <c r="AD43" s="142"/>
      <c r="AE43" s="142"/>
      <c r="AF43" s="142"/>
    </row>
    <row r="44" spans="1:32" x14ac:dyDescent="0.35">
      <c r="A44" t="s">
        <v>94</v>
      </c>
      <c r="B44" t="s">
        <v>252</v>
      </c>
      <c r="C44" s="31">
        <v>1</v>
      </c>
      <c r="D44" s="31">
        <v>2</v>
      </c>
      <c r="E44" s="72">
        <v>1</v>
      </c>
      <c r="F44" s="31">
        <v>2</v>
      </c>
      <c r="G44" s="73">
        <v>454.54</v>
      </c>
      <c r="H44" s="31">
        <v>790.9</v>
      </c>
      <c r="I44" s="72">
        <v>152.44999999999999</v>
      </c>
      <c r="J44" s="72">
        <v>-93.950000000000045</v>
      </c>
      <c r="K44" s="31">
        <v>75.571428571428569</v>
      </c>
      <c r="L44" s="31">
        <v>27.857142857142858</v>
      </c>
      <c r="M44" s="74">
        <v>75.571428571428569</v>
      </c>
      <c r="N44" s="74">
        <v>13.928571428571429</v>
      </c>
      <c r="O44" s="75">
        <v>454.54</v>
      </c>
      <c r="P44" s="75">
        <v>395.45</v>
      </c>
      <c r="Q44" s="76">
        <v>0.33539402472829671</v>
      </c>
      <c r="R44" s="76">
        <v>-0.118788721709445</v>
      </c>
      <c r="S44" s="31">
        <v>6</v>
      </c>
      <c r="T44" s="31"/>
      <c r="U44" s="76">
        <v>1.7128205128205125</v>
      </c>
      <c r="V44" s="76">
        <v>-0.5</v>
      </c>
      <c r="W44" s="76">
        <v>-0.4252876469844481</v>
      </c>
      <c r="X44" s="76">
        <v>-2.6226716338477911</v>
      </c>
      <c r="Y44" s="76">
        <v>-2.5429359955016717E-2</v>
      </c>
      <c r="Z44" s="76">
        <v>-0.10490693739424706</v>
      </c>
      <c r="AA44" s="76">
        <v>0</v>
      </c>
      <c r="AB44" s="76">
        <v>0</v>
      </c>
      <c r="AC44" s="76">
        <v>0</v>
      </c>
      <c r="AD44" s="142"/>
      <c r="AE44" s="142"/>
      <c r="AF44" s="142"/>
    </row>
    <row r="45" spans="1:32" x14ac:dyDescent="0.35">
      <c r="A45" t="s">
        <v>94</v>
      </c>
      <c r="B45" t="s">
        <v>757</v>
      </c>
      <c r="C45" s="31"/>
      <c r="D45" s="31"/>
      <c r="E45" s="72"/>
      <c r="F45" s="31"/>
      <c r="G45" s="73"/>
      <c r="H45" s="31"/>
      <c r="I45" s="72"/>
      <c r="J45" s="72"/>
      <c r="K45" s="31">
        <v>-1</v>
      </c>
      <c r="L45" s="31"/>
      <c r="M45" s="74"/>
      <c r="N45" s="74"/>
      <c r="O45" s="75"/>
      <c r="P45" s="75"/>
      <c r="Q45" s="76"/>
      <c r="R45" s="76"/>
      <c r="S45" s="31"/>
      <c r="T45" s="31"/>
      <c r="U45" s="76"/>
      <c r="V45" s="76"/>
      <c r="W45" s="76"/>
      <c r="X45" s="76"/>
      <c r="Y45" s="76">
        <v>0</v>
      </c>
      <c r="Z45" s="76">
        <v>0</v>
      </c>
      <c r="AA45" s="76"/>
      <c r="AB45" s="76"/>
      <c r="AC45" s="76"/>
      <c r="AD45" s="142"/>
      <c r="AE45" s="142"/>
      <c r="AF45" s="142"/>
    </row>
    <row r="46" spans="1:32" x14ac:dyDescent="0.35">
      <c r="A46" t="s">
        <v>94</v>
      </c>
      <c r="B46" t="s">
        <v>254</v>
      </c>
      <c r="C46" s="31"/>
      <c r="D46" s="31"/>
      <c r="E46" s="72"/>
      <c r="F46" s="31"/>
      <c r="G46" s="73"/>
      <c r="H46" s="31"/>
      <c r="I46" s="72"/>
      <c r="J46" s="72"/>
      <c r="K46" s="31">
        <v>1</v>
      </c>
      <c r="L46" s="31"/>
      <c r="M46" s="74"/>
      <c r="N46" s="74"/>
      <c r="O46" s="75"/>
      <c r="P46" s="75"/>
      <c r="Q46" s="76"/>
      <c r="R46" s="76"/>
      <c r="S46" s="31">
        <v>14</v>
      </c>
      <c r="T46" s="31"/>
      <c r="U46" s="76"/>
      <c r="V46" s="76"/>
      <c r="W46" s="76"/>
      <c r="X46" s="76"/>
      <c r="Y46" s="76">
        <v>6</v>
      </c>
      <c r="Z46" s="76">
        <v>6</v>
      </c>
      <c r="AA46" s="76"/>
      <c r="AB46" s="76"/>
      <c r="AC46" s="76"/>
      <c r="AD46" s="142"/>
      <c r="AE46" s="142"/>
      <c r="AF46" s="142"/>
    </row>
    <row r="47" spans="1:32" x14ac:dyDescent="0.35">
      <c r="A47" t="s">
        <v>94</v>
      </c>
      <c r="B47" t="s">
        <v>758</v>
      </c>
      <c r="C47" s="31"/>
      <c r="D47" s="31"/>
      <c r="E47" s="72"/>
      <c r="F47" s="31"/>
      <c r="G47" s="73"/>
      <c r="H47" s="31"/>
      <c r="I47" s="72"/>
      <c r="J47" s="72"/>
      <c r="K47" s="31">
        <v>-3</v>
      </c>
      <c r="L47" s="31"/>
      <c r="M47" s="74"/>
      <c r="N47" s="74"/>
      <c r="O47" s="75"/>
      <c r="P47" s="75"/>
      <c r="Q47" s="76"/>
      <c r="R47" s="76"/>
      <c r="S47" s="31"/>
      <c r="T47" s="31"/>
      <c r="U47" s="76"/>
      <c r="V47" s="76"/>
      <c r="W47" s="76"/>
      <c r="X47" s="76"/>
      <c r="Y47" s="76">
        <v>0</v>
      </c>
      <c r="Z47" s="76">
        <v>0</v>
      </c>
      <c r="AA47" s="76"/>
      <c r="AB47" s="76"/>
      <c r="AC47" s="76"/>
      <c r="AD47" s="142"/>
      <c r="AE47" s="142"/>
      <c r="AF47" s="142"/>
    </row>
    <row r="48" spans="1:32" x14ac:dyDescent="0.35">
      <c r="A48" t="s">
        <v>94</v>
      </c>
      <c r="B48" t="s">
        <v>256</v>
      </c>
      <c r="C48" s="31"/>
      <c r="D48" s="31"/>
      <c r="E48" s="72"/>
      <c r="F48" s="31"/>
      <c r="G48" s="73"/>
      <c r="H48" s="31"/>
      <c r="I48" s="72"/>
      <c r="J48" s="72"/>
      <c r="K48" s="31"/>
      <c r="L48" s="31">
        <v>2</v>
      </c>
      <c r="M48" s="74"/>
      <c r="N48" s="74"/>
      <c r="O48" s="75"/>
      <c r="P48" s="75"/>
      <c r="Q48" s="76"/>
      <c r="R48" s="76"/>
      <c r="S48" s="31">
        <v>5</v>
      </c>
      <c r="T48" s="31"/>
      <c r="U48" s="76"/>
      <c r="V48" s="76"/>
      <c r="W48" s="76"/>
      <c r="X48" s="76"/>
      <c r="Y48" s="76"/>
      <c r="Z48" s="76"/>
      <c r="AA48" s="76"/>
      <c r="AB48" s="76"/>
      <c r="AC48" s="76"/>
      <c r="AD48" s="142"/>
      <c r="AE48" s="142"/>
      <c r="AF48" s="142"/>
    </row>
    <row r="49" spans="1:32" x14ac:dyDescent="0.35">
      <c r="A49" s="138" t="s">
        <v>836</v>
      </c>
      <c r="B49" s="138"/>
      <c r="C49" s="127">
        <v>11440</v>
      </c>
      <c r="D49" s="127">
        <v>10339</v>
      </c>
      <c r="E49" s="126">
        <v>15076</v>
      </c>
      <c r="F49" s="127">
        <v>14633</v>
      </c>
      <c r="G49" s="127">
        <v>14975997.490000211</v>
      </c>
      <c r="H49" s="127">
        <v>12365978.499999966</v>
      </c>
      <c r="I49" s="126">
        <v>7327422.6499999389</v>
      </c>
      <c r="J49" s="126">
        <v>4663287.3599999761</v>
      </c>
      <c r="K49" s="127">
        <v>189970.42857142858</v>
      </c>
      <c r="L49" s="127">
        <v>171780.42857142858</v>
      </c>
      <c r="M49" s="140">
        <v>12.600850926733123</v>
      </c>
      <c r="N49" s="140">
        <v>11.86085057052799</v>
      </c>
      <c r="O49" s="139">
        <v>993.36677434334115</v>
      </c>
      <c r="P49" s="139">
        <v>845.0747283537188</v>
      </c>
      <c r="Q49" s="141">
        <v>0.48927776963722208</v>
      </c>
      <c r="R49" s="141">
        <v>0.36965778321716758</v>
      </c>
      <c r="S49" s="127">
        <v>26391.428571428572</v>
      </c>
      <c r="T49" s="127"/>
      <c r="U49" s="141">
        <v>4.801311973840372E-2</v>
      </c>
      <c r="V49" s="141">
        <v>-6.5605139069226936E-3</v>
      </c>
      <c r="W49" s="141">
        <v>0.16752976078684401</v>
      </c>
      <c r="X49" s="141">
        <v>0.55236745624564954</v>
      </c>
      <c r="Y49" s="141">
        <v>7.2345405997717993E-3</v>
      </c>
      <c r="Z49" s="141">
        <v>5.9762779589573878E-3</v>
      </c>
      <c r="AA49" s="141">
        <v>5.1691663760027984E-2</v>
      </c>
      <c r="AB49" s="141">
        <v>6.0066726129295311E-2</v>
      </c>
      <c r="AC49" s="141">
        <v>7.9634199431843911E-3</v>
      </c>
      <c r="AD49" s="143">
        <v>-0.15402187685061217</v>
      </c>
      <c r="AE49" s="143">
        <v>-9.4043571051186922E-2</v>
      </c>
      <c r="AF49" s="143">
        <v>2.7284608257790884E-2</v>
      </c>
    </row>
    <row r="50" spans="1:32" x14ac:dyDescent="0.35">
      <c r="A50" t="s">
        <v>203</v>
      </c>
      <c r="B50" t="s">
        <v>277</v>
      </c>
      <c r="C50" s="31">
        <v>3834</v>
      </c>
      <c r="D50" s="31">
        <v>2200</v>
      </c>
      <c r="E50" s="72">
        <v>5443</v>
      </c>
      <c r="F50" s="31">
        <v>3347</v>
      </c>
      <c r="G50" s="73">
        <v>2629746.5499999099</v>
      </c>
      <c r="H50" s="31">
        <v>966586.79999999795</v>
      </c>
      <c r="I50" s="72">
        <v>1665810.1099999971</v>
      </c>
      <c r="J50" s="72">
        <v>542650.47999999556</v>
      </c>
      <c r="K50" s="31">
        <v>68041</v>
      </c>
      <c r="L50" s="31">
        <v>34520.428571428572</v>
      </c>
      <c r="M50" s="74">
        <v>12.500643027742054</v>
      </c>
      <c r="N50" s="74">
        <v>10.47780515304631</v>
      </c>
      <c r="O50" s="75">
        <v>483.14285320593604</v>
      </c>
      <c r="P50" s="75">
        <v>288.79199282939885</v>
      </c>
      <c r="Q50" s="76">
        <v>0.63344891925043278</v>
      </c>
      <c r="R50" s="76">
        <v>0.54872348263125292</v>
      </c>
      <c r="S50" s="31">
        <v>15307.285714285714</v>
      </c>
      <c r="T50" s="31"/>
      <c r="U50" s="76">
        <v>0.91428264009302973</v>
      </c>
      <c r="V50" s="76">
        <v>0.56587989244099202</v>
      </c>
      <c r="W50" s="76">
        <v>1.6191406607248573</v>
      </c>
      <c r="X50" s="76">
        <v>2.0213557232951525</v>
      </c>
      <c r="Y50" s="76">
        <v>-2.8648876801336542E-2</v>
      </c>
      <c r="Z50" s="76">
        <v>-2.3962047624902616E-2</v>
      </c>
      <c r="AA50" s="76">
        <v>-4.3241342942520689E-2</v>
      </c>
      <c r="AB50" s="76">
        <v>3.8547797272646234E-2</v>
      </c>
      <c r="AC50" s="76">
        <v>8.54856547279228E-2</v>
      </c>
      <c r="AD50" s="142">
        <v>-6.2029668537517943E-2</v>
      </c>
      <c r="AE50" s="142">
        <v>0.37344284970347741</v>
      </c>
      <c r="AF50" s="142">
        <v>0.74016927148041156</v>
      </c>
    </row>
    <row r="51" spans="1:32" x14ac:dyDescent="0.35">
      <c r="A51" t="s">
        <v>203</v>
      </c>
      <c r="B51" t="s">
        <v>278</v>
      </c>
      <c r="C51" s="31">
        <v>3282</v>
      </c>
      <c r="D51" s="31">
        <v>2690</v>
      </c>
      <c r="E51" s="72">
        <v>4543</v>
      </c>
      <c r="F51" s="31">
        <v>3498</v>
      </c>
      <c r="G51" s="73">
        <v>1890152.4799999732</v>
      </c>
      <c r="H51" s="31">
        <v>742463.91999999527</v>
      </c>
      <c r="I51" s="72">
        <v>1172844.6499999892</v>
      </c>
      <c r="J51" s="72">
        <v>272337.16999999684</v>
      </c>
      <c r="K51" s="31">
        <v>56387.857142857145</v>
      </c>
      <c r="L51" s="31">
        <v>65935.71428571429</v>
      </c>
      <c r="M51" s="74">
        <v>12.412031068205403</v>
      </c>
      <c r="N51" s="74">
        <v>19.086658928071088</v>
      </c>
      <c r="O51" s="75">
        <v>416.0582170371942</v>
      </c>
      <c r="P51" s="75">
        <v>212.25383647798606</v>
      </c>
      <c r="Q51" s="76">
        <v>0.6205026644199656</v>
      </c>
      <c r="R51" s="76">
        <v>0.36077276702962902</v>
      </c>
      <c r="S51" s="31">
        <v>23112.428571428572</v>
      </c>
      <c r="T51" s="31"/>
      <c r="U51" s="76">
        <v>-0.17234752464521719</v>
      </c>
      <c r="V51" s="76">
        <v>0.25671812464265287</v>
      </c>
      <c r="W51" s="76">
        <v>1.4695807844776949</v>
      </c>
      <c r="X51" s="76">
        <v>3.2462406602693843</v>
      </c>
      <c r="Y51" s="76">
        <v>0.11428772801073062</v>
      </c>
      <c r="Z51" s="76">
        <v>8.43729309923269E-2</v>
      </c>
      <c r="AA51" s="76">
        <v>8.9187245264924497E-2</v>
      </c>
      <c r="AB51" s="76">
        <v>0.4347176470038796</v>
      </c>
      <c r="AC51" s="76">
        <v>0.31723691517789598</v>
      </c>
      <c r="AD51" s="142">
        <v>-7.033121379218385E-2</v>
      </c>
      <c r="AE51" s="142">
        <v>0.39666842767394944</v>
      </c>
      <c r="AF51" s="142">
        <v>0.93950441712182553</v>
      </c>
    </row>
    <row r="52" spans="1:32" x14ac:dyDescent="0.35">
      <c r="A52" t="s">
        <v>203</v>
      </c>
      <c r="B52" t="s">
        <v>276</v>
      </c>
      <c r="C52" s="31">
        <v>1398</v>
      </c>
      <c r="D52" s="31">
        <v>1516</v>
      </c>
      <c r="E52" s="72">
        <v>1567</v>
      </c>
      <c r="F52" s="31">
        <v>1757</v>
      </c>
      <c r="G52" s="73">
        <v>1470239.790000028</v>
      </c>
      <c r="H52" s="31">
        <v>1000550.9200000177</v>
      </c>
      <c r="I52" s="72">
        <v>838074.46000000334</v>
      </c>
      <c r="J52" s="72">
        <v>395691.21000001871</v>
      </c>
      <c r="K52" s="31">
        <v>23125</v>
      </c>
      <c r="L52" s="31">
        <v>48004.857142857145</v>
      </c>
      <c r="M52" s="74">
        <v>14.757498404594767</v>
      </c>
      <c r="N52" s="74">
        <v>27.969038261009064</v>
      </c>
      <c r="O52" s="75">
        <v>938.25130185068792</v>
      </c>
      <c r="P52" s="75">
        <v>569.46552077405681</v>
      </c>
      <c r="Q52" s="76">
        <v>0.57002569628454103</v>
      </c>
      <c r="R52" s="76">
        <v>0.39109796773984967</v>
      </c>
      <c r="S52" s="31">
        <v>8205.2857142857138</v>
      </c>
      <c r="T52" s="31"/>
      <c r="U52" s="76">
        <v>-0.53675818518364227</v>
      </c>
      <c r="V52" s="76">
        <v>-0.15253272623790548</v>
      </c>
      <c r="W52" s="76">
        <v>0.39516746434054584</v>
      </c>
      <c r="X52" s="76">
        <v>1.0332703979225113</v>
      </c>
      <c r="Y52" s="76">
        <v>6.3914778572009556E-3</v>
      </c>
      <c r="Z52" s="76">
        <v>-7.2842653694904502E-4</v>
      </c>
      <c r="AA52" s="76">
        <v>-2.1236727045596537E-2</v>
      </c>
      <c r="AB52" s="76">
        <v>5.9139992812442532E-2</v>
      </c>
      <c r="AC52" s="76">
        <v>8.212069463479299E-2</v>
      </c>
      <c r="AD52" s="142">
        <v>4.7806243440763015E-2</v>
      </c>
      <c r="AE52" s="142">
        <v>0.396651079537227</v>
      </c>
      <c r="AF52" s="142">
        <v>0.75534245998191418</v>
      </c>
    </row>
    <row r="53" spans="1:32" x14ac:dyDescent="0.35">
      <c r="A53" t="s">
        <v>203</v>
      </c>
      <c r="B53" t="s">
        <v>280</v>
      </c>
      <c r="C53" s="31">
        <v>1631</v>
      </c>
      <c r="D53" s="31">
        <v>2953</v>
      </c>
      <c r="E53" s="72">
        <v>4260</v>
      </c>
      <c r="F53" s="31">
        <v>7009</v>
      </c>
      <c r="G53" s="73">
        <v>1166438.6299999817</v>
      </c>
      <c r="H53" s="31">
        <v>955737.60999999242</v>
      </c>
      <c r="I53" s="72">
        <v>692944.39999999513</v>
      </c>
      <c r="J53" s="72">
        <v>369105.98999999673</v>
      </c>
      <c r="K53" s="31">
        <v>47665.285714285717</v>
      </c>
      <c r="L53" s="31">
        <v>79072.71428571429</v>
      </c>
      <c r="M53" s="74">
        <v>11.189034205231389</v>
      </c>
      <c r="N53" s="74">
        <v>11.377271008695997</v>
      </c>
      <c r="O53" s="75">
        <v>273.81188497652153</v>
      </c>
      <c r="P53" s="75">
        <v>136.35862605221749</v>
      </c>
      <c r="Q53" s="76">
        <v>0.59406845947823761</v>
      </c>
      <c r="R53" s="76">
        <v>0.37747070303212127</v>
      </c>
      <c r="S53" s="31">
        <v>14218</v>
      </c>
      <c r="T53" s="31"/>
      <c r="U53" s="76">
        <v>-0.41688933693941743</v>
      </c>
      <c r="V53" s="76">
        <v>-0.41375374518476249</v>
      </c>
      <c r="W53" s="76">
        <v>0.18655686261001314</v>
      </c>
      <c r="X53" s="76">
        <v>0.87519007721189612</v>
      </c>
      <c r="Y53" s="76">
        <v>-5.3303748338172974E-2</v>
      </c>
      <c r="Z53" s="76">
        <v>-5.0267991585946525E-2</v>
      </c>
      <c r="AA53" s="76">
        <v>5.1911278905143465E-3</v>
      </c>
      <c r="AB53" s="76">
        <v>-0.10933508774665579</v>
      </c>
      <c r="AC53" s="76">
        <v>-0.11393476569726002</v>
      </c>
      <c r="AD53" s="142">
        <v>-9.445080088492977E-2</v>
      </c>
      <c r="AE53" s="142">
        <v>-0.16980395309208576</v>
      </c>
      <c r="AF53" s="142">
        <v>-9.9215858162260251E-2</v>
      </c>
    </row>
    <row r="54" spans="1:32" x14ac:dyDescent="0.35">
      <c r="A54" t="s">
        <v>203</v>
      </c>
      <c r="B54" t="s">
        <v>281</v>
      </c>
      <c r="C54" s="31">
        <v>1307</v>
      </c>
      <c r="D54" s="31">
        <v>876</v>
      </c>
      <c r="E54" s="72">
        <v>1451</v>
      </c>
      <c r="F54" s="31">
        <v>996</v>
      </c>
      <c r="G54" s="73">
        <v>1112749.4999999837</v>
      </c>
      <c r="H54" s="31">
        <v>458835.26999999932</v>
      </c>
      <c r="I54" s="72">
        <v>655939.94000000076</v>
      </c>
      <c r="J54" s="72">
        <v>211111.05999999956</v>
      </c>
      <c r="K54" s="31">
        <v>23213.285714285714</v>
      </c>
      <c r="L54" s="31">
        <v>17690.428571428572</v>
      </c>
      <c r="M54" s="74">
        <v>15.998129368908142</v>
      </c>
      <c r="N54" s="74">
        <v>18.055159893869572</v>
      </c>
      <c r="O54" s="75">
        <v>766.88456237076753</v>
      </c>
      <c r="P54" s="75">
        <v>460.67798192771016</v>
      </c>
      <c r="Q54" s="76">
        <v>0.58947673308324144</v>
      </c>
      <c r="R54" s="76">
        <v>0.44618032586069384</v>
      </c>
      <c r="S54" s="31">
        <v>3466.5714285714284</v>
      </c>
      <c r="T54" s="31"/>
      <c r="U54" s="76">
        <v>0.27423223211906356</v>
      </c>
      <c r="V54" s="76">
        <v>0.41265060240963858</v>
      </c>
      <c r="W54" s="76">
        <v>1.3444684407107421</v>
      </c>
      <c r="X54" s="76">
        <v>2.0727043246413221</v>
      </c>
      <c r="Y54" s="76">
        <v>3.8943658312310614E-2</v>
      </c>
      <c r="Z54" s="76">
        <v>-1.4805832600721547E-2</v>
      </c>
      <c r="AA54" s="76">
        <v>-8.2226438962681891E-2</v>
      </c>
      <c r="AB54" s="76">
        <v>4.058542132388121E-2</v>
      </c>
      <c r="AC54" s="76">
        <v>0.13381499042939793</v>
      </c>
      <c r="AD54" s="142">
        <v>-0.25945081873045373</v>
      </c>
      <c r="AE54" s="142">
        <v>0.11060896780588318</v>
      </c>
      <c r="AF54" s="142">
        <v>0.43286357933976294</v>
      </c>
    </row>
    <row r="55" spans="1:32" x14ac:dyDescent="0.35">
      <c r="A55" t="s">
        <v>203</v>
      </c>
      <c r="B55" t="s">
        <v>285</v>
      </c>
      <c r="C55" s="31">
        <v>707</v>
      </c>
      <c r="D55" s="31">
        <v>1510</v>
      </c>
      <c r="E55" s="72">
        <v>1579</v>
      </c>
      <c r="F55" s="31">
        <v>3675</v>
      </c>
      <c r="G55" s="73">
        <v>681510.15999999864</v>
      </c>
      <c r="H55" s="31">
        <v>607796.50999999791</v>
      </c>
      <c r="I55" s="72">
        <v>427070.47000000015</v>
      </c>
      <c r="J55" s="72">
        <v>229109.39999999636</v>
      </c>
      <c r="K55" s="31">
        <v>25120.857142857141</v>
      </c>
      <c r="L55" s="31">
        <v>39809.571428571428</v>
      </c>
      <c r="M55" s="74">
        <v>15.90934587894689</v>
      </c>
      <c r="N55" s="74">
        <v>11.148622160728699</v>
      </c>
      <c r="O55" s="75">
        <v>431.60871437618658</v>
      </c>
      <c r="P55" s="75">
        <v>165.3868054421763</v>
      </c>
      <c r="Q55" s="76">
        <v>0.62665312282358487</v>
      </c>
      <c r="R55" s="76">
        <v>0.37206388115334427</v>
      </c>
      <c r="S55" s="31">
        <v>3775</v>
      </c>
      <c r="T55" s="31"/>
      <c r="U55" s="76">
        <v>-0.38781771792138997</v>
      </c>
      <c r="V55" s="76">
        <v>-0.58068027210884354</v>
      </c>
      <c r="W55" s="76">
        <v>9.6852546915744853E-2</v>
      </c>
      <c r="X55" s="76">
        <v>0.85536223337852468</v>
      </c>
      <c r="Y55" s="76">
        <v>-2.5991728378549794E-2</v>
      </c>
      <c r="Z55" s="76">
        <v>-2.1757149930183517E-2</v>
      </c>
      <c r="AA55" s="76">
        <v>-0.17416317991631802</v>
      </c>
      <c r="AB55" s="76">
        <v>-4.7811540975218447E-2</v>
      </c>
      <c r="AC55" s="76">
        <v>0.1529983113713631</v>
      </c>
      <c r="AD55" s="142">
        <v>-0.38165579107938813</v>
      </c>
      <c r="AE55" s="142">
        <v>-0.23463245413139303</v>
      </c>
      <c r="AF55" s="142">
        <v>-8.8902651864115875E-2</v>
      </c>
    </row>
    <row r="56" spans="1:32" x14ac:dyDescent="0.35">
      <c r="A56" t="s">
        <v>203</v>
      </c>
      <c r="B56" t="s">
        <v>293</v>
      </c>
      <c r="C56" s="31">
        <v>3548</v>
      </c>
      <c r="D56" s="31">
        <v>1281</v>
      </c>
      <c r="E56" s="72">
        <v>8487</v>
      </c>
      <c r="F56" s="31">
        <v>2073</v>
      </c>
      <c r="G56" s="73">
        <v>637541.91999999597</v>
      </c>
      <c r="H56" s="31">
        <v>127499.01000000187</v>
      </c>
      <c r="I56" s="72">
        <v>459731.76999999565</v>
      </c>
      <c r="J56" s="72">
        <v>94770.070000001826</v>
      </c>
      <c r="K56" s="31">
        <v>117647.85714285714</v>
      </c>
      <c r="L56" s="31">
        <v>33375.142857142855</v>
      </c>
      <c r="M56" s="74">
        <v>13.862125267215406</v>
      </c>
      <c r="N56" s="74">
        <v>16.292897422126746</v>
      </c>
      <c r="O56" s="75">
        <v>75.11982090255637</v>
      </c>
      <c r="P56" s="75">
        <v>61.504587554270081</v>
      </c>
      <c r="Q56" s="76">
        <v>0.72110045720601179</v>
      </c>
      <c r="R56" s="76">
        <v>0.72612029851437343</v>
      </c>
      <c r="S56" s="31">
        <v>19035</v>
      </c>
      <c r="T56" s="31"/>
      <c r="U56" s="76">
        <v>2.4442827425029749</v>
      </c>
      <c r="V56" s="76">
        <v>2.9657501205981669</v>
      </c>
      <c r="W56" s="76">
        <v>3.8420516363223731</v>
      </c>
      <c r="X56" s="76">
        <v>3.8051111563179854</v>
      </c>
      <c r="Y56" s="76">
        <v>-3.5493820495481998E-2</v>
      </c>
      <c r="Z56" s="76">
        <v>-3.7830859372718129E-2</v>
      </c>
      <c r="AA56" s="76">
        <v>1.5312836463691859E-2</v>
      </c>
      <c r="AB56" s="76">
        <v>0.37658920552531794</v>
      </c>
      <c r="AC56" s="76">
        <v>0.35582763862214351</v>
      </c>
      <c r="AD56" s="142">
        <v>-0.36272923867108559</v>
      </c>
      <c r="AE56" s="142">
        <v>0.20879507501426639</v>
      </c>
      <c r="AF56" s="142">
        <v>0.67721354653586807</v>
      </c>
    </row>
    <row r="57" spans="1:32" x14ac:dyDescent="0.35">
      <c r="A57" t="s">
        <v>203</v>
      </c>
      <c r="B57" t="s">
        <v>287</v>
      </c>
      <c r="C57" s="31">
        <v>2547</v>
      </c>
      <c r="D57" s="31">
        <v>841</v>
      </c>
      <c r="E57" s="72">
        <v>3641</v>
      </c>
      <c r="F57" s="31">
        <v>1004</v>
      </c>
      <c r="G57" s="73">
        <v>597095.79000000062</v>
      </c>
      <c r="H57" s="31">
        <v>256711.60000000065</v>
      </c>
      <c r="I57" s="72">
        <v>-8195.5099999957674</v>
      </c>
      <c r="J57" s="72">
        <v>118033.34000000017</v>
      </c>
      <c r="K57" s="31">
        <v>20222.285714285714</v>
      </c>
      <c r="L57" s="31">
        <v>21263.571428571428</v>
      </c>
      <c r="M57" s="74">
        <v>5.5540471612979161</v>
      </c>
      <c r="N57" s="74">
        <v>21.415697674418606</v>
      </c>
      <c r="O57" s="75">
        <v>163.99225212853628</v>
      </c>
      <c r="P57" s="75">
        <v>255.68884462151459</v>
      </c>
      <c r="Q57" s="76">
        <v>-1.3725620138764936E-2</v>
      </c>
      <c r="R57" s="76">
        <v>0.44754671864224449</v>
      </c>
      <c r="S57" s="31">
        <v>649.14285714285711</v>
      </c>
      <c r="T57" s="31"/>
      <c r="U57" s="76">
        <v>-7.3613490543854354E-2</v>
      </c>
      <c r="V57" s="76">
        <v>2.4731075697211153</v>
      </c>
      <c r="W57" s="76">
        <v>1.241570540637817</v>
      </c>
      <c r="X57" s="76">
        <v>-1.026369092145816</v>
      </c>
      <c r="Y57" s="76">
        <v>-0.13346262949211152</v>
      </c>
      <c r="Z57" s="76">
        <v>-0.12817259664833369</v>
      </c>
      <c r="AA57" s="76">
        <v>1.1960193003618818</v>
      </c>
      <c r="AB57" s="76">
        <v>7.8600177725516085E-2</v>
      </c>
      <c r="AC57" s="76">
        <v>-0.50883847990417308</v>
      </c>
      <c r="AD57" s="142">
        <v>1.4688486696119718</v>
      </c>
      <c r="AE57" s="142">
        <v>0.21934717857230907</v>
      </c>
      <c r="AF57" s="142">
        <v>-1.0372156448027772</v>
      </c>
    </row>
    <row r="58" spans="1:32" x14ac:dyDescent="0.35">
      <c r="A58" t="s">
        <v>203</v>
      </c>
      <c r="B58" t="s">
        <v>286</v>
      </c>
      <c r="C58" s="31">
        <v>2206</v>
      </c>
      <c r="D58" s="31">
        <v>1983</v>
      </c>
      <c r="E58" s="72">
        <v>2814</v>
      </c>
      <c r="F58" s="31">
        <v>2887</v>
      </c>
      <c r="G58" s="73">
        <v>567545.06999999308</v>
      </c>
      <c r="H58" s="31">
        <v>282617.16999999824</v>
      </c>
      <c r="I58" s="72">
        <v>347076.21999999951</v>
      </c>
      <c r="J58" s="72">
        <v>119063.96999999936</v>
      </c>
      <c r="K58" s="31">
        <v>44535.857142857145</v>
      </c>
      <c r="L58" s="31">
        <v>69179.142857142855</v>
      </c>
      <c r="M58" s="74">
        <v>15.826530612244898</v>
      </c>
      <c r="N58" s="74">
        <v>24.351136199160518</v>
      </c>
      <c r="O58" s="75">
        <v>201.68623667377153</v>
      </c>
      <c r="P58" s="75">
        <v>97.893027364045111</v>
      </c>
      <c r="Q58" s="76">
        <v>0.61153948531348135</v>
      </c>
      <c r="R58" s="76">
        <v>0.41168452849776138</v>
      </c>
      <c r="S58" s="31">
        <v>13041.571428571429</v>
      </c>
      <c r="T58" s="31"/>
      <c r="U58" s="76">
        <v>-0.37736807543148843</v>
      </c>
      <c r="V58" s="76">
        <v>-6.0616556979563585E-2</v>
      </c>
      <c r="W58" s="76">
        <v>0.92940839369383599</v>
      </c>
      <c r="X58" s="76">
        <v>1.8646276735237861</v>
      </c>
      <c r="Y58" s="76">
        <v>1.6702216625191557E-2</v>
      </c>
      <c r="Z58" s="76">
        <v>-3.1218438953750316E-2</v>
      </c>
      <c r="AA58" s="76">
        <v>1.42348754448407E-3</v>
      </c>
      <c r="AB58" s="76">
        <v>8.2813444494861388E-2</v>
      </c>
      <c r="AC58" s="76">
        <v>8.1274264047818123E-2</v>
      </c>
      <c r="AD58" s="142">
        <v>-0.31308278267870132</v>
      </c>
      <c r="AE58" s="142">
        <v>0.1090149518397444</v>
      </c>
      <c r="AF58" s="142">
        <v>0.48904909267059837</v>
      </c>
    </row>
    <row r="59" spans="1:32" x14ac:dyDescent="0.35">
      <c r="A59" t="s">
        <v>203</v>
      </c>
      <c r="B59" t="s">
        <v>283</v>
      </c>
      <c r="C59" s="31">
        <v>1118</v>
      </c>
      <c r="D59" s="31">
        <v>1501</v>
      </c>
      <c r="E59" s="72">
        <v>1965</v>
      </c>
      <c r="F59" s="31">
        <v>2805</v>
      </c>
      <c r="G59" s="73">
        <v>415562.04999999993</v>
      </c>
      <c r="H59" s="31">
        <v>386372.20000000164</v>
      </c>
      <c r="I59" s="72">
        <v>254170.21999999959</v>
      </c>
      <c r="J59" s="72">
        <v>196870.28000000209</v>
      </c>
      <c r="K59" s="31">
        <v>32085.428571428572</v>
      </c>
      <c r="L59" s="31">
        <v>65433.857142857145</v>
      </c>
      <c r="M59" s="74">
        <v>16.32846237731734</v>
      </c>
      <c r="N59" s="74">
        <v>23.571229675302074</v>
      </c>
      <c r="O59" s="75">
        <v>211.48195928753177</v>
      </c>
      <c r="P59" s="75">
        <v>137.74409982174745</v>
      </c>
      <c r="Q59" s="76">
        <v>0.61163000808182466</v>
      </c>
      <c r="R59" s="76">
        <v>0.49734311988274066</v>
      </c>
      <c r="S59" s="31">
        <v>6385</v>
      </c>
      <c r="T59" s="31"/>
      <c r="U59" s="76">
        <v>-0.52221982066950923</v>
      </c>
      <c r="V59" s="76">
        <v>-0.31372549019607843</v>
      </c>
      <c r="W59" s="76">
        <v>5.7104729584577241E-2</v>
      </c>
      <c r="X59" s="76">
        <v>0.30696846384628151</v>
      </c>
      <c r="Y59" s="76">
        <v>-6.2087801637148221E-2</v>
      </c>
      <c r="Z59" s="76">
        <v>-6.393708400885223E-2</v>
      </c>
      <c r="AA59" s="76">
        <v>-0.55239179954441919</v>
      </c>
      <c r="AB59" s="76">
        <v>2.145107967603499E-2</v>
      </c>
      <c r="AC59" s="76">
        <v>1.2820204782584192</v>
      </c>
      <c r="AD59" s="142">
        <v>-0.62918575683809774</v>
      </c>
      <c r="AE59" s="142">
        <v>-0.46825565183120921</v>
      </c>
      <c r="AF59" s="142">
        <v>-0.35882560988908319</v>
      </c>
    </row>
    <row r="60" spans="1:32" x14ac:dyDescent="0.35">
      <c r="A60" t="s">
        <v>203</v>
      </c>
      <c r="B60" t="s">
        <v>292</v>
      </c>
      <c r="C60" s="31">
        <v>708</v>
      </c>
      <c r="D60" s="31">
        <v>777</v>
      </c>
      <c r="E60" s="72">
        <v>910</v>
      </c>
      <c r="F60" s="31">
        <v>1042</v>
      </c>
      <c r="G60" s="73">
        <v>415052.81000000041</v>
      </c>
      <c r="H60" s="31">
        <v>130707.63000000057</v>
      </c>
      <c r="I60" s="72">
        <v>240856.51999999961</v>
      </c>
      <c r="J60" s="72">
        <v>35262.910000000367</v>
      </c>
      <c r="K60" s="31">
        <v>16641.857142857141</v>
      </c>
      <c r="L60" s="31">
        <v>23837.571428571428</v>
      </c>
      <c r="M60" s="74">
        <v>18.287755102040816</v>
      </c>
      <c r="N60" s="74">
        <v>23.126568758344462</v>
      </c>
      <c r="O60" s="75">
        <v>456.10198901098948</v>
      </c>
      <c r="P60" s="75">
        <v>125.43918426103701</v>
      </c>
      <c r="Q60" s="76">
        <v>0.58030331128224233</v>
      </c>
      <c r="R60" s="76">
        <v>0.2622333941913495</v>
      </c>
      <c r="S60" s="31">
        <v>10816.142857142857</v>
      </c>
      <c r="T60" s="31"/>
      <c r="U60" s="76">
        <v>-0.32286965954106062</v>
      </c>
      <c r="V60" s="76">
        <v>-0.15163147792706333</v>
      </c>
      <c r="W60" s="76">
        <v>2.0789364783065771</v>
      </c>
      <c r="X60" s="76">
        <v>5.7779386506838266</v>
      </c>
      <c r="Y60" s="76">
        <v>-5.3323879772842697E-2</v>
      </c>
      <c r="Z60" s="76">
        <v>-4.9773644928422844E-2</v>
      </c>
      <c r="AA60" s="76">
        <v>-0.18604651162790697</v>
      </c>
      <c r="AB60" s="76">
        <v>-0.11716362258037949</v>
      </c>
      <c r="AC60" s="76">
        <v>8.4627549401248059E-2</v>
      </c>
      <c r="AD60" s="142">
        <v>-5.9590154921671058E-2</v>
      </c>
      <c r="AE60" s="142">
        <v>0.67128775239167038</v>
      </c>
      <c r="AF60" s="142">
        <v>0.99497810884508098</v>
      </c>
    </row>
    <row r="61" spans="1:32" x14ac:dyDescent="0.35">
      <c r="A61" t="s">
        <v>203</v>
      </c>
      <c r="B61" t="s">
        <v>282</v>
      </c>
      <c r="C61" s="31">
        <v>1034</v>
      </c>
      <c r="D61" s="31">
        <v>2753</v>
      </c>
      <c r="E61" s="72">
        <v>3872</v>
      </c>
      <c r="F61" s="31">
        <v>8081</v>
      </c>
      <c r="G61" s="73">
        <v>412366.64000000065</v>
      </c>
      <c r="H61" s="31">
        <v>747197.24999998778</v>
      </c>
      <c r="I61" s="72">
        <v>254127.98000000045</v>
      </c>
      <c r="J61" s="72">
        <v>295011.71999998996</v>
      </c>
      <c r="K61" s="31">
        <v>76451.571428571435</v>
      </c>
      <c r="L61" s="31">
        <v>115192.85714285714</v>
      </c>
      <c r="M61" s="74">
        <v>19.744724025974026</v>
      </c>
      <c r="N61" s="74">
        <v>14.498936740374475</v>
      </c>
      <c r="O61" s="75">
        <v>106.49964876033074</v>
      </c>
      <c r="P61" s="75">
        <v>92.463463680236089</v>
      </c>
      <c r="Q61" s="76">
        <v>0.61626706757850258</v>
      </c>
      <c r="R61" s="76">
        <v>0.38888680538792575</v>
      </c>
      <c r="S61" s="31">
        <v>16816</v>
      </c>
      <c r="T61" s="31"/>
      <c r="U61" s="76">
        <v>-0.35393191542134317</v>
      </c>
      <c r="V61" s="76">
        <v>-0.53730973889370126</v>
      </c>
      <c r="W61" s="76">
        <v>-0.46880784157060618</v>
      </c>
      <c r="X61" s="76">
        <v>-0.15685297516679908</v>
      </c>
      <c r="Y61" s="76">
        <v>5.3524988992492695E-4</v>
      </c>
      <c r="Z61" s="76">
        <v>-1.0007936052803257E-2</v>
      </c>
      <c r="AA61" s="76">
        <v>-8.9797837329572139E-2</v>
      </c>
      <c r="AB61" s="76">
        <v>9.3647510321140048E-2</v>
      </c>
      <c r="AC61" s="76">
        <v>0.20154351986212027</v>
      </c>
      <c r="AD61" s="142">
        <v>-0.41980313494811178</v>
      </c>
      <c r="AE61" s="142">
        <v>-0.23535361390752924</v>
      </c>
      <c r="AF61" s="142">
        <v>-0.12242972907767494</v>
      </c>
    </row>
    <row r="62" spans="1:32" x14ac:dyDescent="0.35">
      <c r="A62" t="s">
        <v>203</v>
      </c>
      <c r="B62" t="s">
        <v>279</v>
      </c>
      <c r="C62" s="31">
        <v>1107</v>
      </c>
      <c r="D62" s="31">
        <v>2762</v>
      </c>
      <c r="E62" s="72">
        <v>1238</v>
      </c>
      <c r="F62" s="31">
        <v>3297</v>
      </c>
      <c r="G62" s="73">
        <v>391366.28999999713</v>
      </c>
      <c r="H62" s="31">
        <v>651298.66999999457</v>
      </c>
      <c r="I62" s="72">
        <v>228524.72000000026</v>
      </c>
      <c r="J62" s="72">
        <v>249120.11999999295</v>
      </c>
      <c r="K62" s="31">
        <v>18497.285714285714</v>
      </c>
      <c r="L62" s="31">
        <v>70385</v>
      </c>
      <c r="M62" s="74">
        <v>14.941264712670206</v>
      </c>
      <c r="N62" s="74">
        <v>21.68462811319954</v>
      </c>
      <c r="O62" s="75">
        <v>316.12785945072466</v>
      </c>
      <c r="P62" s="75">
        <v>197.54281771307083</v>
      </c>
      <c r="Q62" s="76">
        <v>0.58391518595023073</v>
      </c>
      <c r="R62" s="76">
        <v>0.37463151552419938</v>
      </c>
      <c r="S62" s="31">
        <v>6109</v>
      </c>
      <c r="T62" s="31"/>
      <c r="U62" s="76">
        <v>-0.755130455961599</v>
      </c>
      <c r="V62" s="76">
        <v>-0.64179557173187751</v>
      </c>
      <c r="W62" s="76">
        <v>-0.43025366534219878</v>
      </c>
      <c r="X62" s="76">
        <v>-0.11466335499939873</v>
      </c>
      <c r="Y62" s="76">
        <v>-7.4298696738918424E-2</v>
      </c>
      <c r="Z62" s="76">
        <v>-7.0321306767187286E-2</v>
      </c>
      <c r="AA62" s="76">
        <v>-0.12939521800281295</v>
      </c>
      <c r="AB62" s="76">
        <v>-8.4931044410185397E-2</v>
      </c>
      <c r="AC62" s="76">
        <v>5.1072742204132826E-2</v>
      </c>
      <c r="AD62" s="142">
        <v>-0.26701149098625426</v>
      </c>
      <c r="AE62" s="142">
        <v>-0.12789802304322737</v>
      </c>
      <c r="AF62" s="142">
        <v>4.1527653717211108E-2</v>
      </c>
    </row>
    <row r="63" spans="1:32" x14ac:dyDescent="0.35">
      <c r="A63" t="s">
        <v>203</v>
      </c>
      <c r="B63" t="s">
        <v>299</v>
      </c>
      <c r="C63" s="31">
        <v>1245</v>
      </c>
      <c r="D63" s="31">
        <v>634</v>
      </c>
      <c r="E63" s="72">
        <v>2421</v>
      </c>
      <c r="F63" s="31">
        <v>1186</v>
      </c>
      <c r="G63" s="73">
        <v>364609.90000000352</v>
      </c>
      <c r="H63" s="31">
        <v>55860.630000000165</v>
      </c>
      <c r="I63" s="72">
        <v>198024.53000000108</v>
      </c>
      <c r="J63" s="72">
        <v>25008.720000000132</v>
      </c>
      <c r="K63" s="31">
        <v>38412.857142857145</v>
      </c>
      <c r="L63" s="31">
        <v>27620.857142857141</v>
      </c>
      <c r="M63" s="74">
        <v>15.866525048681183</v>
      </c>
      <c r="N63" s="74">
        <v>23.27228525121556</v>
      </c>
      <c r="O63" s="75">
        <v>150.60301528294238</v>
      </c>
      <c r="P63" s="75">
        <v>47.100025295109752</v>
      </c>
      <c r="Q63" s="76">
        <v>0.54311342067233825</v>
      </c>
      <c r="R63" s="76">
        <v>0.43132962047777174</v>
      </c>
      <c r="S63" s="31">
        <v>2245.4285714285716</v>
      </c>
      <c r="T63" s="31"/>
      <c r="U63" s="76">
        <v>0.35140111509935568</v>
      </c>
      <c r="V63" s="76">
        <v>0.96880269814502529</v>
      </c>
      <c r="W63" s="76">
        <v>5.2821532804052183</v>
      </c>
      <c r="X63" s="76">
        <v>6.9122605996608062</v>
      </c>
      <c r="Y63" s="76">
        <v>-2.5836403679751929E-2</v>
      </c>
      <c r="Z63" s="76">
        <v>-4.3610017392788913E-2</v>
      </c>
      <c r="AA63" s="76">
        <v>-1.745129870129869E-2</v>
      </c>
      <c r="AB63" s="76">
        <v>9.6788440368285933E-2</v>
      </c>
      <c r="AC63" s="76">
        <v>0.11626878028395549</v>
      </c>
      <c r="AD63" s="142">
        <v>8.6656038892321832E-2</v>
      </c>
      <c r="AE63" s="142">
        <v>0.84800529054041152</v>
      </c>
      <c r="AF63" s="142">
        <v>1.1146021942873416</v>
      </c>
    </row>
    <row r="64" spans="1:32" x14ac:dyDescent="0.35">
      <c r="A64" t="s">
        <v>203</v>
      </c>
      <c r="B64" t="s">
        <v>288</v>
      </c>
      <c r="C64" s="31">
        <v>475</v>
      </c>
      <c r="D64" s="31">
        <v>785</v>
      </c>
      <c r="E64" s="72">
        <v>2246</v>
      </c>
      <c r="F64" s="31">
        <v>3142</v>
      </c>
      <c r="G64" s="73">
        <v>363184.34000000037</v>
      </c>
      <c r="H64" s="31">
        <v>317579.96999999892</v>
      </c>
      <c r="I64" s="72">
        <v>215237.49000000022</v>
      </c>
      <c r="J64" s="72">
        <v>120006.14999999935</v>
      </c>
      <c r="K64" s="31">
        <v>31163</v>
      </c>
      <c r="L64" s="31">
        <v>67204.28571428571</v>
      </c>
      <c r="M64" s="74">
        <v>13.874888691006234</v>
      </c>
      <c r="N64" s="74">
        <v>21.76122258308493</v>
      </c>
      <c r="O64" s="75">
        <v>161.70273374888708</v>
      </c>
      <c r="P64" s="75">
        <v>101.07573838319507</v>
      </c>
      <c r="Q64" s="76">
        <v>0.5926397872771717</v>
      </c>
      <c r="R64" s="76">
        <v>0.37001886475334905</v>
      </c>
      <c r="S64" s="31">
        <v>15820</v>
      </c>
      <c r="T64" s="31"/>
      <c r="U64" s="76">
        <v>-0.55130412601237166</v>
      </c>
      <c r="V64" s="76">
        <v>-0.31985996180776577</v>
      </c>
      <c r="W64" s="76">
        <v>8.9221149558019963E-2</v>
      </c>
      <c r="X64" s="76">
        <v>0.74852860963077306</v>
      </c>
      <c r="Y64" s="76">
        <v>-3.036125379904131E-2</v>
      </c>
      <c r="Z64" s="76">
        <v>-3.1418587406812026E-2</v>
      </c>
      <c r="AA64" s="76">
        <v>-4.9915397631133618E-2</v>
      </c>
      <c r="AB64" s="76">
        <v>6.7814746381299251E-2</v>
      </c>
      <c r="AC64" s="76">
        <v>0.12391543207720024</v>
      </c>
      <c r="AD64" s="142">
        <v>-0.36405862654614662</v>
      </c>
      <c r="AE64" s="142">
        <v>-0.16923468054175123</v>
      </c>
      <c r="AF64" s="142">
        <v>2.8986168950880697E-2</v>
      </c>
    </row>
    <row r="65" spans="1:32" x14ac:dyDescent="0.35">
      <c r="A65" t="s">
        <v>203</v>
      </c>
      <c r="B65" t="s">
        <v>289</v>
      </c>
      <c r="C65" s="31">
        <v>433</v>
      </c>
      <c r="D65" s="31">
        <v>259</v>
      </c>
      <c r="E65" s="72">
        <v>468</v>
      </c>
      <c r="F65" s="31">
        <v>283</v>
      </c>
      <c r="G65" s="73">
        <v>357154.08000000019</v>
      </c>
      <c r="H65" s="31">
        <v>177399.0800000008</v>
      </c>
      <c r="I65" s="72">
        <v>205353.31999999931</v>
      </c>
      <c r="J65" s="72">
        <v>97425.410000000717</v>
      </c>
      <c r="K65" s="31">
        <v>9017.2857142857138</v>
      </c>
      <c r="L65" s="31">
        <v>6631.7142857142853</v>
      </c>
      <c r="M65" s="74">
        <v>19.267704517704516</v>
      </c>
      <c r="N65" s="74">
        <v>23.785714285714285</v>
      </c>
      <c r="O65" s="75">
        <v>763.14974358974405</v>
      </c>
      <c r="P65" s="75">
        <v>626.85187279152228</v>
      </c>
      <c r="Q65" s="76">
        <v>0.57497122810412582</v>
      </c>
      <c r="R65" s="76">
        <v>0.54256135776487535</v>
      </c>
      <c r="S65" s="31">
        <v>2508</v>
      </c>
      <c r="T65" s="31"/>
      <c r="U65" s="76">
        <v>0.31879281375210033</v>
      </c>
      <c r="V65" s="76">
        <v>0.60070671378091878</v>
      </c>
      <c r="W65" s="76">
        <v>0.95206204000606243</v>
      </c>
      <c r="X65" s="76">
        <v>1.0735345805586687</v>
      </c>
      <c r="Y65" s="76">
        <v>0.10204658549745949</v>
      </c>
      <c r="Z65" s="76">
        <v>5.2297279274473141E-2</v>
      </c>
      <c r="AA65" s="76">
        <v>-2.1321961620469621E-3</v>
      </c>
      <c r="AB65" s="76">
        <v>0.19275490574338172</v>
      </c>
      <c r="AC65" s="76">
        <v>0.19530352733685064</v>
      </c>
      <c r="AD65" s="142">
        <v>-0.3786175940976107</v>
      </c>
      <c r="AE65" s="142">
        <v>-0.25289107033818237</v>
      </c>
      <c r="AF65" s="142">
        <v>-0.12773964149505623</v>
      </c>
    </row>
    <row r="66" spans="1:32" x14ac:dyDescent="0.35">
      <c r="A66" t="s">
        <v>203</v>
      </c>
      <c r="B66" t="s">
        <v>284</v>
      </c>
      <c r="C66" s="31">
        <v>414</v>
      </c>
      <c r="D66" s="31">
        <v>956</v>
      </c>
      <c r="E66" s="72">
        <v>581</v>
      </c>
      <c r="F66" s="31">
        <v>1765</v>
      </c>
      <c r="G66" s="73">
        <v>268133.8400000002</v>
      </c>
      <c r="H66" s="31">
        <v>396756.97999999975</v>
      </c>
      <c r="I66" s="72">
        <v>154388.44999999995</v>
      </c>
      <c r="J66" s="72">
        <v>156472.97000000023</v>
      </c>
      <c r="K66" s="31">
        <v>7948.8571428571431</v>
      </c>
      <c r="L66" s="31">
        <v>35510.285714285717</v>
      </c>
      <c r="M66" s="74">
        <v>13.681337595279077</v>
      </c>
      <c r="N66" s="74">
        <v>20.442157953281423</v>
      </c>
      <c r="O66" s="75">
        <v>461.50402753872669</v>
      </c>
      <c r="P66" s="75">
        <v>224.7914900849857</v>
      </c>
      <c r="Q66" s="76">
        <v>0.57578875534695595</v>
      </c>
      <c r="R66" s="76">
        <v>0.38892324763911479</v>
      </c>
      <c r="S66" s="31">
        <v>3671.5714285714284</v>
      </c>
      <c r="T66" s="31"/>
      <c r="U66" s="76">
        <v>-0.78409474920747313</v>
      </c>
      <c r="V66" s="76">
        <v>-0.68215297450424928</v>
      </c>
      <c r="W66" s="76">
        <v>-0.3506557590996866</v>
      </c>
      <c r="X66" s="76">
        <v>-3.8947875815230737E-2</v>
      </c>
      <c r="Y66" s="76">
        <v>2.0650054346175173E-2</v>
      </c>
      <c r="Z66" s="76">
        <v>1.5840443532417758E-3</v>
      </c>
      <c r="AA66" s="76">
        <v>-3.3277870216306127E-2</v>
      </c>
      <c r="AB66" s="76">
        <v>0.36415101347037293</v>
      </c>
      <c r="AC66" s="76">
        <v>0.4111097402679762</v>
      </c>
      <c r="AD66" s="142">
        <v>-0.27350090162164348</v>
      </c>
      <c r="AE66" s="142">
        <v>0.13476269888833287</v>
      </c>
      <c r="AF66" s="142">
        <v>0.47172545508185648</v>
      </c>
    </row>
    <row r="67" spans="1:32" x14ac:dyDescent="0.35">
      <c r="A67" t="s">
        <v>203</v>
      </c>
      <c r="B67" t="s">
        <v>294</v>
      </c>
      <c r="C67" s="31">
        <v>576</v>
      </c>
      <c r="D67" s="31">
        <v>463</v>
      </c>
      <c r="E67" s="72">
        <v>612</v>
      </c>
      <c r="F67" s="31">
        <v>524</v>
      </c>
      <c r="G67" s="73">
        <v>255733.30999999968</v>
      </c>
      <c r="H67" s="31">
        <v>145707.28000000064</v>
      </c>
      <c r="I67" s="72">
        <v>150296.64000000121</v>
      </c>
      <c r="J67" s="72">
        <v>67121.020000000717</v>
      </c>
      <c r="K67" s="31">
        <v>7942.1428571428569</v>
      </c>
      <c r="L67" s="31">
        <v>9494.7142857142862</v>
      </c>
      <c r="M67" s="74">
        <v>12.97735760971055</v>
      </c>
      <c r="N67" s="74">
        <v>18.309032430983653</v>
      </c>
      <c r="O67" s="75">
        <v>417.86488562091449</v>
      </c>
      <c r="P67" s="75">
        <v>278.06732824427604</v>
      </c>
      <c r="Q67" s="76">
        <v>0.58770849992127105</v>
      </c>
      <c r="R67" s="76">
        <v>0.4522759132236433</v>
      </c>
      <c r="S67" s="31">
        <v>3975.8571428571427</v>
      </c>
      <c r="T67" s="31"/>
      <c r="U67" s="76">
        <v>-0.18727713163715154</v>
      </c>
      <c r="V67" s="76">
        <v>0.12022900763358768</v>
      </c>
      <c r="W67" s="76">
        <v>0.68419992467087942</v>
      </c>
      <c r="X67" s="76">
        <v>1.1891817971237426</v>
      </c>
      <c r="Y67" s="76">
        <v>-7.5864084708515023E-2</v>
      </c>
      <c r="Z67" s="76">
        <v>-7.5450675181267801E-2</v>
      </c>
      <c r="AA67" s="76">
        <v>-0.12820512820512819</v>
      </c>
      <c r="AB67" s="76">
        <v>-4.9533406470338992E-3</v>
      </c>
      <c r="AC67" s="76">
        <v>0.14137705043428461</v>
      </c>
      <c r="AD67" s="142">
        <v>-0.38492499401507901</v>
      </c>
      <c r="AE67" s="142">
        <v>-0.23468249796451035</v>
      </c>
      <c r="AF67" s="142">
        <v>-7.1138902034162343E-2</v>
      </c>
    </row>
    <row r="68" spans="1:32" x14ac:dyDescent="0.35">
      <c r="A68" t="s">
        <v>203</v>
      </c>
      <c r="B68" t="s">
        <v>290</v>
      </c>
      <c r="C68" s="31">
        <v>1144</v>
      </c>
      <c r="D68" s="31">
        <v>1379</v>
      </c>
      <c r="E68" s="72">
        <v>1362</v>
      </c>
      <c r="F68" s="31">
        <v>1750</v>
      </c>
      <c r="G68" s="73">
        <v>237236.08000000089</v>
      </c>
      <c r="H68" s="31">
        <v>187122.26999999996</v>
      </c>
      <c r="I68" s="72">
        <v>147106.45000000118</v>
      </c>
      <c r="J68" s="72">
        <v>83110.66999999994</v>
      </c>
      <c r="K68" s="31">
        <v>18963.142857142859</v>
      </c>
      <c r="L68" s="31">
        <v>38228.857142857145</v>
      </c>
      <c r="M68" s="74">
        <v>13.923012376756871</v>
      </c>
      <c r="N68" s="74">
        <v>22.382444639859301</v>
      </c>
      <c r="O68" s="75">
        <v>174.18214390602122</v>
      </c>
      <c r="P68" s="75">
        <v>106.9270114285714</v>
      </c>
      <c r="Q68" s="76">
        <v>0.62008464311162381</v>
      </c>
      <c r="R68" s="76">
        <v>0.43496136981738853</v>
      </c>
      <c r="S68" s="31">
        <v>2261.2857142857142</v>
      </c>
      <c r="T68" s="31"/>
      <c r="U68" s="76">
        <v>-0.52231298719740504</v>
      </c>
      <c r="V68" s="76">
        <v>-0.24171428571428566</v>
      </c>
      <c r="W68" s="76">
        <v>0.2341291605750675</v>
      </c>
      <c r="X68" s="76">
        <v>0.75736521922370836</v>
      </c>
      <c r="Y68" s="76">
        <v>-2.7103601196886151E-3</v>
      </c>
      <c r="Z68" s="76">
        <v>-1.1033876459325076E-2</v>
      </c>
      <c r="AA68" s="76">
        <v>3.8901601830663601E-2</v>
      </c>
      <c r="AB68" s="76">
        <v>1.3445851433323108E-2</v>
      </c>
      <c r="AC68" s="76">
        <v>-2.4502561505809872E-2</v>
      </c>
      <c r="AD68" s="142">
        <v>-0.36361465381454844</v>
      </c>
      <c r="AE68" s="142">
        <v>-6.6219609805651308E-2</v>
      </c>
      <c r="AF68" s="142">
        <v>0.20290830293366732</v>
      </c>
    </row>
    <row r="69" spans="1:32" x14ac:dyDescent="0.35">
      <c r="A69" t="s">
        <v>203</v>
      </c>
      <c r="B69" t="s">
        <v>296</v>
      </c>
      <c r="C69" s="31">
        <v>587</v>
      </c>
      <c r="D69" s="31">
        <v>531</v>
      </c>
      <c r="E69" s="72">
        <v>625</v>
      </c>
      <c r="F69" s="31">
        <v>562</v>
      </c>
      <c r="G69" s="73">
        <v>236759.02000000002</v>
      </c>
      <c r="H69" s="31">
        <v>116430.08000000021</v>
      </c>
      <c r="I69" s="72">
        <v>132981.00999999922</v>
      </c>
      <c r="J69" s="72">
        <v>51604.390000000611</v>
      </c>
      <c r="K69" s="31">
        <v>10330.857142857143</v>
      </c>
      <c r="L69" s="31">
        <v>6319.4285714285716</v>
      </c>
      <c r="M69" s="74">
        <v>16.52937142857143</v>
      </c>
      <c r="N69" s="74">
        <v>11.55946148092745</v>
      </c>
      <c r="O69" s="75">
        <v>378.81443200000001</v>
      </c>
      <c r="P69" s="75">
        <v>207.1709608540929</v>
      </c>
      <c r="Q69" s="76">
        <v>0.56167241273426127</v>
      </c>
      <c r="R69" s="76">
        <v>0.43478604111782837</v>
      </c>
      <c r="S69" s="31">
        <v>5843.2857142857147</v>
      </c>
      <c r="T69" s="31"/>
      <c r="U69" s="76">
        <v>0.57654399131928757</v>
      </c>
      <c r="V69" s="76">
        <v>8.7188612099644125E-2</v>
      </c>
      <c r="W69" s="76">
        <v>0.98640523136288838</v>
      </c>
      <c r="X69" s="76">
        <v>1.5619458790712848</v>
      </c>
      <c r="Y69" s="76">
        <v>6.3844803344731194E-2</v>
      </c>
      <c r="Z69" s="76">
        <v>5.7483366235285605E-2</v>
      </c>
      <c r="AA69" s="76">
        <v>3.6484245439469376E-2</v>
      </c>
      <c r="AB69" s="76">
        <v>3.5371807639575259E-2</v>
      </c>
      <c r="AC69" s="76">
        <v>-1.0732799893379275E-3</v>
      </c>
      <c r="AD69" s="142">
        <v>-0.25299798799490081</v>
      </c>
      <c r="AE69" s="142">
        <v>-0.16097988419577136</v>
      </c>
      <c r="AF69" s="142">
        <v>-2.8718736280908545E-2</v>
      </c>
    </row>
    <row r="70" spans="1:32" x14ac:dyDescent="0.35">
      <c r="A70" t="s">
        <v>203</v>
      </c>
      <c r="B70" t="s">
        <v>291</v>
      </c>
      <c r="C70" s="31">
        <v>273</v>
      </c>
      <c r="D70" s="31">
        <v>429</v>
      </c>
      <c r="E70" s="72">
        <v>1009</v>
      </c>
      <c r="F70" s="31">
        <v>1507</v>
      </c>
      <c r="G70" s="73">
        <v>181350.65000000043</v>
      </c>
      <c r="H70" s="31">
        <v>204246.32000000004</v>
      </c>
      <c r="I70" s="72">
        <v>90629.880000000048</v>
      </c>
      <c r="J70" s="72">
        <v>65030.239999999903</v>
      </c>
      <c r="K70" s="31">
        <v>13237</v>
      </c>
      <c r="L70" s="31">
        <v>37023.571428571428</v>
      </c>
      <c r="M70" s="74">
        <v>13.118929633300297</v>
      </c>
      <c r="N70" s="74">
        <v>25.097704918032786</v>
      </c>
      <c r="O70" s="75">
        <v>179.73305252725513</v>
      </c>
      <c r="P70" s="75">
        <v>135.53173191771734</v>
      </c>
      <c r="Q70" s="76">
        <v>0.49974940812177865</v>
      </c>
      <c r="R70" s="76">
        <v>0.31457778452434848</v>
      </c>
      <c r="S70" s="31">
        <v>7327.5714285714284</v>
      </c>
      <c r="T70" s="31"/>
      <c r="U70" s="76">
        <v>-0.65492639824050314</v>
      </c>
      <c r="V70" s="76">
        <v>-0.35633709356337095</v>
      </c>
      <c r="W70" s="76">
        <v>-0.1597006496861223</v>
      </c>
      <c r="X70" s="76">
        <v>0.32202688644392019</v>
      </c>
      <c r="Y70" s="76">
        <v>-1.8927310663507058E-2</v>
      </c>
      <c r="Z70" s="76">
        <v>-2.5042351034838317E-2</v>
      </c>
      <c r="AA70" s="76">
        <v>-0.11179577464788737</v>
      </c>
      <c r="AB70" s="76">
        <v>2.498107592728771E-2</v>
      </c>
      <c r="AC70" s="76">
        <v>0.15399256913121784</v>
      </c>
      <c r="AD70" s="142">
        <v>-0.21454583272971178</v>
      </c>
      <c r="AE70" s="142">
        <v>-0.1007103473671314</v>
      </c>
      <c r="AF70" s="142">
        <v>0.10541580192383827</v>
      </c>
    </row>
    <row r="71" spans="1:32" x14ac:dyDescent="0.35">
      <c r="A71" t="s">
        <v>203</v>
      </c>
      <c r="B71" t="s">
        <v>298</v>
      </c>
      <c r="C71" s="31">
        <v>341</v>
      </c>
      <c r="D71" s="31">
        <v>373</v>
      </c>
      <c r="E71" s="72">
        <v>429</v>
      </c>
      <c r="F71" s="31">
        <v>436</v>
      </c>
      <c r="G71" s="73">
        <v>108981.69999999971</v>
      </c>
      <c r="H71" s="31">
        <v>90612.319999999861</v>
      </c>
      <c r="I71" s="72">
        <v>39447.84999999994</v>
      </c>
      <c r="J71" s="72">
        <v>30960.799999999806</v>
      </c>
      <c r="K71" s="31">
        <v>7511.1428571428569</v>
      </c>
      <c r="L71" s="31">
        <v>15193.285714285714</v>
      </c>
      <c r="M71" s="74">
        <v>17.50849150849151</v>
      </c>
      <c r="N71" s="74">
        <v>35.280612244897959</v>
      </c>
      <c r="O71" s="75">
        <v>254.03659673659604</v>
      </c>
      <c r="P71" s="75">
        <v>207.8264220183483</v>
      </c>
      <c r="Q71" s="76">
        <v>0.36196765144973925</v>
      </c>
      <c r="R71" s="76">
        <v>0.33329149355728299</v>
      </c>
      <c r="S71" s="31">
        <v>241.85714285714286</v>
      </c>
      <c r="T71" s="31"/>
      <c r="U71" s="76">
        <v>-0.52467725405019139</v>
      </c>
      <c r="V71" s="76">
        <v>-3.669724770642202E-2</v>
      </c>
      <c r="W71" s="76">
        <v>0.17864745103094015</v>
      </c>
      <c r="X71" s="76">
        <v>0.27738293002717773</v>
      </c>
      <c r="Y71" s="76">
        <v>-2.5316970556104823E-2</v>
      </c>
      <c r="Z71" s="76">
        <v>-2.7827598321099045E-2</v>
      </c>
      <c r="AA71" s="76">
        <v>0.15633423180592998</v>
      </c>
      <c r="AB71" s="76">
        <v>0.18771953342029879</v>
      </c>
      <c r="AC71" s="76">
        <v>2.7142067363475242E-2</v>
      </c>
      <c r="AD71" s="142">
        <v>0.32344176300952499</v>
      </c>
      <c r="AE71" s="142">
        <v>9.4394710803977655E-2</v>
      </c>
      <c r="AF71" s="142">
        <v>-7.577804687913188E-2</v>
      </c>
    </row>
    <row r="72" spans="1:32" x14ac:dyDescent="0.35">
      <c r="A72" t="s">
        <v>203</v>
      </c>
      <c r="B72" t="s">
        <v>338</v>
      </c>
      <c r="C72" s="31">
        <v>507</v>
      </c>
      <c r="D72" s="31"/>
      <c r="E72" s="72">
        <v>744</v>
      </c>
      <c r="F72" s="31"/>
      <c r="G72" s="73">
        <v>106556.49999999952</v>
      </c>
      <c r="H72" s="31"/>
      <c r="I72" s="72">
        <v>34777.49999999992</v>
      </c>
      <c r="J72" s="72"/>
      <c r="K72" s="31">
        <v>13055.571428571429</v>
      </c>
      <c r="L72" s="31"/>
      <c r="M72" s="74">
        <v>17.547811059907836</v>
      </c>
      <c r="N72" s="74"/>
      <c r="O72" s="75">
        <v>143.22110215053698</v>
      </c>
      <c r="P72" s="75"/>
      <c r="Q72" s="76">
        <v>0.32637614786521779</v>
      </c>
      <c r="R72" s="76"/>
      <c r="S72" s="31"/>
      <c r="T72" s="31"/>
      <c r="U72" s="76"/>
      <c r="V72" s="76"/>
      <c r="W72" s="76"/>
      <c r="X72" s="76"/>
      <c r="Y72" s="76">
        <v>1.8365427962384113</v>
      </c>
      <c r="Z72" s="76">
        <v>1.8598385279759673</v>
      </c>
      <c r="AA72" s="76">
        <v>1.049586776859504</v>
      </c>
      <c r="AB72" s="76">
        <v>0.99216941025846772</v>
      </c>
      <c r="AC72" s="76">
        <v>-2.8014118381957442E-2</v>
      </c>
      <c r="AD72" s="142"/>
      <c r="AE72" s="142"/>
      <c r="AF72" s="142"/>
    </row>
    <row r="73" spans="1:32" x14ac:dyDescent="0.35">
      <c r="A73" t="s">
        <v>203</v>
      </c>
      <c r="B73" t="s">
        <v>295</v>
      </c>
      <c r="C73" s="31">
        <v>55</v>
      </c>
      <c r="D73" s="31">
        <v>228</v>
      </c>
      <c r="E73" s="72">
        <v>261</v>
      </c>
      <c r="F73" s="31">
        <v>706</v>
      </c>
      <c r="G73" s="73">
        <v>28352.009999999991</v>
      </c>
      <c r="H73" s="31">
        <v>100598.65000000015</v>
      </c>
      <c r="I73" s="72">
        <v>12006.879999999997</v>
      </c>
      <c r="J73" s="72">
        <v>37270.000000000218</v>
      </c>
      <c r="K73" s="31">
        <v>3680.8571428571427</v>
      </c>
      <c r="L73" s="31">
        <v>13319.571428571429</v>
      </c>
      <c r="M73" s="74">
        <v>14.102900930487136</v>
      </c>
      <c r="N73" s="74">
        <v>19.041525928869461</v>
      </c>
      <c r="O73" s="75">
        <v>108.62839080459767</v>
      </c>
      <c r="P73" s="75">
        <v>142.49100566572261</v>
      </c>
      <c r="Q73" s="76">
        <v>0.42349307862123359</v>
      </c>
      <c r="R73" s="76">
        <v>0.362271613117636</v>
      </c>
      <c r="S73" s="31">
        <v>1088.2857142857142</v>
      </c>
      <c r="T73" s="31"/>
      <c r="U73" s="76">
        <v>-0.73641365552302207</v>
      </c>
      <c r="V73" s="76">
        <v>-0.64872521246458925</v>
      </c>
      <c r="W73" s="76">
        <v>-0.72688480412013523</v>
      </c>
      <c r="X73" s="76">
        <v>-0.68476497882996445</v>
      </c>
      <c r="Y73" s="76">
        <v>-5.3203809812341518E-2</v>
      </c>
      <c r="Z73" s="76">
        <v>-5.327748383303943E-2</v>
      </c>
      <c r="AA73" s="76">
        <v>-6.4516129032258118E-2</v>
      </c>
      <c r="AB73" s="76">
        <v>-6.1658406977722069E-2</v>
      </c>
      <c r="AC73" s="76">
        <v>3.0548063341591103E-3</v>
      </c>
      <c r="AD73" s="142">
        <v>-5.9767110437377612E-2</v>
      </c>
      <c r="AE73" s="142">
        <v>-5.1109655111146492E-2</v>
      </c>
      <c r="AF73" s="142">
        <v>-6.6619245962451862E-2</v>
      </c>
    </row>
    <row r="74" spans="1:32" x14ac:dyDescent="0.35">
      <c r="A74" t="s">
        <v>203</v>
      </c>
      <c r="B74" t="s">
        <v>297</v>
      </c>
      <c r="C74" s="31">
        <v>23</v>
      </c>
      <c r="D74" s="31">
        <v>123</v>
      </c>
      <c r="E74" s="72">
        <v>26</v>
      </c>
      <c r="F74" s="31">
        <v>127</v>
      </c>
      <c r="G74" s="73">
        <v>18891.459999999995</v>
      </c>
      <c r="H74" s="31">
        <v>87107.840000000026</v>
      </c>
      <c r="I74" s="72">
        <v>6636.85</v>
      </c>
      <c r="J74" s="72">
        <v>28894.930000000109</v>
      </c>
      <c r="K74" s="31">
        <v>358.28571428571428</v>
      </c>
      <c r="L74" s="31">
        <v>3123</v>
      </c>
      <c r="M74" s="74">
        <v>13.780219780219779</v>
      </c>
      <c r="N74" s="74">
        <v>24.884615384615383</v>
      </c>
      <c r="O74" s="75">
        <v>726.59461538461517</v>
      </c>
      <c r="P74" s="75">
        <v>685.88850393700807</v>
      </c>
      <c r="Q74" s="76">
        <v>0.35131482691120758</v>
      </c>
      <c r="R74" s="76">
        <v>0.32875805385228235</v>
      </c>
      <c r="S74" s="31">
        <v>77.571428571428569</v>
      </c>
      <c r="T74" s="31"/>
      <c r="U74" s="76">
        <v>-0.88943781162801339</v>
      </c>
      <c r="V74" s="76">
        <v>-0.80314960629921262</v>
      </c>
      <c r="W74" s="76">
        <v>-0.78743049994122238</v>
      </c>
      <c r="X74" s="76">
        <v>-0.77313428982059607</v>
      </c>
      <c r="Y74" s="76">
        <v>-5.9358760837095126E-2</v>
      </c>
      <c r="Z74" s="76">
        <v>-5.0719152157456482E-2</v>
      </c>
      <c r="AA74" s="76">
        <v>0.23809523809523814</v>
      </c>
      <c r="AB74" s="76">
        <v>0.61124354678172765</v>
      </c>
      <c r="AC74" s="76">
        <v>0.30138901855447231</v>
      </c>
      <c r="AD74" s="142"/>
      <c r="AE74" s="142"/>
      <c r="AF74" s="142"/>
    </row>
    <row r="75" spans="1:32" x14ac:dyDescent="0.35">
      <c r="A75" t="s">
        <v>203</v>
      </c>
      <c r="B75" t="s">
        <v>302</v>
      </c>
      <c r="C75" s="31">
        <v>69</v>
      </c>
      <c r="D75" s="31">
        <v>77</v>
      </c>
      <c r="E75" s="72">
        <v>101</v>
      </c>
      <c r="F75" s="31">
        <v>168</v>
      </c>
      <c r="G75" s="73">
        <v>16470.220000000005</v>
      </c>
      <c r="H75" s="31">
        <v>32248.870000000014</v>
      </c>
      <c r="I75" s="72">
        <v>36.75999999999992</v>
      </c>
      <c r="J75" s="72">
        <v>11196.490000000016</v>
      </c>
      <c r="K75" s="31">
        <v>3536.2857142857142</v>
      </c>
      <c r="L75" s="31">
        <v>7044</v>
      </c>
      <c r="M75" s="74">
        <v>35.012729844413009</v>
      </c>
      <c r="N75" s="74">
        <v>43.439625850340136</v>
      </c>
      <c r="O75" s="75">
        <v>163.07148514851491</v>
      </c>
      <c r="P75" s="75">
        <v>191.95755952380961</v>
      </c>
      <c r="Q75" s="76">
        <v>2.2319070419217174E-3</v>
      </c>
      <c r="R75" s="76">
        <v>0.34719014960834321</v>
      </c>
      <c r="S75" s="31">
        <v>91</v>
      </c>
      <c r="T75" s="31"/>
      <c r="U75" s="76">
        <v>-0.50105459560314758</v>
      </c>
      <c r="V75" s="76">
        <v>-0.39880952380952384</v>
      </c>
      <c r="W75" s="76">
        <v>-0.48927760879683546</v>
      </c>
      <c r="X75" s="76">
        <v>-0.99671682822027241</v>
      </c>
      <c r="Y75" s="76">
        <v>-2.3803802872208735E-2</v>
      </c>
      <c r="Z75" s="76">
        <v>-2.2546890424481658E-2</v>
      </c>
      <c r="AA75" s="76">
        <v>-1.9417475728155331E-2</v>
      </c>
      <c r="AB75" s="76">
        <v>5.9440440237615855E-2</v>
      </c>
      <c r="AC75" s="76">
        <v>8.0419458856182402E-2</v>
      </c>
      <c r="AD75" s="142"/>
      <c r="AE75" s="142"/>
      <c r="AF75" s="142"/>
    </row>
    <row r="76" spans="1:32" x14ac:dyDescent="0.35">
      <c r="A76" t="s">
        <v>203</v>
      </c>
      <c r="B76" t="s">
        <v>342</v>
      </c>
      <c r="C76" s="31">
        <v>187</v>
      </c>
      <c r="D76" s="31"/>
      <c r="E76" s="72">
        <v>265</v>
      </c>
      <c r="F76" s="31"/>
      <c r="G76" s="73">
        <v>15830.949999999986</v>
      </c>
      <c r="H76" s="31"/>
      <c r="I76" s="72">
        <v>4841.4500000000025</v>
      </c>
      <c r="J76" s="72"/>
      <c r="K76" s="31">
        <v>1256</v>
      </c>
      <c r="L76" s="31">
        <v>4</v>
      </c>
      <c r="M76" s="74">
        <v>4.7396226415094338</v>
      </c>
      <c r="N76" s="74"/>
      <c r="O76" s="75">
        <v>59.739433962264101</v>
      </c>
      <c r="P76" s="75"/>
      <c r="Q76" s="76">
        <v>0.30582182370609512</v>
      </c>
      <c r="R76" s="76"/>
      <c r="S76" s="31"/>
      <c r="T76" s="31"/>
      <c r="U76" s="76">
        <v>231.64285714285714</v>
      </c>
      <c r="V76" s="76"/>
      <c r="W76" s="76"/>
      <c r="X76" s="76"/>
      <c r="Y76" s="76">
        <v>0.82567721751974377</v>
      </c>
      <c r="Z76" s="76">
        <v>0.8157786038826933</v>
      </c>
      <c r="AA76" s="76">
        <v>1.2844827586206895</v>
      </c>
      <c r="AB76" s="76">
        <v>1.3312246073013143</v>
      </c>
      <c r="AC76" s="76">
        <v>2.0460582818688566E-2</v>
      </c>
      <c r="AD76" s="142"/>
      <c r="AE76" s="142"/>
      <c r="AF76" s="142"/>
    </row>
    <row r="77" spans="1:32" x14ac:dyDescent="0.35">
      <c r="A77" t="s">
        <v>203</v>
      </c>
      <c r="B77" t="s">
        <v>303</v>
      </c>
      <c r="C77" s="31">
        <v>29</v>
      </c>
      <c r="D77" s="31">
        <v>17</v>
      </c>
      <c r="E77" s="72">
        <v>30</v>
      </c>
      <c r="F77" s="31">
        <v>21</v>
      </c>
      <c r="G77" s="73">
        <v>8208.0999999999967</v>
      </c>
      <c r="H77" s="31">
        <v>2633.2</v>
      </c>
      <c r="I77" s="72">
        <v>4374.54</v>
      </c>
      <c r="J77" s="72">
        <v>739.59999999999991</v>
      </c>
      <c r="K77" s="31">
        <v>1287.2857142857142</v>
      </c>
      <c r="L77" s="31">
        <v>659</v>
      </c>
      <c r="M77" s="74">
        <v>42.909523809523805</v>
      </c>
      <c r="N77" s="74">
        <v>32.156462585034014</v>
      </c>
      <c r="O77" s="75">
        <v>273.60333333333324</v>
      </c>
      <c r="P77" s="75">
        <v>125.39047619047618</v>
      </c>
      <c r="Q77" s="76">
        <v>0.53295403321109658</v>
      </c>
      <c r="R77" s="76">
        <v>0.28087498101169678</v>
      </c>
      <c r="S77" s="31">
        <v>16</v>
      </c>
      <c r="T77" s="31"/>
      <c r="U77" s="76">
        <v>0.82397572078907433</v>
      </c>
      <c r="V77" s="76">
        <v>0.33333333333333326</v>
      </c>
      <c r="W77" s="76">
        <v>1.8956364879234382</v>
      </c>
      <c r="X77" s="76">
        <v>4.4902514872904256</v>
      </c>
      <c r="Y77" s="76">
        <v>-2.6999589759328479E-2</v>
      </c>
      <c r="Z77" s="76">
        <v>-2.9509962304792636E-2</v>
      </c>
      <c r="AA77" s="76">
        <v>-0.23076923076923073</v>
      </c>
      <c r="AB77" s="76">
        <v>-0.20145658459514915</v>
      </c>
      <c r="AC77" s="76">
        <v>3.8106440026306032E-2</v>
      </c>
      <c r="AD77" s="142"/>
      <c r="AE77" s="142"/>
      <c r="AF77" s="142"/>
    </row>
    <row r="78" spans="1:32" x14ac:dyDescent="0.35">
      <c r="A78" t="s">
        <v>203</v>
      </c>
      <c r="B78" t="s">
        <v>304</v>
      </c>
      <c r="C78" s="31">
        <v>9</v>
      </c>
      <c r="D78" s="31">
        <v>11</v>
      </c>
      <c r="E78" s="72">
        <v>14</v>
      </c>
      <c r="F78" s="31">
        <v>14</v>
      </c>
      <c r="G78" s="73">
        <v>6727.4899999999989</v>
      </c>
      <c r="H78" s="31">
        <v>1488.4099999999999</v>
      </c>
      <c r="I78" s="72">
        <v>3156.53</v>
      </c>
      <c r="J78" s="72">
        <v>817.25999999999988</v>
      </c>
      <c r="K78" s="31">
        <v>151</v>
      </c>
      <c r="L78" s="31">
        <v>303.28571428571428</v>
      </c>
      <c r="M78" s="74">
        <v>10.785714285714286</v>
      </c>
      <c r="N78" s="74">
        <v>23.30612244897959</v>
      </c>
      <c r="O78" s="75">
        <v>480.53499999999991</v>
      </c>
      <c r="P78" s="75">
        <v>106.31499999999998</v>
      </c>
      <c r="Q78" s="76">
        <v>0.46919876506691216</v>
      </c>
      <c r="R78" s="76">
        <v>0.54908257805309013</v>
      </c>
      <c r="S78" s="31">
        <v>42</v>
      </c>
      <c r="T78" s="31"/>
      <c r="U78" s="76">
        <v>-0.57183231276495516</v>
      </c>
      <c r="V78" s="76">
        <v>-0.1428571428571429</v>
      </c>
      <c r="W78" s="76">
        <v>3.407952109969699</v>
      </c>
      <c r="X78" s="76">
        <v>2.8664317353106719</v>
      </c>
      <c r="Y78" s="76">
        <v>-5.1141712880832246E-2</v>
      </c>
      <c r="Z78" s="76">
        <v>-0.13360655737704918</v>
      </c>
      <c r="AA78" s="76">
        <v>-0.6216216216216216</v>
      </c>
      <c r="AB78" s="76">
        <v>1.6143332905868313</v>
      </c>
      <c r="AC78" s="76">
        <v>5.9093094108366255</v>
      </c>
      <c r="AD78" s="142"/>
      <c r="AE78" s="142"/>
      <c r="AF78" s="142"/>
    </row>
    <row r="79" spans="1:32" x14ac:dyDescent="0.35">
      <c r="A79" t="s">
        <v>203</v>
      </c>
      <c r="B79" t="s">
        <v>301</v>
      </c>
      <c r="C79" s="31">
        <v>26</v>
      </c>
      <c r="D79" s="31">
        <v>48</v>
      </c>
      <c r="E79" s="72">
        <v>135</v>
      </c>
      <c r="F79" s="31">
        <v>102</v>
      </c>
      <c r="G79" s="73">
        <v>6693.909999999998</v>
      </c>
      <c r="H79" s="31">
        <v>13857.219999999996</v>
      </c>
      <c r="I79" s="72">
        <v>1247.8699999999999</v>
      </c>
      <c r="J79" s="72">
        <v>4845.6599999999962</v>
      </c>
      <c r="K79" s="31">
        <v>2542.1428571428573</v>
      </c>
      <c r="L79" s="31">
        <v>6793.2857142857147</v>
      </c>
      <c r="M79" s="74">
        <v>18.830687830687832</v>
      </c>
      <c r="N79" s="74">
        <v>66.95054945054946</v>
      </c>
      <c r="O79" s="75">
        <v>49.584518518518507</v>
      </c>
      <c r="P79" s="75">
        <v>135.85509803921565</v>
      </c>
      <c r="Q79" s="76">
        <v>0.18641869998252147</v>
      </c>
      <c r="R79" s="76">
        <v>0.339081420939012</v>
      </c>
      <c r="S79" s="31">
        <v>92.285714285714292</v>
      </c>
      <c r="T79" s="31"/>
      <c r="U79" s="76">
        <v>-0.62700565684604559</v>
      </c>
      <c r="V79" s="76">
        <v>0.32352941176470584</v>
      </c>
      <c r="W79" s="76">
        <v>-0.51693701911350187</v>
      </c>
      <c r="X79" s="76">
        <v>-0.73514660780422592</v>
      </c>
      <c r="Y79" s="76">
        <v>-4.7258342756014149E-2</v>
      </c>
      <c r="Z79" s="76">
        <v>-4.9716971056285364E-2</v>
      </c>
      <c r="AA79" s="76">
        <v>2.13953488372093</v>
      </c>
      <c r="AB79" s="76">
        <v>0.74413684388801249</v>
      </c>
      <c r="AC79" s="76">
        <v>-0.44446011639122562</v>
      </c>
      <c r="AD79" s="142"/>
      <c r="AE79" s="142"/>
      <c r="AF79" s="142"/>
    </row>
    <row r="80" spans="1:32" x14ac:dyDescent="0.35">
      <c r="A80" t="s">
        <v>203</v>
      </c>
      <c r="B80" t="s">
        <v>759</v>
      </c>
      <c r="C80" s="31">
        <v>12</v>
      </c>
      <c r="D80" s="31"/>
      <c r="E80" s="72">
        <v>13</v>
      </c>
      <c r="F80" s="31"/>
      <c r="G80" s="73">
        <v>3049.869999999999</v>
      </c>
      <c r="H80" s="31"/>
      <c r="I80" s="72">
        <v>685.31</v>
      </c>
      <c r="J80" s="72"/>
      <c r="K80" s="31">
        <v>35.857142857142854</v>
      </c>
      <c r="L80" s="31"/>
      <c r="M80" s="74">
        <v>2.7582417582417582</v>
      </c>
      <c r="N80" s="74"/>
      <c r="O80" s="75">
        <v>234.60538461538454</v>
      </c>
      <c r="P80" s="75"/>
      <c r="Q80" s="76">
        <v>0.22470138071458789</v>
      </c>
      <c r="R80" s="76"/>
      <c r="S80" s="31"/>
      <c r="T80" s="31"/>
      <c r="U80" s="76"/>
      <c r="V80" s="76"/>
      <c r="W80" s="76"/>
      <c r="X80" s="76"/>
      <c r="Y80" s="76">
        <v>-0.25228704881895647</v>
      </c>
      <c r="Z80" s="76">
        <v>-0.23006134969325154</v>
      </c>
      <c r="AA80" s="76">
        <v>3.333333333333333</v>
      </c>
      <c r="AB80" s="76">
        <v>1.904748752333421</v>
      </c>
      <c r="AC80" s="76">
        <v>-0.32967336484613363</v>
      </c>
      <c r="AD80" s="142"/>
      <c r="AE80" s="142"/>
      <c r="AF80" s="142"/>
    </row>
    <row r="81" spans="1:32" x14ac:dyDescent="0.35">
      <c r="A81" t="s">
        <v>203</v>
      </c>
      <c r="B81" t="s">
        <v>300</v>
      </c>
      <c r="C81" s="31">
        <v>5</v>
      </c>
      <c r="D81" s="31">
        <v>99</v>
      </c>
      <c r="E81" s="72">
        <v>5</v>
      </c>
      <c r="F81" s="31">
        <v>121</v>
      </c>
      <c r="G81" s="73">
        <v>833.3</v>
      </c>
      <c r="H81" s="31">
        <v>32085.330000000031</v>
      </c>
      <c r="I81" s="72">
        <v>108.3</v>
      </c>
      <c r="J81" s="72">
        <v>14173.900000000023</v>
      </c>
      <c r="K81" s="31">
        <v>182.85714285714286</v>
      </c>
      <c r="L81" s="31">
        <v>2161.1428571428573</v>
      </c>
      <c r="M81" s="74">
        <v>36.571428571428569</v>
      </c>
      <c r="N81" s="74">
        <v>18.259953161592506</v>
      </c>
      <c r="O81" s="75">
        <v>166.66</v>
      </c>
      <c r="P81" s="75">
        <v>265.16801652892588</v>
      </c>
      <c r="Q81" s="76">
        <v>0.12996519860794431</v>
      </c>
      <c r="R81" s="76">
        <v>0.43902009923398627</v>
      </c>
      <c r="S81" s="31">
        <v>149</v>
      </c>
      <c r="T81" s="31"/>
      <c r="U81" s="76">
        <v>-0.92133791644632468</v>
      </c>
      <c r="V81" s="76">
        <v>-0.95867768595041325</v>
      </c>
      <c r="W81" s="76">
        <v>-0.97402862928322698</v>
      </c>
      <c r="X81" s="76">
        <v>-0.99232944162867986</v>
      </c>
      <c r="Y81" s="76">
        <v>-7.0518955435447173E-2</v>
      </c>
      <c r="Z81" s="76">
        <v>-7.1117561683599395E-2</v>
      </c>
      <c r="AA81" s="76">
        <v>-0.61538461538461542</v>
      </c>
      <c r="AB81" s="76">
        <v>-0.6491235457343647</v>
      </c>
      <c r="AC81" s="76">
        <v>-8.7721218909348253E-2</v>
      </c>
      <c r="AD81" s="142"/>
      <c r="AE81" s="142"/>
      <c r="AF81" s="142"/>
    </row>
    <row r="82" spans="1:32" x14ac:dyDescent="0.35">
      <c r="A82" t="s">
        <v>203</v>
      </c>
      <c r="B82" t="s">
        <v>760</v>
      </c>
      <c r="C82" s="31">
        <v>2</v>
      </c>
      <c r="D82" s="31"/>
      <c r="E82" s="72">
        <v>3</v>
      </c>
      <c r="F82" s="31"/>
      <c r="G82" s="73">
        <v>791.62</v>
      </c>
      <c r="H82" s="31"/>
      <c r="I82" s="72">
        <v>240.01</v>
      </c>
      <c r="J82" s="72"/>
      <c r="K82" s="31">
        <v>45.285714285714285</v>
      </c>
      <c r="L82" s="31"/>
      <c r="M82" s="74">
        <v>15.095238095238095</v>
      </c>
      <c r="N82" s="74"/>
      <c r="O82" s="75">
        <v>263.87333333333333</v>
      </c>
      <c r="P82" s="75"/>
      <c r="Q82" s="76">
        <v>0.3031883984740153</v>
      </c>
      <c r="R82" s="76"/>
      <c r="S82" s="31"/>
      <c r="T82" s="31"/>
      <c r="U82" s="76"/>
      <c r="V82" s="76"/>
      <c r="W82" s="76"/>
      <c r="X82" s="76"/>
      <c r="Y82" s="76">
        <v>-0.12049976175711563</v>
      </c>
      <c r="Z82" s="76">
        <v>-0.11204481792717091</v>
      </c>
      <c r="AA82" s="76">
        <v>-0.5</v>
      </c>
      <c r="AB82" s="76">
        <v>-0.36667866714668584</v>
      </c>
      <c r="AC82" s="76">
        <v>0.26664266570662809</v>
      </c>
      <c r="AD82" s="142"/>
      <c r="AE82" s="142"/>
      <c r="AF82" s="142"/>
    </row>
    <row r="83" spans="1:32" x14ac:dyDescent="0.35">
      <c r="A83" t="s">
        <v>203</v>
      </c>
      <c r="B83" t="s">
        <v>306</v>
      </c>
      <c r="C83" s="31">
        <v>2</v>
      </c>
      <c r="D83" s="31">
        <v>2</v>
      </c>
      <c r="E83" s="72">
        <v>6</v>
      </c>
      <c r="F83" s="31">
        <v>12</v>
      </c>
      <c r="G83" s="73">
        <v>416.61</v>
      </c>
      <c r="H83" s="31">
        <v>469.88</v>
      </c>
      <c r="I83" s="72">
        <v>323.41000000000003</v>
      </c>
      <c r="J83" s="72">
        <v>249.74</v>
      </c>
      <c r="K83" s="31">
        <v>27.285714285714285</v>
      </c>
      <c r="L83" s="31">
        <v>198.14285714285714</v>
      </c>
      <c r="M83" s="74">
        <v>4.5476190476190474</v>
      </c>
      <c r="N83" s="74">
        <v>18.595238095238095</v>
      </c>
      <c r="O83" s="75">
        <v>69.435000000000002</v>
      </c>
      <c r="P83" s="75">
        <v>39.156666666666666</v>
      </c>
      <c r="Q83" s="76">
        <v>0.77628957538225207</v>
      </c>
      <c r="R83" s="76">
        <v>0.5314974035924066</v>
      </c>
      <c r="S83" s="31">
        <v>91</v>
      </c>
      <c r="T83" s="31"/>
      <c r="U83" s="76">
        <v>-0.85219899062725313</v>
      </c>
      <c r="V83" s="76">
        <v>-0.5</v>
      </c>
      <c r="W83" s="76">
        <v>-0.11336937090320931</v>
      </c>
      <c r="X83" s="76">
        <v>0.29498678625770802</v>
      </c>
      <c r="Y83" s="76">
        <v>-4.8302365148738091E-2</v>
      </c>
      <c r="Z83" s="76">
        <v>-6.3725490196078427E-2</v>
      </c>
      <c r="AA83" s="76"/>
      <c r="AB83" s="76"/>
      <c r="AC83" s="76"/>
      <c r="AD83" s="142"/>
      <c r="AE83" s="142"/>
      <c r="AF83" s="142"/>
    </row>
    <row r="84" spans="1:32" x14ac:dyDescent="0.35">
      <c r="A84" t="s">
        <v>203</v>
      </c>
      <c r="B84" t="s">
        <v>762</v>
      </c>
      <c r="C84" s="31">
        <v>2</v>
      </c>
      <c r="D84" s="31"/>
      <c r="E84" s="72">
        <v>3</v>
      </c>
      <c r="F84" s="31"/>
      <c r="G84" s="73">
        <v>324.98</v>
      </c>
      <c r="H84" s="31"/>
      <c r="I84" s="72">
        <v>121.85</v>
      </c>
      <c r="J84" s="72"/>
      <c r="K84" s="31">
        <v>32.428571428571431</v>
      </c>
      <c r="L84" s="31"/>
      <c r="M84" s="74">
        <v>10.80952380952381</v>
      </c>
      <c r="N84" s="74"/>
      <c r="O84" s="75">
        <v>108.32666666666667</v>
      </c>
      <c r="P84" s="75"/>
      <c r="Q84" s="76">
        <v>0.37494615053234043</v>
      </c>
      <c r="R84" s="76"/>
      <c r="S84" s="31"/>
      <c r="T84" s="31"/>
      <c r="U84" s="76"/>
      <c r="V84" s="76"/>
      <c r="W84" s="76"/>
      <c r="X84" s="76"/>
      <c r="Y84" s="76">
        <v>-1.7316017316017396E-2</v>
      </c>
      <c r="Z84" s="76">
        <v>-1.7316017316017285E-2</v>
      </c>
      <c r="AA84" s="76"/>
      <c r="AB84" s="76"/>
      <c r="AC84" s="76"/>
      <c r="AD84" s="142"/>
      <c r="AE84" s="142"/>
      <c r="AF84" s="142"/>
    </row>
    <row r="85" spans="1:32" x14ac:dyDescent="0.35">
      <c r="A85" t="s">
        <v>203</v>
      </c>
      <c r="B85" t="s">
        <v>308</v>
      </c>
      <c r="C85" s="31">
        <v>2</v>
      </c>
      <c r="D85" s="31">
        <v>6</v>
      </c>
      <c r="E85" s="72">
        <v>2</v>
      </c>
      <c r="F85" s="31">
        <v>8</v>
      </c>
      <c r="G85" s="73">
        <v>133.32</v>
      </c>
      <c r="H85" s="31">
        <v>437.43000000000006</v>
      </c>
      <c r="I85" s="72">
        <v>61.72</v>
      </c>
      <c r="J85" s="72">
        <v>127.90000000000009</v>
      </c>
      <c r="K85" s="31">
        <v>33.714285714285715</v>
      </c>
      <c r="L85" s="31">
        <v>194.14285714285714</v>
      </c>
      <c r="M85" s="74">
        <v>16.857142857142858</v>
      </c>
      <c r="N85" s="74">
        <v>24.428571428571427</v>
      </c>
      <c r="O85" s="75">
        <v>66.66</v>
      </c>
      <c r="P85" s="75">
        <v>54.678750000000008</v>
      </c>
      <c r="Q85" s="76">
        <v>0.46294629462946296</v>
      </c>
      <c r="R85" s="76">
        <v>0.29238963948517493</v>
      </c>
      <c r="S85" s="31">
        <v>18</v>
      </c>
      <c r="T85" s="31"/>
      <c r="U85" s="76">
        <v>-0.82634289919058124</v>
      </c>
      <c r="V85" s="76">
        <v>-0.75</v>
      </c>
      <c r="W85" s="76">
        <v>-0.69521980659762717</v>
      </c>
      <c r="X85" s="76">
        <v>-0.51743549648162657</v>
      </c>
      <c r="Y85" s="76">
        <v>-0.10544615854157091</v>
      </c>
      <c r="Z85" s="76">
        <v>-0.10266159695817478</v>
      </c>
      <c r="AA85" s="76">
        <v>-0.5</v>
      </c>
      <c r="AB85" s="76">
        <v>-0.5</v>
      </c>
      <c r="AC85" s="76">
        <v>0</v>
      </c>
      <c r="AD85" s="142"/>
      <c r="AE85" s="142"/>
      <c r="AF85" s="142"/>
    </row>
    <row r="86" spans="1:32" x14ac:dyDescent="0.35">
      <c r="A86" t="s">
        <v>203</v>
      </c>
      <c r="B86" t="s">
        <v>316</v>
      </c>
      <c r="C86" s="31">
        <v>1</v>
      </c>
      <c r="D86" s="31">
        <v>1</v>
      </c>
      <c r="E86" s="72">
        <v>1</v>
      </c>
      <c r="F86" s="31">
        <v>1</v>
      </c>
      <c r="G86" s="73">
        <v>45.45</v>
      </c>
      <c r="H86" s="31">
        <v>41.72</v>
      </c>
      <c r="I86" s="72">
        <v>18.13</v>
      </c>
      <c r="J86" s="72">
        <v>12.279999999999998</v>
      </c>
      <c r="K86" s="31">
        <v>2.5714285714285716</v>
      </c>
      <c r="L86" s="31">
        <v>11.285714285714286</v>
      </c>
      <c r="M86" s="74">
        <v>2.5714285714285716</v>
      </c>
      <c r="N86" s="74">
        <v>11.285714285714286</v>
      </c>
      <c r="O86" s="75">
        <v>45.45</v>
      </c>
      <c r="P86" s="75">
        <v>41.72</v>
      </c>
      <c r="Q86" s="76">
        <v>0.39889988998899883</v>
      </c>
      <c r="R86" s="76">
        <v>0.29434324065196543</v>
      </c>
      <c r="S86" s="31">
        <v>1</v>
      </c>
      <c r="T86" s="31"/>
      <c r="U86" s="76">
        <v>-0.86075949367088611</v>
      </c>
      <c r="V86" s="76">
        <v>0</v>
      </c>
      <c r="W86" s="76">
        <v>8.9405560882070967E-2</v>
      </c>
      <c r="X86" s="76">
        <v>0.47638436482084745</v>
      </c>
      <c r="Y86" s="76">
        <v>-7.3968782574557634E-2</v>
      </c>
      <c r="Z86" s="76">
        <v>-9.9999999999999978E-2</v>
      </c>
      <c r="AA86" s="76"/>
      <c r="AB86" s="76"/>
      <c r="AC86" s="76"/>
      <c r="AD86" s="142"/>
      <c r="AE86" s="142"/>
      <c r="AF86" s="142"/>
    </row>
    <row r="87" spans="1:32" x14ac:dyDescent="0.35">
      <c r="A87" t="s">
        <v>203</v>
      </c>
      <c r="B87" t="s">
        <v>761</v>
      </c>
      <c r="C87" s="31">
        <v>1</v>
      </c>
      <c r="D87" s="31"/>
      <c r="E87" s="72">
        <v>1</v>
      </c>
      <c r="F87" s="31"/>
      <c r="G87" s="73">
        <v>29.08</v>
      </c>
      <c r="H87" s="31"/>
      <c r="I87" s="72">
        <v>3.17</v>
      </c>
      <c r="J87" s="72"/>
      <c r="K87" s="31">
        <v>111.85714285714286</v>
      </c>
      <c r="L87" s="31"/>
      <c r="M87" s="74">
        <v>111.85714285714286</v>
      </c>
      <c r="N87" s="74"/>
      <c r="O87" s="75">
        <v>29.08</v>
      </c>
      <c r="P87" s="75"/>
      <c r="Q87" s="76">
        <v>0.10900962861072903</v>
      </c>
      <c r="R87" s="76"/>
      <c r="S87" s="31"/>
      <c r="T87" s="31"/>
      <c r="U87" s="76"/>
      <c r="V87" s="76"/>
      <c r="W87" s="76"/>
      <c r="X87" s="76"/>
      <c r="Y87" s="76">
        <v>-1.2755102040818977E-3</v>
      </c>
      <c r="Z87" s="76">
        <v>-1.2755102040815647E-3</v>
      </c>
      <c r="AA87" s="76">
        <v>-0.5</v>
      </c>
      <c r="AB87" s="76">
        <v>-0.60000000000000009</v>
      </c>
      <c r="AC87" s="76">
        <v>-0.20000000000000007</v>
      </c>
      <c r="AD87" s="142"/>
      <c r="AE87" s="142"/>
      <c r="AF87" s="142"/>
    </row>
    <row r="88" spans="1:32" x14ac:dyDescent="0.35">
      <c r="A88" t="s">
        <v>203</v>
      </c>
      <c r="B88" t="s">
        <v>314</v>
      </c>
      <c r="C88" s="31">
        <v>1</v>
      </c>
      <c r="D88" s="31"/>
      <c r="E88" s="72">
        <v>1</v>
      </c>
      <c r="F88" s="31"/>
      <c r="G88" s="73">
        <v>20.82</v>
      </c>
      <c r="H88" s="31"/>
      <c r="I88" s="72">
        <v>1.58</v>
      </c>
      <c r="J88" s="72"/>
      <c r="K88" s="31">
        <v>-2.5714285714285716</v>
      </c>
      <c r="L88" s="31">
        <v>13</v>
      </c>
      <c r="M88" s="74">
        <v>-2.5714285714285716</v>
      </c>
      <c r="N88" s="74"/>
      <c r="O88" s="75">
        <v>20.82</v>
      </c>
      <c r="P88" s="75"/>
      <c r="Q88" s="76">
        <v>7.5888568683957741E-2</v>
      </c>
      <c r="R88" s="76"/>
      <c r="S88" s="31">
        <v>13</v>
      </c>
      <c r="T88" s="31"/>
      <c r="U88" s="76">
        <v>-0.69230769230769229</v>
      </c>
      <c r="V88" s="76"/>
      <c r="W88" s="76"/>
      <c r="X88" s="76"/>
      <c r="Y88" s="76">
        <v>0.28571428571428514</v>
      </c>
      <c r="Z88" s="76">
        <v>0.28571428571428581</v>
      </c>
      <c r="AA88" s="76"/>
      <c r="AB88" s="76"/>
      <c r="AC88" s="76"/>
      <c r="AD88" s="142"/>
      <c r="AE88" s="142"/>
      <c r="AF88" s="142"/>
    </row>
    <row r="89" spans="1:32" x14ac:dyDescent="0.35">
      <c r="A89" t="s">
        <v>203</v>
      </c>
      <c r="B89" t="s">
        <v>336</v>
      </c>
      <c r="C89" s="31"/>
      <c r="D89" s="31"/>
      <c r="E89" s="72"/>
      <c r="F89" s="31"/>
      <c r="G89" s="73"/>
      <c r="H89" s="31"/>
      <c r="I89" s="72"/>
      <c r="J89" s="72"/>
      <c r="K89" s="31"/>
      <c r="L89" s="31">
        <v>1</v>
      </c>
      <c r="M89" s="74"/>
      <c r="N89" s="74"/>
      <c r="O89" s="75"/>
      <c r="P89" s="75"/>
      <c r="Q89" s="76"/>
      <c r="R89" s="76"/>
      <c r="S89" s="31"/>
      <c r="T89" s="31"/>
      <c r="U89" s="76"/>
      <c r="V89" s="76"/>
      <c r="W89" s="76"/>
      <c r="X89" s="76"/>
      <c r="Y89" s="76"/>
      <c r="Z89" s="76"/>
      <c r="AA89" s="76"/>
      <c r="AB89" s="76"/>
      <c r="AC89" s="76"/>
      <c r="AD89" s="142"/>
      <c r="AE89" s="142"/>
      <c r="AF89" s="142"/>
    </row>
    <row r="90" spans="1:32" x14ac:dyDescent="0.35">
      <c r="A90" t="s">
        <v>203</v>
      </c>
      <c r="B90" t="s">
        <v>339</v>
      </c>
      <c r="C90" s="31"/>
      <c r="D90" s="31"/>
      <c r="E90" s="72"/>
      <c r="F90" s="31"/>
      <c r="G90" s="73"/>
      <c r="H90" s="31"/>
      <c r="I90" s="72"/>
      <c r="J90" s="72"/>
      <c r="K90" s="31">
        <v>0</v>
      </c>
      <c r="L90" s="31">
        <v>4</v>
      </c>
      <c r="M90" s="74"/>
      <c r="N90" s="74"/>
      <c r="O90" s="75"/>
      <c r="P90" s="75"/>
      <c r="Q90" s="76"/>
      <c r="R90" s="76"/>
      <c r="S90" s="31">
        <v>4.1428571428571432</v>
      </c>
      <c r="T90" s="31"/>
      <c r="U90" s="76"/>
      <c r="V90" s="76"/>
      <c r="W90" s="76"/>
      <c r="X90" s="76"/>
      <c r="Y90" s="76">
        <v>-1</v>
      </c>
      <c r="Z90" s="76">
        <v>-1</v>
      </c>
      <c r="AA90" s="76"/>
      <c r="AB90" s="76"/>
      <c r="AC90" s="76"/>
      <c r="AD90" s="142"/>
      <c r="AE90" s="142"/>
      <c r="AF90" s="142"/>
    </row>
    <row r="91" spans="1:32" x14ac:dyDescent="0.35">
      <c r="A91" t="s">
        <v>203</v>
      </c>
      <c r="B91" t="s">
        <v>305</v>
      </c>
      <c r="C91" s="31"/>
      <c r="D91" s="31">
        <v>3</v>
      </c>
      <c r="E91" s="72"/>
      <c r="F91" s="31">
        <v>3</v>
      </c>
      <c r="G91" s="73"/>
      <c r="H91" s="31">
        <v>939.99</v>
      </c>
      <c r="I91" s="72"/>
      <c r="J91" s="72">
        <v>270.88</v>
      </c>
      <c r="K91" s="31">
        <v>14</v>
      </c>
      <c r="L91" s="31">
        <v>39.285714285714285</v>
      </c>
      <c r="M91" s="74"/>
      <c r="N91" s="74">
        <v>13.095238095238095</v>
      </c>
      <c r="O91" s="75"/>
      <c r="P91" s="75">
        <v>313.33</v>
      </c>
      <c r="Q91" s="76"/>
      <c r="R91" s="76">
        <v>0.28817327843913232</v>
      </c>
      <c r="S91" s="31">
        <v>17</v>
      </c>
      <c r="T91" s="31"/>
      <c r="U91" s="76">
        <v>-0.64363636363636356</v>
      </c>
      <c r="V91" s="76"/>
      <c r="W91" s="76"/>
      <c r="X91" s="76"/>
      <c r="Y91" s="76">
        <v>-3.6251597345404174E-2</v>
      </c>
      <c r="Z91" s="76">
        <v>-3.9215686274509776E-2</v>
      </c>
      <c r="AA91" s="76"/>
      <c r="AB91" s="76"/>
      <c r="AC91" s="76"/>
      <c r="AD91" s="142"/>
      <c r="AE91" s="142"/>
      <c r="AF91" s="142"/>
    </row>
    <row r="92" spans="1:32" x14ac:dyDescent="0.35">
      <c r="A92" t="s">
        <v>203</v>
      </c>
      <c r="B92" t="s">
        <v>310</v>
      </c>
      <c r="C92" s="31"/>
      <c r="D92" s="31"/>
      <c r="E92" s="72"/>
      <c r="F92" s="31"/>
      <c r="G92" s="73"/>
      <c r="H92" s="31"/>
      <c r="I92" s="72"/>
      <c r="J92" s="72"/>
      <c r="K92" s="31"/>
      <c r="L92" s="31">
        <v>4</v>
      </c>
      <c r="M92" s="74"/>
      <c r="N92" s="74"/>
      <c r="O92" s="75"/>
      <c r="P92" s="75"/>
      <c r="Q92" s="76"/>
      <c r="R92" s="76"/>
      <c r="S92" s="31">
        <v>3</v>
      </c>
      <c r="T92" s="31"/>
      <c r="U92" s="76"/>
      <c r="V92" s="76"/>
      <c r="W92" s="76"/>
      <c r="X92" s="76"/>
      <c r="Y92" s="76"/>
      <c r="Z92" s="76"/>
      <c r="AA92" s="76"/>
      <c r="AB92" s="76"/>
      <c r="AC92" s="76"/>
      <c r="AD92" s="142"/>
      <c r="AE92" s="142"/>
      <c r="AF92" s="142"/>
    </row>
    <row r="93" spans="1:32" x14ac:dyDescent="0.35">
      <c r="A93" t="s">
        <v>203</v>
      </c>
      <c r="B93" t="s">
        <v>321</v>
      </c>
      <c r="C93" s="31"/>
      <c r="D93" s="31"/>
      <c r="E93" s="72"/>
      <c r="F93" s="31"/>
      <c r="G93" s="73"/>
      <c r="H93" s="31"/>
      <c r="I93" s="72"/>
      <c r="J93" s="72"/>
      <c r="K93" s="31">
        <v>-1</v>
      </c>
      <c r="L93" s="31">
        <v>6</v>
      </c>
      <c r="M93" s="74"/>
      <c r="N93" s="74"/>
      <c r="O93" s="75"/>
      <c r="P93" s="75"/>
      <c r="Q93" s="76"/>
      <c r="R93" s="76"/>
      <c r="S93" s="31">
        <v>1</v>
      </c>
      <c r="T93" s="31"/>
      <c r="U93" s="76">
        <v>-1.1666666666666667</v>
      </c>
      <c r="V93" s="76"/>
      <c r="W93" s="76"/>
      <c r="X93" s="76"/>
      <c r="Y93" s="76">
        <v>6.0000000000000009</v>
      </c>
      <c r="Z93" s="76">
        <v>6</v>
      </c>
      <c r="AA93" s="76"/>
      <c r="AB93" s="76"/>
      <c r="AC93" s="76"/>
      <c r="AD93" s="142"/>
      <c r="AE93" s="142"/>
      <c r="AF93" s="142"/>
    </row>
    <row r="94" spans="1:32" x14ac:dyDescent="0.35">
      <c r="A94" t="s">
        <v>203</v>
      </c>
      <c r="B94" t="s">
        <v>320</v>
      </c>
      <c r="C94" s="31"/>
      <c r="D94" s="31"/>
      <c r="E94" s="72"/>
      <c r="F94" s="31"/>
      <c r="G94" s="73"/>
      <c r="H94" s="31"/>
      <c r="I94" s="72"/>
      <c r="J94" s="72"/>
      <c r="K94" s="31">
        <v>-1</v>
      </c>
      <c r="L94" s="31">
        <v>19.285714285714285</v>
      </c>
      <c r="M94" s="74"/>
      <c r="N94" s="74"/>
      <c r="O94" s="75"/>
      <c r="P94" s="75"/>
      <c r="Q94" s="76"/>
      <c r="R94" s="76"/>
      <c r="S94" s="31">
        <v>1</v>
      </c>
      <c r="T94" s="31"/>
      <c r="U94" s="76">
        <v>-1.0518518518518518</v>
      </c>
      <c r="V94" s="76"/>
      <c r="W94" s="76"/>
      <c r="X94" s="76"/>
      <c r="Y94" s="76">
        <v>0</v>
      </c>
      <c r="Z94" s="76">
        <v>0</v>
      </c>
      <c r="AA94" s="76"/>
      <c r="AB94" s="76"/>
      <c r="AC94" s="76"/>
      <c r="AD94" s="142"/>
      <c r="AE94" s="142"/>
      <c r="AF94" s="142"/>
    </row>
    <row r="95" spans="1:32" x14ac:dyDescent="0.35">
      <c r="A95" t="s">
        <v>203</v>
      </c>
      <c r="B95" t="s">
        <v>311</v>
      </c>
      <c r="C95" s="31"/>
      <c r="D95" s="31">
        <v>1</v>
      </c>
      <c r="E95" s="72"/>
      <c r="F95" s="31">
        <v>1</v>
      </c>
      <c r="G95" s="73"/>
      <c r="H95" s="31">
        <v>291.67</v>
      </c>
      <c r="I95" s="72"/>
      <c r="J95" s="72">
        <v>96.050000000000011</v>
      </c>
      <c r="K95" s="31">
        <v>11</v>
      </c>
      <c r="L95" s="31">
        <v>1</v>
      </c>
      <c r="M95" s="74"/>
      <c r="N95" s="74">
        <v>0.8571428571428571</v>
      </c>
      <c r="O95" s="75"/>
      <c r="P95" s="75">
        <v>291.67</v>
      </c>
      <c r="Q95" s="76"/>
      <c r="R95" s="76">
        <v>0.32931052216546097</v>
      </c>
      <c r="S95" s="31"/>
      <c r="T95" s="31"/>
      <c r="U95" s="76">
        <v>2</v>
      </c>
      <c r="V95" s="76"/>
      <c r="W95" s="76"/>
      <c r="X95" s="76"/>
      <c r="Y95" s="76">
        <v>0</v>
      </c>
      <c r="Z95" s="76">
        <v>0</v>
      </c>
      <c r="AA95" s="76"/>
      <c r="AB95" s="76"/>
      <c r="AC95" s="76"/>
      <c r="AD95" s="142"/>
      <c r="AE95" s="142"/>
      <c r="AF95" s="142"/>
    </row>
    <row r="96" spans="1:32" x14ac:dyDescent="0.35">
      <c r="A96" t="s">
        <v>203</v>
      </c>
      <c r="B96" t="s">
        <v>330</v>
      </c>
      <c r="C96" s="31"/>
      <c r="D96" s="31"/>
      <c r="E96" s="72"/>
      <c r="F96" s="31"/>
      <c r="G96" s="73"/>
      <c r="H96" s="31"/>
      <c r="I96" s="72"/>
      <c r="J96" s="72"/>
      <c r="K96" s="31"/>
      <c r="L96" s="31">
        <v>-1</v>
      </c>
      <c r="M96" s="74"/>
      <c r="N96" s="74"/>
      <c r="O96" s="75"/>
      <c r="P96" s="75"/>
      <c r="Q96" s="76"/>
      <c r="R96" s="76"/>
      <c r="S96" s="31"/>
      <c r="T96" s="31"/>
      <c r="U96" s="76"/>
      <c r="V96" s="76"/>
      <c r="W96" s="76"/>
      <c r="X96" s="76"/>
      <c r="Y96" s="76"/>
      <c r="Z96" s="76"/>
      <c r="AA96" s="76"/>
      <c r="AB96" s="76"/>
      <c r="AC96" s="76"/>
      <c r="AD96" s="142"/>
      <c r="AE96" s="142"/>
      <c r="AF96" s="142"/>
    </row>
    <row r="97" spans="1:32" x14ac:dyDescent="0.35">
      <c r="A97" t="s">
        <v>203</v>
      </c>
      <c r="B97" t="s">
        <v>309</v>
      </c>
      <c r="C97" s="31"/>
      <c r="D97" s="31">
        <v>5</v>
      </c>
      <c r="E97" s="72"/>
      <c r="F97" s="31">
        <v>5</v>
      </c>
      <c r="G97" s="73"/>
      <c r="H97" s="31">
        <v>436.65</v>
      </c>
      <c r="I97" s="72"/>
      <c r="J97" s="72">
        <v>61.769999999999982</v>
      </c>
      <c r="K97" s="31">
        <v>12</v>
      </c>
      <c r="L97" s="31">
        <v>30</v>
      </c>
      <c r="M97" s="74"/>
      <c r="N97" s="74">
        <v>6</v>
      </c>
      <c r="O97" s="75"/>
      <c r="P97" s="75">
        <v>87.33</v>
      </c>
      <c r="Q97" s="76"/>
      <c r="R97" s="76">
        <v>0.1414634146341463</v>
      </c>
      <c r="S97" s="31">
        <v>10.857142857142858</v>
      </c>
      <c r="T97" s="31"/>
      <c r="U97" s="76">
        <v>-0.66666666666666674</v>
      </c>
      <c r="V97" s="76"/>
      <c r="W97" s="76"/>
      <c r="X97" s="76"/>
      <c r="Y97" s="76">
        <v>2.6512154929545506E-3</v>
      </c>
      <c r="Z97" s="76">
        <v>0</v>
      </c>
      <c r="AA97" s="76"/>
      <c r="AB97" s="76"/>
      <c r="AC97" s="76"/>
      <c r="AD97" s="142"/>
      <c r="AE97" s="142"/>
      <c r="AF97" s="142"/>
    </row>
    <row r="98" spans="1:32" x14ac:dyDescent="0.35">
      <c r="A98" t="s">
        <v>203</v>
      </c>
      <c r="B98" t="s">
        <v>332</v>
      </c>
      <c r="C98" s="31"/>
      <c r="D98" s="31"/>
      <c r="E98" s="72"/>
      <c r="F98" s="31"/>
      <c r="G98" s="73"/>
      <c r="H98" s="31"/>
      <c r="I98" s="72"/>
      <c r="J98" s="72"/>
      <c r="K98" s="31"/>
      <c r="L98" s="31">
        <v>1</v>
      </c>
      <c r="M98" s="74"/>
      <c r="N98" s="74"/>
      <c r="O98" s="75"/>
      <c r="P98" s="75"/>
      <c r="Q98" s="76"/>
      <c r="R98" s="76"/>
      <c r="S98" s="31"/>
      <c r="T98" s="31"/>
      <c r="U98" s="76"/>
      <c r="V98" s="76"/>
      <c r="W98" s="76"/>
      <c r="X98" s="76"/>
      <c r="Y98" s="76"/>
      <c r="Z98" s="76"/>
      <c r="AA98" s="76"/>
      <c r="AB98" s="76"/>
      <c r="AC98" s="76"/>
      <c r="AD98" s="142"/>
      <c r="AE98" s="142"/>
      <c r="AF98" s="142"/>
    </row>
    <row r="99" spans="1:32" x14ac:dyDescent="0.35">
      <c r="A99" t="s">
        <v>203</v>
      </c>
      <c r="B99" t="s">
        <v>313</v>
      </c>
      <c r="C99" s="31"/>
      <c r="D99" s="31">
        <v>1</v>
      </c>
      <c r="E99" s="72"/>
      <c r="F99" s="31">
        <v>3</v>
      </c>
      <c r="G99" s="73"/>
      <c r="H99" s="31">
        <v>107.47</v>
      </c>
      <c r="I99" s="72"/>
      <c r="J99" s="72">
        <v>25.870000000000005</v>
      </c>
      <c r="K99" s="31">
        <v>11</v>
      </c>
      <c r="L99" s="31">
        <v>29.142857142857142</v>
      </c>
      <c r="M99" s="74"/>
      <c r="N99" s="74">
        <v>9.7142857142857135</v>
      </c>
      <c r="O99" s="75"/>
      <c r="P99" s="75">
        <v>35.823333333333331</v>
      </c>
      <c r="Q99" s="76"/>
      <c r="R99" s="76">
        <v>0.24071834000186104</v>
      </c>
      <c r="S99" s="31">
        <v>3</v>
      </c>
      <c r="T99" s="31"/>
      <c r="U99" s="76">
        <v>-0.62254901960784315</v>
      </c>
      <c r="V99" s="76"/>
      <c r="W99" s="76"/>
      <c r="X99" s="76"/>
      <c r="Y99" s="76">
        <v>0</v>
      </c>
      <c r="Z99" s="76">
        <v>0</v>
      </c>
      <c r="AA99" s="76"/>
      <c r="AB99" s="76"/>
      <c r="AC99" s="76"/>
      <c r="AD99" s="142"/>
      <c r="AE99" s="142"/>
      <c r="AF99" s="142"/>
    </row>
    <row r="100" spans="1:32" x14ac:dyDescent="0.35">
      <c r="A100" t="s">
        <v>203</v>
      </c>
      <c r="B100" t="s">
        <v>763</v>
      </c>
      <c r="C100" s="31"/>
      <c r="D100" s="31"/>
      <c r="E100" s="72"/>
      <c r="F100" s="31"/>
      <c r="G100" s="73"/>
      <c r="H100" s="31"/>
      <c r="I100" s="72"/>
      <c r="J100" s="72"/>
      <c r="K100" s="31">
        <v>1</v>
      </c>
      <c r="L100" s="31"/>
      <c r="M100" s="74"/>
      <c r="N100" s="74"/>
      <c r="O100" s="75"/>
      <c r="P100" s="75"/>
      <c r="Q100" s="76"/>
      <c r="R100" s="76"/>
      <c r="S100" s="31"/>
      <c r="T100" s="31"/>
      <c r="U100" s="76"/>
      <c r="V100" s="76"/>
      <c r="W100" s="76"/>
      <c r="X100" s="76"/>
      <c r="Y100" s="76">
        <v>0.16666666666666652</v>
      </c>
      <c r="Z100" s="76">
        <v>0.16666666666666674</v>
      </c>
      <c r="AA100" s="76"/>
      <c r="AB100" s="76"/>
      <c r="AC100" s="76"/>
      <c r="AD100" s="142"/>
      <c r="AE100" s="142"/>
      <c r="AF100" s="142"/>
    </row>
    <row r="101" spans="1:32" x14ac:dyDescent="0.35">
      <c r="A101" t="s">
        <v>203</v>
      </c>
      <c r="B101" t="s">
        <v>325</v>
      </c>
      <c r="C101" s="31"/>
      <c r="D101" s="31"/>
      <c r="E101" s="72"/>
      <c r="F101" s="31"/>
      <c r="G101" s="73"/>
      <c r="H101" s="31"/>
      <c r="I101" s="72"/>
      <c r="J101" s="72"/>
      <c r="K101" s="31"/>
      <c r="L101" s="31"/>
      <c r="M101" s="74"/>
      <c r="N101" s="74"/>
      <c r="O101" s="75"/>
      <c r="P101" s="75"/>
      <c r="Q101" s="76"/>
      <c r="R101" s="76"/>
      <c r="S101" s="31">
        <v>14</v>
      </c>
      <c r="T101" s="31"/>
      <c r="U101" s="76"/>
      <c r="V101" s="76"/>
      <c r="W101" s="76"/>
      <c r="X101" s="76"/>
      <c r="Y101" s="76"/>
      <c r="Z101" s="76"/>
      <c r="AA101" s="76"/>
      <c r="AB101" s="76"/>
      <c r="AC101" s="76"/>
      <c r="AD101" s="142"/>
      <c r="AE101" s="142"/>
      <c r="AF101" s="142"/>
    </row>
    <row r="102" spans="1:32" x14ac:dyDescent="0.35">
      <c r="A102" t="s">
        <v>203</v>
      </c>
      <c r="B102" t="s">
        <v>333</v>
      </c>
      <c r="C102" s="31"/>
      <c r="D102" s="31"/>
      <c r="E102" s="72"/>
      <c r="F102" s="31"/>
      <c r="G102" s="73"/>
      <c r="H102" s="31"/>
      <c r="I102" s="72"/>
      <c r="J102" s="72"/>
      <c r="K102" s="31"/>
      <c r="L102" s="31"/>
      <c r="M102" s="74"/>
      <c r="N102" s="74"/>
      <c r="O102" s="75"/>
      <c r="P102" s="75"/>
      <c r="Q102" s="76"/>
      <c r="R102" s="76"/>
      <c r="S102" s="31">
        <v>14</v>
      </c>
      <c r="T102" s="31"/>
      <c r="U102" s="76"/>
      <c r="V102" s="76"/>
      <c r="W102" s="76"/>
      <c r="X102" s="76"/>
      <c r="Y102" s="76"/>
      <c r="Z102" s="76"/>
      <c r="AA102" s="76"/>
      <c r="AB102" s="76"/>
      <c r="AC102" s="76"/>
      <c r="AD102" s="142"/>
      <c r="AE102" s="142"/>
      <c r="AF102" s="142"/>
    </row>
    <row r="103" spans="1:32" x14ac:dyDescent="0.35">
      <c r="A103" t="s">
        <v>203</v>
      </c>
      <c r="B103" t="s">
        <v>315</v>
      </c>
      <c r="C103" s="31"/>
      <c r="D103" s="31">
        <v>1</v>
      </c>
      <c r="E103" s="72"/>
      <c r="F103" s="31">
        <v>1</v>
      </c>
      <c r="G103" s="73"/>
      <c r="H103" s="31">
        <v>53.33</v>
      </c>
      <c r="I103" s="72"/>
      <c r="J103" s="72">
        <v>18.329999999999998</v>
      </c>
      <c r="K103" s="31"/>
      <c r="L103" s="31">
        <v>2.1428571428571428</v>
      </c>
      <c r="M103" s="74"/>
      <c r="N103" s="74">
        <v>2.1428571428571428</v>
      </c>
      <c r="O103" s="75"/>
      <c r="P103" s="75">
        <v>53.33</v>
      </c>
      <c r="Q103" s="76"/>
      <c r="R103" s="76">
        <v>0.34370898181136317</v>
      </c>
      <c r="S103" s="31">
        <v>59</v>
      </c>
      <c r="T103" s="31"/>
      <c r="U103" s="76"/>
      <c r="V103" s="76"/>
      <c r="W103" s="76"/>
      <c r="X103" s="76"/>
      <c r="Y103" s="76"/>
      <c r="Z103" s="76"/>
      <c r="AA103" s="76"/>
      <c r="AB103" s="76"/>
      <c r="AC103" s="76"/>
      <c r="AD103" s="142"/>
      <c r="AE103" s="142"/>
      <c r="AF103" s="142"/>
    </row>
    <row r="104" spans="1:32" x14ac:dyDescent="0.35">
      <c r="A104" t="s">
        <v>203</v>
      </c>
      <c r="B104" t="s">
        <v>307</v>
      </c>
      <c r="C104" s="31"/>
      <c r="D104" s="31">
        <v>1</v>
      </c>
      <c r="E104" s="72"/>
      <c r="F104" s="31">
        <v>1</v>
      </c>
      <c r="G104" s="73"/>
      <c r="H104" s="31">
        <v>36.67</v>
      </c>
      <c r="I104" s="72"/>
      <c r="J104" s="72">
        <v>11.940000000000001</v>
      </c>
      <c r="K104" s="31">
        <v>0</v>
      </c>
      <c r="L104" s="31">
        <v>7.1428571428571432</v>
      </c>
      <c r="M104" s="74"/>
      <c r="N104" s="74">
        <v>7.1428571428571432</v>
      </c>
      <c r="O104" s="75"/>
      <c r="P104" s="75">
        <v>36.67</v>
      </c>
      <c r="Q104" s="76"/>
      <c r="R104" s="76">
        <v>0.32560676302154351</v>
      </c>
      <c r="S104" s="31">
        <v>1</v>
      </c>
      <c r="T104" s="31"/>
      <c r="U104" s="76"/>
      <c r="V104" s="76"/>
      <c r="W104" s="76"/>
      <c r="X104" s="76"/>
      <c r="Y104" s="76">
        <v>-15.701973419250876</v>
      </c>
      <c r="Z104" s="76">
        <v>-1</v>
      </c>
      <c r="AA104" s="76"/>
      <c r="AB104" s="76"/>
      <c r="AC104" s="76"/>
      <c r="AD104" s="142"/>
      <c r="AE104" s="142"/>
      <c r="AF104" s="142"/>
    </row>
    <row r="105" spans="1:32" x14ac:dyDescent="0.35">
      <c r="A105" t="s">
        <v>203</v>
      </c>
      <c r="B105" t="s">
        <v>319</v>
      </c>
      <c r="C105" s="31"/>
      <c r="D105" s="31"/>
      <c r="E105" s="72"/>
      <c r="F105" s="31"/>
      <c r="G105" s="73"/>
      <c r="H105" s="31"/>
      <c r="I105" s="72"/>
      <c r="J105" s="72"/>
      <c r="K105" s="31">
        <v>0</v>
      </c>
      <c r="L105" s="31"/>
      <c r="M105" s="74"/>
      <c r="N105" s="74"/>
      <c r="O105" s="75"/>
      <c r="P105" s="75"/>
      <c r="Q105" s="76"/>
      <c r="R105" s="76"/>
      <c r="S105" s="31">
        <v>6</v>
      </c>
      <c r="T105" s="31"/>
      <c r="U105" s="76"/>
      <c r="V105" s="76"/>
      <c r="W105" s="76"/>
      <c r="X105" s="76"/>
      <c r="Y105" s="76">
        <v>0</v>
      </c>
      <c r="Z105" s="76"/>
      <c r="AA105" s="76"/>
      <c r="AB105" s="76"/>
      <c r="AC105" s="76"/>
      <c r="AD105" s="142"/>
      <c r="AE105" s="142"/>
      <c r="AF105" s="142"/>
    </row>
    <row r="106" spans="1:32" x14ac:dyDescent="0.35">
      <c r="A106" t="s">
        <v>203</v>
      </c>
      <c r="B106" t="s">
        <v>328</v>
      </c>
      <c r="C106" s="31"/>
      <c r="D106" s="31"/>
      <c r="E106" s="72"/>
      <c r="F106" s="31"/>
      <c r="G106" s="73"/>
      <c r="H106" s="31"/>
      <c r="I106" s="72"/>
      <c r="J106" s="72"/>
      <c r="K106" s="31">
        <v>2</v>
      </c>
      <c r="L106" s="31">
        <v>3</v>
      </c>
      <c r="M106" s="74"/>
      <c r="N106" s="74"/>
      <c r="O106" s="75"/>
      <c r="P106" s="75"/>
      <c r="Q106" s="76"/>
      <c r="R106" s="76"/>
      <c r="S106" s="31">
        <v>0</v>
      </c>
      <c r="T106" s="31"/>
      <c r="U106" s="76">
        <v>-0.33333333333333337</v>
      </c>
      <c r="V106" s="76"/>
      <c r="W106" s="76"/>
      <c r="X106" s="76"/>
      <c r="Y106" s="76">
        <v>0.55417406749555931</v>
      </c>
      <c r="Z106" s="76">
        <v>0.75</v>
      </c>
      <c r="AA106" s="76"/>
      <c r="AB106" s="76"/>
      <c r="AC106" s="76"/>
      <c r="AD106" s="142"/>
      <c r="AE106" s="142"/>
      <c r="AF106" s="142"/>
    </row>
    <row r="107" spans="1:32" x14ac:dyDescent="0.35">
      <c r="A107" t="s">
        <v>203</v>
      </c>
      <c r="B107" t="s">
        <v>331</v>
      </c>
      <c r="C107" s="31"/>
      <c r="D107" s="31"/>
      <c r="E107" s="72"/>
      <c r="F107" s="31"/>
      <c r="G107" s="73"/>
      <c r="H107" s="31"/>
      <c r="I107" s="72"/>
      <c r="J107" s="72"/>
      <c r="K107" s="31">
        <v>1</v>
      </c>
      <c r="L107" s="31"/>
      <c r="M107" s="74"/>
      <c r="N107" s="74"/>
      <c r="O107" s="75"/>
      <c r="P107" s="75"/>
      <c r="Q107" s="76"/>
      <c r="R107" s="76"/>
      <c r="S107" s="31"/>
      <c r="T107" s="31"/>
      <c r="U107" s="76"/>
      <c r="V107" s="76"/>
      <c r="W107" s="76"/>
      <c r="X107" s="76"/>
      <c r="Y107" s="76">
        <v>0.16666666666666674</v>
      </c>
      <c r="Z107" s="76">
        <v>0.16666666666666674</v>
      </c>
      <c r="AA107" s="76"/>
      <c r="AB107" s="76"/>
      <c r="AC107" s="76"/>
      <c r="AD107" s="142"/>
      <c r="AE107" s="142"/>
      <c r="AF107" s="142"/>
    </row>
    <row r="108" spans="1:32" x14ac:dyDescent="0.35">
      <c r="A108" t="s">
        <v>203</v>
      </c>
      <c r="B108" t="s">
        <v>327</v>
      </c>
      <c r="C108" s="31"/>
      <c r="D108" s="31"/>
      <c r="E108" s="72"/>
      <c r="F108" s="31"/>
      <c r="G108" s="73"/>
      <c r="H108" s="31"/>
      <c r="I108" s="72"/>
      <c r="J108" s="72"/>
      <c r="K108" s="31"/>
      <c r="L108" s="31">
        <v>1</v>
      </c>
      <c r="M108" s="74"/>
      <c r="N108" s="74"/>
      <c r="O108" s="75"/>
      <c r="P108" s="75"/>
      <c r="Q108" s="76"/>
      <c r="R108" s="76"/>
      <c r="S108" s="31"/>
      <c r="T108" s="31"/>
      <c r="U108" s="76"/>
      <c r="V108" s="76"/>
      <c r="W108" s="76"/>
      <c r="X108" s="76"/>
      <c r="Y108" s="76"/>
      <c r="Z108" s="76"/>
      <c r="AA108" s="76"/>
      <c r="AB108" s="76"/>
      <c r="AC108" s="76"/>
      <c r="AD108" s="142"/>
      <c r="AE108" s="142"/>
      <c r="AF108" s="142"/>
    </row>
    <row r="109" spans="1:32" x14ac:dyDescent="0.35">
      <c r="A109" t="s">
        <v>203</v>
      </c>
      <c r="B109" t="s">
        <v>323</v>
      </c>
      <c r="C109" s="31"/>
      <c r="D109" s="31"/>
      <c r="E109" s="72"/>
      <c r="F109" s="31"/>
      <c r="G109" s="73"/>
      <c r="H109" s="31"/>
      <c r="I109" s="72"/>
      <c r="J109" s="72"/>
      <c r="K109" s="31">
        <v>17</v>
      </c>
      <c r="L109" s="31">
        <v>23</v>
      </c>
      <c r="M109" s="74"/>
      <c r="N109" s="74"/>
      <c r="O109" s="75"/>
      <c r="P109" s="75"/>
      <c r="Q109" s="76"/>
      <c r="R109" s="76"/>
      <c r="S109" s="31"/>
      <c r="T109" s="31"/>
      <c r="U109" s="76">
        <v>-0.26086956521739135</v>
      </c>
      <c r="V109" s="76"/>
      <c r="W109" s="76"/>
      <c r="X109" s="76"/>
      <c r="Y109" s="76">
        <v>0</v>
      </c>
      <c r="Z109" s="76">
        <v>0</v>
      </c>
      <c r="AA109" s="76"/>
      <c r="AB109" s="76"/>
      <c r="AC109" s="76"/>
      <c r="AD109" s="142"/>
      <c r="AE109" s="142"/>
      <c r="AF109" s="142"/>
    </row>
    <row r="110" spans="1:32" x14ac:dyDescent="0.35">
      <c r="A110" t="s">
        <v>203</v>
      </c>
      <c r="B110" t="s">
        <v>340</v>
      </c>
      <c r="C110" s="31"/>
      <c r="D110" s="31"/>
      <c r="E110" s="72"/>
      <c r="F110" s="31"/>
      <c r="G110" s="73"/>
      <c r="H110" s="31"/>
      <c r="I110" s="72"/>
      <c r="J110" s="72"/>
      <c r="K110" s="31"/>
      <c r="L110" s="31"/>
      <c r="M110" s="74"/>
      <c r="N110" s="74"/>
      <c r="O110" s="75"/>
      <c r="P110" s="75"/>
      <c r="Q110" s="76"/>
      <c r="R110" s="76"/>
      <c r="S110" s="31">
        <v>-1</v>
      </c>
      <c r="T110" s="31"/>
      <c r="U110" s="76"/>
      <c r="V110" s="76"/>
      <c r="W110" s="76"/>
      <c r="X110" s="76"/>
      <c r="Y110" s="76"/>
      <c r="Z110" s="76"/>
      <c r="AA110" s="76"/>
      <c r="AB110" s="76"/>
      <c r="AC110" s="76"/>
      <c r="AD110" s="142"/>
      <c r="AE110" s="142"/>
      <c r="AF110" s="142"/>
    </row>
    <row r="111" spans="1:32" x14ac:dyDescent="0.35">
      <c r="A111" t="s">
        <v>203</v>
      </c>
      <c r="B111" t="s">
        <v>326</v>
      </c>
      <c r="C111" s="31"/>
      <c r="D111" s="31"/>
      <c r="E111" s="72"/>
      <c r="F111" s="31"/>
      <c r="G111" s="73"/>
      <c r="H111" s="31"/>
      <c r="I111" s="72"/>
      <c r="J111" s="72"/>
      <c r="K111" s="31">
        <v>1</v>
      </c>
      <c r="L111" s="31"/>
      <c r="M111" s="74"/>
      <c r="N111" s="74"/>
      <c r="O111" s="75"/>
      <c r="P111" s="75"/>
      <c r="Q111" s="76"/>
      <c r="R111" s="76"/>
      <c r="S111" s="31">
        <v>3</v>
      </c>
      <c r="T111" s="31"/>
      <c r="U111" s="76"/>
      <c r="V111" s="76"/>
      <c r="W111" s="76"/>
      <c r="X111" s="76"/>
      <c r="Y111" s="76">
        <v>2.2204460492503131E-16</v>
      </c>
      <c r="Z111" s="76">
        <v>0</v>
      </c>
      <c r="AA111" s="76"/>
      <c r="AB111" s="76"/>
      <c r="AC111" s="76"/>
      <c r="AD111" s="142"/>
      <c r="AE111" s="142"/>
      <c r="AF111" s="142"/>
    </row>
    <row r="112" spans="1:32" x14ac:dyDescent="0.35">
      <c r="A112" t="s">
        <v>203</v>
      </c>
      <c r="B112" t="s">
        <v>317</v>
      </c>
      <c r="C112" s="31"/>
      <c r="D112" s="31">
        <v>1</v>
      </c>
      <c r="E112" s="72"/>
      <c r="F112" s="31">
        <v>1</v>
      </c>
      <c r="G112" s="73"/>
      <c r="H112" s="31">
        <v>63.64</v>
      </c>
      <c r="I112" s="72"/>
      <c r="J112" s="72">
        <v>15.920000000000002</v>
      </c>
      <c r="K112" s="31">
        <v>0</v>
      </c>
      <c r="L112" s="31">
        <v>4.8571428571428568</v>
      </c>
      <c r="M112" s="74"/>
      <c r="N112" s="74">
        <v>4.8571428571428568</v>
      </c>
      <c r="O112" s="75"/>
      <c r="P112" s="75">
        <v>63.64</v>
      </c>
      <c r="Q112" s="76"/>
      <c r="R112" s="76">
        <v>0.25015713387806415</v>
      </c>
      <c r="S112" s="31"/>
      <c r="T112" s="31"/>
      <c r="U112" s="76"/>
      <c r="V112" s="76"/>
      <c r="W112" s="76"/>
      <c r="X112" s="76"/>
      <c r="Y112" s="76">
        <v>0</v>
      </c>
      <c r="Z112" s="76"/>
      <c r="AA112" s="76"/>
      <c r="AB112" s="76"/>
      <c r="AC112" s="76"/>
      <c r="AD112" s="142"/>
      <c r="AE112" s="142"/>
      <c r="AF112" s="142"/>
    </row>
    <row r="113" spans="1:32" x14ac:dyDescent="0.35">
      <c r="A113" t="s">
        <v>203</v>
      </c>
      <c r="B113" t="s">
        <v>335</v>
      </c>
      <c r="C113" s="31"/>
      <c r="D113" s="31">
        <v>1</v>
      </c>
      <c r="E113" s="72"/>
      <c r="F113" s="31">
        <v>1</v>
      </c>
      <c r="G113" s="73"/>
      <c r="H113" s="31">
        <v>36.36</v>
      </c>
      <c r="I113" s="72"/>
      <c r="J113" s="72">
        <v>11.61</v>
      </c>
      <c r="K113" s="31"/>
      <c r="L113" s="31">
        <v>1</v>
      </c>
      <c r="M113" s="74"/>
      <c r="N113" s="74">
        <v>1</v>
      </c>
      <c r="O113" s="75"/>
      <c r="P113" s="75">
        <v>36.36</v>
      </c>
      <c r="Q113" s="76"/>
      <c r="R113" s="76">
        <v>0.31930693069306931</v>
      </c>
      <c r="S113" s="31"/>
      <c r="T113" s="31"/>
      <c r="U113" s="76"/>
      <c r="V113" s="76"/>
      <c r="W113" s="76"/>
      <c r="X113" s="76"/>
      <c r="Y113" s="76"/>
      <c r="Z113" s="76"/>
      <c r="AA113" s="76"/>
      <c r="AB113" s="76"/>
      <c r="AC113" s="76"/>
      <c r="AD113" s="142"/>
      <c r="AE113" s="142"/>
      <c r="AF113" s="142"/>
    </row>
    <row r="114" spans="1:32" x14ac:dyDescent="0.35">
      <c r="A114" t="s">
        <v>203</v>
      </c>
      <c r="B114" t="s">
        <v>329</v>
      </c>
      <c r="C114" s="31"/>
      <c r="D114" s="31"/>
      <c r="E114" s="72"/>
      <c r="F114" s="31"/>
      <c r="G114" s="73"/>
      <c r="H114" s="31"/>
      <c r="I114" s="72"/>
      <c r="J114" s="72"/>
      <c r="K114" s="31">
        <v>1</v>
      </c>
      <c r="L114" s="31"/>
      <c r="M114" s="74"/>
      <c r="N114" s="74"/>
      <c r="O114" s="75"/>
      <c r="P114" s="75"/>
      <c r="Q114" s="76"/>
      <c r="R114" s="76"/>
      <c r="S114" s="31">
        <v>4</v>
      </c>
      <c r="T114" s="31"/>
      <c r="U114" s="76"/>
      <c r="V114" s="76"/>
      <c r="W114" s="76"/>
      <c r="X114" s="76"/>
      <c r="Y114" s="76">
        <v>0</v>
      </c>
      <c r="Z114" s="76">
        <v>0</v>
      </c>
      <c r="AA114" s="76"/>
      <c r="AB114" s="76"/>
      <c r="AC114" s="76"/>
      <c r="AD114" s="142"/>
      <c r="AE114" s="142"/>
      <c r="AF114" s="142"/>
    </row>
    <row r="115" spans="1:32" x14ac:dyDescent="0.35">
      <c r="A115" t="s">
        <v>203</v>
      </c>
      <c r="B115" t="s">
        <v>324</v>
      </c>
      <c r="C115" s="31"/>
      <c r="D115" s="31"/>
      <c r="E115" s="72"/>
      <c r="F115" s="31"/>
      <c r="G115" s="73"/>
      <c r="H115" s="31"/>
      <c r="I115" s="72"/>
      <c r="J115" s="72"/>
      <c r="K115" s="31"/>
      <c r="L115" s="31">
        <v>1</v>
      </c>
      <c r="M115" s="74"/>
      <c r="N115" s="74"/>
      <c r="O115" s="75"/>
      <c r="P115" s="75"/>
      <c r="Q115" s="76"/>
      <c r="R115" s="76"/>
      <c r="S115" s="31"/>
      <c r="T115" s="31"/>
      <c r="U115" s="76"/>
      <c r="V115" s="76"/>
      <c r="W115" s="76"/>
      <c r="X115" s="76"/>
      <c r="Y115" s="76"/>
      <c r="Z115" s="76"/>
      <c r="AA115" s="76"/>
      <c r="AB115" s="76"/>
      <c r="AC115" s="76"/>
      <c r="AD115" s="142"/>
      <c r="AE115" s="142"/>
      <c r="AF115" s="142"/>
    </row>
    <row r="116" spans="1:32" x14ac:dyDescent="0.35">
      <c r="A116" t="s">
        <v>203</v>
      </c>
      <c r="B116" t="s">
        <v>318</v>
      </c>
      <c r="C116" s="31"/>
      <c r="D116" s="31"/>
      <c r="E116" s="72"/>
      <c r="F116" s="31"/>
      <c r="G116" s="73"/>
      <c r="H116" s="31"/>
      <c r="I116" s="72"/>
      <c r="J116" s="72"/>
      <c r="K116" s="31"/>
      <c r="L116" s="31">
        <v>2</v>
      </c>
      <c r="M116" s="74"/>
      <c r="N116" s="74"/>
      <c r="O116" s="75"/>
      <c r="P116" s="75"/>
      <c r="Q116" s="76"/>
      <c r="R116" s="76"/>
      <c r="S116" s="31"/>
      <c r="T116" s="31"/>
      <c r="U116" s="76"/>
      <c r="V116" s="76"/>
      <c r="W116" s="76"/>
      <c r="X116" s="76"/>
      <c r="Y116" s="76"/>
      <c r="Z116" s="76"/>
      <c r="AA116" s="76"/>
      <c r="AB116" s="76"/>
      <c r="AC116" s="76"/>
      <c r="AD116" s="142"/>
      <c r="AE116" s="142"/>
      <c r="AF116" s="142"/>
    </row>
    <row r="117" spans="1:32" x14ac:dyDescent="0.35">
      <c r="A117" t="s">
        <v>203</v>
      </c>
      <c r="B117" t="s">
        <v>341</v>
      </c>
      <c r="C117" s="31"/>
      <c r="D117" s="31"/>
      <c r="E117" s="72"/>
      <c r="F117" s="31"/>
      <c r="G117" s="73"/>
      <c r="H117" s="31"/>
      <c r="I117" s="72"/>
      <c r="J117" s="72"/>
      <c r="K117" s="31">
        <v>-1</v>
      </c>
      <c r="L117" s="31">
        <v>1</v>
      </c>
      <c r="M117" s="74"/>
      <c r="N117" s="74"/>
      <c r="O117" s="75"/>
      <c r="P117" s="75"/>
      <c r="Q117" s="76"/>
      <c r="R117" s="76"/>
      <c r="S117" s="31"/>
      <c r="T117" s="31"/>
      <c r="U117" s="76">
        <v>-2</v>
      </c>
      <c r="V117" s="76"/>
      <c r="W117" s="76"/>
      <c r="X117" s="76"/>
      <c r="Y117" s="76">
        <v>0</v>
      </c>
      <c r="Z117" s="76">
        <v>0</v>
      </c>
      <c r="AA117" s="76"/>
      <c r="AB117" s="76"/>
      <c r="AC117" s="76"/>
      <c r="AD117" s="142"/>
      <c r="AE117" s="142"/>
      <c r="AF117" s="142"/>
    </row>
    <row r="118" spans="1:32" x14ac:dyDescent="0.35">
      <c r="A118" t="s">
        <v>203</v>
      </c>
      <c r="B118" t="s">
        <v>334</v>
      </c>
      <c r="C118" s="31"/>
      <c r="D118" s="31"/>
      <c r="E118" s="72"/>
      <c r="F118" s="31"/>
      <c r="G118" s="73"/>
      <c r="H118" s="31"/>
      <c r="I118" s="72"/>
      <c r="J118" s="72"/>
      <c r="K118" s="31">
        <v>10</v>
      </c>
      <c r="L118" s="31"/>
      <c r="M118" s="74"/>
      <c r="N118" s="74"/>
      <c r="O118" s="75"/>
      <c r="P118" s="75"/>
      <c r="Q118" s="76"/>
      <c r="R118" s="76"/>
      <c r="S118" s="31">
        <v>6</v>
      </c>
      <c r="T118" s="31"/>
      <c r="U118" s="76"/>
      <c r="V118" s="76"/>
      <c r="W118" s="76"/>
      <c r="X118" s="76"/>
      <c r="Y118" s="76">
        <v>-0.35779816513761464</v>
      </c>
      <c r="Z118" s="76">
        <v>-0.35779816513761464</v>
      </c>
      <c r="AA118" s="76"/>
      <c r="AB118" s="76"/>
      <c r="AC118" s="76"/>
      <c r="AD118" s="142"/>
      <c r="AE118" s="142"/>
      <c r="AF118" s="142"/>
    </row>
    <row r="119" spans="1:32" x14ac:dyDescent="0.35">
      <c r="A119" t="s">
        <v>203</v>
      </c>
      <c r="B119" t="s">
        <v>312</v>
      </c>
      <c r="C119" s="31"/>
      <c r="D119" s="31">
        <v>1</v>
      </c>
      <c r="E119" s="72"/>
      <c r="F119" s="31">
        <v>1</v>
      </c>
      <c r="G119" s="73"/>
      <c r="H119" s="31">
        <v>41.67</v>
      </c>
      <c r="I119" s="72"/>
      <c r="J119" s="72">
        <v>-5.3500000000000014</v>
      </c>
      <c r="K119" s="31">
        <v>6</v>
      </c>
      <c r="L119" s="31">
        <v>32.142857142857146</v>
      </c>
      <c r="M119" s="74"/>
      <c r="N119" s="74">
        <v>33.142857142857146</v>
      </c>
      <c r="O119" s="75"/>
      <c r="P119" s="75">
        <v>41.67</v>
      </c>
      <c r="Q119" s="76"/>
      <c r="R119" s="76">
        <v>-0.1283897288216943</v>
      </c>
      <c r="S119" s="31">
        <v>78</v>
      </c>
      <c r="T119" s="31"/>
      <c r="U119" s="76">
        <v>-0.84444444444444444</v>
      </c>
      <c r="V119" s="76"/>
      <c r="W119" s="76"/>
      <c r="X119" s="76"/>
      <c r="Y119" s="76">
        <v>0</v>
      </c>
      <c r="Z119" s="76">
        <v>0</v>
      </c>
      <c r="AA119" s="76"/>
      <c r="AB119" s="76"/>
      <c r="AC119" s="76"/>
      <c r="AD119" s="142"/>
      <c r="AE119" s="142"/>
      <c r="AF119" s="142"/>
    </row>
    <row r="120" spans="1:32" x14ac:dyDescent="0.35">
      <c r="A120" t="s">
        <v>203</v>
      </c>
      <c r="B120" t="s">
        <v>322</v>
      </c>
      <c r="C120" s="31"/>
      <c r="D120" s="31"/>
      <c r="E120" s="72"/>
      <c r="F120" s="31"/>
      <c r="G120" s="73"/>
      <c r="H120" s="31"/>
      <c r="I120" s="72"/>
      <c r="J120" s="72"/>
      <c r="K120" s="31">
        <v>29</v>
      </c>
      <c r="L120" s="31">
        <v>44</v>
      </c>
      <c r="M120" s="74"/>
      <c r="N120" s="74"/>
      <c r="O120" s="75"/>
      <c r="P120" s="75"/>
      <c r="Q120" s="76"/>
      <c r="R120" s="76"/>
      <c r="S120" s="31"/>
      <c r="T120" s="31"/>
      <c r="U120" s="76">
        <v>-0.34090909090909094</v>
      </c>
      <c r="V120" s="76"/>
      <c r="W120" s="76"/>
      <c r="X120" s="76"/>
      <c r="Y120" s="76">
        <v>-3.7198745102574593E-2</v>
      </c>
      <c r="Z120" s="76">
        <v>-3.3333333333333326E-2</v>
      </c>
      <c r="AA120" s="76"/>
      <c r="AB120" s="76"/>
      <c r="AC120" s="76"/>
      <c r="AD120" s="142"/>
      <c r="AE120" s="142"/>
      <c r="AF120" s="142"/>
    </row>
    <row r="121" spans="1:32" x14ac:dyDescent="0.35">
      <c r="A121" t="s">
        <v>203</v>
      </c>
      <c r="B121" t="s">
        <v>337</v>
      </c>
      <c r="C121" s="31"/>
      <c r="D121" s="31"/>
      <c r="E121" s="72"/>
      <c r="F121" s="31"/>
      <c r="G121" s="73"/>
      <c r="H121" s="31"/>
      <c r="I121" s="72"/>
      <c r="J121" s="72"/>
      <c r="K121" s="31">
        <v>2</v>
      </c>
      <c r="L121" s="31">
        <v>2</v>
      </c>
      <c r="M121" s="74"/>
      <c r="N121" s="74"/>
      <c r="O121" s="75"/>
      <c r="P121" s="75"/>
      <c r="Q121" s="76"/>
      <c r="R121" s="76"/>
      <c r="S121" s="31"/>
      <c r="T121" s="31"/>
      <c r="U121" s="76">
        <v>0</v>
      </c>
      <c r="V121" s="76"/>
      <c r="W121" s="76"/>
      <c r="X121" s="76"/>
      <c r="Y121" s="76">
        <v>0</v>
      </c>
      <c r="Z121" s="76">
        <v>0</v>
      </c>
      <c r="AA121" s="76"/>
      <c r="AB121" s="76"/>
      <c r="AC121" s="76"/>
      <c r="AD121" s="142"/>
      <c r="AE121" s="142"/>
      <c r="AF121" s="142"/>
    </row>
    <row r="122" spans="1:32" x14ac:dyDescent="0.35">
      <c r="A122" s="138" t="s">
        <v>837</v>
      </c>
      <c r="B122" s="138"/>
      <c r="C122" s="127">
        <v>25529</v>
      </c>
      <c r="D122" s="127">
        <v>24460</v>
      </c>
      <c r="E122" s="126">
        <v>53134</v>
      </c>
      <c r="F122" s="127">
        <v>53923</v>
      </c>
      <c r="G122" s="127">
        <v>14973886.290002277</v>
      </c>
      <c r="H122" s="127">
        <v>9279065.4900018349</v>
      </c>
      <c r="I122" s="126">
        <v>8631083.4300007634</v>
      </c>
      <c r="J122" s="126">
        <v>3923712.8700018711</v>
      </c>
      <c r="K122" s="127">
        <v>740613.42857142852</v>
      </c>
      <c r="L122" s="127">
        <v>961008.71428571432</v>
      </c>
      <c r="M122" s="140">
        <v>13.938597293097235</v>
      </c>
      <c r="N122" s="140">
        <v>18.100854368428561</v>
      </c>
      <c r="O122" s="139">
        <v>281.81364644111636</v>
      </c>
      <c r="P122" s="139">
        <v>172.07991932944819</v>
      </c>
      <c r="Q122" s="141">
        <v>0.57640904056841546</v>
      </c>
      <c r="R122" s="141">
        <v>0.41484193904725558</v>
      </c>
      <c r="S122" s="127">
        <v>186729.42857142858</v>
      </c>
      <c r="T122" s="127"/>
      <c r="U122" s="141">
        <v>-0.25399279120555029</v>
      </c>
      <c r="V122" s="141">
        <v>-4.9719043821745856E-2</v>
      </c>
      <c r="W122" s="141">
        <v>0.55628381172254548</v>
      </c>
      <c r="X122" s="141">
        <v>1.1652759792741012</v>
      </c>
      <c r="Y122" s="141">
        <v>4.222330903502769E-3</v>
      </c>
      <c r="Z122" s="141">
        <v>-1.28591416169761E-2</v>
      </c>
      <c r="AA122" s="141">
        <v>-2.0806074120487295E-2</v>
      </c>
      <c r="AB122" s="141">
        <v>8.0931868377460692E-2</v>
      </c>
      <c r="AC122" s="141">
        <v>0.10389968708860908</v>
      </c>
      <c r="AD122" s="143">
        <v>-0.24149628854015653</v>
      </c>
      <c r="AE122" s="143">
        <v>2.0008799789024093E-2</v>
      </c>
      <c r="AF122" s="143">
        <v>0.21345779540496868</v>
      </c>
    </row>
    <row r="123" spans="1:32" x14ac:dyDescent="0.35">
      <c r="A123" t="s">
        <v>85</v>
      </c>
      <c r="B123" t="s">
        <v>345</v>
      </c>
      <c r="C123" s="31">
        <v>5988</v>
      </c>
      <c r="D123" s="31">
        <v>2715</v>
      </c>
      <c r="E123" s="72">
        <v>8615</v>
      </c>
      <c r="F123" s="31">
        <v>4086</v>
      </c>
      <c r="G123" s="73">
        <v>2957849.0899999146</v>
      </c>
      <c r="H123" s="31">
        <v>854827.08999998844</v>
      </c>
      <c r="I123" s="72">
        <v>2149177.4699999974</v>
      </c>
      <c r="J123" s="72">
        <v>559611.96999998763</v>
      </c>
      <c r="K123" s="31">
        <v>98054.28571428571</v>
      </c>
      <c r="L123" s="31">
        <v>37688.142857142855</v>
      </c>
      <c r="M123" s="74">
        <v>11.381809136887489</v>
      </c>
      <c r="N123" s="74">
        <v>9.4797792238765286</v>
      </c>
      <c r="O123" s="75">
        <v>343.3370969239599</v>
      </c>
      <c r="P123" s="75">
        <v>209.20878365149008</v>
      </c>
      <c r="Q123" s="76">
        <v>0.72660146092850852</v>
      </c>
      <c r="R123" s="76">
        <v>0.63862714852754598</v>
      </c>
      <c r="S123" s="31">
        <v>33460.142857142855</v>
      </c>
      <c r="T123" s="31"/>
      <c r="U123" s="76">
        <v>1.537505164564831</v>
      </c>
      <c r="V123" s="76">
        <v>1.0298580518844838</v>
      </c>
      <c r="W123" s="76">
        <v>2.3326697917352677</v>
      </c>
      <c r="X123" s="76">
        <v>2.7957034482693341</v>
      </c>
      <c r="Y123" s="76">
        <v>-5.24075413648184E-3</v>
      </c>
      <c r="Z123" s="76">
        <v>-1.2995080649452095E-2</v>
      </c>
      <c r="AA123" s="76">
        <v>0.16497633536173084</v>
      </c>
      <c r="AB123" s="76">
        <v>0.16815499232987774</v>
      </c>
      <c r="AC123" s="76">
        <v>2.7285163412009705E-3</v>
      </c>
      <c r="AD123" s="142">
        <v>0.11824262466743789</v>
      </c>
      <c r="AE123" s="142">
        <v>0.87757270144626609</v>
      </c>
      <c r="AF123" s="142">
        <v>1.4237894466976877</v>
      </c>
    </row>
    <row r="124" spans="1:32" x14ac:dyDescent="0.35">
      <c r="A124" t="s">
        <v>85</v>
      </c>
      <c r="B124" t="s">
        <v>343</v>
      </c>
      <c r="C124" s="31">
        <v>1594</v>
      </c>
      <c r="D124" s="31">
        <v>3618</v>
      </c>
      <c r="E124" s="72">
        <v>1952</v>
      </c>
      <c r="F124" s="31">
        <v>5102</v>
      </c>
      <c r="G124" s="73">
        <v>1402099.9099999932</v>
      </c>
      <c r="H124" s="31">
        <v>1448943.299999981</v>
      </c>
      <c r="I124" s="72">
        <v>792458.42000000027</v>
      </c>
      <c r="J124" s="72">
        <v>498193.789999965</v>
      </c>
      <c r="K124" s="31">
        <v>21191.142857142859</v>
      </c>
      <c r="L124" s="31">
        <v>57712.428571428572</v>
      </c>
      <c r="M124" s="74">
        <v>10.856118266978923</v>
      </c>
      <c r="N124" s="74">
        <v>11.51563999232393</v>
      </c>
      <c r="O124" s="75">
        <v>718.28888831966867</v>
      </c>
      <c r="P124" s="75">
        <v>283.99515876126634</v>
      </c>
      <c r="Q124" s="76">
        <v>0.56519397394441329</v>
      </c>
      <c r="R124" s="76">
        <v>0.33712119179495464</v>
      </c>
      <c r="S124" s="31">
        <v>5956.5714285714284</v>
      </c>
      <c r="T124" s="31"/>
      <c r="U124" s="76">
        <v>-0.64639208687408267</v>
      </c>
      <c r="V124" s="76">
        <v>-0.63269306154449234</v>
      </c>
      <c r="W124" s="76">
        <v>-7.7088537556985415E-2</v>
      </c>
      <c r="X124" s="76">
        <v>0.54309398012986865</v>
      </c>
      <c r="Y124" s="76">
        <v>-6.8276469578034016E-2</v>
      </c>
      <c r="Z124" s="76">
        <v>-7.8210832442643707E-2</v>
      </c>
      <c r="AA124" s="76">
        <v>5.9142702116115053E-2</v>
      </c>
      <c r="AB124" s="76">
        <v>6.6857630720042582E-2</v>
      </c>
      <c r="AC124" s="76">
        <v>7.2841257259419478E-3</v>
      </c>
      <c r="AD124" s="142">
        <v>-0.4565042464503769</v>
      </c>
      <c r="AE124" s="142">
        <v>-0.12962027492481396</v>
      </c>
      <c r="AF124" s="142">
        <v>-2.2792375722434401E-2</v>
      </c>
    </row>
    <row r="125" spans="1:32" x14ac:dyDescent="0.35">
      <c r="A125" t="s">
        <v>85</v>
      </c>
      <c r="B125" t="s">
        <v>352</v>
      </c>
      <c r="C125" s="31">
        <v>1836</v>
      </c>
      <c r="D125" s="31">
        <v>918</v>
      </c>
      <c r="E125" s="72">
        <v>4925</v>
      </c>
      <c r="F125" s="31">
        <v>2263</v>
      </c>
      <c r="G125" s="73">
        <v>1060559.5499999898</v>
      </c>
      <c r="H125" s="31">
        <v>278029.27000000089</v>
      </c>
      <c r="I125" s="72">
        <v>675728.40000000095</v>
      </c>
      <c r="J125" s="72">
        <v>163811.00000000058</v>
      </c>
      <c r="K125" s="31">
        <v>61437</v>
      </c>
      <c r="L125" s="31">
        <v>35519.857142857145</v>
      </c>
      <c r="M125" s="74">
        <v>12.474517766497462</v>
      </c>
      <c r="N125" s="74">
        <v>16.03996305418719</v>
      </c>
      <c r="O125" s="75">
        <v>215.34204060913498</v>
      </c>
      <c r="P125" s="75">
        <v>122.85871409633269</v>
      </c>
      <c r="Q125" s="76">
        <v>0.63714328912507312</v>
      </c>
      <c r="R125" s="76">
        <v>0.57653224360336019</v>
      </c>
      <c r="S125" s="31">
        <v>21980.142857142859</v>
      </c>
      <c r="T125" s="31"/>
      <c r="U125" s="76">
        <v>0.68098327293787375</v>
      </c>
      <c r="V125" s="76">
        <v>1.064516129032258</v>
      </c>
      <c r="W125" s="76">
        <v>2.6134672799018208</v>
      </c>
      <c r="X125" s="76">
        <v>2.9837951515936307</v>
      </c>
      <c r="Y125" s="76">
        <v>-2.9915860391510618E-3</v>
      </c>
      <c r="Z125" s="76">
        <v>-3.1754935342779289E-3</v>
      </c>
      <c r="AA125" s="76">
        <v>4.9435329213722623E-2</v>
      </c>
      <c r="AB125" s="76">
        <v>5.6874155837393081E-2</v>
      </c>
      <c r="AC125" s="76">
        <v>7.0884088009919299E-3</v>
      </c>
      <c r="AD125" s="142">
        <v>5.2419014487055104E-2</v>
      </c>
      <c r="AE125" s="142">
        <v>0.64958777212437291</v>
      </c>
      <c r="AF125" s="142">
        <v>1.0878155291567995</v>
      </c>
    </row>
    <row r="126" spans="1:32" x14ac:dyDescent="0.35">
      <c r="A126" t="s">
        <v>85</v>
      </c>
      <c r="B126" t="s">
        <v>346</v>
      </c>
      <c r="C126" s="31">
        <v>1602</v>
      </c>
      <c r="D126" s="31">
        <v>1249</v>
      </c>
      <c r="E126" s="72">
        <v>1734</v>
      </c>
      <c r="F126" s="31">
        <v>1367</v>
      </c>
      <c r="G126" s="73">
        <v>995251.18999999156</v>
      </c>
      <c r="H126" s="31">
        <v>457503.97999999602</v>
      </c>
      <c r="I126" s="72">
        <v>635260.96000000439</v>
      </c>
      <c r="J126" s="72">
        <v>230704.19999999605</v>
      </c>
      <c r="K126" s="31">
        <v>15080.714285714286</v>
      </c>
      <c r="L126" s="31">
        <v>20047.285714285714</v>
      </c>
      <c r="M126" s="74">
        <v>8.6970670621189647</v>
      </c>
      <c r="N126" s="74">
        <v>14.856334613053141</v>
      </c>
      <c r="O126" s="75">
        <v>573.96262399076795</v>
      </c>
      <c r="P126" s="75">
        <v>334.67738112655161</v>
      </c>
      <c r="Q126" s="76">
        <v>0.63829208784971136</v>
      </c>
      <c r="R126" s="76">
        <v>0.48799757236732211</v>
      </c>
      <c r="S126" s="31">
        <v>4396.7142857142853</v>
      </c>
      <c r="T126" s="31"/>
      <c r="U126" s="76">
        <v>-0.26976933108151446</v>
      </c>
      <c r="V126" s="76">
        <v>0.23482077542062907</v>
      </c>
      <c r="W126" s="76">
        <v>1.1173639188887479</v>
      </c>
      <c r="X126" s="76">
        <v>1.7617516975743568</v>
      </c>
      <c r="Y126" s="76">
        <v>-4.0045839423506813E-2</v>
      </c>
      <c r="Z126" s="76">
        <v>-4.1764246682279405E-2</v>
      </c>
      <c r="AA126" s="76">
        <v>-2.8571428571428581E-2</v>
      </c>
      <c r="AB126" s="76">
        <v>-2.6941168165884544E-2</v>
      </c>
      <c r="AC126" s="76">
        <v>1.6782092410012606E-3</v>
      </c>
      <c r="AD126" s="142">
        <v>0.26548300946747677</v>
      </c>
      <c r="AE126" s="142">
        <v>0.65233438926811527</v>
      </c>
      <c r="AF126" s="142">
        <v>0.96763709327728165</v>
      </c>
    </row>
    <row r="127" spans="1:32" x14ac:dyDescent="0.35">
      <c r="A127" t="s">
        <v>85</v>
      </c>
      <c r="B127" t="s">
        <v>350</v>
      </c>
      <c r="C127" s="31">
        <v>3692</v>
      </c>
      <c r="D127" s="31">
        <v>2174</v>
      </c>
      <c r="E127" s="72">
        <v>7360</v>
      </c>
      <c r="F127" s="31">
        <v>3839</v>
      </c>
      <c r="G127" s="73">
        <v>730700.93999994767</v>
      </c>
      <c r="H127" s="31">
        <v>399667.12999999482</v>
      </c>
      <c r="I127" s="72">
        <v>383908.34000000131</v>
      </c>
      <c r="J127" s="72">
        <v>180597.21999999575</v>
      </c>
      <c r="K127" s="31">
        <v>87206.571428571435</v>
      </c>
      <c r="L127" s="31">
        <v>71214.857142857145</v>
      </c>
      <c r="M127" s="74">
        <v>11.84871894409938</v>
      </c>
      <c r="N127" s="74">
        <v>18.592251324094899</v>
      </c>
      <c r="O127" s="75">
        <v>99.280019021732016</v>
      </c>
      <c r="P127" s="75">
        <v>104.10709299296558</v>
      </c>
      <c r="Q127" s="76">
        <v>0.52539735339608129</v>
      </c>
      <c r="R127" s="76">
        <v>0.44032860625414261</v>
      </c>
      <c r="S127" s="31">
        <v>19989.857142857141</v>
      </c>
      <c r="T127" s="31"/>
      <c r="U127" s="76">
        <v>0.18185611349156683</v>
      </c>
      <c r="V127" s="76">
        <v>0.82026569419119566</v>
      </c>
      <c r="W127" s="76">
        <v>0.75160001274050092</v>
      </c>
      <c r="X127" s="76">
        <v>1.10245608315677</v>
      </c>
      <c r="Y127" s="76">
        <v>-2.5968492705454871E-3</v>
      </c>
      <c r="Z127" s="76">
        <v>3.0737435035002703E-2</v>
      </c>
      <c r="AA127" s="76">
        <v>7.5708857059339385E-2</v>
      </c>
      <c r="AB127" s="76">
        <v>3.4385582549230742E-2</v>
      </c>
      <c r="AC127" s="76">
        <v>-3.8414924483446078E-2</v>
      </c>
      <c r="AD127" s="142">
        <v>0.58363103875523847</v>
      </c>
      <c r="AE127" s="142">
        <v>-3.0339056150054663E-2</v>
      </c>
      <c r="AF127" s="142">
        <v>-1.7907791473297564E-2</v>
      </c>
    </row>
    <row r="128" spans="1:32" x14ac:dyDescent="0.35">
      <c r="A128" t="s">
        <v>85</v>
      </c>
      <c r="B128" t="s">
        <v>365</v>
      </c>
      <c r="C128" s="31">
        <v>1663</v>
      </c>
      <c r="D128" s="31">
        <v>530</v>
      </c>
      <c r="E128" s="72">
        <v>1867</v>
      </c>
      <c r="F128" s="31">
        <v>610</v>
      </c>
      <c r="G128" s="73">
        <v>688622.31999999937</v>
      </c>
      <c r="H128" s="31">
        <v>115402.82000000021</v>
      </c>
      <c r="I128" s="72">
        <v>452276.21000000223</v>
      </c>
      <c r="J128" s="72">
        <v>70307.330000000264</v>
      </c>
      <c r="K128" s="31">
        <v>6335.7142857142853</v>
      </c>
      <c r="L128" s="31">
        <v>4057</v>
      </c>
      <c r="M128" s="74">
        <v>3.3935266661565535</v>
      </c>
      <c r="N128" s="74">
        <v>6.8555168408826939</v>
      </c>
      <c r="O128" s="75">
        <v>368.8389501874662</v>
      </c>
      <c r="P128" s="75">
        <v>189.18495081967248</v>
      </c>
      <c r="Q128" s="76">
        <v>0.65678412805440678</v>
      </c>
      <c r="R128" s="76">
        <v>0.60381447291161117</v>
      </c>
      <c r="S128" s="31">
        <v>2242.8571428571427</v>
      </c>
      <c r="T128" s="31"/>
      <c r="U128" s="76">
        <v>0.52709602450790527</v>
      </c>
      <c r="V128" s="76">
        <v>1.9852459016393444</v>
      </c>
      <c r="W128" s="76">
        <v>4.8095320374319925</v>
      </c>
      <c r="X128" s="76">
        <v>5.3197143865260745</v>
      </c>
      <c r="Y128" s="76">
        <v>0.20241767304584468</v>
      </c>
      <c r="Z128" s="76">
        <v>0.29693531407182117</v>
      </c>
      <c r="AA128" s="76">
        <v>1.7455882352941177</v>
      </c>
      <c r="AB128" s="76">
        <v>1.4839789094445104</v>
      </c>
      <c r="AC128" s="76">
        <v>-9.5283525215711373E-2</v>
      </c>
      <c r="AD128" s="142">
        <v>2.2933689682794061</v>
      </c>
      <c r="AE128" s="142">
        <v>4.6144263257503955</v>
      </c>
      <c r="AF128" s="142">
        <v>5.9667274531105212</v>
      </c>
    </row>
    <row r="129" spans="1:32" x14ac:dyDescent="0.35">
      <c r="A129" t="s">
        <v>85</v>
      </c>
      <c r="B129" t="s">
        <v>366</v>
      </c>
      <c r="C129" s="31">
        <v>633</v>
      </c>
      <c r="D129" s="31">
        <v>207</v>
      </c>
      <c r="E129" s="72">
        <v>655</v>
      </c>
      <c r="F129" s="31">
        <v>220</v>
      </c>
      <c r="G129" s="73">
        <v>627714.8399999988</v>
      </c>
      <c r="H129" s="31">
        <v>89825.660000000076</v>
      </c>
      <c r="I129" s="72">
        <v>424864.0499999997</v>
      </c>
      <c r="J129" s="72">
        <v>54039.760000000075</v>
      </c>
      <c r="K129" s="31">
        <v>7612.2857142857147</v>
      </c>
      <c r="L129" s="31">
        <v>2948</v>
      </c>
      <c r="M129" s="74">
        <v>11.621810250817886</v>
      </c>
      <c r="N129" s="74">
        <v>14.032869785082175</v>
      </c>
      <c r="O129" s="75">
        <v>958.34326717557065</v>
      </c>
      <c r="P129" s="75">
        <v>408.29845454545489</v>
      </c>
      <c r="Q129" s="76">
        <v>0.67684244967030016</v>
      </c>
      <c r="R129" s="76">
        <v>0.58589860266248961</v>
      </c>
      <c r="S129" s="31">
        <v>4529.1428571428569</v>
      </c>
      <c r="T129" s="31"/>
      <c r="U129" s="76">
        <v>1.5092556697034309</v>
      </c>
      <c r="V129" s="76">
        <v>1.8590909090909089</v>
      </c>
      <c r="W129" s="76">
        <v>5.7186452067259852</v>
      </c>
      <c r="X129" s="76">
        <v>6.7524901161310318</v>
      </c>
      <c r="Y129" s="76">
        <v>7.6265250350715519E-3</v>
      </c>
      <c r="Z129" s="76">
        <v>-2.4280377938914466E-2</v>
      </c>
      <c r="AA129" s="76">
        <v>1.0802469135802406E-2</v>
      </c>
      <c r="AB129" s="76">
        <v>-1.3308963777901361E-2</v>
      </c>
      <c r="AC129" s="76">
        <v>-2.3853753477984907E-2</v>
      </c>
      <c r="AD129" s="142">
        <v>-6.8661409082584612E-2</v>
      </c>
      <c r="AE129" s="142">
        <v>0.41299856390651007</v>
      </c>
      <c r="AF129" s="142">
        <v>0.75907850464106408</v>
      </c>
    </row>
    <row r="130" spans="1:32" x14ac:dyDescent="0.35">
      <c r="A130" t="s">
        <v>85</v>
      </c>
      <c r="B130" t="s">
        <v>351</v>
      </c>
      <c r="C130" s="31">
        <v>1292</v>
      </c>
      <c r="D130" s="31">
        <v>734</v>
      </c>
      <c r="E130" s="72">
        <v>1393</v>
      </c>
      <c r="F130" s="31">
        <v>786</v>
      </c>
      <c r="G130" s="73">
        <v>627211.05999998667</v>
      </c>
      <c r="H130" s="31">
        <v>352661.0099999996</v>
      </c>
      <c r="I130" s="72">
        <v>277480.25000000006</v>
      </c>
      <c r="J130" s="72">
        <v>186081.17999999976</v>
      </c>
      <c r="K130" s="31">
        <v>12608.857142857143</v>
      </c>
      <c r="L130" s="31">
        <v>11053.285714285714</v>
      </c>
      <c r="M130" s="74">
        <v>9.0515844528766287</v>
      </c>
      <c r="N130" s="74">
        <v>14.317697228144988</v>
      </c>
      <c r="O130" s="75">
        <v>450.25919597988991</v>
      </c>
      <c r="P130" s="75">
        <v>448.67812977099186</v>
      </c>
      <c r="Q130" s="76">
        <v>0.44240331157426649</v>
      </c>
      <c r="R130" s="76">
        <v>0.51652678136071806</v>
      </c>
      <c r="S130" s="31">
        <v>10976.571428571429</v>
      </c>
      <c r="T130" s="31"/>
      <c r="U130" s="76">
        <v>0.10656172049681412</v>
      </c>
      <c r="V130" s="76">
        <v>0.68320610687022909</v>
      </c>
      <c r="W130" s="76">
        <v>0.68761525409340285</v>
      </c>
      <c r="X130" s="76">
        <v>0.44188790146471701</v>
      </c>
      <c r="Y130" s="76">
        <v>-6.651563833237395E-3</v>
      </c>
      <c r="Z130" s="76">
        <v>-2.1594058308391451E-2</v>
      </c>
      <c r="AA130" s="76">
        <v>3.4149962880475115E-2</v>
      </c>
      <c r="AB130" s="76">
        <v>6.1530985021750251E-2</v>
      </c>
      <c r="AC130" s="76">
        <v>2.6476839069847324E-2</v>
      </c>
      <c r="AD130" s="142">
        <v>0.70847608961343433</v>
      </c>
      <c r="AE130" s="142">
        <v>0.34408243937875499</v>
      </c>
      <c r="AF130" s="142">
        <v>0.10936045081401272</v>
      </c>
    </row>
    <row r="131" spans="1:32" x14ac:dyDescent="0.35">
      <c r="A131" t="s">
        <v>85</v>
      </c>
      <c r="B131" t="s">
        <v>371</v>
      </c>
      <c r="C131" s="31">
        <v>448</v>
      </c>
      <c r="D131" s="31">
        <v>128</v>
      </c>
      <c r="E131" s="72">
        <v>664</v>
      </c>
      <c r="F131" s="31">
        <v>193</v>
      </c>
      <c r="G131" s="73">
        <v>622493.37999999663</v>
      </c>
      <c r="H131" s="31">
        <v>32079.540000000008</v>
      </c>
      <c r="I131" s="72">
        <v>403097.45000000036</v>
      </c>
      <c r="J131" s="72">
        <v>15852.780000000013</v>
      </c>
      <c r="K131" s="31">
        <v>3937.5714285714284</v>
      </c>
      <c r="L131" s="31">
        <v>4584.7142857142853</v>
      </c>
      <c r="M131" s="74">
        <v>5.9300774526678142</v>
      </c>
      <c r="N131" s="74">
        <v>24.271062271062274</v>
      </c>
      <c r="O131" s="75">
        <v>937.49003012047683</v>
      </c>
      <c r="P131" s="75">
        <v>166.21523316062181</v>
      </c>
      <c r="Q131" s="76">
        <v>0.64755299084466178</v>
      </c>
      <c r="R131" s="76">
        <v>0.49085573818104378</v>
      </c>
      <c r="S131" s="31">
        <v>394.85714285714283</v>
      </c>
      <c r="T131" s="31"/>
      <c r="U131" s="76">
        <v>-0.17418128563861268</v>
      </c>
      <c r="V131" s="76">
        <v>2.295336787564767</v>
      </c>
      <c r="W131" s="76">
        <v>17.526667776408164</v>
      </c>
      <c r="X131" s="76">
        <v>23.454232622160767</v>
      </c>
      <c r="Y131" s="76">
        <v>4.4441563065592993E-2</v>
      </c>
      <c r="Z131" s="76">
        <v>1.6972290890307384E-2</v>
      </c>
      <c r="AA131" s="76">
        <v>6.0606060606060996E-3</v>
      </c>
      <c r="AB131" s="76">
        <v>2.4573618537057085E-2</v>
      </c>
      <c r="AC131" s="76">
        <v>1.8401488304906177E-2</v>
      </c>
      <c r="AD131" s="142">
        <v>0.63236206970726894</v>
      </c>
      <c r="AE131" s="142">
        <v>2.1742509862236088</v>
      </c>
      <c r="AF131" s="142">
        <v>2.8348177544417266</v>
      </c>
    </row>
    <row r="132" spans="1:32" x14ac:dyDescent="0.35">
      <c r="A132" t="s">
        <v>85</v>
      </c>
      <c r="B132" t="s">
        <v>355</v>
      </c>
      <c r="C132" s="31">
        <v>594</v>
      </c>
      <c r="D132" s="31">
        <v>308</v>
      </c>
      <c r="E132" s="72">
        <v>667</v>
      </c>
      <c r="F132" s="31">
        <v>374</v>
      </c>
      <c r="G132" s="73">
        <v>588354.66000000178</v>
      </c>
      <c r="H132" s="31">
        <v>239997.72000000012</v>
      </c>
      <c r="I132" s="72">
        <v>284242.48000000097</v>
      </c>
      <c r="J132" s="72">
        <v>116083.26000000018</v>
      </c>
      <c r="K132" s="31">
        <v>10900.714285714286</v>
      </c>
      <c r="L132" s="31">
        <v>9610</v>
      </c>
      <c r="M132" s="74">
        <v>16.342899978582139</v>
      </c>
      <c r="N132" s="74">
        <v>26.571428571428573</v>
      </c>
      <c r="O132" s="75">
        <v>882.09094452773877</v>
      </c>
      <c r="P132" s="75">
        <v>641.70513368983984</v>
      </c>
      <c r="Q132" s="76">
        <v>0.48311418150406105</v>
      </c>
      <c r="R132" s="76">
        <v>0.47595057469171959</v>
      </c>
      <c r="S132" s="31">
        <v>3828.2857142857142</v>
      </c>
      <c r="T132" s="31"/>
      <c r="U132" s="76">
        <v>9.8751300728407987E-2</v>
      </c>
      <c r="V132" s="76">
        <v>0.71122994652406413</v>
      </c>
      <c r="W132" s="76">
        <v>1.3546259939469487</v>
      </c>
      <c r="X132" s="76">
        <v>1.4009001721393202</v>
      </c>
      <c r="Y132" s="76">
        <v>-3.5981472232798795E-2</v>
      </c>
      <c r="Z132" s="76">
        <v>-2.7094224148922486E-2</v>
      </c>
      <c r="AA132" s="76">
        <v>-7.440476190476164E-3</v>
      </c>
      <c r="AB132" s="76">
        <v>4.0795167932436538E-2</v>
      </c>
      <c r="AC132" s="76">
        <v>4.859723066056576E-2</v>
      </c>
      <c r="AD132" s="142">
        <v>0.43516538183145165</v>
      </c>
      <c r="AE132" s="142">
        <v>0.72576208147949184</v>
      </c>
      <c r="AF132" s="142">
        <v>0.62828463753469077</v>
      </c>
    </row>
    <row r="133" spans="1:32" x14ac:dyDescent="0.35">
      <c r="A133" t="s">
        <v>85</v>
      </c>
      <c r="B133" t="s">
        <v>344</v>
      </c>
      <c r="C133" s="31">
        <v>846</v>
      </c>
      <c r="D133" s="31">
        <v>1450</v>
      </c>
      <c r="E133" s="72">
        <v>1006</v>
      </c>
      <c r="F133" s="31">
        <v>1700</v>
      </c>
      <c r="G133" s="73">
        <v>586403.95999999449</v>
      </c>
      <c r="H133" s="31">
        <v>705603.97999999835</v>
      </c>
      <c r="I133" s="72">
        <v>341203.94999999972</v>
      </c>
      <c r="J133" s="72">
        <v>432692.34999999881</v>
      </c>
      <c r="K133" s="31">
        <v>18226.428571428572</v>
      </c>
      <c r="L133" s="31">
        <v>25174.142857142859</v>
      </c>
      <c r="M133" s="74">
        <v>18.117722238000567</v>
      </c>
      <c r="N133" s="74">
        <v>14.939287751609486</v>
      </c>
      <c r="O133" s="75">
        <v>582.90652087474598</v>
      </c>
      <c r="P133" s="75">
        <v>415.06116470588137</v>
      </c>
      <c r="Q133" s="76">
        <v>0.5818581955005947</v>
      </c>
      <c r="R133" s="76">
        <v>0.5943878002377706</v>
      </c>
      <c r="S133" s="31">
        <v>3826.7142857142858</v>
      </c>
      <c r="T133" s="31"/>
      <c r="U133" s="76">
        <v>-0.2983560229033192</v>
      </c>
      <c r="V133" s="76">
        <v>-0.43058823529411761</v>
      </c>
      <c r="W133" s="76">
        <v>-0.19681096470006487</v>
      </c>
      <c r="X133" s="76">
        <v>-0.2104424329479726</v>
      </c>
      <c r="Y133" s="76">
        <v>-3.1513171513447569E-2</v>
      </c>
      <c r="Z133" s="76">
        <v>-4.2995266920197617E-2</v>
      </c>
      <c r="AA133" s="76">
        <v>9.9502487562186381E-4</v>
      </c>
      <c r="AB133" s="76">
        <v>-6.4742477687155908E-2</v>
      </c>
      <c r="AC133" s="76">
        <v>-6.5672157132795062E-2</v>
      </c>
      <c r="AD133" s="142">
        <v>-0.33014292259708244</v>
      </c>
      <c r="AE133" s="142">
        <v>-0.23689855647147182</v>
      </c>
      <c r="AF133" s="142">
        <v>-0.19885375219055887</v>
      </c>
    </row>
    <row r="134" spans="1:32" x14ac:dyDescent="0.35">
      <c r="A134" t="s">
        <v>85</v>
      </c>
      <c r="B134" t="s">
        <v>347</v>
      </c>
      <c r="C134" s="31">
        <v>1035</v>
      </c>
      <c r="D134" s="31">
        <v>1191</v>
      </c>
      <c r="E134" s="72">
        <v>1351</v>
      </c>
      <c r="F134" s="31">
        <v>1699</v>
      </c>
      <c r="G134" s="73">
        <v>565356.60000000172</v>
      </c>
      <c r="H134" s="31">
        <v>393347.48000000126</v>
      </c>
      <c r="I134" s="72">
        <v>411320.38999999978</v>
      </c>
      <c r="J134" s="72">
        <v>215131.44000000102</v>
      </c>
      <c r="K134" s="31">
        <v>17422</v>
      </c>
      <c r="L134" s="31">
        <v>20466.428571428572</v>
      </c>
      <c r="M134" s="74">
        <v>12.895632864544782</v>
      </c>
      <c r="N134" s="74">
        <v>12.300239333168276</v>
      </c>
      <c r="O134" s="75">
        <v>418.47268689859493</v>
      </c>
      <c r="P134" s="75">
        <v>231.51705709240804</v>
      </c>
      <c r="Q134" s="76">
        <v>0.7275415021244972</v>
      </c>
      <c r="R134" s="76">
        <v>0.53575630799458562</v>
      </c>
      <c r="S134" s="31">
        <v>11752.571428571429</v>
      </c>
      <c r="T134" s="31"/>
      <c r="U134" s="76">
        <v>-0.17046731581335295</v>
      </c>
      <c r="V134" s="76">
        <v>-0.22483814008240144</v>
      </c>
      <c r="W134" s="76">
        <v>0.39947986955452186</v>
      </c>
      <c r="X134" s="76">
        <v>0.90593013190296379</v>
      </c>
      <c r="Y134" s="76">
        <v>-1.1229123699663113E-4</v>
      </c>
      <c r="Z134" s="76">
        <v>3.7779332482816841E-3</v>
      </c>
      <c r="AA134" s="76">
        <v>2.5816249050873097E-2</v>
      </c>
      <c r="AB134" s="76">
        <v>1.6639022536055315E-2</v>
      </c>
      <c r="AC134" s="76">
        <v>-8.9462674463471892E-3</v>
      </c>
      <c r="AD134" s="142">
        <v>-0.33515700112403252</v>
      </c>
      <c r="AE134" s="142">
        <v>1.0734466616774967E-3</v>
      </c>
      <c r="AF134" s="142">
        <v>0.36858146672794911</v>
      </c>
    </row>
    <row r="135" spans="1:32" x14ac:dyDescent="0.35">
      <c r="A135" t="s">
        <v>85</v>
      </c>
      <c r="B135" t="s">
        <v>348</v>
      </c>
      <c r="C135" s="31">
        <v>760</v>
      </c>
      <c r="D135" s="31">
        <v>641</v>
      </c>
      <c r="E135" s="72">
        <v>878</v>
      </c>
      <c r="F135" s="31">
        <v>776</v>
      </c>
      <c r="G135" s="73">
        <v>492849.13999999798</v>
      </c>
      <c r="H135" s="31">
        <v>312922.38999999955</v>
      </c>
      <c r="I135" s="72">
        <v>294388.62</v>
      </c>
      <c r="J135" s="72">
        <v>158445.25999999957</v>
      </c>
      <c r="K135" s="31">
        <v>13005.142857142857</v>
      </c>
      <c r="L135" s="31">
        <v>16892</v>
      </c>
      <c r="M135" s="74">
        <v>14.812235600390498</v>
      </c>
      <c r="N135" s="74">
        <v>22.213299874529486</v>
      </c>
      <c r="O135" s="75">
        <v>561.33159453302733</v>
      </c>
      <c r="P135" s="75">
        <v>403.25050257731903</v>
      </c>
      <c r="Q135" s="76">
        <v>0.59731994256904086</v>
      </c>
      <c r="R135" s="76">
        <v>0.49184037397997471</v>
      </c>
      <c r="S135" s="31">
        <v>352.71428571428572</v>
      </c>
      <c r="T135" s="31"/>
      <c r="U135" s="76">
        <v>-0.25933662595987961</v>
      </c>
      <c r="V135" s="76">
        <v>8.247422680412364E-2</v>
      </c>
      <c r="W135" s="76">
        <v>0.50815986673244673</v>
      </c>
      <c r="X135" s="76">
        <v>0.83802374867963825</v>
      </c>
      <c r="Y135" s="76">
        <v>-5.927544674040186E-2</v>
      </c>
      <c r="Z135" s="76">
        <v>-6.5847126307040371E-2</v>
      </c>
      <c r="AA135" s="76">
        <v>5.1497005988023981E-2</v>
      </c>
      <c r="AB135" s="76">
        <v>6.4483331265625221E-2</v>
      </c>
      <c r="AC135" s="76">
        <v>1.2350320736671083E-2</v>
      </c>
      <c r="AD135" s="142">
        <v>0.84155920916987415</v>
      </c>
      <c r="AE135" s="142">
        <v>1.1364646322221719</v>
      </c>
      <c r="AF135" s="142">
        <v>1.4110353060261447</v>
      </c>
    </row>
    <row r="136" spans="1:32" x14ac:dyDescent="0.35">
      <c r="A136" t="s">
        <v>85</v>
      </c>
      <c r="B136" t="s">
        <v>357</v>
      </c>
      <c r="C136" s="31">
        <v>361</v>
      </c>
      <c r="D136" s="31">
        <v>251</v>
      </c>
      <c r="E136" s="72">
        <v>447</v>
      </c>
      <c r="F136" s="31">
        <v>291</v>
      </c>
      <c r="G136" s="73">
        <v>436801.859999999</v>
      </c>
      <c r="H136" s="31">
        <v>184157.50999999992</v>
      </c>
      <c r="I136" s="72">
        <v>249148.35000000041</v>
      </c>
      <c r="J136" s="72">
        <v>86919.249999999869</v>
      </c>
      <c r="K136" s="31">
        <v>6203.4285714285716</v>
      </c>
      <c r="L136" s="31">
        <v>5234.8571428571431</v>
      </c>
      <c r="M136" s="74">
        <v>13.877916267178012</v>
      </c>
      <c r="N136" s="74">
        <v>18.449806949806948</v>
      </c>
      <c r="O136" s="75">
        <v>977.18536912751449</v>
      </c>
      <c r="P136" s="75">
        <v>632.84367697594473</v>
      </c>
      <c r="Q136" s="76">
        <v>0.57039214530817473</v>
      </c>
      <c r="R136" s="76">
        <v>0.46440635457848611</v>
      </c>
      <c r="S136" s="31">
        <v>2686.5714285714284</v>
      </c>
      <c r="T136" s="31"/>
      <c r="U136" s="76">
        <v>0.1433249645235235</v>
      </c>
      <c r="V136" s="76">
        <v>0.42955326460481102</v>
      </c>
      <c r="W136" s="76">
        <v>1.1791467532331361</v>
      </c>
      <c r="X136" s="76">
        <v>1.6470469745849261</v>
      </c>
      <c r="Y136" s="76">
        <v>-5.2400771169824001E-2</v>
      </c>
      <c r="Z136" s="76">
        <v>-5.4005184846306342E-2</v>
      </c>
      <c r="AA136" s="76">
        <v>6.7567567567567988E-3</v>
      </c>
      <c r="AB136" s="76">
        <v>2.4766203917561791E-2</v>
      </c>
      <c r="AC136" s="76">
        <v>1.7888578387913689E-2</v>
      </c>
      <c r="AD136" s="142">
        <v>-0.31684980033521748</v>
      </c>
      <c r="AE136" s="142">
        <v>-7.2521539851814448E-2</v>
      </c>
      <c r="AF136" s="142">
        <v>-7.7018004640279619E-3</v>
      </c>
    </row>
    <row r="137" spans="1:32" x14ac:dyDescent="0.35">
      <c r="A137" t="s">
        <v>85</v>
      </c>
      <c r="B137" t="s">
        <v>349</v>
      </c>
      <c r="C137" s="31">
        <v>597</v>
      </c>
      <c r="D137" s="31">
        <v>840</v>
      </c>
      <c r="E137" s="72">
        <v>711</v>
      </c>
      <c r="F137" s="31">
        <v>1064</v>
      </c>
      <c r="G137" s="73">
        <v>372031.80999999976</v>
      </c>
      <c r="H137" s="31">
        <v>300535.63999999897</v>
      </c>
      <c r="I137" s="72">
        <v>216317.12999999992</v>
      </c>
      <c r="J137" s="72">
        <v>165273.57999999894</v>
      </c>
      <c r="K137" s="31">
        <v>10621</v>
      </c>
      <c r="L137" s="31">
        <v>19364.857142857141</v>
      </c>
      <c r="M137" s="74">
        <v>14.938115330520393</v>
      </c>
      <c r="N137" s="74">
        <v>18.52196790318337</v>
      </c>
      <c r="O137" s="75">
        <v>523.25149085794624</v>
      </c>
      <c r="P137" s="75">
        <v>282.45830827067573</v>
      </c>
      <c r="Q137" s="76">
        <v>0.58144794123921839</v>
      </c>
      <c r="R137" s="76">
        <v>0.54146242139881651</v>
      </c>
      <c r="S137" s="31">
        <v>6182.2857142857147</v>
      </c>
      <c r="T137" s="31"/>
      <c r="U137" s="76">
        <v>-0.46968735706803189</v>
      </c>
      <c r="V137" s="76">
        <v>-0.37406015037593987</v>
      </c>
      <c r="W137" s="76">
        <v>0.15526667652462622</v>
      </c>
      <c r="X137" s="76">
        <v>0.23648592415374092</v>
      </c>
      <c r="Y137" s="76">
        <v>-4.5853956103004356E-2</v>
      </c>
      <c r="Z137" s="76">
        <v>-4.5646509120316314E-2</v>
      </c>
      <c r="AA137" s="76">
        <v>2.8943560057887119E-2</v>
      </c>
      <c r="AB137" s="76">
        <v>6.6283851904229252E-2</v>
      </c>
      <c r="AC137" s="76">
        <v>3.6289932019440752E-2</v>
      </c>
      <c r="AD137" s="142">
        <v>-0.33370843080932205</v>
      </c>
      <c r="AE137" s="142">
        <v>-0.19310923593720564</v>
      </c>
      <c r="AF137" s="142">
        <v>-0.12313822957920326</v>
      </c>
    </row>
    <row r="138" spans="1:32" x14ac:dyDescent="0.35">
      <c r="A138" t="s">
        <v>85</v>
      </c>
      <c r="B138" t="s">
        <v>361</v>
      </c>
      <c r="C138" s="31">
        <v>736</v>
      </c>
      <c r="D138" s="31">
        <v>491</v>
      </c>
      <c r="E138" s="72">
        <v>1042</v>
      </c>
      <c r="F138" s="31">
        <v>615</v>
      </c>
      <c r="G138" s="73">
        <v>274491.26999999868</v>
      </c>
      <c r="H138" s="31">
        <v>148812.65000000058</v>
      </c>
      <c r="I138" s="72">
        <v>46677.390000000065</v>
      </c>
      <c r="J138" s="72">
        <v>54923.380000000485</v>
      </c>
      <c r="K138" s="31">
        <v>19623.857142857141</v>
      </c>
      <c r="L138" s="31">
        <v>24700.285714285714</v>
      </c>
      <c r="M138" s="74">
        <v>18.832876336715106</v>
      </c>
      <c r="N138" s="74">
        <v>40.122130599509696</v>
      </c>
      <c r="O138" s="75">
        <v>263.42732245681253</v>
      </c>
      <c r="P138" s="75">
        <v>241.97178861788711</v>
      </c>
      <c r="Q138" s="76">
        <v>0.17005054477688958</v>
      </c>
      <c r="R138" s="76">
        <v>0.3559463292928281</v>
      </c>
      <c r="S138" s="31">
        <v>170.28571428571428</v>
      </c>
      <c r="T138" s="31"/>
      <c r="U138" s="76">
        <v>-0.22590253438363928</v>
      </c>
      <c r="V138" s="76">
        <v>0.67154471544715455</v>
      </c>
      <c r="W138" s="76">
        <v>0.80192819629243406</v>
      </c>
      <c r="X138" s="76">
        <v>-0.17944259499035531</v>
      </c>
      <c r="Y138" s="76">
        <v>-6.2174034370635956E-2</v>
      </c>
      <c r="Z138" s="76">
        <v>-6.5467038574052672E-2</v>
      </c>
      <c r="AA138" s="76">
        <v>-0.25143678160919536</v>
      </c>
      <c r="AB138" s="76">
        <v>-0.1649732525886024</v>
      </c>
      <c r="AC138" s="76">
        <v>0.1155059811868191</v>
      </c>
      <c r="AD138" s="142">
        <v>2.4719260459760317</v>
      </c>
      <c r="AE138" s="142">
        <v>1.0992196193098451</v>
      </c>
      <c r="AF138" s="142">
        <v>-0.27145782953082281</v>
      </c>
    </row>
    <row r="139" spans="1:32" x14ac:dyDescent="0.35">
      <c r="A139" t="s">
        <v>85</v>
      </c>
      <c r="B139" t="s">
        <v>358</v>
      </c>
      <c r="C139" s="31">
        <v>263</v>
      </c>
      <c r="D139" s="31">
        <v>312</v>
      </c>
      <c r="E139" s="72">
        <v>309</v>
      </c>
      <c r="F139" s="31">
        <v>364</v>
      </c>
      <c r="G139" s="73">
        <v>228468.16999999984</v>
      </c>
      <c r="H139" s="31">
        <v>149893.62000000023</v>
      </c>
      <c r="I139" s="72">
        <v>173917.38000000041</v>
      </c>
      <c r="J139" s="72">
        <v>83718.170000000173</v>
      </c>
      <c r="K139" s="31">
        <v>4468.8571428571431</v>
      </c>
      <c r="L139" s="31">
        <v>3779.5714285714284</v>
      </c>
      <c r="M139" s="74">
        <v>14.462320850670366</v>
      </c>
      <c r="N139" s="74">
        <v>10.619685944082727</v>
      </c>
      <c r="O139" s="75">
        <v>739.37919093851076</v>
      </c>
      <c r="P139" s="75">
        <v>411.79565934065999</v>
      </c>
      <c r="Q139" s="76">
        <v>0.7612324290075092</v>
      </c>
      <c r="R139" s="76">
        <v>0.54592993554729785</v>
      </c>
      <c r="S139" s="31">
        <v>220.57142857142858</v>
      </c>
      <c r="T139" s="31"/>
      <c r="U139" s="76">
        <v>0.13792191102543772</v>
      </c>
      <c r="V139" s="76">
        <v>-0.20329670329670335</v>
      </c>
      <c r="W139" s="76">
        <v>0.42857934847393531</v>
      </c>
      <c r="X139" s="76">
        <v>0.99162631607754737</v>
      </c>
      <c r="Y139" s="76">
        <v>-6.4954744833123246E-2</v>
      </c>
      <c r="Z139" s="76">
        <v>-6.4589438430715851E-2</v>
      </c>
      <c r="AA139" s="76">
        <v>1.6447368421052655E-2</v>
      </c>
      <c r="AB139" s="76">
        <v>7.752349327421193E-3</v>
      </c>
      <c r="AC139" s="76">
        <v>-8.5543229917927066E-3</v>
      </c>
      <c r="AD139" s="142">
        <v>-0.41692040378545087</v>
      </c>
      <c r="AE139" s="142">
        <v>-0.11273167597630583</v>
      </c>
      <c r="AF139" s="142">
        <v>0.16427883195565399</v>
      </c>
    </row>
    <row r="140" spans="1:32" x14ac:dyDescent="0.35">
      <c r="A140" t="s">
        <v>85</v>
      </c>
      <c r="B140" t="s">
        <v>354</v>
      </c>
      <c r="C140" s="31">
        <v>489</v>
      </c>
      <c r="D140" s="31">
        <v>377</v>
      </c>
      <c r="E140" s="72">
        <v>660</v>
      </c>
      <c r="F140" s="31">
        <v>555</v>
      </c>
      <c r="G140" s="73">
        <v>211418.61000000071</v>
      </c>
      <c r="H140" s="31">
        <v>139668.42000000045</v>
      </c>
      <c r="I140" s="72">
        <v>77003.439999999944</v>
      </c>
      <c r="J140" s="72">
        <v>71879.240000000515</v>
      </c>
      <c r="K140" s="31">
        <v>8289.4285714285706</v>
      </c>
      <c r="L140" s="31">
        <v>17595.714285714286</v>
      </c>
      <c r="M140" s="74">
        <v>12.559740259740259</v>
      </c>
      <c r="N140" s="74">
        <v>32.309566555527063</v>
      </c>
      <c r="O140" s="75">
        <v>320.33122727272837</v>
      </c>
      <c r="P140" s="75">
        <v>251.65481081081163</v>
      </c>
      <c r="Q140" s="76">
        <v>0.36422261975896864</v>
      </c>
      <c r="R140" s="76">
        <v>0.51329452591450853</v>
      </c>
      <c r="S140" s="31">
        <v>15158.142857142857</v>
      </c>
      <c r="T140" s="31"/>
      <c r="U140" s="76">
        <v>-0.54302183973370144</v>
      </c>
      <c r="V140" s="76">
        <v>0.15315315315315314</v>
      </c>
      <c r="W140" s="76">
        <v>0.46151212994319013</v>
      </c>
      <c r="X140" s="76">
        <v>1.4773799213863015E-2</v>
      </c>
      <c r="Y140" s="76">
        <v>-0.10046184050663098</v>
      </c>
      <c r="Z140" s="76">
        <v>-9.0244896679314013E-2</v>
      </c>
      <c r="AA140" s="76">
        <v>-0.13725490196078427</v>
      </c>
      <c r="AB140" s="76">
        <v>-1.2048264488644378E-3</v>
      </c>
      <c r="AC140" s="76">
        <v>0.157694405706998</v>
      </c>
      <c r="AD140" s="142">
        <v>0.40108975062513019</v>
      </c>
      <c r="AE140" s="142">
        <v>0.28456457628115062</v>
      </c>
      <c r="AF140" s="142">
        <v>7.4750402742638278E-2</v>
      </c>
    </row>
    <row r="141" spans="1:32" x14ac:dyDescent="0.35">
      <c r="A141" t="s">
        <v>85</v>
      </c>
      <c r="B141" t="s">
        <v>353</v>
      </c>
      <c r="C141" s="31">
        <v>318</v>
      </c>
      <c r="D141" s="31">
        <v>356</v>
      </c>
      <c r="E141" s="72">
        <v>526</v>
      </c>
      <c r="F141" s="31">
        <v>628</v>
      </c>
      <c r="G141" s="73">
        <v>205564.9600000013</v>
      </c>
      <c r="H141" s="31">
        <v>171178.6400000001</v>
      </c>
      <c r="I141" s="72">
        <v>103699.20999999988</v>
      </c>
      <c r="J141" s="72">
        <v>94176.830000000075</v>
      </c>
      <c r="K141" s="31">
        <v>5405.7142857142853</v>
      </c>
      <c r="L141" s="31">
        <v>10739.285714285714</v>
      </c>
      <c r="M141" s="74">
        <v>10.277023356871265</v>
      </c>
      <c r="N141" s="74">
        <v>17.498770400178852</v>
      </c>
      <c r="O141" s="75">
        <v>390.80790874524962</v>
      </c>
      <c r="P141" s="75">
        <v>272.57745222929952</v>
      </c>
      <c r="Q141" s="76">
        <v>0.50445956353650556</v>
      </c>
      <c r="R141" s="76">
        <v>0.54400434524955532</v>
      </c>
      <c r="S141" s="31">
        <v>5520.7142857142853</v>
      </c>
      <c r="T141" s="31"/>
      <c r="U141" s="76">
        <v>-0.51656800798137681</v>
      </c>
      <c r="V141" s="76">
        <v>-0.17834394904458595</v>
      </c>
      <c r="W141" s="76">
        <v>0.16724090108439449</v>
      </c>
      <c r="X141" s="76">
        <v>7.3315995041649762E-2</v>
      </c>
      <c r="Y141" s="76">
        <v>-7.2846157883609486E-2</v>
      </c>
      <c r="Z141" s="76">
        <v>-7.3888249834797803E-2</v>
      </c>
      <c r="AA141" s="76">
        <v>-9.1537132987910219E-2</v>
      </c>
      <c r="AB141" s="76">
        <v>-7.9810625334520768E-2</v>
      </c>
      <c r="AC141" s="76">
        <v>1.2908075915042616E-2</v>
      </c>
      <c r="AD141" s="142">
        <v>-0.14882475515361548</v>
      </c>
      <c r="AE141" s="142">
        <v>0.25060528951892425</v>
      </c>
      <c r="AF141" s="142">
        <v>0.19843544713097869</v>
      </c>
    </row>
    <row r="142" spans="1:32" x14ac:dyDescent="0.35">
      <c r="A142" t="s">
        <v>85</v>
      </c>
      <c r="B142" t="s">
        <v>372</v>
      </c>
      <c r="C142" s="31">
        <v>279</v>
      </c>
      <c r="D142" s="31">
        <v>70</v>
      </c>
      <c r="E142" s="72">
        <v>289</v>
      </c>
      <c r="F142" s="31">
        <v>72</v>
      </c>
      <c r="G142" s="73">
        <v>175352.8800000007</v>
      </c>
      <c r="H142" s="31">
        <v>22023.06</v>
      </c>
      <c r="I142" s="72">
        <v>99111.640000000334</v>
      </c>
      <c r="J142" s="72">
        <v>10396.550000000003</v>
      </c>
      <c r="K142" s="31">
        <v>4010</v>
      </c>
      <c r="L142" s="31">
        <v>2397.5714285714284</v>
      </c>
      <c r="M142" s="74">
        <v>13.875432525951558</v>
      </c>
      <c r="N142" s="74">
        <v>34.181467181467184</v>
      </c>
      <c r="O142" s="75">
        <v>606.75737024221701</v>
      </c>
      <c r="P142" s="75">
        <v>305.87583333333333</v>
      </c>
      <c r="Q142" s="76">
        <v>0.56521250178497173</v>
      </c>
      <c r="R142" s="76">
        <v>0.4602334777795043</v>
      </c>
      <c r="S142" s="31">
        <v>133.85714285714286</v>
      </c>
      <c r="T142" s="31"/>
      <c r="U142" s="76">
        <v>0.6274206041828041</v>
      </c>
      <c r="V142" s="76">
        <v>2.9166666666666665</v>
      </c>
      <c r="W142" s="76">
        <v>6.7616943331217669</v>
      </c>
      <c r="X142" s="76">
        <v>8.5193283769603312</v>
      </c>
      <c r="Y142" s="76">
        <v>-5.8014959264076515E-2</v>
      </c>
      <c r="Z142" s="76">
        <v>-5.9001005698960829E-2</v>
      </c>
      <c r="AA142" s="76">
        <v>9.0566037735849036E-2</v>
      </c>
      <c r="AB142" s="76">
        <v>9.6546675726555398E-2</v>
      </c>
      <c r="AC142" s="76">
        <v>5.4839760122393777E-3</v>
      </c>
      <c r="AD142" s="142">
        <v>-0.39038281427980803</v>
      </c>
      <c r="AE142" s="142">
        <v>-0.15057916097799046</v>
      </c>
      <c r="AF142" s="142">
        <v>-0.10269325589443719</v>
      </c>
    </row>
    <row r="143" spans="1:32" x14ac:dyDescent="0.35">
      <c r="A143" t="s">
        <v>85</v>
      </c>
      <c r="B143" t="s">
        <v>363</v>
      </c>
      <c r="C143" s="31">
        <v>151</v>
      </c>
      <c r="D143" s="31">
        <v>235</v>
      </c>
      <c r="E143" s="72">
        <v>196</v>
      </c>
      <c r="F143" s="31">
        <v>320</v>
      </c>
      <c r="G143" s="73">
        <v>82836.900000000052</v>
      </c>
      <c r="H143" s="31">
        <v>110328.54000000007</v>
      </c>
      <c r="I143" s="72">
        <v>32838.710000000014</v>
      </c>
      <c r="J143" s="72">
        <v>49236.810000000041</v>
      </c>
      <c r="K143" s="31">
        <v>3471.7142857142858</v>
      </c>
      <c r="L143" s="31">
        <v>6739.5714285714284</v>
      </c>
      <c r="M143" s="74">
        <v>17.712827988338194</v>
      </c>
      <c r="N143" s="74">
        <v>21.187854958497162</v>
      </c>
      <c r="O143" s="75">
        <v>422.63724489795948</v>
      </c>
      <c r="P143" s="75">
        <v>344.77668750000021</v>
      </c>
      <c r="Q143" s="76">
        <v>0.39642610962022956</v>
      </c>
      <c r="R143" s="76">
        <v>0.4385401474156832</v>
      </c>
      <c r="S143" s="31">
        <v>7641.7142857142853</v>
      </c>
      <c r="T143" s="31"/>
      <c r="U143" s="76">
        <v>-0.50200309472836335</v>
      </c>
      <c r="V143" s="76">
        <v>-0.40312499999999996</v>
      </c>
      <c r="W143" s="76">
        <v>-0.26277498097953589</v>
      </c>
      <c r="X143" s="76">
        <v>-0.30665900901218202</v>
      </c>
      <c r="Y143" s="76">
        <v>-6.6145000994664915E-2</v>
      </c>
      <c r="Z143" s="76">
        <v>-6.6635941160655965E-2</v>
      </c>
      <c r="AA143" s="76">
        <v>-0.24615384615384617</v>
      </c>
      <c r="AB143" s="76">
        <v>-3.9963201075317478E-2</v>
      </c>
      <c r="AC143" s="76">
        <v>0.27351820265519122</v>
      </c>
      <c r="AD143" s="142">
        <v>-0.68128334837209781</v>
      </c>
      <c r="AE143" s="142">
        <v>-0.66787129705939441</v>
      </c>
      <c r="AF143" s="142">
        <v>-0.67691288691285212</v>
      </c>
    </row>
    <row r="144" spans="1:32" x14ac:dyDescent="0.35">
      <c r="A144" t="s">
        <v>85</v>
      </c>
      <c r="B144" t="s">
        <v>356</v>
      </c>
      <c r="C144" s="31">
        <v>318</v>
      </c>
      <c r="D144" s="31">
        <v>1436</v>
      </c>
      <c r="E144" s="72">
        <v>368</v>
      </c>
      <c r="F144" s="31">
        <v>1717</v>
      </c>
      <c r="G144" s="73">
        <v>69398.7600000003</v>
      </c>
      <c r="H144" s="31">
        <v>255790.66000000096</v>
      </c>
      <c r="I144" s="72">
        <v>42486.849999999984</v>
      </c>
      <c r="J144" s="72">
        <v>152231.66000000015</v>
      </c>
      <c r="K144" s="31">
        <v>3038.4285714285716</v>
      </c>
      <c r="L144" s="31">
        <v>39154.142857142855</v>
      </c>
      <c r="M144" s="74">
        <v>8.2565993788819885</v>
      </c>
      <c r="N144" s="74">
        <v>23.232142857142858</v>
      </c>
      <c r="O144" s="75">
        <v>188.58358695652257</v>
      </c>
      <c r="P144" s="75">
        <v>148.97534071054221</v>
      </c>
      <c r="Q144" s="76">
        <v>0.61221338825073823</v>
      </c>
      <c r="R144" s="76">
        <v>0.58644880784959719</v>
      </c>
      <c r="S144" s="31">
        <v>707.42857142857144</v>
      </c>
      <c r="T144" s="31"/>
      <c r="U144" s="76">
        <v>-0.92796237581135366</v>
      </c>
      <c r="V144" s="76">
        <v>-0.79965055329062318</v>
      </c>
      <c r="W144" s="76">
        <v>-0.74839214223068162</v>
      </c>
      <c r="X144" s="76">
        <v>-0.7356521023008078</v>
      </c>
      <c r="Y144" s="76">
        <v>-0.12588294435556313</v>
      </c>
      <c r="Z144" s="76">
        <v>-0.13067113545328213</v>
      </c>
      <c r="AA144" s="76">
        <v>-1.6042780748663055E-2</v>
      </c>
      <c r="AB144" s="76">
        <v>8.8312103646950302E-3</v>
      </c>
      <c r="AC144" s="76">
        <v>2.5279545316293506E-2</v>
      </c>
      <c r="AD144" s="142">
        <v>-0.79833060485967344</v>
      </c>
      <c r="AE144" s="142">
        <v>-0.76393168899714037</v>
      </c>
      <c r="AF144" s="142">
        <v>-0.73228549479593141</v>
      </c>
    </row>
    <row r="145" spans="1:32" x14ac:dyDescent="0.35">
      <c r="A145" t="s">
        <v>85</v>
      </c>
      <c r="B145" t="s">
        <v>368</v>
      </c>
      <c r="C145" s="31">
        <v>251</v>
      </c>
      <c r="D145" s="31">
        <v>127</v>
      </c>
      <c r="E145" s="72">
        <v>494</v>
      </c>
      <c r="F145" s="31">
        <v>208</v>
      </c>
      <c r="G145" s="73">
        <v>45867.790000000125</v>
      </c>
      <c r="H145" s="31">
        <v>22355.180000000008</v>
      </c>
      <c r="I145" s="72">
        <v>1123.6099999999985</v>
      </c>
      <c r="J145" s="72">
        <v>13089.410000000011</v>
      </c>
      <c r="K145" s="31">
        <v>17286.857142857141</v>
      </c>
      <c r="L145" s="31">
        <v>31594.857142857141</v>
      </c>
      <c r="M145" s="74">
        <v>34.993637941006362</v>
      </c>
      <c r="N145" s="74">
        <v>154.23351648351647</v>
      </c>
      <c r="O145" s="75">
        <v>92.84977732793547</v>
      </c>
      <c r="P145" s="75">
        <v>107.47682692307696</v>
      </c>
      <c r="Q145" s="76">
        <v>2.4496711090723915E-2</v>
      </c>
      <c r="R145" s="76">
        <v>0.58552022394809644</v>
      </c>
      <c r="S145" s="31">
        <v>7307.8571428571431</v>
      </c>
      <c r="T145" s="31"/>
      <c r="U145" s="76">
        <v>-0.46815033188041444</v>
      </c>
      <c r="V145" s="76">
        <v>1.3269230769230771</v>
      </c>
      <c r="W145" s="76">
        <v>0.99959204086033271</v>
      </c>
      <c r="X145" s="76">
        <v>-0.89962420002122745</v>
      </c>
      <c r="Y145" s="76">
        <v>-5.0551598148696475E-2</v>
      </c>
      <c r="Z145" s="76">
        <v>-4.2120178264689945E-2</v>
      </c>
      <c r="AA145" s="76">
        <v>-0.15555555555555556</v>
      </c>
      <c r="AB145" s="76">
        <v>-0.14701695392460568</v>
      </c>
      <c r="AC145" s="76">
        <v>1.0111501931387989E-2</v>
      </c>
      <c r="AD145" s="142">
        <v>1.1924656406460052</v>
      </c>
      <c r="AE145" s="142">
        <v>0.6983395281959538</v>
      </c>
      <c r="AF145" s="142">
        <v>-0.89206898117789124</v>
      </c>
    </row>
    <row r="146" spans="1:32" x14ac:dyDescent="0.35">
      <c r="A146" t="s">
        <v>85</v>
      </c>
      <c r="B146" t="s">
        <v>370</v>
      </c>
      <c r="C146" s="31">
        <v>105</v>
      </c>
      <c r="D146" s="31">
        <v>355</v>
      </c>
      <c r="E146" s="72">
        <v>120</v>
      </c>
      <c r="F146" s="31">
        <v>390</v>
      </c>
      <c r="G146" s="73">
        <v>32951.850000000049</v>
      </c>
      <c r="H146" s="31">
        <v>89111.940000000352</v>
      </c>
      <c r="I146" s="72">
        <v>14698.099999999999</v>
      </c>
      <c r="J146" s="72">
        <v>44338.360000000299</v>
      </c>
      <c r="K146" s="31">
        <v>759.42857142857144</v>
      </c>
      <c r="L146" s="31">
        <v>2733.1428571428573</v>
      </c>
      <c r="M146" s="74">
        <v>6.3285714285714283</v>
      </c>
      <c r="N146" s="74">
        <v>7.5221044939715025</v>
      </c>
      <c r="O146" s="75">
        <v>274.59875000000039</v>
      </c>
      <c r="P146" s="75">
        <v>228.49215384615474</v>
      </c>
      <c r="Q146" s="76">
        <v>0.44604779397818262</v>
      </c>
      <c r="R146" s="76">
        <v>0.49662914778803258</v>
      </c>
      <c r="S146" s="31">
        <v>109.28571428571429</v>
      </c>
      <c r="T146" s="31"/>
      <c r="U146" s="76">
        <v>-0.72606104955049133</v>
      </c>
      <c r="V146" s="76">
        <v>-0.69230769230769229</v>
      </c>
      <c r="W146" s="76">
        <v>-0.63021958673551581</v>
      </c>
      <c r="X146" s="76">
        <v>-0.66790559165634944</v>
      </c>
      <c r="Y146" s="76">
        <v>-0.14457876293333471</v>
      </c>
      <c r="Z146" s="76">
        <v>-0.1551176096630642</v>
      </c>
      <c r="AA146" s="76">
        <v>-0.24528301886792447</v>
      </c>
      <c r="AB146" s="76">
        <v>-0.18968516056243112</v>
      </c>
      <c r="AC146" s="76">
        <v>7.3667162254778651E-2</v>
      </c>
      <c r="AD146" s="142">
        <v>-0.42855972765156619</v>
      </c>
      <c r="AE146" s="142">
        <v>-0.54322964487254488</v>
      </c>
      <c r="AF146" s="142">
        <v>-0.62525390959204596</v>
      </c>
    </row>
    <row r="147" spans="1:32" x14ac:dyDescent="0.35">
      <c r="A147" t="s">
        <v>85</v>
      </c>
      <c r="B147" t="s">
        <v>373</v>
      </c>
      <c r="C147" s="31">
        <v>52</v>
      </c>
      <c r="D147" s="31">
        <v>57</v>
      </c>
      <c r="E147" s="72">
        <v>71</v>
      </c>
      <c r="F147" s="31">
        <v>61</v>
      </c>
      <c r="G147" s="73">
        <v>23495.709999999992</v>
      </c>
      <c r="H147" s="31">
        <v>11483.109999999997</v>
      </c>
      <c r="I147" s="72">
        <v>11947.009999999998</v>
      </c>
      <c r="J147" s="72">
        <v>6050.2999999999938</v>
      </c>
      <c r="K147" s="31">
        <v>502.57142857142856</v>
      </c>
      <c r="L147" s="31">
        <v>1480</v>
      </c>
      <c r="M147" s="74">
        <v>7.0784708249496981</v>
      </c>
      <c r="N147" s="74">
        <v>24.473067915690866</v>
      </c>
      <c r="O147" s="75">
        <v>330.92549295774637</v>
      </c>
      <c r="P147" s="75">
        <v>188.24770491803272</v>
      </c>
      <c r="Q147" s="76">
        <v>0.50847622821357608</v>
      </c>
      <c r="R147" s="76">
        <v>0.52688687994802763</v>
      </c>
      <c r="S147" s="31">
        <v>1</v>
      </c>
      <c r="T147" s="31"/>
      <c r="U147" s="76">
        <v>-0.67905405405405406</v>
      </c>
      <c r="V147" s="76">
        <v>0.13114754098360648</v>
      </c>
      <c r="W147" s="76">
        <v>0.9445132895182573</v>
      </c>
      <c r="X147" s="76">
        <v>0.86049121531163775</v>
      </c>
      <c r="Y147" s="76">
        <v>-9.0297876442709479E-2</v>
      </c>
      <c r="Z147" s="76">
        <v>-0.109141554824006</v>
      </c>
      <c r="AA147" s="76">
        <v>0.47916666666666674</v>
      </c>
      <c r="AB147" s="76">
        <v>1.3498381125990777E-2</v>
      </c>
      <c r="AC147" s="76">
        <v>-0.31481799585848502</v>
      </c>
      <c r="AD147" s="142"/>
      <c r="AE147" s="142"/>
      <c r="AF147" s="142"/>
    </row>
    <row r="148" spans="1:32" x14ac:dyDescent="0.35">
      <c r="A148" t="s">
        <v>85</v>
      </c>
      <c r="B148" t="s">
        <v>381</v>
      </c>
      <c r="C148" s="31">
        <v>41</v>
      </c>
      <c r="D148" s="31">
        <v>18</v>
      </c>
      <c r="E148" s="72">
        <v>43</v>
      </c>
      <c r="F148" s="31">
        <v>23</v>
      </c>
      <c r="G148" s="73">
        <v>20561.86</v>
      </c>
      <c r="H148" s="31">
        <v>6246.16</v>
      </c>
      <c r="I148" s="72">
        <v>11780.359999999999</v>
      </c>
      <c r="J148" s="72">
        <v>2794.94</v>
      </c>
      <c r="K148" s="31">
        <v>1734.8571428571429</v>
      </c>
      <c r="L148" s="31">
        <v>548.57142857142856</v>
      </c>
      <c r="M148" s="74">
        <v>40.345514950166113</v>
      </c>
      <c r="N148" s="74">
        <v>24.372670807453414</v>
      </c>
      <c r="O148" s="75">
        <v>478.18279069767442</v>
      </c>
      <c r="P148" s="75">
        <v>271.57217391304346</v>
      </c>
      <c r="Q148" s="76">
        <v>0.57292287759959448</v>
      </c>
      <c r="R148" s="76">
        <v>0.44746532269426337</v>
      </c>
      <c r="S148" s="31">
        <v>95</v>
      </c>
      <c r="T148" s="31"/>
      <c r="U148" s="76">
        <v>1.9479166666666665</v>
      </c>
      <c r="V148" s="76">
        <v>0.69565217391304346</v>
      </c>
      <c r="W148" s="76">
        <v>1.9877380662679145</v>
      </c>
      <c r="X148" s="76">
        <v>2.7981745583089421</v>
      </c>
      <c r="Y148" s="76">
        <v>-4.318007665821888E-2</v>
      </c>
      <c r="Z148" s="76">
        <v>-3.9088463364456372E-2</v>
      </c>
      <c r="AA148" s="76">
        <v>-8.5106382978723416E-2</v>
      </c>
      <c r="AB148" s="76">
        <v>-8.2734666638116239E-2</v>
      </c>
      <c r="AC148" s="76">
        <v>2.5923411164776589E-3</v>
      </c>
      <c r="AD148" s="142">
        <v>0.68389724310776956</v>
      </c>
      <c r="AE148" s="142">
        <v>1.2413532956478495</v>
      </c>
      <c r="AF148" s="142">
        <v>1.4708553894483947</v>
      </c>
    </row>
    <row r="149" spans="1:32" x14ac:dyDescent="0.35">
      <c r="A149" t="s">
        <v>85</v>
      </c>
      <c r="B149" t="s">
        <v>360</v>
      </c>
      <c r="C149" s="31">
        <v>181</v>
      </c>
      <c r="D149" s="31">
        <v>792</v>
      </c>
      <c r="E149" s="72">
        <v>398</v>
      </c>
      <c r="F149" s="31">
        <v>1568</v>
      </c>
      <c r="G149" s="73">
        <v>19590.459999999959</v>
      </c>
      <c r="H149" s="31">
        <v>155594.44</v>
      </c>
      <c r="I149" s="72">
        <v>-687.32000000000016</v>
      </c>
      <c r="J149" s="72">
        <v>61691.020000000019</v>
      </c>
      <c r="K149" s="31">
        <v>5772.8571428571431</v>
      </c>
      <c r="L149" s="31">
        <v>42830.428571428572</v>
      </c>
      <c r="M149" s="74">
        <v>14.504666188083274</v>
      </c>
      <c r="N149" s="74">
        <v>27.149956178790536</v>
      </c>
      <c r="O149" s="75">
        <v>49.222261306532559</v>
      </c>
      <c r="P149" s="75">
        <v>99.231147959183673</v>
      </c>
      <c r="Q149" s="76">
        <v>-3.5084423745026995E-2</v>
      </c>
      <c r="R149" s="76">
        <v>0.38203152571852017</v>
      </c>
      <c r="S149" s="31">
        <v>455.14285714285717</v>
      </c>
      <c r="T149" s="31"/>
      <c r="U149" s="76">
        <v>-0.88357742993132382</v>
      </c>
      <c r="V149" s="76">
        <v>-0.77997448979591844</v>
      </c>
      <c r="W149" s="76">
        <v>-0.89491398278755996</v>
      </c>
      <c r="X149" s="76">
        <v>-1.0035770918179929</v>
      </c>
      <c r="Y149" s="76">
        <v>-6.3127656837916213E-2</v>
      </c>
      <c r="Z149" s="76">
        <v>-6.0210702574478359E-2</v>
      </c>
      <c r="AA149" s="76">
        <v>-4.5563549160671513E-2</v>
      </c>
      <c r="AB149" s="76">
        <v>-8.8232392353114752E-3</v>
      </c>
      <c r="AC149" s="76">
        <v>3.8494244318781679E-2</v>
      </c>
      <c r="AD149" s="142">
        <v>0.46873603455293761</v>
      </c>
      <c r="AE149" s="142">
        <v>-0.66031690118023323</v>
      </c>
      <c r="AF149" s="142">
        <v>-1.0219978348333749</v>
      </c>
    </row>
    <row r="150" spans="1:32" x14ac:dyDescent="0.35">
      <c r="A150" t="s">
        <v>85</v>
      </c>
      <c r="B150" t="s">
        <v>362</v>
      </c>
      <c r="C150" s="31">
        <v>42</v>
      </c>
      <c r="D150" s="31">
        <v>182</v>
      </c>
      <c r="E150" s="72">
        <v>52</v>
      </c>
      <c r="F150" s="31">
        <v>222</v>
      </c>
      <c r="G150" s="73">
        <v>13612.509999999993</v>
      </c>
      <c r="H150" s="31">
        <v>116656.88000000019</v>
      </c>
      <c r="I150" s="72">
        <v>1271.5699999999995</v>
      </c>
      <c r="J150" s="72">
        <v>52970.920000000173</v>
      </c>
      <c r="K150" s="31">
        <v>657.57142857142856</v>
      </c>
      <c r="L150" s="31">
        <v>5407.8571428571431</v>
      </c>
      <c r="M150" s="74">
        <v>12.645604395604396</v>
      </c>
      <c r="N150" s="74">
        <v>24.505926388022459</v>
      </c>
      <c r="O150" s="75">
        <v>261.77903846153833</v>
      </c>
      <c r="P150" s="75">
        <v>525.48144144144237</v>
      </c>
      <c r="Q150" s="76">
        <v>9.3411868935266179E-2</v>
      </c>
      <c r="R150" s="76">
        <v>0.43941583677938828</v>
      </c>
      <c r="S150" s="31">
        <v>16728.142857142859</v>
      </c>
      <c r="T150" s="31"/>
      <c r="U150" s="76">
        <v>-0.87943468498216881</v>
      </c>
      <c r="V150" s="76">
        <v>-0.77477477477477474</v>
      </c>
      <c r="W150" s="76">
        <v>-0.89045489644502773</v>
      </c>
      <c r="X150" s="76">
        <v>-0.97511522716910704</v>
      </c>
      <c r="Y150" s="76">
        <v>-9.0279964048959105E-2</v>
      </c>
      <c r="Z150" s="76">
        <v>-0.1044747081712063</v>
      </c>
      <c r="AA150" s="76">
        <v>8.3333333333333259E-2</v>
      </c>
      <c r="AB150" s="76">
        <v>-8.9693769531028478E-2</v>
      </c>
      <c r="AC150" s="76">
        <v>-0.15971732572094932</v>
      </c>
      <c r="AD150" s="142">
        <v>-0.81818347105935396</v>
      </c>
      <c r="AE150" s="142">
        <v>-0.84177527993869872</v>
      </c>
      <c r="AF150" s="142">
        <v>-0.97124255282769434</v>
      </c>
    </row>
    <row r="151" spans="1:32" x14ac:dyDescent="0.35">
      <c r="A151" t="s">
        <v>85</v>
      </c>
      <c r="B151" t="s">
        <v>367</v>
      </c>
      <c r="C151" s="31">
        <v>71</v>
      </c>
      <c r="D151" s="31">
        <v>155</v>
      </c>
      <c r="E151" s="72">
        <v>88</v>
      </c>
      <c r="F151" s="31">
        <v>235</v>
      </c>
      <c r="G151" s="73">
        <v>9547.8099999999904</v>
      </c>
      <c r="H151" s="31">
        <v>32482.650000000031</v>
      </c>
      <c r="I151" s="72">
        <v>892.30000000000018</v>
      </c>
      <c r="J151" s="72">
        <v>17643.520000000019</v>
      </c>
      <c r="K151" s="31">
        <v>1945.4285714285713</v>
      </c>
      <c r="L151" s="31">
        <v>7361.8571428571431</v>
      </c>
      <c r="M151" s="74">
        <v>22.107142857142858</v>
      </c>
      <c r="N151" s="74">
        <v>31.91041162227603</v>
      </c>
      <c r="O151" s="75">
        <v>108.4978409090908</v>
      </c>
      <c r="P151" s="75">
        <v>138.22404255319162</v>
      </c>
      <c r="Q151" s="76">
        <v>9.3455986241871292E-2</v>
      </c>
      <c r="R151" s="76">
        <v>0.54150046113499062</v>
      </c>
      <c r="S151" s="31">
        <v>26655.285714285714</v>
      </c>
      <c r="T151" s="31"/>
      <c r="U151" s="76">
        <v>-0.74005006500688886</v>
      </c>
      <c r="V151" s="76">
        <v>-0.62978723404255321</v>
      </c>
      <c r="W151" s="76">
        <v>-0.70862968384660796</v>
      </c>
      <c r="X151" s="76">
        <v>-0.95114725579597337</v>
      </c>
      <c r="Y151" s="76">
        <v>-9.3913351634427822E-2</v>
      </c>
      <c r="Z151" s="76">
        <v>-9.1103250350397236E-2</v>
      </c>
      <c r="AA151" s="76">
        <v>-0.45341614906832295</v>
      </c>
      <c r="AB151" s="76">
        <v>-0.26748691147677894</v>
      </c>
      <c r="AC151" s="76">
        <v>0.3401659915027111</v>
      </c>
      <c r="AD151" s="142">
        <v>-0.46154382727304993</v>
      </c>
      <c r="AE151" s="142">
        <v>-0.6751089456448699</v>
      </c>
      <c r="AF151" s="142">
        <v>-0.93778892366750521</v>
      </c>
    </row>
    <row r="152" spans="1:32" x14ac:dyDescent="0.35">
      <c r="A152" t="s">
        <v>85</v>
      </c>
      <c r="B152" t="s">
        <v>359</v>
      </c>
      <c r="C152" s="31">
        <v>30</v>
      </c>
      <c r="D152" s="31">
        <v>39</v>
      </c>
      <c r="E152" s="72">
        <v>32</v>
      </c>
      <c r="F152" s="31">
        <v>41</v>
      </c>
      <c r="G152" s="73">
        <v>6795.4099999999962</v>
      </c>
      <c r="H152" s="31">
        <v>19116.989999999998</v>
      </c>
      <c r="I152" s="72">
        <v>-159.41999999999999</v>
      </c>
      <c r="J152" s="72">
        <v>7998.309999999994</v>
      </c>
      <c r="K152" s="31">
        <v>780.85714285714289</v>
      </c>
      <c r="L152" s="31">
        <v>6975.5714285714284</v>
      </c>
      <c r="M152" s="74">
        <v>24.401785714285715</v>
      </c>
      <c r="N152" s="74">
        <v>173.94076655052265</v>
      </c>
      <c r="O152" s="75">
        <v>212.35656249999988</v>
      </c>
      <c r="P152" s="75">
        <v>466.26804878048773</v>
      </c>
      <c r="Q152" s="76">
        <v>-2.3459953115411738E-2</v>
      </c>
      <c r="R152" s="76">
        <v>0.4183875181186994</v>
      </c>
      <c r="S152" s="31">
        <v>1682.8571428571429</v>
      </c>
      <c r="T152" s="31"/>
      <c r="U152" s="76">
        <v>-0.88918470581007192</v>
      </c>
      <c r="V152" s="76">
        <v>-0.21951219512195119</v>
      </c>
      <c r="W152" s="76">
        <v>-0.6445355675762765</v>
      </c>
      <c r="X152" s="76">
        <v>-1.0199317105738592</v>
      </c>
      <c r="Y152" s="76">
        <v>-0.10580029346644526</v>
      </c>
      <c r="Z152" s="76">
        <v>-9.2026578073089671E-2</v>
      </c>
      <c r="AA152" s="76">
        <v>-0.19999999999999996</v>
      </c>
      <c r="AB152" s="76">
        <v>-0.13356785303545393</v>
      </c>
      <c r="AC152" s="76">
        <v>8.3040183705682669E-2</v>
      </c>
      <c r="AD152" s="142">
        <v>7.5923192533093001E-2</v>
      </c>
      <c r="AE152" s="142">
        <v>-0.56422434503664443</v>
      </c>
      <c r="AF152" s="142">
        <v>-1.022119884110789</v>
      </c>
    </row>
    <row r="153" spans="1:32" x14ac:dyDescent="0.35">
      <c r="A153" t="s">
        <v>85</v>
      </c>
      <c r="B153" t="s">
        <v>383</v>
      </c>
      <c r="C153" s="31">
        <v>2</v>
      </c>
      <c r="D153" s="31">
        <v>2</v>
      </c>
      <c r="E153" s="72">
        <v>4</v>
      </c>
      <c r="F153" s="31">
        <v>2</v>
      </c>
      <c r="G153" s="73">
        <v>4727.24</v>
      </c>
      <c r="H153" s="31">
        <v>4218.1900000000005</v>
      </c>
      <c r="I153" s="72">
        <v>1127.24</v>
      </c>
      <c r="J153" s="72">
        <v>1618.1900000000005</v>
      </c>
      <c r="K153" s="31">
        <v>210.71428571428572</v>
      </c>
      <c r="L153" s="31">
        <v>344</v>
      </c>
      <c r="M153" s="74">
        <v>52.678571428571431</v>
      </c>
      <c r="N153" s="74">
        <v>178.92857142857142</v>
      </c>
      <c r="O153" s="75">
        <v>1181.81</v>
      </c>
      <c r="P153" s="75">
        <v>2109.0950000000003</v>
      </c>
      <c r="Q153" s="76">
        <v>0.23845626623568933</v>
      </c>
      <c r="R153" s="76">
        <v>0.38362188521617097</v>
      </c>
      <c r="S153" s="31">
        <v>358</v>
      </c>
      <c r="T153" s="31"/>
      <c r="U153" s="76">
        <v>-0.39285714285714279</v>
      </c>
      <c r="V153" s="76">
        <v>1</v>
      </c>
      <c r="W153" s="76">
        <v>0.1206797228195029</v>
      </c>
      <c r="X153" s="76">
        <v>-0.30339453339842704</v>
      </c>
      <c r="Y153" s="76">
        <v>-5.494660256176398E-3</v>
      </c>
      <c r="Z153" s="76">
        <v>-2.7045300878971723E-3</v>
      </c>
      <c r="AA153" s="76"/>
      <c r="AB153" s="76"/>
      <c r="AC153" s="76"/>
      <c r="AD153" s="142"/>
      <c r="AE153" s="142"/>
      <c r="AF153" s="142"/>
    </row>
    <row r="154" spans="1:32" x14ac:dyDescent="0.35">
      <c r="A154" t="s">
        <v>85</v>
      </c>
      <c r="B154" t="s">
        <v>369</v>
      </c>
      <c r="C154" s="31">
        <v>13</v>
      </c>
      <c r="D154" s="31">
        <v>2</v>
      </c>
      <c r="E154" s="72">
        <v>15</v>
      </c>
      <c r="F154" s="31">
        <v>2</v>
      </c>
      <c r="G154" s="73">
        <v>4094.8899999999994</v>
      </c>
      <c r="H154" s="31">
        <v>1866.6599999999999</v>
      </c>
      <c r="I154" s="72">
        <v>-1634.49</v>
      </c>
      <c r="J154" s="72">
        <v>466.25999999999976</v>
      </c>
      <c r="K154" s="31">
        <v>299.85714285714283</v>
      </c>
      <c r="L154" s="31">
        <v>1332.1428571428571</v>
      </c>
      <c r="M154" s="74">
        <v>19.990476190476191</v>
      </c>
      <c r="N154" s="74">
        <v>678.57142857142856</v>
      </c>
      <c r="O154" s="75">
        <v>272.99266666666665</v>
      </c>
      <c r="P154" s="75">
        <v>933.32999999999993</v>
      </c>
      <c r="Q154" s="76">
        <v>-0.39915357921702421</v>
      </c>
      <c r="R154" s="76">
        <v>0.2497830349394104</v>
      </c>
      <c r="S154" s="31">
        <v>767.42857142857144</v>
      </c>
      <c r="T154" s="31"/>
      <c r="U154" s="76">
        <v>-0.78573726541554956</v>
      </c>
      <c r="V154" s="76">
        <v>6.5</v>
      </c>
      <c r="W154" s="76">
        <v>1.1936989060675214</v>
      </c>
      <c r="X154" s="76">
        <v>-4.5055333933856661</v>
      </c>
      <c r="Y154" s="76">
        <v>-0.11569405288923396</v>
      </c>
      <c r="Z154" s="76">
        <v>-0.13336085879438486</v>
      </c>
      <c r="AA154" s="76">
        <v>0.36363636363636354</v>
      </c>
      <c r="AB154" s="76">
        <v>2.3530588014747167E-2</v>
      </c>
      <c r="AC154" s="76">
        <v>-0.24941090212251871</v>
      </c>
      <c r="AD154" s="142">
        <v>3.1606568290247421</v>
      </c>
      <c r="AE154" s="142">
        <v>9.3292763740001991E-2</v>
      </c>
      <c r="AF154" s="142">
        <v>-2.0273332659963428</v>
      </c>
    </row>
    <row r="155" spans="1:32" x14ac:dyDescent="0.35">
      <c r="A155" t="s">
        <v>85</v>
      </c>
      <c r="B155" t="s">
        <v>364</v>
      </c>
      <c r="C155" s="31">
        <v>13</v>
      </c>
      <c r="D155" s="31">
        <v>216</v>
      </c>
      <c r="E155" s="72">
        <v>13</v>
      </c>
      <c r="F155" s="31">
        <v>287</v>
      </c>
      <c r="G155" s="73">
        <v>2895.7299999999996</v>
      </c>
      <c r="H155" s="31">
        <v>107510.14000000022</v>
      </c>
      <c r="I155" s="72">
        <v>599.46</v>
      </c>
      <c r="J155" s="72">
        <v>56205.760000000198</v>
      </c>
      <c r="K155" s="31">
        <v>100.28571428571429</v>
      </c>
      <c r="L155" s="31">
        <v>3385.2857142857142</v>
      </c>
      <c r="M155" s="74">
        <v>7.7142857142857144</v>
      </c>
      <c r="N155" s="74">
        <v>12.144309927360775</v>
      </c>
      <c r="O155" s="75">
        <v>222.7484615384615</v>
      </c>
      <c r="P155" s="75">
        <v>374.59979094076732</v>
      </c>
      <c r="Q155" s="76">
        <v>0.20701515679983981</v>
      </c>
      <c r="R155" s="76">
        <v>0.51193039917370964</v>
      </c>
      <c r="S155" s="31">
        <v>438</v>
      </c>
      <c r="T155" s="31"/>
      <c r="U155" s="76">
        <v>-0.9710933873486095</v>
      </c>
      <c r="V155" s="76">
        <v>-0.95818815331010454</v>
      </c>
      <c r="W155" s="76">
        <v>-0.97694105876896831</v>
      </c>
      <c r="X155" s="76">
        <v>-0.99059272623164629</v>
      </c>
      <c r="Y155" s="76">
        <v>-9.2952157643777511E-2</v>
      </c>
      <c r="Z155" s="76">
        <v>-8.4745762711864292E-2</v>
      </c>
      <c r="AA155" s="76">
        <v>0.18181818181818188</v>
      </c>
      <c r="AB155" s="76">
        <v>0.19827111756648796</v>
      </c>
      <c r="AC155" s="76">
        <v>1.392171486395144E-2</v>
      </c>
      <c r="AD155" s="142"/>
      <c r="AE155" s="142"/>
      <c r="AF155" s="142"/>
    </row>
    <row r="156" spans="1:32" x14ac:dyDescent="0.35">
      <c r="A156" t="s">
        <v>85</v>
      </c>
      <c r="B156" t="s">
        <v>376</v>
      </c>
      <c r="C156" s="31">
        <v>10</v>
      </c>
      <c r="D156" s="31">
        <v>16</v>
      </c>
      <c r="E156" s="72">
        <v>11</v>
      </c>
      <c r="F156" s="31">
        <v>16</v>
      </c>
      <c r="G156" s="73">
        <v>2749.88</v>
      </c>
      <c r="H156" s="31">
        <v>8166.6399999999994</v>
      </c>
      <c r="I156" s="72">
        <v>196.55</v>
      </c>
      <c r="J156" s="72">
        <v>4259.5699999999988</v>
      </c>
      <c r="K156" s="31">
        <v>354</v>
      </c>
      <c r="L156" s="31">
        <v>1025.1428571428571</v>
      </c>
      <c r="M156" s="74">
        <v>32.18181818181818</v>
      </c>
      <c r="N156" s="74">
        <v>64.919642857142861</v>
      </c>
      <c r="O156" s="75">
        <v>249.98909090909092</v>
      </c>
      <c r="P156" s="75">
        <v>510.41499999999996</v>
      </c>
      <c r="Q156" s="76">
        <v>7.1475846218744088E-2</v>
      </c>
      <c r="R156" s="76">
        <v>0.52158170312392849</v>
      </c>
      <c r="S156" s="31">
        <v>0.42857142857142855</v>
      </c>
      <c r="T156" s="31"/>
      <c r="U156" s="76">
        <v>-0.65746934225195086</v>
      </c>
      <c r="V156" s="76">
        <v>-0.3125</v>
      </c>
      <c r="W156" s="76">
        <v>-0.66327890050253224</v>
      </c>
      <c r="X156" s="76">
        <v>-0.95385684470498189</v>
      </c>
      <c r="Y156" s="76">
        <v>-3.9921301304747137E-2</v>
      </c>
      <c r="Z156" s="76">
        <v>-4.1021671826625417E-2</v>
      </c>
      <c r="AA156" s="76">
        <v>0.22222222222222232</v>
      </c>
      <c r="AB156" s="76">
        <v>0.26663043177861101</v>
      </c>
      <c r="AC156" s="76">
        <v>3.6333989637045372E-2</v>
      </c>
      <c r="AD156" s="142"/>
      <c r="AE156" s="142"/>
      <c r="AF156" s="142"/>
    </row>
    <row r="157" spans="1:32" x14ac:dyDescent="0.35">
      <c r="A157" t="s">
        <v>85</v>
      </c>
      <c r="B157" t="s">
        <v>379</v>
      </c>
      <c r="C157" s="31">
        <v>71</v>
      </c>
      <c r="D157" s="31">
        <v>511</v>
      </c>
      <c r="E157" s="72">
        <v>86</v>
      </c>
      <c r="F157" s="31">
        <v>642</v>
      </c>
      <c r="G157" s="73">
        <v>2576.0700000000006</v>
      </c>
      <c r="H157" s="31">
        <v>7375.8199999999806</v>
      </c>
      <c r="I157" s="72">
        <v>1728.9499999999991</v>
      </c>
      <c r="J157" s="72">
        <v>2504.4399999999705</v>
      </c>
      <c r="K157" s="31">
        <v>2266.5714285714284</v>
      </c>
      <c r="L157" s="31">
        <v>9572.2857142857138</v>
      </c>
      <c r="M157" s="74">
        <v>26.355481727574748</v>
      </c>
      <c r="N157" s="74">
        <v>14.510383889238517</v>
      </c>
      <c r="O157" s="75">
        <v>29.954302325581402</v>
      </c>
      <c r="P157" s="75">
        <v>11.488816199376917</v>
      </c>
      <c r="Q157" s="76">
        <v>0.67115800424677852</v>
      </c>
      <c r="R157" s="76">
        <v>0.32780585365725673</v>
      </c>
      <c r="S157" s="31">
        <v>630.71428571428567</v>
      </c>
      <c r="T157" s="31"/>
      <c r="U157" s="76">
        <v>-0.77522908396263024</v>
      </c>
      <c r="V157" s="76">
        <v>-0.88473520249221183</v>
      </c>
      <c r="W157" s="76">
        <v>-0.69755769527998179</v>
      </c>
      <c r="X157" s="76">
        <v>-0.3563715449004814</v>
      </c>
      <c r="Y157" s="76">
        <v>-5.7614877594719283E-2</v>
      </c>
      <c r="Z157" s="76">
        <v>-5.7446682112517133E-2</v>
      </c>
      <c r="AA157" s="76">
        <v>0.14666666666666672</v>
      </c>
      <c r="AB157" s="76">
        <v>0.15145514766027679</v>
      </c>
      <c r="AC157" s="76">
        <v>4.1760008665205905E-3</v>
      </c>
      <c r="AD157" s="142">
        <v>-0.86015493857143066</v>
      </c>
      <c r="AE157" s="142">
        <v>-0.85634775416774389</v>
      </c>
      <c r="AF157" s="142">
        <v>-0.82012718863243361</v>
      </c>
    </row>
    <row r="158" spans="1:32" x14ac:dyDescent="0.35">
      <c r="A158" t="s">
        <v>85</v>
      </c>
      <c r="B158" t="s">
        <v>382</v>
      </c>
      <c r="C158" s="31">
        <v>4</v>
      </c>
      <c r="D158" s="31">
        <v>15</v>
      </c>
      <c r="E158" s="72">
        <v>5</v>
      </c>
      <c r="F158" s="31">
        <v>15</v>
      </c>
      <c r="G158" s="73">
        <v>2083.3000000000002</v>
      </c>
      <c r="H158" s="31">
        <v>6049.9900000000007</v>
      </c>
      <c r="I158" s="72">
        <v>390.22</v>
      </c>
      <c r="J158" s="72">
        <v>715.50000000000091</v>
      </c>
      <c r="K158" s="31">
        <v>58</v>
      </c>
      <c r="L158" s="31">
        <v>330.28571428571428</v>
      </c>
      <c r="M158" s="74">
        <v>11.6</v>
      </c>
      <c r="N158" s="74">
        <v>22.057142857142857</v>
      </c>
      <c r="O158" s="75">
        <v>416.66</v>
      </c>
      <c r="P158" s="75">
        <v>403.33266666666674</v>
      </c>
      <c r="Q158" s="76">
        <v>0.187308596937551</v>
      </c>
      <c r="R158" s="76">
        <v>0.11826465828869152</v>
      </c>
      <c r="S158" s="31"/>
      <c r="T158" s="31"/>
      <c r="U158" s="76">
        <v>-0.82482698961937717</v>
      </c>
      <c r="V158" s="76">
        <v>-0.66666666666666674</v>
      </c>
      <c r="W158" s="76">
        <v>-0.65565232339227009</v>
      </c>
      <c r="X158" s="76">
        <v>-0.45461914744933651</v>
      </c>
      <c r="Y158" s="76">
        <v>-5.0006397770626987E-2</v>
      </c>
      <c r="Z158" s="76">
        <v>-5.5813953488372148E-2</v>
      </c>
      <c r="AA158" s="76">
        <v>0.25</v>
      </c>
      <c r="AB158" s="76">
        <v>0.25</v>
      </c>
      <c r="AC158" s="76">
        <v>0</v>
      </c>
      <c r="AD158" s="142"/>
      <c r="AE158" s="142"/>
      <c r="AF158" s="142"/>
    </row>
    <row r="159" spans="1:32" x14ac:dyDescent="0.35">
      <c r="A159" t="s">
        <v>85</v>
      </c>
      <c r="B159" t="s">
        <v>375</v>
      </c>
      <c r="C159" s="31">
        <v>19</v>
      </c>
      <c r="D159" s="31">
        <v>12</v>
      </c>
      <c r="E159" s="72">
        <v>25</v>
      </c>
      <c r="F159" s="31">
        <v>13</v>
      </c>
      <c r="G159" s="73">
        <v>2083.13</v>
      </c>
      <c r="H159" s="31">
        <v>2749.9700000000003</v>
      </c>
      <c r="I159" s="72">
        <v>-693.2199999999998</v>
      </c>
      <c r="J159" s="72">
        <v>1477.5800000000002</v>
      </c>
      <c r="K159" s="31">
        <v>594.14285714285711</v>
      </c>
      <c r="L159" s="31">
        <v>1581.4285714285713</v>
      </c>
      <c r="M159" s="74">
        <v>23.765714285714285</v>
      </c>
      <c r="N159" s="74">
        <v>121.65934065934067</v>
      </c>
      <c r="O159" s="75">
        <v>83.325200000000009</v>
      </c>
      <c r="P159" s="75">
        <v>211.53615384615387</v>
      </c>
      <c r="Q159" s="76">
        <v>-0.33277807914052399</v>
      </c>
      <c r="R159" s="76">
        <v>0.53730767972014237</v>
      </c>
      <c r="S159" s="31">
        <v>103.71428571428571</v>
      </c>
      <c r="T159" s="31"/>
      <c r="U159" s="76">
        <v>-0.62466124661246614</v>
      </c>
      <c r="V159" s="76">
        <v>0.92307692307692313</v>
      </c>
      <c r="W159" s="76">
        <v>-0.24248991807183351</v>
      </c>
      <c r="X159" s="76">
        <v>-1.469159030306312</v>
      </c>
      <c r="Y159" s="76">
        <v>-4.304986552678558E-2</v>
      </c>
      <c r="Z159" s="76">
        <v>-4.1484212952293209E-2</v>
      </c>
      <c r="AA159" s="76">
        <v>0.25</v>
      </c>
      <c r="AB159" s="76">
        <v>0.24998799894390711</v>
      </c>
      <c r="AC159" s="76">
        <v>-9.6008448741136121E-6</v>
      </c>
      <c r="AD159" s="142">
        <v>0.60029701512600719</v>
      </c>
      <c r="AE159" s="142">
        <v>0.10627342154113993</v>
      </c>
      <c r="AF159" s="142"/>
    </row>
    <row r="160" spans="1:32" x14ac:dyDescent="0.35">
      <c r="A160" t="s">
        <v>85</v>
      </c>
      <c r="B160" t="s">
        <v>377</v>
      </c>
      <c r="C160" s="31">
        <v>14</v>
      </c>
      <c r="D160" s="31">
        <v>28</v>
      </c>
      <c r="E160" s="72">
        <v>17</v>
      </c>
      <c r="F160" s="31">
        <v>42</v>
      </c>
      <c r="G160" s="73">
        <v>2058.6</v>
      </c>
      <c r="H160" s="31">
        <v>10219.039999999997</v>
      </c>
      <c r="I160" s="72">
        <v>-25.28</v>
      </c>
      <c r="J160" s="72">
        <v>5147.4399999999987</v>
      </c>
      <c r="K160" s="31">
        <v>595.71428571428567</v>
      </c>
      <c r="L160" s="31">
        <v>2574.7142857142858</v>
      </c>
      <c r="M160" s="74">
        <v>35.042016806722685</v>
      </c>
      <c r="N160" s="74">
        <v>60.83766233766233</v>
      </c>
      <c r="O160" s="75">
        <v>121.09411764705882</v>
      </c>
      <c r="P160" s="75">
        <v>243.31047619047612</v>
      </c>
      <c r="Q160" s="76">
        <v>-1.2280190420674245E-2</v>
      </c>
      <c r="R160" s="76">
        <v>0.48492773338508471</v>
      </c>
      <c r="S160" s="31">
        <v>14</v>
      </c>
      <c r="T160" s="31"/>
      <c r="U160" s="76">
        <v>-0.77162514564722851</v>
      </c>
      <c r="V160" s="76">
        <v>-0.59523809523809523</v>
      </c>
      <c r="W160" s="76">
        <v>-0.79855250591053561</v>
      </c>
      <c r="X160" s="76">
        <v>-1.005103194341268</v>
      </c>
      <c r="Y160" s="76">
        <v>-5.2715916408510255E-2</v>
      </c>
      <c r="Z160" s="76">
        <v>-5.3348467650397469E-2</v>
      </c>
      <c r="AA160" s="76">
        <v>0.21428571428571419</v>
      </c>
      <c r="AB160" s="76">
        <v>0.18773835830626395</v>
      </c>
      <c r="AC160" s="76">
        <v>-2.1862528453664876E-2</v>
      </c>
      <c r="AD160" s="142"/>
      <c r="AE160" s="142"/>
      <c r="AF160" s="142"/>
    </row>
    <row r="161" spans="1:32" x14ac:dyDescent="0.35">
      <c r="A161" t="s">
        <v>85</v>
      </c>
      <c r="B161" t="s">
        <v>389</v>
      </c>
      <c r="C161" s="31">
        <v>2</v>
      </c>
      <c r="D161" s="31">
        <v>2</v>
      </c>
      <c r="E161" s="72">
        <v>2</v>
      </c>
      <c r="F161" s="31">
        <v>2</v>
      </c>
      <c r="G161" s="73">
        <v>1749.99</v>
      </c>
      <c r="H161" s="31">
        <v>2939.99</v>
      </c>
      <c r="I161" s="72">
        <v>334.75</v>
      </c>
      <c r="J161" s="72">
        <v>883.4699999999998</v>
      </c>
      <c r="K161" s="31">
        <v>77.428571428571431</v>
      </c>
      <c r="L161" s="31">
        <v>57.428571428571431</v>
      </c>
      <c r="M161" s="74">
        <v>38.714285714285715</v>
      </c>
      <c r="N161" s="74">
        <v>31.214285714285715</v>
      </c>
      <c r="O161" s="75">
        <v>874.995</v>
      </c>
      <c r="P161" s="75">
        <v>1469.9949999999999</v>
      </c>
      <c r="Q161" s="76">
        <v>0.19128680735318487</v>
      </c>
      <c r="R161" s="76">
        <v>0.30050102211232005</v>
      </c>
      <c r="S161" s="31">
        <v>197</v>
      </c>
      <c r="T161" s="31"/>
      <c r="U161" s="76">
        <v>0.29601990049751237</v>
      </c>
      <c r="V161" s="76">
        <v>0</v>
      </c>
      <c r="W161" s="76">
        <v>-0.4047632815077602</v>
      </c>
      <c r="X161" s="76">
        <v>-0.62109635867658208</v>
      </c>
      <c r="Y161" s="76">
        <v>-2.0830313622229313E-2</v>
      </c>
      <c r="Z161" s="76">
        <v>-3.0411449016100156E-2</v>
      </c>
      <c r="AA161" s="76">
        <v>-0.5</v>
      </c>
      <c r="AB161" s="76">
        <v>-0.625</v>
      </c>
      <c r="AC161" s="76">
        <v>-0.25</v>
      </c>
      <c r="AD161" s="142"/>
      <c r="AE161" s="142"/>
      <c r="AF161" s="142"/>
    </row>
    <row r="162" spans="1:32" x14ac:dyDescent="0.35">
      <c r="A162" t="s">
        <v>85</v>
      </c>
      <c r="B162" t="s">
        <v>385</v>
      </c>
      <c r="C162" s="31">
        <v>10</v>
      </c>
      <c r="D162" s="31">
        <v>7</v>
      </c>
      <c r="E162" s="72">
        <v>14</v>
      </c>
      <c r="F162" s="31">
        <v>11</v>
      </c>
      <c r="G162" s="73">
        <v>1166.52</v>
      </c>
      <c r="H162" s="31">
        <v>2708.29</v>
      </c>
      <c r="I162" s="72">
        <v>176.87</v>
      </c>
      <c r="J162" s="72">
        <v>1930.73</v>
      </c>
      <c r="K162" s="31">
        <v>330.57142857142856</v>
      </c>
      <c r="L162" s="31">
        <v>1316.5714285714287</v>
      </c>
      <c r="M162" s="74">
        <v>23.612244897959183</v>
      </c>
      <c r="N162" s="74">
        <v>123.76623376623375</v>
      </c>
      <c r="O162" s="75">
        <v>83.322857142857146</v>
      </c>
      <c r="P162" s="75">
        <v>246.20818181818183</v>
      </c>
      <c r="Q162" s="76">
        <v>0.15162191818400028</v>
      </c>
      <c r="R162" s="76">
        <v>0.71289632941819381</v>
      </c>
      <c r="S162" s="31">
        <v>4</v>
      </c>
      <c r="T162" s="31"/>
      <c r="U162" s="76">
        <v>-0.74913194444444442</v>
      </c>
      <c r="V162" s="76">
        <v>0.27272727272727271</v>
      </c>
      <c r="W162" s="76">
        <v>-0.56927803152542755</v>
      </c>
      <c r="X162" s="76">
        <v>-0.90839216254991639</v>
      </c>
      <c r="Y162" s="76">
        <v>-3.026963878748401E-2</v>
      </c>
      <c r="Z162" s="76">
        <v>-3.0176026823134916E-2</v>
      </c>
      <c r="AA162" s="76">
        <v>1.3333333333333335</v>
      </c>
      <c r="AB162" s="76">
        <v>1.3333666713339869</v>
      </c>
      <c r="AC162" s="76">
        <v>1.4287714565908161E-5</v>
      </c>
      <c r="AD162" s="142"/>
      <c r="AE162" s="142"/>
      <c r="AF162" s="142"/>
    </row>
    <row r="163" spans="1:32" x14ac:dyDescent="0.35">
      <c r="A163" t="s">
        <v>85</v>
      </c>
      <c r="B163" t="s">
        <v>390</v>
      </c>
      <c r="C163" s="31">
        <v>8</v>
      </c>
      <c r="D163" s="31">
        <v>11</v>
      </c>
      <c r="E163" s="72">
        <v>12</v>
      </c>
      <c r="F163" s="31">
        <v>21</v>
      </c>
      <c r="G163" s="73">
        <v>924.91</v>
      </c>
      <c r="H163" s="31">
        <v>1907.4199999999998</v>
      </c>
      <c r="I163" s="72">
        <v>143.22999999999999</v>
      </c>
      <c r="J163" s="72">
        <v>830.90999999999985</v>
      </c>
      <c r="K163" s="31">
        <v>361.57142857142856</v>
      </c>
      <c r="L163" s="31">
        <v>1142.7142857142858</v>
      </c>
      <c r="M163" s="74">
        <v>30.13095238095238</v>
      </c>
      <c r="N163" s="74">
        <v>55.480519480519483</v>
      </c>
      <c r="O163" s="75">
        <v>77.075833333333335</v>
      </c>
      <c r="P163" s="75">
        <v>90.829523809523806</v>
      </c>
      <c r="Q163" s="76">
        <v>0.15485831053832264</v>
      </c>
      <c r="R163" s="76">
        <v>0.4105104022054355</v>
      </c>
      <c r="S163" s="31">
        <v>134</v>
      </c>
      <c r="T163" s="31"/>
      <c r="U163" s="76">
        <v>-0.69146143267908489</v>
      </c>
      <c r="V163" s="76">
        <v>-0.4285714285714286</v>
      </c>
      <c r="W163" s="76">
        <v>-0.51509892944396096</v>
      </c>
      <c r="X163" s="76">
        <v>-0.81738088255919217</v>
      </c>
      <c r="Y163" s="76">
        <v>-5.4041641420293107E-2</v>
      </c>
      <c r="Z163" s="76">
        <v>-7.1192660550458697E-2</v>
      </c>
      <c r="AA163" s="76">
        <v>0</v>
      </c>
      <c r="AB163" s="76">
        <v>2.7757714488904739E-2</v>
      </c>
      <c r="AC163" s="76">
        <v>2.7757714488904739E-2</v>
      </c>
      <c r="AD163" s="142"/>
      <c r="AE163" s="142"/>
      <c r="AF163" s="142"/>
    </row>
    <row r="164" spans="1:32" x14ac:dyDescent="0.35">
      <c r="A164" t="s">
        <v>85</v>
      </c>
      <c r="B164" t="s">
        <v>388</v>
      </c>
      <c r="C164" s="31">
        <v>3</v>
      </c>
      <c r="D164" s="31">
        <v>13</v>
      </c>
      <c r="E164" s="72">
        <v>3</v>
      </c>
      <c r="F164" s="31">
        <v>13</v>
      </c>
      <c r="G164" s="73">
        <v>749.99</v>
      </c>
      <c r="H164" s="31">
        <v>3933.3199999999997</v>
      </c>
      <c r="I164" s="72">
        <v>220.99</v>
      </c>
      <c r="J164" s="72">
        <v>1383.4499999999994</v>
      </c>
      <c r="K164" s="31">
        <v>37.285714285714285</v>
      </c>
      <c r="L164" s="31">
        <v>218.71428571428572</v>
      </c>
      <c r="M164" s="74">
        <v>12.428571428571429</v>
      </c>
      <c r="N164" s="74">
        <v>16.901098901098901</v>
      </c>
      <c r="O164" s="75">
        <v>249.99666666666667</v>
      </c>
      <c r="P164" s="75">
        <v>302.56307692307689</v>
      </c>
      <c r="Q164" s="76">
        <v>0.29465726209682797</v>
      </c>
      <c r="R164" s="76">
        <v>0.35172576856192717</v>
      </c>
      <c r="S164" s="31"/>
      <c r="T164" s="31"/>
      <c r="U164" s="76">
        <v>-0.83866753755715218</v>
      </c>
      <c r="V164" s="76">
        <v>-0.84615384615384615</v>
      </c>
      <c r="W164" s="76">
        <v>-0.83050959494777943</v>
      </c>
      <c r="X164" s="76">
        <v>-0.85633018902020308</v>
      </c>
      <c r="Y164" s="76">
        <v>-6.5214751677014737E-2</v>
      </c>
      <c r="Z164" s="76">
        <v>-9.6885813148788968E-2</v>
      </c>
      <c r="AA164" s="76">
        <v>0.5</v>
      </c>
      <c r="AB164" s="76">
        <v>1.5714530617842692</v>
      </c>
      <c r="AC164" s="76">
        <v>0.71430204118951268</v>
      </c>
      <c r="AD164" s="142"/>
      <c r="AE164" s="142"/>
      <c r="AF164" s="142"/>
    </row>
    <row r="165" spans="1:32" x14ac:dyDescent="0.35">
      <c r="A165" t="s">
        <v>85</v>
      </c>
      <c r="B165" t="s">
        <v>391</v>
      </c>
      <c r="C165" s="31">
        <v>3</v>
      </c>
      <c r="D165" s="31">
        <v>2</v>
      </c>
      <c r="E165" s="72">
        <v>8</v>
      </c>
      <c r="F165" s="31">
        <v>4</v>
      </c>
      <c r="G165" s="73">
        <v>713.56000000000006</v>
      </c>
      <c r="H165" s="31">
        <v>483.63</v>
      </c>
      <c r="I165" s="72">
        <v>-67.94</v>
      </c>
      <c r="J165" s="72">
        <v>23.350000000000023</v>
      </c>
      <c r="K165" s="31">
        <v>129</v>
      </c>
      <c r="L165" s="31">
        <v>318.28571428571428</v>
      </c>
      <c r="M165" s="74">
        <v>16.125</v>
      </c>
      <c r="N165" s="74">
        <v>64.685714285714283</v>
      </c>
      <c r="O165" s="75">
        <v>89.195000000000007</v>
      </c>
      <c r="P165" s="75">
        <v>120.9075</v>
      </c>
      <c r="Q165" s="76">
        <v>-9.5212736139918153E-2</v>
      </c>
      <c r="R165" s="76">
        <v>4.174488245284709E-2</v>
      </c>
      <c r="S165" s="31">
        <v>49.571428571428569</v>
      </c>
      <c r="T165" s="31"/>
      <c r="U165" s="76">
        <v>-0.59560143626570916</v>
      </c>
      <c r="V165" s="76">
        <v>1</v>
      </c>
      <c r="W165" s="76">
        <v>0.47542542853007475</v>
      </c>
      <c r="X165" s="76">
        <v>8.2184531886024281</v>
      </c>
      <c r="Y165" s="76">
        <v>-8.913738685793815E-3</v>
      </c>
      <c r="Z165" s="76">
        <v>-1.9543973941368198E-2</v>
      </c>
      <c r="AA165" s="76">
        <v>3</v>
      </c>
      <c r="AB165" s="76">
        <v>4.50883965104609</v>
      </c>
      <c r="AC165" s="76">
        <v>0.37720991276152249</v>
      </c>
      <c r="AD165" s="142"/>
      <c r="AE165" s="142"/>
      <c r="AF165" s="142"/>
    </row>
    <row r="166" spans="1:32" x14ac:dyDescent="0.35">
      <c r="A166" t="s">
        <v>85</v>
      </c>
      <c r="B166" t="s">
        <v>374</v>
      </c>
      <c r="C166" s="31">
        <v>1</v>
      </c>
      <c r="D166" s="31">
        <v>27</v>
      </c>
      <c r="E166" s="72">
        <v>1</v>
      </c>
      <c r="F166" s="31">
        <v>29</v>
      </c>
      <c r="G166" s="73">
        <v>366.86</v>
      </c>
      <c r="H166" s="31">
        <v>14986.399999999998</v>
      </c>
      <c r="I166" s="72">
        <v>43.6</v>
      </c>
      <c r="J166" s="72">
        <v>6894.4999999999945</v>
      </c>
      <c r="K166" s="31">
        <v>20</v>
      </c>
      <c r="L166" s="31">
        <v>374.14285714285717</v>
      </c>
      <c r="M166" s="74">
        <v>20</v>
      </c>
      <c r="N166" s="74">
        <v>13.285714285714285</v>
      </c>
      <c r="O166" s="75">
        <v>366.86</v>
      </c>
      <c r="P166" s="75">
        <v>516.7724137931034</v>
      </c>
      <c r="Q166" s="76">
        <v>0.1188464264297007</v>
      </c>
      <c r="R166" s="76">
        <v>0.46005044573746834</v>
      </c>
      <c r="S166" s="31">
        <v>1</v>
      </c>
      <c r="T166" s="31"/>
      <c r="U166" s="76">
        <v>-0.9465444826269569</v>
      </c>
      <c r="V166" s="76">
        <v>-0.96551724137931039</v>
      </c>
      <c r="W166" s="76">
        <v>-0.97552047189451774</v>
      </c>
      <c r="X166" s="76">
        <v>-0.99367611864529692</v>
      </c>
      <c r="Y166" s="76">
        <v>-7.3365875925735624E-2</v>
      </c>
      <c r="Z166" s="76">
        <v>-7.8947368421052655E-2</v>
      </c>
      <c r="AA166" s="76">
        <v>0</v>
      </c>
      <c r="AB166" s="76">
        <v>-0.55976623906495626</v>
      </c>
      <c r="AC166" s="76">
        <v>-0.55976623906495626</v>
      </c>
      <c r="AD166" s="142"/>
      <c r="AE166" s="142"/>
      <c r="AF166" s="142"/>
    </row>
    <row r="167" spans="1:32" x14ac:dyDescent="0.35">
      <c r="A167" t="s">
        <v>85</v>
      </c>
      <c r="B167" t="s">
        <v>380</v>
      </c>
      <c r="C167" s="31">
        <v>4</v>
      </c>
      <c r="D167" s="31"/>
      <c r="E167" s="72">
        <v>5</v>
      </c>
      <c r="F167" s="31"/>
      <c r="G167" s="73">
        <v>366.62</v>
      </c>
      <c r="H167" s="31"/>
      <c r="I167" s="72">
        <v>-720.35</v>
      </c>
      <c r="J167" s="72"/>
      <c r="K167" s="31">
        <v>1003.5714285714286</v>
      </c>
      <c r="L167" s="31">
        <v>964.71428571428567</v>
      </c>
      <c r="M167" s="74">
        <v>200.71428571428572</v>
      </c>
      <c r="N167" s="74"/>
      <c r="O167" s="75">
        <v>73.323999999999998</v>
      </c>
      <c r="P167" s="75"/>
      <c r="Q167" s="76">
        <v>-1.9648409797610606</v>
      </c>
      <c r="R167" s="76"/>
      <c r="S167" s="31">
        <v>53</v>
      </c>
      <c r="T167" s="31"/>
      <c r="U167" s="76">
        <v>3.0356878424403932E-2</v>
      </c>
      <c r="V167" s="76"/>
      <c r="W167" s="76"/>
      <c r="X167" s="76"/>
      <c r="Y167" s="76">
        <v>-3.0673013527581339E-2</v>
      </c>
      <c r="Z167" s="76">
        <v>-3.8461538461538547E-2</v>
      </c>
      <c r="AA167" s="76">
        <v>-0.5</v>
      </c>
      <c r="AB167" s="76">
        <v>-0.71976518429058445</v>
      </c>
      <c r="AC167" s="76">
        <v>-0.4395303685811689</v>
      </c>
      <c r="AD167" s="142"/>
      <c r="AE167" s="142"/>
      <c r="AF167" s="142"/>
    </row>
    <row r="168" spans="1:32" x14ac:dyDescent="0.35">
      <c r="A168" t="s">
        <v>85</v>
      </c>
      <c r="B168" t="s">
        <v>378</v>
      </c>
      <c r="C168" s="31">
        <v>6</v>
      </c>
      <c r="D168" s="31">
        <v>76</v>
      </c>
      <c r="E168" s="72">
        <v>10</v>
      </c>
      <c r="F168" s="31">
        <v>110</v>
      </c>
      <c r="G168" s="73">
        <v>329.47</v>
      </c>
      <c r="H168" s="31">
        <v>9259.1599999999926</v>
      </c>
      <c r="I168" s="72">
        <v>11.550000000000004</v>
      </c>
      <c r="J168" s="72">
        <v>4560.2399999999952</v>
      </c>
      <c r="K168" s="31">
        <v>696.14285714285711</v>
      </c>
      <c r="L168" s="31">
        <v>2649.4285714285716</v>
      </c>
      <c r="M168" s="74">
        <v>69.614285714285714</v>
      </c>
      <c r="N168" s="74">
        <v>24.852040816326532</v>
      </c>
      <c r="O168" s="75">
        <v>32.947000000000003</v>
      </c>
      <c r="P168" s="75">
        <v>84.174181818181751</v>
      </c>
      <c r="Q168" s="76">
        <v>3.5056302546514109E-2</v>
      </c>
      <c r="R168" s="76">
        <v>0.48899078043539324</v>
      </c>
      <c r="S168" s="31">
        <v>275.85714285714283</v>
      </c>
      <c r="T168" s="31"/>
      <c r="U168" s="76">
        <v>-0.73773320392537478</v>
      </c>
      <c r="V168" s="76">
        <v>-0.91818181818181821</v>
      </c>
      <c r="W168" s="76">
        <v>-0.97161621572583257</v>
      </c>
      <c r="X168" s="76">
        <v>-0.99807725458475327</v>
      </c>
      <c r="Y168" s="76">
        <v>3.9612296301442695E-2</v>
      </c>
      <c r="Z168" s="76">
        <v>-2.9862631893290859E-2</v>
      </c>
      <c r="AA168" s="76">
        <v>0.4285714285714286</v>
      </c>
      <c r="AB168" s="76">
        <v>-0.14196051877701965</v>
      </c>
      <c r="AC168" s="76">
        <v>-0.39937236314391367</v>
      </c>
      <c r="AD168" s="142"/>
      <c r="AE168" s="142"/>
      <c r="AF168" s="142"/>
    </row>
    <row r="169" spans="1:32" x14ac:dyDescent="0.35">
      <c r="A169" t="s">
        <v>85</v>
      </c>
      <c r="B169" t="s">
        <v>395</v>
      </c>
      <c r="C169" s="31">
        <v>3</v>
      </c>
      <c r="D169" s="31">
        <v>4</v>
      </c>
      <c r="E169" s="72">
        <v>3</v>
      </c>
      <c r="F169" s="31">
        <v>6</v>
      </c>
      <c r="G169" s="73">
        <v>189.06</v>
      </c>
      <c r="H169" s="31">
        <v>374.98</v>
      </c>
      <c r="I169" s="72">
        <v>27.590000000000003</v>
      </c>
      <c r="J169" s="72">
        <v>50.06</v>
      </c>
      <c r="K169" s="31">
        <v>20.285714285714285</v>
      </c>
      <c r="L169" s="31">
        <v>117.28571428571429</v>
      </c>
      <c r="M169" s="74">
        <v>6.7619047619047619</v>
      </c>
      <c r="N169" s="74">
        <v>19.547619047619047</v>
      </c>
      <c r="O169" s="75">
        <v>63.02</v>
      </c>
      <c r="P169" s="75">
        <v>62.49666666666667</v>
      </c>
      <c r="Q169" s="76">
        <v>0.14593250819845555</v>
      </c>
      <c r="R169" s="76">
        <v>0.1335004533575124</v>
      </c>
      <c r="S169" s="31">
        <v>5.4285714285714288</v>
      </c>
      <c r="T169" s="31"/>
      <c r="U169" s="76">
        <v>-0.82704019488428748</v>
      </c>
      <c r="V169" s="76">
        <v>-0.5</v>
      </c>
      <c r="W169" s="76">
        <v>-0.49581311003253503</v>
      </c>
      <c r="X169" s="76">
        <v>-0.44886136636036755</v>
      </c>
      <c r="Y169" s="76">
        <v>-5.3319640488738274E-2</v>
      </c>
      <c r="Z169" s="76">
        <v>-6.578947368421062E-2</v>
      </c>
      <c r="AA169" s="76">
        <v>0</v>
      </c>
      <c r="AB169" s="76">
        <v>-0.13338833883388335</v>
      </c>
      <c r="AC169" s="76">
        <v>-0.13338833883388335</v>
      </c>
      <c r="AD169" s="142"/>
      <c r="AE169" s="142"/>
      <c r="AF169" s="142"/>
    </row>
    <row r="170" spans="1:32" x14ac:dyDescent="0.35">
      <c r="A170" t="s">
        <v>85</v>
      </c>
      <c r="B170" t="s">
        <v>393</v>
      </c>
      <c r="C170" s="31">
        <v>2</v>
      </c>
      <c r="D170" s="31">
        <v>4</v>
      </c>
      <c r="E170" s="72">
        <v>3</v>
      </c>
      <c r="F170" s="31">
        <v>5</v>
      </c>
      <c r="G170" s="73">
        <v>118.72999999999999</v>
      </c>
      <c r="H170" s="31">
        <v>671.56000000000006</v>
      </c>
      <c r="I170" s="72">
        <v>-230.16000000000003</v>
      </c>
      <c r="J170" s="72">
        <v>175.92000000000007</v>
      </c>
      <c r="K170" s="31">
        <v>9</v>
      </c>
      <c r="L170" s="31">
        <v>142.28571428571428</v>
      </c>
      <c r="M170" s="74">
        <v>3</v>
      </c>
      <c r="N170" s="74">
        <v>29.057142857142857</v>
      </c>
      <c r="O170" s="75">
        <v>39.576666666666661</v>
      </c>
      <c r="P170" s="75">
        <v>134.31200000000001</v>
      </c>
      <c r="Q170" s="76">
        <v>-1.9385159605828355</v>
      </c>
      <c r="R170" s="76">
        <v>0.26195723390315095</v>
      </c>
      <c r="S170" s="31">
        <v>67.428571428571431</v>
      </c>
      <c r="T170" s="31"/>
      <c r="U170" s="76">
        <v>-0.94377510040160639</v>
      </c>
      <c r="V170" s="76">
        <v>-0.4</v>
      </c>
      <c r="W170" s="76">
        <v>-0.82320269223896603</v>
      </c>
      <c r="X170" s="76">
        <v>-2.3083219645293309</v>
      </c>
      <c r="Y170" s="76">
        <v>-0.27602617295396148</v>
      </c>
      <c r="Z170" s="76">
        <v>-0.14864864864864857</v>
      </c>
      <c r="AA170" s="76">
        <v>0</v>
      </c>
      <c r="AB170" s="76">
        <v>-5.0008001280204883E-2</v>
      </c>
      <c r="AC170" s="76">
        <v>-5.0008001280204883E-2</v>
      </c>
      <c r="AD170" s="142"/>
      <c r="AE170" s="142"/>
      <c r="AF170" s="142"/>
    </row>
    <row r="171" spans="1:32" x14ac:dyDescent="0.35">
      <c r="A171" t="s">
        <v>85</v>
      </c>
      <c r="B171" t="s">
        <v>413</v>
      </c>
      <c r="C171" s="31">
        <v>2</v>
      </c>
      <c r="D171" s="31"/>
      <c r="E171" s="72">
        <v>2</v>
      </c>
      <c r="F171" s="31"/>
      <c r="G171" s="73">
        <v>118.17</v>
      </c>
      <c r="H171" s="31"/>
      <c r="I171" s="72">
        <v>100.37</v>
      </c>
      <c r="J171" s="72"/>
      <c r="K171" s="31">
        <v>36.857142857142854</v>
      </c>
      <c r="L171" s="31">
        <v>76</v>
      </c>
      <c r="M171" s="74">
        <v>18.428571428571427</v>
      </c>
      <c r="N171" s="74"/>
      <c r="O171" s="75">
        <v>59.085000000000001</v>
      </c>
      <c r="P171" s="75"/>
      <c r="Q171" s="76">
        <v>0.84936955233984934</v>
      </c>
      <c r="R171" s="76"/>
      <c r="S171" s="31"/>
      <c r="T171" s="31"/>
      <c r="U171" s="76">
        <v>-0.51503759398496252</v>
      </c>
      <c r="V171" s="76"/>
      <c r="W171" s="76"/>
      <c r="X171" s="76"/>
      <c r="Y171" s="76">
        <v>-3.0075187969924699E-2</v>
      </c>
      <c r="Z171" s="76">
        <v>-3.0075187969924921E-2</v>
      </c>
      <c r="AA171" s="76">
        <v>1</v>
      </c>
      <c r="AB171" s="76">
        <v>0.625</v>
      </c>
      <c r="AC171" s="76">
        <v>-0.1875</v>
      </c>
      <c r="AD171" s="142"/>
      <c r="AE171" s="142"/>
      <c r="AF171" s="142"/>
    </row>
    <row r="172" spans="1:32" x14ac:dyDescent="0.35">
      <c r="A172" t="s">
        <v>85</v>
      </c>
      <c r="B172" t="s">
        <v>394</v>
      </c>
      <c r="C172" s="31">
        <v>1</v>
      </c>
      <c r="D172" s="31">
        <v>3</v>
      </c>
      <c r="E172" s="72">
        <v>2</v>
      </c>
      <c r="F172" s="31">
        <v>5</v>
      </c>
      <c r="G172" s="73">
        <v>83.32</v>
      </c>
      <c r="H172" s="31">
        <v>256.64999999999998</v>
      </c>
      <c r="I172" s="72">
        <v>22.86</v>
      </c>
      <c r="J172" s="72">
        <v>121.94</v>
      </c>
      <c r="K172" s="31">
        <v>138.71428571428572</v>
      </c>
      <c r="L172" s="31">
        <v>307.57142857142856</v>
      </c>
      <c r="M172" s="74">
        <v>69.357142857142861</v>
      </c>
      <c r="N172" s="74">
        <v>51.714285714285715</v>
      </c>
      <c r="O172" s="75">
        <v>41.66</v>
      </c>
      <c r="P172" s="75">
        <v>51.33</v>
      </c>
      <c r="Q172" s="76">
        <v>0.27436389822371582</v>
      </c>
      <c r="R172" s="76">
        <v>0.40201767110642228</v>
      </c>
      <c r="S172" s="31">
        <v>1</v>
      </c>
      <c r="T172" s="31"/>
      <c r="U172" s="76">
        <v>-0.55085926614026937</v>
      </c>
      <c r="V172" s="76">
        <v>-0.6</v>
      </c>
      <c r="W172" s="76">
        <v>-0.67535554256769914</v>
      </c>
      <c r="X172" s="76">
        <v>-0.7833175355450237</v>
      </c>
      <c r="Y172" s="76">
        <v>2.7537055554267553E-2</v>
      </c>
      <c r="Z172" s="76">
        <v>2.7513227513227489E-2</v>
      </c>
      <c r="AA172" s="76"/>
      <c r="AB172" s="76"/>
      <c r="AC172" s="76"/>
      <c r="AD172" s="142"/>
      <c r="AE172" s="142"/>
      <c r="AF172" s="142"/>
    </row>
    <row r="173" spans="1:32" x14ac:dyDescent="0.35">
      <c r="A173" t="s">
        <v>85</v>
      </c>
      <c r="B173" t="s">
        <v>397</v>
      </c>
      <c r="C173" s="31">
        <v>2</v>
      </c>
      <c r="D173" s="31">
        <v>2</v>
      </c>
      <c r="E173" s="72">
        <v>2</v>
      </c>
      <c r="F173" s="31">
        <v>3</v>
      </c>
      <c r="G173" s="73">
        <v>61.64</v>
      </c>
      <c r="H173" s="31">
        <v>86.66</v>
      </c>
      <c r="I173" s="72">
        <v>24.62</v>
      </c>
      <c r="J173" s="72">
        <v>39.289999999999992</v>
      </c>
      <c r="K173" s="31">
        <v>506.42857142857144</v>
      </c>
      <c r="L173" s="31">
        <v>804</v>
      </c>
      <c r="M173" s="74">
        <v>253.21428571428572</v>
      </c>
      <c r="N173" s="74">
        <v>204.96428571428572</v>
      </c>
      <c r="O173" s="75">
        <v>30.82</v>
      </c>
      <c r="P173" s="75">
        <v>28.886666666666667</v>
      </c>
      <c r="Q173" s="76">
        <v>0.39941596365996107</v>
      </c>
      <c r="R173" s="76">
        <v>0.3466866672549192</v>
      </c>
      <c r="S173" s="31"/>
      <c r="T173" s="31"/>
      <c r="U173" s="76">
        <v>-0.37100213219616207</v>
      </c>
      <c r="V173" s="76">
        <v>-0.33333333333333337</v>
      </c>
      <c r="W173" s="76">
        <v>-0.28871451650126934</v>
      </c>
      <c r="X173" s="76">
        <v>-0.20912303244458719</v>
      </c>
      <c r="Y173" s="76">
        <v>-1.6382636350391833E-2</v>
      </c>
      <c r="Z173" s="76">
        <v>-1.6370699223085539E-2</v>
      </c>
      <c r="AA173" s="76"/>
      <c r="AB173" s="76"/>
      <c r="AC173" s="76"/>
      <c r="AD173" s="142"/>
      <c r="AE173" s="142"/>
      <c r="AF173" s="142"/>
    </row>
    <row r="174" spans="1:32" x14ac:dyDescent="0.35">
      <c r="A174" t="s">
        <v>85</v>
      </c>
      <c r="B174" t="s">
        <v>399</v>
      </c>
      <c r="C174" s="31">
        <v>1</v>
      </c>
      <c r="D174" s="31"/>
      <c r="E174" s="72">
        <v>1</v>
      </c>
      <c r="F174" s="31"/>
      <c r="G174" s="73">
        <v>41.66</v>
      </c>
      <c r="H174" s="31"/>
      <c r="I174" s="72">
        <v>30.99</v>
      </c>
      <c r="J174" s="72"/>
      <c r="K174" s="31">
        <v>86.571428571428569</v>
      </c>
      <c r="L174" s="31">
        <v>234</v>
      </c>
      <c r="M174" s="74">
        <v>86.571428571428569</v>
      </c>
      <c r="N174" s="74"/>
      <c r="O174" s="75">
        <v>41.66</v>
      </c>
      <c r="P174" s="75"/>
      <c r="Q174" s="76">
        <v>0.74387902064330291</v>
      </c>
      <c r="R174" s="76"/>
      <c r="S174" s="31">
        <v>146</v>
      </c>
      <c r="T174" s="31"/>
      <c r="U174" s="76">
        <v>-0.63003663003663002</v>
      </c>
      <c r="V174" s="76"/>
      <c r="W174" s="76"/>
      <c r="X174" s="76"/>
      <c r="Y174" s="76">
        <v>-3.2323145127835851E-2</v>
      </c>
      <c r="Z174" s="76">
        <v>-6.6255778120184905E-2</v>
      </c>
      <c r="AA174" s="76">
        <v>0</v>
      </c>
      <c r="AB174" s="76">
        <v>0</v>
      </c>
      <c r="AC174" s="76">
        <v>0</v>
      </c>
      <c r="AD174" s="142"/>
      <c r="AE174" s="142"/>
      <c r="AF174" s="142"/>
    </row>
    <row r="175" spans="1:32" x14ac:dyDescent="0.35">
      <c r="A175" t="s">
        <v>85</v>
      </c>
      <c r="B175" t="s">
        <v>398</v>
      </c>
      <c r="C175" s="31">
        <v>1</v>
      </c>
      <c r="D175" s="31"/>
      <c r="E175" s="72">
        <v>1</v>
      </c>
      <c r="F175" s="31"/>
      <c r="G175" s="73">
        <v>41.66</v>
      </c>
      <c r="H175" s="31"/>
      <c r="I175" s="72">
        <v>23.25</v>
      </c>
      <c r="J175" s="72"/>
      <c r="K175" s="31">
        <v>59.714285714285715</v>
      </c>
      <c r="L175" s="31">
        <v>156.85714285714286</v>
      </c>
      <c r="M175" s="74">
        <v>59.714285714285715</v>
      </c>
      <c r="N175" s="74"/>
      <c r="O175" s="75">
        <v>41.66</v>
      </c>
      <c r="P175" s="75"/>
      <c r="Q175" s="76">
        <v>0.55808929428708598</v>
      </c>
      <c r="R175" s="76"/>
      <c r="S175" s="31">
        <v>16</v>
      </c>
      <c r="T175" s="31"/>
      <c r="U175" s="76">
        <v>-0.6202185792349727</v>
      </c>
      <c r="V175" s="76"/>
      <c r="W175" s="76"/>
      <c r="X175" s="76"/>
      <c r="Y175" s="76">
        <v>-5.8729349420164056E-2</v>
      </c>
      <c r="Z175" s="76">
        <v>-6.2780269058295923E-2</v>
      </c>
      <c r="AA175" s="76">
        <v>-0.90909090909090906</v>
      </c>
      <c r="AB175" s="76">
        <v>-0.90908892525913809</v>
      </c>
      <c r="AC175" s="76">
        <v>2.1822149481653952E-5</v>
      </c>
      <c r="AD175" s="142"/>
      <c r="AE175" s="142"/>
      <c r="AF175" s="142"/>
    </row>
    <row r="176" spans="1:32" x14ac:dyDescent="0.35">
      <c r="A176" t="s">
        <v>85</v>
      </c>
      <c r="B176" t="s">
        <v>402</v>
      </c>
      <c r="C176" s="31">
        <v>1</v>
      </c>
      <c r="D176" s="31">
        <v>18</v>
      </c>
      <c r="E176" s="72">
        <v>1</v>
      </c>
      <c r="F176" s="31">
        <v>35</v>
      </c>
      <c r="G176" s="73">
        <v>0.01</v>
      </c>
      <c r="H176" s="31">
        <v>232.64</v>
      </c>
      <c r="I176" s="72">
        <v>-4.59</v>
      </c>
      <c r="J176" s="72">
        <v>71.540000000000049</v>
      </c>
      <c r="K176" s="31">
        <v>230.14285714285714</v>
      </c>
      <c r="L176" s="31">
        <v>10270.428571428571</v>
      </c>
      <c r="M176" s="74">
        <v>230.14285714285714</v>
      </c>
      <c r="N176" s="74">
        <v>320.24489795918367</v>
      </c>
      <c r="O176" s="75">
        <v>0.01</v>
      </c>
      <c r="P176" s="75">
        <v>6.6468571428571428</v>
      </c>
      <c r="Q176" s="76">
        <v>-459</v>
      </c>
      <c r="R176" s="76">
        <v>0.30751375515818452</v>
      </c>
      <c r="S176" s="31">
        <v>1354</v>
      </c>
      <c r="T176" s="31"/>
      <c r="U176" s="76">
        <v>-0.97778643261513642</v>
      </c>
      <c r="V176" s="76">
        <v>-0.97142857142857142</v>
      </c>
      <c r="W176" s="76">
        <v>-0.99995701513067403</v>
      </c>
      <c r="X176" s="76">
        <v>-1.0641599105395583</v>
      </c>
      <c r="Y176" s="76">
        <v>0.70567195272799221</v>
      </c>
      <c r="Z176" s="76">
        <v>0.34924623115577869</v>
      </c>
      <c r="AA176" s="76">
        <v>-0.5</v>
      </c>
      <c r="AB176" s="76">
        <v>-0.5</v>
      </c>
      <c r="AC176" s="76">
        <v>0</v>
      </c>
      <c r="AD176" s="142"/>
      <c r="AE176" s="142"/>
      <c r="AF176" s="142"/>
    </row>
    <row r="177" spans="1:32" x14ac:dyDescent="0.35">
      <c r="A177" t="s">
        <v>85</v>
      </c>
      <c r="B177" t="s">
        <v>451</v>
      </c>
      <c r="C177" s="31"/>
      <c r="D177" s="31"/>
      <c r="E177" s="72"/>
      <c r="F177" s="31"/>
      <c r="G177" s="73"/>
      <c r="H177" s="31"/>
      <c r="I177" s="72"/>
      <c r="J177" s="72"/>
      <c r="K177" s="31">
        <v>6</v>
      </c>
      <c r="L177" s="31">
        <v>6</v>
      </c>
      <c r="M177" s="74"/>
      <c r="N177" s="74"/>
      <c r="O177" s="75"/>
      <c r="P177" s="75"/>
      <c r="Q177" s="76"/>
      <c r="R177" s="76"/>
      <c r="S177" s="31"/>
      <c r="T177" s="31"/>
      <c r="U177" s="76">
        <v>0</v>
      </c>
      <c r="V177" s="76"/>
      <c r="W177" s="76"/>
      <c r="X177" s="76"/>
      <c r="Y177" s="76">
        <v>0</v>
      </c>
      <c r="Z177" s="76">
        <v>0</v>
      </c>
      <c r="AA177" s="76"/>
      <c r="AB177" s="76"/>
      <c r="AC177" s="76"/>
      <c r="AD177" s="142"/>
      <c r="AE177" s="142"/>
      <c r="AF177" s="142"/>
    </row>
    <row r="178" spans="1:32" x14ac:dyDescent="0.35">
      <c r="A178" t="s">
        <v>85</v>
      </c>
      <c r="B178" t="s">
        <v>403</v>
      </c>
      <c r="C178" s="31"/>
      <c r="D178" s="31"/>
      <c r="E178" s="72"/>
      <c r="F178" s="31"/>
      <c r="G178" s="73"/>
      <c r="H178" s="31"/>
      <c r="I178" s="72"/>
      <c r="J178" s="72"/>
      <c r="K178" s="31">
        <v>1</v>
      </c>
      <c r="L178" s="31">
        <v>2</v>
      </c>
      <c r="M178" s="74"/>
      <c r="N178" s="74"/>
      <c r="O178" s="75"/>
      <c r="P178" s="75"/>
      <c r="Q178" s="76"/>
      <c r="R178" s="76"/>
      <c r="S178" s="31"/>
      <c r="T178" s="31"/>
      <c r="U178" s="76">
        <v>-0.5</v>
      </c>
      <c r="V178" s="76"/>
      <c r="W178" s="76"/>
      <c r="X178" s="76"/>
      <c r="Y178" s="76">
        <v>0</v>
      </c>
      <c r="Z178" s="76">
        <v>0</v>
      </c>
      <c r="AA178" s="76"/>
      <c r="AB178" s="76"/>
      <c r="AC178" s="76"/>
      <c r="AD178" s="142"/>
      <c r="AE178" s="142"/>
      <c r="AF178" s="142"/>
    </row>
    <row r="179" spans="1:32" x14ac:dyDescent="0.35">
      <c r="A179" t="s">
        <v>85</v>
      </c>
      <c r="B179" t="s">
        <v>421</v>
      </c>
      <c r="C179" s="31"/>
      <c r="D179" s="31"/>
      <c r="E179" s="72"/>
      <c r="F179" s="31"/>
      <c r="G179" s="73"/>
      <c r="H179" s="31"/>
      <c r="I179" s="72"/>
      <c r="J179" s="72"/>
      <c r="K179" s="31"/>
      <c r="L179" s="31">
        <v>-1</v>
      </c>
      <c r="M179" s="74"/>
      <c r="N179" s="74"/>
      <c r="O179" s="75"/>
      <c r="P179" s="75"/>
      <c r="Q179" s="76"/>
      <c r="R179" s="76"/>
      <c r="S179" s="31"/>
      <c r="T179" s="31"/>
      <c r="U179" s="76"/>
      <c r="V179" s="76"/>
      <c r="W179" s="76"/>
      <c r="X179" s="76"/>
      <c r="Y179" s="76"/>
      <c r="Z179" s="76"/>
      <c r="AA179" s="76"/>
      <c r="AB179" s="76"/>
      <c r="AC179" s="76"/>
      <c r="AD179" s="142"/>
      <c r="AE179" s="142"/>
      <c r="AF179" s="142"/>
    </row>
    <row r="180" spans="1:32" x14ac:dyDescent="0.35">
      <c r="A180" t="s">
        <v>85</v>
      </c>
      <c r="B180" t="s">
        <v>452</v>
      </c>
      <c r="C180" s="31"/>
      <c r="D180" s="31"/>
      <c r="E180" s="72"/>
      <c r="F180" s="31"/>
      <c r="G180" s="73"/>
      <c r="H180" s="31"/>
      <c r="I180" s="72"/>
      <c r="J180" s="72"/>
      <c r="K180" s="31">
        <v>7</v>
      </c>
      <c r="L180" s="31">
        <v>16</v>
      </c>
      <c r="M180" s="74"/>
      <c r="N180" s="74"/>
      <c r="O180" s="75"/>
      <c r="P180" s="75"/>
      <c r="Q180" s="76"/>
      <c r="R180" s="76"/>
      <c r="S180" s="31"/>
      <c r="T180" s="31"/>
      <c r="U180" s="76">
        <v>-0.5625</v>
      </c>
      <c r="V180" s="76"/>
      <c r="W180" s="76"/>
      <c r="X180" s="76"/>
      <c r="Y180" s="76">
        <v>0</v>
      </c>
      <c r="Z180" s="76">
        <v>0</v>
      </c>
      <c r="AA180" s="76"/>
      <c r="AB180" s="76"/>
      <c r="AC180" s="76"/>
      <c r="AD180" s="142"/>
      <c r="AE180" s="142"/>
      <c r="AF180" s="142"/>
    </row>
    <row r="181" spans="1:32" x14ac:dyDescent="0.35">
      <c r="A181" t="s">
        <v>85</v>
      </c>
      <c r="B181" t="s">
        <v>440</v>
      </c>
      <c r="C181" s="31"/>
      <c r="D181" s="31"/>
      <c r="E181" s="72"/>
      <c r="F181" s="31"/>
      <c r="G181" s="73"/>
      <c r="H181" s="31"/>
      <c r="I181" s="72"/>
      <c r="J181" s="72"/>
      <c r="K181" s="31"/>
      <c r="L181" s="31">
        <v>2</v>
      </c>
      <c r="M181" s="74"/>
      <c r="N181" s="74"/>
      <c r="O181" s="75"/>
      <c r="P181" s="75"/>
      <c r="Q181" s="76"/>
      <c r="R181" s="76"/>
      <c r="S181" s="31"/>
      <c r="T181" s="31"/>
      <c r="U181" s="76"/>
      <c r="V181" s="76"/>
      <c r="W181" s="76"/>
      <c r="X181" s="76"/>
      <c r="Y181" s="76"/>
      <c r="Z181" s="76"/>
      <c r="AA181" s="76"/>
      <c r="AB181" s="76"/>
      <c r="AC181" s="76"/>
      <c r="AD181" s="142"/>
      <c r="AE181" s="142"/>
      <c r="AF181" s="142"/>
    </row>
    <row r="182" spans="1:32" x14ac:dyDescent="0.35">
      <c r="A182" t="s">
        <v>85</v>
      </c>
      <c r="B182" t="s">
        <v>412</v>
      </c>
      <c r="C182" s="31"/>
      <c r="D182" s="31"/>
      <c r="E182" s="72"/>
      <c r="F182" s="31"/>
      <c r="G182" s="73"/>
      <c r="H182" s="31"/>
      <c r="I182" s="72"/>
      <c r="J182" s="72"/>
      <c r="K182" s="31">
        <v>1</v>
      </c>
      <c r="L182" s="31">
        <v>1</v>
      </c>
      <c r="M182" s="74"/>
      <c r="N182" s="74"/>
      <c r="O182" s="75"/>
      <c r="P182" s="75"/>
      <c r="Q182" s="76"/>
      <c r="R182" s="76"/>
      <c r="S182" s="31">
        <v>4</v>
      </c>
      <c r="T182" s="31"/>
      <c r="U182" s="76">
        <v>0</v>
      </c>
      <c r="V182" s="76"/>
      <c r="W182" s="76"/>
      <c r="X182" s="76"/>
      <c r="Y182" s="76">
        <v>0</v>
      </c>
      <c r="Z182" s="76">
        <v>0</v>
      </c>
      <c r="AA182" s="76"/>
      <c r="AB182" s="76"/>
      <c r="AC182" s="76"/>
      <c r="AD182" s="142"/>
      <c r="AE182" s="142"/>
      <c r="AF182" s="142"/>
    </row>
    <row r="183" spans="1:32" x14ac:dyDescent="0.35">
      <c r="A183" t="s">
        <v>85</v>
      </c>
      <c r="B183" t="s">
        <v>415</v>
      </c>
      <c r="C183" s="31"/>
      <c r="D183" s="31">
        <v>1</v>
      </c>
      <c r="E183" s="72"/>
      <c r="F183" s="31">
        <v>1</v>
      </c>
      <c r="G183" s="73"/>
      <c r="H183" s="31">
        <v>6.17</v>
      </c>
      <c r="I183" s="72"/>
      <c r="J183" s="72">
        <v>1.4000000000000004</v>
      </c>
      <c r="K183" s="31">
        <v>1</v>
      </c>
      <c r="L183" s="31">
        <v>3.2857142857142856</v>
      </c>
      <c r="M183" s="74"/>
      <c r="N183" s="74">
        <v>3.2857142857142856</v>
      </c>
      <c r="O183" s="75"/>
      <c r="P183" s="75">
        <v>6.17</v>
      </c>
      <c r="Q183" s="76"/>
      <c r="R183" s="76">
        <v>0.22690437601296604</v>
      </c>
      <c r="S183" s="31"/>
      <c r="T183" s="31"/>
      <c r="U183" s="76">
        <v>-0.69565217391304346</v>
      </c>
      <c r="V183" s="76"/>
      <c r="W183" s="76"/>
      <c r="X183" s="76"/>
      <c r="Y183" s="76">
        <v>0</v>
      </c>
      <c r="Z183" s="76">
        <v>0</v>
      </c>
      <c r="AA183" s="76"/>
      <c r="AB183" s="76"/>
      <c r="AC183" s="76"/>
      <c r="AD183" s="142"/>
      <c r="AE183" s="142"/>
      <c r="AF183" s="142"/>
    </row>
    <row r="184" spans="1:32" x14ac:dyDescent="0.35">
      <c r="A184" t="s">
        <v>85</v>
      </c>
      <c r="B184" t="s">
        <v>404</v>
      </c>
      <c r="C184" s="31"/>
      <c r="D184" s="31"/>
      <c r="E184" s="72"/>
      <c r="F184" s="31"/>
      <c r="G184" s="73"/>
      <c r="H184" s="31"/>
      <c r="I184" s="72"/>
      <c r="J184" s="72"/>
      <c r="K184" s="31">
        <v>3</v>
      </c>
      <c r="L184" s="31">
        <v>7</v>
      </c>
      <c r="M184" s="74"/>
      <c r="N184" s="74"/>
      <c r="O184" s="75"/>
      <c r="P184" s="75"/>
      <c r="Q184" s="76"/>
      <c r="R184" s="76"/>
      <c r="S184" s="31">
        <v>27</v>
      </c>
      <c r="T184" s="31"/>
      <c r="U184" s="76">
        <v>-0.5714285714285714</v>
      </c>
      <c r="V184" s="76"/>
      <c r="W184" s="76"/>
      <c r="X184" s="76"/>
      <c r="Y184" s="76">
        <v>0</v>
      </c>
      <c r="Z184" s="76">
        <v>0</v>
      </c>
      <c r="AA184" s="76"/>
      <c r="AB184" s="76"/>
      <c r="AC184" s="76"/>
      <c r="AD184" s="142"/>
      <c r="AE184" s="142"/>
      <c r="AF184" s="142"/>
    </row>
    <row r="185" spans="1:32" x14ac:dyDescent="0.35">
      <c r="A185" t="s">
        <v>85</v>
      </c>
      <c r="B185" t="s">
        <v>423</v>
      </c>
      <c r="C185" s="31"/>
      <c r="D185" s="31"/>
      <c r="E185" s="72"/>
      <c r="F185" s="31"/>
      <c r="G185" s="73"/>
      <c r="H185" s="31"/>
      <c r="I185" s="72"/>
      <c r="J185" s="72"/>
      <c r="K185" s="31">
        <v>1</v>
      </c>
      <c r="L185" s="31">
        <v>1</v>
      </c>
      <c r="M185" s="74"/>
      <c r="N185" s="74"/>
      <c r="O185" s="75"/>
      <c r="P185" s="75"/>
      <c r="Q185" s="76"/>
      <c r="R185" s="76"/>
      <c r="S185" s="31"/>
      <c r="T185" s="31"/>
      <c r="U185" s="76">
        <v>0</v>
      </c>
      <c r="V185" s="76"/>
      <c r="W185" s="76"/>
      <c r="X185" s="76"/>
      <c r="Y185" s="76">
        <v>0</v>
      </c>
      <c r="Z185" s="76">
        <v>0</v>
      </c>
      <c r="AA185" s="76"/>
      <c r="AB185" s="76"/>
      <c r="AC185" s="76"/>
      <c r="AD185" s="142"/>
      <c r="AE185" s="142"/>
      <c r="AF185" s="142"/>
    </row>
    <row r="186" spans="1:32" x14ac:dyDescent="0.35">
      <c r="A186" t="s">
        <v>85</v>
      </c>
      <c r="B186" t="s">
        <v>434</v>
      </c>
      <c r="C186" s="31"/>
      <c r="D186" s="31"/>
      <c r="E186" s="72"/>
      <c r="F186" s="31"/>
      <c r="G186" s="73"/>
      <c r="H186" s="31"/>
      <c r="I186" s="72"/>
      <c r="J186" s="72"/>
      <c r="K186" s="31"/>
      <c r="L186" s="31">
        <v>2</v>
      </c>
      <c r="M186" s="74"/>
      <c r="N186" s="74"/>
      <c r="O186" s="75"/>
      <c r="P186" s="75"/>
      <c r="Q186" s="76"/>
      <c r="R186" s="76"/>
      <c r="S186" s="31"/>
      <c r="T186" s="31"/>
      <c r="U186" s="76"/>
      <c r="V186" s="76"/>
      <c r="W186" s="76"/>
      <c r="X186" s="76"/>
      <c r="Y186" s="76"/>
      <c r="Z186" s="76"/>
      <c r="AA186" s="76"/>
      <c r="AB186" s="76"/>
      <c r="AC186" s="76"/>
      <c r="AD186" s="142"/>
      <c r="AE186" s="142"/>
      <c r="AF186" s="142"/>
    </row>
    <row r="187" spans="1:32" x14ac:dyDescent="0.35">
      <c r="A187" t="s">
        <v>85</v>
      </c>
      <c r="B187" t="s">
        <v>387</v>
      </c>
      <c r="C187" s="31"/>
      <c r="D187" s="31">
        <v>5</v>
      </c>
      <c r="E187" s="72"/>
      <c r="F187" s="31">
        <v>5</v>
      </c>
      <c r="G187" s="73"/>
      <c r="H187" s="31">
        <v>1075.82</v>
      </c>
      <c r="I187" s="72"/>
      <c r="J187" s="72">
        <v>488.73</v>
      </c>
      <c r="K187" s="31">
        <v>5</v>
      </c>
      <c r="L187" s="31">
        <v>107.28571428571429</v>
      </c>
      <c r="M187" s="74"/>
      <c r="N187" s="74">
        <v>21.457142857142859</v>
      </c>
      <c r="O187" s="75"/>
      <c r="P187" s="75">
        <v>215.16399999999999</v>
      </c>
      <c r="Q187" s="76"/>
      <c r="R187" s="76">
        <v>0.45428603297949477</v>
      </c>
      <c r="S187" s="31">
        <v>23</v>
      </c>
      <c r="T187" s="31"/>
      <c r="U187" s="76">
        <v>-0.96271637816245004</v>
      </c>
      <c r="V187" s="76"/>
      <c r="W187" s="76"/>
      <c r="X187" s="76"/>
      <c r="Y187" s="76">
        <v>0</v>
      </c>
      <c r="Z187" s="76">
        <v>0</v>
      </c>
      <c r="AA187" s="76"/>
      <c r="AB187" s="76"/>
      <c r="AC187" s="76"/>
      <c r="AD187" s="142"/>
      <c r="AE187" s="142"/>
      <c r="AF187" s="142"/>
    </row>
    <row r="188" spans="1:32" x14ac:dyDescent="0.35">
      <c r="A188" t="s">
        <v>85</v>
      </c>
      <c r="B188" t="s">
        <v>392</v>
      </c>
      <c r="C188" s="31"/>
      <c r="D188" s="31"/>
      <c r="E188" s="72"/>
      <c r="F188" s="31"/>
      <c r="G188" s="73"/>
      <c r="H188" s="31"/>
      <c r="I188" s="72"/>
      <c r="J188" s="72"/>
      <c r="K188" s="31">
        <v>35.285714285714285</v>
      </c>
      <c r="L188" s="31">
        <v>51.857142857142854</v>
      </c>
      <c r="M188" s="74"/>
      <c r="N188" s="74"/>
      <c r="O188" s="75"/>
      <c r="P188" s="75"/>
      <c r="Q188" s="76"/>
      <c r="R188" s="76"/>
      <c r="S188" s="31"/>
      <c r="T188" s="31"/>
      <c r="U188" s="76">
        <v>-0.34159779614325059</v>
      </c>
      <c r="V188" s="76"/>
      <c r="W188" s="76"/>
      <c r="X188" s="76"/>
      <c r="Y188" s="76">
        <v>-4.6330259780442695E-2</v>
      </c>
      <c r="Z188" s="76">
        <v>-4.633204633204635E-2</v>
      </c>
      <c r="AA188" s="76"/>
      <c r="AB188" s="76"/>
      <c r="AC188" s="76"/>
      <c r="AD188" s="142"/>
      <c r="AE188" s="142"/>
      <c r="AF188" s="142"/>
    </row>
    <row r="189" spans="1:32" x14ac:dyDescent="0.35">
      <c r="A189" t="s">
        <v>85</v>
      </c>
      <c r="B189" t="s">
        <v>408</v>
      </c>
      <c r="C189" s="31"/>
      <c r="D189" s="31">
        <v>1</v>
      </c>
      <c r="E189" s="72"/>
      <c r="F189" s="31">
        <v>2</v>
      </c>
      <c r="G189" s="73"/>
      <c r="H189" s="31">
        <v>13.62</v>
      </c>
      <c r="I189" s="72"/>
      <c r="J189" s="72">
        <v>-5.9800000000000022</v>
      </c>
      <c r="K189" s="31">
        <v>78</v>
      </c>
      <c r="L189" s="31">
        <v>146.28571428571428</v>
      </c>
      <c r="M189" s="74"/>
      <c r="N189" s="74">
        <v>73.642857142857139</v>
      </c>
      <c r="O189" s="75"/>
      <c r="P189" s="75">
        <v>6.81</v>
      </c>
      <c r="Q189" s="76"/>
      <c r="R189" s="76">
        <v>-0.43906020558002956</v>
      </c>
      <c r="S189" s="31"/>
      <c r="T189" s="31"/>
      <c r="U189" s="76">
        <v>-0.46777343749999989</v>
      </c>
      <c r="V189" s="76"/>
      <c r="W189" s="76"/>
      <c r="X189" s="76"/>
      <c r="Y189" s="76">
        <v>0</v>
      </c>
      <c r="Z189" s="76">
        <v>0</v>
      </c>
      <c r="AA189" s="76"/>
      <c r="AB189" s="76"/>
      <c r="AC189" s="76"/>
      <c r="AD189" s="142"/>
      <c r="AE189" s="142"/>
      <c r="AF189" s="142"/>
    </row>
    <row r="190" spans="1:32" x14ac:dyDescent="0.35">
      <c r="A190" t="s">
        <v>85</v>
      </c>
      <c r="B190" t="s">
        <v>401</v>
      </c>
      <c r="C190" s="31"/>
      <c r="D190" s="31"/>
      <c r="E190" s="72"/>
      <c r="F190" s="31"/>
      <c r="G190" s="73"/>
      <c r="H190" s="31"/>
      <c r="I190" s="72"/>
      <c r="J190" s="72"/>
      <c r="K190" s="31">
        <v>1</v>
      </c>
      <c r="L190" s="31">
        <v>3</v>
      </c>
      <c r="M190" s="74"/>
      <c r="N190" s="74"/>
      <c r="O190" s="75"/>
      <c r="P190" s="75"/>
      <c r="Q190" s="76"/>
      <c r="R190" s="76"/>
      <c r="S190" s="31"/>
      <c r="T190" s="31"/>
      <c r="U190" s="76">
        <v>-0.66666666666666674</v>
      </c>
      <c r="V190" s="76"/>
      <c r="W190" s="76"/>
      <c r="X190" s="76"/>
      <c r="Y190" s="76">
        <v>0</v>
      </c>
      <c r="Z190" s="76">
        <v>0</v>
      </c>
      <c r="AA190" s="76"/>
      <c r="AB190" s="76"/>
      <c r="AC190" s="76"/>
      <c r="AD190" s="142"/>
      <c r="AE190" s="142"/>
      <c r="AF190" s="142"/>
    </row>
    <row r="191" spans="1:32" x14ac:dyDescent="0.35">
      <c r="A191" t="s">
        <v>85</v>
      </c>
      <c r="B191" t="s">
        <v>450</v>
      </c>
      <c r="C191" s="31"/>
      <c r="D191" s="31"/>
      <c r="E191" s="72"/>
      <c r="F191" s="31"/>
      <c r="G191" s="73"/>
      <c r="H191" s="31"/>
      <c r="I191" s="72"/>
      <c r="J191" s="72"/>
      <c r="K191" s="31">
        <v>-1</v>
      </c>
      <c r="L191" s="31">
        <v>6</v>
      </c>
      <c r="M191" s="74"/>
      <c r="N191" s="74"/>
      <c r="O191" s="75"/>
      <c r="P191" s="75"/>
      <c r="Q191" s="76"/>
      <c r="R191" s="76"/>
      <c r="S191" s="31"/>
      <c r="T191" s="31"/>
      <c r="U191" s="76">
        <v>-1.1666666666666667</v>
      </c>
      <c r="V191" s="76"/>
      <c r="W191" s="76"/>
      <c r="X191" s="76"/>
      <c r="Y191" s="76">
        <v>0</v>
      </c>
      <c r="Z191" s="76">
        <v>0</v>
      </c>
      <c r="AA191" s="76"/>
      <c r="AB191" s="76"/>
      <c r="AC191" s="76"/>
      <c r="AD191" s="142"/>
      <c r="AE191" s="142"/>
      <c r="AF191" s="142"/>
    </row>
    <row r="192" spans="1:32" x14ac:dyDescent="0.35">
      <c r="A192" t="s">
        <v>85</v>
      </c>
      <c r="B192" t="s">
        <v>441</v>
      </c>
      <c r="C192" s="31"/>
      <c r="D192" s="31"/>
      <c r="E192" s="72"/>
      <c r="F192" s="31"/>
      <c r="G192" s="73"/>
      <c r="H192" s="31"/>
      <c r="I192" s="72"/>
      <c r="J192" s="72"/>
      <c r="K192" s="31">
        <v>12</v>
      </c>
      <c r="L192" s="31">
        <v>29</v>
      </c>
      <c r="M192" s="74"/>
      <c r="N192" s="74"/>
      <c r="O192" s="75"/>
      <c r="P192" s="75"/>
      <c r="Q192" s="76"/>
      <c r="R192" s="76"/>
      <c r="S192" s="31"/>
      <c r="T192" s="31"/>
      <c r="U192" s="76">
        <v>-0.5862068965517242</v>
      </c>
      <c r="V192" s="76"/>
      <c r="W192" s="76"/>
      <c r="X192" s="76"/>
      <c r="Y192" s="76">
        <v>0</v>
      </c>
      <c r="Z192" s="76">
        <v>0</v>
      </c>
      <c r="AA192" s="76"/>
      <c r="AB192" s="76"/>
      <c r="AC192" s="76"/>
      <c r="AD192" s="142"/>
      <c r="AE192" s="142"/>
      <c r="AF192" s="142"/>
    </row>
    <row r="193" spans="1:32" x14ac:dyDescent="0.35">
      <c r="A193" t="s">
        <v>85</v>
      </c>
      <c r="B193" t="s">
        <v>770</v>
      </c>
      <c r="C193" s="31"/>
      <c r="D193" s="31"/>
      <c r="E193" s="72"/>
      <c r="F193" s="31"/>
      <c r="G193" s="73"/>
      <c r="H193" s="31"/>
      <c r="I193" s="72"/>
      <c r="J193" s="72"/>
      <c r="K193" s="31">
        <v>-1</v>
      </c>
      <c r="L193" s="31"/>
      <c r="M193" s="74"/>
      <c r="N193" s="74"/>
      <c r="O193" s="75"/>
      <c r="P193" s="75"/>
      <c r="Q193" s="76"/>
      <c r="R193" s="76"/>
      <c r="S193" s="31"/>
      <c r="T193" s="31"/>
      <c r="U193" s="76"/>
      <c r="V193" s="76"/>
      <c r="W193" s="76"/>
      <c r="X193" s="76"/>
      <c r="Y193" s="76">
        <v>0</v>
      </c>
      <c r="Z193" s="76">
        <v>0</v>
      </c>
      <c r="AA193" s="76"/>
      <c r="AB193" s="76"/>
      <c r="AC193" s="76"/>
      <c r="AD193" s="142"/>
      <c r="AE193" s="142"/>
      <c r="AF193" s="142"/>
    </row>
    <row r="194" spans="1:32" x14ac:dyDescent="0.35">
      <c r="A194" t="s">
        <v>85</v>
      </c>
      <c r="B194" t="s">
        <v>431</v>
      </c>
      <c r="C194" s="31"/>
      <c r="D194" s="31"/>
      <c r="E194" s="72"/>
      <c r="F194" s="31"/>
      <c r="G194" s="73"/>
      <c r="H194" s="31"/>
      <c r="I194" s="72"/>
      <c r="J194" s="72"/>
      <c r="K194" s="31">
        <v>-4</v>
      </c>
      <c r="L194" s="31">
        <v>25</v>
      </c>
      <c r="M194" s="74"/>
      <c r="N194" s="74"/>
      <c r="O194" s="75"/>
      <c r="P194" s="75"/>
      <c r="Q194" s="76"/>
      <c r="R194" s="76"/>
      <c r="S194" s="31">
        <v>12</v>
      </c>
      <c r="T194" s="31"/>
      <c r="U194" s="76">
        <v>-1.1599999999999999</v>
      </c>
      <c r="V194" s="76"/>
      <c r="W194" s="76"/>
      <c r="X194" s="76"/>
      <c r="Y194" s="76">
        <v>0.53337997120382652</v>
      </c>
      <c r="Z194" s="76">
        <v>1.1538461538461537</v>
      </c>
      <c r="AA194" s="76"/>
      <c r="AB194" s="76"/>
      <c r="AC194" s="76"/>
      <c r="AD194" s="142"/>
      <c r="AE194" s="142"/>
      <c r="AF194" s="142"/>
    </row>
    <row r="195" spans="1:32" x14ac:dyDescent="0.35">
      <c r="A195" t="s">
        <v>85</v>
      </c>
      <c r="B195" t="s">
        <v>424</v>
      </c>
      <c r="C195" s="31"/>
      <c r="D195" s="31"/>
      <c r="E195" s="72"/>
      <c r="F195" s="31"/>
      <c r="G195" s="73"/>
      <c r="H195" s="31"/>
      <c r="I195" s="72"/>
      <c r="J195" s="72"/>
      <c r="K195" s="31">
        <v>66</v>
      </c>
      <c r="L195" s="31">
        <v>108</v>
      </c>
      <c r="M195" s="74"/>
      <c r="N195" s="74"/>
      <c r="O195" s="75"/>
      <c r="P195" s="75"/>
      <c r="Q195" s="76"/>
      <c r="R195" s="76"/>
      <c r="S195" s="31"/>
      <c r="T195" s="31"/>
      <c r="U195" s="76">
        <v>-0.38888888888888884</v>
      </c>
      <c r="V195" s="76"/>
      <c r="W195" s="76"/>
      <c r="X195" s="76"/>
      <c r="Y195" s="76">
        <v>0</v>
      </c>
      <c r="Z195" s="76">
        <v>0</v>
      </c>
      <c r="AA195" s="76"/>
      <c r="AB195" s="76"/>
      <c r="AC195" s="76"/>
      <c r="AD195" s="142"/>
      <c r="AE195" s="142"/>
      <c r="AF195" s="142"/>
    </row>
    <row r="196" spans="1:32" x14ac:dyDescent="0.35">
      <c r="A196" t="s">
        <v>85</v>
      </c>
      <c r="B196" t="s">
        <v>384</v>
      </c>
      <c r="C196" s="31"/>
      <c r="D196" s="31"/>
      <c r="E196" s="72"/>
      <c r="F196" s="31"/>
      <c r="G196" s="73"/>
      <c r="H196" s="31"/>
      <c r="I196" s="72"/>
      <c r="J196" s="72"/>
      <c r="K196" s="31">
        <v>16</v>
      </c>
      <c r="L196" s="31">
        <v>197</v>
      </c>
      <c r="M196" s="74"/>
      <c r="N196" s="74"/>
      <c r="O196" s="75"/>
      <c r="P196" s="75"/>
      <c r="Q196" s="76"/>
      <c r="R196" s="76"/>
      <c r="S196" s="31"/>
      <c r="T196" s="31"/>
      <c r="U196" s="76">
        <v>-0.91878172588832485</v>
      </c>
      <c r="V196" s="76"/>
      <c r="W196" s="76"/>
      <c r="X196" s="76"/>
      <c r="Y196" s="76">
        <v>0</v>
      </c>
      <c r="Z196" s="76">
        <v>0</v>
      </c>
      <c r="AA196" s="76"/>
      <c r="AB196" s="76"/>
      <c r="AC196" s="76"/>
      <c r="AD196" s="142"/>
      <c r="AE196" s="142"/>
      <c r="AF196" s="142"/>
    </row>
    <row r="197" spans="1:32" x14ac:dyDescent="0.35">
      <c r="A197" t="s">
        <v>85</v>
      </c>
      <c r="B197" t="s">
        <v>400</v>
      </c>
      <c r="C197" s="31"/>
      <c r="D197" s="31">
        <v>3</v>
      </c>
      <c r="E197" s="72"/>
      <c r="F197" s="31">
        <v>4</v>
      </c>
      <c r="G197" s="73"/>
      <c r="H197" s="31">
        <v>249.96</v>
      </c>
      <c r="I197" s="72"/>
      <c r="J197" s="72">
        <v>54.52000000000001</v>
      </c>
      <c r="K197" s="31">
        <v>5</v>
      </c>
      <c r="L197" s="31">
        <v>6</v>
      </c>
      <c r="M197" s="74"/>
      <c r="N197" s="74">
        <v>1.9285714285714286</v>
      </c>
      <c r="O197" s="75"/>
      <c r="P197" s="75">
        <v>62.49</v>
      </c>
      <c r="Q197" s="76"/>
      <c r="R197" s="76">
        <v>0.21811489838374143</v>
      </c>
      <c r="S197" s="31">
        <v>159</v>
      </c>
      <c r="T197" s="31"/>
      <c r="U197" s="76">
        <v>-0.16666666666666663</v>
      </c>
      <c r="V197" s="76"/>
      <c r="W197" s="76"/>
      <c r="X197" s="76"/>
      <c r="Y197" s="76">
        <v>0.76540855812910058</v>
      </c>
      <c r="Z197" s="76">
        <v>0.2068965517241379</v>
      </c>
      <c r="AA197" s="76"/>
      <c r="AB197" s="76"/>
      <c r="AC197" s="76"/>
      <c r="AD197" s="142"/>
      <c r="AE197" s="142"/>
      <c r="AF197" s="142"/>
    </row>
    <row r="198" spans="1:32" x14ac:dyDescent="0.35">
      <c r="A198" t="s">
        <v>85</v>
      </c>
      <c r="B198" t="s">
        <v>417</v>
      </c>
      <c r="C198" s="31"/>
      <c r="D198" s="31"/>
      <c r="E198" s="72"/>
      <c r="F198" s="31"/>
      <c r="G198" s="73"/>
      <c r="H198" s="31"/>
      <c r="I198" s="72"/>
      <c r="J198" s="72"/>
      <c r="K198" s="31"/>
      <c r="L198" s="31">
        <v>2</v>
      </c>
      <c r="M198" s="74"/>
      <c r="N198" s="74"/>
      <c r="O198" s="75"/>
      <c r="P198" s="75"/>
      <c r="Q198" s="76"/>
      <c r="R198" s="76"/>
      <c r="S198" s="31">
        <v>18</v>
      </c>
      <c r="T198" s="31"/>
      <c r="U198" s="76"/>
      <c r="V198" s="76"/>
      <c r="W198" s="76"/>
      <c r="X198" s="76"/>
      <c r="Y198" s="76"/>
      <c r="Z198" s="76"/>
      <c r="AA198" s="76"/>
      <c r="AB198" s="76"/>
      <c r="AC198" s="76"/>
      <c r="AD198" s="142"/>
      <c r="AE198" s="142"/>
      <c r="AF198" s="142"/>
    </row>
    <row r="199" spans="1:32" x14ac:dyDescent="0.35">
      <c r="A199" t="s">
        <v>85</v>
      </c>
      <c r="B199" t="s">
        <v>416</v>
      </c>
      <c r="C199" s="31"/>
      <c r="D199" s="31"/>
      <c r="E199" s="72"/>
      <c r="F199" s="31"/>
      <c r="G199" s="73"/>
      <c r="H199" s="31"/>
      <c r="I199" s="72"/>
      <c r="J199" s="72"/>
      <c r="K199" s="31"/>
      <c r="L199" s="31">
        <v>1439</v>
      </c>
      <c r="M199" s="74"/>
      <c r="N199" s="74"/>
      <c r="O199" s="75"/>
      <c r="P199" s="75"/>
      <c r="Q199" s="76"/>
      <c r="R199" s="76"/>
      <c r="S199" s="31"/>
      <c r="T199" s="31"/>
      <c r="U199" s="76"/>
      <c r="V199" s="76"/>
      <c r="W199" s="76"/>
      <c r="X199" s="76"/>
      <c r="Y199" s="76"/>
      <c r="Z199" s="76"/>
      <c r="AA199" s="76"/>
      <c r="AB199" s="76"/>
      <c r="AC199" s="76"/>
      <c r="AD199" s="142"/>
      <c r="AE199" s="142"/>
      <c r="AF199" s="142"/>
    </row>
    <row r="200" spans="1:32" x14ac:dyDescent="0.35">
      <c r="A200" t="s">
        <v>85</v>
      </c>
      <c r="B200" t="s">
        <v>409</v>
      </c>
      <c r="C200" s="31"/>
      <c r="D200" s="31">
        <v>3</v>
      </c>
      <c r="E200" s="72"/>
      <c r="F200" s="31">
        <v>3</v>
      </c>
      <c r="G200" s="73"/>
      <c r="H200" s="31">
        <v>99.99</v>
      </c>
      <c r="I200" s="72"/>
      <c r="J200" s="72">
        <v>-80.440000000000012</v>
      </c>
      <c r="K200" s="31">
        <v>-0.7142857142857143</v>
      </c>
      <c r="L200" s="31">
        <v>56.285714285714285</v>
      </c>
      <c r="M200" s="74"/>
      <c r="N200" s="74">
        <v>19.761904761904763</v>
      </c>
      <c r="O200" s="75"/>
      <c r="P200" s="75">
        <v>33.33</v>
      </c>
      <c r="Q200" s="76"/>
      <c r="R200" s="76">
        <v>-0.80448044804480467</v>
      </c>
      <c r="S200" s="31">
        <v>5</v>
      </c>
      <c r="T200" s="31"/>
      <c r="U200" s="76">
        <v>-1.0126903553299493</v>
      </c>
      <c r="V200" s="76"/>
      <c r="W200" s="76"/>
      <c r="X200" s="76"/>
      <c r="Y200" s="76">
        <v>-2.2212467665427944</v>
      </c>
      <c r="Z200" s="76">
        <v>-1.7142857142857144</v>
      </c>
      <c r="AA200" s="76"/>
      <c r="AB200" s="76"/>
      <c r="AC200" s="76"/>
      <c r="AD200" s="142"/>
      <c r="AE200" s="142"/>
      <c r="AF200" s="142"/>
    </row>
    <row r="201" spans="1:32" x14ac:dyDescent="0.35">
      <c r="A201" t="s">
        <v>85</v>
      </c>
      <c r="B201" t="s">
        <v>443</v>
      </c>
      <c r="C201" s="31"/>
      <c r="D201" s="31"/>
      <c r="E201" s="72"/>
      <c r="F201" s="31"/>
      <c r="G201" s="73"/>
      <c r="H201" s="31"/>
      <c r="I201" s="72"/>
      <c r="J201" s="72"/>
      <c r="K201" s="31">
        <v>38</v>
      </c>
      <c r="L201" s="31">
        <v>3</v>
      </c>
      <c r="M201" s="74"/>
      <c r="N201" s="74"/>
      <c r="O201" s="75"/>
      <c r="P201" s="75"/>
      <c r="Q201" s="76"/>
      <c r="R201" s="76"/>
      <c r="S201" s="31">
        <v>874</v>
      </c>
      <c r="T201" s="31"/>
      <c r="U201" s="76">
        <v>11.666666666666666</v>
      </c>
      <c r="V201" s="76"/>
      <c r="W201" s="76"/>
      <c r="X201" s="76"/>
      <c r="Y201" s="76">
        <v>-2.8772329327774182E-3</v>
      </c>
      <c r="Z201" s="76">
        <v>-1.4814814814814725E-2</v>
      </c>
      <c r="AA201" s="76"/>
      <c r="AB201" s="76"/>
      <c r="AC201" s="76"/>
      <c r="AD201" s="142"/>
      <c r="AE201" s="142"/>
      <c r="AF201" s="142"/>
    </row>
    <row r="202" spans="1:32" x14ac:dyDescent="0.35">
      <c r="A202" t="s">
        <v>85</v>
      </c>
      <c r="B202" t="s">
        <v>430</v>
      </c>
      <c r="C202" s="31"/>
      <c r="D202" s="31"/>
      <c r="E202" s="72"/>
      <c r="F202" s="31"/>
      <c r="G202" s="73"/>
      <c r="H202" s="31"/>
      <c r="I202" s="72"/>
      <c r="J202" s="72"/>
      <c r="K202" s="31"/>
      <c r="L202" s="31"/>
      <c r="M202" s="74"/>
      <c r="N202" s="74"/>
      <c r="O202" s="75"/>
      <c r="P202" s="75"/>
      <c r="Q202" s="76"/>
      <c r="R202" s="76"/>
      <c r="S202" s="31">
        <v>25</v>
      </c>
      <c r="T202" s="31"/>
      <c r="U202" s="76"/>
      <c r="V202" s="76"/>
      <c r="W202" s="76"/>
      <c r="X202" s="76"/>
      <c r="Y202" s="76"/>
      <c r="Z202" s="76"/>
      <c r="AA202" s="76"/>
      <c r="AB202" s="76"/>
      <c r="AC202" s="76"/>
      <c r="AD202" s="142"/>
      <c r="AE202" s="142"/>
      <c r="AF202" s="142"/>
    </row>
    <row r="203" spans="1:32" x14ac:dyDescent="0.35">
      <c r="A203" t="s">
        <v>85</v>
      </c>
      <c r="B203" t="s">
        <v>422</v>
      </c>
      <c r="C203" s="31"/>
      <c r="D203" s="31">
        <v>1</v>
      </c>
      <c r="E203" s="72"/>
      <c r="F203" s="31">
        <v>6</v>
      </c>
      <c r="G203" s="73"/>
      <c r="H203" s="31">
        <v>89.94</v>
      </c>
      <c r="I203" s="72"/>
      <c r="J203" s="72">
        <v>74.94</v>
      </c>
      <c r="K203" s="31">
        <v>-0.7142857142857143</v>
      </c>
      <c r="L203" s="31">
        <v>31.428571428571427</v>
      </c>
      <c r="M203" s="74"/>
      <c r="N203" s="74">
        <v>5.2380952380952381</v>
      </c>
      <c r="O203" s="75"/>
      <c r="P203" s="75">
        <v>14.99</v>
      </c>
      <c r="Q203" s="76"/>
      <c r="R203" s="76">
        <v>0.83322214809873252</v>
      </c>
      <c r="S203" s="31">
        <v>72</v>
      </c>
      <c r="T203" s="31"/>
      <c r="U203" s="76">
        <v>-1.0227272727272727</v>
      </c>
      <c r="V203" s="76"/>
      <c r="W203" s="76"/>
      <c r="X203" s="76"/>
      <c r="Y203" s="76">
        <v>-0.68571428571428572</v>
      </c>
      <c r="Z203" s="76">
        <v>-0.61538461538461542</v>
      </c>
      <c r="AA203" s="76"/>
      <c r="AB203" s="76"/>
      <c r="AC203" s="76"/>
      <c r="AD203" s="142"/>
      <c r="AE203" s="142"/>
      <c r="AF203" s="142"/>
    </row>
    <row r="204" spans="1:32" x14ac:dyDescent="0.35">
      <c r="A204" t="s">
        <v>85</v>
      </c>
      <c r="B204" t="s">
        <v>454</v>
      </c>
      <c r="C204" s="31"/>
      <c r="D204" s="31">
        <v>2</v>
      </c>
      <c r="E204" s="72"/>
      <c r="F204" s="31">
        <v>2</v>
      </c>
      <c r="G204" s="73"/>
      <c r="H204" s="31">
        <v>5161.54</v>
      </c>
      <c r="I204" s="72"/>
      <c r="J204" s="72">
        <v>2381.54</v>
      </c>
      <c r="K204" s="31">
        <v>51</v>
      </c>
      <c r="L204" s="31">
        <v>87.142857142857139</v>
      </c>
      <c r="M204" s="74"/>
      <c r="N204" s="74">
        <v>46.571428571428569</v>
      </c>
      <c r="O204" s="75"/>
      <c r="P204" s="75">
        <v>2580.77</v>
      </c>
      <c r="Q204" s="76"/>
      <c r="R204" s="76">
        <v>0.46140105472397774</v>
      </c>
      <c r="S204" s="31">
        <v>1</v>
      </c>
      <c r="T204" s="31"/>
      <c r="U204" s="76">
        <v>-0.43770491803278688</v>
      </c>
      <c r="V204" s="76"/>
      <c r="W204" s="76"/>
      <c r="X204" s="76"/>
      <c r="Y204" s="76">
        <v>1.3574735948040706E-2</v>
      </c>
      <c r="Z204" s="76">
        <v>1.1331444759206777E-2</v>
      </c>
      <c r="AA204" s="76"/>
      <c r="AB204" s="76"/>
      <c r="AC204" s="76"/>
      <c r="AD204" s="142"/>
      <c r="AE204" s="142"/>
      <c r="AF204" s="142"/>
    </row>
    <row r="205" spans="1:32" x14ac:dyDescent="0.35">
      <c r="A205" t="s">
        <v>85</v>
      </c>
      <c r="B205" t="s">
        <v>445</v>
      </c>
      <c r="C205" s="31"/>
      <c r="D205" s="31"/>
      <c r="E205" s="72"/>
      <c r="F205" s="31"/>
      <c r="G205" s="73"/>
      <c r="H205" s="31"/>
      <c r="I205" s="72"/>
      <c r="J205" s="72"/>
      <c r="K205" s="31">
        <v>4</v>
      </c>
      <c r="L205" s="31">
        <v>6</v>
      </c>
      <c r="M205" s="74"/>
      <c r="N205" s="74"/>
      <c r="O205" s="75"/>
      <c r="P205" s="75"/>
      <c r="Q205" s="76"/>
      <c r="R205" s="76"/>
      <c r="S205" s="31"/>
      <c r="T205" s="31"/>
      <c r="U205" s="76">
        <v>-0.33333333333333337</v>
      </c>
      <c r="V205" s="76"/>
      <c r="W205" s="76"/>
      <c r="X205" s="76"/>
      <c r="Y205" s="76">
        <v>0</v>
      </c>
      <c r="Z205" s="76">
        <v>0</v>
      </c>
      <c r="AA205" s="76"/>
      <c r="AB205" s="76"/>
      <c r="AC205" s="76"/>
      <c r="AD205" s="142"/>
      <c r="AE205" s="142"/>
      <c r="AF205" s="142"/>
    </row>
    <row r="206" spans="1:32" x14ac:dyDescent="0.35">
      <c r="A206" t="s">
        <v>85</v>
      </c>
      <c r="B206" t="s">
        <v>768</v>
      </c>
      <c r="C206" s="31"/>
      <c r="D206" s="31"/>
      <c r="E206" s="72"/>
      <c r="F206" s="31"/>
      <c r="G206" s="73"/>
      <c r="H206" s="31"/>
      <c r="I206" s="72"/>
      <c r="J206" s="72"/>
      <c r="K206" s="31">
        <v>-1</v>
      </c>
      <c r="L206" s="31"/>
      <c r="M206" s="74"/>
      <c r="N206" s="74"/>
      <c r="O206" s="75"/>
      <c r="P206" s="75"/>
      <c r="Q206" s="76"/>
      <c r="R206" s="76"/>
      <c r="S206" s="31"/>
      <c r="T206" s="31"/>
      <c r="U206" s="76"/>
      <c r="V206" s="76"/>
      <c r="W206" s="76"/>
      <c r="X206" s="76"/>
      <c r="Y206" s="76">
        <v>0</v>
      </c>
      <c r="Z206" s="76">
        <v>0</v>
      </c>
      <c r="AA206" s="76"/>
      <c r="AB206" s="76"/>
      <c r="AC206" s="76"/>
      <c r="AD206" s="142"/>
      <c r="AE206" s="142"/>
      <c r="AF206" s="142"/>
    </row>
    <row r="207" spans="1:32" x14ac:dyDescent="0.35">
      <c r="A207" t="s">
        <v>85</v>
      </c>
      <c r="B207" t="s">
        <v>444</v>
      </c>
      <c r="C207" s="31"/>
      <c r="D207" s="31"/>
      <c r="E207" s="72"/>
      <c r="F207" s="31"/>
      <c r="G207" s="73"/>
      <c r="H207" s="31"/>
      <c r="I207" s="72"/>
      <c r="J207" s="72"/>
      <c r="K207" s="31">
        <v>1</v>
      </c>
      <c r="L207" s="31"/>
      <c r="M207" s="74"/>
      <c r="N207" s="74"/>
      <c r="O207" s="75"/>
      <c r="P207" s="75"/>
      <c r="Q207" s="76"/>
      <c r="R207" s="76"/>
      <c r="S207" s="31">
        <v>20</v>
      </c>
      <c r="T207" s="31"/>
      <c r="U207" s="76"/>
      <c r="V207" s="76"/>
      <c r="W207" s="76"/>
      <c r="X207" s="76"/>
      <c r="Y207" s="76">
        <v>0</v>
      </c>
      <c r="Z207" s="76">
        <v>0</v>
      </c>
      <c r="AA207" s="76"/>
      <c r="AB207" s="76"/>
      <c r="AC207" s="76"/>
      <c r="AD207" s="142"/>
      <c r="AE207" s="142"/>
      <c r="AF207" s="142"/>
    </row>
    <row r="208" spans="1:32" x14ac:dyDescent="0.35">
      <c r="A208" t="s">
        <v>85</v>
      </c>
      <c r="B208" t="s">
        <v>405</v>
      </c>
      <c r="C208" s="31"/>
      <c r="D208" s="31"/>
      <c r="E208" s="72"/>
      <c r="F208" s="31"/>
      <c r="G208" s="73"/>
      <c r="H208" s="31"/>
      <c r="I208" s="72"/>
      <c r="J208" s="72"/>
      <c r="K208" s="31">
        <v>51</v>
      </c>
      <c r="L208" s="31">
        <v>126</v>
      </c>
      <c r="M208" s="74"/>
      <c r="N208" s="74"/>
      <c r="O208" s="75"/>
      <c r="P208" s="75"/>
      <c r="Q208" s="76"/>
      <c r="R208" s="76"/>
      <c r="S208" s="31"/>
      <c r="T208" s="31"/>
      <c r="U208" s="76">
        <v>-0.59523809523809523</v>
      </c>
      <c r="V208" s="76"/>
      <c r="W208" s="76"/>
      <c r="X208" s="76"/>
      <c r="Y208" s="76">
        <v>-4.757052426638142E-2</v>
      </c>
      <c r="Z208" s="76">
        <v>-5.053191489361708E-2</v>
      </c>
      <c r="AA208" s="76"/>
      <c r="AB208" s="76"/>
      <c r="AC208" s="76"/>
      <c r="AD208" s="142"/>
      <c r="AE208" s="142"/>
      <c r="AF208" s="142"/>
    </row>
    <row r="209" spans="1:32" x14ac:dyDescent="0.35">
      <c r="A209" t="s">
        <v>85</v>
      </c>
      <c r="B209" t="s">
        <v>406</v>
      </c>
      <c r="C209" s="31"/>
      <c r="D209" s="31"/>
      <c r="E209" s="72"/>
      <c r="F209" s="31"/>
      <c r="G209" s="73"/>
      <c r="H209" s="31"/>
      <c r="I209" s="72"/>
      <c r="J209" s="72"/>
      <c r="K209" s="31">
        <v>-1</v>
      </c>
      <c r="L209" s="31">
        <v>46.714285714285715</v>
      </c>
      <c r="M209" s="74"/>
      <c r="N209" s="74"/>
      <c r="O209" s="75"/>
      <c r="P209" s="75"/>
      <c r="Q209" s="76"/>
      <c r="R209" s="76"/>
      <c r="S209" s="31">
        <v>1</v>
      </c>
      <c r="T209" s="31"/>
      <c r="U209" s="76">
        <v>-1.0214067278287462</v>
      </c>
      <c r="V209" s="76"/>
      <c r="W209" s="76"/>
      <c r="X209" s="76"/>
      <c r="Y209" s="76">
        <v>6.1374137413741465</v>
      </c>
      <c r="Z209" s="76"/>
      <c r="AA209" s="76"/>
      <c r="AB209" s="76"/>
      <c r="AC209" s="76"/>
      <c r="AD209" s="142"/>
      <c r="AE209" s="142"/>
      <c r="AF209" s="142"/>
    </row>
    <row r="210" spans="1:32" x14ac:dyDescent="0.35">
      <c r="A210" t="s">
        <v>85</v>
      </c>
      <c r="B210" t="s">
        <v>386</v>
      </c>
      <c r="C210" s="31"/>
      <c r="D210" s="31"/>
      <c r="E210" s="72"/>
      <c r="F210" s="31"/>
      <c r="G210" s="73"/>
      <c r="H210" s="31"/>
      <c r="I210" s="72"/>
      <c r="J210" s="72"/>
      <c r="K210" s="31">
        <v>60</v>
      </c>
      <c r="L210" s="31">
        <v>36</v>
      </c>
      <c r="M210" s="74"/>
      <c r="N210" s="74"/>
      <c r="O210" s="75"/>
      <c r="P210" s="75"/>
      <c r="Q210" s="76"/>
      <c r="R210" s="76"/>
      <c r="S210" s="31"/>
      <c r="T210" s="31"/>
      <c r="U210" s="76">
        <v>0.61111111111111116</v>
      </c>
      <c r="V210" s="76"/>
      <c r="W210" s="76"/>
      <c r="X210" s="76"/>
      <c r="Y210" s="76">
        <v>0</v>
      </c>
      <c r="Z210" s="76">
        <v>0</v>
      </c>
      <c r="AA210" s="76"/>
      <c r="AB210" s="76"/>
      <c r="AC210" s="76"/>
      <c r="AD210" s="142"/>
      <c r="AE210" s="142"/>
      <c r="AF210" s="142"/>
    </row>
    <row r="211" spans="1:32" x14ac:dyDescent="0.35">
      <c r="A211" t="s">
        <v>85</v>
      </c>
      <c r="B211" t="s">
        <v>407</v>
      </c>
      <c r="C211" s="31"/>
      <c r="D211" s="31"/>
      <c r="E211" s="72"/>
      <c r="F211" s="31"/>
      <c r="G211" s="73"/>
      <c r="H211" s="31"/>
      <c r="I211" s="72"/>
      <c r="J211" s="72"/>
      <c r="K211" s="31">
        <v>1.1428571428571428</v>
      </c>
      <c r="L211" s="31">
        <v>34</v>
      </c>
      <c r="M211" s="74"/>
      <c r="N211" s="74"/>
      <c r="O211" s="75"/>
      <c r="P211" s="75"/>
      <c r="Q211" s="76"/>
      <c r="R211" s="76"/>
      <c r="S211" s="31">
        <v>62</v>
      </c>
      <c r="T211" s="31"/>
      <c r="U211" s="76">
        <v>-0.88235294117647056</v>
      </c>
      <c r="V211" s="76"/>
      <c r="W211" s="76"/>
      <c r="X211" s="76"/>
      <c r="Y211" s="76">
        <v>1.8583964975216469</v>
      </c>
      <c r="Z211" s="76">
        <v>0.14285714285714279</v>
      </c>
      <c r="AA211" s="76"/>
      <c r="AB211" s="76"/>
      <c r="AC211" s="76"/>
      <c r="AD211" s="142"/>
      <c r="AE211" s="142"/>
      <c r="AF211" s="142"/>
    </row>
    <row r="212" spans="1:32" x14ac:dyDescent="0.35">
      <c r="A212" t="s">
        <v>85</v>
      </c>
      <c r="B212" t="s">
        <v>435</v>
      </c>
      <c r="C212" s="31"/>
      <c r="D212" s="31"/>
      <c r="E212" s="72"/>
      <c r="F212" s="31"/>
      <c r="G212" s="73"/>
      <c r="H212" s="31"/>
      <c r="I212" s="72"/>
      <c r="J212" s="72"/>
      <c r="K212" s="31">
        <v>2</v>
      </c>
      <c r="L212" s="31"/>
      <c r="M212" s="74"/>
      <c r="N212" s="74"/>
      <c r="O212" s="75"/>
      <c r="P212" s="75"/>
      <c r="Q212" s="76"/>
      <c r="R212" s="76"/>
      <c r="S212" s="31"/>
      <c r="T212" s="31"/>
      <c r="U212" s="76"/>
      <c r="V212" s="76"/>
      <c r="W212" s="76"/>
      <c r="X212" s="76"/>
      <c r="Y212" s="76">
        <v>0</v>
      </c>
      <c r="Z212" s="76">
        <v>0</v>
      </c>
      <c r="AA212" s="76"/>
      <c r="AB212" s="76"/>
      <c r="AC212" s="76"/>
      <c r="AD212" s="142"/>
      <c r="AE212" s="142"/>
      <c r="AF212" s="142"/>
    </row>
    <row r="213" spans="1:32" x14ac:dyDescent="0.35">
      <c r="A213" t="s">
        <v>85</v>
      </c>
      <c r="B213" t="s">
        <v>410</v>
      </c>
      <c r="C213" s="31"/>
      <c r="D213" s="31">
        <v>19</v>
      </c>
      <c r="E213" s="72"/>
      <c r="F213" s="31">
        <v>60</v>
      </c>
      <c r="G213" s="73"/>
      <c r="H213" s="31">
        <v>21.12</v>
      </c>
      <c r="I213" s="72"/>
      <c r="J213" s="72">
        <v>-113.88</v>
      </c>
      <c r="K213" s="31">
        <v>177.71428571428572</v>
      </c>
      <c r="L213" s="31">
        <v>1168.4285714285713</v>
      </c>
      <c r="M213" s="74"/>
      <c r="N213" s="74">
        <v>19.557142857142857</v>
      </c>
      <c r="O213" s="75"/>
      <c r="P213" s="75">
        <v>0.35200000000000004</v>
      </c>
      <c r="Q213" s="76"/>
      <c r="R213" s="76">
        <v>-5.3920454545454541</v>
      </c>
      <c r="S213" s="31">
        <v>93</v>
      </c>
      <c r="T213" s="31"/>
      <c r="U213" s="76">
        <v>-0.84790316664628929</v>
      </c>
      <c r="V213" s="76"/>
      <c r="W213" s="76"/>
      <c r="X213" s="76"/>
      <c r="Y213" s="76">
        <v>-3.2659409020217689E-2</v>
      </c>
      <c r="Z213" s="76">
        <v>-3.2659409020217689E-2</v>
      </c>
      <c r="AA213" s="76"/>
      <c r="AB213" s="76"/>
      <c r="AC213" s="76"/>
      <c r="AD213" s="142"/>
      <c r="AE213" s="142"/>
      <c r="AF213" s="142"/>
    </row>
    <row r="214" spans="1:32" x14ac:dyDescent="0.35">
      <c r="A214" t="s">
        <v>85</v>
      </c>
      <c r="B214" t="s">
        <v>411</v>
      </c>
      <c r="C214" s="31"/>
      <c r="D214" s="31">
        <v>1</v>
      </c>
      <c r="E214" s="72"/>
      <c r="F214" s="31">
        <v>2</v>
      </c>
      <c r="G214" s="73"/>
      <c r="H214" s="31">
        <v>18.16</v>
      </c>
      <c r="I214" s="72"/>
      <c r="J214" s="72">
        <v>6.66</v>
      </c>
      <c r="K214" s="31">
        <v>317</v>
      </c>
      <c r="L214" s="31">
        <v>918.42857142857144</v>
      </c>
      <c r="M214" s="74"/>
      <c r="N214" s="74">
        <v>472.21428571428572</v>
      </c>
      <c r="O214" s="75"/>
      <c r="P214" s="75">
        <v>9.08</v>
      </c>
      <c r="Q214" s="76"/>
      <c r="R214" s="76">
        <v>0.36674008810572689</v>
      </c>
      <c r="S214" s="31">
        <v>78.857142857142861</v>
      </c>
      <c r="T214" s="31"/>
      <c r="U214" s="76">
        <v>-0.65546741328355884</v>
      </c>
      <c r="V214" s="76"/>
      <c r="W214" s="76"/>
      <c r="X214" s="76"/>
      <c r="Y214" s="76">
        <v>1.4588453381554123E-2</v>
      </c>
      <c r="Z214" s="76">
        <v>1.4631915866483824E-2</v>
      </c>
      <c r="AA214" s="76"/>
      <c r="AB214" s="76"/>
      <c r="AC214" s="76"/>
      <c r="AD214" s="142"/>
      <c r="AE214" s="142"/>
      <c r="AF214" s="142"/>
    </row>
    <row r="215" spans="1:32" x14ac:dyDescent="0.35">
      <c r="A215" t="s">
        <v>85</v>
      </c>
      <c r="B215" t="s">
        <v>425</v>
      </c>
      <c r="C215" s="31"/>
      <c r="D215" s="31"/>
      <c r="E215" s="72"/>
      <c r="F215" s="31"/>
      <c r="G215" s="73"/>
      <c r="H215" s="31"/>
      <c r="I215" s="72"/>
      <c r="J215" s="72"/>
      <c r="K215" s="31"/>
      <c r="L215" s="31"/>
      <c r="M215" s="74"/>
      <c r="N215" s="74"/>
      <c r="O215" s="75"/>
      <c r="P215" s="75"/>
      <c r="Q215" s="76"/>
      <c r="R215" s="76"/>
      <c r="S215" s="31">
        <v>12</v>
      </c>
      <c r="T215" s="31"/>
      <c r="U215" s="76"/>
      <c r="V215" s="76"/>
      <c r="W215" s="76"/>
      <c r="X215" s="76"/>
      <c r="Y215" s="76"/>
      <c r="Z215" s="76"/>
      <c r="AA215" s="76"/>
      <c r="AB215" s="76"/>
      <c r="AC215" s="76"/>
      <c r="AD215" s="142"/>
      <c r="AE215" s="142"/>
      <c r="AF215" s="142"/>
    </row>
    <row r="216" spans="1:32" x14ac:dyDescent="0.35">
      <c r="A216" t="s">
        <v>85</v>
      </c>
      <c r="B216" t="s">
        <v>426</v>
      </c>
      <c r="C216" s="31"/>
      <c r="D216" s="31"/>
      <c r="E216" s="72"/>
      <c r="F216" s="31"/>
      <c r="G216" s="73"/>
      <c r="H216" s="31"/>
      <c r="I216" s="72"/>
      <c r="J216" s="72"/>
      <c r="K216" s="31">
        <v>-1</v>
      </c>
      <c r="L216" s="31"/>
      <c r="M216" s="74"/>
      <c r="N216" s="74"/>
      <c r="O216" s="75"/>
      <c r="P216" s="75"/>
      <c r="Q216" s="76"/>
      <c r="R216" s="76"/>
      <c r="S216" s="31"/>
      <c r="T216" s="31"/>
      <c r="U216" s="76"/>
      <c r="V216" s="76"/>
      <c r="W216" s="76"/>
      <c r="X216" s="76"/>
      <c r="Y216" s="76">
        <v>1.3333333333333326</v>
      </c>
      <c r="Z216" s="76">
        <v>1.3333333333333335</v>
      </c>
      <c r="AA216" s="76"/>
      <c r="AB216" s="76"/>
      <c r="AC216" s="76"/>
      <c r="AD216" s="142"/>
      <c r="AE216" s="142"/>
      <c r="AF216" s="142"/>
    </row>
    <row r="217" spans="1:32" x14ac:dyDescent="0.35">
      <c r="A217" t="s">
        <v>85</v>
      </c>
      <c r="B217" t="s">
        <v>437</v>
      </c>
      <c r="C217" s="31"/>
      <c r="D217" s="31"/>
      <c r="E217" s="72"/>
      <c r="F217" s="31"/>
      <c r="G217" s="73"/>
      <c r="H217" s="31"/>
      <c r="I217" s="72"/>
      <c r="J217" s="72"/>
      <c r="K217" s="31"/>
      <c r="L217" s="31">
        <v>3</v>
      </c>
      <c r="M217" s="74"/>
      <c r="N217" s="74"/>
      <c r="O217" s="75"/>
      <c r="P217" s="75"/>
      <c r="Q217" s="76"/>
      <c r="R217" s="76"/>
      <c r="S217" s="31"/>
      <c r="T217" s="31"/>
      <c r="U217" s="76"/>
      <c r="V217" s="76"/>
      <c r="W217" s="76"/>
      <c r="X217" s="76"/>
      <c r="Y217" s="76"/>
      <c r="Z217" s="76"/>
      <c r="AA217" s="76"/>
      <c r="AB217" s="76"/>
      <c r="AC217" s="76"/>
      <c r="AD217" s="142"/>
      <c r="AE217" s="142"/>
      <c r="AF217" s="142"/>
    </row>
    <row r="218" spans="1:32" x14ac:dyDescent="0.35">
      <c r="A218" t="s">
        <v>85</v>
      </c>
      <c r="B218" t="s">
        <v>420</v>
      </c>
      <c r="C218" s="31"/>
      <c r="D218" s="31"/>
      <c r="E218" s="72"/>
      <c r="F218" s="31"/>
      <c r="G218" s="73"/>
      <c r="H218" s="31"/>
      <c r="I218" s="72"/>
      <c r="J218" s="72"/>
      <c r="K218" s="31">
        <v>28</v>
      </c>
      <c r="L218" s="31">
        <v>28</v>
      </c>
      <c r="M218" s="74"/>
      <c r="N218" s="74"/>
      <c r="O218" s="75"/>
      <c r="P218" s="75"/>
      <c r="Q218" s="76"/>
      <c r="R218" s="76"/>
      <c r="S218" s="31"/>
      <c r="T218" s="31"/>
      <c r="U218" s="76">
        <v>0</v>
      </c>
      <c r="V218" s="76"/>
      <c r="W218" s="76"/>
      <c r="X218" s="76"/>
      <c r="Y218" s="76">
        <v>0</v>
      </c>
      <c r="Z218" s="76">
        <v>0</v>
      </c>
      <c r="AA218" s="76"/>
      <c r="AB218" s="76"/>
      <c r="AC218" s="76"/>
      <c r="AD218" s="142"/>
      <c r="AE218" s="142"/>
      <c r="AF218" s="142"/>
    </row>
    <row r="219" spans="1:32" x14ac:dyDescent="0.35">
      <c r="A219" t="s">
        <v>85</v>
      </c>
      <c r="B219" t="s">
        <v>447</v>
      </c>
      <c r="C219" s="31"/>
      <c r="D219" s="31"/>
      <c r="E219" s="72"/>
      <c r="F219" s="31"/>
      <c r="G219" s="73"/>
      <c r="H219" s="31"/>
      <c r="I219" s="72"/>
      <c r="J219" s="72"/>
      <c r="K219" s="31"/>
      <c r="L219" s="31">
        <v>1</v>
      </c>
      <c r="M219" s="74"/>
      <c r="N219" s="74"/>
      <c r="O219" s="75"/>
      <c r="P219" s="75"/>
      <c r="Q219" s="76"/>
      <c r="R219" s="76"/>
      <c r="S219" s="31">
        <v>2</v>
      </c>
      <c r="T219" s="31"/>
      <c r="U219" s="76"/>
      <c r="V219" s="76"/>
      <c r="W219" s="76"/>
      <c r="X219" s="76"/>
      <c r="Y219" s="76"/>
      <c r="Z219" s="76"/>
      <c r="AA219" s="76"/>
      <c r="AB219" s="76"/>
      <c r="AC219" s="76"/>
      <c r="AD219" s="142"/>
      <c r="AE219" s="142"/>
      <c r="AF219" s="142"/>
    </row>
    <row r="220" spans="1:32" x14ac:dyDescent="0.35">
      <c r="A220" t="s">
        <v>85</v>
      </c>
      <c r="B220" t="s">
        <v>428</v>
      </c>
      <c r="C220" s="31"/>
      <c r="D220" s="31"/>
      <c r="E220" s="72"/>
      <c r="F220" s="31"/>
      <c r="G220" s="73"/>
      <c r="H220" s="31"/>
      <c r="I220" s="72"/>
      <c r="J220" s="72"/>
      <c r="K220" s="31">
        <v>1</v>
      </c>
      <c r="L220" s="31">
        <v>1</v>
      </c>
      <c r="M220" s="74"/>
      <c r="N220" s="74"/>
      <c r="O220" s="75"/>
      <c r="P220" s="75"/>
      <c r="Q220" s="76"/>
      <c r="R220" s="76"/>
      <c r="S220" s="31"/>
      <c r="T220" s="31"/>
      <c r="U220" s="76">
        <v>0</v>
      </c>
      <c r="V220" s="76"/>
      <c r="W220" s="76"/>
      <c r="X220" s="76"/>
      <c r="Y220" s="76">
        <v>0</v>
      </c>
      <c r="Z220" s="76">
        <v>0</v>
      </c>
      <c r="AA220" s="76"/>
      <c r="AB220" s="76"/>
      <c r="AC220" s="76"/>
      <c r="AD220" s="142"/>
      <c r="AE220" s="142"/>
      <c r="AF220" s="142"/>
    </row>
    <row r="221" spans="1:32" x14ac:dyDescent="0.35">
      <c r="A221" t="s">
        <v>85</v>
      </c>
      <c r="B221" t="s">
        <v>438</v>
      </c>
      <c r="C221" s="31"/>
      <c r="D221" s="31"/>
      <c r="E221" s="72"/>
      <c r="F221" s="31"/>
      <c r="G221" s="73"/>
      <c r="H221" s="31"/>
      <c r="I221" s="72"/>
      <c r="J221" s="72"/>
      <c r="K221" s="31">
        <v>1</v>
      </c>
      <c r="L221" s="31"/>
      <c r="M221" s="74"/>
      <c r="N221" s="74"/>
      <c r="O221" s="75"/>
      <c r="P221" s="75"/>
      <c r="Q221" s="76"/>
      <c r="R221" s="76"/>
      <c r="S221" s="31"/>
      <c r="T221" s="31"/>
      <c r="U221" s="76"/>
      <c r="V221" s="76"/>
      <c r="W221" s="76"/>
      <c r="X221" s="76"/>
      <c r="Y221" s="76">
        <v>0.34895833333333326</v>
      </c>
      <c r="Z221" s="76">
        <v>-0.125</v>
      </c>
      <c r="AA221" s="76"/>
      <c r="AB221" s="76"/>
      <c r="AC221" s="76"/>
      <c r="AD221" s="142"/>
      <c r="AE221" s="142"/>
      <c r="AF221" s="142"/>
    </row>
    <row r="222" spans="1:32" x14ac:dyDescent="0.35">
      <c r="A222" t="s">
        <v>85</v>
      </c>
      <c r="B222" t="s">
        <v>442</v>
      </c>
      <c r="C222" s="31"/>
      <c r="D222" s="31">
        <v>1</v>
      </c>
      <c r="E222" s="72"/>
      <c r="F222" s="31">
        <v>2</v>
      </c>
      <c r="G222" s="73"/>
      <c r="H222" s="31">
        <v>26.67</v>
      </c>
      <c r="I222" s="72"/>
      <c r="J222" s="72">
        <v>10.490000000000002</v>
      </c>
      <c r="K222" s="31"/>
      <c r="L222" s="31">
        <v>3.4285714285714284</v>
      </c>
      <c r="M222" s="74"/>
      <c r="N222" s="74">
        <v>1.7142857142857142</v>
      </c>
      <c r="O222" s="75"/>
      <c r="P222" s="75">
        <v>13.335000000000001</v>
      </c>
      <c r="Q222" s="76"/>
      <c r="R222" s="76">
        <v>0.39332583427071621</v>
      </c>
      <c r="S222" s="31"/>
      <c r="T222" s="31"/>
      <c r="U222" s="76"/>
      <c r="V222" s="76"/>
      <c r="W222" s="76"/>
      <c r="X222" s="76"/>
      <c r="Y222" s="76"/>
      <c r="Z222" s="76"/>
      <c r="AA222" s="76"/>
      <c r="AB222" s="76"/>
      <c r="AC222" s="76"/>
      <c r="AD222" s="142"/>
      <c r="AE222" s="142"/>
      <c r="AF222" s="142"/>
    </row>
    <row r="223" spans="1:32" x14ac:dyDescent="0.35">
      <c r="A223" t="s">
        <v>85</v>
      </c>
      <c r="B223" t="s">
        <v>446</v>
      </c>
      <c r="C223" s="31"/>
      <c r="D223" s="31"/>
      <c r="E223" s="72"/>
      <c r="F223" s="31"/>
      <c r="G223" s="73"/>
      <c r="H223" s="31"/>
      <c r="I223" s="72"/>
      <c r="J223" s="72"/>
      <c r="K223" s="31"/>
      <c r="L223" s="31">
        <v>2</v>
      </c>
      <c r="M223" s="74"/>
      <c r="N223" s="74"/>
      <c r="O223" s="75"/>
      <c r="P223" s="75"/>
      <c r="Q223" s="76"/>
      <c r="R223" s="76"/>
      <c r="S223" s="31"/>
      <c r="T223" s="31"/>
      <c r="U223" s="76"/>
      <c r="V223" s="76"/>
      <c r="W223" s="76"/>
      <c r="X223" s="76"/>
      <c r="Y223" s="76"/>
      <c r="Z223" s="76"/>
      <c r="AA223" s="76"/>
      <c r="AB223" s="76"/>
      <c r="AC223" s="76"/>
      <c r="AD223" s="142"/>
      <c r="AE223" s="142"/>
      <c r="AF223" s="142"/>
    </row>
    <row r="224" spans="1:32" x14ac:dyDescent="0.35">
      <c r="A224" t="s">
        <v>85</v>
      </c>
      <c r="B224" t="s">
        <v>449</v>
      </c>
      <c r="C224" s="31"/>
      <c r="D224" s="31"/>
      <c r="E224" s="72"/>
      <c r="F224" s="31"/>
      <c r="G224" s="73"/>
      <c r="H224" s="31"/>
      <c r="I224" s="72"/>
      <c r="J224" s="72"/>
      <c r="K224" s="31">
        <v>1</v>
      </c>
      <c r="L224" s="31">
        <v>5</v>
      </c>
      <c r="M224" s="74"/>
      <c r="N224" s="74"/>
      <c r="O224" s="75"/>
      <c r="P224" s="75"/>
      <c r="Q224" s="76"/>
      <c r="R224" s="76"/>
      <c r="S224" s="31">
        <v>2</v>
      </c>
      <c r="T224" s="31"/>
      <c r="U224" s="76">
        <v>-0.8</v>
      </c>
      <c r="V224" s="76"/>
      <c r="W224" s="76"/>
      <c r="X224" s="76"/>
      <c r="Y224" s="76">
        <v>0</v>
      </c>
      <c r="Z224" s="76">
        <v>0</v>
      </c>
      <c r="AA224" s="76"/>
      <c r="AB224" s="76"/>
      <c r="AC224" s="76"/>
      <c r="AD224" s="142"/>
      <c r="AE224" s="142"/>
      <c r="AF224" s="142"/>
    </row>
    <row r="225" spans="1:32" x14ac:dyDescent="0.35">
      <c r="A225" t="s">
        <v>85</v>
      </c>
      <c r="B225" t="s">
        <v>396</v>
      </c>
      <c r="C225" s="31"/>
      <c r="D225" s="31"/>
      <c r="E225" s="72"/>
      <c r="F225" s="31"/>
      <c r="G225" s="73"/>
      <c r="H225" s="31"/>
      <c r="I225" s="72"/>
      <c r="J225" s="72"/>
      <c r="K225" s="31">
        <v>9</v>
      </c>
      <c r="L225" s="31">
        <v>31.857142857142858</v>
      </c>
      <c r="M225" s="74"/>
      <c r="N225" s="74"/>
      <c r="O225" s="75"/>
      <c r="P225" s="75"/>
      <c r="Q225" s="76"/>
      <c r="R225" s="76"/>
      <c r="S225" s="31">
        <v>2</v>
      </c>
      <c r="T225" s="31"/>
      <c r="U225" s="76">
        <v>-0.71748878923766823</v>
      </c>
      <c r="V225" s="76"/>
      <c r="W225" s="76"/>
      <c r="X225" s="76"/>
      <c r="Y225" s="76">
        <v>1.8642441279582034E-2</v>
      </c>
      <c r="Z225" s="76">
        <v>1.6129032258064502E-2</v>
      </c>
      <c r="AA225" s="76"/>
      <c r="AB225" s="76"/>
      <c r="AC225" s="76"/>
      <c r="AD225" s="142"/>
      <c r="AE225" s="142"/>
      <c r="AF225" s="142"/>
    </row>
    <row r="226" spans="1:32" x14ac:dyDescent="0.35">
      <c r="A226" t="s">
        <v>85</v>
      </c>
      <c r="B226" t="s">
        <v>419</v>
      </c>
      <c r="C226" s="31"/>
      <c r="D226" s="31"/>
      <c r="E226" s="72"/>
      <c r="F226" s="31"/>
      <c r="G226" s="73"/>
      <c r="H226" s="31"/>
      <c r="I226" s="72"/>
      <c r="J226" s="72"/>
      <c r="K226" s="31">
        <v>14</v>
      </c>
      <c r="L226" s="31">
        <v>35</v>
      </c>
      <c r="M226" s="74"/>
      <c r="N226" s="74"/>
      <c r="O226" s="75"/>
      <c r="P226" s="75"/>
      <c r="Q226" s="76"/>
      <c r="R226" s="76"/>
      <c r="S226" s="31"/>
      <c r="T226" s="31"/>
      <c r="U226" s="76">
        <v>-0.6</v>
      </c>
      <c r="V226" s="76"/>
      <c r="W226" s="76"/>
      <c r="X226" s="76"/>
      <c r="Y226" s="76">
        <v>0</v>
      </c>
      <c r="Z226" s="76">
        <v>0</v>
      </c>
      <c r="AA226" s="76"/>
      <c r="AB226" s="76"/>
      <c r="AC226" s="76"/>
      <c r="AD226" s="142"/>
      <c r="AE226" s="142"/>
      <c r="AF226" s="142"/>
    </row>
    <row r="227" spans="1:32" x14ac:dyDescent="0.35">
      <c r="A227" t="s">
        <v>85</v>
      </c>
      <c r="B227" t="s">
        <v>427</v>
      </c>
      <c r="C227" s="31"/>
      <c r="D227" s="31"/>
      <c r="E227" s="72"/>
      <c r="F227" s="31"/>
      <c r="G227" s="73"/>
      <c r="H227" s="31"/>
      <c r="I227" s="72"/>
      <c r="J227" s="72"/>
      <c r="K227" s="31">
        <v>4</v>
      </c>
      <c r="L227" s="31">
        <v>11</v>
      </c>
      <c r="M227" s="74"/>
      <c r="N227" s="74"/>
      <c r="O227" s="75"/>
      <c r="P227" s="75"/>
      <c r="Q227" s="76"/>
      <c r="R227" s="76"/>
      <c r="S227" s="31"/>
      <c r="T227" s="31"/>
      <c r="U227" s="76">
        <v>-0.63636363636363635</v>
      </c>
      <c r="V227" s="76"/>
      <c r="W227" s="76"/>
      <c r="X227" s="76"/>
      <c r="Y227" s="76">
        <v>-0.14768195413758745</v>
      </c>
      <c r="Z227" s="76">
        <v>-0.15151515151515149</v>
      </c>
      <c r="AA227" s="76"/>
      <c r="AB227" s="76"/>
      <c r="AC227" s="76"/>
      <c r="AD227" s="142"/>
      <c r="AE227" s="142"/>
      <c r="AF227" s="142"/>
    </row>
    <row r="228" spans="1:32" x14ac:dyDescent="0.35">
      <c r="A228" t="s">
        <v>85</v>
      </c>
      <c r="B228" t="s">
        <v>767</v>
      </c>
      <c r="C228" s="31"/>
      <c r="D228" s="31"/>
      <c r="E228" s="72"/>
      <c r="F228" s="31"/>
      <c r="G228" s="73"/>
      <c r="H228" s="31"/>
      <c r="I228" s="72"/>
      <c r="J228" s="72"/>
      <c r="K228" s="31">
        <v>-1</v>
      </c>
      <c r="L228" s="31"/>
      <c r="M228" s="74"/>
      <c r="N228" s="74"/>
      <c r="O228" s="75"/>
      <c r="P228" s="75"/>
      <c r="Q228" s="76"/>
      <c r="R228" s="76"/>
      <c r="S228" s="31"/>
      <c r="T228" s="31"/>
      <c r="U228" s="76"/>
      <c r="V228" s="76"/>
      <c r="W228" s="76"/>
      <c r="X228" s="76"/>
      <c r="Y228" s="76">
        <v>0</v>
      </c>
      <c r="Z228" s="76">
        <v>0</v>
      </c>
      <c r="AA228" s="76"/>
      <c r="AB228" s="76"/>
      <c r="AC228" s="76"/>
      <c r="AD228" s="142"/>
      <c r="AE228" s="142"/>
      <c r="AF228" s="142"/>
    </row>
    <row r="229" spans="1:32" x14ac:dyDescent="0.35">
      <c r="A229" t="s">
        <v>85</v>
      </c>
      <c r="B229" t="s">
        <v>429</v>
      </c>
      <c r="C229" s="31"/>
      <c r="D229" s="31"/>
      <c r="E229" s="72"/>
      <c r="F229" s="31"/>
      <c r="G229" s="73"/>
      <c r="H229" s="31"/>
      <c r="I229" s="72"/>
      <c r="J229" s="72"/>
      <c r="K229" s="31"/>
      <c r="L229" s="31">
        <v>2</v>
      </c>
      <c r="M229" s="74"/>
      <c r="N229" s="74"/>
      <c r="O229" s="75"/>
      <c r="P229" s="75"/>
      <c r="Q229" s="76"/>
      <c r="R229" s="76"/>
      <c r="S229" s="31"/>
      <c r="T229" s="31"/>
      <c r="U229" s="76"/>
      <c r="V229" s="76"/>
      <c r="W229" s="76"/>
      <c r="X229" s="76"/>
      <c r="Y229" s="76"/>
      <c r="Z229" s="76"/>
      <c r="AA229" s="76"/>
      <c r="AB229" s="76"/>
      <c r="AC229" s="76"/>
      <c r="AD229" s="142"/>
      <c r="AE229" s="142"/>
      <c r="AF229" s="142"/>
    </row>
    <row r="230" spans="1:32" x14ac:dyDescent="0.35">
      <c r="A230" t="s">
        <v>85</v>
      </c>
      <c r="B230" t="s">
        <v>432</v>
      </c>
      <c r="C230" s="31"/>
      <c r="D230" s="31"/>
      <c r="E230" s="72"/>
      <c r="F230" s="31"/>
      <c r="G230" s="73"/>
      <c r="H230" s="31"/>
      <c r="I230" s="72"/>
      <c r="J230" s="72"/>
      <c r="K230" s="31"/>
      <c r="L230" s="31"/>
      <c r="M230" s="74"/>
      <c r="N230" s="74"/>
      <c r="O230" s="75"/>
      <c r="P230" s="75"/>
      <c r="Q230" s="76"/>
      <c r="R230" s="76"/>
      <c r="S230" s="31">
        <v>1</v>
      </c>
      <c r="T230" s="31"/>
      <c r="U230" s="76"/>
      <c r="V230" s="76"/>
      <c r="W230" s="76"/>
      <c r="X230" s="76"/>
      <c r="Y230" s="76"/>
      <c r="Z230" s="76"/>
      <c r="AA230" s="76"/>
      <c r="AB230" s="76"/>
      <c r="AC230" s="76"/>
      <c r="AD230" s="142"/>
      <c r="AE230" s="142"/>
      <c r="AF230" s="142"/>
    </row>
    <row r="231" spans="1:32" x14ac:dyDescent="0.35">
      <c r="A231" t="s">
        <v>85</v>
      </c>
      <c r="B231" t="s">
        <v>418</v>
      </c>
      <c r="C231" s="31"/>
      <c r="D231" s="31"/>
      <c r="E231" s="72"/>
      <c r="F231" s="31"/>
      <c r="G231" s="73"/>
      <c r="H231" s="31"/>
      <c r="I231" s="72"/>
      <c r="J231" s="72"/>
      <c r="K231" s="31">
        <v>-1</v>
      </c>
      <c r="L231" s="31"/>
      <c r="M231" s="74"/>
      <c r="N231" s="74"/>
      <c r="O231" s="75"/>
      <c r="P231" s="75"/>
      <c r="Q231" s="76"/>
      <c r="R231" s="76"/>
      <c r="S231" s="31"/>
      <c r="T231" s="31"/>
      <c r="U231" s="76"/>
      <c r="V231" s="76"/>
      <c r="W231" s="76"/>
      <c r="X231" s="76"/>
      <c r="Y231" s="76">
        <v>0</v>
      </c>
      <c r="Z231" s="76">
        <v>0</v>
      </c>
      <c r="AA231" s="76"/>
      <c r="AB231" s="76"/>
      <c r="AC231" s="76"/>
      <c r="AD231" s="142"/>
      <c r="AE231" s="142"/>
      <c r="AF231" s="142"/>
    </row>
    <row r="232" spans="1:32" x14ac:dyDescent="0.35">
      <c r="A232" t="s">
        <v>85</v>
      </c>
      <c r="B232" t="s">
        <v>769</v>
      </c>
      <c r="C232" s="31"/>
      <c r="D232" s="31"/>
      <c r="E232" s="72"/>
      <c r="F232" s="31"/>
      <c r="G232" s="73"/>
      <c r="H232" s="31"/>
      <c r="I232" s="72"/>
      <c r="J232" s="72"/>
      <c r="K232" s="31">
        <v>4</v>
      </c>
      <c r="L232" s="31"/>
      <c r="M232" s="74"/>
      <c r="N232" s="74"/>
      <c r="O232" s="75"/>
      <c r="P232" s="75"/>
      <c r="Q232" s="76"/>
      <c r="R232" s="76"/>
      <c r="S232" s="31"/>
      <c r="T232" s="31"/>
      <c r="U232" s="76"/>
      <c r="V232" s="76"/>
      <c r="W232" s="76"/>
      <c r="X232" s="76"/>
      <c r="Y232" s="76">
        <v>0</v>
      </c>
      <c r="Z232" s="76">
        <v>0</v>
      </c>
      <c r="AA232" s="76"/>
      <c r="AB232" s="76"/>
      <c r="AC232" s="76"/>
      <c r="AD232" s="142"/>
      <c r="AE232" s="142"/>
      <c r="AF232" s="142"/>
    </row>
    <row r="233" spans="1:32" x14ac:dyDescent="0.35">
      <c r="A233" t="s">
        <v>85</v>
      </c>
      <c r="B233" t="s">
        <v>414</v>
      </c>
      <c r="C233" s="31"/>
      <c r="D233" s="31"/>
      <c r="E233" s="72"/>
      <c r="F233" s="31"/>
      <c r="G233" s="73"/>
      <c r="H233" s="31"/>
      <c r="I233" s="72"/>
      <c r="J233" s="72"/>
      <c r="K233" s="31">
        <v>12</v>
      </c>
      <c r="L233" s="31">
        <v>15.428571428571429</v>
      </c>
      <c r="M233" s="74"/>
      <c r="N233" s="74"/>
      <c r="O233" s="75"/>
      <c r="P233" s="75"/>
      <c r="Q233" s="76"/>
      <c r="R233" s="76"/>
      <c r="S233" s="31">
        <v>-6</v>
      </c>
      <c r="T233" s="31"/>
      <c r="U233" s="76">
        <v>-0.22222222222222221</v>
      </c>
      <c r="V233" s="76"/>
      <c r="W233" s="76"/>
      <c r="X233" s="76"/>
      <c r="Y233" s="76">
        <v>7.1759331723142417E-4</v>
      </c>
      <c r="Z233" s="76">
        <v>9.0909090909090828E-2</v>
      </c>
      <c r="AA233" s="76"/>
      <c r="AB233" s="76"/>
      <c r="AC233" s="76"/>
      <c r="AD233" s="142"/>
      <c r="AE233" s="142"/>
      <c r="AF233" s="142"/>
    </row>
    <row r="234" spans="1:32" x14ac:dyDescent="0.35">
      <c r="A234" t="s">
        <v>85</v>
      </c>
      <c r="B234" t="s">
        <v>453</v>
      </c>
      <c r="C234" s="31"/>
      <c r="D234" s="31"/>
      <c r="E234" s="72"/>
      <c r="F234" s="31"/>
      <c r="G234" s="73"/>
      <c r="H234" s="31"/>
      <c r="I234" s="72"/>
      <c r="J234" s="72"/>
      <c r="K234" s="31"/>
      <c r="L234" s="31">
        <v>-1</v>
      </c>
      <c r="M234" s="74"/>
      <c r="N234" s="74"/>
      <c r="O234" s="75"/>
      <c r="P234" s="75"/>
      <c r="Q234" s="76"/>
      <c r="R234" s="76"/>
      <c r="S234" s="31"/>
      <c r="T234" s="31"/>
      <c r="U234" s="76"/>
      <c r="V234" s="76"/>
      <c r="W234" s="76"/>
      <c r="X234" s="76"/>
      <c r="Y234" s="76"/>
      <c r="Z234" s="76"/>
      <c r="AA234" s="76"/>
      <c r="AB234" s="76"/>
      <c r="AC234" s="76"/>
      <c r="AD234" s="142"/>
      <c r="AE234" s="142"/>
      <c r="AF234" s="142"/>
    </row>
    <row r="235" spans="1:32" x14ac:dyDescent="0.35">
      <c r="A235" t="s">
        <v>85</v>
      </c>
      <c r="B235" t="s">
        <v>436</v>
      </c>
      <c r="C235" s="31"/>
      <c r="D235" s="31"/>
      <c r="E235" s="72"/>
      <c r="F235" s="31"/>
      <c r="G235" s="73"/>
      <c r="H235" s="31"/>
      <c r="I235" s="72"/>
      <c r="J235" s="72"/>
      <c r="K235" s="31"/>
      <c r="L235" s="31">
        <v>1</v>
      </c>
      <c r="M235" s="74"/>
      <c r="N235" s="74"/>
      <c r="O235" s="75"/>
      <c r="P235" s="75"/>
      <c r="Q235" s="76"/>
      <c r="R235" s="76"/>
      <c r="S235" s="31">
        <v>1.8571428571428572</v>
      </c>
      <c r="T235" s="31"/>
      <c r="U235" s="76"/>
      <c r="V235" s="76"/>
      <c r="W235" s="76"/>
      <c r="X235" s="76"/>
      <c r="Y235" s="76"/>
      <c r="Z235" s="76"/>
      <c r="AA235" s="76"/>
      <c r="AB235" s="76"/>
      <c r="AC235" s="76"/>
      <c r="AD235" s="142"/>
      <c r="AE235" s="142"/>
      <c r="AF235" s="142"/>
    </row>
    <row r="236" spans="1:32" x14ac:dyDescent="0.35">
      <c r="A236" t="s">
        <v>85</v>
      </c>
      <c r="B236" t="s">
        <v>448</v>
      </c>
      <c r="C236" s="31"/>
      <c r="D236" s="31"/>
      <c r="E236" s="72"/>
      <c r="F236" s="31"/>
      <c r="G236" s="73"/>
      <c r="H236" s="31"/>
      <c r="I236" s="72"/>
      <c r="J236" s="72"/>
      <c r="K236" s="31">
        <v>1</v>
      </c>
      <c r="L236" s="31"/>
      <c r="M236" s="74"/>
      <c r="N236" s="74"/>
      <c r="O236" s="75"/>
      <c r="P236" s="75"/>
      <c r="Q236" s="76"/>
      <c r="R236" s="76"/>
      <c r="S236" s="31">
        <v>4</v>
      </c>
      <c r="T236" s="31"/>
      <c r="U236" s="76"/>
      <c r="V236" s="76"/>
      <c r="W236" s="76"/>
      <c r="X236" s="76"/>
      <c r="Y236" s="76">
        <v>0</v>
      </c>
      <c r="Z236" s="76">
        <v>0</v>
      </c>
      <c r="AA236" s="76"/>
      <c r="AB236" s="76"/>
      <c r="AC236" s="76"/>
      <c r="AD236" s="142"/>
      <c r="AE236" s="142"/>
      <c r="AF236" s="142"/>
    </row>
    <row r="237" spans="1:32" x14ac:dyDescent="0.35">
      <c r="A237" t="s">
        <v>85</v>
      </c>
      <c r="B237" t="s">
        <v>433</v>
      </c>
      <c r="C237" s="31"/>
      <c r="D237" s="31"/>
      <c r="E237" s="72"/>
      <c r="F237" s="31"/>
      <c r="G237" s="73"/>
      <c r="H237" s="31"/>
      <c r="I237" s="72"/>
      <c r="J237" s="72"/>
      <c r="K237" s="31">
        <v>33</v>
      </c>
      <c r="L237" s="31">
        <v>39</v>
      </c>
      <c r="M237" s="74"/>
      <c r="N237" s="74"/>
      <c r="O237" s="75"/>
      <c r="P237" s="75"/>
      <c r="Q237" s="76"/>
      <c r="R237" s="76"/>
      <c r="S237" s="31"/>
      <c r="T237" s="31"/>
      <c r="U237" s="76">
        <v>-0.15384615384615385</v>
      </c>
      <c r="V237" s="76"/>
      <c r="W237" s="76"/>
      <c r="X237" s="76"/>
      <c r="Y237" s="76">
        <v>0</v>
      </c>
      <c r="Z237" s="76">
        <v>0</v>
      </c>
      <c r="AA237" s="76"/>
      <c r="AB237" s="76"/>
      <c r="AC237" s="76"/>
      <c r="AD237" s="142"/>
      <c r="AE237" s="142"/>
      <c r="AF237" s="142"/>
    </row>
    <row r="238" spans="1:32" x14ac:dyDescent="0.35">
      <c r="A238" t="s">
        <v>85</v>
      </c>
      <c r="B238" t="s">
        <v>439</v>
      </c>
      <c r="C238" s="31"/>
      <c r="D238" s="31"/>
      <c r="E238" s="72"/>
      <c r="F238" s="31"/>
      <c r="G238" s="73"/>
      <c r="H238" s="31"/>
      <c r="I238" s="72"/>
      <c r="J238" s="72"/>
      <c r="K238" s="31"/>
      <c r="L238" s="31">
        <v>3</v>
      </c>
      <c r="M238" s="74"/>
      <c r="N238" s="74"/>
      <c r="O238" s="75"/>
      <c r="P238" s="75"/>
      <c r="Q238" s="76"/>
      <c r="R238" s="76"/>
      <c r="S238" s="31">
        <v>-4</v>
      </c>
      <c r="T238" s="31"/>
      <c r="U238" s="76"/>
      <c r="V238" s="76"/>
      <c r="W238" s="76"/>
      <c r="X238" s="76"/>
      <c r="Y238" s="76"/>
      <c r="Z238" s="76"/>
      <c r="AA238" s="76"/>
      <c r="AB238" s="76"/>
      <c r="AC238" s="76"/>
      <c r="AD238" s="142"/>
      <c r="AE238" s="142"/>
      <c r="AF238" s="142"/>
    </row>
    <row r="239" spans="1:32" x14ac:dyDescent="0.35">
      <c r="A239" t="s">
        <v>85</v>
      </c>
      <c r="B239" t="s">
        <v>771</v>
      </c>
      <c r="C239" s="31"/>
      <c r="D239" s="31"/>
      <c r="E239" s="72"/>
      <c r="F239" s="31"/>
      <c r="G239" s="73"/>
      <c r="H239" s="31"/>
      <c r="I239" s="72"/>
      <c r="J239" s="72"/>
      <c r="K239" s="31">
        <v>1</v>
      </c>
      <c r="L239" s="31"/>
      <c r="M239" s="74"/>
      <c r="N239" s="74"/>
      <c r="O239" s="75"/>
      <c r="P239" s="75"/>
      <c r="Q239" s="76"/>
      <c r="R239" s="76"/>
      <c r="S239" s="31"/>
      <c r="T239" s="31"/>
      <c r="U239" s="76"/>
      <c r="V239" s="76"/>
      <c r="W239" s="76"/>
      <c r="X239" s="76"/>
      <c r="Y239" s="76">
        <v>0</v>
      </c>
      <c r="Z239" s="76">
        <v>0</v>
      </c>
      <c r="AA239" s="76"/>
      <c r="AB239" s="76"/>
      <c r="AC239" s="76"/>
      <c r="AD239" s="142"/>
      <c r="AE239" s="142"/>
      <c r="AF239" s="142"/>
    </row>
    <row r="240" spans="1:32" x14ac:dyDescent="0.35">
      <c r="A240" s="138" t="s">
        <v>838</v>
      </c>
      <c r="B240" s="138"/>
      <c r="C240" s="127">
        <v>22736</v>
      </c>
      <c r="D240" s="127">
        <v>19017</v>
      </c>
      <c r="E240" s="126">
        <v>39159</v>
      </c>
      <c r="F240" s="127">
        <v>32739</v>
      </c>
      <c r="G240" s="127">
        <v>14204546.270002928</v>
      </c>
      <c r="H240" s="127">
        <v>7809007.6000015391</v>
      </c>
      <c r="I240" s="126">
        <v>8609300.3599998374</v>
      </c>
      <c r="J240" s="126">
        <v>3949061.9100014381</v>
      </c>
      <c r="K240" s="127">
        <v>476851.57142857142</v>
      </c>
      <c r="L240" s="127">
        <v>589753.71428571432</v>
      </c>
      <c r="M240" s="140">
        <v>12.17731738370672</v>
      </c>
      <c r="N240" s="140">
        <v>18.256281599672874</v>
      </c>
      <c r="O240" s="139">
        <v>362.74027094672817</v>
      </c>
      <c r="P240" s="139">
        <v>238.52309477997309</v>
      </c>
      <c r="Q240" s="141">
        <v>0.60609471054917852</v>
      </c>
      <c r="R240" s="141">
        <v>0.49458190386456735</v>
      </c>
      <c r="S240" s="127">
        <v>221249.57142857142</v>
      </c>
      <c r="T240" s="127"/>
      <c r="U240" s="141">
        <v>-0.21677208597487185</v>
      </c>
      <c r="V240" s="141">
        <v>0.14603378233910624</v>
      </c>
      <c r="W240" s="141">
        <v>0.74439115413367851</v>
      </c>
      <c r="X240" s="141">
        <v>1.1372714870950267</v>
      </c>
      <c r="Y240" s="141">
        <v>-3.1489239858955353E-2</v>
      </c>
      <c r="Z240" s="141">
        <v>-1.8778067522850161E-2</v>
      </c>
      <c r="AA240" s="141">
        <v>7.2056287130068064E-2</v>
      </c>
      <c r="AB240" s="141">
        <v>7.5518654906516547E-2</v>
      </c>
      <c r="AC240" s="141">
        <v>3.2296511088212299E-3</v>
      </c>
      <c r="AD240" s="143">
        <v>4.8144444266864789E-2</v>
      </c>
      <c r="AE240" s="143">
        <v>0.28674018571960047</v>
      </c>
      <c r="AF240" s="143">
        <v>0.47858398146338194</v>
      </c>
    </row>
    <row r="241" spans="1:32" x14ac:dyDescent="0.35">
      <c r="A241" t="s">
        <v>80</v>
      </c>
      <c r="B241" t="s">
        <v>482</v>
      </c>
      <c r="C241" s="31">
        <v>1022</v>
      </c>
      <c r="D241" s="31">
        <v>578</v>
      </c>
      <c r="E241" s="72">
        <v>1082</v>
      </c>
      <c r="F241" s="31">
        <v>594</v>
      </c>
      <c r="G241" s="73">
        <v>2210454.2900000107</v>
      </c>
      <c r="H241" s="31">
        <v>885486.74999999523</v>
      </c>
      <c r="I241" s="72">
        <v>988419.59999999695</v>
      </c>
      <c r="J241" s="72">
        <v>410293.00999999361</v>
      </c>
      <c r="K241" s="31">
        <v>16921</v>
      </c>
      <c r="L241" s="31">
        <v>14642.857142857143</v>
      </c>
      <c r="M241" s="74">
        <v>15.638632162661738</v>
      </c>
      <c r="N241" s="74">
        <v>25.104259825841375</v>
      </c>
      <c r="O241" s="75">
        <v>2042.9337245841134</v>
      </c>
      <c r="P241" s="75">
        <v>1490.7184343434262</v>
      </c>
      <c r="Q241" s="76">
        <v>0.44715676975161162</v>
      </c>
      <c r="R241" s="76">
        <v>0.45316471195418706</v>
      </c>
      <c r="S241" s="31">
        <v>4266</v>
      </c>
      <c r="T241" s="31"/>
      <c r="U241" s="76">
        <v>0.11480975609756094</v>
      </c>
      <c r="V241" s="76">
        <v>0.76767676767676774</v>
      </c>
      <c r="W241" s="76">
        <v>1.428147242180668</v>
      </c>
      <c r="X241" s="76">
        <v>1.400184018063674</v>
      </c>
      <c r="Y241" s="76">
        <v>1.6064327719506943E-2</v>
      </c>
      <c r="Z241" s="76">
        <v>9.7266976966225993E-3</v>
      </c>
      <c r="AA241" s="76">
        <v>6.3913470993117061E-2</v>
      </c>
      <c r="AB241" s="76">
        <v>0.16661475154455907</v>
      </c>
      <c r="AC241" s="76">
        <v>9.6531610278018931E-2</v>
      </c>
      <c r="AD241" s="142">
        <v>0.15546553888104167</v>
      </c>
      <c r="AE241" s="142">
        <v>-6.1642462608081559E-2</v>
      </c>
      <c r="AF241" s="142">
        <v>2.4802887510981326E-2</v>
      </c>
    </row>
    <row r="242" spans="1:32" x14ac:dyDescent="0.35">
      <c r="A242" t="s">
        <v>80</v>
      </c>
      <c r="B242" t="s">
        <v>481</v>
      </c>
      <c r="C242" s="31">
        <v>1529</v>
      </c>
      <c r="D242" s="31">
        <v>1349</v>
      </c>
      <c r="E242" s="72">
        <v>1812</v>
      </c>
      <c r="F242" s="31">
        <v>1606</v>
      </c>
      <c r="G242" s="73">
        <v>2112599.0699999859</v>
      </c>
      <c r="H242" s="31">
        <v>1512796.019999987</v>
      </c>
      <c r="I242" s="72">
        <v>1059124.8399999933</v>
      </c>
      <c r="J242" s="72">
        <v>736984.24999998463</v>
      </c>
      <c r="K242" s="31">
        <v>24273.857142857141</v>
      </c>
      <c r="L242" s="31">
        <v>31663.571428571428</v>
      </c>
      <c r="M242" s="74">
        <v>13.396168401135288</v>
      </c>
      <c r="N242" s="74">
        <v>19.992261542474569</v>
      </c>
      <c r="O242" s="75">
        <v>1165.8935264900583</v>
      </c>
      <c r="P242" s="75">
        <v>941.9651432129433</v>
      </c>
      <c r="Q242" s="76">
        <v>0.5013373597669909</v>
      </c>
      <c r="R242" s="76">
        <v>0.47679446726485769</v>
      </c>
      <c r="S242" s="31">
        <v>1682.1428571428571</v>
      </c>
      <c r="T242" s="31"/>
      <c r="U242" s="76">
        <v>-0.25777707595479249</v>
      </c>
      <c r="V242" s="76">
        <v>8.655043586550426E-2</v>
      </c>
      <c r="W242" s="76">
        <v>0.33958015040256484</v>
      </c>
      <c r="X242" s="76">
        <v>0.41578185765978892</v>
      </c>
      <c r="Y242" s="76">
        <v>1.6601695253910753E-2</v>
      </c>
      <c r="Z242" s="76">
        <v>3.296813276738586E-4</v>
      </c>
      <c r="AA242" s="76">
        <v>0.14974619289340096</v>
      </c>
      <c r="AB242" s="76">
        <v>0.14676827329717468</v>
      </c>
      <c r="AC242" s="76">
        <v>-2.5900669335834348E-3</v>
      </c>
      <c r="AD242" s="142">
        <v>-7.4070809361757292E-2</v>
      </c>
      <c r="AE242" s="142">
        <v>-7.6482766438565081E-2</v>
      </c>
      <c r="AF242" s="142">
        <v>3.1738279545000254E-2</v>
      </c>
    </row>
    <row r="243" spans="1:32" x14ac:dyDescent="0.35">
      <c r="A243" t="s">
        <v>80</v>
      </c>
      <c r="B243" t="s">
        <v>483</v>
      </c>
      <c r="C243" s="31">
        <v>2142</v>
      </c>
      <c r="D243" s="31">
        <v>1343</v>
      </c>
      <c r="E243" s="72">
        <v>2370</v>
      </c>
      <c r="F243" s="31">
        <v>1530</v>
      </c>
      <c r="G243" s="73">
        <v>1768322.4299999755</v>
      </c>
      <c r="H243" s="31">
        <v>1003237.1199999966</v>
      </c>
      <c r="I243" s="72">
        <v>953874.839999991</v>
      </c>
      <c r="J243" s="72">
        <v>496178.15999999526</v>
      </c>
      <c r="K243" s="31">
        <v>35918.285714285717</v>
      </c>
      <c r="L243" s="31">
        <v>28429.142857142859</v>
      </c>
      <c r="M243" s="74">
        <v>15.155394816154311</v>
      </c>
      <c r="N243" s="74">
        <v>18.964331443204681</v>
      </c>
      <c r="O243" s="75">
        <v>746.12760759492642</v>
      </c>
      <c r="P243" s="75">
        <v>655.71053594771024</v>
      </c>
      <c r="Q243" s="76">
        <v>0.53942359369382886</v>
      </c>
      <c r="R243" s="76">
        <v>0.48482747135778798</v>
      </c>
      <c r="S243" s="31">
        <v>3411.4285714285716</v>
      </c>
      <c r="T243" s="31"/>
      <c r="U243" s="76">
        <v>0.22285984201322595</v>
      </c>
      <c r="V243" s="76">
        <v>0.49934640522875817</v>
      </c>
      <c r="W243" s="76">
        <v>0.70700478068434047</v>
      </c>
      <c r="X243" s="76">
        <v>0.8991650832907403</v>
      </c>
      <c r="Y243" s="76">
        <v>1.5282789077951886E-2</v>
      </c>
      <c r="Z243" s="76">
        <v>1.2581351891230108E-2</v>
      </c>
      <c r="AA243" s="76">
        <v>9.6207215541165514E-2</v>
      </c>
      <c r="AB243" s="76">
        <v>0.1219265974289101</v>
      </c>
      <c r="AC243" s="76">
        <v>2.3462153435149125E-2</v>
      </c>
      <c r="AD243" s="142">
        <v>0.1189904194589885</v>
      </c>
      <c r="AE243" s="142">
        <v>-0.10921924956056182</v>
      </c>
      <c r="AF243" s="142">
        <v>3.110928542047358E-2</v>
      </c>
    </row>
    <row r="244" spans="1:32" x14ac:dyDescent="0.35">
      <c r="A244" t="s">
        <v>80</v>
      </c>
      <c r="B244" t="s">
        <v>486</v>
      </c>
      <c r="C244" s="31">
        <v>1284</v>
      </c>
      <c r="D244" s="31">
        <v>1437</v>
      </c>
      <c r="E244" s="72">
        <v>2313</v>
      </c>
      <c r="F244" s="31">
        <v>1730</v>
      </c>
      <c r="G244" s="73">
        <v>1062587.8299999873</v>
      </c>
      <c r="H244" s="31">
        <v>464988.479999998</v>
      </c>
      <c r="I244" s="72">
        <v>521777.79999999888</v>
      </c>
      <c r="J244" s="72">
        <v>225557.59999999785</v>
      </c>
      <c r="K244" s="31">
        <v>33714.714285714283</v>
      </c>
      <c r="L244" s="31">
        <v>25562.714285714286</v>
      </c>
      <c r="M244" s="74">
        <v>14.576184299919706</v>
      </c>
      <c r="N244" s="74">
        <v>14.89035229476406</v>
      </c>
      <c r="O244" s="75">
        <v>459.39811067876667</v>
      </c>
      <c r="P244" s="75">
        <v>268.77946820809132</v>
      </c>
      <c r="Q244" s="76">
        <v>0.49104439677236389</v>
      </c>
      <c r="R244" s="76">
        <v>0.47376866673344392</v>
      </c>
      <c r="S244" s="31">
        <v>6790.7142857142853</v>
      </c>
      <c r="T244" s="31"/>
      <c r="U244" s="76">
        <v>0.27794946881339433</v>
      </c>
      <c r="V244" s="76">
        <v>0.28612716763005785</v>
      </c>
      <c r="W244" s="76">
        <v>1.2158010667274861</v>
      </c>
      <c r="X244" s="76">
        <v>1.2955934353960123</v>
      </c>
      <c r="Y244" s="76">
        <v>2.2994520642075855E-2</v>
      </c>
      <c r="Z244" s="76">
        <v>0.11928802803875715</v>
      </c>
      <c r="AA244" s="76">
        <v>0.36782968657599047</v>
      </c>
      <c r="AB244" s="76">
        <v>0.21045421795210895</v>
      </c>
      <c r="AC244" s="76">
        <v>-0.11505487135451098</v>
      </c>
      <c r="AD244" s="142">
        <v>0.45184853020579324</v>
      </c>
      <c r="AE244" s="142">
        <v>0.24195903909176963</v>
      </c>
      <c r="AF244" s="142">
        <v>0.25943575050589618</v>
      </c>
    </row>
    <row r="245" spans="1:32" x14ac:dyDescent="0.35">
      <c r="A245" t="s">
        <v>80</v>
      </c>
      <c r="B245" t="s">
        <v>484</v>
      </c>
      <c r="C245" s="31">
        <v>1951</v>
      </c>
      <c r="D245" s="31">
        <v>1386</v>
      </c>
      <c r="E245" s="72">
        <v>2179</v>
      </c>
      <c r="F245" s="31">
        <v>1506</v>
      </c>
      <c r="G245" s="73">
        <v>976158.7199999803</v>
      </c>
      <c r="H245" s="31">
        <v>646944.37999999768</v>
      </c>
      <c r="I245" s="72">
        <v>447961.86999999848</v>
      </c>
      <c r="J245" s="72">
        <v>342492.72999999847</v>
      </c>
      <c r="K245" s="31">
        <v>37998.714285714283</v>
      </c>
      <c r="L245" s="31">
        <v>25879.857142857141</v>
      </c>
      <c r="M245" s="74">
        <v>17.438602242181865</v>
      </c>
      <c r="N245" s="74">
        <v>17.296504657382641</v>
      </c>
      <c r="O245" s="75">
        <v>447.98472693895377</v>
      </c>
      <c r="P245" s="75">
        <v>429.57794156706353</v>
      </c>
      <c r="Q245" s="76">
        <v>0.45890269770883935</v>
      </c>
      <c r="R245" s="76">
        <v>0.5149487766196198</v>
      </c>
      <c r="S245" s="31">
        <v>7763.8571428571431</v>
      </c>
      <c r="T245" s="31"/>
      <c r="U245" s="76">
        <v>0.42291026115180586</v>
      </c>
      <c r="V245" s="76">
        <v>0.39375830013280222</v>
      </c>
      <c r="W245" s="76">
        <v>0.4547343312573251</v>
      </c>
      <c r="X245" s="76">
        <v>0.29713383944830229</v>
      </c>
      <c r="Y245" s="76">
        <v>1.7400251241004527E-2</v>
      </c>
      <c r="Z245" s="76">
        <v>1.4002089067467693E-2</v>
      </c>
      <c r="AA245" s="76">
        <v>7.1288102261553687E-2</v>
      </c>
      <c r="AB245" s="76">
        <v>7.3678123094294223E-2</v>
      </c>
      <c r="AC245" s="76">
        <v>2.2309786020167088E-3</v>
      </c>
      <c r="AD245" s="142">
        <v>-6.0149098675850131E-3</v>
      </c>
      <c r="AE245" s="142">
        <v>-5.7220565943617036E-3</v>
      </c>
      <c r="AF245" s="142">
        <v>1.7816893402658135E-3</v>
      </c>
    </row>
    <row r="246" spans="1:32" x14ac:dyDescent="0.35">
      <c r="A246" t="s">
        <v>80</v>
      </c>
      <c r="B246" t="s">
        <v>485</v>
      </c>
      <c r="C246" s="31">
        <v>1014</v>
      </c>
      <c r="D246" s="31">
        <v>875</v>
      </c>
      <c r="E246" s="72">
        <v>1209</v>
      </c>
      <c r="F246" s="31">
        <v>1026</v>
      </c>
      <c r="G246" s="73">
        <v>878700.64999999339</v>
      </c>
      <c r="H246" s="31">
        <v>598482.24999999942</v>
      </c>
      <c r="I246" s="72">
        <v>454142.47999999602</v>
      </c>
      <c r="J246" s="72">
        <v>309128.67999999772</v>
      </c>
      <c r="K246" s="31">
        <v>16558</v>
      </c>
      <c r="L246" s="31">
        <v>17077.571428571428</v>
      </c>
      <c r="M246" s="74">
        <v>13.695616211745245</v>
      </c>
      <c r="N246" s="74">
        <v>16.921510048886475</v>
      </c>
      <c r="O246" s="75">
        <v>726.7995450785719</v>
      </c>
      <c r="P246" s="75">
        <v>583.31603313840094</v>
      </c>
      <c r="Q246" s="76">
        <v>0.51683412320225264</v>
      </c>
      <c r="R246" s="76">
        <v>0.50288782283813827</v>
      </c>
      <c r="S246" s="31">
        <v>5077.2857142857147</v>
      </c>
      <c r="T246" s="31"/>
      <c r="U246" s="76">
        <v>-6.6578553323908496E-2</v>
      </c>
      <c r="V246" s="76">
        <v>0.15009746588693962</v>
      </c>
      <c r="W246" s="76">
        <v>0.43271056075596959</v>
      </c>
      <c r="X246" s="76">
        <v>0.47452891779772211</v>
      </c>
      <c r="Y246" s="76">
        <v>7.1421106376479582E-2</v>
      </c>
      <c r="Z246" s="76">
        <v>9.4227047439225942E-2</v>
      </c>
      <c r="AA246" s="76">
        <v>0.10209662716499546</v>
      </c>
      <c r="AB246" s="76">
        <v>0.12768076804306761</v>
      </c>
      <c r="AC246" s="76">
        <v>2.3214063311203681E-2</v>
      </c>
      <c r="AD246" s="142">
        <v>0.27756432203497294</v>
      </c>
      <c r="AE246" s="142">
        <v>0.51126095176974429</v>
      </c>
      <c r="AF246" s="142">
        <v>0.77855032911171906</v>
      </c>
    </row>
    <row r="247" spans="1:32" x14ac:dyDescent="0.35">
      <c r="A247" t="s">
        <v>80</v>
      </c>
      <c r="B247" t="s">
        <v>488</v>
      </c>
      <c r="C247" s="31">
        <v>648</v>
      </c>
      <c r="D247" s="31">
        <v>123</v>
      </c>
      <c r="E247" s="72">
        <v>664</v>
      </c>
      <c r="F247" s="31">
        <v>124</v>
      </c>
      <c r="G247" s="73">
        <v>745560.7999999962</v>
      </c>
      <c r="H247" s="31">
        <v>139505.05000000005</v>
      </c>
      <c r="I247" s="72">
        <v>336756.87999999983</v>
      </c>
      <c r="J247" s="72">
        <v>74944.130000000063</v>
      </c>
      <c r="K247" s="31">
        <v>8883.4285714285706</v>
      </c>
      <c r="L247" s="31">
        <v>3352.7142857142858</v>
      </c>
      <c r="M247" s="74">
        <v>13.378657487091221</v>
      </c>
      <c r="N247" s="74">
        <v>28.228110599078342</v>
      </c>
      <c r="O247" s="75">
        <v>1122.8325301204761</v>
      </c>
      <c r="P247" s="75">
        <v>1125.040725806452</v>
      </c>
      <c r="Q247" s="76">
        <v>0.45168265284333825</v>
      </c>
      <c r="R247" s="76">
        <v>0.5372144592615109</v>
      </c>
      <c r="S247" s="31">
        <v>277.85714285714283</v>
      </c>
      <c r="T247" s="31"/>
      <c r="U247" s="76">
        <v>1.5724998934765009</v>
      </c>
      <c r="V247" s="76">
        <v>4.2338709677419351</v>
      </c>
      <c r="W247" s="76">
        <v>4.2212750004390225</v>
      </c>
      <c r="X247" s="76">
        <v>3.3911667264667154</v>
      </c>
      <c r="Y247" s="76">
        <v>-3.0970235748603914E-2</v>
      </c>
      <c r="Z247" s="76">
        <v>-2.1971972759157743E-2</v>
      </c>
      <c r="AA247" s="76">
        <v>-0.14652956298200515</v>
      </c>
      <c r="AB247" s="76">
        <v>-9.4236436157810854E-2</v>
      </c>
      <c r="AC247" s="76">
        <v>6.1271163658468408E-2</v>
      </c>
      <c r="AD247" s="142">
        <v>-0.15897404459641465</v>
      </c>
      <c r="AE247" s="142">
        <v>-0.10971215963076536</v>
      </c>
      <c r="AF247" s="142">
        <v>-6.5975264546488693E-2</v>
      </c>
    </row>
    <row r="248" spans="1:32" x14ac:dyDescent="0.35">
      <c r="A248" t="s">
        <v>80</v>
      </c>
      <c r="B248" t="s">
        <v>490</v>
      </c>
      <c r="C248" s="31">
        <v>598</v>
      </c>
      <c r="D248" s="31">
        <v>156</v>
      </c>
      <c r="E248" s="72">
        <v>623</v>
      </c>
      <c r="F248" s="31">
        <v>161</v>
      </c>
      <c r="G248" s="73">
        <v>324468.56999999948</v>
      </c>
      <c r="H248" s="31">
        <v>68056.490000000238</v>
      </c>
      <c r="I248" s="72">
        <v>187256.35000000021</v>
      </c>
      <c r="J248" s="72">
        <v>44026.260000000257</v>
      </c>
      <c r="K248" s="31">
        <v>7427.1428571428569</v>
      </c>
      <c r="L248" s="31">
        <v>2574.8571428571427</v>
      </c>
      <c r="M248" s="74">
        <v>11.92157761981197</v>
      </c>
      <c r="N248" s="74">
        <v>16.104362703165098</v>
      </c>
      <c r="O248" s="75">
        <v>520.81632423755934</v>
      </c>
      <c r="P248" s="75">
        <v>422.71111801242387</v>
      </c>
      <c r="Q248" s="76">
        <v>0.57711706868865764</v>
      </c>
      <c r="R248" s="76">
        <v>0.62620531294221737</v>
      </c>
      <c r="S248" s="31">
        <v>3041.7142857142858</v>
      </c>
      <c r="T248" s="31"/>
      <c r="U248" s="76">
        <v>1.8005437194851313</v>
      </c>
      <c r="V248" s="76">
        <v>2.701863354037267</v>
      </c>
      <c r="W248" s="76">
        <v>3.562824353709674</v>
      </c>
      <c r="X248" s="76">
        <v>3.204069392709453</v>
      </c>
      <c r="Y248" s="76">
        <v>0.28340149241900847</v>
      </c>
      <c r="Z248" s="76">
        <v>0.24202680427148282</v>
      </c>
      <c r="AA248" s="76">
        <v>0.25604838709677424</v>
      </c>
      <c r="AB248" s="76">
        <v>0.37267711122007707</v>
      </c>
      <c r="AC248" s="76">
        <v>9.2853687263496187E-2</v>
      </c>
      <c r="AD248" s="142">
        <v>1.2037674873194932</v>
      </c>
      <c r="AE248" s="142">
        <v>0.97314312030632732</v>
      </c>
      <c r="AF248" s="142">
        <v>1.1870717689338339</v>
      </c>
    </row>
    <row r="249" spans="1:32" x14ac:dyDescent="0.35">
      <c r="A249" t="s">
        <v>80</v>
      </c>
      <c r="B249" t="s">
        <v>489</v>
      </c>
      <c r="C249" s="31">
        <v>327</v>
      </c>
      <c r="D249" s="31">
        <v>89</v>
      </c>
      <c r="E249" s="72">
        <v>376</v>
      </c>
      <c r="F249" s="31">
        <v>99</v>
      </c>
      <c r="G249" s="73">
        <v>220858.32000000033</v>
      </c>
      <c r="H249" s="31">
        <v>58851.340000000018</v>
      </c>
      <c r="I249" s="72">
        <v>108546.22000000034</v>
      </c>
      <c r="J249" s="72">
        <v>29164.840000000033</v>
      </c>
      <c r="K249" s="31">
        <v>4038</v>
      </c>
      <c r="L249" s="31">
        <v>2031.1428571428571</v>
      </c>
      <c r="M249" s="74">
        <v>10.73936170212766</v>
      </c>
      <c r="N249" s="74">
        <v>20.462585034013603</v>
      </c>
      <c r="O249" s="75">
        <v>587.38914893617107</v>
      </c>
      <c r="P249" s="75">
        <v>594.45797979797999</v>
      </c>
      <c r="Q249" s="76">
        <v>0.49147444388782896</v>
      </c>
      <c r="R249" s="76">
        <v>0.46975987753478876</v>
      </c>
      <c r="S249" s="31">
        <v>2844.8571428571427</v>
      </c>
      <c r="T249" s="31"/>
      <c r="U249" s="76">
        <v>0.91651427767618521</v>
      </c>
      <c r="V249" s="76">
        <v>2.6363636363636362</v>
      </c>
      <c r="W249" s="76">
        <v>2.6005730710634669</v>
      </c>
      <c r="X249" s="76">
        <v>2.7929766029342642</v>
      </c>
      <c r="Y249" s="76">
        <v>-1.5177611681367997E-2</v>
      </c>
      <c r="Z249" s="76">
        <v>-1.0536633178142574E-2</v>
      </c>
      <c r="AA249" s="76">
        <v>0.72477064220183496</v>
      </c>
      <c r="AB249" s="76">
        <v>0.60526282508346019</v>
      </c>
      <c r="AC249" s="76">
        <v>-6.9289106733525729E-2</v>
      </c>
      <c r="AD249" s="142">
        <v>0.3202210106151388</v>
      </c>
      <c r="AE249" s="142">
        <v>0.15574406847914671</v>
      </c>
      <c r="AF249" s="142">
        <v>0.14359655822488671</v>
      </c>
    </row>
    <row r="250" spans="1:32" x14ac:dyDescent="0.35">
      <c r="A250" t="s">
        <v>80</v>
      </c>
      <c r="B250" t="s">
        <v>487</v>
      </c>
      <c r="C250" s="31">
        <v>26</v>
      </c>
      <c r="D250" s="31">
        <v>150</v>
      </c>
      <c r="E250" s="72">
        <v>28</v>
      </c>
      <c r="F250" s="31">
        <v>175</v>
      </c>
      <c r="G250" s="73">
        <v>12158.919999999998</v>
      </c>
      <c r="H250" s="31">
        <v>108393.32000000021</v>
      </c>
      <c r="I250" s="72">
        <v>3257.26</v>
      </c>
      <c r="J250" s="72">
        <v>37750.260000000344</v>
      </c>
      <c r="K250" s="31">
        <v>758.57142857142856</v>
      </c>
      <c r="L250" s="31">
        <v>6274</v>
      </c>
      <c r="M250" s="74">
        <v>27.091836734693878</v>
      </c>
      <c r="N250" s="74">
        <v>36.67996807661612</v>
      </c>
      <c r="O250" s="75">
        <v>434.24714285714282</v>
      </c>
      <c r="P250" s="75">
        <v>619.39040000000125</v>
      </c>
      <c r="Q250" s="76">
        <v>0.2678905692281881</v>
      </c>
      <c r="R250" s="76">
        <v>0.34009874417489433</v>
      </c>
      <c r="S250" s="31">
        <v>31.428571428571427</v>
      </c>
      <c r="T250" s="31"/>
      <c r="U250" s="76">
        <v>-0.88239446240721342</v>
      </c>
      <c r="V250" s="76">
        <v>-0.85142857142857142</v>
      </c>
      <c r="W250" s="76">
        <v>-0.89166980031610832</v>
      </c>
      <c r="X250" s="76">
        <v>-0.91336903227132871</v>
      </c>
      <c r="Y250" s="76">
        <v>-2.9262268310271344E-2</v>
      </c>
      <c r="Z250" s="76">
        <v>-3.2258064516129115E-2</v>
      </c>
      <c r="AA250" s="76">
        <v>-0.31707317073170727</v>
      </c>
      <c r="AB250" s="76">
        <v>-0.38822274494018805</v>
      </c>
      <c r="AC250" s="76">
        <v>-0.1041833050909895</v>
      </c>
      <c r="AD250" s="142"/>
      <c r="AE250" s="142"/>
      <c r="AF250" s="142"/>
    </row>
    <row r="251" spans="1:32" x14ac:dyDescent="0.35">
      <c r="A251" t="s">
        <v>80</v>
      </c>
      <c r="B251" t="s">
        <v>492</v>
      </c>
      <c r="C251" s="31">
        <v>1</v>
      </c>
      <c r="D251" s="31">
        <v>1</v>
      </c>
      <c r="E251" s="72">
        <v>1</v>
      </c>
      <c r="F251" s="31">
        <v>1</v>
      </c>
      <c r="G251" s="73">
        <v>416.66</v>
      </c>
      <c r="H251" s="31">
        <v>605</v>
      </c>
      <c r="I251" s="72">
        <v>96.81</v>
      </c>
      <c r="J251" s="72">
        <v>375.84000000000003</v>
      </c>
      <c r="K251" s="31">
        <v>9.8571428571428577</v>
      </c>
      <c r="L251" s="31">
        <v>17.857142857142858</v>
      </c>
      <c r="M251" s="74">
        <v>9.8571428571428577</v>
      </c>
      <c r="N251" s="74">
        <v>18.857142857142858</v>
      </c>
      <c r="O251" s="75">
        <v>416.66</v>
      </c>
      <c r="P251" s="75">
        <v>605</v>
      </c>
      <c r="Q251" s="76">
        <v>0.23234771756348102</v>
      </c>
      <c r="R251" s="76">
        <v>0.6212231404958678</v>
      </c>
      <c r="S251" s="31">
        <v>36</v>
      </c>
      <c r="T251" s="31"/>
      <c r="U251" s="76">
        <v>-0.44799999999999995</v>
      </c>
      <c r="V251" s="76">
        <v>0</v>
      </c>
      <c r="W251" s="76">
        <v>-0.31130578512396689</v>
      </c>
      <c r="X251" s="76">
        <v>-0.74241698595146866</v>
      </c>
      <c r="Y251" s="76">
        <v>-0.10738974878045826</v>
      </c>
      <c r="Z251" s="76">
        <v>-0.10389610389610382</v>
      </c>
      <c r="AA251" s="76"/>
      <c r="AB251" s="76"/>
      <c r="AC251" s="76"/>
      <c r="AD251" s="142"/>
      <c r="AE251" s="142"/>
      <c r="AF251" s="142"/>
    </row>
    <row r="252" spans="1:32" x14ac:dyDescent="0.35">
      <c r="A252" t="s">
        <v>80</v>
      </c>
      <c r="B252" t="s">
        <v>493</v>
      </c>
      <c r="C252" s="31"/>
      <c r="D252" s="31">
        <v>1</v>
      </c>
      <c r="E252" s="72"/>
      <c r="F252" s="31">
        <v>1</v>
      </c>
      <c r="G252" s="73"/>
      <c r="H252" s="31">
        <v>522.5</v>
      </c>
      <c r="I252" s="72"/>
      <c r="J252" s="72">
        <v>210.51999999999998</v>
      </c>
      <c r="K252" s="31">
        <v>5</v>
      </c>
      <c r="L252" s="31">
        <v>8.8571428571428577</v>
      </c>
      <c r="M252" s="74"/>
      <c r="N252" s="74">
        <v>8.8571428571428577</v>
      </c>
      <c r="O252" s="75"/>
      <c r="P252" s="75">
        <v>522.5</v>
      </c>
      <c r="Q252" s="76"/>
      <c r="R252" s="76">
        <v>0.40290909090909088</v>
      </c>
      <c r="S252" s="31">
        <v>2.4285714285714284</v>
      </c>
      <c r="T252" s="31"/>
      <c r="U252" s="76">
        <v>-0.43548387096774199</v>
      </c>
      <c r="V252" s="76"/>
      <c r="W252" s="76"/>
      <c r="X252" s="76"/>
      <c r="Y252" s="76">
        <v>-0.14704383518489339</v>
      </c>
      <c r="Z252" s="76">
        <v>-0.25531914893617025</v>
      </c>
      <c r="AA252" s="76"/>
      <c r="AB252" s="76"/>
      <c r="AC252" s="76"/>
      <c r="AD252" s="142"/>
      <c r="AE252" s="142"/>
      <c r="AF252" s="142"/>
    </row>
    <row r="253" spans="1:32" x14ac:dyDescent="0.35">
      <c r="A253" t="s">
        <v>80</v>
      </c>
      <c r="B253" t="s">
        <v>497</v>
      </c>
      <c r="C253" s="31"/>
      <c r="D253" s="31"/>
      <c r="E253" s="72"/>
      <c r="F253" s="31"/>
      <c r="G253" s="73"/>
      <c r="H253" s="31"/>
      <c r="I253" s="72"/>
      <c r="J253" s="72"/>
      <c r="K253" s="31"/>
      <c r="L253" s="31">
        <v>2</v>
      </c>
      <c r="M253" s="74"/>
      <c r="N253" s="74"/>
      <c r="O253" s="75"/>
      <c r="P253" s="75"/>
      <c r="Q253" s="76"/>
      <c r="R253" s="76"/>
      <c r="S253" s="31"/>
      <c r="T253" s="31"/>
      <c r="U253" s="76"/>
      <c r="V253" s="76"/>
      <c r="W253" s="76"/>
      <c r="X253" s="76"/>
      <c r="Y253" s="76"/>
      <c r="Z253" s="76"/>
      <c r="AA253" s="76"/>
      <c r="AB253" s="76"/>
      <c r="AC253" s="76"/>
      <c r="AD253" s="142"/>
      <c r="AE253" s="142"/>
      <c r="AF253" s="142"/>
    </row>
    <row r="254" spans="1:32" x14ac:dyDescent="0.35">
      <c r="A254" t="s">
        <v>80</v>
      </c>
      <c r="B254" t="s">
        <v>499</v>
      </c>
      <c r="C254" s="31"/>
      <c r="D254" s="31"/>
      <c r="E254" s="72"/>
      <c r="F254" s="31"/>
      <c r="G254" s="73"/>
      <c r="H254" s="31"/>
      <c r="I254" s="72"/>
      <c r="J254" s="72"/>
      <c r="K254" s="31"/>
      <c r="L254" s="31">
        <v>-1</v>
      </c>
      <c r="M254" s="74"/>
      <c r="N254" s="74"/>
      <c r="O254" s="75"/>
      <c r="P254" s="75"/>
      <c r="Q254" s="76"/>
      <c r="R254" s="76"/>
      <c r="S254" s="31"/>
      <c r="T254" s="31"/>
      <c r="U254" s="76"/>
      <c r="V254" s="76"/>
      <c r="W254" s="76"/>
      <c r="X254" s="76"/>
      <c r="Y254" s="76"/>
      <c r="Z254" s="76"/>
      <c r="AA254" s="76"/>
      <c r="AB254" s="76"/>
      <c r="AC254" s="76"/>
      <c r="AD254" s="142"/>
      <c r="AE254" s="142"/>
      <c r="AF254" s="142"/>
    </row>
    <row r="255" spans="1:32" x14ac:dyDescent="0.35">
      <c r="A255" t="s">
        <v>80</v>
      </c>
      <c r="B255" t="s">
        <v>500</v>
      </c>
      <c r="C255" s="31"/>
      <c r="D255" s="31"/>
      <c r="E255" s="72"/>
      <c r="F255" s="31"/>
      <c r="G255" s="73"/>
      <c r="H255" s="31"/>
      <c r="I255" s="72"/>
      <c r="J255" s="72"/>
      <c r="K255" s="31"/>
      <c r="L255" s="31">
        <v>-2.8571428571428572</v>
      </c>
      <c r="M255" s="74"/>
      <c r="N255" s="74"/>
      <c r="O255" s="75"/>
      <c r="P255" s="75"/>
      <c r="Q255" s="76"/>
      <c r="R255" s="76"/>
      <c r="S255" s="31"/>
      <c r="T255" s="31"/>
      <c r="U255" s="76"/>
      <c r="V255" s="76"/>
      <c r="W255" s="76"/>
      <c r="X255" s="76"/>
      <c r="Y255" s="76"/>
      <c r="Z255" s="76"/>
      <c r="AA255" s="76"/>
      <c r="AB255" s="76"/>
      <c r="AC255" s="76"/>
      <c r="AD255" s="142"/>
      <c r="AE255" s="142"/>
      <c r="AF255" s="142"/>
    </row>
    <row r="256" spans="1:32" x14ac:dyDescent="0.35">
      <c r="A256" t="s">
        <v>80</v>
      </c>
      <c r="B256" t="s">
        <v>494</v>
      </c>
      <c r="C256" s="31"/>
      <c r="D256" s="31"/>
      <c r="E256" s="72"/>
      <c r="F256" s="31"/>
      <c r="G256" s="73"/>
      <c r="H256" s="31"/>
      <c r="I256" s="72"/>
      <c r="J256" s="72"/>
      <c r="K256" s="31">
        <v>4</v>
      </c>
      <c r="L256" s="31">
        <v>1</v>
      </c>
      <c r="M256" s="74"/>
      <c r="N256" s="74"/>
      <c r="O256" s="75"/>
      <c r="P256" s="75"/>
      <c r="Q256" s="76"/>
      <c r="R256" s="76"/>
      <c r="S256" s="31">
        <v>2</v>
      </c>
      <c r="T256" s="31"/>
      <c r="U256" s="76">
        <v>3</v>
      </c>
      <c r="V256" s="76"/>
      <c r="W256" s="76"/>
      <c r="X256" s="76"/>
      <c r="Y256" s="76">
        <v>0</v>
      </c>
      <c r="Z256" s="76">
        <v>0</v>
      </c>
      <c r="AA256" s="76"/>
      <c r="AB256" s="76"/>
      <c r="AC256" s="76"/>
      <c r="AD256" s="142"/>
      <c r="AE256" s="142"/>
      <c r="AF256" s="142"/>
    </row>
    <row r="257" spans="1:32" x14ac:dyDescent="0.35">
      <c r="A257" t="s">
        <v>80</v>
      </c>
      <c r="B257" t="s">
        <v>495</v>
      </c>
      <c r="C257" s="31"/>
      <c r="D257" s="31">
        <v>1</v>
      </c>
      <c r="E257" s="72"/>
      <c r="F257" s="31">
        <v>1</v>
      </c>
      <c r="G257" s="73"/>
      <c r="H257" s="31">
        <v>416.65</v>
      </c>
      <c r="I257" s="72"/>
      <c r="J257" s="72">
        <v>294.08</v>
      </c>
      <c r="K257" s="31">
        <v>2.2857142857142856</v>
      </c>
      <c r="L257" s="31">
        <v>3.8571428571428572</v>
      </c>
      <c r="M257" s="74"/>
      <c r="N257" s="74">
        <v>3.8571428571428572</v>
      </c>
      <c r="O257" s="75"/>
      <c r="P257" s="75">
        <v>416.65</v>
      </c>
      <c r="Q257" s="76"/>
      <c r="R257" s="76">
        <v>0.70582023280931239</v>
      </c>
      <c r="S257" s="31">
        <v>28</v>
      </c>
      <c r="T257" s="31"/>
      <c r="U257" s="76">
        <v>-0.40740740740740744</v>
      </c>
      <c r="V257" s="76"/>
      <c r="W257" s="76"/>
      <c r="X257" s="76"/>
      <c r="Y257" s="76">
        <v>4.999357592542375E-2</v>
      </c>
      <c r="Z257" s="76">
        <v>0.14285714285714279</v>
      </c>
      <c r="AA257" s="76"/>
      <c r="AB257" s="76"/>
      <c r="AC257" s="76"/>
      <c r="AD257" s="142"/>
      <c r="AE257" s="142"/>
      <c r="AF257" s="142"/>
    </row>
    <row r="258" spans="1:32" x14ac:dyDescent="0.35">
      <c r="A258" t="s">
        <v>80</v>
      </c>
      <c r="B258" t="s">
        <v>498</v>
      </c>
      <c r="C258" s="31"/>
      <c r="D258" s="31">
        <v>1</v>
      </c>
      <c r="E258" s="72"/>
      <c r="F258" s="31">
        <v>2</v>
      </c>
      <c r="G258" s="73"/>
      <c r="H258" s="31">
        <v>127.48</v>
      </c>
      <c r="I258" s="72"/>
      <c r="J258" s="72">
        <v>-426.86</v>
      </c>
      <c r="K258" s="31">
        <v>1</v>
      </c>
      <c r="L258" s="31">
        <v>2</v>
      </c>
      <c r="M258" s="74"/>
      <c r="N258" s="74">
        <v>1</v>
      </c>
      <c r="O258" s="75"/>
      <c r="P258" s="75">
        <v>63.74</v>
      </c>
      <c r="Q258" s="76"/>
      <c r="R258" s="76">
        <v>-3.348446815186696</v>
      </c>
      <c r="S258" s="31">
        <v>1</v>
      </c>
      <c r="T258" s="31"/>
      <c r="U258" s="76">
        <v>-0.5</v>
      </c>
      <c r="V258" s="76"/>
      <c r="W258" s="76"/>
      <c r="X258" s="76"/>
      <c r="Y258" s="76">
        <v>0</v>
      </c>
      <c r="Z258" s="76">
        <v>0</v>
      </c>
      <c r="AA258" s="76"/>
      <c r="AB258" s="76"/>
      <c r="AC258" s="76"/>
      <c r="AD258" s="142"/>
      <c r="AE258" s="142"/>
      <c r="AF258" s="142"/>
    </row>
    <row r="259" spans="1:32" x14ac:dyDescent="0.35">
      <c r="A259" t="s">
        <v>80</v>
      </c>
      <c r="B259" t="s">
        <v>496</v>
      </c>
      <c r="C259" s="31"/>
      <c r="D259" s="31"/>
      <c r="E259" s="72"/>
      <c r="F259" s="31"/>
      <c r="G259" s="73"/>
      <c r="H259" s="31"/>
      <c r="I259" s="72"/>
      <c r="J259" s="72"/>
      <c r="K259" s="31">
        <v>1</v>
      </c>
      <c r="L259" s="31"/>
      <c r="M259" s="74"/>
      <c r="N259" s="74"/>
      <c r="O259" s="75"/>
      <c r="P259" s="75"/>
      <c r="Q259" s="76"/>
      <c r="R259" s="76"/>
      <c r="S259" s="31">
        <v>37</v>
      </c>
      <c r="T259" s="31"/>
      <c r="U259" s="76"/>
      <c r="V259" s="76"/>
      <c r="W259" s="76"/>
      <c r="X259" s="76"/>
      <c r="Y259" s="76">
        <v>0</v>
      </c>
      <c r="Z259" s="76">
        <v>0</v>
      </c>
      <c r="AA259" s="76"/>
      <c r="AB259" s="76"/>
      <c r="AC259" s="76"/>
      <c r="AD259" s="142"/>
      <c r="AE259" s="142"/>
      <c r="AF259" s="142"/>
    </row>
    <row r="260" spans="1:32" x14ac:dyDescent="0.35">
      <c r="A260" t="s">
        <v>80</v>
      </c>
      <c r="B260" t="s">
        <v>491</v>
      </c>
      <c r="C260" s="31">
        <v>0</v>
      </c>
      <c r="D260" s="31">
        <v>21</v>
      </c>
      <c r="E260" s="72">
        <v>0</v>
      </c>
      <c r="F260" s="31">
        <v>21</v>
      </c>
      <c r="G260" s="73">
        <v>-129.15999999999997</v>
      </c>
      <c r="H260" s="31">
        <v>13959.779999999997</v>
      </c>
      <c r="I260" s="72">
        <v>-129.16</v>
      </c>
      <c r="J260" s="72">
        <v>4568.1699999999946</v>
      </c>
      <c r="K260" s="31">
        <v>51.285714285714285</v>
      </c>
      <c r="L260" s="31">
        <v>326.14285714285717</v>
      </c>
      <c r="M260" s="74"/>
      <c r="N260" s="74">
        <v>15.370129870129871</v>
      </c>
      <c r="O260" s="75"/>
      <c r="P260" s="75">
        <v>664.75142857142839</v>
      </c>
      <c r="Q260" s="76">
        <v>1.0000000000000002</v>
      </c>
      <c r="R260" s="76">
        <v>0.30880410461634111</v>
      </c>
      <c r="S260" s="31">
        <v>1</v>
      </c>
      <c r="T260" s="31"/>
      <c r="U260" s="76">
        <v>-0.85194918966272448</v>
      </c>
      <c r="V260" s="76">
        <v>-1</v>
      </c>
      <c r="W260" s="76">
        <v>-1.0092522948069382</v>
      </c>
      <c r="X260" s="76">
        <v>-1.0300219190691253</v>
      </c>
      <c r="Y260" s="76">
        <v>-1.3564595855635186E-3</v>
      </c>
      <c r="Z260" s="76">
        <v>-2.7100271002710064E-2</v>
      </c>
      <c r="AA260" s="76">
        <v>-1</v>
      </c>
      <c r="AB260" s="76">
        <v>-1.1192271833547185</v>
      </c>
      <c r="AC260" s="76"/>
      <c r="AD260" s="142"/>
      <c r="AE260" s="142"/>
      <c r="AF260" s="142"/>
    </row>
    <row r="261" spans="1:32" x14ac:dyDescent="0.35">
      <c r="A261" s="138" t="s">
        <v>839</v>
      </c>
      <c r="B261" s="138"/>
      <c r="C261" s="127">
        <v>9438</v>
      </c>
      <c r="D261" s="127">
        <v>6748</v>
      </c>
      <c r="E261" s="126">
        <v>12657</v>
      </c>
      <c r="F261" s="127">
        <v>8577</v>
      </c>
      <c r="G261" s="127">
        <v>10312157.100000871</v>
      </c>
      <c r="H261" s="127">
        <v>5502372.6100003384</v>
      </c>
      <c r="I261" s="126">
        <v>5061085.7900001947</v>
      </c>
      <c r="J261" s="126">
        <v>2711541.6700004204</v>
      </c>
      <c r="K261" s="127">
        <v>186566.14285714287</v>
      </c>
      <c r="L261" s="127">
        <v>157844.85714285713</v>
      </c>
      <c r="M261" s="140">
        <v>14.74015508075712</v>
      </c>
      <c r="N261" s="140">
        <v>18.661293733023211</v>
      </c>
      <c r="O261" s="139">
        <v>814.73944062580949</v>
      </c>
      <c r="P261" s="139">
        <v>641.52647895538519</v>
      </c>
      <c r="Q261" s="141">
        <v>0.49078827455021673</v>
      </c>
      <c r="R261" s="141">
        <v>0.4816432759519419</v>
      </c>
      <c r="S261" s="127">
        <v>35293.857142857145</v>
      </c>
      <c r="T261" s="127"/>
      <c r="U261" s="141">
        <v>0.14391617809168866</v>
      </c>
      <c r="V261" s="141">
        <v>0.42532353969919545</v>
      </c>
      <c r="W261" s="141">
        <v>0.81392525868958465</v>
      </c>
      <c r="X261" s="141">
        <v>0.85104122340123434</v>
      </c>
      <c r="Y261" s="141">
        <v>2.1620856199352945E-2</v>
      </c>
      <c r="Z261" s="141">
        <v>4.0933104204659898E-2</v>
      </c>
      <c r="AA261" s="141">
        <v>0.13873144399460191</v>
      </c>
      <c r="AB261" s="141">
        <v>0.13338253859041882</v>
      </c>
      <c r="AC261" s="141">
        <v>-4.6972492350078054E-3</v>
      </c>
      <c r="AD261" s="143">
        <v>0.14026796918896328</v>
      </c>
      <c r="AE261" s="143">
        <v>7.0346730695568151E-3</v>
      </c>
      <c r="AF261" s="143">
        <v>0.1064849293755966</v>
      </c>
    </row>
    <row r="262" spans="1:32" x14ac:dyDescent="0.35">
      <c r="A262" t="s">
        <v>77</v>
      </c>
      <c r="B262" t="s">
        <v>558</v>
      </c>
      <c r="C262" s="31">
        <v>1363</v>
      </c>
      <c r="D262" s="31">
        <v>987</v>
      </c>
      <c r="E262" s="72">
        <v>1749</v>
      </c>
      <c r="F262" s="31">
        <v>1222</v>
      </c>
      <c r="G262" s="73">
        <v>4826390.6500001205</v>
      </c>
      <c r="H262" s="31">
        <v>2600616.0300000026</v>
      </c>
      <c r="I262" s="72">
        <v>1921767.0099999965</v>
      </c>
      <c r="J262" s="72">
        <v>1103489.4300000032</v>
      </c>
      <c r="K262" s="31">
        <v>27095.428571428572</v>
      </c>
      <c r="L262" s="31">
        <v>23633.142857142859</v>
      </c>
      <c r="M262" s="74">
        <v>15.491954586294209</v>
      </c>
      <c r="N262" s="74">
        <v>19.49782857142857</v>
      </c>
      <c r="O262" s="75">
        <v>2759.5143796455804</v>
      </c>
      <c r="P262" s="75">
        <v>2128.1636906710332</v>
      </c>
      <c r="Q262" s="76">
        <v>0.39817891865009902</v>
      </c>
      <c r="R262" s="76">
        <v>0.41561140188432172</v>
      </c>
      <c r="S262" s="31">
        <v>7678.2857142857147</v>
      </c>
      <c r="T262" s="31"/>
      <c r="U262" s="76">
        <v>0.11346051549881508</v>
      </c>
      <c r="V262" s="76">
        <v>0.37234042553191493</v>
      </c>
      <c r="W262" s="76">
        <v>0.78924204739294002</v>
      </c>
      <c r="X262" s="76">
        <v>0.71080627140285579</v>
      </c>
      <c r="Y262" s="76">
        <v>3.80238184570727E-2</v>
      </c>
      <c r="Z262" s="76">
        <v>2.4783743333999686E-2</v>
      </c>
      <c r="AA262" s="76">
        <v>7.8298397040690526E-2</v>
      </c>
      <c r="AB262" s="76">
        <v>0.21837550662846827</v>
      </c>
      <c r="AC262" s="76">
        <v>0.12990570140158675</v>
      </c>
      <c r="AD262" s="142">
        <v>0.14018796868961683</v>
      </c>
      <c r="AE262" s="142">
        <v>0.25346450544488375</v>
      </c>
      <c r="AF262" s="142">
        <v>0.26922748108808808</v>
      </c>
    </row>
    <row r="263" spans="1:32" x14ac:dyDescent="0.35">
      <c r="A263" t="s">
        <v>77</v>
      </c>
      <c r="B263" t="s">
        <v>559</v>
      </c>
      <c r="C263" s="31">
        <v>1284</v>
      </c>
      <c r="D263" s="31">
        <v>786</v>
      </c>
      <c r="E263" s="72">
        <v>1366</v>
      </c>
      <c r="F263" s="31">
        <v>861</v>
      </c>
      <c r="G263" s="73">
        <v>1922961.1099999996</v>
      </c>
      <c r="H263" s="31">
        <v>1166381.7399999851</v>
      </c>
      <c r="I263" s="72">
        <v>978187.94999999623</v>
      </c>
      <c r="J263" s="72">
        <v>625983.08999998542</v>
      </c>
      <c r="K263" s="31">
        <v>17107.714285714286</v>
      </c>
      <c r="L263" s="31">
        <v>15440.571428571429</v>
      </c>
      <c r="M263" s="74">
        <v>12.523948964651748</v>
      </c>
      <c r="N263" s="74">
        <v>18.226967763050236</v>
      </c>
      <c r="O263" s="75">
        <v>1407.7314128843336</v>
      </c>
      <c r="P263" s="75">
        <v>1354.6826248548027</v>
      </c>
      <c r="Q263" s="76">
        <v>0.50868836863788491</v>
      </c>
      <c r="R263" s="76">
        <v>0.52797806014776627</v>
      </c>
      <c r="S263" s="31">
        <v>6501.4285714285716</v>
      </c>
      <c r="T263" s="31"/>
      <c r="U263" s="76">
        <v>7.2554679693571433E-2</v>
      </c>
      <c r="V263" s="76">
        <v>0.52961672473867605</v>
      </c>
      <c r="W263" s="76">
        <v>0.5917341864422736</v>
      </c>
      <c r="X263" s="76">
        <v>0.53060663405679365</v>
      </c>
      <c r="Y263" s="76">
        <v>2.5485886330418372E-2</v>
      </c>
      <c r="Z263" s="76">
        <v>3.2718178682304311E-2</v>
      </c>
      <c r="AA263" s="76">
        <v>0.13738551207327232</v>
      </c>
      <c r="AB263" s="76">
        <v>0.16245742375799699</v>
      </c>
      <c r="AC263" s="76">
        <v>2.2043459687667966E-2</v>
      </c>
      <c r="AD263" s="142">
        <v>-5.9776336896868239E-2</v>
      </c>
      <c r="AE263" s="142">
        <v>-0.22395233795698943</v>
      </c>
      <c r="AF263" s="142">
        <v>-0.17824402644077439</v>
      </c>
    </row>
    <row r="264" spans="1:32" x14ac:dyDescent="0.35">
      <c r="A264" t="s">
        <v>77</v>
      </c>
      <c r="B264" t="s">
        <v>560</v>
      </c>
      <c r="C264" s="31">
        <v>2009</v>
      </c>
      <c r="D264" s="31">
        <v>646</v>
      </c>
      <c r="E264" s="72">
        <v>2285</v>
      </c>
      <c r="F264" s="31">
        <v>728</v>
      </c>
      <c r="G264" s="73">
        <v>1838145.1299999868</v>
      </c>
      <c r="H264" s="31">
        <v>676289.7199999959</v>
      </c>
      <c r="I264" s="72">
        <v>958009.6299999936</v>
      </c>
      <c r="J264" s="72">
        <v>353403.01999999565</v>
      </c>
      <c r="K264" s="31">
        <v>22137.571428571428</v>
      </c>
      <c r="L264" s="31">
        <v>9020.8571428571431</v>
      </c>
      <c r="M264" s="74">
        <v>9.6882150672085015</v>
      </c>
      <c r="N264" s="74">
        <v>12.620596205962059</v>
      </c>
      <c r="O264" s="75">
        <v>804.43988183806869</v>
      </c>
      <c r="P264" s="75">
        <v>928.96939560439</v>
      </c>
      <c r="Q264" s="76">
        <v>0.5211828023612044</v>
      </c>
      <c r="R264" s="76">
        <v>0.51467236228663138</v>
      </c>
      <c r="S264" s="31">
        <v>7501.1428571428569</v>
      </c>
      <c r="T264" s="31"/>
      <c r="U264" s="76">
        <v>1.3795964906724101</v>
      </c>
      <c r="V264" s="76">
        <v>2.0164835164835164</v>
      </c>
      <c r="W264" s="76">
        <v>1.631770818577563</v>
      </c>
      <c r="X264" s="76">
        <v>1.6670153827204834</v>
      </c>
      <c r="Y264" s="76">
        <v>8.7415942547805159E-2</v>
      </c>
      <c r="Z264" s="76">
        <v>0.1573731066829982</v>
      </c>
      <c r="AA264" s="76">
        <v>0.16700715015321754</v>
      </c>
      <c r="AB264" s="76">
        <v>0.16086072251520234</v>
      </c>
      <c r="AC264" s="76">
        <v>-5.2668294596208698E-3</v>
      </c>
      <c r="AD264" s="142">
        <v>0.16156718339376794</v>
      </c>
      <c r="AE264" s="142">
        <v>-7.3111132448205426E-2</v>
      </c>
      <c r="AF264" s="142">
        <v>-8.2671143456383295E-3</v>
      </c>
    </row>
    <row r="265" spans="1:32" x14ac:dyDescent="0.35">
      <c r="A265" t="s">
        <v>77</v>
      </c>
      <c r="B265" t="s">
        <v>561</v>
      </c>
      <c r="C265" s="31">
        <v>574</v>
      </c>
      <c r="D265" s="31">
        <v>282</v>
      </c>
      <c r="E265" s="72">
        <v>759</v>
      </c>
      <c r="F265" s="31">
        <v>364</v>
      </c>
      <c r="G265" s="73">
        <v>448795.09999999922</v>
      </c>
      <c r="H265" s="31">
        <v>399679.9700000005</v>
      </c>
      <c r="I265" s="72">
        <v>200559.26999999967</v>
      </c>
      <c r="J265" s="72">
        <v>202348.33</v>
      </c>
      <c r="K265" s="31">
        <v>15846.428571428571</v>
      </c>
      <c r="L265" s="31">
        <v>8524</v>
      </c>
      <c r="M265" s="74">
        <v>20.878035008469791</v>
      </c>
      <c r="N265" s="74">
        <v>23.925482625482623</v>
      </c>
      <c r="O265" s="75">
        <v>591.29789196310833</v>
      </c>
      <c r="P265" s="75">
        <v>1098.0218956043971</v>
      </c>
      <c r="Q265" s="76">
        <v>0.44688382292943934</v>
      </c>
      <c r="R265" s="76">
        <v>0.49745972620338008</v>
      </c>
      <c r="S265" s="31">
        <v>877.28571428571433</v>
      </c>
      <c r="T265" s="31"/>
      <c r="U265" s="76">
        <v>0.79608835556747337</v>
      </c>
      <c r="V265" s="76">
        <v>0.98351648351648358</v>
      </c>
      <c r="W265" s="76">
        <v>6.4975985661724911E-2</v>
      </c>
      <c r="X265" s="76">
        <v>-4.5825624860368341E-2</v>
      </c>
      <c r="Y265" s="76">
        <v>-1.8174131867375598E-3</v>
      </c>
      <c r="Z265" s="76">
        <v>-2.1704619617942345E-2</v>
      </c>
      <c r="AA265" s="76">
        <v>7.8125E-2</v>
      </c>
      <c r="AB265" s="76">
        <v>0.10440023153284828</v>
      </c>
      <c r="AC265" s="76">
        <v>2.4371229247859283E-2</v>
      </c>
      <c r="AD265" s="142">
        <v>2.7677007209580721E-2</v>
      </c>
      <c r="AE265" s="142">
        <v>1.3576838341987044E-2</v>
      </c>
      <c r="AF265" s="142">
        <v>-5.7125801569692568E-2</v>
      </c>
    </row>
    <row r="266" spans="1:32" x14ac:dyDescent="0.35">
      <c r="A266" t="s">
        <v>77</v>
      </c>
      <c r="B266" t="s">
        <v>562</v>
      </c>
      <c r="C266" s="31">
        <v>18</v>
      </c>
      <c r="D266" s="31">
        <v>103</v>
      </c>
      <c r="E266" s="72">
        <v>74</v>
      </c>
      <c r="F266" s="31">
        <v>588</v>
      </c>
      <c r="G266" s="73">
        <v>4532.63</v>
      </c>
      <c r="H266" s="31">
        <v>19501.79</v>
      </c>
      <c r="I266" s="72">
        <v>2607.65</v>
      </c>
      <c r="J266" s="72">
        <v>7127.6</v>
      </c>
      <c r="K266" s="31">
        <v>3167.1428571428573</v>
      </c>
      <c r="L266" s="31">
        <v>11865.142857142857</v>
      </c>
      <c r="M266" s="74">
        <v>42.799227799227801</v>
      </c>
      <c r="N266" s="74">
        <v>20.606786900806835</v>
      </c>
      <c r="O266" s="75">
        <v>61.251756756756755</v>
      </c>
      <c r="P266" s="75">
        <v>33.166309523809524</v>
      </c>
      <c r="Q266" s="76">
        <v>0.57530616882472208</v>
      </c>
      <c r="R266" s="76">
        <v>0.35445830430322006</v>
      </c>
      <c r="S266" s="31">
        <v>3747</v>
      </c>
      <c r="T266" s="31"/>
      <c r="U266" s="76">
        <v>-0.73387834713927957</v>
      </c>
      <c r="V266" s="76">
        <v>-0.87414965986394555</v>
      </c>
      <c r="W266" s="76">
        <v>-0.76757877097435667</v>
      </c>
      <c r="X266" s="76">
        <v>-0.62107693693746047</v>
      </c>
      <c r="Y266" s="76">
        <v>-1.4400309346467077E-2</v>
      </c>
      <c r="Z266" s="76">
        <v>-1.2867892604301101E-2</v>
      </c>
      <c r="AA266" s="76">
        <v>0.42307692307692313</v>
      </c>
      <c r="AB266" s="76">
        <v>0.6962229482185025</v>
      </c>
      <c r="AC266" s="76">
        <v>0.19194045009948812</v>
      </c>
      <c r="AD266" s="142"/>
      <c r="AE266" s="142"/>
      <c r="AF266" s="142"/>
    </row>
    <row r="267" spans="1:32" x14ac:dyDescent="0.35">
      <c r="A267" t="s">
        <v>77</v>
      </c>
      <c r="B267" t="s">
        <v>569</v>
      </c>
      <c r="C267" s="31">
        <v>2</v>
      </c>
      <c r="D267" s="31"/>
      <c r="E267" s="72">
        <v>3</v>
      </c>
      <c r="F267" s="31"/>
      <c r="G267" s="73">
        <v>374.96</v>
      </c>
      <c r="H267" s="31"/>
      <c r="I267" s="72">
        <v>98.63</v>
      </c>
      <c r="J267" s="72"/>
      <c r="K267" s="31">
        <v>52.857142857142854</v>
      </c>
      <c r="L267" s="31">
        <v>9</v>
      </c>
      <c r="M267" s="74">
        <v>17.619047619047617</v>
      </c>
      <c r="N267" s="74"/>
      <c r="O267" s="75">
        <v>124.98666666666666</v>
      </c>
      <c r="P267" s="75"/>
      <c r="Q267" s="76">
        <v>0.26304139108171537</v>
      </c>
      <c r="R267" s="76"/>
      <c r="S267" s="31">
        <v>32</v>
      </c>
      <c r="T267" s="31"/>
      <c r="U267" s="76">
        <v>-0.88888888888888884</v>
      </c>
      <c r="V267" s="76"/>
      <c r="W267" s="76"/>
      <c r="X267" s="76"/>
      <c r="Y267" s="76">
        <v>-8.2292438587929895E-2</v>
      </c>
      <c r="Z267" s="76">
        <v>-8.6419753086419804E-2</v>
      </c>
      <c r="AA267" s="76">
        <v>-0.4</v>
      </c>
      <c r="AB267" s="76">
        <v>-0.31816776680668446</v>
      </c>
      <c r="AC267" s="76">
        <v>0.13638705532219264</v>
      </c>
      <c r="AD267" s="142"/>
      <c r="AE267" s="142"/>
      <c r="AF267" s="142"/>
    </row>
    <row r="268" spans="1:32" x14ac:dyDescent="0.35">
      <c r="A268" t="s">
        <v>77</v>
      </c>
      <c r="B268" t="s">
        <v>568</v>
      </c>
      <c r="C268" s="31">
        <v>1</v>
      </c>
      <c r="D268" s="31"/>
      <c r="E268" s="72">
        <v>1</v>
      </c>
      <c r="F268" s="31"/>
      <c r="G268" s="73">
        <v>208.33</v>
      </c>
      <c r="H268" s="31"/>
      <c r="I268" s="72">
        <v>62</v>
      </c>
      <c r="J268" s="72"/>
      <c r="K268" s="31">
        <v>9.8571428571428577</v>
      </c>
      <c r="L268" s="31">
        <v>-1</v>
      </c>
      <c r="M268" s="74">
        <v>9.8571428571428577</v>
      </c>
      <c r="N268" s="74"/>
      <c r="O268" s="75">
        <v>208.33</v>
      </c>
      <c r="P268" s="75"/>
      <c r="Q268" s="76">
        <v>0.29760476167618682</v>
      </c>
      <c r="R268" s="76"/>
      <c r="S268" s="31">
        <v>-1</v>
      </c>
      <c r="T268" s="31"/>
      <c r="U268" s="76"/>
      <c r="V268" s="76"/>
      <c r="W268" s="76"/>
      <c r="X268" s="76"/>
      <c r="Y268" s="76">
        <v>-1.4285714285714568E-2</v>
      </c>
      <c r="Z268" s="76">
        <v>-1.4285714285714235E-2</v>
      </c>
      <c r="AA268" s="76"/>
      <c r="AB268" s="76"/>
      <c r="AC268" s="76"/>
      <c r="AD268" s="142"/>
      <c r="AE268" s="142"/>
      <c r="AF268" s="142"/>
    </row>
    <row r="269" spans="1:32" x14ac:dyDescent="0.35">
      <c r="A269" t="s">
        <v>77</v>
      </c>
      <c r="B269" t="s">
        <v>563</v>
      </c>
      <c r="C269" s="31">
        <v>1</v>
      </c>
      <c r="D269" s="31">
        <v>1</v>
      </c>
      <c r="E269" s="72">
        <v>1</v>
      </c>
      <c r="F269" s="31">
        <v>1</v>
      </c>
      <c r="G269" s="73">
        <v>177.08</v>
      </c>
      <c r="H269" s="31">
        <v>276.67</v>
      </c>
      <c r="I269" s="72">
        <v>24.04</v>
      </c>
      <c r="J269" s="72">
        <v>102.55000000000001</v>
      </c>
      <c r="K269" s="31">
        <v>57.285714285714285</v>
      </c>
      <c r="L269" s="31">
        <v>144.14285714285714</v>
      </c>
      <c r="M269" s="74">
        <v>57.285714285714285</v>
      </c>
      <c r="N269" s="74">
        <v>146.85714285714286</v>
      </c>
      <c r="O269" s="75">
        <v>177.08</v>
      </c>
      <c r="P269" s="75">
        <v>276.67</v>
      </c>
      <c r="Q269" s="76">
        <v>0.13575784955952111</v>
      </c>
      <c r="R269" s="76">
        <v>0.37065818484114649</v>
      </c>
      <c r="S269" s="31">
        <v>4.2857142857142856</v>
      </c>
      <c r="T269" s="31"/>
      <c r="U269" s="76">
        <v>-0.74231912784935572</v>
      </c>
      <c r="V269" s="76">
        <v>0</v>
      </c>
      <c r="W269" s="76">
        <v>-0.35995951856001729</v>
      </c>
      <c r="X269" s="76">
        <v>-0.76557776694295443</v>
      </c>
      <c r="Y269" s="76">
        <v>-7.8246302673722679E-2</v>
      </c>
      <c r="Z269" s="76">
        <v>-8.0275229357798183E-2</v>
      </c>
      <c r="AA269" s="76">
        <v>-0.5</v>
      </c>
      <c r="AB269" s="76">
        <v>-0.5750012000192003</v>
      </c>
      <c r="AC269" s="76">
        <v>-0.1500024000384006</v>
      </c>
      <c r="AD269" s="142"/>
      <c r="AE269" s="142"/>
      <c r="AF269" s="142"/>
    </row>
    <row r="270" spans="1:32" x14ac:dyDescent="0.35">
      <c r="A270" t="s">
        <v>77</v>
      </c>
      <c r="B270" t="s">
        <v>564</v>
      </c>
      <c r="C270" s="31"/>
      <c r="D270" s="31"/>
      <c r="E270" s="72"/>
      <c r="F270" s="31"/>
      <c r="G270" s="73"/>
      <c r="H270" s="31"/>
      <c r="I270" s="72"/>
      <c r="J270" s="72"/>
      <c r="K270" s="31">
        <v>35</v>
      </c>
      <c r="L270" s="31">
        <v>60.714285714285715</v>
      </c>
      <c r="M270" s="74"/>
      <c r="N270" s="74"/>
      <c r="O270" s="75"/>
      <c r="P270" s="75"/>
      <c r="Q270" s="76"/>
      <c r="R270" s="76"/>
      <c r="S270" s="31">
        <v>0</v>
      </c>
      <c r="T270" s="31"/>
      <c r="U270" s="76">
        <v>-0.42352941176470593</v>
      </c>
      <c r="V270" s="76"/>
      <c r="W270" s="76"/>
      <c r="X270" s="76"/>
      <c r="Y270" s="76">
        <v>-6.8340956302488709E-2</v>
      </c>
      <c r="Z270" s="76">
        <v>-6.8441064638783189E-2</v>
      </c>
      <c r="AA270" s="76"/>
      <c r="AB270" s="76"/>
      <c r="AC270" s="76"/>
      <c r="AD270" s="142"/>
      <c r="AE270" s="142"/>
      <c r="AF270" s="142"/>
    </row>
    <row r="271" spans="1:32" x14ac:dyDescent="0.35">
      <c r="A271" t="s">
        <v>77</v>
      </c>
      <c r="B271" t="s">
        <v>565</v>
      </c>
      <c r="C271" s="31"/>
      <c r="D271" s="31">
        <v>2</v>
      </c>
      <c r="E271" s="72"/>
      <c r="F271" s="31">
        <v>3</v>
      </c>
      <c r="G271" s="73"/>
      <c r="H271" s="31">
        <v>522.48</v>
      </c>
      <c r="I271" s="72"/>
      <c r="J271" s="72">
        <v>173.85000000000002</v>
      </c>
      <c r="K271" s="31">
        <v>5</v>
      </c>
      <c r="L271" s="31">
        <v>30.428571428571427</v>
      </c>
      <c r="M271" s="74"/>
      <c r="N271" s="74">
        <v>10.142857142857142</v>
      </c>
      <c r="O271" s="75"/>
      <c r="P271" s="75">
        <v>174.16</v>
      </c>
      <c r="Q271" s="76"/>
      <c r="R271" s="76">
        <v>0.33274000918695457</v>
      </c>
      <c r="S271" s="31">
        <v>-1</v>
      </c>
      <c r="T271" s="31"/>
      <c r="U271" s="76">
        <v>-0.83568075117370888</v>
      </c>
      <c r="V271" s="76"/>
      <c r="W271" s="76"/>
      <c r="X271" s="76"/>
      <c r="Y271" s="76">
        <v>-0.12527955855516815</v>
      </c>
      <c r="Z271" s="76">
        <v>-0.125</v>
      </c>
      <c r="AA271" s="76"/>
      <c r="AB271" s="76"/>
      <c r="AC271" s="76"/>
      <c r="AD271" s="142"/>
      <c r="AE271" s="142"/>
      <c r="AF271" s="142"/>
    </row>
    <row r="272" spans="1:32" x14ac:dyDescent="0.35">
      <c r="A272" t="s">
        <v>77</v>
      </c>
      <c r="B272" t="s">
        <v>567</v>
      </c>
      <c r="C272" s="31"/>
      <c r="D272" s="31"/>
      <c r="E272" s="72"/>
      <c r="F272" s="31"/>
      <c r="G272" s="73"/>
      <c r="H272" s="31"/>
      <c r="I272" s="72"/>
      <c r="J272" s="72"/>
      <c r="K272" s="31"/>
      <c r="L272" s="31"/>
      <c r="M272" s="74"/>
      <c r="N272" s="74"/>
      <c r="O272" s="75"/>
      <c r="P272" s="75"/>
      <c r="Q272" s="76"/>
      <c r="R272" s="76"/>
      <c r="S272" s="31">
        <v>2</v>
      </c>
      <c r="T272" s="31"/>
      <c r="U272" s="76"/>
      <c r="V272" s="76"/>
      <c r="W272" s="76"/>
      <c r="X272" s="76"/>
      <c r="Y272" s="76"/>
      <c r="Z272" s="76"/>
      <c r="AA272" s="76"/>
      <c r="AB272" s="76"/>
      <c r="AC272" s="76"/>
      <c r="AD272" s="142"/>
      <c r="AE272" s="142"/>
      <c r="AF272" s="142"/>
    </row>
    <row r="273" spans="1:32" x14ac:dyDescent="0.35">
      <c r="A273" t="s">
        <v>77</v>
      </c>
      <c r="B273" t="s">
        <v>566</v>
      </c>
      <c r="C273" s="31"/>
      <c r="D273" s="31"/>
      <c r="E273" s="72"/>
      <c r="F273" s="31"/>
      <c r="G273" s="73"/>
      <c r="H273" s="31"/>
      <c r="I273" s="72"/>
      <c r="J273" s="72"/>
      <c r="K273" s="31"/>
      <c r="L273" s="31">
        <v>5</v>
      </c>
      <c r="M273" s="74"/>
      <c r="N273" s="74"/>
      <c r="O273" s="75"/>
      <c r="P273" s="75"/>
      <c r="Q273" s="76"/>
      <c r="R273" s="76"/>
      <c r="S273" s="31">
        <v>45</v>
      </c>
      <c r="T273" s="31"/>
      <c r="U273" s="76"/>
      <c r="V273" s="76"/>
      <c r="W273" s="76"/>
      <c r="X273" s="76"/>
      <c r="Y273" s="76"/>
      <c r="Z273" s="76"/>
      <c r="AA273" s="76"/>
      <c r="AB273" s="76"/>
      <c r="AC273" s="76"/>
      <c r="AD273" s="142"/>
      <c r="AE273" s="142"/>
      <c r="AF273" s="142"/>
    </row>
    <row r="274" spans="1:32" x14ac:dyDescent="0.35">
      <c r="A274" t="s">
        <v>77</v>
      </c>
      <c r="B274" t="s">
        <v>570</v>
      </c>
      <c r="C274" s="31"/>
      <c r="D274" s="31"/>
      <c r="E274" s="72"/>
      <c r="F274" s="31"/>
      <c r="G274" s="73"/>
      <c r="H274" s="31"/>
      <c r="I274" s="72"/>
      <c r="J274" s="72"/>
      <c r="K274" s="31"/>
      <c r="L274" s="31">
        <v>2</v>
      </c>
      <c r="M274" s="74"/>
      <c r="N274" s="74"/>
      <c r="O274" s="75"/>
      <c r="P274" s="75"/>
      <c r="Q274" s="76"/>
      <c r="R274" s="76"/>
      <c r="S274" s="31">
        <v>-1</v>
      </c>
      <c r="T274" s="31"/>
      <c r="U274" s="76"/>
      <c r="V274" s="76"/>
      <c r="W274" s="76"/>
      <c r="X274" s="76"/>
      <c r="Y274" s="76"/>
      <c r="Z274" s="76"/>
      <c r="AA274" s="76"/>
      <c r="AB274" s="76"/>
      <c r="AC274" s="76"/>
      <c r="AD274" s="142"/>
      <c r="AE274" s="142"/>
      <c r="AF274" s="142"/>
    </row>
    <row r="275" spans="1:32" x14ac:dyDescent="0.35">
      <c r="A275" t="s">
        <v>77</v>
      </c>
      <c r="B275" t="s">
        <v>571</v>
      </c>
      <c r="C275" s="31"/>
      <c r="D275" s="31"/>
      <c r="E275" s="72"/>
      <c r="F275" s="31"/>
      <c r="G275" s="73"/>
      <c r="H275" s="31"/>
      <c r="I275" s="72"/>
      <c r="J275" s="72"/>
      <c r="K275" s="31"/>
      <c r="L275" s="31"/>
      <c r="M275" s="74"/>
      <c r="N275" s="74"/>
      <c r="O275" s="75"/>
      <c r="P275" s="75"/>
      <c r="Q275" s="76"/>
      <c r="R275" s="76"/>
      <c r="S275" s="31">
        <v>-1</v>
      </c>
      <c r="T275" s="31"/>
      <c r="U275" s="76"/>
      <c r="V275" s="76"/>
      <c r="W275" s="76"/>
      <c r="X275" s="76"/>
      <c r="Y275" s="76"/>
      <c r="Z275" s="76"/>
      <c r="AA275" s="76"/>
      <c r="AB275" s="76"/>
      <c r="AC275" s="76"/>
      <c r="AD275" s="142"/>
      <c r="AE275" s="142"/>
      <c r="AF275" s="142"/>
    </row>
    <row r="276" spans="1:32" x14ac:dyDescent="0.35">
      <c r="A276" s="138" t="s">
        <v>840</v>
      </c>
      <c r="B276" s="138"/>
      <c r="C276" s="127">
        <v>5092</v>
      </c>
      <c r="D276" s="127">
        <v>2697</v>
      </c>
      <c r="E276" s="126">
        <v>6238</v>
      </c>
      <c r="F276" s="127">
        <v>3767</v>
      </c>
      <c r="G276" s="127">
        <v>9041584.9900004193</v>
      </c>
      <c r="H276" s="127">
        <v>4863268.4000000767</v>
      </c>
      <c r="I276" s="126">
        <v>4061316.1799999974</v>
      </c>
      <c r="J276" s="126">
        <v>2292627.8700000825</v>
      </c>
      <c r="K276" s="127">
        <v>85514.28571428571</v>
      </c>
      <c r="L276" s="127">
        <v>68734</v>
      </c>
      <c r="M276" s="140">
        <v>13.708606238263179</v>
      </c>
      <c r="N276" s="140">
        <v>18.533266316690867</v>
      </c>
      <c r="O276" s="139">
        <v>1449.4365165117697</v>
      </c>
      <c r="P276" s="139">
        <v>1291.0189540748811</v>
      </c>
      <c r="Q276" s="141">
        <v>0.44918188398291092</v>
      </c>
      <c r="R276" s="141">
        <v>0.46268516452445202</v>
      </c>
      <c r="S276" s="127">
        <v>26384.428571428572</v>
      </c>
      <c r="T276" s="127"/>
      <c r="U276" s="141">
        <v>0.20590973899380227</v>
      </c>
      <c r="V276" s="141">
        <v>0.58932837801964433</v>
      </c>
      <c r="W276" s="141">
        <v>0.7930123021794282</v>
      </c>
      <c r="X276" s="141">
        <v>0.73791987936637637</v>
      </c>
      <c r="Y276" s="141">
        <v>3.7739536370076099E-2</v>
      </c>
      <c r="Z276" s="141">
        <v>4.6518133120742933E-2</v>
      </c>
      <c r="AA276" s="141">
        <v>0.12477461233321319</v>
      </c>
      <c r="AB276" s="141">
        <v>0.18823680486509442</v>
      </c>
      <c r="AC276" s="141">
        <v>5.642214167711046E-2</v>
      </c>
      <c r="AD276" s="143">
        <v>9.5821645066847649E-2</v>
      </c>
      <c r="AE276" s="143">
        <v>3.2822469295919816E-2</v>
      </c>
      <c r="AF276" s="143">
        <v>4.5870396914465802E-2</v>
      </c>
    </row>
    <row r="277" spans="1:32" x14ac:dyDescent="0.35">
      <c r="A277" t="s">
        <v>87</v>
      </c>
      <c r="B277" t="s">
        <v>579</v>
      </c>
      <c r="C277" s="31">
        <v>9006</v>
      </c>
      <c r="D277" s="31">
        <v>13618</v>
      </c>
      <c r="E277" s="72">
        <v>19812</v>
      </c>
      <c r="F277" s="31">
        <v>18861</v>
      </c>
      <c r="G277" s="73">
        <v>6677948.4300011666</v>
      </c>
      <c r="H277" s="31">
        <v>4352391.8299999256</v>
      </c>
      <c r="I277" s="72">
        <v>4074711.289999912</v>
      </c>
      <c r="J277" s="72">
        <v>2282140.8099999065</v>
      </c>
      <c r="K277" s="31">
        <v>199802.28571428571</v>
      </c>
      <c r="L277" s="31">
        <v>293443.85714285716</v>
      </c>
      <c r="M277" s="74">
        <v>10.084912462865219</v>
      </c>
      <c r="N277" s="74">
        <v>15.687079422784434</v>
      </c>
      <c r="O277" s="75">
        <v>337.06584039981664</v>
      </c>
      <c r="P277" s="75">
        <v>230.7614564445112</v>
      </c>
      <c r="Q277" s="76">
        <v>0.61017411750201256</v>
      </c>
      <c r="R277" s="76">
        <v>0.5140825150327486</v>
      </c>
      <c r="S277" s="31">
        <v>62448.142857142855</v>
      </c>
      <c r="T277" s="31"/>
      <c r="U277" s="76">
        <v>-0.34332388721717033</v>
      </c>
      <c r="V277" s="76">
        <v>1.9033985472668435E-2</v>
      </c>
      <c r="W277" s="76">
        <v>0.49155476426880074</v>
      </c>
      <c r="X277" s="76">
        <v>0.7712301633527876</v>
      </c>
      <c r="Y277" s="76">
        <v>-3.8231815833142058E-2</v>
      </c>
      <c r="Z277" s="76">
        <v>-5.8154553547738908E-2</v>
      </c>
      <c r="AA277" s="76">
        <v>7.0687418936446145E-2</v>
      </c>
      <c r="AB277" s="76">
        <v>0.10126352115690063</v>
      </c>
      <c r="AC277" s="76">
        <v>2.8557449802508295E-2</v>
      </c>
      <c r="AD277" s="142">
        <v>-3.966702097162756E-2</v>
      </c>
      <c r="AE277" s="142">
        <v>0.15145247627351385</v>
      </c>
      <c r="AF277" s="142">
        <v>0.45094008712692912</v>
      </c>
    </row>
    <row r="278" spans="1:32" x14ac:dyDescent="0.35">
      <c r="A278" t="s">
        <v>87</v>
      </c>
      <c r="B278" t="s">
        <v>581</v>
      </c>
      <c r="C278" s="31">
        <v>2766</v>
      </c>
      <c r="D278" s="31">
        <v>775</v>
      </c>
      <c r="E278" s="72">
        <v>3764</v>
      </c>
      <c r="F278" s="31">
        <v>1059</v>
      </c>
      <c r="G278" s="73">
        <v>900093.2799999899</v>
      </c>
      <c r="H278" s="31">
        <v>195594.39999999994</v>
      </c>
      <c r="I278" s="72">
        <v>523506.0599999894</v>
      </c>
      <c r="J278" s="72">
        <v>99523.530000000042</v>
      </c>
      <c r="K278" s="31">
        <v>34727</v>
      </c>
      <c r="L278" s="31">
        <v>11663.857142857143</v>
      </c>
      <c r="M278" s="74">
        <v>9.2260892667375138</v>
      </c>
      <c r="N278" s="74">
        <v>11.106979180306404</v>
      </c>
      <c r="O278" s="75">
        <v>239.13211477151697</v>
      </c>
      <c r="P278" s="75">
        <v>184.69726156751648</v>
      </c>
      <c r="Q278" s="76">
        <v>0.58161311903139112</v>
      </c>
      <c r="R278" s="76">
        <v>0.49218797986255058</v>
      </c>
      <c r="S278" s="31">
        <v>4451.8571428571431</v>
      </c>
      <c r="T278" s="31"/>
      <c r="U278" s="76">
        <v>1.8445135767388883</v>
      </c>
      <c r="V278" s="76">
        <v>2.4079320113314449</v>
      </c>
      <c r="W278" s="76">
        <v>3.4061139275970378</v>
      </c>
      <c r="X278" s="76">
        <v>4.2056462493602522</v>
      </c>
      <c r="Y278" s="76">
        <v>9.6964183217154609E-2</v>
      </c>
      <c r="Z278" s="76">
        <v>1.6606863556904994E-2</v>
      </c>
      <c r="AA278" s="76">
        <v>0.14756097560975601</v>
      </c>
      <c r="AB278" s="76">
        <v>0.27031605984615426</v>
      </c>
      <c r="AC278" s="76">
        <v>0.10697042409547963</v>
      </c>
      <c r="AD278" s="142">
        <v>0.70300798536100839</v>
      </c>
      <c r="AE278" s="142">
        <v>1.7384754831683888</v>
      </c>
      <c r="AF278" s="142">
        <v>2.2190788441403022</v>
      </c>
    </row>
    <row r="279" spans="1:32" x14ac:dyDescent="0.35">
      <c r="A279" t="s">
        <v>87</v>
      </c>
      <c r="B279" t="s">
        <v>580</v>
      </c>
      <c r="C279" s="31">
        <v>944</v>
      </c>
      <c r="D279" s="31">
        <v>2004</v>
      </c>
      <c r="E279" s="72">
        <v>1152</v>
      </c>
      <c r="F279" s="31">
        <v>2663</v>
      </c>
      <c r="G279" s="73">
        <v>266639.19999999792</v>
      </c>
      <c r="H279" s="31">
        <v>311241.37999999971</v>
      </c>
      <c r="I279" s="72">
        <v>164914.21000000066</v>
      </c>
      <c r="J279" s="72">
        <v>134007.04999999885</v>
      </c>
      <c r="K279" s="31">
        <v>15128.857142857143</v>
      </c>
      <c r="L279" s="31">
        <v>52417</v>
      </c>
      <c r="M279" s="74">
        <v>13.132688492063492</v>
      </c>
      <c r="N279" s="74">
        <v>19.678064750818479</v>
      </c>
      <c r="O279" s="75">
        <v>231.45763888888709</v>
      </c>
      <c r="P279" s="75">
        <v>116.87622230567018</v>
      </c>
      <c r="Q279" s="76">
        <v>0.61849199217520134</v>
      </c>
      <c r="R279" s="76">
        <v>0.41840294754988983</v>
      </c>
      <c r="S279" s="31">
        <v>2977</v>
      </c>
      <c r="T279" s="31"/>
      <c r="U279" s="76">
        <v>-0.72344032334111885</v>
      </c>
      <c r="V279" s="76">
        <v>-0.58843409688321446</v>
      </c>
      <c r="W279" s="76">
        <v>-0.18670457636449767</v>
      </c>
      <c r="X279" s="76">
        <v>0.20028237344116895</v>
      </c>
      <c r="Y279" s="76">
        <v>-8.2438311093907868E-2</v>
      </c>
      <c r="Z279" s="76">
        <v>-8.2416344637565642E-2</v>
      </c>
      <c r="AA279" s="76">
        <v>-8.4260731319554805E-2</v>
      </c>
      <c r="AB279" s="76">
        <v>-8.4677348483859216E-2</v>
      </c>
      <c r="AC279" s="76">
        <v>-4.5495172976983689E-4</v>
      </c>
      <c r="AD279" s="142">
        <v>-0.66533494960284234</v>
      </c>
      <c r="AE279" s="142">
        <v>-0.55875889702536918</v>
      </c>
      <c r="AF279" s="142">
        <v>-0.43974574309887582</v>
      </c>
    </row>
    <row r="280" spans="1:32" x14ac:dyDescent="0.35">
      <c r="A280" t="s">
        <v>87</v>
      </c>
      <c r="B280" t="s">
        <v>582</v>
      </c>
      <c r="C280" s="31">
        <v>3956</v>
      </c>
      <c r="D280" s="31">
        <v>1720</v>
      </c>
      <c r="E280" s="72">
        <v>8912</v>
      </c>
      <c r="F280" s="31">
        <v>3786</v>
      </c>
      <c r="G280" s="73">
        <v>255478.38000000917</v>
      </c>
      <c r="H280" s="31">
        <v>97111.250000001965</v>
      </c>
      <c r="I280" s="72">
        <v>126773.16000000088</v>
      </c>
      <c r="J280" s="72">
        <v>64335.780000001949</v>
      </c>
      <c r="K280" s="31">
        <v>51402.285714285717</v>
      </c>
      <c r="L280" s="31">
        <v>75772</v>
      </c>
      <c r="M280" s="74">
        <v>5.7677609643498338</v>
      </c>
      <c r="N280" s="74">
        <v>20.400037057624605</v>
      </c>
      <c r="O280" s="75">
        <v>28.666784111311621</v>
      </c>
      <c r="P280" s="75">
        <v>25.650092445853662</v>
      </c>
      <c r="Q280" s="76">
        <v>0.49621874070125355</v>
      </c>
      <c r="R280" s="76">
        <v>0.65111716323427049</v>
      </c>
      <c r="S280" s="31">
        <v>9129</v>
      </c>
      <c r="T280" s="31"/>
      <c r="U280" s="76">
        <v>-0.34427342176906661</v>
      </c>
      <c r="V280" s="76">
        <v>1.2641310089804545</v>
      </c>
      <c r="W280" s="76">
        <v>1.5316702235838107</v>
      </c>
      <c r="X280" s="76">
        <v>0.92653802024238541</v>
      </c>
      <c r="Y280" s="76">
        <v>-7.8137129782941295E-2</v>
      </c>
      <c r="Z280" s="76">
        <v>-7.6476083898853187E-2</v>
      </c>
      <c r="AA280" s="76">
        <v>7.0639115809706832E-2</v>
      </c>
      <c r="AB280" s="76">
        <v>6.5490149220905236E-2</v>
      </c>
      <c r="AC280" s="76">
        <v>-4.8092457232028485E-3</v>
      </c>
      <c r="AD280" s="142">
        <v>1.1555328404581519E-2</v>
      </c>
      <c r="AE280" s="142">
        <v>-1.5874437734211724E-2</v>
      </c>
      <c r="AF280" s="142">
        <v>-4.0889355343929089E-2</v>
      </c>
    </row>
    <row r="281" spans="1:32" x14ac:dyDescent="0.35">
      <c r="A281" t="s">
        <v>87</v>
      </c>
      <c r="B281" t="s">
        <v>584</v>
      </c>
      <c r="C281" s="31">
        <v>1558</v>
      </c>
      <c r="D281" s="31">
        <v>388</v>
      </c>
      <c r="E281" s="72">
        <v>2135</v>
      </c>
      <c r="F281" s="31">
        <v>578</v>
      </c>
      <c r="G281" s="73">
        <v>209474.53000000102</v>
      </c>
      <c r="H281" s="31">
        <v>53269.85000000013</v>
      </c>
      <c r="I281" s="72">
        <v>113744.06000000078</v>
      </c>
      <c r="J281" s="72">
        <v>27635.590000000138</v>
      </c>
      <c r="K281" s="31">
        <v>24044.285714285714</v>
      </c>
      <c r="L281" s="31">
        <v>7123.8571428571431</v>
      </c>
      <c r="M281" s="74">
        <v>11.261960521913684</v>
      </c>
      <c r="N281" s="74">
        <v>12.731234866828087</v>
      </c>
      <c r="O281" s="75">
        <v>98.114533957845907</v>
      </c>
      <c r="P281" s="75">
        <v>92.162370242214763</v>
      </c>
      <c r="Q281" s="76">
        <v>0.54299708895396603</v>
      </c>
      <c r="R281" s="76">
        <v>0.50641354898069957</v>
      </c>
      <c r="S281" s="31">
        <v>25740</v>
      </c>
      <c r="T281" s="31"/>
      <c r="U281" s="76">
        <v>2.2715824092084942</v>
      </c>
      <c r="V281" s="76">
        <v>2.5761245674740483</v>
      </c>
      <c r="W281" s="76">
        <v>2.8375384950398876</v>
      </c>
      <c r="X281" s="76">
        <v>3.1117100694186899</v>
      </c>
      <c r="Y281" s="76">
        <v>-4.804027723018689E-3</v>
      </c>
      <c r="Z281" s="76">
        <v>4.3081843568750777E-3</v>
      </c>
      <c r="AA281" s="76">
        <v>6.963927855711427E-2</v>
      </c>
      <c r="AB281" s="76">
        <v>3.8436694556010398E-2</v>
      </c>
      <c r="AC281" s="76">
        <v>-2.9171127712507516E-2</v>
      </c>
      <c r="AD281" s="142">
        <v>1.463309381735882</v>
      </c>
      <c r="AE281" s="142">
        <v>0.43951810910079692</v>
      </c>
      <c r="AF281" s="142">
        <v>0.55273071490740144</v>
      </c>
    </row>
    <row r="282" spans="1:32" x14ac:dyDescent="0.35">
      <c r="A282" t="s">
        <v>87</v>
      </c>
      <c r="B282" t="s">
        <v>608</v>
      </c>
      <c r="C282" s="31">
        <v>523</v>
      </c>
      <c r="D282" s="31"/>
      <c r="E282" s="72">
        <v>611</v>
      </c>
      <c r="F282" s="31"/>
      <c r="G282" s="73">
        <v>203005.03999999896</v>
      </c>
      <c r="H282" s="31"/>
      <c r="I282" s="72">
        <v>108300.04000000058</v>
      </c>
      <c r="J282" s="72"/>
      <c r="K282" s="31">
        <v>4036</v>
      </c>
      <c r="L282" s="31"/>
      <c r="M282" s="74">
        <v>6.6055646481178396</v>
      </c>
      <c r="N282" s="74"/>
      <c r="O282" s="75">
        <v>332.25047463174951</v>
      </c>
      <c r="P282" s="75"/>
      <c r="Q282" s="76">
        <v>0.53348448885801614</v>
      </c>
      <c r="R282" s="76"/>
      <c r="S282" s="31">
        <v>166.14285714285714</v>
      </c>
      <c r="T282" s="31"/>
      <c r="U282" s="76"/>
      <c r="V282" s="76"/>
      <c r="W282" s="76"/>
      <c r="X282" s="76"/>
      <c r="Y282" s="76">
        <v>-0.12867012089810015</v>
      </c>
      <c r="Z282" s="76">
        <v>-0.12867012089810015</v>
      </c>
      <c r="AA282" s="76">
        <v>4.9828178694158121E-2</v>
      </c>
      <c r="AB282" s="76">
        <v>4.9298109356470832E-2</v>
      </c>
      <c r="AC282" s="76">
        <v>-5.049105638854634E-4</v>
      </c>
      <c r="AD282" s="142">
        <v>2.1289255597371293</v>
      </c>
      <c r="AE282" s="142">
        <v>2.3196637823990498</v>
      </c>
      <c r="AF282" s="142">
        <v>2.5180185747088881</v>
      </c>
    </row>
    <row r="283" spans="1:32" x14ac:dyDescent="0.35">
      <c r="A283" t="s">
        <v>87</v>
      </c>
      <c r="B283" t="s">
        <v>586</v>
      </c>
      <c r="C283" s="31">
        <v>792</v>
      </c>
      <c r="D283" s="31">
        <v>159</v>
      </c>
      <c r="E283" s="72">
        <v>1029</v>
      </c>
      <c r="F283" s="31">
        <v>200</v>
      </c>
      <c r="G283" s="73">
        <v>111393.96000000052</v>
      </c>
      <c r="H283" s="31">
        <v>14961.749999999989</v>
      </c>
      <c r="I283" s="72">
        <v>80526.270000000615</v>
      </c>
      <c r="J283" s="72">
        <v>9526.6999999999898</v>
      </c>
      <c r="K283" s="31">
        <v>10495.142857142857</v>
      </c>
      <c r="L283" s="31">
        <v>2106.1428571428573</v>
      </c>
      <c r="M283" s="74">
        <v>10.199361377203942</v>
      </c>
      <c r="N283" s="74">
        <v>10.474149659863945</v>
      </c>
      <c r="O283" s="75">
        <v>108.25457725947572</v>
      </c>
      <c r="P283" s="75">
        <v>74.808749999999947</v>
      </c>
      <c r="Q283" s="76">
        <v>0.72289619652627701</v>
      </c>
      <c r="R283" s="76">
        <v>0.60634354481877206</v>
      </c>
      <c r="S283" s="31">
        <v>162</v>
      </c>
      <c r="T283" s="31"/>
      <c r="U283" s="76">
        <v>3.8343620701349792</v>
      </c>
      <c r="V283" s="76">
        <v>4.0049999999999999</v>
      </c>
      <c r="W283" s="76">
        <v>6.2425190903470895</v>
      </c>
      <c r="X283" s="76">
        <v>7.6301053684591551</v>
      </c>
      <c r="Y283" s="76">
        <v>-8.6619044112153265E-2</v>
      </c>
      <c r="Z283" s="76">
        <v>-8.6584607733432795E-2</v>
      </c>
      <c r="AA283" s="76">
        <v>1.1799410029498469E-2</v>
      </c>
      <c r="AB283" s="76">
        <v>1.3219962970901555E-2</v>
      </c>
      <c r="AC283" s="76">
        <v>1.4039867263431205E-3</v>
      </c>
      <c r="AD283" s="142">
        <v>0.28091610522333677</v>
      </c>
      <c r="AE283" s="142">
        <v>0.91777918797092439</v>
      </c>
      <c r="AF283" s="142">
        <v>1.5726320444830733</v>
      </c>
    </row>
    <row r="284" spans="1:32" x14ac:dyDescent="0.35">
      <c r="A284" t="s">
        <v>87</v>
      </c>
      <c r="B284" t="s">
        <v>585</v>
      </c>
      <c r="C284" s="31">
        <v>1113</v>
      </c>
      <c r="D284" s="31">
        <v>1050</v>
      </c>
      <c r="E284" s="72">
        <v>1611</v>
      </c>
      <c r="F284" s="31">
        <v>1663</v>
      </c>
      <c r="G284" s="73">
        <v>45145.880000001162</v>
      </c>
      <c r="H284" s="31">
        <v>55003.520000000048</v>
      </c>
      <c r="I284" s="72">
        <v>28717.370000000134</v>
      </c>
      <c r="J284" s="72">
        <v>26972.770000000051</v>
      </c>
      <c r="K284" s="31">
        <v>15517.857142857143</v>
      </c>
      <c r="L284" s="31">
        <v>28185.285714285714</v>
      </c>
      <c r="M284" s="74">
        <v>9.6324377050634027</v>
      </c>
      <c r="N284" s="74">
        <v>16.970224155235865</v>
      </c>
      <c r="O284" s="75">
        <v>28.023513345748704</v>
      </c>
      <c r="P284" s="75">
        <v>33.074876728803396</v>
      </c>
      <c r="Q284" s="76">
        <v>0.63610167749525304</v>
      </c>
      <c r="R284" s="76">
        <v>0.47732522170249442</v>
      </c>
      <c r="S284" s="31">
        <v>3057.5714285714284</v>
      </c>
      <c r="T284" s="31"/>
      <c r="U284" s="76">
        <v>-0.45698616806134917</v>
      </c>
      <c r="V284" s="76">
        <v>-6.2537582681900128E-2</v>
      </c>
      <c r="W284" s="76">
        <v>-0.20769252586014486</v>
      </c>
      <c r="X284" s="76">
        <v>5.6814802230374495E-2</v>
      </c>
      <c r="Y284" s="76">
        <v>-0.11221987407890233</v>
      </c>
      <c r="Z284" s="76">
        <v>-0.11303360877943625</v>
      </c>
      <c r="AA284" s="76">
        <v>-0.19409704852426213</v>
      </c>
      <c r="AB284" s="76">
        <v>-0.18590768667043567</v>
      </c>
      <c r="AC284" s="76">
        <v>1.016172212650468E-2</v>
      </c>
      <c r="AD284" s="142">
        <v>2.0639924126730456E-2</v>
      </c>
      <c r="AE284" s="142">
        <v>-0.42896448791845582</v>
      </c>
      <c r="AF284" s="142">
        <v>-0.27290272287646172</v>
      </c>
    </row>
    <row r="285" spans="1:32" x14ac:dyDescent="0.35">
      <c r="A285" t="s">
        <v>87</v>
      </c>
      <c r="B285" t="s">
        <v>595</v>
      </c>
      <c r="C285" s="31">
        <v>184</v>
      </c>
      <c r="D285" s="31">
        <v>34</v>
      </c>
      <c r="E285" s="72">
        <v>217</v>
      </c>
      <c r="F285" s="31">
        <v>42</v>
      </c>
      <c r="G285" s="73">
        <v>19200.84</v>
      </c>
      <c r="H285" s="31">
        <v>3963.5499999999993</v>
      </c>
      <c r="I285" s="72">
        <v>8000.4700000000084</v>
      </c>
      <c r="J285" s="72">
        <v>2087.4899999999989</v>
      </c>
      <c r="K285" s="31">
        <v>6725.1428571428569</v>
      </c>
      <c r="L285" s="31">
        <v>1896.4285714285713</v>
      </c>
      <c r="M285" s="74">
        <v>30.991441737985514</v>
      </c>
      <c r="N285" s="74">
        <v>43.771428571428572</v>
      </c>
      <c r="O285" s="75">
        <v>88.483133640552992</v>
      </c>
      <c r="P285" s="75">
        <v>94.370238095238079</v>
      </c>
      <c r="Q285" s="76">
        <v>0.41667291639324155</v>
      </c>
      <c r="R285" s="76">
        <v>0.49838129754043159</v>
      </c>
      <c r="S285" s="31">
        <v>567.57142857142856</v>
      </c>
      <c r="T285" s="31"/>
      <c r="U285" s="76">
        <v>2.4748022598870056</v>
      </c>
      <c r="V285" s="76">
        <v>3.8809523809523814</v>
      </c>
      <c r="W285" s="76">
        <v>3.581556937593823</v>
      </c>
      <c r="X285" s="76">
        <v>2.8190718789407421</v>
      </c>
      <c r="Y285" s="76">
        <v>-3.8103620580512532E-2</v>
      </c>
      <c r="Z285" s="76">
        <v>-3.7241548561261495E-2</v>
      </c>
      <c r="AA285" s="76">
        <v>0.19230769230769229</v>
      </c>
      <c r="AB285" s="76">
        <v>0.18403400002219961</v>
      </c>
      <c r="AC285" s="76">
        <v>-6.9392257878325703E-3</v>
      </c>
      <c r="AD285" s="142">
        <v>0.49857842226625115</v>
      </c>
      <c r="AE285" s="142">
        <v>5.6964899092782822E-2</v>
      </c>
      <c r="AF285" s="142">
        <v>-8.5060883734203979E-2</v>
      </c>
    </row>
    <row r="286" spans="1:32" x14ac:dyDescent="0.35">
      <c r="A286" t="s">
        <v>87</v>
      </c>
      <c r="B286" t="s">
        <v>590</v>
      </c>
      <c r="C286" s="31">
        <v>225</v>
      </c>
      <c r="D286" s="31">
        <v>279</v>
      </c>
      <c r="E286" s="72">
        <v>388</v>
      </c>
      <c r="F286" s="31">
        <v>623</v>
      </c>
      <c r="G286" s="73">
        <v>11286.72999999994</v>
      </c>
      <c r="H286" s="31">
        <v>13940.139999999952</v>
      </c>
      <c r="I286" s="72">
        <v>5203.3999999999924</v>
      </c>
      <c r="J286" s="72">
        <v>5617.7799999999697</v>
      </c>
      <c r="K286" s="31">
        <v>6471.1428571428569</v>
      </c>
      <c r="L286" s="31">
        <v>12463.857142857143</v>
      </c>
      <c r="M286" s="74">
        <v>16.67820324005891</v>
      </c>
      <c r="N286" s="74">
        <v>20.401328903654484</v>
      </c>
      <c r="O286" s="75">
        <v>29.089510309278193</v>
      </c>
      <c r="P286" s="75">
        <v>22.37582664526477</v>
      </c>
      <c r="Q286" s="76">
        <v>0.4610192677595743</v>
      </c>
      <c r="R286" s="76">
        <v>0.39016723397546454</v>
      </c>
      <c r="S286" s="31">
        <v>3862.8571428571427</v>
      </c>
      <c r="T286" s="31"/>
      <c r="U286" s="76">
        <v>-0.49590243790617439</v>
      </c>
      <c r="V286" s="76">
        <v>-0.3868378812199037</v>
      </c>
      <c r="W286" s="76">
        <v>-0.20202594808947549</v>
      </c>
      <c r="X286" s="76">
        <v>-5.170752240327503E-2</v>
      </c>
      <c r="Y286" s="76">
        <v>-6.8699894432648234E-2</v>
      </c>
      <c r="Z286" s="76">
        <v>-6.1103511171910707E-2</v>
      </c>
      <c r="AA286" s="76">
        <v>-7.8384798099762509E-2</v>
      </c>
      <c r="AB286" s="76">
        <v>-7.2331440472702346E-2</v>
      </c>
      <c r="AC286" s="76">
        <v>6.5682050541038262E-3</v>
      </c>
      <c r="AD286" s="142">
        <v>-0.38645543444726976</v>
      </c>
      <c r="AE286" s="142"/>
      <c r="AF286" s="142"/>
    </row>
    <row r="287" spans="1:32" x14ac:dyDescent="0.35">
      <c r="A287" t="s">
        <v>87</v>
      </c>
      <c r="B287" t="s">
        <v>592</v>
      </c>
      <c r="C287" s="31">
        <v>129</v>
      </c>
      <c r="D287" s="31">
        <v>101</v>
      </c>
      <c r="E287" s="72">
        <v>180</v>
      </c>
      <c r="F287" s="31">
        <v>125</v>
      </c>
      <c r="G287" s="73">
        <v>8931.7199999999757</v>
      </c>
      <c r="H287" s="31">
        <v>8264.3199999999906</v>
      </c>
      <c r="I287" s="72">
        <v>853.12000000000114</v>
      </c>
      <c r="J287" s="72">
        <v>4665.3699999999899</v>
      </c>
      <c r="K287" s="31">
        <v>9568.7142857142862</v>
      </c>
      <c r="L287" s="31">
        <v>6589.2857142857147</v>
      </c>
      <c r="M287" s="74">
        <v>53.159523809523812</v>
      </c>
      <c r="N287" s="74">
        <v>52.658008658008661</v>
      </c>
      <c r="O287" s="75">
        <v>49.62066666666653</v>
      </c>
      <c r="P287" s="75">
        <v>66.114559999999926</v>
      </c>
      <c r="Q287" s="76">
        <v>9.5515757323337891E-2</v>
      </c>
      <c r="R287" s="76">
        <v>0.53262147715674546</v>
      </c>
      <c r="S287" s="31">
        <v>940</v>
      </c>
      <c r="T287" s="31"/>
      <c r="U287" s="76">
        <v>0.41131707317073185</v>
      </c>
      <c r="V287" s="76">
        <v>0.40799999999999992</v>
      </c>
      <c r="W287" s="76">
        <v>5.6561217377834705E-2</v>
      </c>
      <c r="X287" s="76">
        <v>-0.8105257412638035</v>
      </c>
      <c r="Y287" s="76">
        <v>-2.0663374873032048E-2</v>
      </c>
      <c r="Z287" s="76">
        <v>-2.0802877024735378E-2</v>
      </c>
      <c r="AA287" s="76">
        <v>0.19999999999999996</v>
      </c>
      <c r="AB287" s="76">
        <v>0.23792905108072393</v>
      </c>
      <c r="AC287" s="76">
        <v>3.160754256726972E-2</v>
      </c>
      <c r="AD287" s="142">
        <v>-0.51874926141379707</v>
      </c>
      <c r="AE287" s="142"/>
      <c r="AF287" s="142"/>
    </row>
    <row r="288" spans="1:32" x14ac:dyDescent="0.35">
      <c r="A288" t="s">
        <v>87</v>
      </c>
      <c r="B288" t="s">
        <v>591</v>
      </c>
      <c r="C288" s="31">
        <v>41</v>
      </c>
      <c r="D288" s="31">
        <v>77</v>
      </c>
      <c r="E288" s="72">
        <v>52</v>
      </c>
      <c r="F288" s="31">
        <v>109</v>
      </c>
      <c r="G288" s="73">
        <v>8666.2999999999956</v>
      </c>
      <c r="H288" s="31">
        <v>13427.809999999983</v>
      </c>
      <c r="I288" s="72">
        <v>3929.8599999999992</v>
      </c>
      <c r="J288" s="72">
        <v>5978.5999999999858</v>
      </c>
      <c r="K288" s="31">
        <v>1491.2857142857142</v>
      </c>
      <c r="L288" s="31">
        <v>2485.8571428571427</v>
      </c>
      <c r="M288" s="74">
        <v>28.678571428571427</v>
      </c>
      <c r="N288" s="74">
        <v>23.702490170380077</v>
      </c>
      <c r="O288" s="75">
        <v>166.65961538461531</v>
      </c>
      <c r="P288" s="75">
        <v>123.1909174311925</v>
      </c>
      <c r="Q288" s="76">
        <v>0.45346456965487014</v>
      </c>
      <c r="R288" s="76">
        <v>0.44524013968026011</v>
      </c>
      <c r="S288" s="31"/>
      <c r="T288" s="31"/>
      <c r="U288" s="76">
        <v>-0.46043330843054997</v>
      </c>
      <c r="V288" s="76">
        <v>-0.52293577981651373</v>
      </c>
      <c r="W288" s="76">
        <v>-0.354600638525567</v>
      </c>
      <c r="X288" s="76">
        <v>-0.34267888803398694</v>
      </c>
      <c r="Y288" s="76">
        <v>-5.9766286712592875E-2</v>
      </c>
      <c r="Z288" s="76">
        <v>-6.039603960396045E-2</v>
      </c>
      <c r="AA288" s="76">
        <v>-0.1875</v>
      </c>
      <c r="AB288" s="76">
        <v>-0.19660222525878279</v>
      </c>
      <c r="AC288" s="76">
        <v>-1.12027387800403E-2</v>
      </c>
      <c r="AD288" s="142">
        <v>-0.22381224615301948</v>
      </c>
      <c r="AE288" s="142">
        <v>-0.36303638935483556</v>
      </c>
      <c r="AF288" s="142">
        <v>-0.41847577455423385</v>
      </c>
    </row>
    <row r="289" spans="1:32" x14ac:dyDescent="0.35">
      <c r="A289" t="s">
        <v>87</v>
      </c>
      <c r="B289" t="s">
        <v>583</v>
      </c>
      <c r="C289" s="31">
        <v>6</v>
      </c>
      <c r="D289" s="31">
        <v>68</v>
      </c>
      <c r="E289" s="72">
        <v>7</v>
      </c>
      <c r="F289" s="31">
        <v>69</v>
      </c>
      <c r="G289" s="73">
        <v>4083.31</v>
      </c>
      <c r="H289" s="31">
        <v>39107.049999999996</v>
      </c>
      <c r="I289" s="72">
        <v>1607.37</v>
      </c>
      <c r="J289" s="72">
        <v>16377.489999999987</v>
      </c>
      <c r="K289" s="31">
        <v>265.42857142857144</v>
      </c>
      <c r="L289" s="31">
        <v>1780.1428571428571</v>
      </c>
      <c r="M289" s="74">
        <v>37.91836734693878</v>
      </c>
      <c r="N289" s="74">
        <v>24.907335907335906</v>
      </c>
      <c r="O289" s="75">
        <v>583.33000000000004</v>
      </c>
      <c r="P289" s="75">
        <v>566.76884057971006</v>
      </c>
      <c r="Q289" s="76">
        <v>0.39364388204667289</v>
      </c>
      <c r="R289" s="76">
        <v>0.389720880913695</v>
      </c>
      <c r="S289" s="31"/>
      <c r="T289" s="31"/>
      <c r="U289" s="76">
        <v>-0.85153679479977529</v>
      </c>
      <c r="V289" s="76">
        <v>-0.89855072463768115</v>
      </c>
      <c r="W289" s="76">
        <v>-0.89558634568447371</v>
      </c>
      <c r="X289" s="76">
        <v>-0.89463199172458274</v>
      </c>
      <c r="Y289" s="76">
        <v>-2.7890107310785783E-2</v>
      </c>
      <c r="Z289" s="76">
        <v>-2.7225130890052185E-2</v>
      </c>
      <c r="AA289" s="76">
        <v>-0.58823529411764708</v>
      </c>
      <c r="AB289" s="76">
        <v>-0.58823529411764708</v>
      </c>
      <c r="AC289" s="76">
        <v>0</v>
      </c>
      <c r="AD289" s="142">
        <v>-0.74673377015727838</v>
      </c>
      <c r="AE289" s="142">
        <v>-0.82282711194919611</v>
      </c>
      <c r="AF289" s="142">
        <v>-0.86039439536525752</v>
      </c>
    </row>
    <row r="290" spans="1:32" x14ac:dyDescent="0.35">
      <c r="A290" t="s">
        <v>87</v>
      </c>
      <c r="B290" t="s">
        <v>587</v>
      </c>
      <c r="C290" s="31">
        <v>40</v>
      </c>
      <c r="D290" s="31">
        <v>460</v>
      </c>
      <c r="E290" s="72">
        <v>58</v>
      </c>
      <c r="F290" s="31">
        <v>692</v>
      </c>
      <c r="G290" s="73">
        <v>1962.65</v>
      </c>
      <c r="H290" s="31">
        <v>28586.980000000021</v>
      </c>
      <c r="I290" s="72">
        <v>30.269999999999985</v>
      </c>
      <c r="J290" s="72">
        <v>5527.6399999998794</v>
      </c>
      <c r="K290" s="31">
        <v>1112.5714285714287</v>
      </c>
      <c r="L290" s="31">
        <v>12488.571428571429</v>
      </c>
      <c r="M290" s="74">
        <v>19.182266009852217</v>
      </c>
      <c r="N290" s="74">
        <v>18.300183411453027</v>
      </c>
      <c r="O290" s="75">
        <v>33.838793103448275</v>
      </c>
      <c r="P290" s="75">
        <v>41.310664739884423</v>
      </c>
      <c r="Q290" s="76">
        <v>1.5423024991720369E-2</v>
      </c>
      <c r="R290" s="76">
        <v>0.19085915693317818</v>
      </c>
      <c r="S290" s="31"/>
      <c r="T290" s="31"/>
      <c r="U290" s="76">
        <v>-0.91269732326698694</v>
      </c>
      <c r="V290" s="76">
        <v>-0.91618497109826591</v>
      </c>
      <c r="W290" s="76">
        <v>-0.93134461912381095</v>
      </c>
      <c r="X290" s="76">
        <v>-0.99444954809749853</v>
      </c>
      <c r="Y290" s="76">
        <v>-4.4330925365548723E-2</v>
      </c>
      <c r="Z290" s="76">
        <v>-4.4417177914110262E-2</v>
      </c>
      <c r="AA290" s="76">
        <v>5.4545454545454453E-2</v>
      </c>
      <c r="AB290" s="76">
        <v>5.9368691503028037E-2</v>
      </c>
      <c r="AC290" s="76">
        <v>4.5737591839059011E-3</v>
      </c>
      <c r="AD290" s="142"/>
      <c r="AE290" s="142"/>
      <c r="AF290" s="142"/>
    </row>
    <row r="291" spans="1:32" x14ac:dyDescent="0.35">
      <c r="A291" t="s">
        <v>87</v>
      </c>
      <c r="B291" t="s">
        <v>596</v>
      </c>
      <c r="C291" s="31">
        <v>15</v>
      </c>
      <c r="D291" s="31">
        <v>88</v>
      </c>
      <c r="E291" s="72">
        <v>50</v>
      </c>
      <c r="F291" s="31">
        <v>204</v>
      </c>
      <c r="G291" s="73">
        <v>1666.17</v>
      </c>
      <c r="H291" s="31">
        <v>3289.4900000000007</v>
      </c>
      <c r="I291" s="72">
        <v>1188.05</v>
      </c>
      <c r="J291" s="72">
        <v>1354.940000000003</v>
      </c>
      <c r="K291" s="31">
        <v>1726.2857142857142</v>
      </c>
      <c r="L291" s="31">
        <v>8729</v>
      </c>
      <c r="M291" s="74">
        <v>34.525714285714287</v>
      </c>
      <c r="N291" s="74">
        <v>43.26202090592335</v>
      </c>
      <c r="O291" s="75">
        <v>33.323399999999999</v>
      </c>
      <c r="P291" s="75">
        <v>16.12495098039216</v>
      </c>
      <c r="Q291" s="76">
        <v>0.71304248666102488</v>
      </c>
      <c r="R291" s="76">
        <v>0.41023731235731969</v>
      </c>
      <c r="S291" s="31">
        <v>1343</v>
      </c>
      <c r="T291" s="31"/>
      <c r="U291" s="76">
        <v>-0.81025481563916668</v>
      </c>
      <c r="V291" s="76">
        <v>-0.8529411764705882</v>
      </c>
      <c r="W291" s="76">
        <v>-0.69609574736509316</v>
      </c>
      <c r="X291" s="76">
        <v>-0.46983039791259062</v>
      </c>
      <c r="Y291" s="76">
        <v>-5.0630374850653026E-2</v>
      </c>
      <c r="Z291" s="76">
        <v>-4.9925308593442908E-2</v>
      </c>
      <c r="AA291" s="76">
        <v>0.85185185185185186</v>
      </c>
      <c r="AB291" s="76">
        <v>0.85191730576858959</v>
      </c>
      <c r="AC291" s="76">
        <v>3.5345115038332153E-5</v>
      </c>
      <c r="AD291" s="142"/>
      <c r="AE291" s="142"/>
      <c r="AF291" s="142"/>
    </row>
    <row r="292" spans="1:32" x14ac:dyDescent="0.35">
      <c r="A292" t="s">
        <v>87</v>
      </c>
      <c r="B292" t="s">
        <v>593</v>
      </c>
      <c r="C292" s="31">
        <v>12</v>
      </c>
      <c r="D292" s="31">
        <v>91</v>
      </c>
      <c r="E292" s="72">
        <v>15</v>
      </c>
      <c r="F292" s="31">
        <v>132</v>
      </c>
      <c r="G292" s="73">
        <v>1431.5800000000002</v>
      </c>
      <c r="H292" s="31">
        <v>7276.1899999999969</v>
      </c>
      <c r="I292" s="72">
        <v>747.01</v>
      </c>
      <c r="J292" s="72">
        <v>3484.7599999999952</v>
      </c>
      <c r="K292" s="31">
        <v>571</v>
      </c>
      <c r="L292" s="31">
        <v>4262.1428571428569</v>
      </c>
      <c r="M292" s="74">
        <v>38.06666666666667</v>
      </c>
      <c r="N292" s="74">
        <v>32.818474758324385</v>
      </c>
      <c r="O292" s="75">
        <v>95.438666666666677</v>
      </c>
      <c r="P292" s="75">
        <v>55.122651515151489</v>
      </c>
      <c r="Q292" s="76">
        <v>0.52180807219994685</v>
      </c>
      <c r="R292" s="76">
        <v>0.47484769080040123</v>
      </c>
      <c r="S292" s="31">
        <v>1338</v>
      </c>
      <c r="T292" s="31"/>
      <c r="U292" s="76">
        <v>-0.87638679403385289</v>
      </c>
      <c r="V292" s="76">
        <v>-0.88636363636363635</v>
      </c>
      <c r="W292" s="76">
        <v>-0.80325142691436024</v>
      </c>
      <c r="X292" s="76">
        <v>-0.78361397481613193</v>
      </c>
      <c r="Y292" s="76">
        <v>-4.9362317617117291E-2</v>
      </c>
      <c r="Z292" s="76">
        <v>-4.7653085537288531E-2</v>
      </c>
      <c r="AA292" s="76">
        <v>0.36363636363636354</v>
      </c>
      <c r="AB292" s="76">
        <v>0.28207700092243515</v>
      </c>
      <c r="AC292" s="76">
        <v>-5.9810199323547586E-2</v>
      </c>
      <c r="AD292" s="142"/>
      <c r="AE292" s="142"/>
      <c r="AF292" s="142"/>
    </row>
    <row r="293" spans="1:32" x14ac:dyDescent="0.35">
      <c r="A293" t="s">
        <v>87</v>
      </c>
      <c r="B293" t="s">
        <v>597</v>
      </c>
      <c r="C293" s="31">
        <v>5</v>
      </c>
      <c r="D293" s="31">
        <v>7</v>
      </c>
      <c r="E293" s="72">
        <v>7</v>
      </c>
      <c r="F293" s="31">
        <v>7</v>
      </c>
      <c r="G293" s="73">
        <v>583.29</v>
      </c>
      <c r="H293" s="31">
        <v>2333.33</v>
      </c>
      <c r="I293" s="72">
        <v>-567.57999999999993</v>
      </c>
      <c r="J293" s="72">
        <v>1398.3200000000002</v>
      </c>
      <c r="K293" s="31">
        <v>31.714285714285715</v>
      </c>
      <c r="L293" s="31">
        <v>216.85714285714286</v>
      </c>
      <c r="M293" s="74">
        <v>4.5306122448979593</v>
      </c>
      <c r="N293" s="74">
        <v>25.015873015873016</v>
      </c>
      <c r="O293" s="75">
        <v>83.327142857142846</v>
      </c>
      <c r="P293" s="75">
        <v>333.33285714285711</v>
      </c>
      <c r="Q293" s="76">
        <v>-0.97306657065953461</v>
      </c>
      <c r="R293" s="76">
        <v>0.43247188648200613</v>
      </c>
      <c r="S293" s="31">
        <v>237</v>
      </c>
      <c r="T293" s="31"/>
      <c r="U293" s="76">
        <v>-0.86297760210803687</v>
      </c>
      <c r="V293" s="76">
        <v>0</v>
      </c>
      <c r="W293" s="76">
        <v>-0.75001821431173477</v>
      </c>
      <c r="X293" s="76">
        <v>-1.6113989637305699</v>
      </c>
      <c r="Y293" s="76">
        <v>-0.12549003528140668</v>
      </c>
      <c r="Z293" s="76">
        <v>-0.11904761904761907</v>
      </c>
      <c r="AA293" s="76">
        <v>6</v>
      </c>
      <c r="AB293" s="76">
        <v>5.9997599903996157</v>
      </c>
      <c r="AC293" s="76">
        <v>-3.4287085769246772E-5</v>
      </c>
      <c r="AD293" s="142"/>
      <c r="AE293" s="142"/>
      <c r="AF293" s="142"/>
    </row>
    <row r="294" spans="1:32" x14ac:dyDescent="0.35">
      <c r="A294" t="s">
        <v>87</v>
      </c>
      <c r="B294" t="s">
        <v>589</v>
      </c>
      <c r="C294" s="31">
        <v>4</v>
      </c>
      <c r="D294" s="31">
        <v>100</v>
      </c>
      <c r="E294" s="72">
        <v>6</v>
      </c>
      <c r="F294" s="31">
        <v>118</v>
      </c>
      <c r="G294" s="73">
        <v>399.96</v>
      </c>
      <c r="H294" s="31">
        <v>14442.209999999979</v>
      </c>
      <c r="I294" s="72">
        <v>43.93</v>
      </c>
      <c r="J294" s="72">
        <v>8156.4399999999778</v>
      </c>
      <c r="K294" s="31">
        <v>187.57142857142858</v>
      </c>
      <c r="L294" s="31">
        <v>3335.1428571428573</v>
      </c>
      <c r="M294" s="74">
        <v>31.261904761904763</v>
      </c>
      <c r="N294" s="74">
        <v>29.008264462809919</v>
      </c>
      <c r="O294" s="75">
        <v>66.66</v>
      </c>
      <c r="P294" s="75">
        <v>122.39161016949134</v>
      </c>
      <c r="Q294" s="76">
        <v>0.10983598359835985</v>
      </c>
      <c r="R294" s="76">
        <v>0.55047218868380332</v>
      </c>
      <c r="S294" s="31">
        <v>154.71428571428572</v>
      </c>
      <c r="T294" s="31"/>
      <c r="U294" s="76">
        <v>-0.94230274993574914</v>
      </c>
      <c r="V294" s="76">
        <v>-0.94915254237288138</v>
      </c>
      <c r="W294" s="76">
        <v>-0.97230617751715276</v>
      </c>
      <c r="X294" s="76">
        <v>-0.99447899870426759</v>
      </c>
      <c r="Y294" s="76">
        <v>-7.4063604482167977E-2</v>
      </c>
      <c r="Z294" s="76">
        <v>-8.5654596100278479E-2</v>
      </c>
      <c r="AA294" s="76">
        <v>0.5</v>
      </c>
      <c r="AB294" s="76">
        <v>0.5</v>
      </c>
      <c r="AC294" s="76">
        <v>0</v>
      </c>
      <c r="AD294" s="142"/>
      <c r="AE294" s="142"/>
      <c r="AF294" s="142"/>
    </row>
    <row r="295" spans="1:32" x14ac:dyDescent="0.35">
      <c r="A295" t="s">
        <v>87</v>
      </c>
      <c r="B295" t="s">
        <v>594</v>
      </c>
      <c r="C295" s="31">
        <v>4</v>
      </c>
      <c r="D295" s="31">
        <v>107</v>
      </c>
      <c r="E295" s="72">
        <v>11</v>
      </c>
      <c r="F295" s="31">
        <v>124</v>
      </c>
      <c r="G295" s="73">
        <v>323.93</v>
      </c>
      <c r="H295" s="31">
        <v>8387.1599999999926</v>
      </c>
      <c r="I295" s="72">
        <v>-54.510000000000005</v>
      </c>
      <c r="J295" s="72">
        <v>4655.8999999999915</v>
      </c>
      <c r="K295" s="31">
        <v>92.857142857142861</v>
      </c>
      <c r="L295" s="31">
        <v>4783.4285714285716</v>
      </c>
      <c r="M295" s="74">
        <v>8.4415584415584419</v>
      </c>
      <c r="N295" s="74">
        <v>38.498901098901101</v>
      </c>
      <c r="O295" s="75">
        <v>29.448181818181819</v>
      </c>
      <c r="P295" s="75">
        <v>67.638387096774139</v>
      </c>
      <c r="Q295" s="76">
        <v>-0.16827709690365203</v>
      </c>
      <c r="R295" s="76">
        <v>0.52631102982154054</v>
      </c>
      <c r="S295" s="31">
        <v>577</v>
      </c>
      <c r="T295" s="31"/>
      <c r="U295" s="76">
        <v>-0.98121490861306893</v>
      </c>
      <c r="V295" s="76">
        <v>-0.91129032258064513</v>
      </c>
      <c r="W295" s="76">
        <v>-0.96137786807453296</v>
      </c>
      <c r="X295" s="76">
        <v>-1.0124047343256817</v>
      </c>
      <c r="Y295" s="76">
        <v>-5.9317539319499124E-2</v>
      </c>
      <c r="Z295" s="76">
        <v>-4.8316251830160972E-2</v>
      </c>
      <c r="AA295" s="76">
        <v>2.6666666666666665</v>
      </c>
      <c r="AB295" s="76">
        <v>2.2405962384953981</v>
      </c>
      <c r="AC295" s="76">
        <v>-0.11620102586489134</v>
      </c>
      <c r="AD295" s="142"/>
      <c r="AE295" s="142"/>
      <c r="AF295" s="142"/>
    </row>
    <row r="296" spans="1:32" x14ac:dyDescent="0.35">
      <c r="A296" t="s">
        <v>87</v>
      </c>
      <c r="B296" t="s">
        <v>599</v>
      </c>
      <c r="C296" s="31">
        <v>6</v>
      </c>
      <c r="D296" s="31">
        <v>38</v>
      </c>
      <c r="E296" s="72">
        <v>6</v>
      </c>
      <c r="F296" s="31">
        <v>61</v>
      </c>
      <c r="G296" s="73">
        <v>218.1</v>
      </c>
      <c r="H296" s="31">
        <v>2942.9299999999994</v>
      </c>
      <c r="I296" s="72">
        <v>85.15</v>
      </c>
      <c r="J296" s="72">
        <v>1666.0499999999995</v>
      </c>
      <c r="K296" s="31">
        <v>90.285714285714292</v>
      </c>
      <c r="L296" s="31">
        <v>3145.4285714285716</v>
      </c>
      <c r="M296" s="74">
        <v>15.047619047619049</v>
      </c>
      <c r="N296" s="74">
        <v>52.698156682027651</v>
      </c>
      <c r="O296" s="75">
        <v>36.35</v>
      </c>
      <c r="P296" s="75">
        <v>48.244754098360644</v>
      </c>
      <c r="Q296" s="76">
        <v>0.39041723979825771</v>
      </c>
      <c r="R296" s="76">
        <v>0.55750941981943392</v>
      </c>
      <c r="S296" s="31">
        <v>-9</v>
      </c>
      <c r="T296" s="31"/>
      <c r="U296" s="76">
        <v>-0.97129621219002638</v>
      </c>
      <c r="V296" s="76">
        <v>-0.90163934426229508</v>
      </c>
      <c r="W296" s="76">
        <v>-0.92589018427213698</v>
      </c>
      <c r="X296" s="76">
        <v>-0.94819708832959182</v>
      </c>
      <c r="Y296" s="76">
        <v>-5.8264866434558749E-2</v>
      </c>
      <c r="Z296" s="76">
        <v>-5.5306427503736821E-2</v>
      </c>
      <c r="AA296" s="76">
        <v>0.5</v>
      </c>
      <c r="AB296" s="76">
        <v>0.5</v>
      </c>
      <c r="AC296" s="76">
        <v>0</v>
      </c>
      <c r="AD296" s="142"/>
      <c r="AE296" s="142"/>
      <c r="AF296" s="142"/>
    </row>
    <row r="297" spans="1:32" x14ac:dyDescent="0.35">
      <c r="A297" t="s">
        <v>87</v>
      </c>
      <c r="B297" t="s">
        <v>588</v>
      </c>
      <c r="C297" s="31">
        <v>3</v>
      </c>
      <c r="D297" s="31">
        <v>109</v>
      </c>
      <c r="E297" s="72">
        <v>3</v>
      </c>
      <c r="F297" s="31">
        <v>128</v>
      </c>
      <c r="G297" s="73">
        <v>189.98</v>
      </c>
      <c r="H297" s="31">
        <v>15785.60999999997</v>
      </c>
      <c r="I297" s="72">
        <v>34.230000000000004</v>
      </c>
      <c r="J297" s="72">
        <v>8795.0499999999683</v>
      </c>
      <c r="K297" s="31">
        <v>134.85714285714286</v>
      </c>
      <c r="L297" s="31">
        <v>2005.8571428571429</v>
      </c>
      <c r="M297" s="74">
        <v>44.952380952380956</v>
      </c>
      <c r="N297" s="74">
        <v>16.351731601731604</v>
      </c>
      <c r="O297" s="75">
        <v>63.326666666666661</v>
      </c>
      <c r="P297" s="75">
        <v>123.32507812499976</v>
      </c>
      <c r="Q297" s="76">
        <v>0.18017686072218131</v>
      </c>
      <c r="R297" s="76">
        <v>0.54005237772135328</v>
      </c>
      <c r="S297" s="31">
        <v>169.85714285714286</v>
      </c>
      <c r="T297" s="31"/>
      <c r="U297" s="76">
        <v>-0.93319564133608712</v>
      </c>
      <c r="V297" s="76">
        <v>-0.9765625</v>
      </c>
      <c r="W297" s="76">
        <v>-0.98796498836598645</v>
      </c>
      <c r="X297" s="76">
        <v>-0.99597855227882037</v>
      </c>
      <c r="Y297" s="76">
        <v>-1.6036825255682952E-2</v>
      </c>
      <c r="Z297" s="76">
        <v>-1.7689906347554518E-2</v>
      </c>
      <c r="AA297" s="76"/>
      <c r="AB297" s="76"/>
      <c r="AC297" s="76"/>
      <c r="AD297" s="142">
        <v>-0.9833011230551375</v>
      </c>
      <c r="AE297" s="142">
        <v>-0.9935566060569111</v>
      </c>
      <c r="AF297" s="142">
        <v>-0.99765811915277669</v>
      </c>
    </row>
    <row r="298" spans="1:32" x14ac:dyDescent="0.35">
      <c r="A298" t="s">
        <v>87</v>
      </c>
      <c r="B298" t="s">
        <v>598</v>
      </c>
      <c r="C298" s="31">
        <v>1</v>
      </c>
      <c r="D298" s="31">
        <v>17</v>
      </c>
      <c r="E298" s="72">
        <v>1</v>
      </c>
      <c r="F298" s="31">
        <v>21</v>
      </c>
      <c r="G298" s="73">
        <v>33.32</v>
      </c>
      <c r="H298" s="31">
        <v>1570.7800000000002</v>
      </c>
      <c r="I298" s="72">
        <v>5.92</v>
      </c>
      <c r="J298" s="72">
        <v>1042.0500000000002</v>
      </c>
      <c r="K298" s="31">
        <v>448.85714285714283</v>
      </c>
      <c r="L298" s="31">
        <v>2841.2857142857142</v>
      </c>
      <c r="M298" s="74">
        <v>448.85714285714283</v>
      </c>
      <c r="N298" s="74">
        <v>139.16326530612247</v>
      </c>
      <c r="O298" s="75">
        <v>33.32</v>
      </c>
      <c r="P298" s="75">
        <v>74.799047619047627</v>
      </c>
      <c r="Q298" s="76">
        <v>0.17767106842737093</v>
      </c>
      <c r="R298" s="76">
        <v>0.66339652911292479</v>
      </c>
      <c r="S298" s="31">
        <v>24</v>
      </c>
      <c r="T298" s="31"/>
      <c r="U298" s="76">
        <v>-0.84519080898989385</v>
      </c>
      <c r="V298" s="76">
        <v>-0.95238095238095233</v>
      </c>
      <c r="W298" s="76">
        <v>-0.97878760870395598</v>
      </c>
      <c r="X298" s="76">
        <v>-0.99431889064824142</v>
      </c>
      <c r="Y298" s="76">
        <v>-5.088868098547461E-2</v>
      </c>
      <c r="Z298" s="76">
        <v>-4.5565006075334202E-2</v>
      </c>
      <c r="AA298" s="76">
        <v>-0.8</v>
      </c>
      <c r="AB298" s="76">
        <v>-0.80001200408138762</v>
      </c>
      <c r="AC298" s="76">
        <v>-6.0020406938421367E-5</v>
      </c>
      <c r="AD298" s="142"/>
      <c r="AE298" s="142"/>
      <c r="AF298" s="142"/>
    </row>
    <row r="299" spans="1:32" x14ac:dyDescent="0.35">
      <c r="A299" t="s">
        <v>87</v>
      </c>
      <c r="B299" t="s">
        <v>600</v>
      </c>
      <c r="C299" s="31"/>
      <c r="D299" s="31"/>
      <c r="E299" s="72"/>
      <c r="F299" s="31"/>
      <c r="G299" s="73"/>
      <c r="H299" s="31"/>
      <c r="I299" s="72"/>
      <c r="J299" s="72"/>
      <c r="K299" s="31">
        <v>2</v>
      </c>
      <c r="L299" s="31">
        <v>16.857142857142858</v>
      </c>
      <c r="M299" s="74"/>
      <c r="N299" s="74"/>
      <c r="O299" s="75"/>
      <c r="P299" s="75"/>
      <c r="Q299" s="76"/>
      <c r="R299" s="76"/>
      <c r="S299" s="31">
        <v>935</v>
      </c>
      <c r="T299" s="31"/>
      <c r="U299" s="76">
        <v>-0.88135593220338981</v>
      </c>
      <c r="V299" s="76"/>
      <c r="W299" s="76"/>
      <c r="X299" s="76"/>
      <c r="Y299" s="76">
        <v>-0.57426597081839403</v>
      </c>
      <c r="Z299" s="76">
        <v>-0.44000000000000006</v>
      </c>
      <c r="AA299" s="76"/>
      <c r="AB299" s="76"/>
      <c r="AC299" s="76"/>
      <c r="AD299" s="142"/>
      <c r="AE299" s="142"/>
      <c r="AF299" s="142"/>
    </row>
    <row r="300" spans="1:32" x14ac:dyDescent="0.35">
      <c r="A300" t="s">
        <v>87</v>
      </c>
      <c r="B300" t="s">
        <v>774</v>
      </c>
      <c r="C300" s="31"/>
      <c r="D300" s="31"/>
      <c r="E300" s="72"/>
      <c r="F300" s="31"/>
      <c r="G300" s="73"/>
      <c r="H300" s="31"/>
      <c r="I300" s="72"/>
      <c r="J300" s="72"/>
      <c r="K300" s="31">
        <v>-1</v>
      </c>
      <c r="L300" s="31"/>
      <c r="M300" s="74"/>
      <c r="N300" s="74"/>
      <c r="O300" s="75"/>
      <c r="P300" s="75"/>
      <c r="Q300" s="76"/>
      <c r="R300" s="76"/>
      <c r="S300" s="31"/>
      <c r="T300" s="31"/>
      <c r="U300" s="76"/>
      <c r="V300" s="76"/>
      <c r="W300" s="76"/>
      <c r="X300" s="76"/>
      <c r="Y300" s="76">
        <v>0</v>
      </c>
      <c r="Z300" s="76">
        <v>0</v>
      </c>
      <c r="AA300" s="76"/>
      <c r="AB300" s="76"/>
      <c r="AC300" s="76"/>
      <c r="AD300" s="142"/>
      <c r="AE300" s="142"/>
      <c r="AF300" s="142"/>
    </row>
    <row r="301" spans="1:32" x14ac:dyDescent="0.35">
      <c r="A301" t="s">
        <v>87</v>
      </c>
      <c r="B301" t="s">
        <v>602</v>
      </c>
      <c r="C301" s="31"/>
      <c r="D301" s="31"/>
      <c r="E301" s="72"/>
      <c r="F301" s="31"/>
      <c r="G301" s="73"/>
      <c r="H301" s="31"/>
      <c r="I301" s="72"/>
      <c r="J301" s="72"/>
      <c r="K301" s="31"/>
      <c r="L301" s="31"/>
      <c r="M301" s="74"/>
      <c r="N301" s="74"/>
      <c r="O301" s="75"/>
      <c r="P301" s="75"/>
      <c r="Q301" s="76"/>
      <c r="R301" s="76"/>
      <c r="S301" s="31">
        <v>18</v>
      </c>
      <c r="T301" s="31"/>
      <c r="U301" s="76"/>
      <c r="V301" s="76"/>
      <c r="W301" s="76"/>
      <c r="X301" s="76"/>
      <c r="Y301" s="76"/>
      <c r="Z301" s="76"/>
      <c r="AA301" s="76"/>
      <c r="AB301" s="76"/>
      <c r="AC301" s="76"/>
      <c r="AD301" s="142"/>
      <c r="AE301" s="142"/>
      <c r="AF301" s="142"/>
    </row>
    <row r="302" spans="1:32" x14ac:dyDescent="0.35">
      <c r="A302" t="s">
        <v>87</v>
      </c>
      <c r="B302" t="s">
        <v>772</v>
      </c>
      <c r="C302" s="31"/>
      <c r="D302" s="31"/>
      <c r="E302" s="72"/>
      <c r="F302" s="31"/>
      <c r="G302" s="73"/>
      <c r="H302" s="31"/>
      <c r="I302" s="72"/>
      <c r="J302" s="72"/>
      <c r="K302" s="31">
        <v>-1</v>
      </c>
      <c r="L302" s="31"/>
      <c r="M302" s="74"/>
      <c r="N302" s="74"/>
      <c r="O302" s="75"/>
      <c r="P302" s="75"/>
      <c r="Q302" s="76"/>
      <c r="R302" s="76"/>
      <c r="S302" s="31"/>
      <c r="T302" s="31"/>
      <c r="U302" s="76"/>
      <c r="V302" s="76"/>
      <c r="W302" s="76"/>
      <c r="X302" s="76"/>
      <c r="Y302" s="76">
        <v>0</v>
      </c>
      <c r="Z302" s="76">
        <v>0</v>
      </c>
      <c r="AA302" s="76"/>
      <c r="AB302" s="76"/>
      <c r="AC302" s="76"/>
      <c r="AD302" s="142"/>
      <c r="AE302" s="142"/>
      <c r="AF302" s="142"/>
    </row>
    <row r="303" spans="1:32" x14ac:dyDescent="0.35">
      <c r="A303" t="s">
        <v>87</v>
      </c>
      <c r="B303" t="s">
        <v>775</v>
      </c>
      <c r="C303" s="31"/>
      <c r="D303" s="31"/>
      <c r="E303" s="72"/>
      <c r="F303" s="31"/>
      <c r="G303" s="73"/>
      <c r="H303" s="31"/>
      <c r="I303" s="72"/>
      <c r="J303" s="72"/>
      <c r="K303" s="31">
        <v>-1</v>
      </c>
      <c r="L303" s="31"/>
      <c r="M303" s="74"/>
      <c r="N303" s="74"/>
      <c r="O303" s="75"/>
      <c r="P303" s="75"/>
      <c r="Q303" s="76"/>
      <c r="R303" s="76"/>
      <c r="S303" s="31"/>
      <c r="T303" s="31"/>
      <c r="U303" s="76"/>
      <c r="V303" s="76"/>
      <c r="W303" s="76"/>
      <c r="X303" s="76"/>
      <c r="Y303" s="76">
        <v>0</v>
      </c>
      <c r="Z303" s="76">
        <v>0</v>
      </c>
      <c r="AA303" s="76"/>
      <c r="AB303" s="76"/>
      <c r="AC303" s="76"/>
      <c r="AD303" s="142"/>
      <c r="AE303" s="142"/>
      <c r="AF303" s="142"/>
    </row>
    <row r="304" spans="1:32" x14ac:dyDescent="0.35">
      <c r="A304" t="s">
        <v>87</v>
      </c>
      <c r="B304" t="s">
        <v>609</v>
      </c>
      <c r="C304" s="31"/>
      <c r="D304" s="31"/>
      <c r="E304" s="72"/>
      <c r="F304" s="31"/>
      <c r="G304" s="73"/>
      <c r="H304" s="31"/>
      <c r="I304" s="72"/>
      <c r="J304" s="72"/>
      <c r="K304" s="31">
        <v>-112</v>
      </c>
      <c r="L304" s="31"/>
      <c r="M304" s="74"/>
      <c r="N304" s="74"/>
      <c r="O304" s="75"/>
      <c r="P304" s="75"/>
      <c r="Q304" s="76"/>
      <c r="R304" s="76"/>
      <c r="S304" s="31"/>
      <c r="T304" s="31"/>
      <c r="U304" s="76"/>
      <c r="V304" s="76"/>
      <c r="W304" s="76"/>
      <c r="X304" s="76"/>
      <c r="Y304" s="76">
        <v>0</v>
      </c>
      <c r="Z304" s="76">
        <v>0</v>
      </c>
      <c r="AA304" s="76"/>
      <c r="AB304" s="76"/>
      <c r="AC304" s="76"/>
      <c r="AD304" s="142"/>
      <c r="AE304" s="142"/>
      <c r="AF304" s="142"/>
    </row>
    <row r="305" spans="1:32" x14ac:dyDescent="0.35">
      <c r="A305" t="s">
        <v>87</v>
      </c>
      <c r="B305" t="s">
        <v>607</v>
      </c>
      <c r="C305" s="31"/>
      <c r="D305" s="31"/>
      <c r="E305" s="72"/>
      <c r="F305" s="31"/>
      <c r="G305" s="73"/>
      <c r="H305" s="31"/>
      <c r="I305" s="72"/>
      <c r="J305" s="72"/>
      <c r="K305" s="31">
        <v>1</v>
      </c>
      <c r="L305" s="31">
        <v>2</v>
      </c>
      <c r="M305" s="74"/>
      <c r="N305" s="74"/>
      <c r="O305" s="75"/>
      <c r="P305" s="75"/>
      <c r="Q305" s="76"/>
      <c r="R305" s="76"/>
      <c r="S305" s="31"/>
      <c r="T305" s="31"/>
      <c r="U305" s="76">
        <v>-0.5</v>
      </c>
      <c r="V305" s="76"/>
      <c r="W305" s="76"/>
      <c r="X305" s="76"/>
      <c r="Y305" s="76">
        <v>0</v>
      </c>
      <c r="Z305" s="76">
        <v>0</v>
      </c>
      <c r="AA305" s="76"/>
      <c r="AB305" s="76"/>
      <c r="AC305" s="76"/>
      <c r="AD305" s="142"/>
      <c r="AE305" s="142"/>
      <c r="AF305" s="142"/>
    </row>
    <row r="306" spans="1:32" x14ac:dyDescent="0.35">
      <c r="A306" t="s">
        <v>87</v>
      </c>
      <c r="B306" t="s">
        <v>773</v>
      </c>
      <c r="C306" s="31"/>
      <c r="D306" s="31"/>
      <c r="E306" s="72"/>
      <c r="F306" s="31"/>
      <c r="G306" s="73"/>
      <c r="H306" s="31"/>
      <c r="I306" s="72"/>
      <c r="J306" s="72"/>
      <c r="K306" s="31">
        <v>-2</v>
      </c>
      <c r="L306" s="31"/>
      <c r="M306" s="74"/>
      <c r="N306" s="74"/>
      <c r="O306" s="75"/>
      <c r="P306" s="75"/>
      <c r="Q306" s="76"/>
      <c r="R306" s="76"/>
      <c r="S306" s="31"/>
      <c r="T306" s="31"/>
      <c r="U306" s="76"/>
      <c r="V306" s="76"/>
      <c r="W306" s="76"/>
      <c r="X306" s="76"/>
      <c r="Y306" s="76">
        <v>0</v>
      </c>
      <c r="Z306" s="76">
        <v>0</v>
      </c>
      <c r="AA306" s="76"/>
      <c r="AB306" s="76"/>
      <c r="AC306" s="76"/>
      <c r="AD306" s="142"/>
      <c r="AE306" s="142"/>
      <c r="AF306" s="142"/>
    </row>
    <row r="307" spans="1:32" x14ac:dyDescent="0.35">
      <c r="A307" t="s">
        <v>87</v>
      </c>
      <c r="B307" t="s">
        <v>606</v>
      </c>
      <c r="C307" s="31"/>
      <c r="D307" s="31"/>
      <c r="E307" s="72"/>
      <c r="F307" s="31"/>
      <c r="G307" s="73"/>
      <c r="H307" s="31"/>
      <c r="I307" s="72"/>
      <c r="J307" s="72"/>
      <c r="K307" s="31"/>
      <c r="L307" s="31"/>
      <c r="M307" s="74"/>
      <c r="N307" s="74"/>
      <c r="O307" s="75"/>
      <c r="P307" s="75"/>
      <c r="Q307" s="76"/>
      <c r="R307" s="76"/>
      <c r="S307" s="31">
        <v>73</v>
      </c>
      <c r="T307" s="31"/>
      <c r="U307" s="76"/>
      <c r="V307" s="76"/>
      <c r="W307" s="76"/>
      <c r="X307" s="76"/>
      <c r="Y307" s="76"/>
      <c r="Z307" s="76"/>
      <c r="AA307" s="76"/>
      <c r="AB307" s="76"/>
      <c r="AC307" s="76"/>
      <c r="AD307" s="142"/>
      <c r="AE307" s="142"/>
      <c r="AF307" s="142"/>
    </row>
    <row r="308" spans="1:32" x14ac:dyDescent="0.35">
      <c r="A308" t="s">
        <v>87</v>
      </c>
      <c r="B308" t="s">
        <v>603</v>
      </c>
      <c r="C308" s="31"/>
      <c r="D308" s="31"/>
      <c r="E308" s="72"/>
      <c r="F308" s="31"/>
      <c r="G308" s="73"/>
      <c r="H308" s="31"/>
      <c r="I308" s="72"/>
      <c r="J308" s="72"/>
      <c r="K308" s="31">
        <v>16</v>
      </c>
      <c r="L308" s="31">
        <v>30</v>
      </c>
      <c r="M308" s="74"/>
      <c r="N308" s="74"/>
      <c r="O308" s="75"/>
      <c r="P308" s="75"/>
      <c r="Q308" s="76"/>
      <c r="R308" s="76"/>
      <c r="S308" s="31"/>
      <c r="T308" s="31"/>
      <c r="U308" s="76">
        <v>-0.46666666666666667</v>
      </c>
      <c r="V308" s="76"/>
      <c r="W308" s="76"/>
      <c r="X308" s="76"/>
      <c r="Y308" s="76">
        <v>-0.13565514653016741</v>
      </c>
      <c r="Z308" s="76">
        <v>-6.6666666666666652E-2</v>
      </c>
      <c r="AA308" s="76"/>
      <c r="AB308" s="76"/>
      <c r="AC308" s="76"/>
      <c r="AD308" s="142"/>
      <c r="AE308" s="142"/>
      <c r="AF308" s="142"/>
    </row>
    <row r="309" spans="1:32" x14ac:dyDescent="0.35">
      <c r="A309" t="s">
        <v>87</v>
      </c>
      <c r="B309" t="s">
        <v>610</v>
      </c>
      <c r="C309" s="31"/>
      <c r="D309" s="31"/>
      <c r="E309" s="72"/>
      <c r="F309" s="31"/>
      <c r="G309" s="73"/>
      <c r="H309" s="31"/>
      <c r="I309" s="72"/>
      <c r="J309" s="72"/>
      <c r="K309" s="31"/>
      <c r="L309" s="31"/>
      <c r="M309" s="74"/>
      <c r="N309" s="74"/>
      <c r="O309" s="75"/>
      <c r="P309" s="75"/>
      <c r="Q309" s="76"/>
      <c r="R309" s="76"/>
      <c r="S309" s="31">
        <v>27</v>
      </c>
      <c r="T309" s="31"/>
      <c r="U309" s="76"/>
      <c r="V309" s="76"/>
      <c r="W309" s="76"/>
      <c r="X309" s="76"/>
      <c r="Y309" s="76"/>
      <c r="Z309" s="76"/>
      <c r="AA309" s="76"/>
      <c r="AB309" s="76"/>
      <c r="AC309" s="76"/>
      <c r="AD309" s="142"/>
      <c r="AE309" s="142"/>
      <c r="AF309" s="142"/>
    </row>
    <row r="310" spans="1:32" x14ac:dyDescent="0.35">
      <c r="A310" t="s">
        <v>87</v>
      </c>
      <c r="B310" t="s">
        <v>601</v>
      </c>
      <c r="C310" s="31"/>
      <c r="D310" s="31"/>
      <c r="E310" s="72"/>
      <c r="F310" s="31"/>
      <c r="G310" s="73"/>
      <c r="H310" s="31"/>
      <c r="I310" s="72"/>
      <c r="J310" s="72"/>
      <c r="K310" s="31"/>
      <c r="L310" s="31">
        <v>-6</v>
      </c>
      <c r="M310" s="74"/>
      <c r="N310" s="74"/>
      <c r="O310" s="75"/>
      <c r="P310" s="75"/>
      <c r="Q310" s="76"/>
      <c r="R310" s="76"/>
      <c r="S310" s="31">
        <v>3</v>
      </c>
      <c r="T310" s="31"/>
      <c r="U310" s="76"/>
      <c r="V310" s="76"/>
      <c r="W310" s="76"/>
      <c r="X310" s="76"/>
      <c r="Y310" s="76"/>
      <c r="Z310" s="76"/>
      <c r="AA310" s="76"/>
      <c r="AB310" s="76"/>
      <c r="AC310" s="76"/>
      <c r="AD310" s="142"/>
      <c r="AE310" s="142"/>
      <c r="AF310" s="142"/>
    </row>
    <row r="311" spans="1:32" x14ac:dyDescent="0.35">
      <c r="A311" t="s">
        <v>87</v>
      </c>
      <c r="B311" t="s">
        <v>605</v>
      </c>
      <c r="C311" s="31"/>
      <c r="D311" s="31"/>
      <c r="E311" s="72"/>
      <c r="F311" s="31"/>
      <c r="G311" s="73"/>
      <c r="H311" s="31"/>
      <c r="I311" s="72"/>
      <c r="J311" s="72"/>
      <c r="K311" s="31">
        <v>-1</v>
      </c>
      <c r="L311" s="31"/>
      <c r="M311" s="74"/>
      <c r="N311" s="74"/>
      <c r="O311" s="75"/>
      <c r="P311" s="75"/>
      <c r="Q311" s="76"/>
      <c r="R311" s="76"/>
      <c r="S311" s="31"/>
      <c r="T311" s="31"/>
      <c r="U311" s="76"/>
      <c r="V311" s="76"/>
      <c r="W311" s="76"/>
      <c r="X311" s="76"/>
      <c r="Y311" s="76">
        <v>0</v>
      </c>
      <c r="Z311" s="76">
        <v>0</v>
      </c>
      <c r="AA311" s="76"/>
      <c r="AB311" s="76"/>
      <c r="AC311" s="76"/>
      <c r="AD311" s="142"/>
      <c r="AE311" s="142"/>
      <c r="AF311" s="142"/>
    </row>
    <row r="312" spans="1:32" x14ac:dyDescent="0.35">
      <c r="A312" t="s">
        <v>87</v>
      </c>
      <c r="B312" t="s">
        <v>604</v>
      </c>
      <c r="C312" s="31"/>
      <c r="D312" s="31"/>
      <c r="E312" s="72"/>
      <c r="F312" s="31"/>
      <c r="G312" s="73"/>
      <c r="H312" s="31"/>
      <c r="I312" s="72"/>
      <c r="J312" s="72"/>
      <c r="K312" s="31">
        <v>1</v>
      </c>
      <c r="L312" s="31">
        <v>1</v>
      </c>
      <c r="M312" s="74"/>
      <c r="N312" s="74"/>
      <c r="O312" s="75"/>
      <c r="P312" s="75"/>
      <c r="Q312" s="76"/>
      <c r="R312" s="76"/>
      <c r="S312" s="31"/>
      <c r="T312" s="31"/>
      <c r="U312" s="76">
        <v>0</v>
      </c>
      <c r="V312" s="76"/>
      <c r="W312" s="76"/>
      <c r="X312" s="76"/>
      <c r="Y312" s="76">
        <v>0</v>
      </c>
      <c r="Z312" s="76">
        <v>0</v>
      </c>
      <c r="AA312" s="76"/>
      <c r="AB312" s="76"/>
      <c r="AC312" s="76"/>
      <c r="AD312" s="142"/>
      <c r="AE312" s="142"/>
      <c r="AF312" s="142"/>
    </row>
    <row r="313" spans="1:32" x14ac:dyDescent="0.35">
      <c r="A313" t="s">
        <v>87</v>
      </c>
      <c r="B313" t="s">
        <v>611</v>
      </c>
      <c r="C313" s="31"/>
      <c r="D313" s="31"/>
      <c r="E313" s="72"/>
      <c r="F313" s="31"/>
      <c r="G313" s="73"/>
      <c r="H313" s="31"/>
      <c r="I313" s="72"/>
      <c r="J313" s="72"/>
      <c r="K313" s="31">
        <v>1</v>
      </c>
      <c r="L313" s="31"/>
      <c r="M313" s="74"/>
      <c r="N313" s="74"/>
      <c r="O313" s="75"/>
      <c r="P313" s="75"/>
      <c r="Q313" s="76"/>
      <c r="R313" s="76"/>
      <c r="S313" s="31"/>
      <c r="T313" s="31"/>
      <c r="U313" s="76"/>
      <c r="V313" s="76"/>
      <c r="W313" s="76"/>
      <c r="X313" s="76"/>
      <c r="Y313" s="76">
        <v>-0.36363636363636365</v>
      </c>
      <c r="Z313" s="76">
        <v>-0.36363636363636365</v>
      </c>
      <c r="AA313" s="76"/>
      <c r="AB313" s="76"/>
      <c r="AC313" s="76"/>
      <c r="AD313" s="142"/>
      <c r="AE313" s="142"/>
      <c r="AF313" s="142"/>
    </row>
    <row r="314" spans="1:32" x14ac:dyDescent="0.35">
      <c r="A314" s="138" t="s">
        <v>841</v>
      </c>
      <c r="B314" s="138"/>
      <c r="C314" s="127">
        <v>18416</v>
      </c>
      <c r="D314" s="127">
        <v>19153</v>
      </c>
      <c r="E314" s="126">
        <v>40027</v>
      </c>
      <c r="F314" s="127">
        <v>31265</v>
      </c>
      <c r="G314" s="127">
        <v>8728156.5800014846</v>
      </c>
      <c r="H314" s="127">
        <v>5242891.530000099</v>
      </c>
      <c r="I314" s="126">
        <v>5242299.1500002285</v>
      </c>
      <c r="J314" s="126">
        <v>2714950.1100004367</v>
      </c>
      <c r="K314" s="127">
        <v>383974.42857142858</v>
      </c>
      <c r="L314" s="127">
        <v>537779.14285714284</v>
      </c>
      <c r="M314" s="140">
        <v>9.5928855165620348</v>
      </c>
      <c r="N314" s="140">
        <v>17.365789697059046</v>
      </c>
      <c r="O314" s="139">
        <v>218.05672620984546</v>
      </c>
      <c r="P314" s="139">
        <v>167.69203678234763</v>
      </c>
      <c r="Q314" s="141">
        <v>0.60061928334463222</v>
      </c>
      <c r="R314" s="141">
        <v>0.5067587459935784</v>
      </c>
      <c r="S314" s="127">
        <v>118392.71428571429</v>
      </c>
      <c r="T314" s="127"/>
      <c r="U314" s="141">
        <v>-0.31064956564750157</v>
      </c>
      <c r="V314" s="141">
        <v>0.23684631376939058</v>
      </c>
      <c r="W314" s="141">
        <v>0.61378591977137265</v>
      </c>
      <c r="X314" s="141">
        <v>0.91307095495150792</v>
      </c>
      <c r="Y314" s="141">
        <v>-3.1172819671013374E-2</v>
      </c>
      <c r="Z314" s="141">
        <v>-5.4348667415357155E-2</v>
      </c>
      <c r="AA314" s="141">
        <v>5.6009919797382901E-2</v>
      </c>
      <c r="AB314" s="141">
        <v>0.10133710639024773</v>
      </c>
      <c r="AC314" s="141">
        <v>4.2923068943861553E-2</v>
      </c>
      <c r="AD314" s="143">
        <v>1.6203317731777549E-3</v>
      </c>
      <c r="AE314" s="143">
        <v>0.17625689862375607</v>
      </c>
      <c r="AF314" s="143">
        <v>0.45057214331618622</v>
      </c>
    </row>
    <row r="315" spans="1:32" x14ac:dyDescent="0.35">
      <c r="A315" t="s">
        <v>95</v>
      </c>
      <c r="B315" t="s">
        <v>572</v>
      </c>
      <c r="C315" s="31">
        <v>7597</v>
      </c>
      <c r="D315" s="31">
        <v>6192</v>
      </c>
      <c r="E315" s="72">
        <v>13867</v>
      </c>
      <c r="F315" s="31">
        <v>8972</v>
      </c>
      <c r="G315" s="73">
        <v>6030629.4100002469</v>
      </c>
      <c r="H315" s="31">
        <v>3855565.5499999798</v>
      </c>
      <c r="I315" s="72">
        <v>3041959.8199999668</v>
      </c>
      <c r="J315" s="72">
        <v>1951388.1099999731</v>
      </c>
      <c r="K315" s="31">
        <v>125113</v>
      </c>
      <c r="L315" s="31">
        <v>210445.85714285713</v>
      </c>
      <c r="M315" s="74">
        <v>9.0223552318453883</v>
      </c>
      <c r="N315" s="74">
        <v>23.713645169353828</v>
      </c>
      <c r="O315" s="75">
        <v>434.89070527152569</v>
      </c>
      <c r="P315" s="75">
        <v>429.73311970574895</v>
      </c>
      <c r="Q315" s="76">
        <v>0.50441829752557155</v>
      </c>
      <c r="R315" s="76">
        <v>0.4971533225755872</v>
      </c>
      <c r="S315" s="31">
        <v>76225.71428571429</v>
      </c>
      <c r="T315" s="31"/>
      <c r="U315" s="76">
        <v>-0.4278752390333177</v>
      </c>
      <c r="V315" s="76">
        <v>0.48718234507356217</v>
      </c>
      <c r="W315" s="76">
        <v>0.50761230865344587</v>
      </c>
      <c r="X315" s="76">
        <v>0.53160687886774771</v>
      </c>
      <c r="Y315" s="76">
        <v>1.8199194730796009E-2</v>
      </c>
      <c r="Z315" s="76">
        <v>1.6744295121248864E-2</v>
      </c>
      <c r="AA315" s="76">
        <v>-3.4398718752176038E-2</v>
      </c>
      <c r="AB315" s="76">
        <v>4.600766097926634E-2</v>
      </c>
      <c r="AC315" s="76">
        <v>8.3270788153403386E-2</v>
      </c>
      <c r="AD315" s="142">
        <v>-0.1989192694790749</v>
      </c>
      <c r="AE315" s="142">
        <v>-0.13296862708560869</v>
      </c>
      <c r="AF315" s="142">
        <v>-1.9124628078852131E-2</v>
      </c>
    </row>
    <row r="316" spans="1:32" x14ac:dyDescent="0.35">
      <c r="A316" t="s">
        <v>95</v>
      </c>
      <c r="B316" t="s">
        <v>573</v>
      </c>
      <c r="C316" s="31">
        <v>5522</v>
      </c>
      <c r="D316" s="31">
        <v>5455</v>
      </c>
      <c r="E316" s="72">
        <v>10149</v>
      </c>
      <c r="F316" s="31">
        <v>9421</v>
      </c>
      <c r="G316" s="73">
        <v>2319149.2699998817</v>
      </c>
      <c r="H316" s="31">
        <v>1258962.7600000207</v>
      </c>
      <c r="I316" s="72">
        <v>1386528.3599999917</v>
      </c>
      <c r="J316" s="72">
        <v>455049.32000003406</v>
      </c>
      <c r="K316" s="31">
        <v>114008.28571428571</v>
      </c>
      <c r="L316" s="31">
        <v>124269.42857142857</v>
      </c>
      <c r="M316" s="74">
        <v>11.233450163985191</v>
      </c>
      <c r="N316" s="74">
        <v>13.415365145537109</v>
      </c>
      <c r="O316" s="75">
        <v>228.51012612078841</v>
      </c>
      <c r="P316" s="75">
        <v>133.63366521600901</v>
      </c>
      <c r="Q316" s="76">
        <v>0.59786076641805053</v>
      </c>
      <c r="R316" s="76">
        <v>0.35464942308535685</v>
      </c>
      <c r="S316" s="31">
        <v>38022</v>
      </c>
      <c r="T316" s="31"/>
      <c r="U316" s="76">
        <v>-0.11254808101291436</v>
      </c>
      <c r="V316" s="76">
        <v>4.4899692177051254E-2</v>
      </c>
      <c r="W316" s="76">
        <v>0.78548560086069585</v>
      </c>
      <c r="X316" s="76">
        <v>2.0053589677478154</v>
      </c>
      <c r="Y316" s="76">
        <v>-3.4891466531185911E-2</v>
      </c>
      <c r="Z316" s="76">
        <v>-3.3773108155064513E-2</v>
      </c>
      <c r="AA316" s="76">
        <v>-4.6146616541353436E-2</v>
      </c>
      <c r="AB316" s="76">
        <v>-9.2080981032843789E-3</v>
      </c>
      <c r="AC316" s="76">
        <v>3.8725572586565615E-2</v>
      </c>
      <c r="AD316" s="142">
        <v>-0.28804192152834401</v>
      </c>
      <c r="AE316" s="142">
        <v>-0.18960038051091752</v>
      </c>
      <c r="AF316" s="142">
        <v>-3.0157336620690919E-2</v>
      </c>
    </row>
    <row r="317" spans="1:32" x14ac:dyDescent="0.35">
      <c r="A317" t="s">
        <v>95</v>
      </c>
      <c r="B317" t="s">
        <v>574</v>
      </c>
      <c r="C317" s="31">
        <v>330</v>
      </c>
      <c r="D317" s="31">
        <v>847</v>
      </c>
      <c r="E317" s="72">
        <v>406</v>
      </c>
      <c r="F317" s="31">
        <v>1032</v>
      </c>
      <c r="G317" s="73">
        <v>174199.80000000019</v>
      </c>
      <c r="H317" s="31">
        <v>499179.45000000193</v>
      </c>
      <c r="I317" s="72">
        <v>63377.199999999983</v>
      </c>
      <c r="J317" s="72">
        <v>224418.86000000243</v>
      </c>
      <c r="K317" s="31">
        <v>6408.7142857142853</v>
      </c>
      <c r="L317" s="31">
        <v>23723.142857142859</v>
      </c>
      <c r="M317" s="74">
        <v>15.785010555946515</v>
      </c>
      <c r="N317" s="74">
        <v>23.099554836098747</v>
      </c>
      <c r="O317" s="75">
        <v>429.06354679803002</v>
      </c>
      <c r="P317" s="75">
        <v>483.70101744186235</v>
      </c>
      <c r="Q317" s="76">
        <v>0.36381901701379632</v>
      </c>
      <c r="R317" s="76">
        <v>0.43995290625442757</v>
      </c>
      <c r="S317" s="31">
        <v>1009.5714285714286</v>
      </c>
      <c r="T317" s="31"/>
      <c r="U317" s="76">
        <v>-0.76067372427165758</v>
      </c>
      <c r="V317" s="76">
        <v>-0.62790697674418605</v>
      </c>
      <c r="W317" s="76">
        <v>-0.66567862519180332</v>
      </c>
      <c r="X317" s="76">
        <v>-0.71994528469918984</v>
      </c>
      <c r="Y317" s="76">
        <v>-7.534090068443966E-2</v>
      </c>
      <c r="Z317" s="76">
        <v>-7.2391547082420127E-2</v>
      </c>
      <c r="AA317" s="76">
        <v>-0.11739130434782608</v>
      </c>
      <c r="AB317" s="76">
        <v>-0.12362862437457134</v>
      </c>
      <c r="AC317" s="76">
        <v>-7.0669143160168035E-3</v>
      </c>
      <c r="AD317" s="142"/>
      <c r="AE317" s="142"/>
      <c r="AF317" s="142"/>
    </row>
    <row r="318" spans="1:32" x14ac:dyDescent="0.35">
      <c r="A318" t="s">
        <v>95</v>
      </c>
      <c r="B318" t="s">
        <v>575</v>
      </c>
      <c r="C318" s="31">
        <v>288</v>
      </c>
      <c r="D318" s="31">
        <v>44</v>
      </c>
      <c r="E318" s="72">
        <v>555</v>
      </c>
      <c r="F318" s="31">
        <v>47</v>
      </c>
      <c r="G318" s="73">
        <v>49493.580000000075</v>
      </c>
      <c r="H318" s="31">
        <v>15061.589999999991</v>
      </c>
      <c r="I318" s="72">
        <v>-41682.680000000029</v>
      </c>
      <c r="J318" s="72">
        <v>6929.0699999999924</v>
      </c>
      <c r="K318" s="31">
        <v>3163.1428571428573</v>
      </c>
      <c r="L318" s="31">
        <v>5804.1428571428569</v>
      </c>
      <c r="M318" s="74">
        <v>5.6993564993565</v>
      </c>
      <c r="N318" s="74">
        <v>127.3125</v>
      </c>
      <c r="O318" s="75">
        <v>89.177621621621753</v>
      </c>
      <c r="P318" s="75">
        <v>320.45936170212747</v>
      </c>
      <c r="Q318" s="76">
        <v>-0.84218357209157158</v>
      </c>
      <c r="R318" s="76">
        <v>0.44920396597260831</v>
      </c>
      <c r="S318" s="31">
        <v>1904.7142857142858</v>
      </c>
      <c r="T318" s="31"/>
      <c r="U318" s="76">
        <v>-0.47040291417460434</v>
      </c>
      <c r="V318" s="76">
        <v>10.531914893617021</v>
      </c>
      <c r="W318" s="76">
        <v>2.2076215060959758</v>
      </c>
      <c r="X318" s="76">
        <v>-7.0422064645363047</v>
      </c>
      <c r="Y318" s="76">
        <v>-0.12536733540808676</v>
      </c>
      <c r="Z318" s="76">
        <v>-0.12430294641091555</v>
      </c>
      <c r="AA318" s="76">
        <v>0.55462184873949583</v>
      </c>
      <c r="AB318" s="76">
        <v>0.5343178421530872</v>
      </c>
      <c r="AC318" s="76">
        <v>-1.3060415047473573E-2</v>
      </c>
      <c r="AD318" s="142"/>
      <c r="AE318" s="142"/>
      <c r="AF318" s="142"/>
    </row>
    <row r="319" spans="1:32" x14ac:dyDescent="0.35">
      <c r="A319" t="s">
        <v>95</v>
      </c>
      <c r="B319" t="s">
        <v>95</v>
      </c>
      <c r="C319" s="31">
        <v>126</v>
      </c>
      <c r="D319" s="31">
        <v>314</v>
      </c>
      <c r="E319" s="72">
        <v>181</v>
      </c>
      <c r="F319" s="31">
        <v>409</v>
      </c>
      <c r="G319" s="73">
        <v>44993.470000000081</v>
      </c>
      <c r="H319" s="31">
        <v>101095.23999999976</v>
      </c>
      <c r="I319" s="72">
        <v>8760.2300000000014</v>
      </c>
      <c r="J319" s="72">
        <v>42826.509999999726</v>
      </c>
      <c r="K319" s="31">
        <v>1903.5714285714287</v>
      </c>
      <c r="L319" s="31">
        <v>9135</v>
      </c>
      <c r="M319" s="74">
        <v>10.516969218626677</v>
      </c>
      <c r="N319" s="74">
        <v>22.695622667119103</v>
      </c>
      <c r="O319" s="75">
        <v>248.58270718232089</v>
      </c>
      <c r="P319" s="75">
        <v>247.17662591686982</v>
      </c>
      <c r="Q319" s="76">
        <v>0.19470003091559698</v>
      </c>
      <c r="R319" s="76">
        <v>0.40824356978278403</v>
      </c>
      <c r="S319" s="31">
        <v>674.71428571428567</v>
      </c>
      <c r="T319" s="31"/>
      <c r="U319" s="76">
        <v>-0.81610759246227227</v>
      </c>
      <c r="V319" s="76">
        <v>-0.60880195599022002</v>
      </c>
      <c r="W319" s="76">
        <v>-0.6075431444645647</v>
      </c>
      <c r="X319" s="76">
        <v>-0.81492296719428881</v>
      </c>
      <c r="Y319" s="76">
        <v>-5.9060800778318434E-2</v>
      </c>
      <c r="Z319" s="76">
        <v>-5.6837485843714508E-2</v>
      </c>
      <c r="AA319" s="76">
        <v>0.23972602739726034</v>
      </c>
      <c r="AB319" s="76">
        <v>0.15154894294219634</v>
      </c>
      <c r="AC319" s="76">
        <v>-7.1126267019001821E-2</v>
      </c>
      <c r="AD319" s="142"/>
      <c r="AE319" s="142"/>
      <c r="AF319" s="142"/>
    </row>
    <row r="320" spans="1:32" x14ac:dyDescent="0.35">
      <c r="A320" t="s">
        <v>95</v>
      </c>
      <c r="B320" t="s">
        <v>576</v>
      </c>
      <c r="C320" s="31">
        <v>87</v>
      </c>
      <c r="D320" s="31">
        <v>52</v>
      </c>
      <c r="E320" s="72">
        <v>139</v>
      </c>
      <c r="F320" s="31">
        <v>66</v>
      </c>
      <c r="G320" s="73">
        <v>35204.870000000032</v>
      </c>
      <c r="H320" s="31">
        <v>26089.11</v>
      </c>
      <c r="I320" s="72">
        <v>2520.37</v>
      </c>
      <c r="J320" s="72">
        <v>10678.11</v>
      </c>
      <c r="K320" s="31">
        <v>937.71428571428567</v>
      </c>
      <c r="L320" s="31">
        <v>4947</v>
      </c>
      <c r="M320" s="74">
        <v>6.7461459403905444</v>
      </c>
      <c r="N320" s="74">
        <v>77.859307359307351</v>
      </c>
      <c r="O320" s="75">
        <v>253.2724460431657</v>
      </c>
      <c r="P320" s="75">
        <v>395.28954545454548</v>
      </c>
      <c r="Q320" s="76">
        <v>7.1591515605653355E-2</v>
      </c>
      <c r="R320" s="76">
        <v>0.40929376279988089</v>
      </c>
      <c r="S320" s="31">
        <v>2</v>
      </c>
      <c r="T320" s="31"/>
      <c r="U320" s="76">
        <v>-0.81651217187906089</v>
      </c>
      <c r="V320" s="76">
        <v>0.90909090909090917</v>
      </c>
      <c r="W320" s="76">
        <v>0.22257447647696771</v>
      </c>
      <c r="X320" s="76">
        <v>-0.78775457454549325</v>
      </c>
      <c r="Y320" s="76">
        <v>-0.13032219763341124</v>
      </c>
      <c r="Z320" s="76">
        <v>-0.13071116408422734</v>
      </c>
      <c r="AA320" s="76">
        <v>0.82894736842105265</v>
      </c>
      <c r="AB320" s="76">
        <v>0.85166676923060924</v>
      </c>
      <c r="AC320" s="76">
        <v>1.242211842824692E-2</v>
      </c>
      <c r="AD320" s="142"/>
      <c r="AE320" s="142"/>
      <c r="AF320" s="142"/>
    </row>
    <row r="321" spans="1:32" x14ac:dyDescent="0.35">
      <c r="A321" t="s">
        <v>95</v>
      </c>
      <c r="B321" t="s">
        <v>577</v>
      </c>
      <c r="C321" s="31">
        <v>2</v>
      </c>
      <c r="D321" s="31">
        <v>6</v>
      </c>
      <c r="E321" s="72">
        <v>2</v>
      </c>
      <c r="F321" s="31">
        <v>8</v>
      </c>
      <c r="G321" s="73">
        <v>302.08</v>
      </c>
      <c r="H321" s="31">
        <v>611.34000000000015</v>
      </c>
      <c r="I321" s="72">
        <v>94.080000000000013</v>
      </c>
      <c r="J321" s="72">
        <v>117.55000000000013</v>
      </c>
      <c r="K321" s="31">
        <v>238.28571428571428</v>
      </c>
      <c r="L321" s="31">
        <v>177.71428571428572</v>
      </c>
      <c r="M321" s="74">
        <v>119.14285714285714</v>
      </c>
      <c r="N321" s="74">
        <v>22.464285714285715</v>
      </c>
      <c r="O321" s="75">
        <v>151.04</v>
      </c>
      <c r="P321" s="75">
        <v>76.417500000000018</v>
      </c>
      <c r="Q321" s="76">
        <v>0.31144067796610175</v>
      </c>
      <c r="R321" s="76">
        <v>0.19228252690810366</v>
      </c>
      <c r="S321" s="31">
        <v>116</v>
      </c>
      <c r="T321" s="31"/>
      <c r="U321" s="76">
        <v>0.34646302250803851</v>
      </c>
      <c r="V321" s="76">
        <v>-0.75</v>
      </c>
      <c r="W321" s="76">
        <v>-0.50587234599404596</v>
      </c>
      <c r="X321" s="76">
        <v>-0.19965971926839743</v>
      </c>
      <c r="Y321" s="76">
        <v>7.7240884821869749E-3</v>
      </c>
      <c r="Z321" s="76">
        <v>2.3312883435582687E-2</v>
      </c>
      <c r="AA321" s="76">
        <v>-0.66666666666666674</v>
      </c>
      <c r="AB321" s="76">
        <v>-0.63878990792777712</v>
      </c>
      <c r="AC321" s="76">
        <v>8.3630276216668742E-2</v>
      </c>
      <c r="AD321" s="142"/>
      <c r="AE321" s="142"/>
      <c r="AF321" s="142"/>
    </row>
    <row r="322" spans="1:32" x14ac:dyDescent="0.35">
      <c r="A322" t="s">
        <v>95</v>
      </c>
      <c r="B322" t="s">
        <v>578</v>
      </c>
      <c r="C322" s="31"/>
      <c r="D322" s="31"/>
      <c r="E322" s="72"/>
      <c r="F322" s="31"/>
      <c r="G322" s="73"/>
      <c r="H322" s="31"/>
      <c r="I322" s="72"/>
      <c r="J322" s="72"/>
      <c r="K322" s="31">
        <v>1</v>
      </c>
      <c r="L322" s="31">
        <v>-2</v>
      </c>
      <c r="M322" s="74"/>
      <c r="N322" s="74"/>
      <c r="O322" s="75"/>
      <c r="P322" s="75"/>
      <c r="Q322" s="76"/>
      <c r="R322" s="76"/>
      <c r="S322" s="31"/>
      <c r="T322" s="31"/>
      <c r="U322" s="76">
        <v>-1.5</v>
      </c>
      <c r="V322" s="76"/>
      <c r="W322" s="76"/>
      <c r="X322" s="76"/>
      <c r="Y322" s="76">
        <v>2.2204460492503131E-16</v>
      </c>
      <c r="Z322" s="76">
        <v>0</v>
      </c>
      <c r="AA322" s="76"/>
      <c r="AB322" s="76"/>
      <c r="AC322" s="76"/>
      <c r="AD322" s="142"/>
      <c r="AE322" s="142"/>
      <c r="AF322" s="142"/>
    </row>
    <row r="323" spans="1:32" x14ac:dyDescent="0.35">
      <c r="A323" s="138" t="s">
        <v>842</v>
      </c>
      <c r="B323" s="138"/>
      <c r="C323" s="127">
        <v>11446</v>
      </c>
      <c r="D323" s="127">
        <v>11029</v>
      </c>
      <c r="E323" s="126">
        <v>25299</v>
      </c>
      <c r="F323" s="127">
        <v>19955</v>
      </c>
      <c r="G323" s="127">
        <v>8653972.4800004289</v>
      </c>
      <c r="H323" s="127">
        <v>5756565.0399996238</v>
      </c>
      <c r="I323" s="126">
        <v>4461557.3799999636</v>
      </c>
      <c r="J323" s="126">
        <v>2691407.5299995895</v>
      </c>
      <c r="K323" s="127">
        <v>251773.71428571429</v>
      </c>
      <c r="L323" s="127">
        <v>378500.28571428574</v>
      </c>
      <c r="M323" s="140">
        <v>9.9519235655841847</v>
      </c>
      <c r="N323" s="140">
        <v>19.222393898319368</v>
      </c>
      <c r="O323" s="139">
        <v>342.06776868652628</v>
      </c>
      <c r="P323" s="139">
        <v>288.47732598344396</v>
      </c>
      <c r="Q323" s="141">
        <v>0.51555021584720162</v>
      </c>
      <c r="R323" s="141">
        <v>0.45886586903629178</v>
      </c>
      <c r="S323" s="127">
        <v>117954.71428571429</v>
      </c>
      <c r="T323" s="127"/>
      <c r="U323" s="141">
        <v>-0.35993782982613343</v>
      </c>
      <c r="V323" s="141">
        <v>0.22280130293159606</v>
      </c>
      <c r="W323" s="141">
        <v>0.45010603059230836</v>
      </c>
      <c r="X323" s="141">
        <v>0.63136040704151308</v>
      </c>
      <c r="Y323" s="141">
        <v>-4.9866348748616174E-3</v>
      </c>
      <c r="Z323" s="141">
        <v>-1.2255896482846862E-2</v>
      </c>
      <c r="AA323" s="141">
        <v>-2.8680027643400163E-2</v>
      </c>
      <c r="AB323" s="141">
        <v>3.0721568719158654E-2</v>
      </c>
      <c r="AC323" s="141">
        <v>6.1155538909016371E-2</v>
      </c>
      <c r="AD323" s="143">
        <v>-0.1985216226187787</v>
      </c>
      <c r="AE323" s="143">
        <v>-0.11849114707782583</v>
      </c>
      <c r="AF323" s="143">
        <v>-1.5307214228322498E-2</v>
      </c>
    </row>
    <row r="324" spans="1:32" x14ac:dyDescent="0.35">
      <c r="A324" t="s">
        <v>68</v>
      </c>
      <c r="B324" t="s">
        <v>257</v>
      </c>
      <c r="C324" s="31">
        <v>1187</v>
      </c>
      <c r="D324" s="31">
        <v>1630</v>
      </c>
      <c r="E324" s="72">
        <v>1210</v>
      </c>
      <c r="F324" s="31">
        <v>1673</v>
      </c>
      <c r="G324" s="73">
        <v>2287837.099999995</v>
      </c>
      <c r="H324" s="31">
        <v>2674173.760000038</v>
      </c>
      <c r="I324" s="72">
        <v>847763.88999999885</v>
      </c>
      <c r="J324" s="72">
        <v>804546.25000003632</v>
      </c>
      <c r="K324" s="31">
        <v>17605.857142857141</v>
      </c>
      <c r="L324" s="31">
        <v>18736.142857142859</v>
      </c>
      <c r="M324" s="74">
        <v>14.550295159386067</v>
      </c>
      <c r="N324" s="74">
        <v>11.386594051110182</v>
      </c>
      <c r="O324" s="75">
        <v>1890.7744628099133</v>
      </c>
      <c r="P324" s="75">
        <v>1598.4302211596162</v>
      </c>
      <c r="Q324" s="76">
        <v>0.37055255813449339</v>
      </c>
      <c r="R324" s="76">
        <v>0.29530791037321596</v>
      </c>
      <c r="S324" s="31">
        <v>27797.285714285714</v>
      </c>
      <c r="T324" s="31"/>
      <c r="U324" s="76">
        <v>-9.0527856777961713E-2</v>
      </c>
      <c r="V324" s="76">
        <v>-0.29468021518230725</v>
      </c>
      <c r="W324" s="76">
        <v>-0.16556010556323653</v>
      </c>
      <c r="X324" s="76">
        <v>4.7487869133612026E-2</v>
      </c>
      <c r="Y324" s="76">
        <v>-2.4080951045929333E-2</v>
      </c>
      <c r="Z324" s="76">
        <v>-2.7085701654667282E-2</v>
      </c>
      <c r="AA324" s="76">
        <v>8.7151841868823077E-2</v>
      </c>
      <c r="AB324" s="76">
        <v>8.4153339539981609E-2</v>
      </c>
      <c r="AC324" s="76">
        <v>-2.7581265223143303E-3</v>
      </c>
      <c r="AD324" s="142">
        <v>-0.31942224911035544</v>
      </c>
      <c r="AE324" s="142">
        <v>-0.34022466900414089</v>
      </c>
      <c r="AF324" s="142">
        <v>-0.35937546815973836</v>
      </c>
    </row>
    <row r="325" spans="1:32" x14ac:dyDescent="0.35">
      <c r="A325" t="s">
        <v>68</v>
      </c>
      <c r="B325" t="s">
        <v>259</v>
      </c>
      <c r="C325" s="31">
        <v>407</v>
      </c>
      <c r="D325" s="31">
        <v>414</v>
      </c>
      <c r="E325" s="72">
        <v>415</v>
      </c>
      <c r="F325" s="31">
        <v>423</v>
      </c>
      <c r="G325" s="73">
        <v>1672913.4099999929</v>
      </c>
      <c r="H325" s="31">
        <v>1521123.1200000015</v>
      </c>
      <c r="I325" s="72">
        <v>502602.73999999964</v>
      </c>
      <c r="J325" s="72">
        <v>512655.29000000097</v>
      </c>
      <c r="K325" s="31">
        <v>2869.4285714285716</v>
      </c>
      <c r="L325" s="31">
        <v>1100</v>
      </c>
      <c r="M325" s="74">
        <v>6.9142857142857146</v>
      </c>
      <c r="N325" s="74">
        <v>2.6600869856139178</v>
      </c>
      <c r="O325" s="75">
        <v>4031.1166506023924</v>
      </c>
      <c r="P325" s="75">
        <v>3596.0357446808548</v>
      </c>
      <c r="Q325" s="76">
        <v>0.30043559756030752</v>
      </c>
      <c r="R325" s="76">
        <v>0.33395604489380865</v>
      </c>
      <c r="S325" s="31">
        <v>1912.2857142857142</v>
      </c>
      <c r="T325" s="31"/>
      <c r="U325" s="76">
        <v>1.5263636363636364</v>
      </c>
      <c r="V325" s="76">
        <v>-4.0189125295508221E-2</v>
      </c>
      <c r="W325" s="76">
        <v>7.5683347709547544E-2</v>
      </c>
      <c r="X325" s="76">
        <v>-3.3488641991051504E-2</v>
      </c>
      <c r="Y325" s="76">
        <v>-5.7009153185195838E-2</v>
      </c>
      <c r="Z325" s="76">
        <v>-5.6640991921848571E-2</v>
      </c>
      <c r="AA325" s="76">
        <v>0.52014652014652007</v>
      </c>
      <c r="AB325" s="76">
        <v>0.5366070243678549</v>
      </c>
      <c r="AC325" s="76">
        <v>1.0828235307046574E-2</v>
      </c>
      <c r="AD325" s="142">
        <v>0.72673269304143362</v>
      </c>
      <c r="AE325" s="142">
        <v>0.62838656323133346</v>
      </c>
      <c r="AF325" s="142">
        <v>0.54608796086594047</v>
      </c>
    </row>
    <row r="326" spans="1:32" x14ac:dyDescent="0.35">
      <c r="A326" t="s">
        <v>68</v>
      </c>
      <c r="B326" t="s">
        <v>258</v>
      </c>
      <c r="C326" s="31">
        <v>856</v>
      </c>
      <c r="D326" s="31">
        <v>1876</v>
      </c>
      <c r="E326" s="72">
        <v>882</v>
      </c>
      <c r="F326" s="31">
        <v>1932</v>
      </c>
      <c r="G326" s="73">
        <v>1335090.8599999987</v>
      </c>
      <c r="H326" s="31">
        <v>2005635.760000011</v>
      </c>
      <c r="I326" s="72">
        <v>481382.81000000256</v>
      </c>
      <c r="J326" s="72">
        <v>662710.63000001363</v>
      </c>
      <c r="K326" s="31">
        <v>18270.571428571428</v>
      </c>
      <c r="L326" s="31">
        <v>16963.714285714286</v>
      </c>
      <c r="M326" s="74">
        <v>20.714933592484613</v>
      </c>
      <c r="N326" s="74">
        <v>9.0125236638998096</v>
      </c>
      <c r="O326" s="75">
        <v>1513.7084580498852</v>
      </c>
      <c r="P326" s="75">
        <v>1038.1137474120139</v>
      </c>
      <c r="Q326" s="76">
        <v>0.36056183472037479</v>
      </c>
      <c r="R326" s="76">
        <v>0.32536164112588106</v>
      </c>
      <c r="S326" s="31">
        <v>15020.142857142857</v>
      </c>
      <c r="T326" s="31"/>
      <c r="U326" s="76">
        <v>4.6384720327421469E-2</v>
      </c>
      <c r="V326" s="76">
        <v>-0.55797101449275366</v>
      </c>
      <c r="W326" s="76">
        <v>-0.35481418121504049</v>
      </c>
      <c r="X326" s="76">
        <v>-0.28507279191266943</v>
      </c>
      <c r="Y326" s="76">
        <v>3.7542192177109079E-3</v>
      </c>
      <c r="Z326" s="76">
        <v>9.758562427955475E-3</v>
      </c>
      <c r="AA326" s="76">
        <v>0.2618025751072961</v>
      </c>
      <c r="AB326" s="76">
        <v>0.22817075964357647</v>
      </c>
      <c r="AC326" s="76">
        <v>-2.6653785724648604E-2</v>
      </c>
      <c r="AD326" s="142">
        <v>-0.46533157171604012</v>
      </c>
      <c r="AE326" s="142">
        <v>-0.49107091079004161</v>
      </c>
      <c r="AF326" s="142">
        <v>-0.52864155192086371</v>
      </c>
    </row>
    <row r="327" spans="1:32" x14ac:dyDescent="0.35">
      <c r="A327" t="s">
        <v>68</v>
      </c>
      <c r="B327" t="s">
        <v>260</v>
      </c>
      <c r="C327" s="31">
        <v>361</v>
      </c>
      <c r="D327" s="31">
        <v>927</v>
      </c>
      <c r="E327" s="72">
        <v>366</v>
      </c>
      <c r="F327" s="31">
        <v>950</v>
      </c>
      <c r="G327" s="73">
        <v>555486.93999999913</v>
      </c>
      <c r="H327" s="31">
        <v>1129394.8099999884</v>
      </c>
      <c r="I327" s="72">
        <v>253865.05999999976</v>
      </c>
      <c r="J327" s="72">
        <v>493739.31999998749</v>
      </c>
      <c r="K327" s="31">
        <v>6576.4285714285716</v>
      </c>
      <c r="L327" s="31">
        <v>12399</v>
      </c>
      <c r="M327" s="74">
        <v>17.968384074941451</v>
      </c>
      <c r="N327" s="74">
        <v>13.207444460791525</v>
      </c>
      <c r="O327" s="75">
        <v>1517.7238797814184</v>
      </c>
      <c r="P327" s="75">
        <v>1188.836642105251</v>
      </c>
      <c r="Q327" s="76">
        <v>0.45701355282988321</v>
      </c>
      <c r="R327" s="76">
        <v>0.427874312306607</v>
      </c>
      <c r="S327" s="31">
        <v>6733.2857142857147</v>
      </c>
      <c r="T327" s="31"/>
      <c r="U327" s="76">
        <v>-0.48632954270505691</v>
      </c>
      <c r="V327" s="76">
        <v>-0.62526315789473685</v>
      </c>
      <c r="W327" s="76">
        <v>-0.52158414823952937</v>
      </c>
      <c r="X327" s="76">
        <v>-0.48944412012915861</v>
      </c>
      <c r="Y327" s="76">
        <v>-3.3089487559443409E-3</v>
      </c>
      <c r="Z327" s="76">
        <v>-2.9887596647391046E-3</v>
      </c>
      <c r="AA327" s="76">
        <v>0.24914675767918082</v>
      </c>
      <c r="AB327" s="76">
        <v>0.23980432816381003</v>
      </c>
      <c r="AC327" s="76">
        <v>-7.4790487650372439E-3</v>
      </c>
      <c r="AD327" s="142">
        <v>-0.56192632247082175</v>
      </c>
      <c r="AE327" s="142">
        <v>-0.58403204709346401</v>
      </c>
      <c r="AF327" s="142">
        <v>-0.59539271794216098</v>
      </c>
    </row>
    <row r="328" spans="1:32" x14ac:dyDescent="0.35">
      <c r="A328" t="s">
        <v>68</v>
      </c>
      <c r="B328" t="s">
        <v>261</v>
      </c>
      <c r="C328" s="31">
        <v>223</v>
      </c>
      <c r="D328" s="31">
        <v>317</v>
      </c>
      <c r="E328" s="72">
        <v>242</v>
      </c>
      <c r="F328" s="31">
        <v>323</v>
      </c>
      <c r="G328" s="73">
        <v>453124.93999999983</v>
      </c>
      <c r="H328" s="31">
        <v>495971.83999999939</v>
      </c>
      <c r="I328" s="72">
        <v>117493.73000000005</v>
      </c>
      <c r="J328" s="72">
        <v>186813.7699999992</v>
      </c>
      <c r="K328" s="31">
        <v>3712</v>
      </c>
      <c r="L328" s="31">
        <v>3557.4285714285716</v>
      </c>
      <c r="M328" s="74">
        <v>15.338842975206612</v>
      </c>
      <c r="N328" s="74">
        <v>11.054483054483056</v>
      </c>
      <c r="O328" s="75">
        <v>1872.4171074380158</v>
      </c>
      <c r="P328" s="75">
        <v>1535.516532507738</v>
      </c>
      <c r="Q328" s="76">
        <v>0.25929654192064577</v>
      </c>
      <c r="R328" s="76">
        <v>0.36583159553287425</v>
      </c>
      <c r="S328" s="31">
        <v>2370.4285714285716</v>
      </c>
      <c r="T328" s="31"/>
      <c r="U328" s="76">
        <v>4.1362139587182156E-3</v>
      </c>
      <c r="V328" s="76">
        <v>-0.27244582043343657</v>
      </c>
      <c r="W328" s="76">
        <v>-0.11221443540020226</v>
      </c>
      <c r="X328" s="76">
        <v>-0.36695504271181489</v>
      </c>
      <c r="Y328" s="76">
        <v>-1.3061582402573602E-2</v>
      </c>
      <c r="Z328" s="76">
        <v>-3.0693677102516803E-3</v>
      </c>
      <c r="AA328" s="76">
        <v>0.33701657458563528</v>
      </c>
      <c r="AB328" s="76">
        <v>0.3599065026453383</v>
      </c>
      <c r="AC328" s="76">
        <v>1.7120152804984246E-2</v>
      </c>
      <c r="AD328" s="142">
        <v>-0.26301030445592494</v>
      </c>
      <c r="AE328" s="142">
        <v>-0.30019646797767863</v>
      </c>
      <c r="AF328" s="142">
        <v>-0.55990602908730469</v>
      </c>
    </row>
    <row r="329" spans="1:32" x14ac:dyDescent="0.35">
      <c r="A329" t="s">
        <v>68</v>
      </c>
      <c r="B329" t="s">
        <v>265</v>
      </c>
      <c r="C329" s="31">
        <v>120</v>
      </c>
      <c r="D329" s="31">
        <v>99</v>
      </c>
      <c r="E329" s="72">
        <v>121</v>
      </c>
      <c r="F329" s="31">
        <v>101</v>
      </c>
      <c r="G329" s="73">
        <v>398618.36999999976</v>
      </c>
      <c r="H329" s="31">
        <v>310798.78000000044</v>
      </c>
      <c r="I329" s="72">
        <v>157101.53000000014</v>
      </c>
      <c r="J329" s="72">
        <v>157486.28000000038</v>
      </c>
      <c r="K329" s="31">
        <v>1195.5714285714287</v>
      </c>
      <c r="L329" s="31">
        <v>1294.2857142857142</v>
      </c>
      <c r="M329" s="74">
        <v>9.8807556080283359</v>
      </c>
      <c r="N329" s="74">
        <v>13.172560113154171</v>
      </c>
      <c r="O329" s="75">
        <v>3294.3666942148739</v>
      </c>
      <c r="P329" s="75">
        <v>3077.2156435643606</v>
      </c>
      <c r="Q329" s="76">
        <v>0.39411512821147765</v>
      </c>
      <c r="R329" s="76">
        <v>0.50671460164676374</v>
      </c>
      <c r="S329" s="31">
        <v>297.28571428571428</v>
      </c>
      <c r="T329" s="31"/>
      <c r="U329" s="76">
        <v>-0.10860927152317867</v>
      </c>
      <c r="V329" s="76">
        <v>0.15841584158415833</v>
      </c>
      <c r="W329" s="76">
        <v>0.23861512583800759</v>
      </c>
      <c r="X329" s="76">
        <v>-3.8785156395850451E-2</v>
      </c>
      <c r="Y329" s="76">
        <v>-2.569727924882359E-2</v>
      </c>
      <c r="Z329" s="76">
        <v>-2.4364653765446387E-2</v>
      </c>
      <c r="AA329" s="76">
        <v>-9.0225563909774431E-2</v>
      </c>
      <c r="AB329" s="76">
        <v>-7.0638023990516552E-2</v>
      </c>
      <c r="AC329" s="76">
        <v>2.1530105861663484E-2</v>
      </c>
      <c r="AD329" s="142">
        <v>3.8056346727977697E-2</v>
      </c>
      <c r="AE329" s="142">
        <v>6.9433820114741127E-2</v>
      </c>
      <c r="AF329" s="142">
        <v>0.14170466172753421</v>
      </c>
    </row>
    <row r="330" spans="1:32" x14ac:dyDescent="0.35">
      <c r="A330" t="s">
        <v>68</v>
      </c>
      <c r="B330" t="s">
        <v>264</v>
      </c>
      <c r="C330" s="31">
        <v>187</v>
      </c>
      <c r="D330" s="31">
        <v>281</v>
      </c>
      <c r="E330" s="72">
        <v>188</v>
      </c>
      <c r="F330" s="31">
        <v>283</v>
      </c>
      <c r="G330" s="73">
        <v>361252.86999999906</v>
      </c>
      <c r="H330" s="31">
        <v>460049.57999999908</v>
      </c>
      <c r="I330" s="72">
        <v>125344.49</v>
      </c>
      <c r="J330" s="72">
        <v>201448.62999999855</v>
      </c>
      <c r="K330" s="31">
        <v>2325.7142857142858</v>
      </c>
      <c r="L330" s="31">
        <v>2253.5714285714284</v>
      </c>
      <c r="M330" s="74">
        <v>12.370820668693009</v>
      </c>
      <c r="N330" s="74">
        <v>8.1088911088911093</v>
      </c>
      <c r="O330" s="75">
        <v>1921.5578191489312</v>
      </c>
      <c r="P330" s="75">
        <v>1625.6168904593608</v>
      </c>
      <c r="Q330" s="76">
        <v>0.34697161021862699</v>
      </c>
      <c r="R330" s="76">
        <v>0.43333198532361367</v>
      </c>
      <c r="S330" s="31">
        <v>787.14285714285711</v>
      </c>
      <c r="T330" s="31"/>
      <c r="U330" s="76">
        <v>7.3534072900161007E-3</v>
      </c>
      <c r="V330" s="76">
        <v>-0.36042402826855124</v>
      </c>
      <c r="W330" s="76">
        <v>-0.24349910285756626</v>
      </c>
      <c r="X330" s="76">
        <v>-0.3956886566310065</v>
      </c>
      <c r="Y330" s="76">
        <v>-1.0604585269802014E-2</v>
      </c>
      <c r="Z330" s="76">
        <v>-1.1536126290224491E-2</v>
      </c>
      <c r="AA330" s="76">
        <v>0.55371900826446274</v>
      </c>
      <c r="AB330" s="76">
        <v>0.55354439035596092</v>
      </c>
      <c r="AC330" s="76">
        <v>-1.1238705813143568E-4</v>
      </c>
      <c r="AD330" s="142">
        <v>0.5762833084174368</v>
      </c>
      <c r="AE330" s="142">
        <v>0.58610521263696747</v>
      </c>
      <c r="AF330" s="142">
        <v>0.47163798587206107</v>
      </c>
    </row>
    <row r="331" spans="1:32" x14ac:dyDescent="0.35">
      <c r="A331" t="s">
        <v>68</v>
      </c>
      <c r="B331" t="s">
        <v>270</v>
      </c>
      <c r="C331" s="31">
        <v>140</v>
      </c>
      <c r="D331" s="31">
        <v>46</v>
      </c>
      <c r="E331" s="72">
        <v>141</v>
      </c>
      <c r="F331" s="31">
        <v>47</v>
      </c>
      <c r="G331" s="73">
        <v>327945.42999999993</v>
      </c>
      <c r="H331" s="31">
        <v>152407.82</v>
      </c>
      <c r="I331" s="72">
        <v>43954.449999999975</v>
      </c>
      <c r="J331" s="72">
        <v>45261.929999999978</v>
      </c>
      <c r="K331" s="31">
        <v>3708.5714285714284</v>
      </c>
      <c r="L331" s="31">
        <v>1685.4285714285713</v>
      </c>
      <c r="M331" s="74">
        <v>26.301925025329279</v>
      </c>
      <c r="N331" s="74">
        <v>37.343465045592701</v>
      </c>
      <c r="O331" s="75">
        <v>2325.8541134751767</v>
      </c>
      <c r="P331" s="75">
        <v>3242.7195744680853</v>
      </c>
      <c r="Q331" s="76">
        <v>0.1340297683062697</v>
      </c>
      <c r="R331" s="76">
        <v>0.29697905264966046</v>
      </c>
      <c r="S331" s="31">
        <v>1591.2857142857142</v>
      </c>
      <c r="T331" s="31"/>
      <c r="U331" s="76">
        <v>1.1444312595355144</v>
      </c>
      <c r="V331" s="76">
        <v>2</v>
      </c>
      <c r="W331" s="76">
        <v>1.1517624883027651</v>
      </c>
      <c r="X331" s="76">
        <v>-2.8886969689532305E-2</v>
      </c>
      <c r="Y331" s="76">
        <v>-2.3583144642215892E-2</v>
      </c>
      <c r="Z331" s="76">
        <v>-2.6950035608531042E-2</v>
      </c>
      <c r="AA331" s="76">
        <v>0.35576923076923084</v>
      </c>
      <c r="AB331" s="76">
        <v>0.332512252721469</v>
      </c>
      <c r="AC331" s="76">
        <v>-1.7154083099058415E-2</v>
      </c>
      <c r="AD331" s="142">
        <v>-0.10772087230726297</v>
      </c>
      <c r="AE331" s="142">
        <v>0.14676519626837597</v>
      </c>
      <c r="AF331" s="142">
        <v>-0.5847318187486088</v>
      </c>
    </row>
    <row r="332" spans="1:32" x14ac:dyDescent="0.35">
      <c r="A332" t="s">
        <v>68</v>
      </c>
      <c r="B332" t="s">
        <v>263</v>
      </c>
      <c r="C332" s="31">
        <v>180</v>
      </c>
      <c r="D332" s="31">
        <v>252</v>
      </c>
      <c r="E332" s="72">
        <v>186</v>
      </c>
      <c r="F332" s="31">
        <v>255</v>
      </c>
      <c r="G332" s="73">
        <v>307817.47999999928</v>
      </c>
      <c r="H332" s="31">
        <v>360413.49999999977</v>
      </c>
      <c r="I332" s="72">
        <v>126504.52999999988</v>
      </c>
      <c r="J332" s="72">
        <v>157504.63999999932</v>
      </c>
      <c r="K332" s="31">
        <v>3418.4285714285716</v>
      </c>
      <c r="L332" s="31">
        <v>2483.4285714285716</v>
      </c>
      <c r="M332" s="74">
        <v>18.378648233486945</v>
      </c>
      <c r="N332" s="74">
        <v>9.704980842911878</v>
      </c>
      <c r="O332" s="75">
        <v>1654.9326881720392</v>
      </c>
      <c r="P332" s="75">
        <v>1413.3862745098031</v>
      </c>
      <c r="Q332" s="76">
        <v>0.41097253476313361</v>
      </c>
      <c r="R332" s="76">
        <v>0.42765690588672739</v>
      </c>
      <c r="S332" s="31">
        <v>13.428571428571429</v>
      </c>
      <c r="T332" s="31"/>
      <c r="U332" s="76">
        <v>0.34071560055223182</v>
      </c>
      <c r="V332" s="76">
        <v>-0.30588235294117649</v>
      </c>
      <c r="W332" s="76">
        <v>-0.18727361766415596</v>
      </c>
      <c r="X332" s="76">
        <v>-0.22316668733355116</v>
      </c>
      <c r="Y332" s="76">
        <v>-4.5537138723046877E-2</v>
      </c>
      <c r="Z332" s="76">
        <v>-4.4139969641287746E-2</v>
      </c>
      <c r="AA332" s="76">
        <v>0.15527950310559002</v>
      </c>
      <c r="AB332" s="76">
        <v>0.174217822889559</v>
      </c>
      <c r="AC332" s="76">
        <v>1.6392846694725849E-2</v>
      </c>
      <c r="AD332" s="142">
        <v>-0.29080447937041742</v>
      </c>
      <c r="AE332" s="142">
        <v>-0.36218187591424905</v>
      </c>
      <c r="AF332" s="142">
        <v>-0.41836415075850997</v>
      </c>
    </row>
    <row r="333" spans="1:32" x14ac:dyDescent="0.35">
      <c r="A333" t="s">
        <v>68</v>
      </c>
      <c r="B333" t="s">
        <v>267</v>
      </c>
      <c r="C333" s="31">
        <v>131</v>
      </c>
      <c r="D333" s="31">
        <v>92</v>
      </c>
      <c r="E333" s="72">
        <v>133</v>
      </c>
      <c r="F333" s="31">
        <v>95</v>
      </c>
      <c r="G333" s="73">
        <v>157827.66000000009</v>
      </c>
      <c r="H333" s="31">
        <v>92803.970000000147</v>
      </c>
      <c r="I333" s="72">
        <v>74554.139999999985</v>
      </c>
      <c r="J333" s="72">
        <v>52463.590000000178</v>
      </c>
      <c r="K333" s="31">
        <v>2208</v>
      </c>
      <c r="L333" s="31">
        <v>1267.1428571428571</v>
      </c>
      <c r="M333" s="74">
        <v>16.601503759398497</v>
      </c>
      <c r="N333" s="74">
        <v>13.5</v>
      </c>
      <c r="O333" s="75">
        <v>1186.6741353383466</v>
      </c>
      <c r="P333" s="75">
        <v>976.88389473684367</v>
      </c>
      <c r="Q333" s="76">
        <v>0.47237689515259834</v>
      </c>
      <c r="R333" s="76">
        <v>0.55048716249162111</v>
      </c>
      <c r="S333" s="31">
        <v>1523.2857142857142</v>
      </c>
      <c r="T333" s="31"/>
      <c r="U333" s="76">
        <v>0.68962795941375421</v>
      </c>
      <c r="V333" s="76">
        <v>0.35789473684210527</v>
      </c>
      <c r="W333" s="76">
        <v>0.65037163819608024</v>
      </c>
      <c r="X333" s="76">
        <v>0.41640864024742097</v>
      </c>
      <c r="Y333" s="76">
        <v>1.8445250093525933E-2</v>
      </c>
      <c r="Z333" s="76">
        <v>1.3441741525145767E-2</v>
      </c>
      <c r="AA333" s="76">
        <v>0.25471698113207553</v>
      </c>
      <c r="AB333" s="76">
        <v>0.25605942459640096</v>
      </c>
      <c r="AC333" s="76">
        <v>1.0699173475074986E-3</v>
      </c>
      <c r="AD333" s="142">
        <v>-0.17095680934312982</v>
      </c>
      <c r="AE333" s="142">
        <v>-0.34092297124947041</v>
      </c>
      <c r="AF333" s="142">
        <v>-0.42020227536342392</v>
      </c>
    </row>
    <row r="334" spans="1:32" x14ac:dyDescent="0.35">
      <c r="A334" t="s">
        <v>68</v>
      </c>
      <c r="B334" t="s">
        <v>272</v>
      </c>
      <c r="C334" s="31">
        <v>90</v>
      </c>
      <c r="D334" s="31">
        <v>38</v>
      </c>
      <c r="E334" s="72">
        <v>99</v>
      </c>
      <c r="F334" s="31">
        <v>38</v>
      </c>
      <c r="G334" s="73">
        <v>146122.10000000021</v>
      </c>
      <c r="H334" s="31">
        <v>48124.599999999984</v>
      </c>
      <c r="I334" s="72">
        <v>10611.739999999996</v>
      </c>
      <c r="J334" s="72">
        <v>24906.89999999998</v>
      </c>
      <c r="K334" s="31">
        <v>1759.1428571428571</v>
      </c>
      <c r="L334" s="31">
        <v>1502.5714285714287</v>
      </c>
      <c r="M334" s="74">
        <v>17.769119769119769</v>
      </c>
      <c r="N334" s="74">
        <v>37.564459930313589</v>
      </c>
      <c r="O334" s="75">
        <v>1475.9808080808102</v>
      </c>
      <c r="P334" s="75">
        <v>1266.4368421052627</v>
      </c>
      <c r="Q334" s="76">
        <v>7.2622416458564321E-2</v>
      </c>
      <c r="R334" s="76">
        <v>0.47898280697321133</v>
      </c>
      <c r="S334" s="31">
        <v>7.8571428571428568</v>
      </c>
      <c r="T334" s="31"/>
      <c r="U334" s="76">
        <v>0.14232743867655429</v>
      </c>
      <c r="V334" s="76">
        <v>1.5789473684210527</v>
      </c>
      <c r="W334" s="76">
        <v>2.0103545795705369</v>
      </c>
      <c r="X334" s="76">
        <v>-0.56022165416786485</v>
      </c>
      <c r="Y334" s="76">
        <v>-5.5118401352002633E-2</v>
      </c>
      <c r="Z334" s="76">
        <v>-4.8818167773829746E-2</v>
      </c>
      <c r="AA334" s="76">
        <v>4.2105263157894646E-2</v>
      </c>
      <c r="AB334" s="76">
        <v>1.9987047216234677E-2</v>
      </c>
      <c r="AC334" s="76">
        <v>-2.1224550651087859E-2</v>
      </c>
      <c r="AD334" s="142">
        <v>0.9971877981912336</v>
      </c>
      <c r="AE334" s="142">
        <v>1.2190576823453494</v>
      </c>
      <c r="AF334" s="142">
        <v>-0.60915106153057563</v>
      </c>
    </row>
    <row r="335" spans="1:32" x14ac:dyDescent="0.35">
      <c r="A335" t="s">
        <v>68</v>
      </c>
      <c r="B335" t="s">
        <v>271</v>
      </c>
      <c r="C335" s="31">
        <v>132</v>
      </c>
      <c r="D335" s="31">
        <v>54</v>
      </c>
      <c r="E335" s="72">
        <v>136</v>
      </c>
      <c r="F335" s="31">
        <v>55</v>
      </c>
      <c r="G335" s="73">
        <v>144129.99000000037</v>
      </c>
      <c r="H335" s="31">
        <v>67407.680000000022</v>
      </c>
      <c r="I335" s="72">
        <v>32958.659999999974</v>
      </c>
      <c r="J335" s="72">
        <v>32579.200000000033</v>
      </c>
      <c r="K335" s="31">
        <v>3365.1428571428573</v>
      </c>
      <c r="L335" s="31">
        <v>2560.1428571428573</v>
      </c>
      <c r="M335" s="74">
        <v>24.743697478991599</v>
      </c>
      <c r="N335" s="74">
        <v>48.033766233766229</v>
      </c>
      <c r="O335" s="75">
        <v>1059.7793382352968</v>
      </c>
      <c r="P335" s="75">
        <v>1225.5941818181823</v>
      </c>
      <c r="Q335" s="76">
        <v>0.22867315816784481</v>
      </c>
      <c r="R335" s="76">
        <v>0.4833158476897591</v>
      </c>
      <c r="S335" s="31">
        <v>24.142857142857142</v>
      </c>
      <c r="T335" s="31"/>
      <c r="U335" s="76">
        <v>0.26388036381898328</v>
      </c>
      <c r="V335" s="76">
        <v>1.3818181818181818</v>
      </c>
      <c r="W335" s="76">
        <v>1.0946435183646774</v>
      </c>
      <c r="X335" s="76">
        <v>-3.6751669777025486E-2</v>
      </c>
      <c r="Y335" s="76">
        <v>-2.569733992539347E-2</v>
      </c>
      <c r="Z335" s="76">
        <v>-3.4906588003932981E-2</v>
      </c>
      <c r="AA335" s="76">
        <v>3.8167938931297662E-2</v>
      </c>
      <c r="AB335" s="76">
        <v>-9.5107045765283615E-3</v>
      </c>
      <c r="AC335" s="76">
        <v>-4.5925752202391257E-2</v>
      </c>
      <c r="AD335" s="142">
        <v>0.86294734708078891</v>
      </c>
      <c r="AE335" s="142">
        <v>0.83239277447749738</v>
      </c>
      <c r="AF335" s="142">
        <v>6.5831043576369139E-2</v>
      </c>
    </row>
    <row r="336" spans="1:32" x14ac:dyDescent="0.35">
      <c r="A336" t="s">
        <v>68</v>
      </c>
      <c r="B336" t="s">
        <v>273</v>
      </c>
      <c r="C336" s="31">
        <v>89</v>
      </c>
      <c r="D336" s="31">
        <v>24</v>
      </c>
      <c r="E336" s="72">
        <v>96</v>
      </c>
      <c r="F336" s="31">
        <v>26</v>
      </c>
      <c r="G336" s="73">
        <v>126813.74000000017</v>
      </c>
      <c r="H336" s="31">
        <v>34333.070000000007</v>
      </c>
      <c r="I336" s="72">
        <v>22293.040000000019</v>
      </c>
      <c r="J336" s="72">
        <v>15870.820000000007</v>
      </c>
      <c r="K336" s="31">
        <v>1460</v>
      </c>
      <c r="L336" s="31">
        <v>893</v>
      </c>
      <c r="M336" s="74">
        <v>15.208333333333334</v>
      </c>
      <c r="N336" s="74">
        <v>35.46153846153846</v>
      </c>
      <c r="O336" s="75">
        <v>1320.9764583333351</v>
      </c>
      <c r="P336" s="75">
        <v>1320.5026923076925</v>
      </c>
      <c r="Q336" s="76">
        <v>0.17579356937189922</v>
      </c>
      <c r="R336" s="76">
        <v>0.46226043869656863</v>
      </c>
      <c r="S336" s="31">
        <v>49.714285714285715</v>
      </c>
      <c r="T336" s="31"/>
      <c r="U336" s="76">
        <v>0.56278995360742301</v>
      </c>
      <c r="V336" s="76">
        <v>2.6923076923076925</v>
      </c>
      <c r="W336" s="76">
        <v>2.7018323732774303</v>
      </c>
      <c r="X336" s="76">
        <v>0.3532539591527184</v>
      </c>
      <c r="Y336" s="76">
        <v>-5.0053243985336171E-2</v>
      </c>
      <c r="Z336" s="76">
        <v>-5.1243965837356131E-2</v>
      </c>
      <c r="AA336" s="76">
        <v>0.352112676056338</v>
      </c>
      <c r="AB336" s="76">
        <v>0.34534856878060283</v>
      </c>
      <c r="AC336" s="76">
        <v>-5.0026210060124532E-3</v>
      </c>
      <c r="AD336" s="142">
        <v>0.6471581374759362</v>
      </c>
      <c r="AE336" s="142">
        <v>0.82357766628876117</v>
      </c>
      <c r="AF336" s="142">
        <v>-2.0227793118304796E-3</v>
      </c>
    </row>
    <row r="337" spans="1:32" x14ac:dyDescent="0.35">
      <c r="A337" t="s">
        <v>68</v>
      </c>
      <c r="B337" t="s">
        <v>269</v>
      </c>
      <c r="C337" s="31">
        <v>62</v>
      </c>
      <c r="D337" s="31">
        <v>58</v>
      </c>
      <c r="E337" s="72">
        <v>62</v>
      </c>
      <c r="F337" s="31">
        <v>59</v>
      </c>
      <c r="G337" s="73">
        <v>123889.38000000014</v>
      </c>
      <c r="H337" s="31">
        <v>103774.40000000008</v>
      </c>
      <c r="I337" s="72">
        <v>68609.629999999976</v>
      </c>
      <c r="J337" s="72">
        <v>63693.400000000089</v>
      </c>
      <c r="K337" s="31">
        <v>804</v>
      </c>
      <c r="L337" s="31">
        <v>851.85714285714289</v>
      </c>
      <c r="M337" s="74">
        <v>12.96774193548387</v>
      </c>
      <c r="N337" s="74">
        <v>14.396313364055299</v>
      </c>
      <c r="O337" s="75">
        <v>1998.215806451615</v>
      </c>
      <c r="P337" s="75">
        <v>1758.8881355932217</v>
      </c>
      <c r="Q337" s="76">
        <v>0.55379750871301403</v>
      </c>
      <c r="R337" s="76">
        <v>0.58421250221395482</v>
      </c>
      <c r="S337" s="31">
        <v>6.8571428571428568</v>
      </c>
      <c r="T337" s="31"/>
      <c r="U337" s="76">
        <v>-9.408016099278893E-2</v>
      </c>
      <c r="V337" s="76">
        <v>3.3898305084745672E-2</v>
      </c>
      <c r="W337" s="76">
        <v>0.17456125980974146</v>
      </c>
      <c r="X337" s="76">
        <v>0.11121055555802983</v>
      </c>
      <c r="Y337" s="76">
        <v>-7.0209120513957335E-2</v>
      </c>
      <c r="Z337" s="76">
        <v>-6.8828590337524864E-2</v>
      </c>
      <c r="AA337" s="76">
        <v>0.26530612244897966</v>
      </c>
      <c r="AB337" s="76">
        <v>0.26525500852614092</v>
      </c>
      <c r="AC337" s="76">
        <v>-4.0396487404725789E-5</v>
      </c>
      <c r="AD337" s="142">
        <v>-0.40525809400567314</v>
      </c>
      <c r="AE337" s="142">
        <v>-0.35478902674410084</v>
      </c>
      <c r="AF337" s="142">
        <v>-0.28061296727608787</v>
      </c>
    </row>
    <row r="338" spans="1:32" x14ac:dyDescent="0.35">
      <c r="A338" t="s">
        <v>68</v>
      </c>
      <c r="B338" t="s">
        <v>268</v>
      </c>
      <c r="C338" s="31">
        <v>99</v>
      </c>
      <c r="D338" s="31">
        <v>169</v>
      </c>
      <c r="E338" s="72">
        <v>107</v>
      </c>
      <c r="F338" s="31">
        <v>169</v>
      </c>
      <c r="G338" s="73">
        <v>116289.72000000015</v>
      </c>
      <c r="H338" s="31">
        <v>183466.55999999985</v>
      </c>
      <c r="I338" s="72">
        <v>25551.509999999984</v>
      </c>
      <c r="J338" s="72">
        <v>96922.859999999739</v>
      </c>
      <c r="K338" s="31">
        <v>1883.7142857142858</v>
      </c>
      <c r="L338" s="31">
        <v>2445.5714285714284</v>
      </c>
      <c r="M338" s="74">
        <v>17.604806408544729</v>
      </c>
      <c r="N338" s="74">
        <v>14.388341543513956</v>
      </c>
      <c r="O338" s="75">
        <v>1086.8198130841135</v>
      </c>
      <c r="P338" s="75">
        <v>1085.6009467455613</v>
      </c>
      <c r="Q338" s="76">
        <v>0.21972286114370171</v>
      </c>
      <c r="R338" s="76">
        <v>0.51518214303387844</v>
      </c>
      <c r="S338" s="31">
        <v>672.42857142857144</v>
      </c>
      <c r="T338" s="31"/>
      <c r="U338" s="76">
        <v>-0.2504235060459139</v>
      </c>
      <c r="V338" s="76">
        <v>-0.39053254437869822</v>
      </c>
      <c r="W338" s="76">
        <v>-0.38795516741579383</v>
      </c>
      <c r="X338" s="76">
        <v>-0.74364627465824351</v>
      </c>
      <c r="Y338" s="76">
        <v>-4.0752977897148379E-2</v>
      </c>
      <c r="Z338" s="76">
        <v>-5.1708018698309877E-2</v>
      </c>
      <c r="AA338" s="76">
        <v>-0.13709677419354838</v>
      </c>
      <c r="AB338" s="76">
        <v>-0.12991938286003546</v>
      </c>
      <c r="AC338" s="76">
        <v>8.3177245360337437E-3</v>
      </c>
      <c r="AD338" s="142">
        <v>-0.28192497793764826</v>
      </c>
      <c r="AE338" s="142">
        <v>-0.42432185381779308</v>
      </c>
      <c r="AF338" s="142">
        <v>-0.78014100896509464</v>
      </c>
    </row>
    <row r="339" spans="1:32" x14ac:dyDescent="0.35">
      <c r="A339" t="s">
        <v>68</v>
      </c>
      <c r="B339" t="s">
        <v>776</v>
      </c>
      <c r="C339" s="31">
        <v>10</v>
      </c>
      <c r="D339" s="31"/>
      <c r="E339" s="72">
        <v>10</v>
      </c>
      <c r="F339" s="31"/>
      <c r="G339" s="73">
        <v>40791.600000000006</v>
      </c>
      <c r="H339" s="31"/>
      <c r="I339" s="72">
        <v>17548.54</v>
      </c>
      <c r="J339" s="72"/>
      <c r="K339" s="31">
        <v>907</v>
      </c>
      <c r="L339" s="31"/>
      <c r="M339" s="74">
        <v>90.7</v>
      </c>
      <c r="N339" s="74"/>
      <c r="O339" s="75">
        <v>4079.1600000000008</v>
      </c>
      <c r="P339" s="75"/>
      <c r="Q339" s="76">
        <v>0.43019984506614101</v>
      </c>
      <c r="R339" s="76"/>
      <c r="S339" s="31">
        <v>164.85714285714286</v>
      </c>
      <c r="T339" s="31"/>
      <c r="U339" s="76"/>
      <c r="V339" s="76"/>
      <c r="W339" s="76"/>
      <c r="X339" s="76"/>
      <c r="Y339" s="76">
        <v>6.2594141214347587E-2</v>
      </c>
      <c r="Z339" s="76">
        <v>6.2594142259414287E-2</v>
      </c>
      <c r="AA339" s="76">
        <v>0.25</v>
      </c>
      <c r="AB339" s="76">
        <v>0.22374995799993291</v>
      </c>
      <c r="AC339" s="76">
        <v>-2.1000033600053536E-2</v>
      </c>
      <c r="AD339" s="142">
        <v>-0.65684205469251333</v>
      </c>
      <c r="AE339" s="142">
        <v>-0.63522787927360902</v>
      </c>
      <c r="AF339" s="142">
        <v>-0.58776935887620074</v>
      </c>
    </row>
    <row r="340" spans="1:32" x14ac:dyDescent="0.35">
      <c r="A340" t="s">
        <v>68</v>
      </c>
      <c r="B340" t="s">
        <v>262</v>
      </c>
      <c r="C340" s="31">
        <v>15</v>
      </c>
      <c r="D340" s="31">
        <v>166</v>
      </c>
      <c r="E340" s="72">
        <v>16</v>
      </c>
      <c r="F340" s="31">
        <v>167</v>
      </c>
      <c r="G340" s="73">
        <v>40183.17</v>
      </c>
      <c r="H340" s="31">
        <v>437751.94999999925</v>
      </c>
      <c r="I340" s="72">
        <v>2559.1299999999992</v>
      </c>
      <c r="J340" s="72">
        <v>86365.299999999406</v>
      </c>
      <c r="K340" s="31">
        <v>873.28571428571433</v>
      </c>
      <c r="L340" s="31">
        <v>4219.8571428571431</v>
      </c>
      <c r="M340" s="74">
        <v>54.580357142857146</v>
      </c>
      <c r="N340" s="74">
        <v>25.292358803986712</v>
      </c>
      <c r="O340" s="75">
        <v>2511.4481249999999</v>
      </c>
      <c r="P340" s="75">
        <v>2621.2691616766424</v>
      </c>
      <c r="Q340" s="76">
        <v>6.3686613077066828E-2</v>
      </c>
      <c r="R340" s="76">
        <v>0.19170908213988005</v>
      </c>
      <c r="S340" s="31">
        <v>5.5714285714285712</v>
      </c>
      <c r="T340" s="31"/>
      <c r="U340" s="76">
        <v>-0.79857138020921492</v>
      </c>
      <c r="V340" s="76">
        <v>-0.91017964071856283</v>
      </c>
      <c r="W340" s="76">
        <v>-0.9131741617598732</v>
      </c>
      <c r="X340" s="76">
        <v>-0.97382557625067367</v>
      </c>
      <c r="Y340" s="76">
        <v>8.1486320484471797E-3</v>
      </c>
      <c r="Z340" s="76">
        <v>1.0747354497354644E-2</v>
      </c>
      <c r="AA340" s="76">
        <v>1.2857142857142856</v>
      </c>
      <c r="AB340" s="76">
        <v>1.1480756246862738</v>
      </c>
      <c r="AC340" s="76">
        <v>-6.0216914199755167E-2</v>
      </c>
      <c r="AD340" s="142">
        <v>-0.35832908894761956</v>
      </c>
      <c r="AE340" s="142">
        <v>-0.4754673715345199</v>
      </c>
      <c r="AF340" s="142">
        <v>-0.78361036183980382</v>
      </c>
    </row>
    <row r="341" spans="1:32" x14ac:dyDescent="0.35">
      <c r="A341" t="s">
        <v>68</v>
      </c>
      <c r="B341" t="s">
        <v>266</v>
      </c>
      <c r="C341" s="31">
        <v>29</v>
      </c>
      <c r="D341" s="31">
        <v>202</v>
      </c>
      <c r="E341" s="72">
        <v>29</v>
      </c>
      <c r="F341" s="31">
        <v>202</v>
      </c>
      <c r="G341" s="73">
        <v>31987.220000000027</v>
      </c>
      <c r="H341" s="31">
        <v>277164.48000000051</v>
      </c>
      <c r="I341" s="72">
        <v>464.75</v>
      </c>
      <c r="J341" s="72">
        <v>84087.950000000506</v>
      </c>
      <c r="K341" s="31">
        <v>304.71428571428572</v>
      </c>
      <c r="L341" s="31">
        <v>3412.7142857142858</v>
      </c>
      <c r="M341" s="74">
        <v>10.507389162561577</v>
      </c>
      <c r="N341" s="74">
        <v>17.210124826629681</v>
      </c>
      <c r="O341" s="75">
        <v>1103.0075862068975</v>
      </c>
      <c r="P341" s="75">
        <v>1372.1013861386164</v>
      </c>
      <c r="Q341" s="76">
        <v>1.4529240115271024E-2</v>
      </c>
      <c r="R341" s="76">
        <v>0.29783451777595588</v>
      </c>
      <c r="S341" s="31">
        <v>2828</v>
      </c>
      <c r="T341" s="31"/>
      <c r="U341" s="76">
        <v>-0.91632131943572359</v>
      </c>
      <c r="V341" s="76">
        <v>-0.87623762376237624</v>
      </c>
      <c r="W341" s="76">
        <v>-0.90010530930947585</v>
      </c>
      <c r="X341" s="76">
        <v>-0.99235832246799205</v>
      </c>
      <c r="Y341" s="76">
        <v>0.14938558088764164</v>
      </c>
      <c r="Z341" s="76">
        <v>0.12737843551797057</v>
      </c>
      <c r="AA341" s="76">
        <v>0.44999999999999996</v>
      </c>
      <c r="AB341" s="76">
        <v>0.52745819658314463</v>
      </c>
      <c r="AC341" s="76">
        <v>5.3419445919410169E-2</v>
      </c>
      <c r="AD341" s="142">
        <v>-0.87214491888476864</v>
      </c>
      <c r="AE341" s="142">
        <v>-0.93925652026551243</v>
      </c>
      <c r="AF341" s="142">
        <v>-0.99743617603944479</v>
      </c>
    </row>
    <row r="342" spans="1:32" x14ac:dyDescent="0.35">
      <c r="A342" t="s">
        <v>68</v>
      </c>
      <c r="B342" t="s">
        <v>275</v>
      </c>
      <c r="C342" s="31">
        <v>5</v>
      </c>
      <c r="D342" s="31">
        <v>16</v>
      </c>
      <c r="E342" s="72">
        <v>12</v>
      </c>
      <c r="F342" s="31">
        <v>19</v>
      </c>
      <c r="G342" s="73">
        <v>1124.8799999999999</v>
      </c>
      <c r="H342" s="31">
        <v>5043.5599999999986</v>
      </c>
      <c r="I342" s="72">
        <v>500.61999999999995</v>
      </c>
      <c r="J342" s="72">
        <v>3304.5499999999984</v>
      </c>
      <c r="K342" s="31">
        <v>870.71428571428567</v>
      </c>
      <c r="L342" s="31">
        <v>1465.8571428571429</v>
      </c>
      <c r="M342" s="74">
        <v>72.55952380952381</v>
      </c>
      <c r="N342" s="74">
        <v>78.255639097744364</v>
      </c>
      <c r="O342" s="75">
        <v>93.74</v>
      </c>
      <c r="P342" s="75">
        <v>265.45052631578938</v>
      </c>
      <c r="Q342" s="76">
        <v>0.44504302681174879</v>
      </c>
      <c r="R342" s="76">
        <v>0.65520188121089062</v>
      </c>
      <c r="S342" s="31"/>
      <c r="T342" s="31"/>
      <c r="U342" s="76">
        <v>-0.43943085469252519</v>
      </c>
      <c r="V342" s="76">
        <v>-0.36842105263157898</v>
      </c>
      <c r="W342" s="76">
        <v>-0.77696706294760043</v>
      </c>
      <c r="X342" s="76">
        <v>-0.84850584799745798</v>
      </c>
      <c r="Y342" s="76">
        <v>-4.6568826322535783E-2</v>
      </c>
      <c r="Z342" s="76">
        <v>-3.5143264207693647E-2</v>
      </c>
      <c r="AA342" s="76">
        <v>-0.4</v>
      </c>
      <c r="AB342" s="76">
        <v>-0.51786862340022477</v>
      </c>
      <c r="AC342" s="76">
        <v>-0.19644770566704106</v>
      </c>
      <c r="AD342" s="142"/>
      <c r="AE342" s="142"/>
      <c r="AF342" s="142"/>
    </row>
    <row r="343" spans="1:32" x14ac:dyDescent="0.35">
      <c r="A343" t="s">
        <v>68</v>
      </c>
      <c r="B343" t="s">
        <v>274</v>
      </c>
      <c r="C343" s="31">
        <v>1</v>
      </c>
      <c r="D343" s="31">
        <v>13</v>
      </c>
      <c r="E343" s="72">
        <v>1</v>
      </c>
      <c r="F343" s="31">
        <v>13</v>
      </c>
      <c r="G343" s="73">
        <v>291.66000000000003</v>
      </c>
      <c r="H343" s="31">
        <v>8266.5399999999991</v>
      </c>
      <c r="I343" s="72">
        <v>59.79</v>
      </c>
      <c r="J343" s="72">
        <v>4908.8799999999992</v>
      </c>
      <c r="K343" s="31">
        <v>98.857142857142861</v>
      </c>
      <c r="L343" s="31">
        <v>262.14285714285717</v>
      </c>
      <c r="M343" s="74">
        <v>98.857142857142861</v>
      </c>
      <c r="N343" s="74">
        <v>20.780219780219781</v>
      </c>
      <c r="O343" s="75">
        <v>291.66000000000003</v>
      </c>
      <c r="P343" s="75">
        <v>635.88769230769219</v>
      </c>
      <c r="Q343" s="76">
        <v>0.20499897140506065</v>
      </c>
      <c r="R343" s="76">
        <v>0.59382522796720272</v>
      </c>
      <c r="S343" s="31"/>
      <c r="T343" s="31"/>
      <c r="U343" s="76">
        <v>-0.65340599455040871</v>
      </c>
      <c r="V343" s="76">
        <v>-0.92307692307692313</v>
      </c>
      <c r="W343" s="76">
        <v>-0.96471800777592565</v>
      </c>
      <c r="X343" s="76">
        <v>-0.98782003226805304</v>
      </c>
      <c r="Y343" s="76">
        <v>-1.2093181126001551E-2</v>
      </c>
      <c r="Z343" s="76">
        <v>-3.3519553072625663E-2</v>
      </c>
      <c r="AA343" s="76">
        <v>-0.5</v>
      </c>
      <c r="AB343" s="76">
        <v>-0.48528166031342646</v>
      </c>
      <c r="AC343" s="76">
        <v>2.943667937314709E-2</v>
      </c>
      <c r="AD343" s="142"/>
      <c r="AE343" s="142"/>
      <c r="AF343" s="142"/>
    </row>
    <row r="344" spans="1:32" x14ac:dyDescent="0.35">
      <c r="A344" t="s">
        <v>68</v>
      </c>
      <c r="B344" t="s">
        <v>779</v>
      </c>
      <c r="C344" s="31"/>
      <c r="D344" s="31"/>
      <c r="E344" s="72"/>
      <c r="F344" s="31"/>
      <c r="G344" s="73"/>
      <c r="H344" s="31"/>
      <c r="I344" s="72"/>
      <c r="J344" s="72"/>
      <c r="K344" s="31"/>
      <c r="L344" s="31"/>
      <c r="M344" s="74"/>
      <c r="N344" s="74"/>
      <c r="O344" s="75"/>
      <c r="P344" s="75"/>
      <c r="Q344" s="76"/>
      <c r="R344" s="76"/>
      <c r="S344" s="31">
        <v>36</v>
      </c>
      <c r="T344" s="31"/>
      <c r="U344" s="76"/>
      <c r="V344" s="76"/>
      <c r="W344" s="76"/>
      <c r="X344" s="76"/>
      <c r="Y344" s="76"/>
      <c r="Z344" s="76"/>
      <c r="AA344" s="76"/>
      <c r="AB344" s="76"/>
      <c r="AC344" s="76"/>
      <c r="AD344" s="142"/>
      <c r="AE344" s="142"/>
      <c r="AF344" s="142"/>
    </row>
    <row r="345" spans="1:32" x14ac:dyDescent="0.35">
      <c r="A345" t="s">
        <v>68</v>
      </c>
      <c r="B345" t="s">
        <v>778</v>
      </c>
      <c r="C345" s="31"/>
      <c r="D345" s="31"/>
      <c r="E345" s="72"/>
      <c r="F345" s="31"/>
      <c r="G345" s="73"/>
      <c r="H345" s="31"/>
      <c r="I345" s="72"/>
      <c r="J345" s="72"/>
      <c r="K345" s="31">
        <v>5</v>
      </c>
      <c r="L345" s="31"/>
      <c r="M345" s="74"/>
      <c r="N345" s="74"/>
      <c r="O345" s="75"/>
      <c r="P345" s="75"/>
      <c r="Q345" s="76"/>
      <c r="R345" s="76"/>
      <c r="S345" s="31"/>
      <c r="T345" s="31"/>
      <c r="U345" s="76"/>
      <c r="V345" s="76"/>
      <c r="W345" s="76"/>
      <c r="X345" s="76"/>
      <c r="Y345" s="76">
        <v>0</v>
      </c>
      <c r="Z345" s="76">
        <v>0</v>
      </c>
      <c r="AA345" s="76"/>
      <c r="AB345" s="76"/>
      <c r="AC345" s="76"/>
      <c r="AD345" s="142"/>
      <c r="AE345" s="142"/>
      <c r="AF345" s="142"/>
    </row>
    <row r="346" spans="1:32" x14ac:dyDescent="0.35">
      <c r="A346" t="s">
        <v>68</v>
      </c>
      <c r="B346" t="s">
        <v>780</v>
      </c>
      <c r="C346" s="31"/>
      <c r="D346" s="31"/>
      <c r="E346" s="72"/>
      <c r="F346" s="31"/>
      <c r="G346" s="73"/>
      <c r="H346" s="31"/>
      <c r="I346" s="72"/>
      <c r="J346" s="72"/>
      <c r="K346" s="31"/>
      <c r="L346" s="31"/>
      <c r="M346" s="74"/>
      <c r="N346" s="74"/>
      <c r="O346" s="75"/>
      <c r="P346" s="75"/>
      <c r="Q346" s="76"/>
      <c r="R346" s="76"/>
      <c r="S346" s="31">
        <v>72</v>
      </c>
      <c r="T346" s="31"/>
      <c r="U346" s="76"/>
      <c r="V346" s="76"/>
      <c r="W346" s="76"/>
      <c r="X346" s="76"/>
      <c r="Y346" s="76"/>
      <c r="Z346" s="76"/>
      <c r="AA346" s="76"/>
      <c r="AB346" s="76"/>
      <c r="AC346" s="76"/>
      <c r="AD346" s="142"/>
      <c r="AE346" s="142"/>
      <c r="AF346" s="142"/>
    </row>
    <row r="347" spans="1:32" x14ac:dyDescent="0.35">
      <c r="A347" t="s">
        <v>68</v>
      </c>
      <c r="B347" t="s">
        <v>777</v>
      </c>
      <c r="C347" s="31"/>
      <c r="D347" s="31"/>
      <c r="E347" s="72"/>
      <c r="F347" s="31"/>
      <c r="G347" s="73"/>
      <c r="H347" s="31"/>
      <c r="I347" s="72"/>
      <c r="J347" s="72"/>
      <c r="K347" s="31">
        <v>-1</v>
      </c>
      <c r="L347" s="31"/>
      <c r="M347" s="74"/>
      <c r="N347" s="74"/>
      <c r="O347" s="75"/>
      <c r="P347" s="75"/>
      <c r="Q347" s="76"/>
      <c r="R347" s="76"/>
      <c r="S347" s="31">
        <v>26</v>
      </c>
      <c r="T347" s="31"/>
      <c r="U347" s="76"/>
      <c r="V347" s="76"/>
      <c r="W347" s="76"/>
      <c r="X347" s="76"/>
      <c r="Y347" s="76">
        <v>0</v>
      </c>
      <c r="Z347" s="76">
        <v>0</v>
      </c>
      <c r="AA347" s="76"/>
      <c r="AB347" s="76"/>
      <c r="AC347" s="76"/>
      <c r="AD347" s="142"/>
      <c r="AE347" s="142"/>
      <c r="AF347" s="142"/>
    </row>
    <row r="348" spans="1:32" x14ac:dyDescent="0.35">
      <c r="A348" s="138" t="s">
        <v>843</v>
      </c>
      <c r="B348" s="138"/>
      <c r="C348" s="127">
        <v>4098</v>
      </c>
      <c r="D348" s="127">
        <v>6229</v>
      </c>
      <c r="E348" s="126">
        <v>4452</v>
      </c>
      <c r="F348" s="127">
        <v>6830</v>
      </c>
      <c r="G348" s="127">
        <v>8629538.5200002994</v>
      </c>
      <c r="H348" s="127">
        <v>10368105.78000107</v>
      </c>
      <c r="I348" s="126">
        <v>2911724.780000004</v>
      </c>
      <c r="J348" s="126">
        <v>3687270.1900010649</v>
      </c>
      <c r="K348" s="127">
        <v>74221.142857142855</v>
      </c>
      <c r="L348" s="127">
        <v>79353.857142857145</v>
      </c>
      <c r="M348" s="140">
        <v>16.671415736105761</v>
      </c>
      <c r="N348" s="140">
        <v>11.80508283209821</v>
      </c>
      <c r="O348" s="139">
        <v>1938.3509703504715</v>
      </c>
      <c r="P348" s="139">
        <v>1518.0242723281215</v>
      </c>
      <c r="Q348" s="141">
        <v>0.33741372997543595</v>
      </c>
      <c r="R348" s="141">
        <v>0.34951439978367765</v>
      </c>
      <c r="S348" s="127">
        <v>61939.285714285717</v>
      </c>
      <c r="T348" s="127"/>
      <c r="U348" s="141">
        <v>-9.4020094441354063E-2</v>
      </c>
      <c r="V348" s="141">
        <v>-0.36632503660322113</v>
      </c>
      <c r="W348" s="141">
        <v>-0.18938075880630889</v>
      </c>
      <c r="X348" s="141">
        <v>-0.21898725643552752</v>
      </c>
      <c r="Y348" s="141">
        <v>-1.8323212058864446E-2</v>
      </c>
      <c r="Z348" s="141">
        <v>-1.5862191763177047E-2</v>
      </c>
      <c r="AA348" s="141">
        <v>0.19967663702506067</v>
      </c>
      <c r="AB348" s="141">
        <v>0.22350857989807427</v>
      </c>
      <c r="AC348" s="141">
        <v>1.9865305481076678E-2</v>
      </c>
      <c r="AD348" s="143">
        <v>-0.30035796150837313</v>
      </c>
      <c r="AE348" s="143">
        <v>-0.28283416954107948</v>
      </c>
      <c r="AF348" s="143">
        <v>-0.38912386825491491</v>
      </c>
    </row>
    <row r="349" spans="1:32" x14ac:dyDescent="0.35">
      <c r="A349" t="s">
        <v>81</v>
      </c>
      <c r="B349" t="s">
        <v>501</v>
      </c>
      <c r="C349" s="31">
        <v>685</v>
      </c>
      <c r="D349" s="31">
        <v>1256</v>
      </c>
      <c r="E349" s="72">
        <v>707</v>
      </c>
      <c r="F349" s="31">
        <v>1305</v>
      </c>
      <c r="G349" s="73">
        <v>1059286.6399999983</v>
      </c>
      <c r="H349" s="31">
        <v>1373489.17</v>
      </c>
      <c r="I349" s="72">
        <v>476262.26999999804</v>
      </c>
      <c r="J349" s="72">
        <v>563769.34000000113</v>
      </c>
      <c r="K349" s="31">
        <v>11088.285714285714</v>
      </c>
      <c r="L349" s="31">
        <v>17955.428571428572</v>
      </c>
      <c r="M349" s="74">
        <v>15.68357243887654</v>
      </c>
      <c r="N349" s="74">
        <v>14.016661292056327</v>
      </c>
      <c r="O349" s="75">
        <v>1498.2837906647783</v>
      </c>
      <c r="P349" s="75">
        <v>1052.4821226053639</v>
      </c>
      <c r="Q349" s="76">
        <v>0.44960660506395023</v>
      </c>
      <c r="R349" s="76">
        <v>0.40351322673129014</v>
      </c>
      <c r="S349" s="31">
        <v>4397.8571428571431</v>
      </c>
      <c r="T349" s="31"/>
      <c r="U349" s="76">
        <v>-0.40247278976513268</v>
      </c>
      <c r="V349" s="76">
        <v>-0.47816091954022988</v>
      </c>
      <c r="W349" s="76">
        <v>-0.25448741616215242</v>
      </c>
      <c r="X349" s="76">
        <v>-0.16944094401298726</v>
      </c>
      <c r="Y349" s="76">
        <v>4.1325279132466086E-2</v>
      </c>
      <c r="Z349" s="76">
        <v>4.4516215852509644E-2</v>
      </c>
      <c r="AA349" s="76">
        <v>0.19224283305227652</v>
      </c>
      <c r="AB349" s="76">
        <v>0.2505412410280794</v>
      </c>
      <c r="AC349" s="76">
        <v>4.8898098910397536E-2</v>
      </c>
      <c r="AD349" s="142">
        <v>-0.34263928004589433</v>
      </c>
      <c r="AE349" s="142">
        <v>-0.36618181634296559</v>
      </c>
      <c r="AF349" s="142">
        <v>-0.32147779422675116</v>
      </c>
    </row>
    <row r="350" spans="1:32" x14ac:dyDescent="0.35">
      <c r="A350" t="s">
        <v>81</v>
      </c>
      <c r="B350" t="s">
        <v>506</v>
      </c>
      <c r="C350" s="31">
        <v>3020</v>
      </c>
      <c r="D350" s="31">
        <v>2981</v>
      </c>
      <c r="E350" s="72">
        <v>3480</v>
      </c>
      <c r="F350" s="31">
        <v>3632</v>
      </c>
      <c r="G350" s="73">
        <v>950940.49999999371</v>
      </c>
      <c r="H350" s="31">
        <v>494106.9999999975</v>
      </c>
      <c r="I350" s="72">
        <v>573770.68999999331</v>
      </c>
      <c r="J350" s="72">
        <v>238563.77999999787</v>
      </c>
      <c r="K350" s="31">
        <v>42916</v>
      </c>
      <c r="L350" s="31">
        <v>73757.428571428565</v>
      </c>
      <c r="M350" s="74">
        <v>12.332183908045977</v>
      </c>
      <c r="N350" s="74">
        <v>20.398650708949535</v>
      </c>
      <c r="O350" s="75">
        <v>273.25876436781431</v>
      </c>
      <c r="P350" s="75">
        <v>136.04267621145306</v>
      </c>
      <c r="Q350" s="76">
        <v>0.60337180927723355</v>
      </c>
      <c r="R350" s="76">
        <v>0.46752170935269127</v>
      </c>
      <c r="S350" s="31">
        <v>19636.285714285714</v>
      </c>
      <c r="T350" s="31"/>
      <c r="U350" s="76">
        <v>-0.433378139151117</v>
      </c>
      <c r="V350" s="76">
        <v>-6.9383259911894313E-2</v>
      </c>
      <c r="W350" s="76">
        <v>0.87249182869296882</v>
      </c>
      <c r="X350" s="76">
        <v>1.4104048889863865</v>
      </c>
      <c r="Y350" s="76">
        <v>1.9017650762968685E-2</v>
      </c>
      <c r="Z350" s="76">
        <v>3.0792141038574306E-2</v>
      </c>
      <c r="AA350" s="76">
        <v>8.6281276962907327E-4</v>
      </c>
      <c r="AB350" s="76">
        <v>2.7967214117769812E-2</v>
      </c>
      <c r="AC350" s="76">
        <v>2.708103548490981E-2</v>
      </c>
      <c r="AD350" s="142">
        <v>-0.10723021921038405</v>
      </c>
      <c r="AE350" s="142">
        <v>0.40968427988989015</v>
      </c>
      <c r="AF350" s="142">
        <v>0.73251472853152866</v>
      </c>
    </row>
    <row r="351" spans="1:32" x14ac:dyDescent="0.35">
      <c r="A351" t="s">
        <v>81</v>
      </c>
      <c r="B351" t="s">
        <v>508</v>
      </c>
      <c r="C351" s="31">
        <v>3429</v>
      </c>
      <c r="D351" s="31">
        <v>4070</v>
      </c>
      <c r="E351" s="72">
        <v>4028</v>
      </c>
      <c r="F351" s="31">
        <v>5188</v>
      </c>
      <c r="G351" s="73">
        <v>918633.57999997993</v>
      </c>
      <c r="H351" s="31">
        <v>555708.30999999854</v>
      </c>
      <c r="I351" s="72">
        <v>541289.67999998585</v>
      </c>
      <c r="J351" s="72">
        <v>260884.75999999698</v>
      </c>
      <c r="K351" s="31">
        <v>40645.714285714283</v>
      </c>
      <c r="L351" s="31">
        <v>71907.857142857145</v>
      </c>
      <c r="M351" s="74">
        <v>10.090793020286565</v>
      </c>
      <c r="N351" s="74">
        <v>14.10921344665187</v>
      </c>
      <c r="O351" s="75">
        <v>228.06196127109729</v>
      </c>
      <c r="P351" s="75">
        <v>107.11416923669979</v>
      </c>
      <c r="Q351" s="76">
        <v>0.58923350047795731</v>
      </c>
      <c r="R351" s="76">
        <v>0.46121379929761952</v>
      </c>
      <c r="S351" s="31">
        <v>18204.857142857141</v>
      </c>
      <c r="T351" s="31"/>
      <c r="U351" s="76">
        <v>-0.45640154562883051</v>
      </c>
      <c r="V351" s="76">
        <v>-0.25713184271395528</v>
      </c>
      <c r="W351" s="76">
        <v>0.58043961948307787</v>
      </c>
      <c r="X351" s="76">
        <v>1.0220128862104367</v>
      </c>
      <c r="Y351" s="76">
        <v>0.22881363803135635</v>
      </c>
      <c r="Z351" s="76">
        <v>0.1987309933389787</v>
      </c>
      <c r="AA351" s="76">
        <v>0.31590983338778167</v>
      </c>
      <c r="AB351" s="76">
        <v>0.28479063768988766</v>
      </c>
      <c r="AC351" s="76">
        <v>-2.364842552910984E-2</v>
      </c>
      <c r="AD351" s="142">
        <v>0.19085091826638476</v>
      </c>
      <c r="AE351" s="142">
        <v>0.56905888162262297</v>
      </c>
      <c r="AF351" s="142">
        <v>0.92455057699748566</v>
      </c>
    </row>
    <row r="352" spans="1:32" x14ac:dyDescent="0.35">
      <c r="A352" t="s">
        <v>81</v>
      </c>
      <c r="B352" t="s">
        <v>504</v>
      </c>
      <c r="C352" s="31">
        <v>1746</v>
      </c>
      <c r="D352" s="31">
        <v>2924</v>
      </c>
      <c r="E352" s="72">
        <v>3184</v>
      </c>
      <c r="F352" s="31">
        <v>7322</v>
      </c>
      <c r="G352" s="73">
        <v>888883.16999998793</v>
      </c>
      <c r="H352" s="31">
        <v>784726.80999999167</v>
      </c>
      <c r="I352" s="72">
        <v>458822.07999999996</v>
      </c>
      <c r="J352" s="72">
        <v>342110.21999999241</v>
      </c>
      <c r="K352" s="31">
        <v>52608.428571428572</v>
      </c>
      <c r="L352" s="31">
        <v>169118.85714285713</v>
      </c>
      <c r="M352" s="74">
        <v>16.522747666905957</v>
      </c>
      <c r="N352" s="74">
        <v>23.426369502364679</v>
      </c>
      <c r="O352" s="75">
        <v>279.17184987436809</v>
      </c>
      <c r="P352" s="75">
        <v>107.17383365200651</v>
      </c>
      <c r="Q352" s="76">
        <v>0.51617816096125002</v>
      </c>
      <c r="R352" s="76">
        <v>0.42760286657097568</v>
      </c>
      <c r="S352" s="31">
        <v>23251.142857142859</v>
      </c>
      <c r="T352" s="31"/>
      <c r="U352" s="76">
        <v>-0.69995827110603526</v>
      </c>
      <c r="V352" s="76">
        <v>-0.58467631794591646</v>
      </c>
      <c r="W352" s="76">
        <v>7.9932479941647649E-2</v>
      </c>
      <c r="X352" s="76">
        <v>0.31232948946934491</v>
      </c>
      <c r="Y352" s="76">
        <v>-2.8832122854899334E-3</v>
      </c>
      <c r="Z352" s="76">
        <v>-9.5878695296698346E-3</v>
      </c>
      <c r="AA352" s="76">
        <v>-4.2981665163811189E-2</v>
      </c>
      <c r="AB352" s="76">
        <v>-4.4572465595326127E-3</v>
      </c>
      <c r="AC352" s="76">
        <v>4.0254629615714688E-2</v>
      </c>
      <c r="AD352" s="142">
        <v>-0.31174983109337878</v>
      </c>
      <c r="AE352" s="142">
        <v>-0.23924166798441771</v>
      </c>
      <c r="AF352" s="142">
        <v>-0.14709941270454632</v>
      </c>
    </row>
    <row r="353" spans="1:32" x14ac:dyDescent="0.35">
      <c r="A353" t="s">
        <v>81</v>
      </c>
      <c r="B353" t="s">
        <v>505</v>
      </c>
      <c r="C353" s="31">
        <v>1197</v>
      </c>
      <c r="D353" s="31">
        <v>1937</v>
      </c>
      <c r="E353" s="72">
        <v>1363</v>
      </c>
      <c r="F353" s="31">
        <v>2349</v>
      </c>
      <c r="G353" s="73">
        <v>794071.70999999391</v>
      </c>
      <c r="H353" s="31">
        <v>625216.29999999085</v>
      </c>
      <c r="I353" s="72">
        <v>416232.12000000192</v>
      </c>
      <c r="J353" s="72">
        <v>205723.53999998962</v>
      </c>
      <c r="K353" s="31">
        <v>19468</v>
      </c>
      <c r="L353" s="31">
        <v>45243.714285714283</v>
      </c>
      <c r="M353" s="74">
        <v>14.283198826118856</v>
      </c>
      <c r="N353" s="74">
        <v>19.608518784398182</v>
      </c>
      <c r="O353" s="75">
        <v>582.59112986059711</v>
      </c>
      <c r="P353" s="75">
        <v>266.16275010642437</v>
      </c>
      <c r="Q353" s="76">
        <v>0.52417447285712404</v>
      </c>
      <c r="R353" s="76">
        <v>0.3228447880083723</v>
      </c>
      <c r="S353" s="31">
        <v>7440.7142857142853</v>
      </c>
      <c r="T353" s="31"/>
      <c r="U353" s="76">
        <v>-0.58693235998054982</v>
      </c>
      <c r="V353" s="76">
        <v>-0.45551298424861641</v>
      </c>
      <c r="W353" s="76">
        <v>0.19861028895121113</v>
      </c>
      <c r="X353" s="76">
        <v>0.95504042601674266</v>
      </c>
      <c r="Y353" s="76">
        <v>-3.2405435714951136E-2</v>
      </c>
      <c r="Z353" s="76">
        <v>-3.9647080379416777E-2</v>
      </c>
      <c r="AA353" s="76">
        <v>-1.3748191027496359E-2</v>
      </c>
      <c r="AB353" s="76">
        <v>4.9353150044798344E-2</v>
      </c>
      <c r="AC353" s="76">
        <v>6.3980963581739658E-2</v>
      </c>
      <c r="AD353" s="142">
        <v>-0.42924384524493336</v>
      </c>
      <c r="AE353" s="142">
        <v>-0.5391814790659093</v>
      </c>
      <c r="AF353" s="142">
        <v>-0.4662906423116317</v>
      </c>
    </row>
    <row r="354" spans="1:32" x14ac:dyDescent="0.35">
      <c r="A354" t="s">
        <v>81</v>
      </c>
      <c r="B354" t="s">
        <v>509</v>
      </c>
      <c r="C354" s="31">
        <v>2191</v>
      </c>
      <c r="D354" s="31">
        <v>1902</v>
      </c>
      <c r="E354" s="72">
        <v>3090</v>
      </c>
      <c r="F354" s="31">
        <v>2419</v>
      </c>
      <c r="G354" s="73">
        <v>772844.0999999966</v>
      </c>
      <c r="H354" s="31">
        <v>261080.89000000103</v>
      </c>
      <c r="I354" s="72">
        <v>404402.26999999868</v>
      </c>
      <c r="J354" s="72">
        <v>119275.26000000106</v>
      </c>
      <c r="K354" s="31">
        <v>37865.571428571428</v>
      </c>
      <c r="L354" s="31">
        <v>65538</v>
      </c>
      <c r="M354" s="74">
        <v>12.254230235783634</v>
      </c>
      <c r="N354" s="74">
        <v>27.284447515402778</v>
      </c>
      <c r="O354" s="75">
        <v>250.11135922329987</v>
      </c>
      <c r="P354" s="75">
        <v>107.92926415874371</v>
      </c>
      <c r="Q354" s="76">
        <v>0.52326500260531261</v>
      </c>
      <c r="R354" s="76">
        <v>0.44644841004637348</v>
      </c>
      <c r="S354" s="31">
        <v>23825.428571428572</v>
      </c>
      <c r="T354" s="31"/>
      <c r="U354" s="76">
        <v>-0.43876834813390708</v>
      </c>
      <c r="V354" s="76">
        <v>0.21785861926415873</v>
      </c>
      <c r="W354" s="76">
        <v>1.8387813064372205</v>
      </c>
      <c r="X354" s="76">
        <v>2.3408897567066185</v>
      </c>
      <c r="Y354" s="76">
        <v>0.12069982700779214</v>
      </c>
      <c r="Z354" s="76">
        <v>0.39152461400349647</v>
      </c>
      <c r="AA354" s="76">
        <v>0.97823303457106281</v>
      </c>
      <c r="AB354" s="76">
        <v>0.33413873104820535</v>
      </c>
      <c r="AC354" s="76">
        <v>-0.32559071265459649</v>
      </c>
      <c r="AD354" s="142">
        <v>0.2123416378735529</v>
      </c>
      <c r="AE354" s="142">
        <v>0.98436990185825834</v>
      </c>
      <c r="AF354" s="142">
        <v>1.2327572683889467</v>
      </c>
    </row>
    <row r="355" spans="1:32" x14ac:dyDescent="0.35">
      <c r="A355" t="s">
        <v>81</v>
      </c>
      <c r="B355" t="s">
        <v>502</v>
      </c>
      <c r="C355" s="31">
        <v>1552</v>
      </c>
      <c r="D355" s="31">
        <v>3456</v>
      </c>
      <c r="E355" s="72">
        <v>2731</v>
      </c>
      <c r="F355" s="31">
        <v>6986</v>
      </c>
      <c r="G355" s="73">
        <v>748493.04999999225</v>
      </c>
      <c r="H355" s="31">
        <v>1092289.2899999914</v>
      </c>
      <c r="I355" s="72">
        <v>371014.62000000098</v>
      </c>
      <c r="J355" s="72">
        <v>448545.95999999251</v>
      </c>
      <c r="K355" s="31">
        <v>41005.571428571428</v>
      </c>
      <c r="L355" s="31">
        <v>131201.71428571429</v>
      </c>
      <c r="M355" s="74">
        <v>15.014855887430036</v>
      </c>
      <c r="N355" s="74">
        <v>19.016935225268558</v>
      </c>
      <c r="O355" s="75">
        <v>274.0728853899642</v>
      </c>
      <c r="P355" s="75">
        <v>156.35403521328249</v>
      </c>
      <c r="Q355" s="76">
        <v>0.49568211755607461</v>
      </c>
      <c r="R355" s="76">
        <v>0.40301619660804583</v>
      </c>
      <c r="S355" s="31">
        <v>6623.7142857142853</v>
      </c>
      <c r="T355" s="31"/>
      <c r="U355" s="76">
        <v>-0.69710434968184209</v>
      </c>
      <c r="V355" s="76">
        <v>-0.62625250501002006</v>
      </c>
      <c r="W355" s="76">
        <v>-0.33865554060316883</v>
      </c>
      <c r="X355" s="76">
        <v>-0.18699036030413374</v>
      </c>
      <c r="Y355" s="76">
        <v>0.42997863973888495</v>
      </c>
      <c r="Z355" s="76">
        <v>0.149084460243877</v>
      </c>
      <c r="AA355" s="76">
        <v>-6.9090909090908648E-3</v>
      </c>
      <c r="AB355" s="76">
        <v>0.23053207435059098</v>
      </c>
      <c r="AC355" s="76">
        <v>0.2390930810926859</v>
      </c>
      <c r="AD355" s="142">
        <v>-0.54309733928900628</v>
      </c>
      <c r="AE355" s="142">
        <v>-0.45461293729409508</v>
      </c>
      <c r="AF355" s="142">
        <v>-0.3936903208631985</v>
      </c>
    </row>
    <row r="356" spans="1:32" x14ac:dyDescent="0.35">
      <c r="A356" t="s">
        <v>81</v>
      </c>
      <c r="B356" t="s">
        <v>510</v>
      </c>
      <c r="C356" s="31">
        <v>2070</v>
      </c>
      <c r="D356" s="31">
        <v>1868</v>
      </c>
      <c r="E356" s="72">
        <v>2352</v>
      </c>
      <c r="F356" s="31">
        <v>2163</v>
      </c>
      <c r="G356" s="73">
        <v>742116.77999999106</v>
      </c>
      <c r="H356" s="31">
        <v>288422.34000000363</v>
      </c>
      <c r="I356" s="72">
        <v>407977.66999999667</v>
      </c>
      <c r="J356" s="72">
        <v>99573.87000000308</v>
      </c>
      <c r="K356" s="31">
        <v>24346.285714285714</v>
      </c>
      <c r="L356" s="31">
        <v>36212.428571428572</v>
      </c>
      <c r="M356" s="74">
        <v>10.35131195335277</v>
      </c>
      <c r="N356" s="74">
        <v>17.032249708586971</v>
      </c>
      <c r="O356" s="75">
        <v>315.52584183673088</v>
      </c>
      <c r="P356" s="75">
        <v>133.343661581139</v>
      </c>
      <c r="Q356" s="76">
        <v>0.549748612341041</v>
      </c>
      <c r="R356" s="76">
        <v>0.33826618159612631</v>
      </c>
      <c r="S356" s="31">
        <v>6831.2857142857147</v>
      </c>
      <c r="T356" s="31"/>
      <c r="U356" s="76">
        <v>-0.3490593205963225</v>
      </c>
      <c r="V356" s="76">
        <v>6.2413314840499279E-2</v>
      </c>
      <c r="W356" s="76">
        <v>1.5094873025438327</v>
      </c>
      <c r="X356" s="76">
        <v>3.0704560865190951</v>
      </c>
      <c r="Y356" s="76">
        <v>0.49437110727851752</v>
      </c>
      <c r="Z356" s="76">
        <v>0.48055738958195771</v>
      </c>
      <c r="AA356" s="76">
        <v>0.61538461538461542</v>
      </c>
      <c r="AB356" s="76">
        <v>0.78128537632334316</v>
      </c>
      <c r="AC356" s="76">
        <v>0.10270047105730762</v>
      </c>
      <c r="AD356" s="142">
        <v>0.45601010887018451</v>
      </c>
      <c r="AE356" s="142">
        <v>0.87320868530860918</v>
      </c>
      <c r="AF356" s="142">
        <v>1.3347093762916202</v>
      </c>
    </row>
    <row r="357" spans="1:32" x14ac:dyDescent="0.35">
      <c r="A357" t="s">
        <v>81</v>
      </c>
      <c r="B357" t="s">
        <v>507</v>
      </c>
      <c r="C357" s="31">
        <v>2210</v>
      </c>
      <c r="D357" s="31">
        <v>2899</v>
      </c>
      <c r="E357" s="72">
        <v>2650</v>
      </c>
      <c r="F357" s="31">
        <v>3518</v>
      </c>
      <c r="G357" s="73">
        <v>566057.07999997283</v>
      </c>
      <c r="H357" s="31">
        <v>453032.8099999979</v>
      </c>
      <c r="I357" s="72">
        <v>310599.08000000293</v>
      </c>
      <c r="J357" s="72">
        <v>194822.34999999579</v>
      </c>
      <c r="K357" s="31">
        <v>33453.285714285717</v>
      </c>
      <c r="L357" s="31">
        <v>78701.142857142855</v>
      </c>
      <c r="M357" s="74">
        <v>12.623881401617252</v>
      </c>
      <c r="N357" s="74">
        <v>22.547836395969174</v>
      </c>
      <c r="O357" s="75">
        <v>213.60644528300861</v>
      </c>
      <c r="P357" s="75">
        <v>128.7756708357015</v>
      </c>
      <c r="Q357" s="76">
        <v>0.54870628947882405</v>
      </c>
      <c r="R357" s="76">
        <v>0.41578424912077322</v>
      </c>
      <c r="S357" s="31">
        <v>12036</v>
      </c>
      <c r="T357" s="31"/>
      <c r="U357" s="76">
        <v>-0.58907476384441693</v>
      </c>
      <c r="V357" s="76">
        <v>-0.27174530983513356</v>
      </c>
      <c r="W357" s="76">
        <v>0.20113841202799354</v>
      </c>
      <c r="X357" s="76">
        <v>0.59298974057175347</v>
      </c>
      <c r="Y357" s="76">
        <v>2.0295350355357344E-2</v>
      </c>
      <c r="Z357" s="76">
        <v>0.16894209026151996</v>
      </c>
      <c r="AA357" s="76">
        <v>0.43787303309820946</v>
      </c>
      <c r="AB357" s="76">
        <v>0.27156244619984449</v>
      </c>
      <c r="AC357" s="76">
        <v>-0.11566430628441005</v>
      </c>
      <c r="AD357" s="142">
        <v>-2.456042735884937E-2</v>
      </c>
      <c r="AE357" s="142">
        <v>-0.24733972414881356</v>
      </c>
      <c r="AF357" s="142">
        <v>-0.10269778027945209</v>
      </c>
    </row>
    <row r="358" spans="1:32" x14ac:dyDescent="0.35">
      <c r="A358" t="s">
        <v>81</v>
      </c>
      <c r="B358" t="s">
        <v>503</v>
      </c>
      <c r="C358" s="31">
        <v>542</v>
      </c>
      <c r="D358" s="31">
        <v>1667</v>
      </c>
      <c r="E358" s="72">
        <v>575</v>
      </c>
      <c r="F358" s="31">
        <v>1800</v>
      </c>
      <c r="G358" s="73">
        <v>296058.8599999994</v>
      </c>
      <c r="H358" s="31">
        <v>662360.45999999461</v>
      </c>
      <c r="I358" s="72">
        <v>140985.78999999998</v>
      </c>
      <c r="J358" s="72">
        <v>293867.46999999997</v>
      </c>
      <c r="K358" s="31">
        <v>9357.4285714285706</v>
      </c>
      <c r="L358" s="31">
        <v>27793.285714285714</v>
      </c>
      <c r="M358" s="74">
        <v>16.273788819875776</v>
      </c>
      <c r="N358" s="74">
        <v>15.712971552257265</v>
      </c>
      <c r="O358" s="75">
        <v>514.88497391304247</v>
      </c>
      <c r="P358" s="75">
        <v>367.97803333333036</v>
      </c>
      <c r="Q358" s="76">
        <v>0.47620864986104539</v>
      </c>
      <c r="R358" s="76">
        <v>0.43307058115029889</v>
      </c>
      <c r="S358" s="31">
        <v>10462.428571428571</v>
      </c>
      <c r="T358" s="31"/>
      <c r="U358" s="76">
        <v>-0.67185805410350907</v>
      </c>
      <c r="V358" s="76">
        <v>-0.69277777777777771</v>
      </c>
      <c r="W358" s="76">
        <v>-0.57328008377794437</v>
      </c>
      <c r="X358" s="76">
        <v>-0.53137139773975484</v>
      </c>
      <c r="Y358" s="76">
        <v>-4.6204894554810361E-2</v>
      </c>
      <c r="Z358" s="76">
        <v>-6.0526089326181198E-2</v>
      </c>
      <c r="AA358" s="76">
        <v>0.10576923076923084</v>
      </c>
      <c r="AB358" s="76">
        <v>8.7891666944094338E-2</v>
      </c>
      <c r="AC358" s="76">
        <v>-1.6167535980992853E-2</v>
      </c>
      <c r="AD358" s="142">
        <v>-0.63466907848610676</v>
      </c>
      <c r="AE358" s="142">
        <v>-0.59517216855968558</v>
      </c>
      <c r="AF358" s="142">
        <v>-0.56576220455484316</v>
      </c>
    </row>
    <row r="359" spans="1:32" x14ac:dyDescent="0.35">
      <c r="A359" t="s">
        <v>81</v>
      </c>
      <c r="B359" t="s">
        <v>511</v>
      </c>
      <c r="C359" s="31">
        <v>420</v>
      </c>
      <c r="D359" s="31">
        <v>228</v>
      </c>
      <c r="E359" s="72">
        <v>636</v>
      </c>
      <c r="F359" s="31">
        <v>327</v>
      </c>
      <c r="G359" s="73">
        <v>205267.77000000118</v>
      </c>
      <c r="H359" s="31">
        <v>57037.990000000027</v>
      </c>
      <c r="I359" s="72">
        <v>111915.37000000014</v>
      </c>
      <c r="J359" s="72">
        <v>23693.410000000025</v>
      </c>
      <c r="K359" s="31">
        <v>14868.857142857143</v>
      </c>
      <c r="L359" s="31">
        <v>8053.5714285714284</v>
      </c>
      <c r="M359" s="74">
        <v>23.378706199460918</v>
      </c>
      <c r="N359" s="74">
        <v>25.075906183368868</v>
      </c>
      <c r="O359" s="75">
        <v>322.74806603773771</v>
      </c>
      <c r="P359" s="75">
        <v>174.42810397553527</v>
      </c>
      <c r="Q359" s="76">
        <v>0.54521647504622617</v>
      </c>
      <c r="R359" s="76">
        <v>0.40558996801453018</v>
      </c>
      <c r="S359" s="31">
        <v>5476</v>
      </c>
      <c r="T359" s="31"/>
      <c r="U359" s="76">
        <v>0.77694013303769416</v>
      </c>
      <c r="V359" s="76">
        <v>0.86850152905198774</v>
      </c>
      <c r="W359" s="76">
        <v>2.4606901470406113</v>
      </c>
      <c r="X359" s="76">
        <v>3.6413100460422054</v>
      </c>
      <c r="Y359" s="76">
        <v>-2.4158945587776648E-3</v>
      </c>
      <c r="Z359" s="76">
        <v>-4.8036738497625464E-5</v>
      </c>
      <c r="AA359" s="76">
        <v>5.6478405315614655E-2</v>
      </c>
      <c r="AB359" s="76">
        <v>5.6231848471103074E-2</v>
      </c>
      <c r="AC359" s="76">
        <v>-2.3337613269791557E-4</v>
      </c>
      <c r="AD359" s="142">
        <v>-0.46021976693885103</v>
      </c>
      <c r="AE359" s="142">
        <v>-0.40457631154243984</v>
      </c>
      <c r="AF359" s="142">
        <v>-0.33354444230123875</v>
      </c>
    </row>
    <row r="360" spans="1:32" x14ac:dyDescent="0.35">
      <c r="A360" t="s">
        <v>81</v>
      </c>
      <c r="B360" t="s">
        <v>513</v>
      </c>
      <c r="C360" s="31">
        <v>12</v>
      </c>
      <c r="D360" s="31">
        <v>40</v>
      </c>
      <c r="E360" s="72">
        <v>12</v>
      </c>
      <c r="F360" s="31">
        <v>41</v>
      </c>
      <c r="G360" s="73">
        <v>7999.92</v>
      </c>
      <c r="H360" s="31">
        <v>33195.57</v>
      </c>
      <c r="I360" s="72">
        <v>133.87</v>
      </c>
      <c r="J360" s="72">
        <v>6331.0000000000182</v>
      </c>
      <c r="K360" s="31">
        <v>294.71428571428572</v>
      </c>
      <c r="L360" s="31">
        <v>1756.5714285714287</v>
      </c>
      <c r="M360" s="74">
        <v>24.55952380952381</v>
      </c>
      <c r="N360" s="74">
        <v>42.574829931972786</v>
      </c>
      <c r="O360" s="75">
        <v>666.66</v>
      </c>
      <c r="P360" s="75">
        <v>809.64804878048778</v>
      </c>
      <c r="Q360" s="76">
        <v>1.6733917339173392E-2</v>
      </c>
      <c r="R360" s="76">
        <v>0.18696341411554632</v>
      </c>
      <c r="S360" s="31">
        <v>6.4285714285714288</v>
      </c>
      <c r="T360" s="31"/>
      <c r="U360" s="76">
        <v>-0.83466167859466489</v>
      </c>
      <c r="V360" s="76">
        <v>-0.70731707317073167</v>
      </c>
      <c r="W360" s="76">
        <v>-0.75900639754039467</v>
      </c>
      <c r="X360" s="76">
        <v>-0.97881746819139148</v>
      </c>
      <c r="Y360" s="76">
        <v>-7.5737580499684265E-2</v>
      </c>
      <c r="Z360" s="76">
        <v>-7.5716845878136096E-2</v>
      </c>
      <c r="AA360" s="76">
        <v>-0.45454545454545459</v>
      </c>
      <c r="AB360" s="76">
        <v>-0.45823931434081966</v>
      </c>
      <c r="AC360" s="76">
        <v>-6.7720762915027821E-3</v>
      </c>
      <c r="AD360" s="142"/>
      <c r="AE360" s="142"/>
      <c r="AF360" s="142"/>
    </row>
    <row r="361" spans="1:32" x14ac:dyDescent="0.35">
      <c r="A361" t="s">
        <v>81</v>
      </c>
      <c r="B361" t="s">
        <v>512</v>
      </c>
      <c r="C361" s="31">
        <v>16</v>
      </c>
      <c r="D361" s="31">
        <v>135</v>
      </c>
      <c r="E361" s="72">
        <v>16</v>
      </c>
      <c r="F361" s="31">
        <v>138</v>
      </c>
      <c r="G361" s="73">
        <v>4666.5099999999984</v>
      </c>
      <c r="H361" s="31">
        <v>38117.310000000049</v>
      </c>
      <c r="I361" s="72">
        <v>572.17999999999995</v>
      </c>
      <c r="J361" s="72">
        <v>17515.980000000065</v>
      </c>
      <c r="K361" s="31">
        <v>242.85714285714286</v>
      </c>
      <c r="L361" s="31">
        <v>3427.2857142857142</v>
      </c>
      <c r="M361" s="74">
        <v>15.178571428571429</v>
      </c>
      <c r="N361" s="74">
        <v>24.688492063492063</v>
      </c>
      <c r="O361" s="75">
        <v>291.6568749999999</v>
      </c>
      <c r="P361" s="75">
        <v>276.21239130434816</v>
      </c>
      <c r="Q361" s="76">
        <v>0.12261411633104828</v>
      </c>
      <c r="R361" s="76">
        <v>0.44055428009183439</v>
      </c>
      <c r="S361" s="31">
        <v>4.7142857142857144</v>
      </c>
      <c r="T361" s="31"/>
      <c r="U361" s="76">
        <v>-0.92584719269726146</v>
      </c>
      <c r="V361" s="76">
        <v>-0.89130434782608692</v>
      </c>
      <c r="W361" s="76">
        <v>-0.88085413162681225</v>
      </c>
      <c r="X361" s="76">
        <v>-0.96691612597398768</v>
      </c>
      <c r="Y361" s="76">
        <v>-5.4919888619435864E-2</v>
      </c>
      <c r="Z361" s="76">
        <v>-6.5420560747663448E-2</v>
      </c>
      <c r="AA361" s="76">
        <v>6.6666666666666652E-2</v>
      </c>
      <c r="AB361" s="76">
        <v>-1.2349572262458808E-2</v>
      </c>
      <c r="AC361" s="76">
        <v>-7.4077723996055167E-2</v>
      </c>
      <c r="AD361" s="142"/>
      <c r="AE361" s="142"/>
      <c r="AF361" s="142"/>
    </row>
    <row r="362" spans="1:32" x14ac:dyDescent="0.35">
      <c r="A362" t="s">
        <v>81</v>
      </c>
      <c r="B362" t="s">
        <v>514</v>
      </c>
      <c r="C362" s="31">
        <v>64</v>
      </c>
      <c r="D362" s="31">
        <v>249</v>
      </c>
      <c r="E362" s="72">
        <v>67</v>
      </c>
      <c r="F362" s="31">
        <v>262</v>
      </c>
      <c r="G362" s="73">
        <v>3481.09</v>
      </c>
      <c r="H362" s="31">
        <v>11990.839999999997</v>
      </c>
      <c r="I362" s="72">
        <v>1882.5300000000013</v>
      </c>
      <c r="J362" s="72">
        <v>6951.6599999999917</v>
      </c>
      <c r="K362" s="31">
        <v>1059</v>
      </c>
      <c r="L362" s="31">
        <v>6318.2857142857147</v>
      </c>
      <c r="M362" s="74">
        <v>15.805970149253731</v>
      </c>
      <c r="N362" s="74">
        <v>24.45435016111708</v>
      </c>
      <c r="O362" s="75">
        <v>51.956567164179106</v>
      </c>
      <c r="P362" s="75">
        <v>45.766564885496173</v>
      </c>
      <c r="Q362" s="76">
        <v>0.540787511957462</v>
      </c>
      <c r="R362" s="76">
        <v>0.5686815546576981</v>
      </c>
      <c r="S362" s="31">
        <v>265.57142857142856</v>
      </c>
      <c r="T362" s="31"/>
      <c r="U362" s="76">
        <v>-0.83634801483223298</v>
      </c>
      <c r="V362" s="76">
        <v>-0.74427480916030531</v>
      </c>
      <c r="W362" s="76">
        <v>-0.70968756150528223</v>
      </c>
      <c r="X362" s="76">
        <v>-0.72511670489905033</v>
      </c>
      <c r="Y362" s="76">
        <v>-6.4732354402097236E-2</v>
      </c>
      <c r="Z362" s="76">
        <v>-6.4605678233438435E-2</v>
      </c>
      <c r="AA362" s="76">
        <v>-0.19277108433734935</v>
      </c>
      <c r="AB362" s="76">
        <v>-0.21650187598047266</v>
      </c>
      <c r="AC362" s="76">
        <v>-2.9397846363869218E-2</v>
      </c>
      <c r="AD362" s="142"/>
      <c r="AE362" s="142"/>
      <c r="AF362" s="142"/>
    </row>
    <row r="363" spans="1:32" x14ac:dyDescent="0.35">
      <c r="A363" t="s">
        <v>81</v>
      </c>
      <c r="B363" t="s">
        <v>519</v>
      </c>
      <c r="C363" s="31">
        <v>40</v>
      </c>
      <c r="D363" s="31">
        <v>67</v>
      </c>
      <c r="E363" s="72">
        <v>51</v>
      </c>
      <c r="F363" s="31">
        <v>86</v>
      </c>
      <c r="G363" s="73">
        <v>2122.2800000000007</v>
      </c>
      <c r="H363" s="31">
        <v>3938.1899999999973</v>
      </c>
      <c r="I363" s="72">
        <v>312.22000000000003</v>
      </c>
      <c r="J363" s="72">
        <v>1115.7799999999988</v>
      </c>
      <c r="K363" s="31">
        <v>1111.5714285714287</v>
      </c>
      <c r="L363" s="31">
        <v>4259.8571428571431</v>
      </c>
      <c r="M363" s="74">
        <v>21.795518207282914</v>
      </c>
      <c r="N363" s="74">
        <v>47.835637480798766</v>
      </c>
      <c r="O363" s="75">
        <v>41.613333333333344</v>
      </c>
      <c r="P363" s="75">
        <v>45.792906976744156</v>
      </c>
      <c r="Q363" s="76">
        <v>0.14711536649263995</v>
      </c>
      <c r="R363" s="76">
        <v>0.26224214234846993</v>
      </c>
      <c r="S363" s="31">
        <v>113.71428571428571</v>
      </c>
      <c r="T363" s="31"/>
      <c r="U363" s="76">
        <v>-0.73835474026627312</v>
      </c>
      <c r="V363" s="76">
        <v>-0.40697674418604646</v>
      </c>
      <c r="W363" s="76">
        <v>-0.46110268930650833</v>
      </c>
      <c r="X363" s="76">
        <v>-0.70044517787926386</v>
      </c>
      <c r="Y363" s="76">
        <v>-5.5018007922350676E-2</v>
      </c>
      <c r="Z363" s="76">
        <v>-5.0402733707590963E-2</v>
      </c>
      <c r="AA363" s="76">
        <v>-0.38554216867469882</v>
      </c>
      <c r="AB363" s="76">
        <v>-0.38453061425716939</v>
      </c>
      <c r="AC363" s="76">
        <v>1.6462552285283483E-3</v>
      </c>
      <c r="AD363" s="142"/>
      <c r="AE363" s="142"/>
      <c r="AF363" s="142"/>
    </row>
    <row r="364" spans="1:32" x14ac:dyDescent="0.35">
      <c r="A364" t="s">
        <v>81</v>
      </c>
      <c r="B364" t="s">
        <v>517</v>
      </c>
      <c r="C364" s="31">
        <v>14</v>
      </c>
      <c r="D364" s="31">
        <v>16</v>
      </c>
      <c r="E364" s="72">
        <v>14</v>
      </c>
      <c r="F364" s="31">
        <v>16</v>
      </c>
      <c r="G364" s="73">
        <v>1999.8800000000003</v>
      </c>
      <c r="H364" s="31">
        <v>3820.8100000000004</v>
      </c>
      <c r="I364" s="72">
        <v>-100.00000000000003</v>
      </c>
      <c r="J364" s="72">
        <v>1428.1400000000003</v>
      </c>
      <c r="K364" s="31">
        <v>98.428571428571431</v>
      </c>
      <c r="L364" s="31">
        <v>1002.8571428571429</v>
      </c>
      <c r="M364" s="74">
        <v>7.0306122448979593</v>
      </c>
      <c r="N364" s="74">
        <v>63.723214285714285</v>
      </c>
      <c r="O364" s="75">
        <v>142.84857142857146</v>
      </c>
      <c r="P364" s="75">
        <v>238.80062500000003</v>
      </c>
      <c r="Q364" s="76">
        <v>-5.0003000180010804E-2</v>
      </c>
      <c r="R364" s="76">
        <v>0.37377938185882054</v>
      </c>
      <c r="S364" s="31">
        <v>4</v>
      </c>
      <c r="T364" s="31"/>
      <c r="U364" s="76">
        <v>-0.9018518518518519</v>
      </c>
      <c r="V364" s="76">
        <v>-0.125</v>
      </c>
      <c r="W364" s="76">
        <v>-0.476582190687315</v>
      </c>
      <c r="X364" s="76">
        <v>-1.0700211463862084</v>
      </c>
      <c r="Y364" s="76">
        <v>-0.13054067118248847</v>
      </c>
      <c r="Z364" s="76">
        <v>-0.13005050505050497</v>
      </c>
      <c r="AA364" s="76">
        <v>7.6923076923076872E-2</v>
      </c>
      <c r="AB364" s="76">
        <v>0.26318050037581897</v>
      </c>
      <c r="AC364" s="76">
        <v>0.1729533217775463</v>
      </c>
      <c r="AD364" s="142"/>
      <c r="AE364" s="142"/>
      <c r="AF364" s="142"/>
    </row>
    <row r="365" spans="1:32" x14ac:dyDescent="0.35">
      <c r="A365" t="s">
        <v>81</v>
      </c>
      <c r="B365" t="s">
        <v>515</v>
      </c>
      <c r="C365" s="31">
        <v>2</v>
      </c>
      <c r="D365" s="31">
        <v>13</v>
      </c>
      <c r="E365" s="72">
        <v>2</v>
      </c>
      <c r="F365" s="31">
        <v>13</v>
      </c>
      <c r="G365" s="73">
        <v>833.32</v>
      </c>
      <c r="H365" s="31">
        <v>5979.12</v>
      </c>
      <c r="I365" s="72">
        <v>371.84000000000003</v>
      </c>
      <c r="J365" s="72">
        <v>3075.8700000000003</v>
      </c>
      <c r="K365" s="31">
        <v>34.857142857142854</v>
      </c>
      <c r="L365" s="31">
        <v>326.28571428571428</v>
      </c>
      <c r="M365" s="74">
        <v>17.428571428571427</v>
      </c>
      <c r="N365" s="74">
        <v>26.329670329670328</v>
      </c>
      <c r="O365" s="75">
        <v>416.66</v>
      </c>
      <c r="P365" s="75">
        <v>459.93230769230769</v>
      </c>
      <c r="Q365" s="76">
        <v>0.44621513944223107</v>
      </c>
      <c r="R365" s="76">
        <v>0.51443523461646534</v>
      </c>
      <c r="S365" s="31">
        <v>1</v>
      </c>
      <c r="T365" s="31"/>
      <c r="U365" s="76">
        <v>-0.8992994746059545</v>
      </c>
      <c r="V365" s="76">
        <v>-0.84615384615384615</v>
      </c>
      <c r="W365" s="76">
        <v>-0.86062831988653854</v>
      </c>
      <c r="X365" s="76">
        <v>-0.87911062561161557</v>
      </c>
      <c r="Y365" s="76">
        <v>-8.9158246379249517E-2</v>
      </c>
      <c r="Z365" s="76">
        <v>-6.5134099616858343E-2</v>
      </c>
      <c r="AA365" s="76">
        <v>-0.66666666666666674</v>
      </c>
      <c r="AB365" s="76">
        <v>-0.5698882551807789</v>
      </c>
      <c r="AC365" s="76">
        <v>0.29033523445766329</v>
      </c>
      <c r="AD365" s="142"/>
      <c r="AE365" s="142"/>
      <c r="AF365" s="142"/>
    </row>
    <row r="366" spans="1:32" x14ac:dyDescent="0.35">
      <c r="A366" t="s">
        <v>81</v>
      </c>
      <c r="B366" t="s">
        <v>518</v>
      </c>
      <c r="C366" s="31">
        <v>8</v>
      </c>
      <c r="D366" s="31">
        <v>32</v>
      </c>
      <c r="E366" s="72">
        <v>9</v>
      </c>
      <c r="F366" s="31">
        <v>39</v>
      </c>
      <c r="G366" s="73">
        <v>799.93999999999994</v>
      </c>
      <c r="H366" s="31">
        <v>2811.5899999999997</v>
      </c>
      <c r="I366" s="72">
        <v>487.4</v>
      </c>
      <c r="J366" s="72">
        <v>1395.2799999999997</v>
      </c>
      <c r="K366" s="31">
        <v>82.571428571428569</v>
      </c>
      <c r="L366" s="31">
        <v>885.71428571428567</v>
      </c>
      <c r="M366" s="74">
        <v>9.174603174603174</v>
      </c>
      <c r="N366" s="74">
        <v>23.446886446886449</v>
      </c>
      <c r="O366" s="75">
        <v>88.882222222222211</v>
      </c>
      <c r="P366" s="75">
        <v>72.092051282051273</v>
      </c>
      <c r="Q366" s="76">
        <v>0.60929569717728826</v>
      </c>
      <c r="R366" s="76">
        <v>0.496260123275442</v>
      </c>
      <c r="S366" s="31">
        <v>114</v>
      </c>
      <c r="T366" s="31"/>
      <c r="U366" s="76">
        <v>-0.90677419354838706</v>
      </c>
      <c r="V366" s="76">
        <v>-0.76923076923076916</v>
      </c>
      <c r="W366" s="76">
        <v>-0.71548483242578043</v>
      </c>
      <c r="X366" s="76">
        <v>-0.65067943351872026</v>
      </c>
      <c r="Y366" s="76">
        <v>-0.10978384445229894</v>
      </c>
      <c r="Z366" s="76">
        <v>-0.11890243902439024</v>
      </c>
      <c r="AA366" s="76">
        <v>3.5</v>
      </c>
      <c r="AB366" s="76">
        <v>2.6921443736730359</v>
      </c>
      <c r="AC366" s="76">
        <v>-0.17952347251710321</v>
      </c>
      <c r="AD366" s="142"/>
      <c r="AE366" s="142"/>
      <c r="AF366" s="142"/>
    </row>
    <row r="367" spans="1:32" x14ac:dyDescent="0.35">
      <c r="A367" t="s">
        <v>81</v>
      </c>
      <c r="B367" t="s">
        <v>530</v>
      </c>
      <c r="C367" s="31">
        <v>9</v>
      </c>
      <c r="D367" s="31">
        <v>7</v>
      </c>
      <c r="E367" s="72">
        <v>10</v>
      </c>
      <c r="F367" s="31">
        <v>8</v>
      </c>
      <c r="G367" s="73">
        <v>499.90000000000003</v>
      </c>
      <c r="H367" s="31">
        <v>544.41</v>
      </c>
      <c r="I367" s="72">
        <v>12.4</v>
      </c>
      <c r="J367" s="72">
        <v>81.049999999999955</v>
      </c>
      <c r="K367" s="31">
        <v>86</v>
      </c>
      <c r="L367" s="31">
        <v>374.14285714285717</v>
      </c>
      <c r="M367" s="74">
        <v>8.6</v>
      </c>
      <c r="N367" s="74">
        <v>47.160714285714285</v>
      </c>
      <c r="O367" s="75">
        <v>49.99</v>
      </c>
      <c r="P367" s="75">
        <v>68.051249999999996</v>
      </c>
      <c r="Q367" s="76">
        <v>2.4804960992198439E-2</v>
      </c>
      <c r="R367" s="76">
        <v>0.14887676567293026</v>
      </c>
      <c r="S367" s="31">
        <v>10.428571428571429</v>
      </c>
      <c r="T367" s="31"/>
      <c r="U367" s="76">
        <v>-0.77014127529591447</v>
      </c>
      <c r="V367" s="76">
        <v>0.25</v>
      </c>
      <c r="W367" s="76">
        <v>-8.1758233684171788E-2</v>
      </c>
      <c r="X367" s="76">
        <v>-0.84700801974090023</v>
      </c>
      <c r="Y367" s="76">
        <v>-0.16672885062693155</v>
      </c>
      <c r="Z367" s="76">
        <v>-0.15330520393811531</v>
      </c>
      <c r="AA367" s="76">
        <v>-9.0909090909090939E-2</v>
      </c>
      <c r="AB367" s="76">
        <v>-7.8338464942200203E-2</v>
      </c>
      <c r="AC367" s="76">
        <v>1.3827688563579743E-2</v>
      </c>
      <c r="AD367" s="142"/>
      <c r="AE367" s="142"/>
      <c r="AF367" s="142"/>
    </row>
    <row r="368" spans="1:32" x14ac:dyDescent="0.35">
      <c r="A368" t="s">
        <v>81</v>
      </c>
      <c r="B368" t="s">
        <v>521</v>
      </c>
      <c r="C368" s="31">
        <v>19</v>
      </c>
      <c r="D368" s="31">
        <v>47</v>
      </c>
      <c r="E368" s="72">
        <v>24</v>
      </c>
      <c r="F368" s="31">
        <v>56</v>
      </c>
      <c r="G368" s="73">
        <v>424.84000000000009</v>
      </c>
      <c r="H368" s="31">
        <v>1343.8500000000006</v>
      </c>
      <c r="I368" s="72">
        <v>-10.210000000000008</v>
      </c>
      <c r="J368" s="72">
        <v>282.7000000000005</v>
      </c>
      <c r="K368" s="31">
        <v>352</v>
      </c>
      <c r="L368" s="31">
        <v>1449.1428571428571</v>
      </c>
      <c r="M368" s="74">
        <v>14.666666666666666</v>
      </c>
      <c r="N368" s="74">
        <v>26.301020408163264</v>
      </c>
      <c r="O368" s="75">
        <v>17.701666666666672</v>
      </c>
      <c r="P368" s="75">
        <v>23.997321428571439</v>
      </c>
      <c r="Q368" s="76">
        <v>-2.4032576970153482E-2</v>
      </c>
      <c r="R368" s="76">
        <v>0.2103657402239836</v>
      </c>
      <c r="S368" s="31">
        <v>116</v>
      </c>
      <c r="T368" s="31"/>
      <c r="U368" s="76">
        <v>-0.75759069400630918</v>
      </c>
      <c r="V368" s="76">
        <v>-0.5714285714285714</v>
      </c>
      <c r="W368" s="76">
        <v>-0.68386352643524217</v>
      </c>
      <c r="X368" s="76">
        <v>-1.0361160240537668</v>
      </c>
      <c r="Y368" s="76">
        <v>-8.7196974071074407E-2</v>
      </c>
      <c r="Z368" s="76">
        <v>-8.1282624906786061E-2</v>
      </c>
      <c r="AA368" s="76">
        <v>4.3478260869565188E-2</v>
      </c>
      <c r="AB368" s="76">
        <v>0.11626684883995941</v>
      </c>
      <c r="AC368" s="76">
        <v>6.9755730138294281E-2</v>
      </c>
      <c r="AD368" s="142"/>
      <c r="AE368" s="142"/>
      <c r="AF368" s="142"/>
    </row>
    <row r="369" spans="1:32" x14ac:dyDescent="0.35">
      <c r="A369" t="s">
        <v>81</v>
      </c>
      <c r="B369" t="s">
        <v>520</v>
      </c>
      <c r="C369" s="31">
        <v>10</v>
      </c>
      <c r="D369" s="31">
        <v>33</v>
      </c>
      <c r="E369" s="72">
        <v>10</v>
      </c>
      <c r="F369" s="31">
        <v>36</v>
      </c>
      <c r="G369" s="73">
        <v>399.92999999999995</v>
      </c>
      <c r="H369" s="31">
        <v>1467.2800000000004</v>
      </c>
      <c r="I369" s="72">
        <v>-5.01</v>
      </c>
      <c r="J369" s="72">
        <v>173.8599999999999</v>
      </c>
      <c r="K369" s="31">
        <v>340.85714285714283</v>
      </c>
      <c r="L369" s="31">
        <v>1309.8571428571429</v>
      </c>
      <c r="M369" s="74">
        <v>34.085714285714282</v>
      </c>
      <c r="N369" s="74">
        <v>37.246031746031747</v>
      </c>
      <c r="O369" s="75">
        <v>39.992999999999995</v>
      </c>
      <c r="P369" s="75">
        <v>40.75777777777779</v>
      </c>
      <c r="Q369" s="76">
        <v>-1.2527192258645264E-2</v>
      </c>
      <c r="R369" s="76">
        <v>0.11849135815931509</v>
      </c>
      <c r="S369" s="31">
        <v>47</v>
      </c>
      <c r="T369" s="31"/>
      <c r="U369" s="76">
        <v>-0.74053877194895845</v>
      </c>
      <c r="V369" s="76">
        <v>-0.72222222222222221</v>
      </c>
      <c r="W369" s="76">
        <v>-0.72743443650836936</v>
      </c>
      <c r="X369" s="76">
        <v>-1.0288162889681356</v>
      </c>
      <c r="Y369" s="76">
        <v>-2.5220294374210805E-2</v>
      </c>
      <c r="Z369" s="76">
        <v>-2.5326797385621047E-2</v>
      </c>
      <c r="AA369" s="76">
        <v>0.25</v>
      </c>
      <c r="AB369" s="76">
        <v>0.17789296969339974</v>
      </c>
      <c r="AC369" s="76">
        <v>-5.7685624245280231E-2</v>
      </c>
      <c r="AD369" s="142"/>
      <c r="AE369" s="142"/>
      <c r="AF369" s="142"/>
    </row>
    <row r="370" spans="1:32" x14ac:dyDescent="0.35">
      <c r="A370" t="s">
        <v>81</v>
      </c>
      <c r="B370" t="s">
        <v>781</v>
      </c>
      <c r="C370" s="31">
        <v>2</v>
      </c>
      <c r="D370" s="31"/>
      <c r="E370" s="72">
        <v>4</v>
      </c>
      <c r="F370" s="31"/>
      <c r="G370" s="73">
        <v>319.27</v>
      </c>
      <c r="H370" s="31"/>
      <c r="I370" s="72">
        <v>145.99</v>
      </c>
      <c r="J370" s="72"/>
      <c r="K370" s="31">
        <v>29</v>
      </c>
      <c r="L370" s="31"/>
      <c r="M370" s="74">
        <v>7.25</v>
      </c>
      <c r="N370" s="74"/>
      <c r="O370" s="75">
        <v>79.817499999999995</v>
      </c>
      <c r="P370" s="75"/>
      <c r="Q370" s="76">
        <v>0.45726187866069479</v>
      </c>
      <c r="R370" s="76"/>
      <c r="S370" s="31"/>
      <c r="T370" s="31"/>
      <c r="U370" s="76"/>
      <c r="V370" s="76"/>
      <c r="W370" s="76"/>
      <c r="X370" s="76"/>
      <c r="Y370" s="76">
        <v>-0.16115702479338823</v>
      </c>
      <c r="Z370" s="76">
        <v>-0.16115702479338834</v>
      </c>
      <c r="AA370" s="76">
        <v>0.33333333333333326</v>
      </c>
      <c r="AB370" s="76">
        <v>0.27718217457396577</v>
      </c>
      <c r="AC370" s="76">
        <v>-4.2113369069525675E-2</v>
      </c>
      <c r="AD370" s="142"/>
      <c r="AE370" s="142"/>
      <c r="AF370" s="142"/>
    </row>
    <row r="371" spans="1:32" x14ac:dyDescent="0.35">
      <c r="A371" t="s">
        <v>81</v>
      </c>
      <c r="B371" t="s">
        <v>522</v>
      </c>
      <c r="C371" s="31">
        <v>3</v>
      </c>
      <c r="D371" s="31">
        <v>30</v>
      </c>
      <c r="E371" s="72">
        <v>5</v>
      </c>
      <c r="F371" s="31">
        <v>32</v>
      </c>
      <c r="G371" s="73">
        <v>192.97</v>
      </c>
      <c r="H371" s="31">
        <v>1299.1999999999998</v>
      </c>
      <c r="I371" s="72">
        <v>41.53</v>
      </c>
      <c r="J371" s="72">
        <v>331.12</v>
      </c>
      <c r="K371" s="31">
        <v>361.85714285714283</v>
      </c>
      <c r="L371" s="31">
        <v>1091.7142857142858</v>
      </c>
      <c r="M371" s="74">
        <v>72.371428571428567</v>
      </c>
      <c r="N371" s="74">
        <v>34.741071428571431</v>
      </c>
      <c r="O371" s="75">
        <v>38.594000000000001</v>
      </c>
      <c r="P371" s="75">
        <v>40.599999999999994</v>
      </c>
      <c r="Q371" s="76">
        <v>0.21521480022801473</v>
      </c>
      <c r="R371" s="76">
        <v>0.25486453201970449</v>
      </c>
      <c r="S371" s="31">
        <v>3</v>
      </c>
      <c r="T371" s="31"/>
      <c r="U371" s="76">
        <v>-0.66854226642240255</v>
      </c>
      <c r="V371" s="76">
        <v>-0.84375</v>
      </c>
      <c r="W371" s="76">
        <v>-0.85147013546798034</v>
      </c>
      <c r="X371" s="76">
        <v>-0.87457719255858912</v>
      </c>
      <c r="Y371" s="76">
        <v>-6.2703005740987194E-3</v>
      </c>
      <c r="Z371" s="76">
        <v>-6.2769713613183287E-3</v>
      </c>
      <c r="AA371" s="76">
        <v>-0.64285714285714279</v>
      </c>
      <c r="AB371" s="76">
        <v>-0.66913567546251052</v>
      </c>
      <c r="AC371" s="76">
        <v>-7.3579891295029398E-2</v>
      </c>
      <c r="AD371" s="142"/>
      <c r="AE371" s="142"/>
      <c r="AF371" s="142"/>
    </row>
    <row r="372" spans="1:32" x14ac:dyDescent="0.35">
      <c r="A372" t="s">
        <v>81</v>
      </c>
      <c r="B372" t="s">
        <v>524</v>
      </c>
      <c r="C372" s="31">
        <v>5</v>
      </c>
      <c r="D372" s="31">
        <v>21</v>
      </c>
      <c r="E372" s="72">
        <v>6</v>
      </c>
      <c r="F372" s="31">
        <v>24</v>
      </c>
      <c r="G372" s="73">
        <v>149.94</v>
      </c>
      <c r="H372" s="31">
        <v>568.66999999999996</v>
      </c>
      <c r="I372" s="72">
        <v>43.44</v>
      </c>
      <c r="J372" s="72">
        <v>155.90000000000009</v>
      </c>
      <c r="K372" s="31">
        <v>83.285714285714292</v>
      </c>
      <c r="L372" s="31">
        <v>594.85714285714289</v>
      </c>
      <c r="M372" s="74">
        <v>13.880952380952381</v>
      </c>
      <c r="N372" s="74">
        <v>23.884615384615383</v>
      </c>
      <c r="O372" s="75">
        <v>24.99</v>
      </c>
      <c r="P372" s="75">
        <v>23.69458333333333</v>
      </c>
      <c r="Q372" s="76">
        <v>0.28971588635454182</v>
      </c>
      <c r="R372" s="76">
        <v>0.25251052802073221</v>
      </c>
      <c r="S372" s="31"/>
      <c r="T372" s="31"/>
      <c r="U372" s="76">
        <v>-0.8518251681075889</v>
      </c>
      <c r="V372" s="76">
        <v>-0.75</v>
      </c>
      <c r="W372" s="76">
        <v>-0.73633214342237152</v>
      </c>
      <c r="X372" s="76">
        <v>-0.69552113268381577</v>
      </c>
      <c r="Y372" s="76">
        <v>-9.1683012095592153E-2</v>
      </c>
      <c r="Z372" s="76">
        <v>-9.1900311526479594E-2</v>
      </c>
      <c r="AA372" s="76">
        <v>0.19999999999999996</v>
      </c>
      <c r="AB372" s="76">
        <v>-3.2270556344391355E-2</v>
      </c>
      <c r="AC372" s="76">
        <v>-0.19355879695365952</v>
      </c>
      <c r="AD372" s="142"/>
      <c r="AE372" s="142"/>
      <c r="AF372" s="142"/>
    </row>
    <row r="373" spans="1:32" x14ac:dyDescent="0.35">
      <c r="A373" t="s">
        <v>81</v>
      </c>
      <c r="B373" t="s">
        <v>783</v>
      </c>
      <c r="C373" s="31">
        <v>2</v>
      </c>
      <c r="D373" s="31"/>
      <c r="E373" s="72">
        <v>2</v>
      </c>
      <c r="F373" s="31"/>
      <c r="G373" s="73">
        <v>133.32</v>
      </c>
      <c r="H373" s="31"/>
      <c r="I373" s="72">
        <v>41.46</v>
      </c>
      <c r="J373" s="72"/>
      <c r="K373" s="31">
        <v>20.714285714285715</v>
      </c>
      <c r="L373" s="31"/>
      <c r="M373" s="74">
        <v>10.357142857142858</v>
      </c>
      <c r="N373" s="74"/>
      <c r="O373" s="75">
        <v>66.66</v>
      </c>
      <c r="P373" s="75"/>
      <c r="Q373" s="76">
        <v>0.310981098109811</v>
      </c>
      <c r="R373" s="76"/>
      <c r="S373" s="31"/>
      <c r="T373" s="31"/>
      <c r="U373" s="76"/>
      <c r="V373" s="76"/>
      <c r="W373" s="76"/>
      <c r="X373" s="76"/>
      <c r="Y373" s="76">
        <v>-1.373617746674749E-2</v>
      </c>
      <c r="Z373" s="76">
        <v>-1.3605442176870652E-2</v>
      </c>
      <c r="AA373" s="76"/>
      <c r="AB373" s="76"/>
      <c r="AC373" s="76"/>
      <c r="AD373" s="142"/>
      <c r="AE373" s="142"/>
      <c r="AF373" s="142"/>
    </row>
    <row r="374" spans="1:32" x14ac:dyDescent="0.35">
      <c r="A374" t="s">
        <v>81</v>
      </c>
      <c r="B374" t="s">
        <v>523</v>
      </c>
      <c r="C374" s="31">
        <v>2</v>
      </c>
      <c r="D374" s="31">
        <v>35</v>
      </c>
      <c r="E374" s="72">
        <v>2</v>
      </c>
      <c r="F374" s="31">
        <v>37</v>
      </c>
      <c r="G374" s="73">
        <v>124.97999999999999</v>
      </c>
      <c r="H374" s="31">
        <v>819.94999999999993</v>
      </c>
      <c r="I374" s="72">
        <v>39.819999999999993</v>
      </c>
      <c r="J374" s="72">
        <v>222.45000000000005</v>
      </c>
      <c r="K374" s="31">
        <v>154.42857142857142</v>
      </c>
      <c r="L374" s="31">
        <v>1011.2857142857143</v>
      </c>
      <c r="M374" s="74">
        <v>77.214285714285708</v>
      </c>
      <c r="N374" s="74">
        <v>28.1390977443609</v>
      </c>
      <c r="O374" s="75">
        <v>62.489999999999995</v>
      </c>
      <c r="P374" s="75">
        <v>22.160810810810808</v>
      </c>
      <c r="Q374" s="76">
        <v>0.31861097775644098</v>
      </c>
      <c r="R374" s="76">
        <v>0.26483719269004113</v>
      </c>
      <c r="S374" s="31"/>
      <c r="T374" s="31"/>
      <c r="U374" s="76">
        <v>-0.89560672411357534</v>
      </c>
      <c r="V374" s="76">
        <v>-0.97297297297297303</v>
      </c>
      <c r="W374" s="76">
        <v>-0.9796816879077993</v>
      </c>
      <c r="X374" s="76">
        <v>-0.9981252857796068</v>
      </c>
      <c r="Y374" s="76">
        <v>-2.8861360222379395E-2</v>
      </c>
      <c r="Z374" s="76">
        <v>-2.3486901535682114E-2</v>
      </c>
      <c r="AA374" s="76">
        <v>-0.77777777777777779</v>
      </c>
      <c r="AB374" s="76">
        <v>-0.70588789005506669</v>
      </c>
      <c r="AC374" s="76">
        <v>0.32350449475220033</v>
      </c>
      <c r="AD374" s="142"/>
      <c r="AE374" s="142"/>
      <c r="AF374" s="142"/>
    </row>
    <row r="375" spans="1:32" x14ac:dyDescent="0.35">
      <c r="A375" t="s">
        <v>81</v>
      </c>
      <c r="B375" t="s">
        <v>540</v>
      </c>
      <c r="C375" s="31">
        <v>2</v>
      </c>
      <c r="D375" s="31">
        <v>1</v>
      </c>
      <c r="E375" s="72">
        <v>3</v>
      </c>
      <c r="F375" s="31">
        <v>3</v>
      </c>
      <c r="G375" s="73">
        <v>124.97999999999999</v>
      </c>
      <c r="H375" s="31">
        <v>24.99</v>
      </c>
      <c r="I375" s="72">
        <v>62.550000000000004</v>
      </c>
      <c r="J375" s="72">
        <v>-37.980000000000004</v>
      </c>
      <c r="K375" s="31">
        <v>-7</v>
      </c>
      <c r="L375" s="31">
        <v>29.142857142857142</v>
      </c>
      <c r="M375" s="74">
        <v>-2.3333333333333335</v>
      </c>
      <c r="N375" s="74">
        <v>9.7142857142857135</v>
      </c>
      <c r="O375" s="75">
        <v>41.66</v>
      </c>
      <c r="P375" s="75">
        <v>8.33</v>
      </c>
      <c r="Q375" s="76">
        <v>0.50048007681229001</v>
      </c>
      <c r="R375" s="76">
        <v>-1.519807923169268</v>
      </c>
      <c r="S375" s="31">
        <v>137</v>
      </c>
      <c r="T375" s="31"/>
      <c r="U375" s="76">
        <v>-1.2401960784313726</v>
      </c>
      <c r="V375" s="76">
        <v>0</v>
      </c>
      <c r="W375" s="76">
        <v>4.0012004801920771</v>
      </c>
      <c r="X375" s="76">
        <v>-2.6469194312796205</v>
      </c>
      <c r="Y375" s="76">
        <v>0.25354488175696055</v>
      </c>
      <c r="Z375" s="76">
        <v>0.36111111111111094</v>
      </c>
      <c r="AA375" s="76">
        <v>2</v>
      </c>
      <c r="AB375" s="76">
        <v>2</v>
      </c>
      <c r="AC375" s="76">
        <v>0</v>
      </c>
      <c r="AD375" s="142"/>
      <c r="AE375" s="142"/>
      <c r="AF375" s="142"/>
    </row>
    <row r="376" spans="1:32" x14ac:dyDescent="0.35">
      <c r="A376" t="s">
        <v>81</v>
      </c>
      <c r="B376" t="s">
        <v>543</v>
      </c>
      <c r="C376" s="31">
        <v>1</v>
      </c>
      <c r="D376" s="31"/>
      <c r="E376" s="72">
        <v>3</v>
      </c>
      <c r="F376" s="31"/>
      <c r="G376" s="73">
        <v>124.97</v>
      </c>
      <c r="H376" s="31"/>
      <c r="I376" s="72">
        <v>112.37</v>
      </c>
      <c r="J376" s="72"/>
      <c r="K376" s="31">
        <v>19.285714285714285</v>
      </c>
      <c r="L376" s="31">
        <v>40</v>
      </c>
      <c r="M376" s="74">
        <v>6.4285714285714279</v>
      </c>
      <c r="N376" s="74"/>
      <c r="O376" s="75">
        <v>41.656666666666666</v>
      </c>
      <c r="P376" s="75"/>
      <c r="Q376" s="76">
        <v>0.89917580219252624</v>
      </c>
      <c r="R376" s="76"/>
      <c r="S376" s="31">
        <v>12</v>
      </c>
      <c r="T376" s="31"/>
      <c r="U376" s="76">
        <v>-0.5178571428571429</v>
      </c>
      <c r="V376" s="76"/>
      <c r="W376" s="76"/>
      <c r="X376" s="76"/>
      <c r="Y376" s="76">
        <v>-8.1632653061224802E-2</v>
      </c>
      <c r="Z376" s="76">
        <v>-8.163265306122458E-2</v>
      </c>
      <c r="AA376" s="76"/>
      <c r="AB376" s="76"/>
      <c r="AC376" s="76"/>
      <c r="AD376" s="142"/>
      <c r="AE376" s="142"/>
      <c r="AF376" s="142"/>
    </row>
    <row r="377" spans="1:32" x14ac:dyDescent="0.35">
      <c r="A377" t="s">
        <v>81</v>
      </c>
      <c r="B377" t="s">
        <v>541</v>
      </c>
      <c r="C377" s="31">
        <v>1</v>
      </c>
      <c r="D377" s="31"/>
      <c r="E377" s="72">
        <v>1</v>
      </c>
      <c r="F377" s="31"/>
      <c r="G377" s="73">
        <v>108.33</v>
      </c>
      <c r="H377" s="31"/>
      <c r="I377" s="72">
        <v>61.55</v>
      </c>
      <c r="J377" s="72"/>
      <c r="K377" s="31">
        <v>33.857142857142854</v>
      </c>
      <c r="L377" s="31">
        <v>18.285714285714285</v>
      </c>
      <c r="M377" s="74">
        <v>33.857142857142854</v>
      </c>
      <c r="N377" s="74"/>
      <c r="O377" s="75">
        <v>108.33</v>
      </c>
      <c r="P377" s="75"/>
      <c r="Q377" s="76">
        <v>0.56817132834856454</v>
      </c>
      <c r="R377" s="76"/>
      <c r="S377" s="31">
        <v>61</v>
      </c>
      <c r="T377" s="31"/>
      <c r="U377" s="76">
        <v>-0.5078125</v>
      </c>
      <c r="V377" s="76"/>
      <c r="W377" s="76"/>
      <c r="X377" s="76"/>
      <c r="Y377" s="76">
        <v>-4.470610091278493E-2</v>
      </c>
      <c r="Z377" s="76">
        <v>-3.658536585365868E-2</v>
      </c>
      <c r="AA377" s="76">
        <v>-0.66666666666666674</v>
      </c>
      <c r="AB377" s="76">
        <v>-0.66665640962520767</v>
      </c>
      <c r="AC377" s="76">
        <v>3.0771124376771652E-5</v>
      </c>
      <c r="AD377" s="142"/>
      <c r="AE377" s="142"/>
      <c r="AF377" s="142"/>
    </row>
    <row r="378" spans="1:32" x14ac:dyDescent="0.35">
      <c r="A378" t="s">
        <v>81</v>
      </c>
      <c r="B378" t="s">
        <v>534</v>
      </c>
      <c r="C378" s="31">
        <v>2</v>
      </c>
      <c r="D378" s="31">
        <v>3</v>
      </c>
      <c r="E378" s="72">
        <v>3</v>
      </c>
      <c r="F378" s="31">
        <v>5</v>
      </c>
      <c r="G378" s="73">
        <v>99.97999999999999</v>
      </c>
      <c r="H378" s="31">
        <v>57.980000000000004</v>
      </c>
      <c r="I378" s="72">
        <v>75.5</v>
      </c>
      <c r="J378" s="72">
        <v>6.4200000000000017</v>
      </c>
      <c r="K378" s="31">
        <v>64.142857142857139</v>
      </c>
      <c r="L378" s="31">
        <v>354.57142857142856</v>
      </c>
      <c r="M378" s="74">
        <v>21.38095238095238</v>
      </c>
      <c r="N378" s="74">
        <v>72.314285714285717</v>
      </c>
      <c r="O378" s="75">
        <v>33.326666666666661</v>
      </c>
      <c r="P378" s="75">
        <v>11.596</v>
      </c>
      <c r="Q378" s="76">
        <v>0.75515103020604124</v>
      </c>
      <c r="R378" s="76">
        <v>0.11072783718523631</v>
      </c>
      <c r="S378" s="31">
        <v>214.28571428571428</v>
      </c>
      <c r="T378" s="31"/>
      <c r="U378" s="76">
        <v>-0.82191780821917804</v>
      </c>
      <c r="V378" s="76">
        <v>-0.4</v>
      </c>
      <c r="W378" s="76">
        <v>0.72438771990341477</v>
      </c>
      <c r="X378" s="76">
        <v>10.760124610591895</v>
      </c>
      <c r="Y378" s="76">
        <v>-1.1108993571038006E-2</v>
      </c>
      <c r="Z378" s="76">
        <v>-2.3913043478260843E-2</v>
      </c>
      <c r="AA378" s="76">
        <v>-0.25</v>
      </c>
      <c r="AB378" s="76">
        <v>0.20024009603841497</v>
      </c>
      <c r="AC378" s="76">
        <v>0.60032012805122004</v>
      </c>
      <c r="AD378" s="142"/>
      <c r="AE378" s="142"/>
      <c r="AF378" s="142"/>
    </row>
    <row r="379" spans="1:32" x14ac:dyDescent="0.35">
      <c r="A379" t="s">
        <v>81</v>
      </c>
      <c r="B379" t="s">
        <v>526</v>
      </c>
      <c r="C379" s="31">
        <v>1</v>
      </c>
      <c r="D379" s="31">
        <v>6</v>
      </c>
      <c r="E379" s="72">
        <v>1</v>
      </c>
      <c r="F379" s="31">
        <v>6</v>
      </c>
      <c r="G379" s="73">
        <v>41.65</v>
      </c>
      <c r="H379" s="31">
        <v>262.45</v>
      </c>
      <c r="I379" s="72">
        <v>13.58</v>
      </c>
      <c r="J379" s="72">
        <v>94.259999999999991</v>
      </c>
      <c r="K379" s="31">
        <v>15.285714285714286</v>
      </c>
      <c r="L379" s="31">
        <v>262.28571428571428</v>
      </c>
      <c r="M379" s="74">
        <v>15.285714285714286</v>
      </c>
      <c r="N379" s="74">
        <v>43.88095238095238</v>
      </c>
      <c r="O379" s="75">
        <v>41.65</v>
      </c>
      <c r="P379" s="75">
        <v>43.741666666666667</v>
      </c>
      <c r="Q379" s="76">
        <v>0.32605042016806723</v>
      </c>
      <c r="R379" s="76">
        <v>0.35915412459516094</v>
      </c>
      <c r="S379" s="31">
        <v>89</v>
      </c>
      <c r="T379" s="31"/>
      <c r="U379" s="76">
        <v>-0.94172113289760351</v>
      </c>
      <c r="V379" s="76">
        <v>-0.83333333333333337</v>
      </c>
      <c r="W379" s="76">
        <v>-0.84130310535340058</v>
      </c>
      <c r="X379" s="76">
        <v>-0.85593040526204112</v>
      </c>
      <c r="Y379" s="76">
        <v>-9.4796742797649047E-2</v>
      </c>
      <c r="Z379" s="76">
        <v>-9.3220338983050821E-2</v>
      </c>
      <c r="AA379" s="76">
        <v>0</v>
      </c>
      <c r="AB379" s="76">
        <v>-2.4003840614494898E-4</v>
      </c>
      <c r="AC379" s="76">
        <v>-2.4003840614494898E-4</v>
      </c>
      <c r="AD379" s="142"/>
      <c r="AE379" s="142"/>
      <c r="AF379" s="142"/>
    </row>
    <row r="380" spans="1:32" x14ac:dyDescent="0.35">
      <c r="A380" t="s">
        <v>81</v>
      </c>
      <c r="B380" t="s">
        <v>536</v>
      </c>
      <c r="C380" s="31">
        <v>1</v>
      </c>
      <c r="D380" s="31"/>
      <c r="E380" s="72">
        <v>1</v>
      </c>
      <c r="F380" s="31"/>
      <c r="G380" s="73">
        <v>33.32</v>
      </c>
      <c r="H380" s="31"/>
      <c r="I380" s="72">
        <v>18.13</v>
      </c>
      <c r="J380" s="72"/>
      <c r="K380" s="31">
        <v>19.428571428571427</v>
      </c>
      <c r="L380" s="31">
        <v>52</v>
      </c>
      <c r="M380" s="74">
        <v>19.428571428571427</v>
      </c>
      <c r="N380" s="74"/>
      <c r="O380" s="75">
        <v>33.32</v>
      </c>
      <c r="P380" s="75"/>
      <c r="Q380" s="76">
        <v>0.54411764705882348</v>
      </c>
      <c r="R380" s="76"/>
      <c r="S380" s="31">
        <v>11</v>
      </c>
      <c r="T380" s="31"/>
      <c r="U380" s="76">
        <v>-0.62637362637362637</v>
      </c>
      <c r="V380" s="76"/>
      <c r="W380" s="76"/>
      <c r="X380" s="76"/>
      <c r="Y380" s="76">
        <v>-6.9788423688031398E-2</v>
      </c>
      <c r="Z380" s="76">
        <v>-6.8493150684931559E-2</v>
      </c>
      <c r="AA380" s="76">
        <v>0</v>
      </c>
      <c r="AB380" s="76">
        <v>-0.20019203072491587</v>
      </c>
      <c r="AC380" s="76">
        <v>-0.20019203072491587</v>
      </c>
      <c r="AD380" s="142"/>
      <c r="AE380" s="142"/>
      <c r="AF380" s="142"/>
    </row>
    <row r="381" spans="1:32" x14ac:dyDescent="0.35">
      <c r="A381" t="s">
        <v>81</v>
      </c>
      <c r="B381" t="s">
        <v>516</v>
      </c>
      <c r="C381" s="31"/>
      <c r="D381" s="31">
        <v>33</v>
      </c>
      <c r="E381" s="72"/>
      <c r="F381" s="31">
        <v>34</v>
      </c>
      <c r="G381" s="73"/>
      <c r="H381" s="31">
        <v>7746.6099999999969</v>
      </c>
      <c r="I381" s="72"/>
      <c r="J381" s="72">
        <v>5042.9199999999964</v>
      </c>
      <c r="K381" s="31">
        <v>25.142857142857142</v>
      </c>
      <c r="L381" s="31">
        <v>528.57142857142856</v>
      </c>
      <c r="M381" s="74"/>
      <c r="N381" s="74">
        <v>15.832653061224489</v>
      </c>
      <c r="O381" s="75"/>
      <c r="P381" s="75">
        <v>227.84147058823521</v>
      </c>
      <c r="Q381" s="76"/>
      <c r="R381" s="76">
        <v>0.6257423285478525</v>
      </c>
      <c r="S381" s="31">
        <v>77.428571428571431</v>
      </c>
      <c r="T381" s="31"/>
      <c r="U381" s="76">
        <v>-0.95432432432432435</v>
      </c>
      <c r="V381" s="76"/>
      <c r="W381" s="76"/>
      <c r="X381" s="76"/>
      <c r="Y381" s="76">
        <v>-0.12812334478907261</v>
      </c>
      <c r="Z381" s="76">
        <v>-0.13300492610837444</v>
      </c>
      <c r="AA381" s="76"/>
      <c r="AB381" s="76"/>
      <c r="AC381" s="76"/>
      <c r="AD381" s="142"/>
      <c r="AE381" s="142"/>
      <c r="AF381" s="142"/>
    </row>
    <row r="382" spans="1:32" x14ac:dyDescent="0.35">
      <c r="A382" t="s">
        <v>81</v>
      </c>
      <c r="B382" t="s">
        <v>550</v>
      </c>
      <c r="C382" s="31"/>
      <c r="D382" s="31"/>
      <c r="E382" s="72"/>
      <c r="F382" s="31"/>
      <c r="G382" s="73"/>
      <c r="H382" s="31"/>
      <c r="I382" s="72"/>
      <c r="J382" s="72"/>
      <c r="K382" s="31">
        <v>5.1428571428571432</v>
      </c>
      <c r="L382" s="31">
        <v>1</v>
      </c>
      <c r="M382" s="74"/>
      <c r="N382" s="74"/>
      <c r="O382" s="75"/>
      <c r="P382" s="75"/>
      <c r="Q382" s="76"/>
      <c r="R382" s="76"/>
      <c r="S382" s="31">
        <v>9</v>
      </c>
      <c r="T382" s="31"/>
      <c r="U382" s="76">
        <v>4.1428571428571432</v>
      </c>
      <c r="V382" s="76"/>
      <c r="W382" s="76"/>
      <c r="X382" s="76"/>
      <c r="Y382" s="76">
        <v>-0.4285714285714286</v>
      </c>
      <c r="Z382" s="76">
        <v>-0.14285714285714279</v>
      </c>
      <c r="AA382" s="76"/>
      <c r="AB382" s="76"/>
      <c r="AC382" s="76"/>
      <c r="AD382" s="142"/>
      <c r="AE382" s="142"/>
      <c r="AF382" s="142"/>
    </row>
    <row r="383" spans="1:32" x14ac:dyDescent="0.35">
      <c r="A383" t="s">
        <v>81</v>
      </c>
      <c r="B383" t="s">
        <v>551</v>
      </c>
      <c r="C383" s="31"/>
      <c r="D383" s="31"/>
      <c r="E383" s="72"/>
      <c r="F383" s="31"/>
      <c r="G383" s="73"/>
      <c r="H383" s="31"/>
      <c r="I383" s="72"/>
      <c r="J383" s="72"/>
      <c r="K383" s="31">
        <v>3</v>
      </c>
      <c r="L383" s="31">
        <v>7</v>
      </c>
      <c r="M383" s="74"/>
      <c r="N383" s="74"/>
      <c r="O383" s="75"/>
      <c r="P383" s="75"/>
      <c r="Q383" s="76"/>
      <c r="R383" s="76"/>
      <c r="S383" s="31">
        <v>16</v>
      </c>
      <c r="T383" s="31"/>
      <c r="U383" s="76">
        <v>-0.5714285714285714</v>
      </c>
      <c r="V383" s="76"/>
      <c r="W383" s="76"/>
      <c r="X383" s="76"/>
      <c r="Y383" s="76">
        <v>-0.14490853651969959</v>
      </c>
      <c r="Z383" s="76">
        <v>-0.19230769230769229</v>
      </c>
      <c r="AA383" s="76"/>
      <c r="AB383" s="76"/>
      <c r="AC383" s="76"/>
      <c r="AD383" s="142"/>
      <c r="AE383" s="142"/>
      <c r="AF383" s="142"/>
    </row>
    <row r="384" spans="1:32" x14ac:dyDescent="0.35">
      <c r="A384" t="s">
        <v>81</v>
      </c>
      <c r="B384" t="s">
        <v>785</v>
      </c>
      <c r="C384" s="31"/>
      <c r="D384" s="31"/>
      <c r="E384" s="72"/>
      <c r="F384" s="31"/>
      <c r="G384" s="73"/>
      <c r="H384" s="31"/>
      <c r="I384" s="72"/>
      <c r="J384" s="72"/>
      <c r="K384" s="31">
        <v>0</v>
      </c>
      <c r="L384" s="31"/>
      <c r="M384" s="74"/>
      <c r="N384" s="74"/>
      <c r="O384" s="75"/>
      <c r="P384" s="75"/>
      <c r="Q384" s="76"/>
      <c r="R384" s="76"/>
      <c r="S384" s="31"/>
      <c r="T384" s="31"/>
      <c r="U384" s="76"/>
      <c r="V384" s="76"/>
      <c r="W384" s="76"/>
      <c r="X384" s="76"/>
      <c r="Y384" s="76"/>
      <c r="Z384" s="76"/>
      <c r="AA384" s="76"/>
      <c r="AB384" s="76"/>
      <c r="AC384" s="76"/>
      <c r="AD384" s="142"/>
      <c r="AE384" s="142"/>
      <c r="AF384" s="142"/>
    </row>
    <row r="385" spans="1:32" x14ac:dyDescent="0.35">
      <c r="A385" t="s">
        <v>81</v>
      </c>
      <c r="B385" t="s">
        <v>535</v>
      </c>
      <c r="C385" s="31"/>
      <c r="D385" s="31">
        <v>3</v>
      </c>
      <c r="E385" s="72"/>
      <c r="F385" s="31">
        <v>9</v>
      </c>
      <c r="G385" s="73"/>
      <c r="H385" s="31">
        <v>374.90999999999997</v>
      </c>
      <c r="I385" s="72"/>
      <c r="J385" s="72">
        <v>147.91999999999996</v>
      </c>
      <c r="K385" s="31">
        <v>36</v>
      </c>
      <c r="L385" s="31">
        <v>72.857142857142861</v>
      </c>
      <c r="M385" s="74"/>
      <c r="N385" s="74">
        <v>8.7619047619047628</v>
      </c>
      <c r="O385" s="75"/>
      <c r="P385" s="75">
        <v>41.656666666666666</v>
      </c>
      <c r="Q385" s="76"/>
      <c r="R385" s="76">
        <v>0.39454802485929946</v>
      </c>
      <c r="S385" s="31">
        <v>69</v>
      </c>
      <c r="T385" s="31"/>
      <c r="U385" s="76">
        <v>-0.50588235294117645</v>
      </c>
      <c r="V385" s="76"/>
      <c r="W385" s="76"/>
      <c r="X385" s="76"/>
      <c r="Y385" s="76">
        <v>-3.3964890549897486E-2</v>
      </c>
      <c r="Z385" s="76">
        <v>-1.945525291828798E-2</v>
      </c>
      <c r="AA385" s="76"/>
      <c r="AB385" s="76"/>
      <c r="AC385" s="76"/>
      <c r="AD385" s="142"/>
      <c r="AE385" s="142"/>
      <c r="AF385" s="142"/>
    </row>
    <row r="386" spans="1:32" x14ac:dyDescent="0.35">
      <c r="A386" t="s">
        <v>81</v>
      </c>
      <c r="B386" t="s">
        <v>547</v>
      </c>
      <c r="C386" s="31"/>
      <c r="D386" s="31"/>
      <c r="E386" s="72"/>
      <c r="F386" s="31"/>
      <c r="G386" s="73"/>
      <c r="H386" s="31"/>
      <c r="I386" s="72"/>
      <c r="J386" s="72"/>
      <c r="K386" s="31">
        <v>-7</v>
      </c>
      <c r="L386" s="31">
        <v>-1</v>
      </c>
      <c r="M386" s="74"/>
      <c r="N386" s="74"/>
      <c r="O386" s="75"/>
      <c r="P386" s="75"/>
      <c r="Q386" s="76"/>
      <c r="R386" s="76"/>
      <c r="S386" s="31"/>
      <c r="T386" s="31"/>
      <c r="U386" s="76">
        <v>6</v>
      </c>
      <c r="V386" s="76"/>
      <c r="W386" s="76"/>
      <c r="X386" s="76"/>
      <c r="Y386" s="76">
        <v>0</v>
      </c>
      <c r="Z386" s="76">
        <v>0</v>
      </c>
      <c r="AA386" s="76"/>
      <c r="AB386" s="76"/>
      <c r="AC386" s="76"/>
      <c r="AD386" s="142"/>
      <c r="AE386" s="142"/>
      <c r="AF386" s="142"/>
    </row>
    <row r="387" spans="1:32" x14ac:dyDescent="0.35">
      <c r="A387" t="s">
        <v>81</v>
      </c>
      <c r="B387" t="s">
        <v>553</v>
      </c>
      <c r="C387" s="31"/>
      <c r="D387" s="31"/>
      <c r="E387" s="72"/>
      <c r="F387" s="31"/>
      <c r="G387" s="73"/>
      <c r="H387" s="31"/>
      <c r="I387" s="72"/>
      <c r="J387" s="72"/>
      <c r="K387" s="31"/>
      <c r="L387" s="31">
        <v>6</v>
      </c>
      <c r="M387" s="74"/>
      <c r="N387" s="74"/>
      <c r="O387" s="75"/>
      <c r="P387" s="75"/>
      <c r="Q387" s="76"/>
      <c r="R387" s="76"/>
      <c r="S387" s="31">
        <v>5</v>
      </c>
      <c r="T387" s="31"/>
      <c r="U387" s="76"/>
      <c r="V387" s="76"/>
      <c r="W387" s="76"/>
      <c r="X387" s="76"/>
      <c r="Y387" s="76"/>
      <c r="Z387" s="76"/>
      <c r="AA387" s="76"/>
      <c r="AB387" s="76"/>
      <c r="AC387" s="76"/>
      <c r="AD387" s="142"/>
      <c r="AE387" s="142"/>
      <c r="AF387" s="142"/>
    </row>
    <row r="388" spans="1:32" x14ac:dyDescent="0.35">
      <c r="A388" t="s">
        <v>81</v>
      </c>
      <c r="B388" t="s">
        <v>544</v>
      </c>
      <c r="C388" s="31"/>
      <c r="D388" s="31"/>
      <c r="E388" s="72"/>
      <c r="F388" s="31"/>
      <c r="G388" s="73"/>
      <c r="H388" s="31"/>
      <c r="I388" s="72"/>
      <c r="J388" s="72"/>
      <c r="K388" s="31"/>
      <c r="L388" s="31"/>
      <c r="M388" s="74"/>
      <c r="N388" s="74"/>
      <c r="O388" s="75"/>
      <c r="P388" s="75"/>
      <c r="Q388" s="76"/>
      <c r="R388" s="76"/>
      <c r="S388" s="31">
        <v>10</v>
      </c>
      <c r="T388" s="31"/>
      <c r="U388" s="76"/>
      <c r="V388" s="76"/>
      <c r="W388" s="76"/>
      <c r="X388" s="76"/>
      <c r="Y388" s="76"/>
      <c r="Z388" s="76"/>
      <c r="AA388" s="76"/>
      <c r="AB388" s="76"/>
      <c r="AC388" s="76"/>
      <c r="AD388" s="142"/>
      <c r="AE388" s="142"/>
      <c r="AF388" s="142"/>
    </row>
    <row r="389" spans="1:32" x14ac:dyDescent="0.35">
      <c r="A389" t="s">
        <v>81</v>
      </c>
      <c r="B389" t="s">
        <v>549</v>
      </c>
      <c r="C389" s="31"/>
      <c r="D389" s="31"/>
      <c r="E389" s="72"/>
      <c r="F389" s="31"/>
      <c r="G389" s="73"/>
      <c r="H389" s="31"/>
      <c r="I389" s="72"/>
      <c r="J389" s="72"/>
      <c r="K389" s="31">
        <v>1</v>
      </c>
      <c r="L389" s="31">
        <v>2</v>
      </c>
      <c r="M389" s="74"/>
      <c r="N389" s="74"/>
      <c r="O389" s="75"/>
      <c r="P389" s="75"/>
      <c r="Q389" s="76"/>
      <c r="R389" s="76"/>
      <c r="S389" s="31"/>
      <c r="T389" s="31"/>
      <c r="U389" s="76">
        <v>-0.5</v>
      </c>
      <c r="V389" s="76"/>
      <c r="W389" s="76"/>
      <c r="X389" s="76"/>
      <c r="Y389" s="76">
        <v>-0.60642570281124508</v>
      </c>
      <c r="Z389" s="76">
        <v>-0.36363636363636365</v>
      </c>
      <c r="AA389" s="76"/>
      <c r="AB389" s="76"/>
      <c r="AC389" s="76"/>
      <c r="AD389" s="142"/>
      <c r="AE389" s="142"/>
      <c r="AF389" s="142"/>
    </row>
    <row r="390" spans="1:32" x14ac:dyDescent="0.35">
      <c r="A390" t="s">
        <v>81</v>
      </c>
      <c r="B390" t="s">
        <v>782</v>
      </c>
      <c r="C390" s="31"/>
      <c r="D390" s="31"/>
      <c r="E390" s="72"/>
      <c r="F390" s="31"/>
      <c r="G390" s="73"/>
      <c r="H390" s="31"/>
      <c r="I390" s="72"/>
      <c r="J390" s="72"/>
      <c r="K390" s="31">
        <v>1</v>
      </c>
      <c r="L390" s="31"/>
      <c r="M390" s="74"/>
      <c r="N390" s="74"/>
      <c r="O390" s="75"/>
      <c r="P390" s="75"/>
      <c r="Q390" s="76"/>
      <c r="R390" s="76"/>
      <c r="S390" s="31"/>
      <c r="T390" s="31"/>
      <c r="U390" s="76"/>
      <c r="V390" s="76"/>
      <c r="W390" s="76"/>
      <c r="X390" s="76"/>
      <c r="Y390" s="76">
        <v>0</v>
      </c>
      <c r="Z390" s="76">
        <v>0</v>
      </c>
      <c r="AA390" s="76"/>
      <c r="AB390" s="76"/>
      <c r="AC390" s="76"/>
      <c r="AD390" s="142"/>
      <c r="AE390" s="142"/>
      <c r="AF390" s="142"/>
    </row>
    <row r="391" spans="1:32" x14ac:dyDescent="0.35">
      <c r="A391" t="s">
        <v>81</v>
      </c>
      <c r="B391" t="s">
        <v>529</v>
      </c>
      <c r="C391" s="31"/>
      <c r="D391" s="31">
        <v>2</v>
      </c>
      <c r="E391" s="72"/>
      <c r="F391" s="31">
        <v>3</v>
      </c>
      <c r="G391" s="73"/>
      <c r="H391" s="31">
        <v>583.30999999999995</v>
      </c>
      <c r="I391" s="72"/>
      <c r="J391" s="72">
        <v>44.729999999999905</v>
      </c>
      <c r="K391" s="31">
        <v>-2</v>
      </c>
      <c r="L391" s="31">
        <v>15.142857142857142</v>
      </c>
      <c r="M391" s="74"/>
      <c r="N391" s="74">
        <v>5.0476190476190474</v>
      </c>
      <c r="O391" s="75"/>
      <c r="P391" s="75">
        <v>194.43666666666664</v>
      </c>
      <c r="Q391" s="76"/>
      <c r="R391" s="76">
        <v>7.6683067322692755E-2</v>
      </c>
      <c r="S391" s="31">
        <v>1</v>
      </c>
      <c r="T391" s="31"/>
      <c r="U391" s="76">
        <v>-1.1320754716981132</v>
      </c>
      <c r="V391" s="76"/>
      <c r="W391" s="76"/>
      <c r="X391" s="76"/>
      <c r="Y391" s="76">
        <v>0</v>
      </c>
      <c r="Z391" s="76">
        <v>0</v>
      </c>
      <c r="AA391" s="76"/>
      <c r="AB391" s="76"/>
      <c r="AC391" s="76"/>
      <c r="AD391" s="142"/>
      <c r="AE391" s="142"/>
      <c r="AF391" s="142"/>
    </row>
    <row r="392" spans="1:32" x14ac:dyDescent="0.35">
      <c r="A392" t="s">
        <v>81</v>
      </c>
      <c r="B392" t="s">
        <v>784</v>
      </c>
      <c r="C392" s="31"/>
      <c r="D392" s="31"/>
      <c r="E392" s="72"/>
      <c r="F392" s="31"/>
      <c r="G392" s="73"/>
      <c r="H392" s="31"/>
      <c r="I392" s="72"/>
      <c r="J392" s="72"/>
      <c r="K392" s="31"/>
      <c r="L392" s="31"/>
      <c r="M392" s="74"/>
      <c r="N392" s="74"/>
      <c r="O392" s="75"/>
      <c r="P392" s="75"/>
      <c r="Q392" s="76"/>
      <c r="R392" s="76"/>
      <c r="S392" s="31">
        <v>2</v>
      </c>
      <c r="T392" s="31"/>
      <c r="U392" s="76"/>
      <c r="V392" s="76"/>
      <c r="W392" s="76"/>
      <c r="X392" s="76"/>
      <c r="Y392" s="76"/>
      <c r="Z392" s="76"/>
      <c r="AA392" s="76"/>
      <c r="AB392" s="76"/>
      <c r="AC392" s="76"/>
      <c r="AD392" s="142"/>
      <c r="AE392" s="142"/>
      <c r="AF392" s="142"/>
    </row>
    <row r="393" spans="1:32" x14ac:dyDescent="0.35">
      <c r="A393" t="s">
        <v>81</v>
      </c>
      <c r="B393" t="s">
        <v>532</v>
      </c>
      <c r="C393" s="31"/>
      <c r="D393" s="31">
        <v>2</v>
      </c>
      <c r="E393" s="72"/>
      <c r="F393" s="31">
        <v>2</v>
      </c>
      <c r="G393" s="73"/>
      <c r="H393" s="31">
        <v>69.16</v>
      </c>
      <c r="I393" s="72"/>
      <c r="J393" s="72">
        <v>7.7000000000000028</v>
      </c>
      <c r="K393" s="31">
        <v>6</v>
      </c>
      <c r="L393" s="31">
        <v>94.142857142857139</v>
      </c>
      <c r="M393" s="74"/>
      <c r="N393" s="74">
        <v>47.571428571428569</v>
      </c>
      <c r="O393" s="75"/>
      <c r="P393" s="75">
        <v>34.58</v>
      </c>
      <c r="Q393" s="76"/>
      <c r="R393" s="76">
        <v>0.11133603238866402</v>
      </c>
      <c r="S393" s="31">
        <v>89</v>
      </c>
      <c r="T393" s="31"/>
      <c r="U393" s="76">
        <v>-0.93626707132018205</v>
      </c>
      <c r="V393" s="76"/>
      <c r="W393" s="76"/>
      <c r="X393" s="76"/>
      <c r="Y393" s="76">
        <v>-0.30071247896322728</v>
      </c>
      <c r="Z393" s="76">
        <v>-0.27586206896551735</v>
      </c>
      <c r="AA393" s="76"/>
      <c r="AB393" s="76"/>
      <c r="AC393" s="76"/>
      <c r="AD393" s="142"/>
      <c r="AE393" s="142"/>
      <c r="AF393" s="142"/>
    </row>
    <row r="394" spans="1:32" x14ac:dyDescent="0.35">
      <c r="A394" t="s">
        <v>81</v>
      </c>
      <c r="B394" t="s">
        <v>545</v>
      </c>
      <c r="C394" s="31"/>
      <c r="D394" s="31"/>
      <c r="E394" s="72"/>
      <c r="F394" s="31"/>
      <c r="G394" s="73"/>
      <c r="H394" s="31"/>
      <c r="I394" s="72"/>
      <c r="J394" s="72"/>
      <c r="K394" s="31">
        <v>3</v>
      </c>
      <c r="L394" s="31">
        <v>14</v>
      </c>
      <c r="M394" s="74"/>
      <c r="N394" s="74"/>
      <c r="O394" s="75"/>
      <c r="P394" s="75"/>
      <c r="Q394" s="76"/>
      <c r="R394" s="76"/>
      <c r="S394" s="31">
        <v>6</v>
      </c>
      <c r="T394" s="31"/>
      <c r="U394" s="76">
        <v>-0.7857142857142857</v>
      </c>
      <c r="V394" s="76"/>
      <c r="W394" s="76"/>
      <c r="X394" s="76"/>
      <c r="Y394" s="76">
        <v>0</v>
      </c>
      <c r="Z394" s="76">
        <v>0</v>
      </c>
      <c r="AA394" s="76"/>
      <c r="AB394" s="76"/>
      <c r="AC394" s="76"/>
      <c r="AD394" s="142"/>
      <c r="AE394" s="142"/>
      <c r="AF394" s="142"/>
    </row>
    <row r="395" spans="1:32" x14ac:dyDescent="0.35">
      <c r="A395" t="s">
        <v>81</v>
      </c>
      <c r="B395" t="s">
        <v>555</v>
      </c>
      <c r="C395" s="31"/>
      <c r="D395" s="31"/>
      <c r="E395" s="72"/>
      <c r="F395" s="31"/>
      <c r="G395" s="73"/>
      <c r="H395" s="31"/>
      <c r="I395" s="72"/>
      <c r="J395" s="72"/>
      <c r="K395" s="31">
        <v>2</v>
      </c>
      <c r="L395" s="31">
        <v>5</v>
      </c>
      <c r="M395" s="74"/>
      <c r="N395" s="74"/>
      <c r="O395" s="75"/>
      <c r="P395" s="75"/>
      <c r="Q395" s="76"/>
      <c r="R395" s="76"/>
      <c r="S395" s="31">
        <v>2</v>
      </c>
      <c r="T395" s="31"/>
      <c r="U395" s="76">
        <v>-0.6</v>
      </c>
      <c r="V395" s="76"/>
      <c r="W395" s="76"/>
      <c r="X395" s="76"/>
      <c r="Y395" s="76">
        <v>0</v>
      </c>
      <c r="Z395" s="76">
        <v>0</v>
      </c>
      <c r="AA395" s="76"/>
      <c r="AB395" s="76"/>
      <c r="AC395" s="76"/>
      <c r="AD395" s="142"/>
      <c r="AE395" s="142"/>
      <c r="AF395" s="142"/>
    </row>
    <row r="396" spans="1:32" x14ac:dyDescent="0.35">
      <c r="A396" t="s">
        <v>81</v>
      </c>
      <c r="B396" t="s">
        <v>538</v>
      </c>
      <c r="C396" s="31"/>
      <c r="D396" s="31"/>
      <c r="E396" s="72"/>
      <c r="F396" s="31"/>
      <c r="G396" s="73"/>
      <c r="H396" s="31"/>
      <c r="I396" s="72"/>
      <c r="J396" s="72"/>
      <c r="K396" s="31">
        <v>-1</v>
      </c>
      <c r="L396" s="31">
        <v>-1</v>
      </c>
      <c r="M396" s="74"/>
      <c r="N396" s="74"/>
      <c r="O396" s="75"/>
      <c r="P396" s="75"/>
      <c r="Q396" s="76"/>
      <c r="R396" s="76"/>
      <c r="S396" s="31">
        <v>4</v>
      </c>
      <c r="T396" s="31"/>
      <c r="U396" s="76">
        <v>0</v>
      </c>
      <c r="V396" s="76"/>
      <c r="W396" s="76"/>
      <c r="X396" s="76"/>
      <c r="Y396" s="76">
        <v>0</v>
      </c>
      <c r="Z396" s="76">
        <v>0</v>
      </c>
      <c r="AA396" s="76"/>
      <c r="AB396" s="76"/>
      <c r="AC396" s="76"/>
      <c r="AD396" s="142"/>
      <c r="AE396" s="142"/>
      <c r="AF396" s="142"/>
    </row>
    <row r="397" spans="1:32" x14ac:dyDescent="0.35">
      <c r="A397" t="s">
        <v>81</v>
      </c>
      <c r="B397" t="s">
        <v>533</v>
      </c>
      <c r="C397" s="31"/>
      <c r="D397" s="31"/>
      <c r="E397" s="72"/>
      <c r="F397" s="31"/>
      <c r="G397" s="73"/>
      <c r="H397" s="31"/>
      <c r="I397" s="72"/>
      <c r="J397" s="72"/>
      <c r="K397" s="31">
        <v>3</v>
      </c>
      <c r="L397" s="31">
        <v>18</v>
      </c>
      <c r="M397" s="74"/>
      <c r="N397" s="74"/>
      <c r="O397" s="75"/>
      <c r="P397" s="75"/>
      <c r="Q397" s="76"/>
      <c r="R397" s="76"/>
      <c r="S397" s="31"/>
      <c r="T397" s="31"/>
      <c r="U397" s="76">
        <v>-0.83333333333333337</v>
      </c>
      <c r="V397" s="76"/>
      <c r="W397" s="76"/>
      <c r="X397" s="76"/>
      <c r="Y397" s="76">
        <v>-0.22221528436719162</v>
      </c>
      <c r="Z397" s="76">
        <v>-0.22222222222222221</v>
      </c>
      <c r="AA397" s="76"/>
      <c r="AB397" s="76"/>
      <c r="AC397" s="76"/>
      <c r="AD397" s="142"/>
      <c r="AE397" s="142"/>
      <c r="AF397" s="142"/>
    </row>
    <row r="398" spans="1:32" x14ac:dyDescent="0.35">
      <c r="A398" t="s">
        <v>81</v>
      </c>
      <c r="B398" t="s">
        <v>552</v>
      </c>
      <c r="C398" s="31"/>
      <c r="D398" s="31"/>
      <c r="E398" s="72"/>
      <c r="F398" s="31"/>
      <c r="G398" s="73"/>
      <c r="H398" s="31"/>
      <c r="I398" s="72"/>
      <c r="J398" s="72"/>
      <c r="K398" s="31">
        <v>1</v>
      </c>
      <c r="L398" s="31">
        <v>5</v>
      </c>
      <c r="M398" s="74"/>
      <c r="N398" s="74"/>
      <c r="O398" s="75"/>
      <c r="P398" s="75"/>
      <c r="Q398" s="76"/>
      <c r="R398" s="76"/>
      <c r="S398" s="31"/>
      <c r="T398" s="31"/>
      <c r="U398" s="76">
        <v>-0.8</v>
      </c>
      <c r="V398" s="76"/>
      <c r="W398" s="76"/>
      <c r="X398" s="76"/>
      <c r="Y398" s="76">
        <v>0</v>
      </c>
      <c r="Z398" s="76">
        <v>0</v>
      </c>
      <c r="AA398" s="76"/>
      <c r="AB398" s="76"/>
      <c r="AC398" s="76"/>
      <c r="AD398" s="142"/>
      <c r="AE398" s="142"/>
      <c r="AF398" s="142"/>
    </row>
    <row r="399" spans="1:32" x14ac:dyDescent="0.35">
      <c r="A399" t="s">
        <v>81</v>
      </c>
      <c r="B399" t="s">
        <v>537</v>
      </c>
      <c r="C399" s="31"/>
      <c r="D399" s="31">
        <v>2</v>
      </c>
      <c r="E399" s="72"/>
      <c r="F399" s="31">
        <v>2</v>
      </c>
      <c r="G399" s="73"/>
      <c r="H399" s="31">
        <v>83.99</v>
      </c>
      <c r="I399" s="72"/>
      <c r="J399" s="72">
        <v>-239.17000000000002</v>
      </c>
      <c r="K399" s="31">
        <v>1</v>
      </c>
      <c r="L399" s="31">
        <v>9.1428571428571423</v>
      </c>
      <c r="M399" s="74"/>
      <c r="N399" s="74">
        <v>4.5714285714285712</v>
      </c>
      <c r="O399" s="75"/>
      <c r="P399" s="75">
        <v>41.994999999999997</v>
      </c>
      <c r="Q399" s="76"/>
      <c r="R399" s="76">
        <v>-2.8476009048696276</v>
      </c>
      <c r="S399" s="31"/>
      <c r="T399" s="31"/>
      <c r="U399" s="76">
        <v>-0.890625</v>
      </c>
      <c r="V399" s="76"/>
      <c r="W399" s="76"/>
      <c r="X399" s="76"/>
      <c r="Y399" s="76">
        <v>0</v>
      </c>
      <c r="Z399" s="76">
        <v>0</v>
      </c>
      <c r="AA399" s="76"/>
      <c r="AB399" s="76"/>
      <c r="AC399" s="76"/>
      <c r="AD399" s="142"/>
      <c r="AE399" s="142"/>
      <c r="AF399" s="142"/>
    </row>
    <row r="400" spans="1:32" x14ac:dyDescent="0.35">
      <c r="A400" t="s">
        <v>81</v>
      </c>
      <c r="B400" t="s">
        <v>539</v>
      </c>
      <c r="C400" s="31"/>
      <c r="D400" s="31">
        <v>1</v>
      </c>
      <c r="E400" s="72"/>
      <c r="F400" s="31">
        <v>2</v>
      </c>
      <c r="G400" s="73"/>
      <c r="H400" s="31">
        <v>78.300000000000011</v>
      </c>
      <c r="I400" s="72"/>
      <c r="J400" s="72">
        <v>45.300000000000011</v>
      </c>
      <c r="K400" s="31">
        <v>5.7142857142857144</v>
      </c>
      <c r="L400" s="31">
        <v>40.857142857142854</v>
      </c>
      <c r="M400" s="74"/>
      <c r="N400" s="74">
        <v>21.428571428571427</v>
      </c>
      <c r="O400" s="75"/>
      <c r="P400" s="75">
        <v>39.150000000000006</v>
      </c>
      <c r="Q400" s="76"/>
      <c r="R400" s="76">
        <v>0.5785440613026821</v>
      </c>
      <c r="S400" s="31">
        <v>27.428571428571427</v>
      </c>
      <c r="T400" s="31"/>
      <c r="U400" s="76">
        <v>-0.8601398601398601</v>
      </c>
      <c r="V400" s="76"/>
      <c r="W400" s="76"/>
      <c r="X400" s="76"/>
      <c r="Y400" s="76">
        <v>-0.16666666666666663</v>
      </c>
      <c r="Z400" s="76">
        <v>-0.16666666666666663</v>
      </c>
      <c r="AA400" s="76"/>
      <c r="AB400" s="76"/>
      <c r="AC400" s="76"/>
      <c r="AD400" s="142"/>
      <c r="AE400" s="142"/>
      <c r="AF400" s="142"/>
    </row>
    <row r="401" spans="1:32" x14ac:dyDescent="0.35">
      <c r="A401" t="s">
        <v>81</v>
      </c>
      <c r="B401" t="s">
        <v>548</v>
      </c>
      <c r="C401" s="31"/>
      <c r="D401" s="31"/>
      <c r="E401" s="72"/>
      <c r="F401" s="31"/>
      <c r="G401" s="73"/>
      <c r="H401" s="31"/>
      <c r="I401" s="72"/>
      <c r="J401" s="72"/>
      <c r="K401" s="31"/>
      <c r="L401" s="31">
        <v>1</v>
      </c>
      <c r="M401" s="74"/>
      <c r="N401" s="74"/>
      <c r="O401" s="75"/>
      <c r="P401" s="75"/>
      <c r="Q401" s="76"/>
      <c r="R401" s="76"/>
      <c r="S401" s="31"/>
      <c r="T401" s="31"/>
      <c r="U401" s="76"/>
      <c r="V401" s="76"/>
      <c r="W401" s="76"/>
      <c r="X401" s="76"/>
      <c r="Y401" s="76"/>
      <c r="Z401" s="76"/>
      <c r="AA401" s="76"/>
      <c r="AB401" s="76"/>
      <c r="AC401" s="76"/>
      <c r="AD401" s="142"/>
      <c r="AE401" s="142"/>
      <c r="AF401" s="142"/>
    </row>
    <row r="402" spans="1:32" x14ac:dyDescent="0.35">
      <c r="A402" t="s">
        <v>81</v>
      </c>
      <c r="B402" t="s">
        <v>525</v>
      </c>
      <c r="C402" s="31"/>
      <c r="D402" s="31"/>
      <c r="E402" s="72"/>
      <c r="F402" s="31"/>
      <c r="G402" s="73"/>
      <c r="H402" s="31"/>
      <c r="I402" s="72"/>
      <c r="J402" s="72"/>
      <c r="K402" s="31">
        <v>11.857142857142858</v>
      </c>
      <c r="L402" s="31">
        <v>33</v>
      </c>
      <c r="M402" s="74"/>
      <c r="N402" s="74"/>
      <c r="O402" s="75"/>
      <c r="P402" s="75"/>
      <c r="Q402" s="76"/>
      <c r="R402" s="76"/>
      <c r="S402" s="31">
        <v>6</v>
      </c>
      <c r="T402" s="31"/>
      <c r="U402" s="76">
        <v>-0.64069264069264076</v>
      </c>
      <c r="V402" s="76"/>
      <c r="W402" s="76"/>
      <c r="X402" s="76"/>
      <c r="Y402" s="76">
        <v>1.8443016729989825E-3</v>
      </c>
      <c r="Z402" s="76">
        <v>-1.1904761904761862E-2</v>
      </c>
      <c r="AA402" s="76"/>
      <c r="AB402" s="76"/>
      <c r="AC402" s="76"/>
      <c r="AD402" s="142"/>
      <c r="AE402" s="142"/>
      <c r="AF402" s="142"/>
    </row>
    <row r="403" spans="1:32" x14ac:dyDescent="0.35">
      <c r="A403" t="s">
        <v>81</v>
      </c>
      <c r="B403" t="s">
        <v>554</v>
      </c>
      <c r="C403" s="31"/>
      <c r="D403" s="31"/>
      <c r="E403" s="72"/>
      <c r="F403" s="31"/>
      <c r="G403" s="73"/>
      <c r="H403" s="31"/>
      <c r="I403" s="72"/>
      <c r="J403" s="72"/>
      <c r="K403" s="31">
        <v>2</v>
      </c>
      <c r="L403" s="31">
        <v>1</v>
      </c>
      <c r="M403" s="74"/>
      <c r="N403" s="74"/>
      <c r="O403" s="75"/>
      <c r="P403" s="75"/>
      <c r="Q403" s="76"/>
      <c r="R403" s="76"/>
      <c r="S403" s="31"/>
      <c r="T403" s="31"/>
      <c r="U403" s="76">
        <v>1</v>
      </c>
      <c r="V403" s="76"/>
      <c r="W403" s="76"/>
      <c r="X403" s="76"/>
      <c r="Y403" s="76">
        <v>0</v>
      </c>
      <c r="Z403" s="76">
        <v>0</v>
      </c>
      <c r="AA403" s="76"/>
      <c r="AB403" s="76"/>
      <c r="AC403" s="76"/>
      <c r="AD403" s="142"/>
      <c r="AE403" s="142"/>
      <c r="AF403" s="142"/>
    </row>
    <row r="404" spans="1:32" x14ac:dyDescent="0.35">
      <c r="A404" t="s">
        <v>81</v>
      </c>
      <c r="B404" t="s">
        <v>527</v>
      </c>
      <c r="C404" s="31"/>
      <c r="D404" s="31">
        <v>4</v>
      </c>
      <c r="E404" s="72"/>
      <c r="F404" s="31">
        <v>4</v>
      </c>
      <c r="G404" s="73"/>
      <c r="H404" s="31">
        <v>337.48</v>
      </c>
      <c r="I404" s="72"/>
      <c r="J404" s="72">
        <v>17.480000000000018</v>
      </c>
      <c r="K404" s="31">
        <v>15</v>
      </c>
      <c r="L404" s="31">
        <v>114.28571428571429</v>
      </c>
      <c r="M404" s="74"/>
      <c r="N404" s="74">
        <v>30.071428571428573</v>
      </c>
      <c r="O404" s="75"/>
      <c r="P404" s="75">
        <v>84.37</v>
      </c>
      <c r="Q404" s="76"/>
      <c r="R404" s="76">
        <v>5.179566196515354E-2</v>
      </c>
      <c r="S404" s="31"/>
      <c r="T404" s="31"/>
      <c r="U404" s="76">
        <v>-0.86875000000000002</v>
      </c>
      <c r="V404" s="76"/>
      <c r="W404" s="76"/>
      <c r="X404" s="76"/>
      <c r="Y404" s="76">
        <v>-2.7777777777777679E-2</v>
      </c>
      <c r="Z404" s="76">
        <v>-2.777777777777779E-2</v>
      </c>
      <c r="AA404" s="76"/>
      <c r="AB404" s="76"/>
      <c r="AC404" s="76"/>
      <c r="AD404" s="142"/>
      <c r="AE404" s="142"/>
      <c r="AF404" s="142"/>
    </row>
    <row r="405" spans="1:32" x14ac:dyDescent="0.35">
      <c r="A405" t="s">
        <v>81</v>
      </c>
      <c r="B405" t="s">
        <v>546</v>
      </c>
      <c r="C405" s="31"/>
      <c r="D405" s="31"/>
      <c r="E405" s="72"/>
      <c r="F405" s="31"/>
      <c r="G405" s="73"/>
      <c r="H405" s="31"/>
      <c r="I405" s="72"/>
      <c r="J405" s="72"/>
      <c r="K405" s="31"/>
      <c r="L405" s="31"/>
      <c r="M405" s="74"/>
      <c r="N405" s="74"/>
      <c r="O405" s="75"/>
      <c r="P405" s="75"/>
      <c r="Q405" s="76"/>
      <c r="R405" s="76"/>
      <c r="S405" s="31">
        <v>5</v>
      </c>
      <c r="T405" s="31"/>
      <c r="U405" s="76"/>
      <c r="V405" s="76"/>
      <c r="W405" s="76"/>
      <c r="X405" s="76"/>
      <c r="Y405" s="76"/>
      <c r="Z405" s="76"/>
      <c r="AA405" s="76"/>
      <c r="AB405" s="76"/>
      <c r="AC405" s="76"/>
      <c r="AD405" s="142"/>
      <c r="AE405" s="142"/>
      <c r="AF405" s="142"/>
    </row>
    <row r="406" spans="1:32" x14ac:dyDescent="0.35">
      <c r="A406" t="s">
        <v>81</v>
      </c>
      <c r="B406" t="s">
        <v>528</v>
      </c>
      <c r="C406" s="31"/>
      <c r="D406" s="31">
        <v>1</v>
      </c>
      <c r="E406" s="72"/>
      <c r="F406" s="31">
        <v>1</v>
      </c>
      <c r="G406" s="73"/>
      <c r="H406" s="31">
        <v>479.16</v>
      </c>
      <c r="I406" s="72"/>
      <c r="J406" s="72">
        <v>105.41000000000003</v>
      </c>
      <c r="K406" s="31">
        <v>3</v>
      </c>
      <c r="L406" s="31">
        <v>13.142857142857142</v>
      </c>
      <c r="M406" s="74"/>
      <c r="N406" s="74">
        <v>13.142857142857142</v>
      </c>
      <c r="O406" s="75"/>
      <c r="P406" s="75">
        <v>479.16</v>
      </c>
      <c r="Q406" s="76"/>
      <c r="R406" s="76">
        <v>0.21998914767509814</v>
      </c>
      <c r="S406" s="31">
        <v>1</v>
      </c>
      <c r="T406" s="31"/>
      <c r="U406" s="76">
        <v>-0.77173913043478259</v>
      </c>
      <c r="V406" s="76"/>
      <c r="W406" s="76"/>
      <c r="X406" s="76"/>
      <c r="Y406" s="76">
        <v>0</v>
      </c>
      <c r="Z406" s="76">
        <v>0</v>
      </c>
      <c r="AA406" s="76"/>
      <c r="AB406" s="76"/>
      <c r="AC406" s="76"/>
      <c r="AD406" s="142"/>
      <c r="AE406" s="142"/>
      <c r="AF406" s="142"/>
    </row>
    <row r="407" spans="1:32" x14ac:dyDescent="0.35">
      <c r="A407" t="s">
        <v>81</v>
      </c>
      <c r="B407" t="s">
        <v>557</v>
      </c>
      <c r="C407" s="31"/>
      <c r="D407" s="31"/>
      <c r="E407" s="72"/>
      <c r="F407" s="31"/>
      <c r="G407" s="73"/>
      <c r="H407" s="31"/>
      <c r="I407" s="72"/>
      <c r="J407" s="72"/>
      <c r="K407" s="31"/>
      <c r="L407" s="31">
        <v>1</v>
      </c>
      <c r="M407" s="74"/>
      <c r="N407" s="74"/>
      <c r="O407" s="75"/>
      <c r="P407" s="75"/>
      <c r="Q407" s="76"/>
      <c r="R407" s="76"/>
      <c r="S407" s="31"/>
      <c r="T407" s="31"/>
      <c r="U407" s="76"/>
      <c r="V407" s="76"/>
      <c r="W407" s="76"/>
      <c r="X407" s="76"/>
      <c r="Y407" s="76"/>
      <c r="Z407" s="76"/>
      <c r="AA407" s="76"/>
      <c r="AB407" s="76"/>
      <c r="AC407" s="76"/>
      <c r="AD407" s="142"/>
      <c r="AE407" s="142"/>
      <c r="AF407" s="142"/>
    </row>
    <row r="408" spans="1:32" x14ac:dyDescent="0.35">
      <c r="A408" t="s">
        <v>81</v>
      </c>
      <c r="B408" t="s">
        <v>542</v>
      </c>
      <c r="C408" s="31"/>
      <c r="D408" s="31"/>
      <c r="E408" s="72"/>
      <c r="F408" s="31"/>
      <c r="G408" s="73"/>
      <c r="H408" s="31"/>
      <c r="I408" s="72"/>
      <c r="J408" s="72"/>
      <c r="K408" s="31"/>
      <c r="L408" s="31">
        <v>-1</v>
      </c>
      <c r="M408" s="74"/>
      <c r="N408" s="74"/>
      <c r="O408" s="75"/>
      <c r="P408" s="75"/>
      <c r="Q408" s="76"/>
      <c r="R408" s="76"/>
      <c r="S408" s="31">
        <v>1</v>
      </c>
      <c r="T408" s="31"/>
      <c r="U408" s="76"/>
      <c r="V408" s="76"/>
      <c r="W408" s="76"/>
      <c r="X408" s="76"/>
      <c r="Y408" s="76"/>
      <c r="Z408" s="76"/>
      <c r="AA408" s="76"/>
      <c r="AB408" s="76"/>
      <c r="AC408" s="76"/>
      <c r="AD408" s="142"/>
      <c r="AE408" s="142"/>
      <c r="AF408" s="142"/>
    </row>
    <row r="409" spans="1:32" x14ac:dyDescent="0.35">
      <c r="A409" t="s">
        <v>81</v>
      </c>
      <c r="B409" t="s">
        <v>531</v>
      </c>
      <c r="C409" s="31"/>
      <c r="D409" s="31">
        <v>4</v>
      </c>
      <c r="E409" s="72"/>
      <c r="F409" s="31">
        <v>4</v>
      </c>
      <c r="G409" s="73"/>
      <c r="H409" s="31">
        <v>240.82</v>
      </c>
      <c r="I409" s="72"/>
      <c r="J409" s="72">
        <v>41.550000000000011</v>
      </c>
      <c r="K409" s="31">
        <v>16</v>
      </c>
      <c r="L409" s="31">
        <v>81</v>
      </c>
      <c r="M409" s="74"/>
      <c r="N409" s="74">
        <v>20.5</v>
      </c>
      <c r="O409" s="75"/>
      <c r="P409" s="75">
        <v>60.204999999999998</v>
      </c>
      <c r="Q409" s="76"/>
      <c r="R409" s="76">
        <v>0.17253550369570639</v>
      </c>
      <c r="S409" s="31">
        <v>16</v>
      </c>
      <c r="T409" s="31"/>
      <c r="U409" s="76">
        <v>-0.81481481481481488</v>
      </c>
      <c r="V409" s="76"/>
      <c r="W409" s="76"/>
      <c r="X409" s="76"/>
      <c r="Y409" s="76">
        <v>0</v>
      </c>
      <c r="Z409" s="76">
        <v>0</v>
      </c>
      <c r="AA409" s="76"/>
      <c r="AB409" s="76"/>
      <c r="AC409" s="76"/>
      <c r="AD409" s="142"/>
      <c r="AE409" s="142"/>
      <c r="AF409" s="142"/>
    </row>
    <row r="410" spans="1:32" x14ac:dyDescent="0.35">
      <c r="A410" t="s">
        <v>81</v>
      </c>
      <c r="B410" t="s">
        <v>556</v>
      </c>
      <c r="C410" s="31"/>
      <c r="D410" s="31"/>
      <c r="E410" s="72"/>
      <c r="F410" s="31"/>
      <c r="G410" s="73"/>
      <c r="H410" s="31"/>
      <c r="I410" s="72"/>
      <c r="J410" s="72"/>
      <c r="K410" s="31"/>
      <c r="L410" s="31"/>
      <c r="M410" s="74"/>
      <c r="N410" s="74"/>
      <c r="O410" s="75"/>
      <c r="P410" s="75"/>
      <c r="Q410" s="76"/>
      <c r="R410" s="76"/>
      <c r="S410" s="31">
        <v>-1</v>
      </c>
      <c r="T410" s="31"/>
      <c r="U410" s="76"/>
      <c r="V410" s="76"/>
      <c r="W410" s="76"/>
      <c r="X410" s="76"/>
      <c r="Y410" s="76"/>
      <c r="Z410" s="76"/>
      <c r="AA410" s="76"/>
      <c r="AB410" s="76"/>
      <c r="AC410" s="76"/>
      <c r="AD410" s="142"/>
      <c r="AE410" s="142"/>
      <c r="AF410" s="142"/>
    </row>
    <row r="411" spans="1:32" x14ac:dyDescent="0.35">
      <c r="A411" s="138" t="s">
        <v>844</v>
      </c>
      <c r="B411" s="138"/>
      <c r="C411" s="127">
        <v>16139</v>
      </c>
      <c r="D411" s="127">
        <v>21096</v>
      </c>
      <c r="E411" s="126">
        <v>25042</v>
      </c>
      <c r="F411" s="127">
        <v>37872</v>
      </c>
      <c r="G411" s="127">
        <v>7967334.5600011973</v>
      </c>
      <c r="H411" s="127">
        <v>6763707.3200010117</v>
      </c>
      <c r="I411" s="126">
        <v>4217584.7800004473</v>
      </c>
      <c r="J411" s="126">
        <v>2835167.2900009882</v>
      </c>
      <c r="K411" s="127">
        <v>332251.42857142858</v>
      </c>
      <c r="L411" s="127">
        <v>751107.71428571432</v>
      </c>
      <c r="M411" s="140">
        <v>13.267767293803553</v>
      </c>
      <c r="N411" s="140">
        <v>20.085761533180271</v>
      </c>
      <c r="O411" s="139">
        <v>318.15887548922598</v>
      </c>
      <c r="P411" s="139">
        <v>178.59387727083364</v>
      </c>
      <c r="Q411" s="141">
        <v>0.52935956790043637</v>
      </c>
      <c r="R411" s="141">
        <v>0.41030580683968876</v>
      </c>
      <c r="S411" s="127">
        <v>139741.71428571429</v>
      </c>
      <c r="T411" s="127"/>
      <c r="U411" s="141">
        <v>-0.57210626438589562</v>
      </c>
      <c r="V411" s="141">
        <v>-0.36488698774820449</v>
      </c>
      <c r="W411" s="141">
        <v>0.13246613692931186</v>
      </c>
      <c r="X411" s="141">
        <v>0.46345664215158311</v>
      </c>
      <c r="Y411" s="141">
        <v>8.678358824908905E-2</v>
      </c>
      <c r="Z411" s="141">
        <v>0.11770515201830034</v>
      </c>
      <c r="AA411" s="141">
        <v>0.19887016468785901</v>
      </c>
      <c r="AB411" s="141">
        <v>0.19133342122363572</v>
      </c>
      <c r="AC411" s="141">
        <v>-6.286538514523432E-3</v>
      </c>
      <c r="AD411" s="143">
        <v>-0.19168494351621751</v>
      </c>
      <c r="AE411" s="143">
        <v>-0.18776106060289585</v>
      </c>
      <c r="AF411" s="143">
        <v>-4.982003377442841E-2</v>
      </c>
    </row>
    <row r="412" spans="1:32" x14ac:dyDescent="0.35">
      <c r="A412" t="s">
        <v>99</v>
      </c>
      <c r="B412" t="s">
        <v>458</v>
      </c>
      <c r="C412" s="31">
        <v>9274</v>
      </c>
      <c r="D412" s="31">
        <v>7269</v>
      </c>
      <c r="E412" s="72">
        <v>20857</v>
      </c>
      <c r="F412" s="31">
        <v>16675</v>
      </c>
      <c r="G412" s="73">
        <v>3091579.6999998214</v>
      </c>
      <c r="H412" s="31">
        <v>2732314.2100000079</v>
      </c>
      <c r="I412" s="72">
        <v>1597355.6699999922</v>
      </c>
      <c r="J412" s="72">
        <v>1209626.2000000461</v>
      </c>
      <c r="K412" s="31">
        <v>233291</v>
      </c>
      <c r="L412" s="31">
        <v>290486</v>
      </c>
      <c r="M412" s="74">
        <v>11.185261542887281</v>
      </c>
      <c r="N412" s="74">
        <v>17.666854618135915</v>
      </c>
      <c r="O412" s="75">
        <v>148.22743922902725</v>
      </c>
      <c r="P412" s="75">
        <v>163.85692413793151</v>
      </c>
      <c r="Q412" s="76">
        <v>0.51667944061092286</v>
      </c>
      <c r="R412" s="76">
        <v>0.43510121434278298</v>
      </c>
      <c r="S412" s="31">
        <v>105277.71428571429</v>
      </c>
      <c r="T412" s="31"/>
      <c r="U412" s="76">
        <v>-0.22379834385920738</v>
      </c>
      <c r="V412" s="76">
        <v>0.20347826086956511</v>
      </c>
      <c r="W412" s="76">
        <v>8.7179266984753534E-2</v>
      </c>
      <c r="X412" s="76">
        <v>0.29148170512575566</v>
      </c>
      <c r="Y412" s="76">
        <v>-5.0014045536600715E-2</v>
      </c>
      <c r="Z412" s="76">
        <v>-4.243393354301972E-2</v>
      </c>
      <c r="AA412" s="76">
        <v>-8.7181058252002286E-2</v>
      </c>
      <c r="AB412" s="76">
        <v>-9.49245090433537E-3</v>
      </c>
      <c r="AC412" s="76">
        <v>8.510845228397379E-2</v>
      </c>
      <c r="AD412" s="142">
        <v>-6.5605534675973631E-2</v>
      </c>
      <c r="AE412" s="142">
        <v>8.2409932565144867E-2</v>
      </c>
      <c r="AF412" s="142">
        <v>0.22789001487558574</v>
      </c>
    </row>
    <row r="413" spans="1:32" x14ac:dyDescent="0.35">
      <c r="A413" t="s">
        <v>99</v>
      </c>
      <c r="B413" t="s">
        <v>101</v>
      </c>
      <c r="C413" s="31">
        <v>1377</v>
      </c>
      <c r="D413" s="31">
        <v>1632</v>
      </c>
      <c r="E413" s="72">
        <v>1684</v>
      </c>
      <c r="F413" s="31">
        <v>2065</v>
      </c>
      <c r="G413" s="73">
        <v>1473728.5900000033</v>
      </c>
      <c r="H413" s="31">
        <v>1733964.8300000248</v>
      </c>
      <c r="I413" s="72">
        <v>618939.52999999782</v>
      </c>
      <c r="J413" s="72">
        <v>775054.20000002405</v>
      </c>
      <c r="K413" s="31">
        <v>18669.285714285714</v>
      </c>
      <c r="L413" s="31">
        <v>43112.142857142855</v>
      </c>
      <c r="M413" s="74">
        <v>11.086274177129283</v>
      </c>
      <c r="N413" s="74">
        <v>21.132561132561133</v>
      </c>
      <c r="O413" s="75">
        <v>875.13574228028699</v>
      </c>
      <c r="P413" s="75">
        <v>839.69241162228798</v>
      </c>
      <c r="Q413" s="76">
        <v>0.41998203346248197</v>
      </c>
      <c r="R413" s="76">
        <v>0.43738263657734988</v>
      </c>
      <c r="S413" s="31">
        <v>3561.1428571428573</v>
      </c>
      <c r="T413" s="31"/>
      <c r="U413" s="76">
        <v>-0.58718955547823781</v>
      </c>
      <c r="V413" s="76">
        <v>-0.22324455205811133</v>
      </c>
      <c r="W413" s="76">
        <v>-0.18715919399588654</v>
      </c>
      <c r="X413" s="76">
        <v>-0.21469420817483331</v>
      </c>
      <c r="Y413" s="76">
        <v>-6.3588210244539423E-2</v>
      </c>
      <c r="Z413" s="76">
        <v>-6.3317540980081577E-2</v>
      </c>
      <c r="AA413" s="76">
        <v>0.18508092892329353</v>
      </c>
      <c r="AB413" s="76">
        <v>0.19220700376355637</v>
      </c>
      <c r="AC413" s="76">
        <v>6.0131546009580816E-3</v>
      </c>
      <c r="AD413" s="142">
        <v>-0.1696887481632938</v>
      </c>
      <c r="AE413" s="142">
        <v>-8.8755895865688189E-2</v>
      </c>
      <c r="AF413" s="142">
        <v>-0.1130621631772358</v>
      </c>
    </row>
    <row r="414" spans="1:32" x14ac:dyDescent="0.35">
      <c r="A414" t="s">
        <v>99</v>
      </c>
      <c r="B414" t="s">
        <v>459</v>
      </c>
      <c r="C414" s="31">
        <v>2117</v>
      </c>
      <c r="D414" s="31">
        <v>2126</v>
      </c>
      <c r="E414" s="72">
        <v>3547</v>
      </c>
      <c r="F414" s="31">
        <v>3685</v>
      </c>
      <c r="G414" s="73">
        <v>1172520.0800000026</v>
      </c>
      <c r="H414" s="31">
        <v>1187725.8200000073</v>
      </c>
      <c r="I414" s="72">
        <v>628995.06999999552</v>
      </c>
      <c r="J414" s="72">
        <v>473525.76000000595</v>
      </c>
      <c r="K414" s="31">
        <v>44808.714285714283</v>
      </c>
      <c r="L414" s="31">
        <v>76020.428571428565</v>
      </c>
      <c r="M414" s="74">
        <v>12.632848685005436</v>
      </c>
      <c r="N414" s="74">
        <v>20.94581673306773</v>
      </c>
      <c r="O414" s="75">
        <v>330.56669861855164</v>
      </c>
      <c r="P414" s="75">
        <v>322.3136553595678</v>
      </c>
      <c r="Q414" s="76">
        <v>0.53644716259357716</v>
      </c>
      <c r="R414" s="76">
        <v>0.39117108715789445</v>
      </c>
      <c r="S414" s="31">
        <v>17781.428571428572</v>
      </c>
      <c r="T414" s="31"/>
      <c r="U414" s="76">
        <v>-0.43608390977613154</v>
      </c>
      <c r="V414" s="76">
        <v>-8.2496607869742222E-2</v>
      </c>
      <c r="W414" s="76">
        <v>-6.2506303011924946E-2</v>
      </c>
      <c r="X414" s="76">
        <v>0.28602499941427384</v>
      </c>
      <c r="Y414" s="76">
        <v>-4.3489631700851294E-2</v>
      </c>
      <c r="Z414" s="76">
        <v>-3.9576099404138643E-2</v>
      </c>
      <c r="AA414" s="76">
        <v>8.2433200682205943E-3</v>
      </c>
      <c r="AB414" s="76">
        <v>1.2611333521951096E-2</v>
      </c>
      <c r="AC414" s="76">
        <v>4.3323009106919219E-3</v>
      </c>
      <c r="AD414" s="142">
        <v>-0.20467116112292719</v>
      </c>
      <c r="AE414" s="142">
        <v>-0.16723970004921024</v>
      </c>
      <c r="AF414" s="142">
        <v>1.9199884287481516E-3</v>
      </c>
    </row>
    <row r="415" spans="1:32" x14ac:dyDescent="0.35">
      <c r="A415" t="s">
        <v>99</v>
      </c>
      <c r="B415" t="s">
        <v>460</v>
      </c>
      <c r="C415" s="31">
        <v>2834</v>
      </c>
      <c r="D415" s="31">
        <v>3702</v>
      </c>
      <c r="E415" s="72">
        <v>8901</v>
      </c>
      <c r="F415" s="31">
        <v>9637</v>
      </c>
      <c r="G415" s="73">
        <v>589630.87000000617</v>
      </c>
      <c r="H415" s="31">
        <v>523144.18000000698</v>
      </c>
      <c r="I415" s="72">
        <v>292610.14000000304</v>
      </c>
      <c r="J415" s="72">
        <v>224550.51000000804</v>
      </c>
      <c r="K415" s="31">
        <v>96640.28571428571</v>
      </c>
      <c r="L415" s="31">
        <v>141007</v>
      </c>
      <c r="M415" s="74">
        <v>10.857239154509124</v>
      </c>
      <c r="N415" s="74">
        <v>14.797687777633081</v>
      </c>
      <c r="O415" s="75">
        <v>66.243216492529626</v>
      </c>
      <c r="P415" s="75">
        <v>54.284962125143402</v>
      </c>
      <c r="Q415" s="76">
        <v>0.4962598718754328</v>
      </c>
      <c r="R415" s="76">
        <v>0.4189063429589257</v>
      </c>
      <c r="S415" s="31">
        <v>52268.142857142855</v>
      </c>
      <c r="T415" s="31"/>
      <c r="U415" s="76">
        <v>-0.3340472458814101</v>
      </c>
      <c r="V415" s="76">
        <v>-0.11725640759572487</v>
      </c>
      <c r="W415" s="76">
        <v>7.4772426981787987E-2</v>
      </c>
      <c r="X415" s="76">
        <v>0.27536755077661135</v>
      </c>
      <c r="Y415" s="76">
        <v>-5.3330166266109535E-2</v>
      </c>
      <c r="Z415" s="76">
        <v>-4.5911696883792819E-2</v>
      </c>
      <c r="AA415" s="76">
        <v>2.3574057037718532E-2</v>
      </c>
      <c r="AB415" s="76">
        <v>4.2893506532570846E-2</v>
      </c>
      <c r="AC415" s="76">
        <v>1.887450093329246E-2</v>
      </c>
      <c r="AD415" s="142">
        <v>-0.21928148951934739</v>
      </c>
      <c r="AE415" s="142">
        <v>-6.7618202588433735E-2</v>
      </c>
      <c r="AF415" s="142">
        <v>6.0551019698112454E-2</v>
      </c>
    </row>
    <row r="416" spans="1:32" x14ac:dyDescent="0.35">
      <c r="A416" t="s">
        <v>99</v>
      </c>
      <c r="B416" t="s">
        <v>461</v>
      </c>
      <c r="C416" s="31">
        <v>658</v>
      </c>
      <c r="D416" s="31">
        <v>798</v>
      </c>
      <c r="E416" s="72">
        <v>1196</v>
      </c>
      <c r="F416" s="31">
        <v>1236</v>
      </c>
      <c r="G416" s="73">
        <v>208194.24999999997</v>
      </c>
      <c r="H416" s="31">
        <v>248069.21000000031</v>
      </c>
      <c r="I416" s="72">
        <v>108521.09000000043</v>
      </c>
      <c r="J416" s="72">
        <v>102175.92999999988</v>
      </c>
      <c r="K416" s="31">
        <v>21959.428571428572</v>
      </c>
      <c r="L416" s="31">
        <v>22170.142857142859</v>
      </c>
      <c r="M416" s="74">
        <v>18.360726230291448</v>
      </c>
      <c r="N416" s="74">
        <v>18.261942494906044</v>
      </c>
      <c r="O416" s="75">
        <v>174.07545986622071</v>
      </c>
      <c r="P416" s="75">
        <v>200.70324433656984</v>
      </c>
      <c r="Q416" s="76">
        <v>0.52124921797792423</v>
      </c>
      <c r="R416" s="76">
        <v>0.40381971438793957</v>
      </c>
      <c r="S416" s="31">
        <v>1157</v>
      </c>
      <c r="T416" s="31"/>
      <c r="U416" s="76">
        <v>-4.7212789401447242E-2</v>
      </c>
      <c r="V416" s="76">
        <v>-9.3042071197411036E-2</v>
      </c>
      <c r="W416" s="76">
        <v>-0.21110382864524124</v>
      </c>
      <c r="X416" s="76">
        <v>2.1717261087353279E-2</v>
      </c>
      <c r="Y416" s="76">
        <v>-4.4102291028205953E-2</v>
      </c>
      <c r="Z416" s="76">
        <v>-4.3334847739903815E-2</v>
      </c>
      <c r="AA416" s="76">
        <v>-4.3964828137490031E-2</v>
      </c>
      <c r="AB416" s="76">
        <v>-4.441692974613487E-2</v>
      </c>
      <c r="AC416" s="76">
        <v>-4.7289223446045359E-4</v>
      </c>
      <c r="AD416" s="142">
        <v>-0.21940073733996568</v>
      </c>
      <c r="AE416" s="142">
        <v>-0.1329500061078947</v>
      </c>
      <c r="AF416" s="142">
        <v>3.5901475938214161E-2</v>
      </c>
    </row>
    <row r="417" spans="1:32" x14ac:dyDescent="0.35">
      <c r="A417" t="s">
        <v>99</v>
      </c>
      <c r="B417" t="s">
        <v>469</v>
      </c>
      <c r="C417" s="31">
        <v>88</v>
      </c>
      <c r="D417" s="31">
        <v>88</v>
      </c>
      <c r="E417" s="72">
        <v>142</v>
      </c>
      <c r="F417" s="31">
        <v>133</v>
      </c>
      <c r="G417" s="73">
        <v>38044</v>
      </c>
      <c r="H417" s="31">
        <v>26412.629999999997</v>
      </c>
      <c r="I417" s="72">
        <v>22228.259999999995</v>
      </c>
      <c r="J417" s="72">
        <v>14272.939999999991</v>
      </c>
      <c r="K417" s="31">
        <v>8217.8571428571431</v>
      </c>
      <c r="L417" s="31">
        <v>10223.142857142857</v>
      </c>
      <c r="M417" s="74">
        <v>57.872233400402415</v>
      </c>
      <c r="N417" s="74">
        <v>77.183368869936047</v>
      </c>
      <c r="O417" s="75">
        <v>267.91549295774649</v>
      </c>
      <c r="P417" s="75">
        <v>198.59120300751877</v>
      </c>
      <c r="Q417" s="76">
        <v>0.58427767847755219</v>
      </c>
      <c r="R417" s="76">
        <v>0.53486051335283191</v>
      </c>
      <c r="S417" s="31">
        <v>412.71428571428572</v>
      </c>
      <c r="T417" s="31"/>
      <c r="U417" s="76">
        <v>-0.22004695229311644</v>
      </c>
      <c r="V417" s="76">
        <v>2.2556390977443552E-2</v>
      </c>
      <c r="W417" s="76">
        <v>0.38014086442735917</v>
      </c>
      <c r="X417" s="76">
        <v>0.49991498851636629</v>
      </c>
      <c r="Y417" s="76">
        <v>-1.8715533865729106E-2</v>
      </c>
      <c r="Z417" s="76">
        <v>-2.2913340353976297E-2</v>
      </c>
      <c r="AA417" s="76">
        <v>0.22413793103448265</v>
      </c>
      <c r="AB417" s="76">
        <v>0.3366373333024153</v>
      </c>
      <c r="AC417" s="76">
        <v>9.1900920162536481E-2</v>
      </c>
      <c r="AD417" s="142"/>
      <c r="AE417" s="142"/>
      <c r="AF417" s="142"/>
    </row>
    <row r="418" spans="1:32" x14ac:dyDescent="0.35">
      <c r="A418" t="s">
        <v>99</v>
      </c>
      <c r="B418" t="s">
        <v>463</v>
      </c>
      <c r="C418" s="31">
        <v>54</v>
      </c>
      <c r="D418" s="31">
        <v>234</v>
      </c>
      <c r="E418" s="72">
        <v>86</v>
      </c>
      <c r="F418" s="31">
        <v>269</v>
      </c>
      <c r="G418" s="73">
        <v>26685.69999999999</v>
      </c>
      <c r="H418" s="31">
        <v>122045.55999999974</v>
      </c>
      <c r="I418" s="72">
        <v>2385.4299999999998</v>
      </c>
      <c r="J418" s="72">
        <v>40991.609999999651</v>
      </c>
      <c r="K418" s="31">
        <v>1012.5714285714286</v>
      </c>
      <c r="L418" s="31">
        <v>7049.1428571428569</v>
      </c>
      <c r="M418" s="74">
        <v>11.774086378737541</v>
      </c>
      <c r="N418" s="74">
        <v>26.195461578133056</v>
      </c>
      <c r="O418" s="75">
        <v>310.29883720930223</v>
      </c>
      <c r="P418" s="75">
        <v>453.70096654274994</v>
      </c>
      <c r="Q418" s="76">
        <v>8.9389823013823907E-2</v>
      </c>
      <c r="R418" s="76">
        <v>0.32411409000418701</v>
      </c>
      <c r="S418" s="31">
        <v>173</v>
      </c>
      <c r="T418" s="31"/>
      <c r="U418" s="76">
        <v>-0.85708495460440981</v>
      </c>
      <c r="V418" s="76">
        <v>-0.68029739776951681</v>
      </c>
      <c r="W418" s="76">
        <v>-0.78134640866902449</v>
      </c>
      <c r="X418" s="76">
        <v>-0.93897740473301572</v>
      </c>
      <c r="Y418" s="76">
        <v>-9.6708838363096628E-2</v>
      </c>
      <c r="Z418" s="76">
        <v>-8.4237726098191246E-2</v>
      </c>
      <c r="AA418" s="76">
        <v>-0.28333333333333333</v>
      </c>
      <c r="AB418" s="76">
        <v>-0.2006782599475283</v>
      </c>
      <c r="AC418" s="76">
        <v>0.11533266053833247</v>
      </c>
      <c r="AD418" s="142"/>
      <c r="AE418" s="142"/>
      <c r="AF418" s="142"/>
    </row>
    <row r="419" spans="1:32" x14ac:dyDescent="0.35">
      <c r="A419" t="s">
        <v>99</v>
      </c>
      <c r="B419" t="s">
        <v>467</v>
      </c>
      <c r="C419" s="31">
        <v>53</v>
      </c>
      <c r="D419" s="31">
        <v>173</v>
      </c>
      <c r="E419" s="72">
        <v>69</v>
      </c>
      <c r="F419" s="31">
        <v>187</v>
      </c>
      <c r="G419" s="73">
        <v>15384.30000000001</v>
      </c>
      <c r="H419" s="31">
        <v>48530.979999999989</v>
      </c>
      <c r="I419" s="72">
        <v>5000.1899999999987</v>
      </c>
      <c r="J419" s="72">
        <v>21368.539999999997</v>
      </c>
      <c r="K419" s="31">
        <v>1075.5714285714287</v>
      </c>
      <c r="L419" s="31">
        <v>8464.5714285714294</v>
      </c>
      <c r="M419" s="74">
        <v>15.587991718426503</v>
      </c>
      <c r="N419" s="74">
        <v>44.947446336047371</v>
      </c>
      <c r="O419" s="75">
        <v>222.96086956521754</v>
      </c>
      <c r="P419" s="75">
        <v>259.52395721925126</v>
      </c>
      <c r="Q419" s="76">
        <v>0.32501901288976393</v>
      </c>
      <c r="R419" s="76">
        <v>0.42640899187792025</v>
      </c>
      <c r="S419" s="31">
        <v>8.2857142857142865</v>
      </c>
      <c r="T419" s="31"/>
      <c r="U419" s="76">
        <v>-0.87381016674542633</v>
      </c>
      <c r="V419" s="76">
        <v>-0.63101604278074874</v>
      </c>
      <c r="W419" s="76">
        <v>-0.68300042570745512</v>
      </c>
      <c r="X419" s="76">
        <v>-0.75847421399627335</v>
      </c>
      <c r="Y419" s="76">
        <v>-6.0800798376604237E-2</v>
      </c>
      <c r="Z419" s="76">
        <v>-6.4255530698483554E-2</v>
      </c>
      <c r="AA419" s="76">
        <v>7.8125E-2</v>
      </c>
      <c r="AB419" s="76">
        <v>8.6586177232141681E-2</v>
      </c>
      <c r="AC419" s="76">
        <v>7.8480484472038814E-3</v>
      </c>
      <c r="AD419" s="142"/>
      <c r="AE419" s="142"/>
      <c r="AF419" s="142"/>
    </row>
    <row r="420" spans="1:32" x14ac:dyDescent="0.35">
      <c r="A420" t="s">
        <v>99</v>
      </c>
      <c r="B420" t="s">
        <v>465</v>
      </c>
      <c r="C420" s="31">
        <v>16</v>
      </c>
      <c r="D420" s="31">
        <v>132</v>
      </c>
      <c r="E420" s="72">
        <v>17</v>
      </c>
      <c r="F420" s="31">
        <v>153</v>
      </c>
      <c r="G420" s="73">
        <v>13454.36</v>
      </c>
      <c r="H420" s="31">
        <v>123105.82999999994</v>
      </c>
      <c r="I420" s="72">
        <v>2085.9000000000005</v>
      </c>
      <c r="J420" s="72">
        <v>12916.780000000042</v>
      </c>
      <c r="K420" s="31">
        <v>558.71428571428567</v>
      </c>
      <c r="L420" s="31">
        <v>2649.1428571428573</v>
      </c>
      <c r="M420" s="74">
        <v>32.865546218487395</v>
      </c>
      <c r="N420" s="74">
        <v>17.328754578754577</v>
      </c>
      <c r="O420" s="75">
        <v>791.43294117647065</v>
      </c>
      <c r="P420" s="75">
        <v>804.61326797385584</v>
      </c>
      <c r="Q420" s="76">
        <v>0.1550352450804052</v>
      </c>
      <c r="R420" s="76">
        <v>0.10306708187840502</v>
      </c>
      <c r="S420" s="31">
        <v>171</v>
      </c>
      <c r="T420" s="31"/>
      <c r="U420" s="76">
        <v>-0.79227782571182059</v>
      </c>
      <c r="V420" s="76">
        <v>-0.88888888888888884</v>
      </c>
      <c r="W420" s="76">
        <v>-0.89070899404195558</v>
      </c>
      <c r="X420" s="76">
        <v>-0.83318204901611903</v>
      </c>
      <c r="Y420" s="76">
        <v>-1.4804136630677922E-2</v>
      </c>
      <c r="Z420" s="76">
        <v>-2.3226773226773356E-2</v>
      </c>
      <c r="AA420" s="76">
        <v>0.41666666666666674</v>
      </c>
      <c r="AB420" s="76">
        <v>0.63508074316769902</v>
      </c>
      <c r="AC420" s="76">
        <v>0.15417464223602284</v>
      </c>
      <c r="AD420" s="142"/>
      <c r="AE420" s="142"/>
      <c r="AF420" s="142"/>
    </row>
    <row r="421" spans="1:32" x14ac:dyDescent="0.35">
      <c r="A421" t="s">
        <v>99</v>
      </c>
      <c r="B421" t="s">
        <v>468</v>
      </c>
      <c r="C421" s="31">
        <v>57</v>
      </c>
      <c r="D421" s="31">
        <v>186</v>
      </c>
      <c r="E421" s="72">
        <v>100</v>
      </c>
      <c r="F421" s="31">
        <v>282</v>
      </c>
      <c r="G421" s="73">
        <v>10679.660000000003</v>
      </c>
      <c r="H421" s="31">
        <v>40545.610000000052</v>
      </c>
      <c r="I421" s="72">
        <v>2779.8100000000013</v>
      </c>
      <c r="J421" s="72">
        <v>15175.820000000051</v>
      </c>
      <c r="K421" s="31">
        <v>1177.5714285714287</v>
      </c>
      <c r="L421" s="31">
        <v>8573.4285714285706</v>
      </c>
      <c r="M421" s="74">
        <v>11.775714285714287</v>
      </c>
      <c r="N421" s="74">
        <v>30.549798792756537</v>
      </c>
      <c r="O421" s="75">
        <v>106.79660000000004</v>
      </c>
      <c r="P421" s="75">
        <v>143.77875886524842</v>
      </c>
      <c r="Q421" s="76">
        <v>0.26029012159563136</v>
      </c>
      <c r="R421" s="76">
        <v>0.37112806564564566</v>
      </c>
      <c r="S421" s="31">
        <v>588.85714285714289</v>
      </c>
      <c r="T421" s="31"/>
      <c r="U421" s="76">
        <v>-0.86303195920951781</v>
      </c>
      <c r="V421" s="76">
        <v>-0.64539007092198575</v>
      </c>
      <c r="W421" s="76">
        <v>-0.73660132379313104</v>
      </c>
      <c r="X421" s="76">
        <v>-0.81628706645245297</v>
      </c>
      <c r="Y421" s="76">
        <v>-9.4875903881078139E-2</v>
      </c>
      <c r="Z421" s="76">
        <v>-9.0176600441500998E-2</v>
      </c>
      <c r="AA421" s="76">
        <v>0.72413793103448265</v>
      </c>
      <c r="AB421" s="76">
        <v>0.85544446085287196</v>
      </c>
      <c r="AC421" s="76">
        <v>7.6157787294665713E-2</v>
      </c>
      <c r="AD421" s="142"/>
      <c r="AE421" s="142"/>
      <c r="AF421" s="142"/>
    </row>
    <row r="422" spans="1:32" x14ac:dyDescent="0.35">
      <c r="A422" t="s">
        <v>99</v>
      </c>
      <c r="B422" t="s">
        <v>462</v>
      </c>
      <c r="C422" s="31">
        <v>23</v>
      </c>
      <c r="D422" s="31">
        <v>247</v>
      </c>
      <c r="E422" s="72">
        <v>27</v>
      </c>
      <c r="F422" s="31">
        <v>333</v>
      </c>
      <c r="G422" s="73">
        <v>9149.7699999999968</v>
      </c>
      <c r="H422" s="31">
        <v>97309.359999999928</v>
      </c>
      <c r="I422" s="72">
        <v>4884.0000000000009</v>
      </c>
      <c r="J422" s="72">
        <v>31849.389999999927</v>
      </c>
      <c r="K422" s="31">
        <v>1031.4285714285713</v>
      </c>
      <c r="L422" s="31">
        <v>5765.7142857142853</v>
      </c>
      <c r="M422" s="74">
        <v>38.201058201058196</v>
      </c>
      <c r="N422" s="74">
        <v>17.212233169129721</v>
      </c>
      <c r="O422" s="75">
        <v>338.88037037037026</v>
      </c>
      <c r="P422" s="75">
        <v>292.2203003003001</v>
      </c>
      <c r="Q422" s="76">
        <v>0.53378390932231112</v>
      </c>
      <c r="R422" s="76">
        <v>0.31325339006164127</v>
      </c>
      <c r="S422" s="31">
        <v>844</v>
      </c>
      <c r="T422" s="31"/>
      <c r="U422" s="76">
        <v>-0.82581764122893953</v>
      </c>
      <c r="V422" s="76">
        <v>-0.92192192192192191</v>
      </c>
      <c r="W422" s="76">
        <v>-0.91157767351465468</v>
      </c>
      <c r="X422" s="76">
        <v>-0.85151896294610196</v>
      </c>
      <c r="Y422" s="76">
        <v>-3.446429426733677E-3</v>
      </c>
      <c r="Z422" s="76">
        <v>-4.1379310344829001E-3</v>
      </c>
      <c r="AA422" s="76">
        <v>-0.15625</v>
      </c>
      <c r="AB422" s="76">
        <v>-0.30586276220460529</v>
      </c>
      <c r="AC422" s="76">
        <v>-0.17731882927953213</v>
      </c>
      <c r="AD422" s="142"/>
      <c r="AE422" s="142"/>
      <c r="AF422" s="142"/>
    </row>
    <row r="423" spans="1:32" x14ac:dyDescent="0.35">
      <c r="A423" t="s">
        <v>99</v>
      </c>
      <c r="B423" t="s">
        <v>464</v>
      </c>
      <c r="C423" s="31">
        <v>26</v>
      </c>
      <c r="D423" s="31">
        <v>415</v>
      </c>
      <c r="E423" s="72">
        <v>28</v>
      </c>
      <c r="F423" s="31">
        <v>518</v>
      </c>
      <c r="G423" s="73">
        <v>8899.7800000000025</v>
      </c>
      <c r="H423" s="31">
        <v>99205.330000000191</v>
      </c>
      <c r="I423" s="72">
        <v>6257.11</v>
      </c>
      <c r="J423" s="72">
        <v>40114.370000000265</v>
      </c>
      <c r="K423" s="31">
        <v>1036.8571428571429</v>
      </c>
      <c r="L423" s="31">
        <v>7580.5714285714284</v>
      </c>
      <c r="M423" s="74">
        <v>37.030612244897959</v>
      </c>
      <c r="N423" s="74">
        <v>14.886460554371002</v>
      </c>
      <c r="O423" s="75">
        <v>317.84928571428583</v>
      </c>
      <c r="P423" s="75">
        <v>191.51608108108144</v>
      </c>
      <c r="Q423" s="76">
        <v>0.70306344651216079</v>
      </c>
      <c r="R423" s="76">
        <v>0.39148570842459607</v>
      </c>
      <c r="S423" s="31">
        <v>343.85714285714283</v>
      </c>
      <c r="T423" s="31"/>
      <c r="U423" s="76">
        <v>-0.86957259158751699</v>
      </c>
      <c r="V423" s="76">
        <v>-0.95559845559845558</v>
      </c>
      <c r="W423" s="76">
        <v>-0.9286164362338194</v>
      </c>
      <c r="X423" s="76">
        <v>-0.87452374885155937</v>
      </c>
      <c r="Y423" s="76">
        <v>-1.0825773899679203E-2</v>
      </c>
      <c r="Z423" s="76">
        <v>-1.3322457857531278E-2</v>
      </c>
      <c r="AA423" s="76">
        <v>0.55555555555555558</v>
      </c>
      <c r="AB423" s="76">
        <v>0.64538338380533</v>
      </c>
      <c r="AC423" s="76">
        <v>5.7746461017712303E-2</v>
      </c>
      <c r="AD423" s="142"/>
      <c r="AE423" s="142"/>
      <c r="AF423" s="142"/>
    </row>
    <row r="424" spans="1:32" x14ac:dyDescent="0.35">
      <c r="A424" t="s">
        <v>99</v>
      </c>
      <c r="B424" t="s">
        <v>466</v>
      </c>
      <c r="C424" s="31">
        <v>38</v>
      </c>
      <c r="D424" s="31">
        <v>269</v>
      </c>
      <c r="E424" s="72">
        <v>46</v>
      </c>
      <c r="F424" s="31">
        <v>386</v>
      </c>
      <c r="G424" s="73">
        <v>6692.7300000000032</v>
      </c>
      <c r="H424" s="31">
        <v>78186.740000000122</v>
      </c>
      <c r="I424" s="72">
        <v>2826.8900000000012</v>
      </c>
      <c r="J424" s="72">
        <v>30277.450000000084</v>
      </c>
      <c r="K424" s="31">
        <v>1583</v>
      </c>
      <c r="L424" s="31">
        <v>8136.1428571428569</v>
      </c>
      <c r="M424" s="74">
        <v>34.413043478260867</v>
      </c>
      <c r="N424" s="74">
        <v>22.059340659340659</v>
      </c>
      <c r="O424" s="75">
        <v>145.49413043478268</v>
      </c>
      <c r="P424" s="75">
        <v>202.55632124352363</v>
      </c>
      <c r="Q424" s="76">
        <v>0.4223821968016041</v>
      </c>
      <c r="R424" s="76">
        <v>0.38491815033031684</v>
      </c>
      <c r="S424" s="31">
        <v>25.142857142857142</v>
      </c>
      <c r="T424" s="31"/>
      <c r="U424" s="76">
        <v>-0.81031727916000906</v>
      </c>
      <c r="V424" s="76">
        <v>-0.88082901554404147</v>
      </c>
      <c r="W424" s="76">
        <v>-0.9144007027278539</v>
      </c>
      <c r="X424" s="76">
        <v>-0.9061309157755344</v>
      </c>
      <c r="Y424" s="76">
        <v>-1.4567817651595538E-2</v>
      </c>
      <c r="Z424" s="76">
        <v>-1.3882708908071528E-2</v>
      </c>
      <c r="AA424" s="76">
        <v>0.4375</v>
      </c>
      <c r="AB424" s="76">
        <v>0.23478913828794168</v>
      </c>
      <c r="AC424" s="76">
        <v>-0.1410162516257798</v>
      </c>
      <c r="AD424" s="142"/>
      <c r="AE424" s="142"/>
      <c r="AF424" s="142"/>
    </row>
    <row r="425" spans="1:32" x14ac:dyDescent="0.35">
      <c r="A425" t="s">
        <v>99</v>
      </c>
      <c r="B425" t="s">
        <v>471</v>
      </c>
      <c r="C425" s="31">
        <v>46</v>
      </c>
      <c r="D425" s="31">
        <v>35</v>
      </c>
      <c r="E425" s="72">
        <v>69</v>
      </c>
      <c r="F425" s="31">
        <v>46</v>
      </c>
      <c r="G425" s="73">
        <v>6114.3199999999988</v>
      </c>
      <c r="H425" s="31">
        <v>2733.0599999999995</v>
      </c>
      <c r="I425" s="72">
        <v>1735.7699999999995</v>
      </c>
      <c r="J425" s="72">
        <v>840.7699999999993</v>
      </c>
      <c r="K425" s="31">
        <v>1347.8571428571429</v>
      </c>
      <c r="L425" s="31">
        <v>909.71428571428567</v>
      </c>
      <c r="M425" s="74">
        <v>19.534161490683232</v>
      </c>
      <c r="N425" s="74">
        <v>20.872670807453414</v>
      </c>
      <c r="O425" s="75">
        <v>88.613333333333316</v>
      </c>
      <c r="P425" s="75">
        <v>59.414347826086946</v>
      </c>
      <c r="Q425" s="76">
        <v>0.28388602493817788</v>
      </c>
      <c r="R425" s="76">
        <v>0.30762954344214888</v>
      </c>
      <c r="S425" s="31">
        <v>162.71428571428572</v>
      </c>
      <c r="T425" s="31"/>
      <c r="U425" s="76">
        <v>0.47079145728643224</v>
      </c>
      <c r="V425" s="76">
        <v>0.5</v>
      </c>
      <c r="W425" s="76">
        <v>1.2371700584692618</v>
      </c>
      <c r="X425" s="76">
        <v>1.0645003984442831</v>
      </c>
      <c r="Y425" s="76">
        <v>-4.4814476977708573E-2</v>
      </c>
      <c r="Z425" s="76">
        <v>-4.2326431181485935E-2</v>
      </c>
      <c r="AA425" s="76">
        <v>0.13114754098360648</v>
      </c>
      <c r="AB425" s="76">
        <v>0.13699157435524523</v>
      </c>
      <c r="AC425" s="76">
        <v>5.1664642850719478E-3</v>
      </c>
      <c r="AD425" s="142"/>
      <c r="AE425" s="142"/>
      <c r="AF425" s="142"/>
    </row>
    <row r="426" spans="1:32" x14ac:dyDescent="0.35">
      <c r="A426" t="s">
        <v>99</v>
      </c>
      <c r="B426" t="s">
        <v>470</v>
      </c>
      <c r="C426" s="31">
        <v>5</v>
      </c>
      <c r="D426" s="31">
        <v>20</v>
      </c>
      <c r="E426" s="72">
        <v>5</v>
      </c>
      <c r="F426" s="31">
        <v>36</v>
      </c>
      <c r="G426" s="73">
        <v>2772.6699999999996</v>
      </c>
      <c r="H426" s="31">
        <v>9955.1399999999976</v>
      </c>
      <c r="I426" s="72">
        <v>1594.9299999999998</v>
      </c>
      <c r="J426" s="72">
        <v>6615.66</v>
      </c>
      <c r="K426" s="31">
        <v>1217.2857142857142</v>
      </c>
      <c r="L426" s="31">
        <v>4675.2857142857147</v>
      </c>
      <c r="M426" s="74">
        <v>243.45714285714286</v>
      </c>
      <c r="N426" s="74">
        <v>113.61904761904762</v>
      </c>
      <c r="O426" s="75">
        <v>554.53399999999988</v>
      </c>
      <c r="P426" s="75">
        <v>276.53166666666658</v>
      </c>
      <c r="Q426" s="76">
        <v>0.57523253759012072</v>
      </c>
      <c r="R426" s="76">
        <v>0.50116548174129105</v>
      </c>
      <c r="S426" s="31">
        <v>265</v>
      </c>
      <c r="T426" s="31"/>
      <c r="U426" s="76">
        <v>-0.75475906743667309</v>
      </c>
      <c r="V426" s="76">
        <v>-0.86111111111111116</v>
      </c>
      <c r="W426" s="76">
        <v>-0.72148357531888041</v>
      </c>
      <c r="X426" s="76">
        <v>-0.67395312896077453</v>
      </c>
      <c r="Y426" s="76">
        <v>-6.6504302415756333E-3</v>
      </c>
      <c r="Z426" s="76">
        <v>-3.5194744251532128E-4</v>
      </c>
      <c r="AA426" s="76">
        <v>-0.70588235294117641</v>
      </c>
      <c r="AB426" s="76">
        <v>-0.57638828413016352</v>
      </c>
      <c r="AC426" s="76">
        <v>0.44027983395744386</v>
      </c>
      <c r="AD426" s="142"/>
      <c r="AE426" s="142"/>
      <c r="AF426" s="142"/>
    </row>
    <row r="427" spans="1:32" x14ac:dyDescent="0.35">
      <c r="A427" t="s">
        <v>99</v>
      </c>
      <c r="B427" t="s">
        <v>474</v>
      </c>
      <c r="C427" s="31">
        <v>1</v>
      </c>
      <c r="D427" s="31"/>
      <c r="E427" s="72">
        <v>1</v>
      </c>
      <c r="F427" s="31"/>
      <c r="G427" s="73">
        <v>27.26</v>
      </c>
      <c r="H427" s="31"/>
      <c r="I427" s="72">
        <v>20.260000000000002</v>
      </c>
      <c r="J427" s="72"/>
      <c r="K427" s="31">
        <v>1</v>
      </c>
      <c r="L427" s="31">
        <v>3</v>
      </c>
      <c r="M427" s="74">
        <v>1</v>
      </c>
      <c r="N427" s="74"/>
      <c r="O427" s="75">
        <v>27.26</v>
      </c>
      <c r="P427" s="75"/>
      <c r="Q427" s="76">
        <v>0.74321349963316219</v>
      </c>
      <c r="R427" s="76"/>
      <c r="S427" s="31">
        <v>60</v>
      </c>
      <c r="T427" s="31"/>
      <c r="U427" s="76">
        <v>-0.66666666666666674</v>
      </c>
      <c r="V427" s="76"/>
      <c r="W427" s="76"/>
      <c r="X427" s="76"/>
      <c r="Y427" s="76">
        <v>0</v>
      </c>
      <c r="Z427" s="76">
        <v>0</v>
      </c>
      <c r="AA427" s="76"/>
      <c r="AB427" s="76"/>
      <c r="AC427" s="76"/>
      <c r="AD427" s="142"/>
      <c r="AE427" s="142"/>
      <c r="AF427" s="142"/>
    </row>
    <row r="428" spans="1:32" x14ac:dyDescent="0.35">
      <c r="A428" t="s">
        <v>99</v>
      </c>
      <c r="B428" t="s">
        <v>475</v>
      </c>
      <c r="C428" s="31"/>
      <c r="D428" s="31"/>
      <c r="E428" s="72"/>
      <c r="F428" s="31"/>
      <c r="G428" s="73"/>
      <c r="H428" s="31"/>
      <c r="I428" s="72"/>
      <c r="J428" s="72"/>
      <c r="K428" s="31">
        <v>14</v>
      </c>
      <c r="L428" s="31">
        <v>22</v>
      </c>
      <c r="M428" s="74"/>
      <c r="N428" s="74"/>
      <c r="O428" s="75"/>
      <c r="P428" s="75"/>
      <c r="Q428" s="76"/>
      <c r="R428" s="76"/>
      <c r="S428" s="31">
        <v>78</v>
      </c>
      <c r="T428" s="31"/>
      <c r="U428" s="76">
        <v>-0.36363636363636365</v>
      </c>
      <c r="V428" s="76"/>
      <c r="W428" s="76"/>
      <c r="X428" s="76"/>
      <c r="Y428" s="76">
        <v>0.151280689193247</v>
      </c>
      <c r="Z428" s="76">
        <v>0.13953488372093026</v>
      </c>
      <c r="AA428" s="76"/>
      <c r="AB428" s="76"/>
      <c r="AC428" s="76"/>
      <c r="AD428" s="142"/>
      <c r="AE428" s="142"/>
      <c r="AF428" s="142"/>
    </row>
    <row r="429" spans="1:32" x14ac:dyDescent="0.35">
      <c r="A429" t="s">
        <v>99</v>
      </c>
      <c r="B429" t="s">
        <v>478</v>
      </c>
      <c r="C429" s="31"/>
      <c r="D429" s="31">
        <v>1</v>
      </c>
      <c r="E429" s="72"/>
      <c r="F429" s="31">
        <v>1</v>
      </c>
      <c r="G429" s="73"/>
      <c r="H429" s="31">
        <v>61.35</v>
      </c>
      <c r="I429" s="72"/>
      <c r="J429" s="72">
        <v>10.100000000000001</v>
      </c>
      <c r="K429" s="31">
        <v>2</v>
      </c>
      <c r="L429" s="31">
        <v>10</v>
      </c>
      <c r="M429" s="74"/>
      <c r="N429" s="74">
        <v>10</v>
      </c>
      <c r="O429" s="75"/>
      <c r="P429" s="75">
        <v>61.35</v>
      </c>
      <c r="Q429" s="76"/>
      <c r="R429" s="76">
        <v>0.16462917685411574</v>
      </c>
      <c r="S429" s="31"/>
      <c r="T429" s="31"/>
      <c r="U429" s="76">
        <v>-0.8</v>
      </c>
      <c r="V429" s="76"/>
      <c r="W429" s="76"/>
      <c r="X429" s="76"/>
      <c r="Y429" s="76">
        <v>0</v>
      </c>
      <c r="Z429" s="76">
        <v>0</v>
      </c>
      <c r="AA429" s="76"/>
      <c r="AB429" s="76"/>
      <c r="AC429" s="76"/>
      <c r="AD429" s="142"/>
      <c r="AE429" s="142"/>
      <c r="AF429" s="142"/>
    </row>
    <row r="430" spans="1:32" x14ac:dyDescent="0.35">
      <c r="A430" t="s">
        <v>99</v>
      </c>
      <c r="B430" t="s">
        <v>786</v>
      </c>
      <c r="C430" s="31"/>
      <c r="D430" s="31"/>
      <c r="E430" s="72"/>
      <c r="F430" s="31"/>
      <c r="G430" s="73"/>
      <c r="H430" s="31"/>
      <c r="I430" s="72"/>
      <c r="J430" s="72"/>
      <c r="K430" s="31">
        <v>-1</v>
      </c>
      <c r="L430" s="31"/>
      <c r="M430" s="74"/>
      <c r="N430" s="74"/>
      <c r="O430" s="75"/>
      <c r="P430" s="75"/>
      <c r="Q430" s="76"/>
      <c r="R430" s="76"/>
      <c r="S430" s="31"/>
      <c r="T430" s="31"/>
      <c r="U430" s="76"/>
      <c r="V430" s="76"/>
      <c r="W430" s="76"/>
      <c r="X430" s="76"/>
      <c r="Y430" s="76">
        <v>0</v>
      </c>
      <c r="Z430" s="76">
        <v>0</v>
      </c>
      <c r="AA430" s="76"/>
      <c r="AB430" s="76"/>
      <c r="AC430" s="76"/>
      <c r="AD430" s="142"/>
      <c r="AE430" s="142"/>
      <c r="AF430" s="142"/>
    </row>
    <row r="431" spans="1:32" x14ac:dyDescent="0.35">
      <c r="A431" t="s">
        <v>99</v>
      </c>
      <c r="B431" t="s">
        <v>473</v>
      </c>
      <c r="C431" s="31"/>
      <c r="D431" s="31">
        <v>1</v>
      </c>
      <c r="E431" s="72"/>
      <c r="F431" s="31">
        <v>1</v>
      </c>
      <c r="G431" s="73"/>
      <c r="H431" s="31">
        <v>72.73</v>
      </c>
      <c r="I431" s="72"/>
      <c r="J431" s="72">
        <v>-34.269999999999996</v>
      </c>
      <c r="K431" s="31">
        <v>14</v>
      </c>
      <c r="L431" s="31">
        <v>44.857142857142854</v>
      </c>
      <c r="M431" s="74"/>
      <c r="N431" s="74">
        <v>44.857142857142854</v>
      </c>
      <c r="O431" s="75"/>
      <c r="P431" s="75">
        <v>72.73</v>
      </c>
      <c r="Q431" s="76"/>
      <c r="R431" s="76">
        <v>-0.47119483019386765</v>
      </c>
      <c r="S431" s="31">
        <v>43</v>
      </c>
      <c r="T431" s="31"/>
      <c r="U431" s="76">
        <v>-0.68789808917197448</v>
      </c>
      <c r="V431" s="76"/>
      <c r="W431" s="76"/>
      <c r="X431" s="76"/>
      <c r="Y431" s="76">
        <v>0</v>
      </c>
      <c r="Z431" s="76">
        <v>0</v>
      </c>
      <c r="AA431" s="76"/>
      <c r="AB431" s="76"/>
      <c r="AC431" s="76"/>
      <c r="AD431" s="142"/>
      <c r="AE431" s="142"/>
      <c r="AF431" s="142"/>
    </row>
    <row r="432" spans="1:32" x14ac:dyDescent="0.35">
      <c r="A432" t="s">
        <v>99</v>
      </c>
      <c r="B432" t="s">
        <v>476</v>
      </c>
      <c r="C432" s="31"/>
      <c r="D432" s="31"/>
      <c r="E432" s="72"/>
      <c r="F432" s="31"/>
      <c r="G432" s="73"/>
      <c r="H432" s="31"/>
      <c r="I432" s="72"/>
      <c r="J432" s="72"/>
      <c r="K432" s="31">
        <v>1</v>
      </c>
      <c r="L432" s="31">
        <v>5</v>
      </c>
      <c r="M432" s="74"/>
      <c r="N432" s="74"/>
      <c r="O432" s="75"/>
      <c r="P432" s="75"/>
      <c r="Q432" s="76"/>
      <c r="R432" s="76"/>
      <c r="S432" s="31">
        <v>56</v>
      </c>
      <c r="T432" s="31"/>
      <c r="U432" s="76">
        <v>-0.8</v>
      </c>
      <c r="V432" s="76"/>
      <c r="W432" s="76"/>
      <c r="X432" s="76"/>
      <c r="Y432" s="76">
        <v>0</v>
      </c>
      <c r="Z432" s="76">
        <v>0</v>
      </c>
      <c r="AA432" s="76"/>
      <c r="AB432" s="76"/>
      <c r="AC432" s="76"/>
      <c r="AD432" s="142"/>
      <c r="AE432" s="142"/>
      <c r="AF432" s="142"/>
    </row>
    <row r="433" spans="1:32" x14ac:dyDescent="0.35">
      <c r="A433" t="s">
        <v>99</v>
      </c>
      <c r="B433" t="s">
        <v>472</v>
      </c>
      <c r="C433" s="31"/>
      <c r="D433" s="31">
        <v>4</v>
      </c>
      <c r="E433" s="72"/>
      <c r="F433" s="31">
        <v>13</v>
      </c>
      <c r="G433" s="73"/>
      <c r="H433" s="31">
        <v>486.33000000000004</v>
      </c>
      <c r="I433" s="72"/>
      <c r="J433" s="72">
        <v>235.19000000000003</v>
      </c>
      <c r="K433" s="31">
        <v>29.142857142857142</v>
      </c>
      <c r="L433" s="31">
        <v>199.14285714285714</v>
      </c>
      <c r="M433" s="74"/>
      <c r="N433" s="74">
        <v>15.472527472527473</v>
      </c>
      <c r="O433" s="75"/>
      <c r="P433" s="75">
        <v>37.410000000000004</v>
      </c>
      <c r="Q433" s="76"/>
      <c r="R433" s="76">
        <v>0.4836016696481813</v>
      </c>
      <c r="S433" s="31">
        <v>107.57142857142857</v>
      </c>
      <c r="T433" s="31"/>
      <c r="U433" s="76">
        <v>-0.85365853658536583</v>
      </c>
      <c r="V433" s="76"/>
      <c r="W433" s="76"/>
      <c r="X433" s="76"/>
      <c r="Y433" s="76">
        <v>-1.4928708309407623E-2</v>
      </c>
      <c r="Z433" s="76">
        <v>0</v>
      </c>
      <c r="AA433" s="76"/>
      <c r="AB433" s="76"/>
      <c r="AC433" s="76"/>
      <c r="AD433" s="142"/>
      <c r="AE433" s="142"/>
      <c r="AF433" s="142"/>
    </row>
    <row r="434" spans="1:32" x14ac:dyDescent="0.35">
      <c r="A434" t="s">
        <v>99</v>
      </c>
      <c r="B434" t="s">
        <v>479</v>
      </c>
      <c r="C434" s="31"/>
      <c r="D434" s="31"/>
      <c r="E434" s="72"/>
      <c r="F434" s="31"/>
      <c r="G434" s="73"/>
      <c r="H434" s="31"/>
      <c r="I434" s="72"/>
      <c r="J434" s="72"/>
      <c r="K434" s="31">
        <v>2</v>
      </c>
      <c r="L434" s="31">
        <v>6</v>
      </c>
      <c r="M434" s="74"/>
      <c r="N434" s="74"/>
      <c r="O434" s="75"/>
      <c r="P434" s="75"/>
      <c r="Q434" s="76"/>
      <c r="R434" s="76"/>
      <c r="S434" s="31">
        <v>20</v>
      </c>
      <c r="T434" s="31"/>
      <c r="U434" s="76">
        <v>-0.66666666666666674</v>
      </c>
      <c r="V434" s="76"/>
      <c r="W434" s="76"/>
      <c r="X434" s="76"/>
      <c r="Y434" s="76">
        <v>0</v>
      </c>
      <c r="Z434" s="76">
        <v>0</v>
      </c>
      <c r="AA434" s="76"/>
      <c r="AB434" s="76"/>
      <c r="AC434" s="76"/>
      <c r="AD434" s="142"/>
      <c r="AE434" s="142"/>
      <c r="AF434" s="142"/>
    </row>
    <row r="435" spans="1:32" x14ac:dyDescent="0.35">
      <c r="A435" t="s">
        <v>99</v>
      </c>
      <c r="B435" t="s">
        <v>480</v>
      </c>
      <c r="C435" s="31"/>
      <c r="D435" s="31"/>
      <c r="E435" s="72"/>
      <c r="F435" s="31"/>
      <c r="G435" s="73"/>
      <c r="H435" s="31"/>
      <c r="I435" s="72"/>
      <c r="J435" s="72"/>
      <c r="K435" s="31"/>
      <c r="L435" s="31"/>
      <c r="M435" s="74"/>
      <c r="N435" s="74"/>
      <c r="O435" s="75"/>
      <c r="P435" s="75"/>
      <c r="Q435" s="76"/>
      <c r="R435" s="76"/>
      <c r="S435" s="31">
        <v>1</v>
      </c>
      <c r="T435" s="31"/>
      <c r="U435" s="76"/>
      <c r="V435" s="76"/>
      <c r="W435" s="76"/>
      <c r="X435" s="76"/>
      <c r="Y435" s="76"/>
      <c r="Z435" s="76"/>
      <c r="AA435" s="76"/>
      <c r="AB435" s="76"/>
      <c r="AC435" s="76"/>
      <c r="AD435" s="142"/>
      <c r="AE435" s="142"/>
      <c r="AF435" s="142"/>
    </row>
    <row r="436" spans="1:32" x14ac:dyDescent="0.35">
      <c r="A436" t="s">
        <v>99</v>
      </c>
      <c r="B436" t="s">
        <v>477</v>
      </c>
      <c r="C436" s="31"/>
      <c r="D436" s="31"/>
      <c r="E436" s="72"/>
      <c r="F436" s="31"/>
      <c r="G436" s="73"/>
      <c r="H436" s="31"/>
      <c r="I436" s="72"/>
      <c r="J436" s="72"/>
      <c r="K436" s="31">
        <v>5</v>
      </c>
      <c r="L436" s="31">
        <v>9</v>
      </c>
      <c r="M436" s="74"/>
      <c r="N436" s="74"/>
      <c r="O436" s="75"/>
      <c r="P436" s="75"/>
      <c r="Q436" s="76"/>
      <c r="R436" s="76"/>
      <c r="S436" s="31">
        <v>45</v>
      </c>
      <c r="T436" s="31"/>
      <c r="U436" s="76">
        <v>-0.44444444444444442</v>
      </c>
      <c r="V436" s="76"/>
      <c r="W436" s="76"/>
      <c r="X436" s="76"/>
      <c r="Y436" s="76">
        <v>0</v>
      </c>
      <c r="Z436" s="76">
        <v>0</v>
      </c>
      <c r="AA436" s="76"/>
      <c r="AB436" s="76"/>
      <c r="AC436" s="76"/>
      <c r="AD436" s="142"/>
      <c r="AE436" s="142"/>
      <c r="AF436" s="142"/>
    </row>
    <row r="437" spans="1:32" x14ac:dyDescent="0.35">
      <c r="A437" s="138" t="s">
        <v>845</v>
      </c>
      <c r="B437" s="138"/>
      <c r="C437" s="127">
        <v>12845</v>
      </c>
      <c r="D437" s="127">
        <v>13820</v>
      </c>
      <c r="E437" s="126">
        <v>36775</v>
      </c>
      <c r="F437" s="127">
        <v>35656</v>
      </c>
      <c r="G437" s="127">
        <v>6673558.0400001686</v>
      </c>
      <c r="H437" s="127">
        <v>7073868.8999998597</v>
      </c>
      <c r="I437" s="126">
        <v>3298220.0499999681</v>
      </c>
      <c r="J437" s="126">
        <v>2999566.9499997729</v>
      </c>
      <c r="K437" s="127">
        <v>433694.57142857142</v>
      </c>
      <c r="L437" s="127">
        <v>637121.57142857148</v>
      </c>
      <c r="M437" s="140">
        <v>11.793190249587258</v>
      </c>
      <c r="N437" s="140">
        <v>18.094406184393822</v>
      </c>
      <c r="O437" s="139">
        <v>181.46996709721736</v>
      </c>
      <c r="P437" s="139">
        <v>198.39210511554464</v>
      </c>
      <c r="Q437" s="141">
        <v>0.4942221271218441</v>
      </c>
      <c r="R437" s="141">
        <v>0.41541984001895105</v>
      </c>
      <c r="S437" s="127">
        <v>183450.57142857142</v>
      </c>
      <c r="T437" s="127"/>
      <c r="U437" s="141">
        <v>-0.34230583039657614</v>
      </c>
      <c r="V437" s="141">
        <v>-1.1134170967018187E-2</v>
      </c>
      <c r="W437" s="141">
        <v>-9.7332707141286057E-2</v>
      </c>
      <c r="X437" s="141">
        <v>7.5225135299296531E-2</v>
      </c>
      <c r="Y437" s="141">
        <v>-5.0746572452845751E-2</v>
      </c>
      <c r="Z437" s="141">
        <v>-4.3408418892723288E-2</v>
      </c>
      <c r="AA437" s="141">
        <v>-3.8989207411085247E-2</v>
      </c>
      <c r="AB437" s="141">
        <v>3.8769269961650421E-2</v>
      </c>
      <c r="AC437" s="141">
        <v>8.0913219677021919E-2</v>
      </c>
      <c r="AD437" s="143">
        <v>-0.1190043825285703</v>
      </c>
      <c r="AE437" s="143">
        <v>-1.1906413066757403E-2</v>
      </c>
      <c r="AF437" s="143">
        <v>9.6779137961211806E-2</v>
      </c>
    </row>
    <row r="438" spans="1:32" x14ac:dyDescent="0.35">
      <c r="A438" t="s">
        <v>106</v>
      </c>
      <c r="B438" t="s">
        <v>106</v>
      </c>
      <c r="C438" s="31">
        <v>5124</v>
      </c>
      <c r="D438" s="31">
        <v>7133</v>
      </c>
      <c r="E438" s="72">
        <v>6971</v>
      </c>
      <c r="F438" s="31">
        <v>8890</v>
      </c>
      <c r="G438" s="73">
        <v>3820828.4500000551</v>
      </c>
      <c r="H438" s="31">
        <v>5045830.0999999968</v>
      </c>
      <c r="I438" s="72">
        <v>1116569.9699999588</v>
      </c>
      <c r="J438" s="72">
        <v>1568206.1000000061</v>
      </c>
      <c r="K438" s="31">
        <v>29248</v>
      </c>
      <c r="L438" s="31">
        <v>53757.285714285717</v>
      </c>
      <c r="M438" s="74">
        <v>4.1956677664610531</v>
      </c>
      <c r="N438" s="74">
        <v>6.1404398521186847</v>
      </c>
      <c r="O438" s="75">
        <v>548.10334959117131</v>
      </c>
      <c r="P438" s="75">
        <v>567.5849381327331</v>
      </c>
      <c r="Q438" s="76">
        <v>0.29223242671362087</v>
      </c>
      <c r="R438" s="76">
        <v>0.30577598945557677</v>
      </c>
      <c r="S438" s="31">
        <v>24697.528571428575</v>
      </c>
      <c r="T438" s="31"/>
      <c r="U438" s="76">
        <v>-0.48052224150347733</v>
      </c>
      <c r="V438" s="76">
        <v>-0.24071991001124859</v>
      </c>
      <c r="W438" s="76">
        <v>-0.26123507606804597</v>
      </c>
      <c r="X438" s="76">
        <v>-0.29206245723835189</v>
      </c>
      <c r="Y438" s="76">
        <v>-0.25302778799946835</v>
      </c>
      <c r="Z438" s="76">
        <v>-0.25064417896462876</v>
      </c>
      <c r="AA438" s="76">
        <v>-0.26913399035437202</v>
      </c>
      <c r="AB438" s="76">
        <v>-0.19706200306903976</v>
      </c>
      <c r="AC438" s="76">
        <v>9.8611765130899309E-2</v>
      </c>
      <c r="AD438" s="142">
        <v>-0.35274872972179694</v>
      </c>
      <c r="AE438" s="142">
        <v>-0.37012428295106875</v>
      </c>
      <c r="AF438" s="142">
        <v>-0.50777789946029495</v>
      </c>
    </row>
    <row r="439" spans="1:32" x14ac:dyDescent="0.35">
      <c r="A439" t="s">
        <v>106</v>
      </c>
      <c r="B439" t="s">
        <v>455</v>
      </c>
      <c r="C439" s="31">
        <v>3375</v>
      </c>
      <c r="D439" s="31">
        <v>5949</v>
      </c>
      <c r="E439" s="72">
        <v>5673</v>
      </c>
      <c r="F439" s="31">
        <v>7239</v>
      </c>
      <c r="G439" s="73">
        <v>1631578.8399999877</v>
      </c>
      <c r="H439" s="31">
        <v>2378055.4099998432</v>
      </c>
      <c r="I439" s="72">
        <v>396003.35999999737</v>
      </c>
      <c r="J439" s="72">
        <v>794384.96999984141</v>
      </c>
      <c r="K439" s="31">
        <v>21928.428571428572</v>
      </c>
      <c r="L439" s="31">
        <v>46553.714285714283</v>
      </c>
      <c r="M439" s="74">
        <v>3.865402533303115</v>
      </c>
      <c r="N439" s="74">
        <v>6.5913151557523495</v>
      </c>
      <c r="O439" s="75">
        <v>287.60423761677907</v>
      </c>
      <c r="P439" s="75">
        <v>328.50606575491685</v>
      </c>
      <c r="Q439" s="76">
        <v>0.24271175274619297</v>
      </c>
      <c r="R439" s="76">
        <v>0.32898987797350382</v>
      </c>
      <c r="S439" s="31">
        <v>11298.468000000003</v>
      </c>
      <c r="T439" s="31"/>
      <c r="U439" s="76">
        <v>-0.54806736304606651</v>
      </c>
      <c r="V439" s="76">
        <v>-0.23138555049039922</v>
      </c>
      <c r="W439" s="76">
        <v>-0.33214911926711899</v>
      </c>
      <c r="X439" s="76">
        <v>-0.52125044146150445</v>
      </c>
      <c r="Y439" s="76">
        <v>-0.14040791505096673</v>
      </c>
      <c r="Z439" s="76">
        <v>-0.13799958444008908</v>
      </c>
      <c r="AA439" s="76">
        <v>1.278313253012048</v>
      </c>
      <c r="AB439" s="76">
        <v>0.61499372652518547</v>
      </c>
      <c r="AC439" s="76">
        <v>-0.29114500633743845</v>
      </c>
      <c r="AD439" s="142">
        <v>-8.1101692497946062E-2</v>
      </c>
      <c r="AE439" s="142">
        <v>-6.2213331796587105E-2</v>
      </c>
      <c r="AF439" s="142">
        <v>-0.3584469671018175</v>
      </c>
    </row>
    <row r="440" spans="1:32" x14ac:dyDescent="0.35">
      <c r="A440" t="s">
        <v>106</v>
      </c>
      <c r="B440" t="s">
        <v>456</v>
      </c>
      <c r="C440" s="31">
        <v>122</v>
      </c>
      <c r="D440" s="31">
        <v>124</v>
      </c>
      <c r="E440" s="72">
        <v>130</v>
      </c>
      <c r="F440" s="31">
        <v>129</v>
      </c>
      <c r="G440" s="73">
        <v>41675.219999999979</v>
      </c>
      <c r="H440" s="31">
        <v>41067.540000000008</v>
      </c>
      <c r="I440" s="72">
        <v>13995.220000000021</v>
      </c>
      <c r="J440" s="72">
        <v>15586.040000000008</v>
      </c>
      <c r="K440" s="31">
        <v>3364.7142857142858</v>
      </c>
      <c r="L440" s="31">
        <v>3987.7142857142858</v>
      </c>
      <c r="M440" s="74">
        <v>25.882417582417585</v>
      </c>
      <c r="N440" s="74">
        <v>31.678848283499445</v>
      </c>
      <c r="O440" s="75">
        <v>320.5786153846152</v>
      </c>
      <c r="P440" s="75">
        <v>318.35302325581404</v>
      </c>
      <c r="Q440" s="76">
        <v>0.33581634362098217</v>
      </c>
      <c r="R440" s="76">
        <v>0.37952212379899075</v>
      </c>
      <c r="S440" s="31">
        <v>1539</v>
      </c>
      <c r="T440" s="31"/>
      <c r="U440" s="76">
        <v>-0.16393207709393143</v>
      </c>
      <c r="V440" s="76">
        <v>-7.7519379844961378E-3</v>
      </c>
      <c r="W440" s="76">
        <v>-1.1405601601661708E-3</v>
      </c>
      <c r="X440" s="76">
        <v>-0.11647217638348373</v>
      </c>
      <c r="Y440" s="76">
        <v>-5.3101976864840861E-2</v>
      </c>
      <c r="Z440" s="76">
        <v>-5.3031521389514391E-2</v>
      </c>
      <c r="AA440" s="76">
        <v>-5.7971014492753659E-2</v>
      </c>
      <c r="AB440" s="76">
        <v>-4.3044294817495943E-2</v>
      </c>
      <c r="AC440" s="76">
        <v>1.5845287039888856E-2</v>
      </c>
      <c r="AD440" s="142"/>
      <c r="AE440" s="142"/>
      <c r="AF440" s="142"/>
    </row>
    <row r="441" spans="1:32" x14ac:dyDescent="0.35">
      <c r="A441" t="s">
        <v>106</v>
      </c>
      <c r="B441" t="s">
        <v>457</v>
      </c>
      <c r="C441" s="31">
        <v>27</v>
      </c>
      <c r="D441" s="31">
        <v>87</v>
      </c>
      <c r="E441" s="72">
        <v>35</v>
      </c>
      <c r="F441" s="31">
        <v>95</v>
      </c>
      <c r="G441" s="73">
        <v>8079.09</v>
      </c>
      <c r="H441" s="31">
        <v>39164.340000000033</v>
      </c>
      <c r="I441" s="72">
        <v>1405.56</v>
      </c>
      <c r="J441" s="72">
        <v>12615.190000000042</v>
      </c>
      <c r="K441" s="31">
        <v>406.57142857142856</v>
      </c>
      <c r="L441" s="31">
        <v>1916.5714285714287</v>
      </c>
      <c r="M441" s="74">
        <v>11.616326530612245</v>
      </c>
      <c r="N441" s="74">
        <v>20.530191458026508</v>
      </c>
      <c r="O441" s="75">
        <v>230.83114285714285</v>
      </c>
      <c r="P441" s="75">
        <v>412.25621052631612</v>
      </c>
      <c r="Q441" s="76">
        <v>0.17397503926803637</v>
      </c>
      <c r="R441" s="76">
        <v>0.31551771011875018</v>
      </c>
      <c r="S441" s="31">
        <v>153.14285714285714</v>
      </c>
      <c r="T441" s="31"/>
      <c r="U441" s="76">
        <v>-0.79002683363148485</v>
      </c>
      <c r="V441" s="76">
        <v>-0.64210526315789473</v>
      </c>
      <c r="W441" s="76">
        <v>-0.80531907342240427</v>
      </c>
      <c r="X441" s="76">
        <v>-0.89908703865929096</v>
      </c>
      <c r="Y441" s="76">
        <v>-4.7809578158482302E-2</v>
      </c>
      <c r="Z441" s="76">
        <v>-4.4966442953020214E-2</v>
      </c>
      <c r="AA441" s="76">
        <v>0.66666666666666674</v>
      </c>
      <c r="AB441" s="76">
        <v>6.2553018556001483E-2</v>
      </c>
      <c r="AC441" s="76">
        <v>-0.3624681888663992</v>
      </c>
      <c r="AD441" s="142"/>
      <c r="AE441" s="142"/>
      <c r="AF441" s="142"/>
    </row>
    <row r="442" spans="1:32" x14ac:dyDescent="0.35">
      <c r="A442" s="138" t="s">
        <v>846</v>
      </c>
      <c r="B442" s="138"/>
      <c r="C442" s="127">
        <v>8516</v>
      </c>
      <c r="D442" s="127">
        <v>12916</v>
      </c>
      <c r="E442" s="126">
        <v>12809</v>
      </c>
      <c r="F442" s="127">
        <v>16353</v>
      </c>
      <c r="G442" s="127">
        <v>5502161.6000000117</v>
      </c>
      <c r="H442" s="127">
        <v>7504117.3899996625</v>
      </c>
      <c r="I442" s="126">
        <v>1527974.1099999978</v>
      </c>
      <c r="J442" s="126">
        <v>2390792.2999996003</v>
      </c>
      <c r="K442" s="127">
        <v>54947.714285714283</v>
      </c>
      <c r="L442" s="127">
        <v>106215.28571428571</v>
      </c>
      <c r="M442" s="140">
        <v>4.2897739312759997</v>
      </c>
      <c r="N442" s="140">
        <v>6.6220868279939502</v>
      </c>
      <c r="O442" s="139">
        <v>429.55434460145301</v>
      </c>
      <c r="P442" s="139">
        <v>458.88322570780053</v>
      </c>
      <c r="Q442" s="141">
        <v>0.27770433169392816</v>
      </c>
      <c r="R442" s="141">
        <v>0.31357616933890936</v>
      </c>
      <c r="S442" s="127">
        <v>37688.139428571434</v>
      </c>
      <c r="T442" s="127"/>
      <c r="U442" s="141">
        <v>-0.50382578778679954</v>
      </c>
      <c r="V442" s="141">
        <v>-0.23708188100042804</v>
      </c>
      <c r="W442" s="141">
        <v>-0.28512393114358114</v>
      </c>
      <c r="X442" s="141">
        <v>-0.37021203431967498</v>
      </c>
      <c r="Y442" s="141">
        <v>-0.21658278027861255</v>
      </c>
      <c r="Z442" s="141">
        <v>-0.19724256534089135</v>
      </c>
      <c r="AA442" s="141">
        <v>5.1037991302207208E-2</v>
      </c>
      <c r="AB442" s="141">
        <v>-5.4608564638480406E-2</v>
      </c>
      <c r="AC442" s="141">
        <v>-0.10051640075331103</v>
      </c>
      <c r="AD442" s="143">
        <v>-0.24403283910959664</v>
      </c>
      <c r="AE442" s="143">
        <v>-0.29512084028912844</v>
      </c>
      <c r="AF442" s="143">
        <v>-0.47049856341174956</v>
      </c>
    </row>
    <row r="443" spans="1:32" x14ac:dyDescent="0.35">
      <c r="A443" t="s">
        <v>96</v>
      </c>
      <c r="B443" t="s">
        <v>96</v>
      </c>
      <c r="C443" s="31">
        <v>3656</v>
      </c>
      <c r="D443" s="31">
        <v>2435</v>
      </c>
      <c r="E443" s="72">
        <v>4849</v>
      </c>
      <c r="F443" s="31">
        <v>3014</v>
      </c>
      <c r="G443" s="73">
        <v>3400308.7199999811</v>
      </c>
      <c r="H443" s="31">
        <v>2656957.0399999819</v>
      </c>
      <c r="I443" s="72">
        <v>1534849.2699999816</v>
      </c>
      <c r="J443" s="72">
        <v>1254449.9499999499</v>
      </c>
      <c r="K443" s="31">
        <v>48516.428571428572</v>
      </c>
      <c r="L443" s="31">
        <v>44773.428571428572</v>
      </c>
      <c r="M443" s="74">
        <v>10.005450313761306</v>
      </c>
      <c r="N443" s="74">
        <v>15.027516995791519</v>
      </c>
      <c r="O443" s="75">
        <v>701.23916683851951</v>
      </c>
      <c r="P443" s="75">
        <v>881.53850033177901</v>
      </c>
      <c r="Q443" s="76">
        <v>0.45138527009982499</v>
      </c>
      <c r="R443" s="76">
        <v>0.46029121014666996</v>
      </c>
      <c r="S443" s="31">
        <v>27407.428571428572</v>
      </c>
      <c r="T443" s="31"/>
      <c r="U443" s="76">
        <v>3.6402330463859434E-2</v>
      </c>
      <c r="V443" s="76">
        <v>0.54943596549435969</v>
      </c>
      <c r="W443" s="76">
        <v>0.2344273018430183</v>
      </c>
      <c r="X443" s="76">
        <v>0.21953046237624929</v>
      </c>
      <c r="Y443" s="76">
        <v>-4.578860212360869E-4</v>
      </c>
      <c r="Z443" s="76">
        <v>-1.7474070966715383E-2</v>
      </c>
      <c r="AA443" s="76">
        <v>0.12427544632506371</v>
      </c>
      <c r="AB443" s="76">
        <v>7.842182322587643E-2</v>
      </c>
      <c r="AC443" s="76">
        <v>-4.0785043602143745E-2</v>
      </c>
      <c r="AD443" s="142">
        <v>0.10552259950153679</v>
      </c>
      <c r="AE443" s="142">
        <v>7.3528887869809531E-2</v>
      </c>
      <c r="AF443" s="142">
        <v>2.0934369748685067E-2</v>
      </c>
    </row>
    <row r="444" spans="1:32" x14ac:dyDescent="0.35">
      <c r="A444" t="s">
        <v>96</v>
      </c>
      <c r="B444" t="s">
        <v>620</v>
      </c>
      <c r="C444" s="31">
        <v>1239</v>
      </c>
      <c r="D444" s="31">
        <v>999</v>
      </c>
      <c r="E444" s="72">
        <v>1558</v>
      </c>
      <c r="F444" s="31">
        <v>1161</v>
      </c>
      <c r="G444" s="73">
        <v>1095115.8599999954</v>
      </c>
      <c r="H444" s="31">
        <v>617388.72999999928</v>
      </c>
      <c r="I444" s="72">
        <v>713892.47000000265</v>
      </c>
      <c r="J444" s="72">
        <v>359780.80999999953</v>
      </c>
      <c r="K444" s="31">
        <v>18708.428571428572</v>
      </c>
      <c r="L444" s="31">
        <v>15130.714285714286</v>
      </c>
      <c r="M444" s="74">
        <v>12.007977260223731</v>
      </c>
      <c r="N444" s="74">
        <v>13.379934009531956</v>
      </c>
      <c r="O444" s="75">
        <v>702.89849807445148</v>
      </c>
      <c r="P444" s="75">
        <v>531.77323858742398</v>
      </c>
      <c r="Q444" s="76">
        <v>0.65188761853928923</v>
      </c>
      <c r="R444" s="76">
        <v>0.57969018176898901</v>
      </c>
      <c r="S444" s="31">
        <v>2937.8571428571427</v>
      </c>
      <c r="T444" s="31"/>
      <c r="U444" s="76">
        <v>0.18509181891139104</v>
      </c>
      <c r="V444" s="76">
        <v>0.28251507321274771</v>
      </c>
      <c r="W444" s="76">
        <v>0.70407475692016352</v>
      </c>
      <c r="X444" s="76">
        <v>0.91850575709980142</v>
      </c>
      <c r="Y444" s="76">
        <v>-3.6544795265603502E-2</v>
      </c>
      <c r="Z444" s="76">
        <v>-3.214863756291142E-2</v>
      </c>
      <c r="AA444" s="76">
        <v>0.16008935219657494</v>
      </c>
      <c r="AB444" s="76">
        <v>0.13830062960490008</v>
      </c>
      <c r="AC444" s="76">
        <v>-1.8781934814261492E-2</v>
      </c>
      <c r="AD444" s="142">
        <v>-0.2373493238695466</v>
      </c>
      <c r="AE444" s="142">
        <v>-2.9483501660046835E-2</v>
      </c>
      <c r="AF444" s="142">
        <v>0.19964416736882226</v>
      </c>
    </row>
    <row r="445" spans="1:32" x14ac:dyDescent="0.35">
      <c r="A445" t="s">
        <v>96</v>
      </c>
      <c r="B445" t="s">
        <v>623</v>
      </c>
      <c r="C445" s="31">
        <v>26</v>
      </c>
      <c r="D445" s="31">
        <v>11</v>
      </c>
      <c r="E445" s="72">
        <v>31</v>
      </c>
      <c r="F445" s="31">
        <v>15</v>
      </c>
      <c r="G445" s="73">
        <v>19972.440000000002</v>
      </c>
      <c r="H445" s="31">
        <v>6659.9699999999993</v>
      </c>
      <c r="I445" s="72">
        <v>6472.4500000000016</v>
      </c>
      <c r="J445" s="72">
        <v>614.28000000000065</v>
      </c>
      <c r="K445" s="31">
        <v>674.14285714285711</v>
      </c>
      <c r="L445" s="31">
        <v>348.71428571428572</v>
      </c>
      <c r="M445" s="74">
        <v>21.746543778801843</v>
      </c>
      <c r="N445" s="74">
        <v>24.828571428571429</v>
      </c>
      <c r="O445" s="75">
        <v>644.27225806451622</v>
      </c>
      <c r="P445" s="75">
        <v>443.99799999999993</v>
      </c>
      <c r="Q445" s="76">
        <v>0.32406906717456657</v>
      </c>
      <c r="R445" s="76">
        <v>9.2234649705629418E-2</v>
      </c>
      <c r="S445" s="31">
        <v>346.85714285714283</v>
      </c>
      <c r="T445" s="31"/>
      <c r="U445" s="76">
        <v>0.74846374436706253</v>
      </c>
      <c r="V445" s="76">
        <v>0.93333333333333335</v>
      </c>
      <c r="W445" s="76">
        <v>1.7941297032869525</v>
      </c>
      <c r="X445" s="76">
        <v>8.7412092205508838</v>
      </c>
      <c r="Y445" s="76">
        <v>-4.9125812492672671E-2</v>
      </c>
      <c r="Z445" s="76">
        <v>-4.4349939246658643E-2</v>
      </c>
      <c r="AA445" s="76">
        <v>0.55000000000000004</v>
      </c>
      <c r="AB445" s="76">
        <v>0.45554533648359308</v>
      </c>
      <c r="AC445" s="76">
        <v>-6.0938492591230187E-2</v>
      </c>
      <c r="AD445" s="142"/>
      <c r="AE445" s="142"/>
      <c r="AF445" s="142"/>
    </row>
    <row r="446" spans="1:32" x14ac:dyDescent="0.35">
      <c r="A446" t="s">
        <v>96</v>
      </c>
      <c r="B446" t="s">
        <v>622</v>
      </c>
      <c r="C446" s="31">
        <v>13</v>
      </c>
      <c r="D446" s="31">
        <v>6</v>
      </c>
      <c r="E446" s="72">
        <v>14</v>
      </c>
      <c r="F446" s="31">
        <v>6</v>
      </c>
      <c r="G446" s="73">
        <v>9833.5</v>
      </c>
      <c r="H446" s="31">
        <v>5147.67</v>
      </c>
      <c r="I446" s="72">
        <v>1874.48</v>
      </c>
      <c r="J446" s="72">
        <v>2032.7199999999989</v>
      </c>
      <c r="K446" s="31">
        <v>125.57142857142857</v>
      </c>
      <c r="L446" s="31">
        <v>316.85714285714283</v>
      </c>
      <c r="M446" s="74">
        <v>8.9693877551020407</v>
      </c>
      <c r="N446" s="74">
        <v>46.755102040816325</v>
      </c>
      <c r="O446" s="75">
        <v>702.39285714285711</v>
      </c>
      <c r="P446" s="75">
        <v>857.94500000000005</v>
      </c>
      <c r="Q446" s="76">
        <v>0.1906218538668836</v>
      </c>
      <c r="R446" s="76">
        <v>0.34202910255892516</v>
      </c>
      <c r="S446" s="31">
        <v>56.571428571428569</v>
      </c>
      <c r="T446" s="31"/>
      <c r="U446" s="76">
        <v>-0.60369702434625783</v>
      </c>
      <c r="V446" s="76">
        <v>1.3333333333333335</v>
      </c>
      <c r="W446" s="76">
        <v>0.9102817391169209</v>
      </c>
      <c r="X446" s="76">
        <v>9.4094917905524822E-2</v>
      </c>
      <c r="Y446" s="76">
        <v>-0.10964284905688337</v>
      </c>
      <c r="Z446" s="76">
        <v>-0.10397553516819569</v>
      </c>
      <c r="AA446" s="76">
        <v>7.6923076923076872E-2</v>
      </c>
      <c r="AB446" s="76">
        <v>-7.6143284606341455E-3</v>
      </c>
      <c r="AC446" s="76">
        <v>-7.8499019284874683E-2</v>
      </c>
      <c r="AD446" s="142"/>
      <c r="AE446" s="142"/>
      <c r="AF446" s="142"/>
    </row>
    <row r="447" spans="1:32" x14ac:dyDescent="0.35">
      <c r="A447" t="s">
        <v>96</v>
      </c>
      <c r="B447" t="s">
        <v>621</v>
      </c>
      <c r="C447" s="31">
        <v>4</v>
      </c>
      <c r="D447" s="31">
        <v>19</v>
      </c>
      <c r="E447" s="72">
        <v>4</v>
      </c>
      <c r="F447" s="31">
        <v>19</v>
      </c>
      <c r="G447" s="73">
        <v>697.90999999999985</v>
      </c>
      <c r="H447" s="31">
        <v>4164.46</v>
      </c>
      <c r="I447" s="72">
        <v>124.27000000000001</v>
      </c>
      <c r="J447" s="72">
        <v>1349.85</v>
      </c>
      <c r="K447" s="31">
        <v>109</v>
      </c>
      <c r="L447" s="31">
        <v>640.14285714285711</v>
      </c>
      <c r="M447" s="74">
        <v>27.25</v>
      </c>
      <c r="N447" s="74">
        <v>35.007518796992478</v>
      </c>
      <c r="O447" s="75">
        <v>174.47749999999996</v>
      </c>
      <c r="P447" s="75">
        <v>219.18210526315789</v>
      </c>
      <c r="Q447" s="76">
        <v>0.1780602083363185</v>
      </c>
      <c r="R447" s="76">
        <v>0.32413566224672585</v>
      </c>
      <c r="S447" s="31">
        <v>79.428571428571431</v>
      </c>
      <c r="T447" s="31"/>
      <c r="U447" s="76">
        <v>-0.83284981031019867</v>
      </c>
      <c r="V447" s="76">
        <v>-0.78947368421052633</v>
      </c>
      <c r="W447" s="76">
        <v>-0.83241284584315856</v>
      </c>
      <c r="X447" s="76">
        <v>-0.90793791902804033</v>
      </c>
      <c r="Y447" s="76">
        <v>-8.8954176960565623E-2</v>
      </c>
      <c r="Z447" s="76">
        <v>-7.6271186440677985E-2</v>
      </c>
      <c r="AA447" s="76">
        <v>-0.6</v>
      </c>
      <c r="AB447" s="76">
        <v>-0.5734776444129368</v>
      </c>
      <c r="AC447" s="76">
        <v>6.6305888967658211E-2</v>
      </c>
      <c r="AD447" s="142"/>
      <c r="AE447" s="142"/>
      <c r="AF447" s="142"/>
    </row>
    <row r="448" spans="1:32" x14ac:dyDescent="0.35">
      <c r="A448" t="s">
        <v>96</v>
      </c>
      <c r="B448" t="s">
        <v>625</v>
      </c>
      <c r="C448" s="31">
        <v>2</v>
      </c>
      <c r="D448" s="31">
        <v>2</v>
      </c>
      <c r="E448" s="72">
        <v>2</v>
      </c>
      <c r="F448" s="31">
        <v>2</v>
      </c>
      <c r="G448" s="73">
        <v>545.44000000000005</v>
      </c>
      <c r="H448" s="31">
        <v>338.37</v>
      </c>
      <c r="I448" s="72">
        <v>151.84</v>
      </c>
      <c r="J448" s="72">
        <v>59.569999999999993</v>
      </c>
      <c r="K448" s="31">
        <v>21.142857142857142</v>
      </c>
      <c r="L448" s="31">
        <v>60.428571428571431</v>
      </c>
      <c r="M448" s="74">
        <v>10.571428571428571</v>
      </c>
      <c r="N448" s="74">
        <v>31.714285714285715</v>
      </c>
      <c r="O448" s="75">
        <v>272.72000000000003</v>
      </c>
      <c r="P448" s="75">
        <v>169.185</v>
      </c>
      <c r="Q448" s="76">
        <v>0.27838075682018187</v>
      </c>
      <c r="R448" s="76">
        <v>0.17604988621922746</v>
      </c>
      <c r="S448" s="31">
        <v>87</v>
      </c>
      <c r="T448" s="31"/>
      <c r="U448" s="76">
        <v>-0.65011820330969261</v>
      </c>
      <c r="V448" s="76">
        <v>0</v>
      </c>
      <c r="W448" s="76">
        <v>0.61196323551142262</v>
      </c>
      <c r="X448" s="76">
        <v>1.5489340271948975</v>
      </c>
      <c r="Y448" s="76">
        <v>-7.6964190272581279E-2</v>
      </c>
      <c r="Z448" s="76">
        <v>-7.5000000000000067E-2</v>
      </c>
      <c r="AA448" s="76">
        <v>1</v>
      </c>
      <c r="AB448" s="76">
        <v>1.35296147707174</v>
      </c>
      <c r="AC448" s="76">
        <v>0.17648073853586999</v>
      </c>
      <c r="AD448" s="142"/>
      <c r="AE448" s="142"/>
      <c r="AF448" s="142"/>
    </row>
    <row r="449" spans="1:32" x14ac:dyDescent="0.35">
      <c r="A449" t="s">
        <v>96</v>
      </c>
      <c r="B449" t="s">
        <v>624</v>
      </c>
      <c r="C449" s="31">
        <v>4</v>
      </c>
      <c r="D449" s="31">
        <v>8</v>
      </c>
      <c r="E449" s="72">
        <v>4</v>
      </c>
      <c r="F449" s="31">
        <v>13</v>
      </c>
      <c r="G449" s="73">
        <v>545.42000000000007</v>
      </c>
      <c r="H449" s="31">
        <v>1850.84</v>
      </c>
      <c r="I449" s="72">
        <v>311.97000000000003</v>
      </c>
      <c r="J449" s="72">
        <v>517.50999999999976</v>
      </c>
      <c r="K449" s="31">
        <v>189.57142857142858</v>
      </c>
      <c r="L449" s="31">
        <v>510.57142857142856</v>
      </c>
      <c r="M449" s="74">
        <v>47.392857142857146</v>
      </c>
      <c r="N449" s="74">
        <v>41.384615384615387</v>
      </c>
      <c r="O449" s="75">
        <v>136.35500000000002</v>
      </c>
      <c r="P449" s="75">
        <v>142.37230769230769</v>
      </c>
      <c r="Q449" s="76">
        <v>0.57198122547761354</v>
      </c>
      <c r="R449" s="76">
        <v>0.27960817790840903</v>
      </c>
      <c r="S449" s="31">
        <v>22</v>
      </c>
      <c r="T449" s="31"/>
      <c r="U449" s="76">
        <v>-0.63122551762730827</v>
      </c>
      <c r="V449" s="76">
        <v>-0.69230769230769229</v>
      </c>
      <c r="W449" s="76">
        <v>-0.70531218257655981</v>
      </c>
      <c r="X449" s="76">
        <v>-0.39717106915808353</v>
      </c>
      <c r="Y449" s="76">
        <v>2.1562090831201752E-2</v>
      </c>
      <c r="Z449" s="76">
        <v>1.7638036809816127E-2</v>
      </c>
      <c r="AA449" s="76">
        <v>-0.19999999999999996</v>
      </c>
      <c r="AB449" s="76">
        <v>3.4501071638563863E-2</v>
      </c>
      <c r="AC449" s="76">
        <v>0.29312633954820488</v>
      </c>
      <c r="AD449" s="142"/>
      <c r="AE449" s="142"/>
      <c r="AF449" s="142"/>
    </row>
    <row r="450" spans="1:32" x14ac:dyDescent="0.35">
      <c r="A450" t="s">
        <v>96</v>
      </c>
      <c r="B450" t="s">
        <v>626</v>
      </c>
      <c r="C450" s="31"/>
      <c r="D450" s="31"/>
      <c r="E450" s="72"/>
      <c r="F450" s="31"/>
      <c r="G450" s="73"/>
      <c r="H450" s="31"/>
      <c r="I450" s="72"/>
      <c r="J450" s="72"/>
      <c r="K450" s="31">
        <v>7.2857142857142856</v>
      </c>
      <c r="L450" s="31">
        <v>9</v>
      </c>
      <c r="M450" s="74"/>
      <c r="N450" s="74"/>
      <c r="O450" s="75"/>
      <c r="P450" s="75"/>
      <c r="Q450" s="76"/>
      <c r="R450" s="76"/>
      <c r="S450" s="31">
        <v>4</v>
      </c>
      <c r="T450" s="31"/>
      <c r="U450" s="76">
        <v>-0.19047619047619047</v>
      </c>
      <c r="V450" s="76"/>
      <c r="W450" s="76"/>
      <c r="X450" s="76"/>
      <c r="Y450" s="76">
        <v>3.2787490887118409E-2</v>
      </c>
      <c r="Z450" s="76">
        <v>4.081632653061229E-2</v>
      </c>
      <c r="AA450" s="76"/>
      <c r="AB450" s="76"/>
      <c r="AC450" s="76"/>
      <c r="AD450" s="142"/>
      <c r="AE450" s="142"/>
      <c r="AF450" s="142"/>
    </row>
    <row r="451" spans="1:32" x14ac:dyDescent="0.35">
      <c r="A451" t="s">
        <v>96</v>
      </c>
      <c r="B451" t="s">
        <v>787</v>
      </c>
      <c r="C451" s="31"/>
      <c r="D451" s="31"/>
      <c r="E451" s="72"/>
      <c r="F451" s="31"/>
      <c r="G451" s="73"/>
      <c r="H451" s="31"/>
      <c r="I451" s="72"/>
      <c r="J451" s="72"/>
      <c r="K451" s="31"/>
      <c r="L451" s="31"/>
      <c r="M451" s="74"/>
      <c r="N451" s="74"/>
      <c r="O451" s="75"/>
      <c r="P451" s="75"/>
      <c r="Q451" s="76"/>
      <c r="R451" s="76"/>
      <c r="S451" s="31">
        <v>2</v>
      </c>
      <c r="T451" s="31"/>
      <c r="U451" s="76"/>
      <c r="V451" s="76"/>
      <c r="W451" s="76"/>
      <c r="X451" s="76"/>
      <c r="Y451" s="76"/>
      <c r="Z451" s="76"/>
      <c r="AA451" s="76"/>
      <c r="AB451" s="76"/>
      <c r="AC451" s="76"/>
      <c r="AD451" s="142"/>
      <c r="AE451" s="142"/>
      <c r="AF451" s="142"/>
    </row>
    <row r="452" spans="1:32" x14ac:dyDescent="0.35">
      <c r="A452" s="138" t="s">
        <v>847</v>
      </c>
      <c r="B452" s="138"/>
      <c r="C452" s="127">
        <v>4804</v>
      </c>
      <c r="D452" s="127">
        <v>3395</v>
      </c>
      <c r="E452" s="126">
        <v>6462</v>
      </c>
      <c r="F452" s="127">
        <v>4230</v>
      </c>
      <c r="G452" s="127">
        <v>4527019.2900000308</v>
      </c>
      <c r="H452" s="127">
        <v>3292507.0799999614</v>
      </c>
      <c r="I452" s="126">
        <v>2257676.74999998</v>
      </c>
      <c r="J452" s="126">
        <v>1618804.6899999611</v>
      </c>
      <c r="K452" s="127">
        <v>68351.571428571435</v>
      </c>
      <c r="L452" s="127">
        <v>61789.857142857145</v>
      </c>
      <c r="M452" s="140">
        <v>10.57746385462263</v>
      </c>
      <c r="N452" s="140">
        <v>14.843863832041857</v>
      </c>
      <c r="O452" s="139">
        <v>700.56008820798991</v>
      </c>
      <c r="P452" s="139">
        <v>778.37046808509729</v>
      </c>
      <c r="Q452" s="141">
        <v>0.49871153740985374</v>
      </c>
      <c r="R452" s="141">
        <v>0.48107983399238913</v>
      </c>
      <c r="S452" s="127">
        <v>30943.142857142859</v>
      </c>
      <c r="T452" s="127"/>
      <c r="U452" s="141">
        <v>5.8322100945832567E-2</v>
      </c>
      <c r="V452" s="141">
        <v>0.46855791962174931</v>
      </c>
      <c r="W452" s="141">
        <v>0.32486516931045362</v>
      </c>
      <c r="X452" s="141">
        <v>0.37946771223082965</v>
      </c>
      <c r="Y452" s="141">
        <v>-7.8952664440452569E-3</v>
      </c>
      <c r="Z452" s="141">
        <v>-2.1996148987576181E-2</v>
      </c>
      <c r="AA452" s="141">
        <v>0.13269062226117434</v>
      </c>
      <c r="AB452" s="141">
        <v>9.3184692112334488E-2</v>
      </c>
      <c r="AC452" s="141">
        <v>-3.4877952878231477E-2</v>
      </c>
      <c r="AD452" s="143">
        <v>5.1273784301002498E-3</v>
      </c>
      <c r="AE452" s="143">
        <v>5.3825237332239782E-2</v>
      </c>
      <c r="AF452" s="143">
        <v>7.5871155812142724E-2</v>
      </c>
    </row>
    <row r="453" spans="1:32" x14ac:dyDescent="0.35">
      <c r="A453" t="s">
        <v>97</v>
      </c>
      <c r="B453" t="s">
        <v>97</v>
      </c>
      <c r="C453" s="31">
        <v>4351</v>
      </c>
      <c r="D453" s="31">
        <v>4090</v>
      </c>
      <c r="E453" s="72">
        <v>6172</v>
      </c>
      <c r="F453" s="31">
        <v>7193</v>
      </c>
      <c r="G453" s="73">
        <v>4119745.6999999685</v>
      </c>
      <c r="H453" s="31">
        <v>2940272.8299999805</v>
      </c>
      <c r="I453" s="72">
        <v>2738495.5099999812</v>
      </c>
      <c r="J453" s="72">
        <v>1512679.5899999691</v>
      </c>
      <c r="K453" s="31">
        <v>55094.142857142855</v>
      </c>
      <c r="L453" s="31">
        <v>74574.857142857145</v>
      </c>
      <c r="M453" s="74">
        <v>8.92646514211647</v>
      </c>
      <c r="N453" s="74">
        <v>10.539938346275411</v>
      </c>
      <c r="O453" s="75">
        <v>667.4895819831446</v>
      </c>
      <c r="P453" s="75">
        <v>408.76864034477694</v>
      </c>
      <c r="Q453" s="76">
        <v>0.66472440519811737</v>
      </c>
      <c r="R453" s="76">
        <v>0.50608890173214549</v>
      </c>
      <c r="S453" s="31">
        <v>54457.285714285717</v>
      </c>
      <c r="T453" s="31"/>
      <c r="U453" s="76">
        <v>-0.28456162935037477</v>
      </c>
      <c r="V453" s="76">
        <v>-0.16794105380230784</v>
      </c>
      <c r="W453" s="76">
        <v>0.35971651991219833</v>
      </c>
      <c r="X453" s="76">
        <v>0.78722973449509293</v>
      </c>
      <c r="Y453" s="76">
        <v>8.7148790709195012E-3</v>
      </c>
      <c r="Z453" s="76">
        <v>7.0318743707642462E-4</v>
      </c>
      <c r="AA453" s="76">
        <v>8.872817075321926E-2</v>
      </c>
      <c r="AB453" s="76">
        <v>7.4325015341752732E-2</v>
      </c>
      <c r="AC453" s="76">
        <v>-1.3229340250745958E-2</v>
      </c>
      <c r="AD453" s="142">
        <v>-0.35435703867466195</v>
      </c>
      <c r="AE453" s="142">
        <v>-8.5736261116876045E-2</v>
      </c>
      <c r="AF453" s="142">
        <v>0.1358440719235644</v>
      </c>
    </row>
    <row r="454" spans="1:32" x14ac:dyDescent="0.35">
      <c r="A454" t="s">
        <v>97</v>
      </c>
      <c r="B454" t="s">
        <v>612</v>
      </c>
      <c r="C454" s="31">
        <v>701</v>
      </c>
      <c r="D454" s="31">
        <v>710</v>
      </c>
      <c r="E454" s="72">
        <v>1559</v>
      </c>
      <c r="F454" s="31">
        <v>1528</v>
      </c>
      <c r="G454" s="73">
        <v>271654.00999999919</v>
      </c>
      <c r="H454" s="31">
        <v>214456.1000000007</v>
      </c>
      <c r="I454" s="72">
        <v>160914.01999999973</v>
      </c>
      <c r="J454" s="72">
        <v>106580.89000000063</v>
      </c>
      <c r="K454" s="31">
        <v>16168.428571428571</v>
      </c>
      <c r="L454" s="31">
        <v>19760.714285714286</v>
      </c>
      <c r="M454" s="74">
        <v>10.371025382571245</v>
      </c>
      <c r="N454" s="74">
        <v>13.176356589147288</v>
      </c>
      <c r="O454" s="75">
        <v>174.24888389993535</v>
      </c>
      <c r="P454" s="75">
        <v>140.35085078534078</v>
      </c>
      <c r="Q454" s="76">
        <v>0.5923491429410529</v>
      </c>
      <c r="R454" s="76">
        <v>0.49061855214049227</v>
      </c>
      <c r="S454" s="31">
        <v>6515.1428571428569</v>
      </c>
      <c r="T454" s="31"/>
      <c r="U454" s="76">
        <v>-0.22416772094704507</v>
      </c>
      <c r="V454" s="76">
        <v>-1.1780104712041939E-2</v>
      </c>
      <c r="W454" s="76">
        <v>0.2256366221338475</v>
      </c>
      <c r="X454" s="76">
        <v>0.48392994514244569</v>
      </c>
      <c r="Y454" s="76">
        <v>1.8815573960340171E-2</v>
      </c>
      <c r="Z454" s="76">
        <v>-1.3639057379906672E-2</v>
      </c>
      <c r="AA454" s="76">
        <v>-3.8840937114673291E-2</v>
      </c>
      <c r="AB454" s="76">
        <v>6.9271767595664668E-2</v>
      </c>
      <c r="AC454" s="76">
        <v>0.11248159527913271</v>
      </c>
      <c r="AD454" s="142">
        <v>-0.29396556580847777</v>
      </c>
      <c r="AE454" s="142">
        <v>-0.23776287081513331</v>
      </c>
      <c r="AF454" s="142">
        <v>-0.1591451371408602</v>
      </c>
    </row>
    <row r="455" spans="1:32" x14ac:dyDescent="0.35">
      <c r="A455" t="s">
        <v>97</v>
      </c>
      <c r="B455" t="s">
        <v>613</v>
      </c>
      <c r="C455" s="31">
        <v>222</v>
      </c>
      <c r="D455" s="31">
        <v>375</v>
      </c>
      <c r="E455" s="72">
        <v>430</v>
      </c>
      <c r="F455" s="31">
        <v>833</v>
      </c>
      <c r="G455" s="73">
        <v>43941.579999999922</v>
      </c>
      <c r="H455" s="31">
        <v>56704.100000000013</v>
      </c>
      <c r="I455" s="72">
        <v>24998.700000000008</v>
      </c>
      <c r="J455" s="72">
        <v>27450.45</v>
      </c>
      <c r="K455" s="31">
        <v>5385.5714285714284</v>
      </c>
      <c r="L455" s="31">
        <v>13490.142857142857</v>
      </c>
      <c r="M455" s="74">
        <v>12.524584717607974</v>
      </c>
      <c r="N455" s="74">
        <v>16.377242524916941</v>
      </c>
      <c r="O455" s="75">
        <v>102.18972093023238</v>
      </c>
      <c r="P455" s="75">
        <v>68.07214885954383</v>
      </c>
      <c r="Q455" s="76">
        <v>0.56890762689917052</v>
      </c>
      <c r="R455" s="76">
        <v>0.46973614095754773</v>
      </c>
      <c r="S455" s="31">
        <v>1256.2857142857142</v>
      </c>
      <c r="T455" s="31"/>
      <c r="U455" s="76">
        <v>-0.61355910664929958</v>
      </c>
      <c r="V455" s="76">
        <v>-0.50180072028811518</v>
      </c>
      <c r="W455" s="76">
        <v>-0.2524847409622949</v>
      </c>
      <c r="X455" s="76">
        <v>-9.3853987391545268E-2</v>
      </c>
      <c r="Y455" s="76">
        <v>-1.0431345955499216E-2</v>
      </c>
      <c r="Z455" s="76">
        <v>-3.8020873204215544E-2</v>
      </c>
      <c r="AA455" s="76">
        <v>0.13756613756613767</v>
      </c>
      <c r="AB455" s="76">
        <v>0.2975989671554462</v>
      </c>
      <c r="AC455" s="76">
        <v>0.14068002229013654</v>
      </c>
      <c r="AD455" s="142">
        <v>-0.51480811281456085</v>
      </c>
      <c r="AE455" s="142">
        <v>-0.55052802966504977</v>
      </c>
      <c r="AF455" s="142">
        <v>-0.51068469462195354</v>
      </c>
    </row>
    <row r="456" spans="1:32" x14ac:dyDescent="0.35">
      <c r="A456" t="s">
        <v>97</v>
      </c>
      <c r="B456" t="s">
        <v>614</v>
      </c>
      <c r="C456" s="31">
        <v>10</v>
      </c>
      <c r="D456" s="31">
        <v>75</v>
      </c>
      <c r="E456" s="72">
        <v>11</v>
      </c>
      <c r="F456" s="31">
        <v>93</v>
      </c>
      <c r="G456" s="73">
        <v>945.36</v>
      </c>
      <c r="H456" s="31">
        <v>8336.4199999999983</v>
      </c>
      <c r="I456" s="72">
        <v>249.28000000000003</v>
      </c>
      <c r="J456" s="72">
        <v>1326.609999999996</v>
      </c>
      <c r="K456" s="31">
        <v>310.57142857142856</v>
      </c>
      <c r="L456" s="31">
        <v>3226.7142857142858</v>
      </c>
      <c r="M456" s="74">
        <v>28.233766233766232</v>
      </c>
      <c r="N456" s="74">
        <v>35.964669738863286</v>
      </c>
      <c r="O456" s="75">
        <v>85.941818181818178</v>
      </c>
      <c r="P456" s="75">
        <v>89.638924731182783</v>
      </c>
      <c r="Q456" s="76">
        <v>0.26368790725226371</v>
      </c>
      <c r="R456" s="76">
        <v>0.15913425667132849</v>
      </c>
      <c r="S456" s="31">
        <v>95</v>
      </c>
      <c r="T456" s="31"/>
      <c r="U456" s="76">
        <v>-0.90436977022180898</v>
      </c>
      <c r="V456" s="76">
        <v>-0.88172043010752688</v>
      </c>
      <c r="W456" s="76">
        <v>-0.88659880380307132</v>
      </c>
      <c r="X456" s="76">
        <v>-0.81209247631180181</v>
      </c>
      <c r="Y456" s="76">
        <v>-2.9171045828058073E-2</v>
      </c>
      <c r="Z456" s="76">
        <v>-2.3360287511230982E-2</v>
      </c>
      <c r="AA456" s="76">
        <v>-0.15384615384615385</v>
      </c>
      <c r="AB456" s="76">
        <v>-0.18750000000000011</v>
      </c>
      <c r="AC456" s="76">
        <v>-3.9772727272727404E-2</v>
      </c>
      <c r="AD456" s="142"/>
      <c r="AE456" s="142"/>
      <c r="AF456" s="142"/>
    </row>
    <row r="457" spans="1:32" x14ac:dyDescent="0.35">
      <c r="A457" t="s">
        <v>97</v>
      </c>
      <c r="B457" t="s">
        <v>619</v>
      </c>
      <c r="C457" s="31">
        <v>1</v>
      </c>
      <c r="D457" s="31">
        <v>1</v>
      </c>
      <c r="E457" s="72">
        <v>1</v>
      </c>
      <c r="F457" s="31">
        <v>1</v>
      </c>
      <c r="G457" s="73">
        <v>218.17</v>
      </c>
      <c r="H457" s="31">
        <v>96.58</v>
      </c>
      <c r="I457" s="72">
        <v>18.170000000000002</v>
      </c>
      <c r="J457" s="72">
        <v>21.33</v>
      </c>
      <c r="K457" s="31">
        <v>121.85714285714286</v>
      </c>
      <c r="L457" s="31">
        <v>5.1428571428571432</v>
      </c>
      <c r="M457" s="74">
        <v>121.85714285714286</v>
      </c>
      <c r="N457" s="74">
        <v>6.2857142857142856</v>
      </c>
      <c r="O457" s="75">
        <v>218.17</v>
      </c>
      <c r="P457" s="75">
        <v>96.58</v>
      </c>
      <c r="Q457" s="76">
        <v>8.328367786588442E-2</v>
      </c>
      <c r="R457" s="76">
        <v>0.22085317871194862</v>
      </c>
      <c r="S457" s="31">
        <v>16</v>
      </c>
      <c r="T457" s="31"/>
      <c r="U457" s="76">
        <v>-0.80555555555555558</v>
      </c>
      <c r="V457" s="76">
        <v>-1</v>
      </c>
      <c r="W457" s="76">
        <v>-1</v>
      </c>
      <c r="X457" s="76">
        <v>-1</v>
      </c>
      <c r="Y457" s="76">
        <v>-1.1769534853269814E-3</v>
      </c>
      <c r="Z457" s="76">
        <v>-1.1709601873536313E-3</v>
      </c>
      <c r="AA457" s="76"/>
      <c r="AB457" s="76"/>
      <c r="AC457" s="76"/>
      <c r="AD457" s="142"/>
      <c r="AE457" s="142"/>
      <c r="AF457" s="142"/>
    </row>
    <row r="458" spans="1:32" x14ac:dyDescent="0.35">
      <c r="A458" t="s">
        <v>97</v>
      </c>
      <c r="B458" t="s">
        <v>615</v>
      </c>
      <c r="C458" s="31">
        <v>2</v>
      </c>
      <c r="D458" s="31">
        <v>2</v>
      </c>
      <c r="E458" s="72">
        <v>2</v>
      </c>
      <c r="F458" s="31">
        <v>2</v>
      </c>
      <c r="G458" s="73">
        <v>109.08</v>
      </c>
      <c r="H458" s="31">
        <v>70.34</v>
      </c>
      <c r="I458" s="72">
        <v>27.130000000000003</v>
      </c>
      <c r="J458" s="72">
        <v>8.0700000000000074</v>
      </c>
      <c r="K458" s="31">
        <v>11.428571428571429</v>
      </c>
      <c r="L458" s="31">
        <v>22.285714285714285</v>
      </c>
      <c r="M458" s="74">
        <v>5.7142857142857144</v>
      </c>
      <c r="N458" s="74">
        <v>11.142857142857142</v>
      </c>
      <c r="O458" s="75">
        <v>54.54</v>
      </c>
      <c r="P458" s="75">
        <v>35.17</v>
      </c>
      <c r="Q458" s="76">
        <v>0.24871653832049875</v>
      </c>
      <c r="R458" s="76">
        <v>0.11472846175717952</v>
      </c>
      <c r="S458" s="31">
        <v>3.4285714285714284</v>
      </c>
      <c r="T458" s="31"/>
      <c r="U458" s="76">
        <v>-0.48717948717948711</v>
      </c>
      <c r="V458" s="76">
        <v>0</v>
      </c>
      <c r="W458" s="76">
        <v>0.55075348308217231</v>
      </c>
      <c r="X458" s="76">
        <v>2.361833952912018</v>
      </c>
      <c r="Y458" s="76">
        <v>-0.22101219495548696</v>
      </c>
      <c r="Z458" s="76">
        <v>-0.22330097087378631</v>
      </c>
      <c r="AA458" s="76">
        <v>-0.6</v>
      </c>
      <c r="AB458" s="76">
        <v>-0.59998533132861498</v>
      </c>
      <c r="AC458" s="76">
        <v>3.6671678462774082E-5</v>
      </c>
      <c r="AD458" s="142"/>
      <c r="AE458" s="142"/>
      <c r="AF458" s="142"/>
    </row>
    <row r="459" spans="1:32" x14ac:dyDescent="0.35">
      <c r="A459" t="s">
        <v>97</v>
      </c>
      <c r="B459" t="s">
        <v>617</v>
      </c>
      <c r="C459" s="31">
        <v>1</v>
      </c>
      <c r="D459" s="31"/>
      <c r="E459" s="72">
        <v>1</v>
      </c>
      <c r="F459" s="31"/>
      <c r="G459" s="73">
        <v>54.54</v>
      </c>
      <c r="H459" s="31"/>
      <c r="I459" s="72">
        <v>19.54</v>
      </c>
      <c r="J459" s="72"/>
      <c r="K459" s="31">
        <v>1</v>
      </c>
      <c r="L459" s="31">
        <v>1</v>
      </c>
      <c r="M459" s="74">
        <v>1</v>
      </c>
      <c r="N459" s="74"/>
      <c r="O459" s="75">
        <v>54.54</v>
      </c>
      <c r="P459" s="75"/>
      <c r="Q459" s="76">
        <v>0.35826916024935823</v>
      </c>
      <c r="R459" s="76"/>
      <c r="S459" s="31"/>
      <c r="T459" s="31"/>
      <c r="U459" s="76">
        <v>0</v>
      </c>
      <c r="V459" s="76"/>
      <c r="W459" s="76"/>
      <c r="X459" s="76"/>
      <c r="Y459" s="76">
        <v>0.39999999999999991</v>
      </c>
      <c r="Z459" s="76">
        <v>0.39999999999999991</v>
      </c>
      <c r="AA459" s="76"/>
      <c r="AB459" s="76"/>
      <c r="AC459" s="76"/>
      <c r="AD459" s="142"/>
      <c r="AE459" s="142"/>
      <c r="AF459" s="142"/>
    </row>
    <row r="460" spans="1:32" x14ac:dyDescent="0.35">
      <c r="A460" t="s">
        <v>97</v>
      </c>
      <c r="B460" t="s">
        <v>788</v>
      </c>
      <c r="C460" s="31"/>
      <c r="D460" s="31"/>
      <c r="E460" s="72"/>
      <c r="F460" s="31"/>
      <c r="G460" s="73"/>
      <c r="H460" s="31"/>
      <c r="I460" s="72"/>
      <c r="J460" s="72"/>
      <c r="K460" s="31">
        <v>151</v>
      </c>
      <c r="L460" s="31"/>
      <c r="M460" s="74"/>
      <c r="N460" s="74"/>
      <c r="O460" s="75"/>
      <c r="P460" s="75"/>
      <c r="Q460" s="76"/>
      <c r="R460" s="76"/>
      <c r="S460" s="31"/>
      <c r="T460" s="31"/>
      <c r="U460" s="76"/>
      <c r="V460" s="76"/>
      <c r="W460" s="76"/>
      <c r="X460" s="76"/>
      <c r="Y460" s="76">
        <v>0</v>
      </c>
      <c r="Z460" s="76">
        <v>0</v>
      </c>
      <c r="AA460" s="76"/>
      <c r="AB460" s="76"/>
      <c r="AC460" s="76"/>
      <c r="AD460" s="142"/>
      <c r="AE460" s="142"/>
      <c r="AF460" s="142"/>
    </row>
    <row r="461" spans="1:32" x14ac:dyDescent="0.35">
      <c r="A461" t="s">
        <v>97</v>
      </c>
      <c r="B461" t="s">
        <v>618</v>
      </c>
      <c r="C461" s="31"/>
      <c r="D461" s="31"/>
      <c r="E461" s="72"/>
      <c r="F461" s="31"/>
      <c r="G461" s="73"/>
      <c r="H461" s="31"/>
      <c r="I461" s="72"/>
      <c r="J461" s="72"/>
      <c r="K461" s="31"/>
      <c r="L461" s="31">
        <v>-1</v>
      </c>
      <c r="M461" s="74"/>
      <c r="N461" s="74"/>
      <c r="O461" s="75"/>
      <c r="P461" s="75"/>
      <c r="Q461" s="76"/>
      <c r="R461" s="76"/>
      <c r="S461" s="31"/>
      <c r="T461" s="31"/>
      <c r="U461" s="76"/>
      <c r="V461" s="76"/>
      <c r="W461" s="76"/>
      <c r="X461" s="76"/>
      <c r="Y461" s="76"/>
      <c r="Z461" s="76"/>
      <c r="AA461" s="76"/>
      <c r="AB461" s="76"/>
      <c r="AC461" s="76"/>
      <c r="AD461" s="142"/>
      <c r="AE461" s="142"/>
      <c r="AF461" s="142"/>
    </row>
    <row r="462" spans="1:32" x14ac:dyDescent="0.35">
      <c r="A462" t="s">
        <v>97</v>
      </c>
      <c r="B462" t="s">
        <v>616</v>
      </c>
      <c r="C462" s="31"/>
      <c r="D462" s="31"/>
      <c r="E462" s="72"/>
      <c r="F462" s="31"/>
      <c r="G462" s="73"/>
      <c r="H462" s="31"/>
      <c r="I462" s="72"/>
      <c r="J462" s="72"/>
      <c r="K462" s="31"/>
      <c r="L462" s="31">
        <v>1</v>
      </c>
      <c r="M462" s="74"/>
      <c r="N462" s="74"/>
      <c r="O462" s="75"/>
      <c r="P462" s="75"/>
      <c r="Q462" s="76"/>
      <c r="R462" s="76"/>
      <c r="S462" s="31">
        <v>0</v>
      </c>
      <c r="T462" s="31"/>
      <c r="U462" s="76"/>
      <c r="V462" s="76"/>
      <c r="W462" s="76"/>
      <c r="X462" s="76"/>
      <c r="Y462" s="76"/>
      <c r="Z462" s="76"/>
      <c r="AA462" s="76"/>
      <c r="AB462" s="76"/>
      <c r="AC462" s="76"/>
      <c r="AD462" s="142"/>
      <c r="AE462" s="142"/>
      <c r="AF462" s="142"/>
    </row>
    <row r="463" spans="1:32" x14ac:dyDescent="0.35">
      <c r="A463" s="138" t="s">
        <v>848</v>
      </c>
      <c r="B463" s="138"/>
      <c r="C463" s="127">
        <v>5115</v>
      </c>
      <c r="D463" s="127">
        <v>5069</v>
      </c>
      <c r="E463" s="126">
        <v>8176</v>
      </c>
      <c r="F463" s="127">
        <v>9650</v>
      </c>
      <c r="G463" s="127">
        <v>4436668.4400000023</v>
      </c>
      <c r="H463" s="127">
        <v>3219936.3699999652</v>
      </c>
      <c r="I463" s="126">
        <v>2924722.3499999819</v>
      </c>
      <c r="J463" s="126">
        <v>1648066.9399999473</v>
      </c>
      <c r="K463" s="127">
        <v>77243.428571428565</v>
      </c>
      <c r="L463" s="127">
        <v>111080.85714285714</v>
      </c>
      <c r="M463" s="140">
        <v>9.4475817724350009</v>
      </c>
      <c r="N463" s="140">
        <v>11.70660928731354</v>
      </c>
      <c r="O463" s="139">
        <v>542.64535714285739</v>
      </c>
      <c r="P463" s="139">
        <v>333.6721626942969</v>
      </c>
      <c r="Q463" s="141">
        <v>0.65921589353654286</v>
      </c>
      <c r="R463" s="141">
        <v>0.50351260937449716</v>
      </c>
      <c r="S463" s="127">
        <v>62343.142857142855</v>
      </c>
      <c r="T463" s="127"/>
      <c r="U463" s="141">
        <v>-0.33184449937368665</v>
      </c>
      <c r="V463" s="141">
        <v>-0.17886010362694305</v>
      </c>
      <c r="W463" s="141">
        <v>0.33675900868811448</v>
      </c>
      <c r="X463" s="141">
        <v>0.75177452186745231</v>
      </c>
      <c r="Y463" s="141">
        <v>9.2427405983832589E-3</v>
      </c>
      <c r="Z463" s="141">
        <v>-5.2560798144092313E-3</v>
      </c>
      <c r="AA463" s="141">
        <v>6.3613893586574655E-2</v>
      </c>
      <c r="AB463" s="141">
        <v>7.5794744080062815E-2</v>
      </c>
      <c r="AC463" s="141">
        <v>1.1452323598757586E-2</v>
      </c>
      <c r="AD463" s="143">
        <v>-0.35387089773118996</v>
      </c>
      <c r="AE463" s="143">
        <v>-0.1055524585586133</v>
      </c>
      <c r="AF463" s="143">
        <v>0.10223919207322785</v>
      </c>
    </row>
    <row r="464" spans="1:32" x14ac:dyDescent="0.35">
      <c r="A464" t="s">
        <v>104</v>
      </c>
      <c r="B464" t="s">
        <v>734</v>
      </c>
      <c r="C464" s="31">
        <v>3495</v>
      </c>
      <c r="D464" s="31">
        <v>978</v>
      </c>
      <c r="E464" s="72">
        <v>4341</v>
      </c>
      <c r="F464" s="31">
        <v>1293</v>
      </c>
      <c r="G464" s="73">
        <v>2925442.3299999274</v>
      </c>
      <c r="H464" s="31">
        <v>531661.25999999978</v>
      </c>
      <c r="I464" s="72">
        <v>1710096.7299999997</v>
      </c>
      <c r="J464" s="72">
        <v>279660.79999999929</v>
      </c>
      <c r="K464" s="31">
        <v>38997</v>
      </c>
      <c r="L464" s="31">
        <v>24090.714285714286</v>
      </c>
      <c r="M464" s="74">
        <v>8.983413959917069</v>
      </c>
      <c r="N464" s="74">
        <v>19.318914242457012</v>
      </c>
      <c r="O464" s="75">
        <v>673.90977424554887</v>
      </c>
      <c r="P464" s="75">
        <v>411.18426914153116</v>
      </c>
      <c r="Q464" s="76">
        <v>0.58456005523104682</v>
      </c>
      <c r="R464" s="76">
        <v>0.51455654896082725</v>
      </c>
      <c r="S464" s="31">
        <v>103007.14285714286</v>
      </c>
      <c r="T464" s="31"/>
      <c r="U464" s="76">
        <v>0.55946867494885377</v>
      </c>
      <c r="V464" s="76">
        <v>2.2405259087393659</v>
      </c>
      <c r="W464" s="76">
        <v>4.3158348230975649</v>
      </c>
      <c r="X464" s="76">
        <v>5.0576832344614404</v>
      </c>
      <c r="Y464" s="76">
        <v>0.1712276235884751</v>
      </c>
      <c r="Z464" s="76">
        <v>0.16554586327479548</v>
      </c>
      <c r="AA464" s="76">
        <v>0.13757861635220126</v>
      </c>
      <c r="AB464" s="76">
        <v>0.23700321005591873</v>
      </c>
      <c r="AC464" s="76">
        <v>8.7400195709142148E-2</v>
      </c>
      <c r="AD464" s="142">
        <v>0.83837697696459856</v>
      </c>
      <c r="AE464" s="142">
        <v>0.84421002120912891</v>
      </c>
      <c r="AF464" s="142">
        <v>0.7567103483550125</v>
      </c>
    </row>
    <row r="465" spans="1:32" x14ac:dyDescent="0.35">
      <c r="A465" t="s">
        <v>104</v>
      </c>
      <c r="B465" t="s">
        <v>733</v>
      </c>
      <c r="C465" s="31">
        <v>546</v>
      </c>
      <c r="D465" s="31">
        <v>1310</v>
      </c>
      <c r="E465" s="72">
        <v>611</v>
      </c>
      <c r="F465" s="31">
        <v>1563</v>
      </c>
      <c r="G465" s="73">
        <v>737265.99999999779</v>
      </c>
      <c r="H465" s="31">
        <v>1382154.3299999889</v>
      </c>
      <c r="I465" s="72">
        <v>335566.36999999959</v>
      </c>
      <c r="J465" s="72">
        <v>685737.77999999095</v>
      </c>
      <c r="K465" s="31">
        <v>9872.7142857142862</v>
      </c>
      <c r="L465" s="31">
        <v>24352.571428571428</v>
      </c>
      <c r="M465" s="74">
        <v>16.158288519990649</v>
      </c>
      <c r="N465" s="74">
        <v>15.907079646017699</v>
      </c>
      <c r="O465" s="75">
        <v>1206.6546644844482</v>
      </c>
      <c r="P465" s="75">
        <v>884.29579654509848</v>
      </c>
      <c r="Q465" s="76">
        <v>0.45514966104499677</v>
      </c>
      <c r="R465" s="76">
        <v>0.4897158132243204</v>
      </c>
      <c r="S465" s="31">
        <v>16776.142857142859</v>
      </c>
      <c r="T465" s="31"/>
      <c r="U465" s="76">
        <v>-0.61210901752821645</v>
      </c>
      <c r="V465" s="76">
        <v>-0.61676263595649394</v>
      </c>
      <c r="W465" s="76">
        <v>-0.48080975877707921</v>
      </c>
      <c r="X465" s="76">
        <v>-0.51529993789490924</v>
      </c>
      <c r="Y465" s="76">
        <v>-6.2349829803382883E-2</v>
      </c>
      <c r="Z465" s="76">
        <v>-6.4767575614046891E-2</v>
      </c>
      <c r="AA465" s="76">
        <v>5.709342560553643E-2</v>
      </c>
      <c r="AB465" s="76">
        <v>7.4023377030018933E-2</v>
      </c>
      <c r="AC465" s="76">
        <v>1.601556779599167E-2</v>
      </c>
      <c r="AD465" s="142">
        <v>0.71483500677093192</v>
      </c>
      <c r="AE465" s="142">
        <v>0.23208379333451098</v>
      </c>
      <c r="AF465" s="142">
        <v>-8.6193207706492483E-2</v>
      </c>
    </row>
    <row r="466" spans="1:32" x14ac:dyDescent="0.35">
      <c r="A466" t="s">
        <v>104</v>
      </c>
      <c r="B466" t="s">
        <v>104</v>
      </c>
      <c r="C466" s="31">
        <v>12</v>
      </c>
      <c r="D466" s="31">
        <v>76</v>
      </c>
      <c r="E466" s="72">
        <v>12</v>
      </c>
      <c r="F466" s="31">
        <v>86</v>
      </c>
      <c r="G466" s="73">
        <v>11658.960000000001</v>
      </c>
      <c r="H466" s="31">
        <v>64918.609999999986</v>
      </c>
      <c r="I466" s="72">
        <v>4354.8099999999995</v>
      </c>
      <c r="J466" s="72">
        <v>17724.669999999984</v>
      </c>
      <c r="K466" s="31">
        <v>894.71428571428567</v>
      </c>
      <c r="L466" s="31">
        <v>3060.5714285714284</v>
      </c>
      <c r="M466" s="74">
        <v>74.55952380952381</v>
      </c>
      <c r="N466" s="74">
        <v>35.764119601328908</v>
      </c>
      <c r="O466" s="75">
        <v>971.58</v>
      </c>
      <c r="P466" s="75">
        <v>754.86755813953471</v>
      </c>
      <c r="Q466" s="76">
        <v>0.37351616267660231</v>
      </c>
      <c r="R466" s="76">
        <v>0.27302910521343554</v>
      </c>
      <c r="S466" s="31">
        <v>523.85714285714289</v>
      </c>
      <c r="T466" s="31"/>
      <c r="U466" s="76">
        <v>-0.73179611650485432</v>
      </c>
      <c r="V466" s="76">
        <v>-0.88372093023255816</v>
      </c>
      <c r="W466" s="76">
        <v>-0.8848225493429388</v>
      </c>
      <c r="X466" s="76">
        <v>-0.81585496373134148</v>
      </c>
      <c r="Y466" s="76">
        <v>-1.0418324932813472E-2</v>
      </c>
      <c r="Z466" s="76">
        <v>-1.0115378536431296E-2</v>
      </c>
      <c r="AA466" s="76">
        <v>-0.1428571428571429</v>
      </c>
      <c r="AB466" s="76">
        <v>0.26787223144755878</v>
      </c>
      <c r="AC466" s="76">
        <v>0.47918427002215203</v>
      </c>
      <c r="AD466" s="142"/>
      <c r="AE466" s="142"/>
      <c r="AF466" s="142"/>
    </row>
    <row r="467" spans="1:32" x14ac:dyDescent="0.35">
      <c r="A467" t="s">
        <v>104</v>
      </c>
      <c r="B467" t="s">
        <v>790</v>
      </c>
      <c r="C467" s="31"/>
      <c r="D467" s="31"/>
      <c r="E467" s="72"/>
      <c r="F467" s="31"/>
      <c r="G467" s="73"/>
      <c r="H467" s="31"/>
      <c r="I467" s="72"/>
      <c r="J467" s="72"/>
      <c r="K467" s="31">
        <v>1</v>
      </c>
      <c r="L467" s="31"/>
      <c r="M467" s="74"/>
      <c r="N467" s="74"/>
      <c r="O467" s="75"/>
      <c r="P467" s="75"/>
      <c r="Q467" s="76"/>
      <c r="R467" s="76"/>
      <c r="S467" s="31"/>
      <c r="T467" s="31"/>
      <c r="U467" s="76"/>
      <c r="V467" s="76"/>
      <c r="W467" s="76"/>
      <c r="X467" s="76"/>
      <c r="Y467" s="76">
        <v>0</v>
      </c>
      <c r="Z467" s="76">
        <v>0</v>
      </c>
      <c r="AA467" s="76"/>
      <c r="AB467" s="76"/>
      <c r="AC467" s="76"/>
      <c r="AD467" s="142"/>
      <c r="AE467" s="142"/>
      <c r="AF467" s="142"/>
    </row>
    <row r="468" spans="1:32" x14ac:dyDescent="0.35">
      <c r="A468" t="s">
        <v>104</v>
      </c>
      <c r="B468" t="s">
        <v>735</v>
      </c>
      <c r="C468" s="31"/>
      <c r="D468" s="31"/>
      <c r="E468" s="72"/>
      <c r="F468" s="31"/>
      <c r="G468" s="73"/>
      <c r="H468" s="31"/>
      <c r="I468" s="72"/>
      <c r="J468" s="72"/>
      <c r="K468" s="31"/>
      <c r="L468" s="31">
        <v>-2</v>
      </c>
      <c r="M468" s="74"/>
      <c r="N468" s="74"/>
      <c r="O468" s="75"/>
      <c r="P468" s="75"/>
      <c r="Q468" s="76"/>
      <c r="R468" s="76"/>
      <c r="S468" s="31">
        <v>13</v>
      </c>
      <c r="T468" s="31"/>
      <c r="U468" s="76"/>
      <c r="V468" s="76"/>
      <c r="W468" s="76"/>
      <c r="X468" s="76"/>
      <c r="Y468" s="76"/>
      <c r="Z468" s="76"/>
      <c r="AA468" s="76"/>
      <c r="AB468" s="76"/>
      <c r="AC468" s="76"/>
      <c r="AD468" s="142"/>
      <c r="AE468" s="142"/>
      <c r="AF468" s="142"/>
    </row>
    <row r="469" spans="1:32" x14ac:dyDescent="0.35">
      <c r="A469" t="s">
        <v>104</v>
      </c>
      <c r="B469" t="s">
        <v>789</v>
      </c>
      <c r="C469" s="31"/>
      <c r="D469" s="31"/>
      <c r="E469" s="72"/>
      <c r="F469" s="31"/>
      <c r="G469" s="73"/>
      <c r="H469" s="31"/>
      <c r="I469" s="72"/>
      <c r="J469" s="72"/>
      <c r="K469" s="31">
        <v>1</v>
      </c>
      <c r="L469" s="31"/>
      <c r="M469" s="74"/>
      <c r="N469" s="74"/>
      <c r="O469" s="75"/>
      <c r="P469" s="75"/>
      <c r="Q469" s="76"/>
      <c r="R469" s="76"/>
      <c r="S469" s="31"/>
      <c r="T469" s="31"/>
      <c r="U469" s="76"/>
      <c r="V469" s="76"/>
      <c r="W469" s="76"/>
      <c r="X469" s="76"/>
      <c r="Y469" s="76">
        <v>0</v>
      </c>
      <c r="Z469" s="76">
        <v>0</v>
      </c>
      <c r="AA469" s="76"/>
      <c r="AB469" s="76"/>
      <c r="AC469" s="76"/>
      <c r="AD469" s="142"/>
      <c r="AE469" s="142"/>
      <c r="AF469" s="142"/>
    </row>
    <row r="470" spans="1:32" x14ac:dyDescent="0.35">
      <c r="A470" s="138" t="s">
        <v>849</v>
      </c>
      <c r="B470" s="138"/>
      <c r="C470" s="127">
        <v>4004</v>
      </c>
      <c r="D470" s="127">
        <v>2293</v>
      </c>
      <c r="E470" s="126">
        <v>4964</v>
      </c>
      <c r="F470" s="127">
        <v>2942</v>
      </c>
      <c r="G470" s="127">
        <v>3674367.2899999879</v>
      </c>
      <c r="H470" s="127">
        <v>1978734.1999999802</v>
      </c>
      <c r="I470" s="126">
        <v>2050017.9099999883</v>
      </c>
      <c r="J470" s="126">
        <v>983123.24999996973</v>
      </c>
      <c r="K470" s="127">
        <v>49766.428571428572</v>
      </c>
      <c r="L470" s="127">
        <v>51501.857142857145</v>
      </c>
      <c r="M470" s="140">
        <v>10.025469091746288</v>
      </c>
      <c r="N470" s="140">
        <v>17.985613917698227</v>
      </c>
      <c r="O470" s="139">
        <v>740.2029190169194</v>
      </c>
      <c r="P470" s="139">
        <v>672.58130523452758</v>
      </c>
      <c r="Q470" s="141">
        <v>0.55792405826691183</v>
      </c>
      <c r="R470" s="141">
        <v>0.48943399181116876</v>
      </c>
      <c r="S470" s="127">
        <v>120320.14285714286</v>
      </c>
      <c r="T470" s="127"/>
      <c r="U470" s="141">
        <v>-7.1145839401075772E-2</v>
      </c>
      <c r="V470" s="141">
        <v>0.63120326308633579</v>
      </c>
      <c r="W470" s="141">
        <v>0.79473404765530975</v>
      </c>
      <c r="X470" s="141">
        <v>1.0534295043665893</v>
      </c>
      <c r="Y470" s="141">
        <v>6.5541827046718959E-2</v>
      </c>
      <c r="Z470" s="141">
        <v>0.10787964750368118</v>
      </c>
      <c r="AA470" s="141">
        <v>0.12613430127041747</v>
      </c>
      <c r="AB470" s="141">
        <v>0.20054161363115885</v>
      </c>
      <c r="AC470" s="141">
        <v>6.6073213715984735E-2</v>
      </c>
      <c r="AD470" s="143">
        <v>0.82659524890212033</v>
      </c>
      <c r="AE470" s="143">
        <v>0.68188333245749622</v>
      </c>
      <c r="AF470" s="143">
        <v>0.52908420265685574</v>
      </c>
    </row>
    <row r="471" spans="1:32" x14ac:dyDescent="0.35">
      <c r="A471" t="s">
        <v>89</v>
      </c>
      <c r="B471" t="s">
        <v>627</v>
      </c>
      <c r="C471" s="31">
        <v>2912</v>
      </c>
      <c r="D471" s="31">
        <v>2714</v>
      </c>
      <c r="E471" s="72">
        <v>5537</v>
      </c>
      <c r="F471" s="31">
        <v>5474</v>
      </c>
      <c r="G471" s="73">
        <v>2498625.1500000493</v>
      </c>
      <c r="H471" s="31">
        <v>1407569.6900000093</v>
      </c>
      <c r="I471" s="72">
        <v>1547058.0200000023</v>
      </c>
      <c r="J471" s="72">
        <v>618521.84000001615</v>
      </c>
      <c r="K471" s="31">
        <v>77600.857142857145</v>
      </c>
      <c r="L471" s="31">
        <v>90605.428571428565</v>
      </c>
      <c r="M471" s="74">
        <v>14.014964266363942</v>
      </c>
      <c r="N471" s="74">
        <v>16.80716083628705</v>
      </c>
      <c r="O471" s="75">
        <v>451.25973451328321</v>
      </c>
      <c r="P471" s="75">
        <v>257.13732005845986</v>
      </c>
      <c r="Q471" s="76">
        <v>0.61916371089115618</v>
      </c>
      <c r="R471" s="76">
        <v>0.43296784857186421</v>
      </c>
      <c r="S471" s="31">
        <v>21726.571428571428</v>
      </c>
      <c r="T471" s="31"/>
      <c r="U471" s="76">
        <v>-0.17177936358275603</v>
      </c>
      <c r="V471" s="76">
        <v>-3.3796127146510813E-2</v>
      </c>
      <c r="W471" s="76">
        <v>0.69044898231648588</v>
      </c>
      <c r="X471" s="76">
        <v>1.4171554332914611</v>
      </c>
      <c r="Y471" s="76">
        <v>2.9709472484131805E-3</v>
      </c>
      <c r="Z471" s="76">
        <v>1.6939353432232629E-4</v>
      </c>
      <c r="AA471" s="76">
        <v>5.8902275769745716E-2</v>
      </c>
      <c r="AB471" s="76">
        <v>9.8562201173972186E-2</v>
      </c>
      <c r="AC471" s="76">
        <v>3.7453810716760128E-2</v>
      </c>
      <c r="AD471" s="142">
        <v>2.7122012838598514E-2</v>
      </c>
      <c r="AE471" s="142">
        <v>0.24807332592693387</v>
      </c>
      <c r="AF471" s="142">
        <v>0.68600078897654138</v>
      </c>
    </row>
    <row r="472" spans="1:32" x14ac:dyDescent="0.35">
      <c r="A472" t="s">
        <v>89</v>
      </c>
      <c r="B472" t="s">
        <v>628</v>
      </c>
      <c r="C472" s="31">
        <v>653</v>
      </c>
      <c r="D472" s="31">
        <v>505</v>
      </c>
      <c r="E472" s="72">
        <v>767</v>
      </c>
      <c r="F472" s="31">
        <v>662</v>
      </c>
      <c r="G472" s="73">
        <v>614692.56999999622</v>
      </c>
      <c r="H472" s="31">
        <v>290467.00000000017</v>
      </c>
      <c r="I472" s="72">
        <v>368460.85000000068</v>
      </c>
      <c r="J472" s="72">
        <v>127795.97000000026</v>
      </c>
      <c r="K472" s="31">
        <v>13288.285714285714</v>
      </c>
      <c r="L472" s="31">
        <v>12650</v>
      </c>
      <c r="M472" s="74">
        <v>17.325013969081766</v>
      </c>
      <c r="N472" s="74">
        <v>19.293616136410897</v>
      </c>
      <c r="O472" s="75">
        <v>801.42447196870432</v>
      </c>
      <c r="P472" s="75">
        <v>438.77190332326313</v>
      </c>
      <c r="Q472" s="76">
        <v>0.59942297659462995</v>
      </c>
      <c r="R472" s="76">
        <v>0.41946887329569504</v>
      </c>
      <c r="S472" s="31">
        <v>1776.1428571428571</v>
      </c>
      <c r="T472" s="31"/>
      <c r="U472" s="76">
        <v>2.2326369282891001E-2</v>
      </c>
      <c r="V472" s="76">
        <v>0.11933534743202423</v>
      </c>
      <c r="W472" s="76">
        <v>1.0344342730843645</v>
      </c>
      <c r="X472" s="76">
        <v>1.9111568799961653</v>
      </c>
      <c r="Y472" s="76">
        <v>2.585073936397464E-2</v>
      </c>
      <c r="Z472" s="76">
        <v>1.57353920744292E-2</v>
      </c>
      <c r="AA472" s="76">
        <v>-3.0341340075853318E-2</v>
      </c>
      <c r="AB472" s="76">
        <v>4.5861309015285512E-2</v>
      </c>
      <c r="AC472" s="76">
        <v>7.8587086611591639E-2</v>
      </c>
      <c r="AD472" s="142">
        <v>0.29531338055344514</v>
      </c>
      <c r="AE472" s="142">
        <v>0.85952461660817669</v>
      </c>
      <c r="AF472" s="142">
        <v>1.3918762001957912</v>
      </c>
    </row>
    <row r="473" spans="1:32" x14ac:dyDescent="0.35">
      <c r="A473" t="s">
        <v>89</v>
      </c>
      <c r="B473" t="s">
        <v>663</v>
      </c>
      <c r="C473" s="31">
        <v>14</v>
      </c>
      <c r="D473" s="31"/>
      <c r="E473" s="72">
        <v>336</v>
      </c>
      <c r="F473" s="31"/>
      <c r="G473" s="73">
        <v>53434.46</v>
      </c>
      <c r="H473" s="31"/>
      <c r="I473" s="72">
        <v>22455.93</v>
      </c>
      <c r="J473" s="72"/>
      <c r="K473" s="31">
        <v>4590.4285714285716</v>
      </c>
      <c r="L473" s="31">
        <v>221.42857142857142</v>
      </c>
      <c r="M473" s="74">
        <v>13.661989795918368</v>
      </c>
      <c r="N473" s="74"/>
      <c r="O473" s="75">
        <v>159.03113095238095</v>
      </c>
      <c r="P473" s="75"/>
      <c r="Q473" s="76">
        <v>0.42025183748464945</v>
      </c>
      <c r="R473" s="76"/>
      <c r="S473" s="31">
        <v>1592.0571428571427</v>
      </c>
      <c r="T473" s="31"/>
      <c r="U473" s="76">
        <v>-0.33225806451612894</v>
      </c>
      <c r="V473" s="76"/>
      <c r="W473" s="76"/>
      <c r="X473" s="76"/>
      <c r="Y473" s="76">
        <v>2.3730217322168734E-3</v>
      </c>
      <c r="Z473" s="76">
        <v>-2.0305497118814575E-2</v>
      </c>
      <c r="AA473" s="76">
        <v>1.4347826086956523</v>
      </c>
      <c r="AB473" s="76">
        <v>1.0763470843416938</v>
      </c>
      <c r="AC473" s="76">
        <v>-0.14721459035966133</v>
      </c>
      <c r="AD473" s="142"/>
      <c r="AE473" s="142"/>
      <c r="AF473" s="142"/>
    </row>
    <row r="474" spans="1:32" x14ac:dyDescent="0.35">
      <c r="A474" t="s">
        <v>89</v>
      </c>
      <c r="B474" t="s">
        <v>630</v>
      </c>
      <c r="C474" s="31">
        <v>28</v>
      </c>
      <c r="D474" s="31">
        <v>76</v>
      </c>
      <c r="E474" s="72">
        <v>65</v>
      </c>
      <c r="F474" s="31">
        <v>163</v>
      </c>
      <c r="G474" s="73">
        <v>21872.03</v>
      </c>
      <c r="H474" s="31">
        <v>35849.570000000014</v>
      </c>
      <c r="I474" s="72">
        <v>12726.160000000002</v>
      </c>
      <c r="J474" s="72">
        <v>17789.200000000019</v>
      </c>
      <c r="K474" s="31">
        <v>1702.2857142857142</v>
      </c>
      <c r="L474" s="31">
        <v>2774.7142857142858</v>
      </c>
      <c r="M474" s="74">
        <v>26.189010989010988</v>
      </c>
      <c r="N474" s="74">
        <v>17.206445993031359</v>
      </c>
      <c r="O474" s="75">
        <v>336.49276923076923</v>
      </c>
      <c r="P474" s="75">
        <v>219.93601226993874</v>
      </c>
      <c r="Q474" s="76">
        <v>0.58184631239075668</v>
      </c>
      <c r="R474" s="76">
        <v>0.49346524436504785</v>
      </c>
      <c r="S474" s="31">
        <v>96</v>
      </c>
      <c r="T474" s="31"/>
      <c r="U474" s="76">
        <v>-0.39623127220305832</v>
      </c>
      <c r="V474" s="76">
        <v>-0.61963190184049077</v>
      </c>
      <c r="W474" s="76">
        <v>-0.42032359105004624</v>
      </c>
      <c r="X474" s="76">
        <v>-0.31699278069335679</v>
      </c>
      <c r="Y474" s="76">
        <v>-3.9092930728778175E-2</v>
      </c>
      <c r="Z474" s="76">
        <v>-3.7402051862024388E-2</v>
      </c>
      <c r="AA474" s="76">
        <v>0.14035087719298245</v>
      </c>
      <c r="AB474" s="76">
        <v>0.22817510231034976</v>
      </c>
      <c r="AC474" s="76">
        <v>7.7015089718306839E-2</v>
      </c>
      <c r="AD474" s="142">
        <v>-0.20455240775867348</v>
      </c>
      <c r="AE474" s="142">
        <v>-3.9108110087324462E-2</v>
      </c>
      <c r="AF474" s="142">
        <v>0.17318638874575329</v>
      </c>
    </row>
    <row r="475" spans="1:32" x14ac:dyDescent="0.35">
      <c r="A475" t="s">
        <v>89</v>
      </c>
      <c r="B475" t="s">
        <v>631</v>
      </c>
      <c r="C475" s="31">
        <v>28</v>
      </c>
      <c r="D475" s="31">
        <v>72</v>
      </c>
      <c r="E475" s="72">
        <v>37</v>
      </c>
      <c r="F475" s="31">
        <v>122</v>
      </c>
      <c r="G475" s="73">
        <v>8467.0500000000029</v>
      </c>
      <c r="H475" s="31">
        <v>25263.739999999994</v>
      </c>
      <c r="I475" s="72">
        <v>3066.5800000000008</v>
      </c>
      <c r="J475" s="72">
        <v>8177.8899999999958</v>
      </c>
      <c r="K475" s="31">
        <v>1245.5714285714287</v>
      </c>
      <c r="L475" s="31">
        <v>5665.7142857142853</v>
      </c>
      <c r="M475" s="74">
        <v>33.664092664092664</v>
      </c>
      <c r="N475" s="74">
        <v>47.395784543325533</v>
      </c>
      <c r="O475" s="75">
        <v>228.83918918918926</v>
      </c>
      <c r="P475" s="75">
        <v>207.07983606557372</v>
      </c>
      <c r="Q475" s="76">
        <v>0.36217809036205051</v>
      </c>
      <c r="R475" s="76">
        <v>0.32370068722999834</v>
      </c>
      <c r="S475" s="31">
        <v>130.28571428571428</v>
      </c>
      <c r="T475" s="31"/>
      <c r="U475" s="76">
        <v>-0.78338376197680282</v>
      </c>
      <c r="V475" s="76">
        <v>-0.70491803278688525</v>
      </c>
      <c r="W475" s="76">
        <v>-0.673849160892251</v>
      </c>
      <c r="X475" s="76">
        <v>-0.63145505747815078</v>
      </c>
      <c r="Y475" s="76">
        <v>-1.8182498977141748E-2</v>
      </c>
      <c r="Z475" s="76">
        <v>-1.6025279313847118E-2</v>
      </c>
      <c r="AA475" s="76">
        <v>0.60869565217391308</v>
      </c>
      <c r="AB475" s="76">
        <v>0.57866622416294122</v>
      </c>
      <c r="AC475" s="76">
        <v>-1.8666941736550036E-2</v>
      </c>
      <c r="AD475" s="142"/>
      <c r="AE475" s="142"/>
      <c r="AF475" s="142"/>
    </row>
    <row r="476" spans="1:32" x14ac:dyDescent="0.35">
      <c r="A476" t="s">
        <v>89</v>
      </c>
      <c r="B476" t="s">
        <v>643</v>
      </c>
      <c r="C476" s="31">
        <v>14</v>
      </c>
      <c r="D476" s="31">
        <v>3</v>
      </c>
      <c r="E476" s="72">
        <v>17</v>
      </c>
      <c r="F476" s="31">
        <v>3</v>
      </c>
      <c r="G476" s="73">
        <v>7523.49</v>
      </c>
      <c r="H476" s="31">
        <v>1772.71</v>
      </c>
      <c r="I476" s="72">
        <v>-1641.2399999999998</v>
      </c>
      <c r="J476" s="72">
        <v>700.15999999999985</v>
      </c>
      <c r="K476" s="31">
        <v>224.57142857142858</v>
      </c>
      <c r="L476" s="31">
        <v>298.85714285714283</v>
      </c>
      <c r="M476" s="74">
        <v>13.210084033613446</v>
      </c>
      <c r="N476" s="74">
        <v>61.371428571428567</v>
      </c>
      <c r="O476" s="75">
        <v>442.55823529411765</v>
      </c>
      <c r="P476" s="75">
        <v>590.90333333333331</v>
      </c>
      <c r="Q476" s="76">
        <v>-0.21814875808966316</v>
      </c>
      <c r="R476" s="76">
        <v>0.22324181447743058</v>
      </c>
      <c r="S476" s="31">
        <v>1477.2857142857142</v>
      </c>
      <c r="T476" s="31"/>
      <c r="U476" s="76">
        <v>-0.2997131931166348</v>
      </c>
      <c r="V476" s="76">
        <v>4.666666666666667</v>
      </c>
      <c r="W476" s="76">
        <v>3.2440613523926638</v>
      </c>
      <c r="X476" s="76">
        <v>-8.6294161398289368</v>
      </c>
      <c r="Y476" s="76">
        <v>-9.277282991751401E-2</v>
      </c>
      <c r="Z476" s="76">
        <v>-8.6046511627906996E-2</v>
      </c>
      <c r="AA476" s="76">
        <v>-0.10526315789473684</v>
      </c>
      <c r="AB476" s="76">
        <v>-5.4497035991620146E-2</v>
      </c>
      <c r="AC476" s="76">
        <v>5.6738606832895222E-2</v>
      </c>
      <c r="AD476" s="142"/>
      <c r="AE476" s="142"/>
      <c r="AF476" s="142"/>
    </row>
    <row r="477" spans="1:32" x14ac:dyDescent="0.35">
      <c r="A477" t="s">
        <v>89</v>
      </c>
      <c r="B477" t="s">
        <v>632</v>
      </c>
      <c r="C477" s="31">
        <v>35</v>
      </c>
      <c r="D477" s="31">
        <v>121</v>
      </c>
      <c r="E477" s="72">
        <v>41</v>
      </c>
      <c r="F477" s="31">
        <v>150</v>
      </c>
      <c r="G477" s="73">
        <v>4246.8299999999972</v>
      </c>
      <c r="H477" s="31">
        <v>24809.720000000008</v>
      </c>
      <c r="I477" s="72">
        <v>-1727.12</v>
      </c>
      <c r="J477" s="72">
        <v>2639.7099999999773</v>
      </c>
      <c r="K477" s="31">
        <v>784.28571428571433</v>
      </c>
      <c r="L477" s="31">
        <v>8887</v>
      </c>
      <c r="M477" s="74">
        <v>19.128919860627178</v>
      </c>
      <c r="N477" s="74">
        <v>59.3330241187384</v>
      </c>
      <c r="O477" s="75">
        <v>103.58121951219505</v>
      </c>
      <c r="P477" s="75">
        <v>165.39813333333339</v>
      </c>
      <c r="Q477" s="76">
        <v>-0.40668451527374561</v>
      </c>
      <c r="R477" s="76">
        <v>0.10355255673459689</v>
      </c>
      <c r="S477" s="31">
        <v>125.42857142857143</v>
      </c>
      <c r="T477" s="31"/>
      <c r="U477" s="76">
        <v>-0.91170087929399279</v>
      </c>
      <c r="V477" s="76">
        <v>-0.72666666666666668</v>
      </c>
      <c r="W477" s="76">
        <v>-0.82882394480872834</v>
      </c>
      <c r="X477" s="76">
        <v>-1.6217515110715977</v>
      </c>
      <c r="Y477" s="76">
        <v>-7.4818108573394548E-2</v>
      </c>
      <c r="Z477" s="76">
        <v>-6.5213689766729033E-2</v>
      </c>
      <c r="AA477" s="76">
        <v>-0.46052631578947367</v>
      </c>
      <c r="AB477" s="76">
        <v>-0.45979187098596097</v>
      </c>
      <c r="AC477" s="76">
        <v>1.3614098796819185E-3</v>
      </c>
      <c r="AD477" s="142"/>
      <c r="AE477" s="142"/>
      <c r="AF477" s="142"/>
    </row>
    <row r="478" spans="1:32" x14ac:dyDescent="0.35">
      <c r="A478" t="s">
        <v>89</v>
      </c>
      <c r="B478" t="s">
        <v>684</v>
      </c>
      <c r="C478" s="31">
        <v>3</v>
      </c>
      <c r="D478" s="31"/>
      <c r="E478" s="72">
        <v>24</v>
      </c>
      <c r="F478" s="31"/>
      <c r="G478" s="73">
        <v>3272.46</v>
      </c>
      <c r="H478" s="31"/>
      <c r="I478" s="72">
        <v>944.46</v>
      </c>
      <c r="J478" s="72"/>
      <c r="K478" s="31">
        <v>171.42857142857142</v>
      </c>
      <c r="L478" s="31">
        <v>6</v>
      </c>
      <c r="M478" s="74">
        <v>7.1428571428571423</v>
      </c>
      <c r="N478" s="74"/>
      <c r="O478" s="75">
        <v>136.35249999999999</v>
      </c>
      <c r="P478" s="75"/>
      <c r="Q478" s="76">
        <v>0.28860856969985882</v>
      </c>
      <c r="R478" s="76"/>
      <c r="S478" s="31">
        <v>1000</v>
      </c>
      <c r="T478" s="31"/>
      <c r="U478" s="76">
        <v>-0.33333333333333337</v>
      </c>
      <c r="V478" s="76"/>
      <c r="W478" s="76"/>
      <c r="X478" s="76"/>
      <c r="Y478" s="76">
        <v>-0.12917747121035739</v>
      </c>
      <c r="Z478" s="76">
        <v>-0.12663755458515291</v>
      </c>
      <c r="AA478" s="76">
        <v>1.1818181818181817</v>
      </c>
      <c r="AB478" s="76">
        <v>1.1818145451636131</v>
      </c>
      <c r="AC478" s="76">
        <v>-1.6668000109021364E-6</v>
      </c>
      <c r="AD478" s="142"/>
      <c r="AE478" s="142"/>
      <c r="AF478" s="142"/>
    </row>
    <row r="479" spans="1:32" x14ac:dyDescent="0.35">
      <c r="A479" t="s">
        <v>89</v>
      </c>
      <c r="B479" t="s">
        <v>635</v>
      </c>
      <c r="C479" s="31">
        <v>27</v>
      </c>
      <c r="D479" s="31">
        <v>120</v>
      </c>
      <c r="E479" s="72">
        <v>40</v>
      </c>
      <c r="F479" s="31">
        <v>180</v>
      </c>
      <c r="G479" s="73">
        <v>2908.8</v>
      </c>
      <c r="H479" s="31">
        <v>29290.070000000003</v>
      </c>
      <c r="I479" s="72">
        <v>-3160.5899999999992</v>
      </c>
      <c r="J479" s="72">
        <v>-272.88999999999214</v>
      </c>
      <c r="K479" s="31">
        <v>157.85714285714286</v>
      </c>
      <c r="L479" s="31">
        <v>5623.8571428571431</v>
      </c>
      <c r="M479" s="74">
        <v>3.9464285714285716</v>
      </c>
      <c r="N479" s="74">
        <v>31.720599842146804</v>
      </c>
      <c r="O479" s="75">
        <v>72.72</v>
      </c>
      <c r="P479" s="75">
        <v>162.72261111111112</v>
      </c>
      <c r="Q479" s="76">
        <v>-1.0865614686468643</v>
      </c>
      <c r="R479" s="76">
        <v>-9.2966102070229668E-3</v>
      </c>
      <c r="S479" s="31">
        <v>88.285714285714292</v>
      </c>
      <c r="T479" s="31"/>
      <c r="U479" s="76">
        <v>-0.97307389437854042</v>
      </c>
      <c r="V479" s="76">
        <v>-0.77777777777777779</v>
      </c>
      <c r="W479" s="76">
        <v>-0.90068989251305986</v>
      </c>
      <c r="X479" s="76">
        <v>10.108108108108441</v>
      </c>
      <c r="Y479" s="76">
        <v>-0.31119511784421772</v>
      </c>
      <c r="Z479" s="76">
        <v>-0.27824951012410193</v>
      </c>
      <c r="AA479" s="76">
        <v>0.4285714285714286</v>
      </c>
      <c r="AB479" s="76">
        <v>0.49256488408608101</v>
      </c>
      <c r="AC479" s="76">
        <v>4.4795418860256619E-2</v>
      </c>
      <c r="AD479" s="142"/>
      <c r="AE479" s="142"/>
      <c r="AF479" s="142"/>
    </row>
    <row r="480" spans="1:32" x14ac:dyDescent="0.35">
      <c r="A480" t="s">
        <v>89</v>
      </c>
      <c r="B480" t="s">
        <v>640</v>
      </c>
      <c r="C480" s="31">
        <v>5</v>
      </c>
      <c r="D480" s="31">
        <v>8</v>
      </c>
      <c r="E480" s="72">
        <v>7</v>
      </c>
      <c r="F480" s="31">
        <v>9</v>
      </c>
      <c r="G480" s="73">
        <v>2848.37</v>
      </c>
      <c r="H480" s="31">
        <v>3256.26</v>
      </c>
      <c r="I480" s="72">
        <v>441.13000000000011</v>
      </c>
      <c r="J480" s="72">
        <v>1609.0600000000004</v>
      </c>
      <c r="K480" s="31">
        <v>95</v>
      </c>
      <c r="L480" s="31">
        <v>353.57142857142856</v>
      </c>
      <c r="M480" s="74">
        <v>13.571428571428571</v>
      </c>
      <c r="N480" s="74">
        <v>36.442857142857143</v>
      </c>
      <c r="O480" s="75">
        <v>406.90999999999997</v>
      </c>
      <c r="P480" s="75">
        <v>361.80666666666667</v>
      </c>
      <c r="Q480" s="76">
        <v>0.15487103150222764</v>
      </c>
      <c r="R480" s="76">
        <v>0.44450399182297856</v>
      </c>
      <c r="S480" s="31">
        <v>26.428571428571427</v>
      </c>
      <c r="T480" s="31"/>
      <c r="U480" s="76">
        <v>-0.73131313131313136</v>
      </c>
      <c r="V480" s="76">
        <v>-0.22222222222222221</v>
      </c>
      <c r="W480" s="76">
        <v>-0.12526333892256769</v>
      </c>
      <c r="X480" s="76">
        <v>-0.70501263858982754</v>
      </c>
      <c r="Y480" s="76">
        <v>4.2842862060215481E-2</v>
      </c>
      <c r="Z480" s="76">
        <v>-1.7725258493352936E-2</v>
      </c>
      <c r="AA480" s="76">
        <v>-0.125</v>
      </c>
      <c r="AB480" s="76">
        <v>-0.31136915295869727</v>
      </c>
      <c r="AC480" s="76">
        <v>-0.21299331766708274</v>
      </c>
      <c r="AD480" s="142"/>
      <c r="AE480" s="142"/>
      <c r="AF480" s="142"/>
    </row>
    <row r="481" spans="1:32" x14ac:dyDescent="0.35">
      <c r="A481" t="s">
        <v>89</v>
      </c>
      <c r="B481" t="s">
        <v>648</v>
      </c>
      <c r="C481" s="31">
        <v>1</v>
      </c>
      <c r="D481" s="31"/>
      <c r="E481" s="72">
        <v>1</v>
      </c>
      <c r="F481" s="31"/>
      <c r="G481" s="73">
        <v>2272.7199999999998</v>
      </c>
      <c r="H481" s="31"/>
      <c r="I481" s="72">
        <v>431.01</v>
      </c>
      <c r="J481" s="72"/>
      <c r="K481" s="31">
        <v>17.142857142857142</v>
      </c>
      <c r="L481" s="31">
        <v>28</v>
      </c>
      <c r="M481" s="74">
        <v>17.142857142857142</v>
      </c>
      <c r="N481" s="74"/>
      <c r="O481" s="75">
        <v>2272.7199999999998</v>
      </c>
      <c r="P481" s="75"/>
      <c r="Q481" s="76">
        <v>0.18964500686402197</v>
      </c>
      <c r="R481" s="76"/>
      <c r="S481" s="31">
        <v>2</v>
      </c>
      <c r="T481" s="31"/>
      <c r="U481" s="76">
        <v>-0.43877551020408168</v>
      </c>
      <c r="V481" s="76"/>
      <c r="W481" s="76"/>
      <c r="X481" s="76"/>
      <c r="Y481" s="76">
        <v>-8.9493276594016513E-2</v>
      </c>
      <c r="Z481" s="76">
        <v>-9.7744360902255689E-2</v>
      </c>
      <c r="AA481" s="76">
        <v>-0.5</v>
      </c>
      <c r="AB481" s="76">
        <v>-0.45945920233652748</v>
      </c>
      <c r="AC481" s="76">
        <v>8.1081595326945033E-2</v>
      </c>
      <c r="AD481" s="142"/>
      <c r="AE481" s="142"/>
      <c r="AF481" s="142"/>
    </row>
    <row r="482" spans="1:32" x14ac:dyDescent="0.35">
      <c r="A482" t="s">
        <v>89</v>
      </c>
      <c r="B482" t="s">
        <v>629</v>
      </c>
      <c r="C482" s="31">
        <v>26</v>
      </c>
      <c r="D482" s="31">
        <v>307</v>
      </c>
      <c r="E482" s="72">
        <v>32</v>
      </c>
      <c r="F482" s="31">
        <v>534</v>
      </c>
      <c r="G482" s="73">
        <v>1936.8800000000006</v>
      </c>
      <c r="H482" s="31">
        <v>68252.130000000048</v>
      </c>
      <c r="I482" s="72">
        <v>-617.96</v>
      </c>
      <c r="J482" s="72">
        <v>13999.060000000027</v>
      </c>
      <c r="K482" s="31">
        <v>938.57142857142856</v>
      </c>
      <c r="L482" s="31">
        <v>7600.2857142857147</v>
      </c>
      <c r="M482" s="74">
        <v>29.330357142857142</v>
      </c>
      <c r="N482" s="74">
        <v>13.870106761565836</v>
      </c>
      <c r="O482" s="75">
        <v>60.527500000000018</v>
      </c>
      <c r="P482" s="75">
        <v>127.81297752808997</v>
      </c>
      <c r="Q482" s="76">
        <v>-0.31904919251579855</v>
      </c>
      <c r="R482" s="76">
        <v>0.19416010407680404</v>
      </c>
      <c r="S482" s="31">
        <v>854.28571428571433</v>
      </c>
      <c r="T482" s="31"/>
      <c r="U482" s="76">
        <v>-0.87872636367053869</v>
      </c>
      <c r="V482" s="76">
        <v>-0.94194756554307113</v>
      </c>
      <c r="W482" s="76">
        <v>-0.97247397260715529</v>
      </c>
      <c r="X482" s="76">
        <v>-1.0427296421495733</v>
      </c>
      <c r="Y482" s="76">
        <v>-9.7543349088265785E-2</v>
      </c>
      <c r="Z482" s="76">
        <v>-6.8613552594272709E-2</v>
      </c>
      <c r="AA482" s="76">
        <v>-0.41818181818181821</v>
      </c>
      <c r="AB482" s="76">
        <v>-0.47481846627729773</v>
      </c>
      <c r="AC482" s="76">
        <v>-9.7344238914105374E-2</v>
      </c>
      <c r="AD482" s="142"/>
      <c r="AE482" s="142"/>
      <c r="AF482" s="142"/>
    </row>
    <row r="483" spans="1:32" x14ac:dyDescent="0.35">
      <c r="A483" t="s">
        <v>89</v>
      </c>
      <c r="B483" t="s">
        <v>633</v>
      </c>
      <c r="C483" s="31">
        <v>17</v>
      </c>
      <c r="D483" s="31">
        <v>417</v>
      </c>
      <c r="E483" s="72">
        <v>23</v>
      </c>
      <c r="F483" s="31">
        <v>881</v>
      </c>
      <c r="G483" s="73">
        <v>1672.5500000000004</v>
      </c>
      <c r="H483" s="31">
        <v>81400.850000000646</v>
      </c>
      <c r="I483" s="72">
        <v>-2812.3800000000006</v>
      </c>
      <c r="J483" s="72">
        <v>-86423.009999999456</v>
      </c>
      <c r="K483" s="31">
        <v>36.571428571428569</v>
      </c>
      <c r="L483" s="31">
        <v>3836.1428571428573</v>
      </c>
      <c r="M483" s="74">
        <v>1.5900621118012421</v>
      </c>
      <c r="N483" s="74">
        <v>4.4099237879033568</v>
      </c>
      <c r="O483" s="75">
        <v>72.71956521739132</v>
      </c>
      <c r="P483" s="75">
        <v>92.395970488082455</v>
      </c>
      <c r="Q483" s="76">
        <v>-1.6814923320678006</v>
      </c>
      <c r="R483" s="76">
        <v>-1.0616966530447627</v>
      </c>
      <c r="S483" s="31">
        <v>47.857142857142854</v>
      </c>
      <c r="T483" s="31"/>
      <c r="U483" s="76">
        <v>-0.99046661453096485</v>
      </c>
      <c r="V483" s="76">
        <v>-0.97389330306469923</v>
      </c>
      <c r="W483" s="76">
        <v>-0.97945291726069217</v>
      </c>
      <c r="X483" s="76">
        <v>-0.96745797213033868</v>
      </c>
      <c r="Y483" s="76">
        <v>-0.56310408655154176</v>
      </c>
      <c r="Z483" s="76">
        <v>-0.53539019963702361</v>
      </c>
      <c r="AA483" s="76">
        <v>-0.48888888888888893</v>
      </c>
      <c r="AB483" s="76">
        <v>-0.48980245497584063</v>
      </c>
      <c r="AC483" s="76">
        <v>-1.7874119092534668E-3</v>
      </c>
      <c r="AD483" s="142"/>
      <c r="AE483" s="142"/>
      <c r="AF483" s="142"/>
    </row>
    <row r="484" spans="1:32" x14ac:dyDescent="0.35">
      <c r="A484" t="s">
        <v>89</v>
      </c>
      <c r="B484" t="s">
        <v>638</v>
      </c>
      <c r="C484" s="31">
        <v>8</v>
      </c>
      <c r="D484" s="31">
        <v>30</v>
      </c>
      <c r="E484" s="72">
        <v>11</v>
      </c>
      <c r="F484" s="31">
        <v>864</v>
      </c>
      <c r="G484" s="73">
        <v>1636.3100000000002</v>
      </c>
      <c r="H484" s="31">
        <v>170888.18000000002</v>
      </c>
      <c r="I484" s="72">
        <v>144.29000000000002</v>
      </c>
      <c r="J484" s="72">
        <v>51526.330000000031</v>
      </c>
      <c r="K484" s="31">
        <v>791.57142857142856</v>
      </c>
      <c r="L484" s="31">
        <v>2992.1428571428573</v>
      </c>
      <c r="M484" s="74">
        <v>71.961038961038966</v>
      </c>
      <c r="N484" s="74">
        <v>3.4632936507936507</v>
      </c>
      <c r="O484" s="75">
        <v>148.75545454545457</v>
      </c>
      <c r="P484" s="75">
        <v>197.78724537037039</v>
      </c>
      <c r="Q484" s="76">
        <v>8.8180112570356475E-2</v>
      </c>
      <c r="R484" s="76">
        <v>0.30152073712763527</v>
      </c>
      <c r="S484" s="31">
        <v>366</v>
      </c>
      <c r="T484" s="31"/>
      <c r="U484" s="76">
        <v>-0.73578419670565776</v>
      </c>
      <c r="V484" s="76">
        <v>-0.98726851851851849</v>
      </c>
      <c r="W484" s="76">
        <v>-0.99042467419338187</v>
      </c>
      <c r="X484" s="76">
        <v>-0.99719968412266113</v>
      </c>
      <c r="Y484" s="76">
        <v>-1.1041891201514775E-2</v>
      </c>
      <c r="Z484" s="76">
        <v>-1.0358992677263812E-2</v>
      </c>
      <c r="AA484" s="76">
        <v>-0.26666666666666672</v>
      </c>
      <c r="AB484" s="76">
        <v>-0.24781189666268255</v>
      </c>
      <c r="AC484" s="76">
        <v>2.5711050005432945E-2</v>
      </c>
      <c r="AD484" s="142"/>
      <c r="AE484" s="142"/>
      <c r="AF484" s="142"/>
    </row>
    <row r="485" spans="1:32" x14ac:dyDescent="0.35">
      <c r="A485" t="s">
        <v>89</v>
      </c>
      <c r="B485" t="s">
        <v>641</v>
      </c>
      <c r="C485" s="31">
        <v>19</v>
      </c>
      <c r="D485" s="31">
        <v>46</v>
      </c>
      <c r="E485" s="72">
        <v>27</v>
      </c>
      <c r="F485" s="31">
        <v>91</v>
      </c>
      <c r="G485" s="73">
        <v>1574.8300000000002</v>
      </c>
      <c r="H485" s="31">
        <v>6873.08</v>
      </c>
      <c r="I485" s="72">
        <v>553.78</v>
      </c>
      <c r="J485" s="72">
        <v>2511.8200000000006</v>
      </c>
      <c r="K485" s="31">
        <v>422.85714285714283</v>
      </c>
      <c r="L485" s="31">
        <v>5206.1428571428569</v>
      </c>
      <c r="M485" s="74">
        <v>15.66137566137566</v>
      </c>
      <c r="N485" s="74">
        <v>58.067503924646779</v>
      </c>
      <c r="O485" s="75">
        <v>58.327037037037044</v>
      </c>
      <c r="P485" s="75">
        <v>75.528351648351645</v>
      </c>
      <c r="Q485" s="76">
        <v>0.35164430446460881</v>
      </c>
      <c r="R485" s="76">
        <v>0.36545769873186412</v>
      </c>
      <c r="S485" s="31">
        <v>84.428571428571431</v>
      </c>
      <c r="T485" s="31"/>
      <c r="U485" s="76">
        <v>-0.92492385368932306</v>
      </c>
      <c r="V485" s="76">
        <v>-0.70329670329670324</v>
      </c>
      <c r="W485" s="76">
        <v>-0.77086982837388773</v>
      </c>
      <c r="X485" s="76">
        <v>-0.77953038036165012</v>
      </c>
      <c r="Y485" s="76">
        <v>7.4086719051895678E-3</v>
      </c>
      <c r="Z485" s="76">
        <v>-2.791461412151075E-2</v>
      </c>
      <c r="AA485" s="76">
        <v>1.0769230769230771</v>
      </c>
      <c r="AB485" s="76">
        <v>1.4230017693668744</v>
      </c>
      <c r="AC485" s="76">
        <v>0.16663048154701365</v>
      </c>
      <c r="AD485" s="142"/>
      <c r="AE485" s="142"/>
      <c r="AF485" s="142"/>
    </row>
    <row r="486" spans="1:32" x14ac:dyDescent="0.35">
      <c r="A486" t="s">
        <v>89</v>
      </c>
      <c r="B486" t="s">
        <v>645</v>
      </c>
      <c r="C486" s="31">
        <v>26</v>
      </c>
      <c r="D486" s="31">
        <v>34</v>
      </c>
      <c r="E486" s="72">
        <v>32</v>
      </c>
      <c r="F486" s="31">
        <v>59</v>
      </c>
      <c r="G486" s="73">
        <v>1456.6500000000008</v>
      </c>
      <c r="H486" s="31">
        <v>3030.6899999999991</v>
      </c>
      <c r="I486" s="72">
        <v>404.72000000000008</v>
      </c>
      <c r="J486" s="72">
        <v>1103.9799999999996</v>
      </c>
      <c r="K486" s="31">
        <v>1089</v>
      </c>
      <c r="L486" s="31">
        <v>6344.5714285714284</v>
      </c>
      <c r="M486" s="74">
        <v>34.03125</v>
      </c>
      <c r="N486" s="74">
        <v>104.87074829931973</v>
      </c>
      <c r="O486" s="75">
        <v>45.520312500000024</v>
      </c>
      <c r="P486" s="75">
        <v>51.367627118644052</v>
      </c>
      <c r="Q486" s="76">
        <v>0.277842995915285</v>
      </c>
      <c r="R486" s="76">
        <v>0.34918727088123935</v>
      </c>
      <c r="S486" s="31">
        <v>331.28571428571428</v>
      </c>
      <c r="T486" s="31"/>
      <c r="U486" s="76">
        <v>-0.83830946591011435</v>
      </c>
      <c r="V486" s="76">
        <v>-0.4576271186440678</v>
      </c>
      <c r="W486" s="76">
        <v>-0.51936687684982585</v>
      </c>
      <c r="X486" s="76">
        <v>-0.6193987041199196</v>
      </c>
      <c r="Y486" s="76">
        <v>-1.4580205598335727E-3</v>
      </c>
      <c r="Z486" s="76">
        <v>-3.1384856806589978E-3</v>
      </c>
      <c r="AA486" s="76">
        <v>3.2258064516129004E-2</v>
      </c>
      <c r="AB486" s="76">
        <v>1.5676891024984929E-3</v>
      </c>
      <c r="AC486" s="76">
        <v>-2.973130118195455E-2</v>
      </c>
      <c r="AD486" s="142"/>
      <c r="AE486" s="142"/>
      <c r="AF486" s="142"/>
    </row>
    <row r="487" spans="1:32" x14ac:dyDescent="0.35">
      <c r="A487" t="s">
        <v>89</v>
      </c>
      <c r="B487" t="s">
        <v>672</v>
      </c>
      <c r="C487" s="31">
        <v>10</v>
      </c>
      <c r="D487" s="31"/>
      <c r="E487" s="72">
        <v>30</v>
      </c>
      <c r="F487" s="31"/>
      <c r="G487" s="73">
        <v>1336.1000000000001</v>
      </c>
      <c r="H487" s="31"/>
      <c r="I487" s="72">
        <v>541.09999999999991</v>
      </c>
      <c r="J487" s="72"/>
      <c r="K487" s="31">
        <v>376.71428571428572</v>
      </c>
      <c r="L487" s="31">
        <v>4</v>
      </c>
      <c r="M487" s="74">
        <v>12.557142857142857</v>
      </c>
      <c r="N487" s="74"/>
      <c r="O487" s="75">
        <v>44.536666666666669</v>
      </c>
      <c r="P487" s="75"/>
      <c r="Q487" s="76">
        <v>0.40498465683706297</v>
      </c>
      <c r="R487" s="76"/>
      <c r="S487" s="31"/>
      <c r="T487" s="31"/>
      <c r="U487" s="76">
        <v>-0.5</v>
      </c>
      <c r="V487" s="76"/>
      <c r="W487" s="76"/>
      <c r="X487" s="76"/>
      <c r="Y487" s="76">
        <v>-7.0345176249782426E-2</v>
      </c>
      <c r="Z487" s="76">
        <v>-7.016925246826522E-2</v>
      </c>
      <c r="AA487" s="76">
        <v>-0.1428571428571429</v>
      </c>
      <c r="AB487" s="76">
        <v>-0.15998667144482792</v>
      </c>
      <c r="AC487" s="76">
        <v>-1.9984450018965982E-2</v>
      </c>
      <c r="AD487" s="142"/>
      <c r="AE487" s="142"/>
      <c r="AF487" s="142"/>
    </row>
    <row r="488" spans="1:32" x14ac:dyDescent="0.35">
      <c r="A488" t="s">
        <v>89</v>
      </c>
      <c r="B488" t="s">
        <v>791</v>
      </c>
      <c r="C488" s="31">
        <v>7</v>
      </c>
      <c r="D488" s="31"/>
      <c r="E488" s="72">
        <v>10</v>
      </c>
      <c r="F488" s="31"/>
      <c r="G488" s="73">
        <v>794.8</v>
      </c>
      <c r="H488" s="31"/>
      <c r="I488" s="72">
        <v>244.8</v>
      </c>
      <c r="J488" s="72"/>
      <c r="K488" s="31">
        <v>899.28571428571433</v>
      </c>
      <c r="L488" s="31"/>
      <c r="M488" s="74">
        <v>89.928571428571431</v>
      </c>
      <c r="N488" s="74"/>
      <c r="O488" s="75">
        <v>79.47999999999999</v>
      </c>
      <c r="P488" s="75"/>
      <c r="Q488" s="76">
        <v>0.30800201308505287</v>
      </c>
      <c r="R488" s="76"/>
      <c r="S488" s="31"/>
      <c r="T488" s="31"/>
      <c r="U488" s="76"/>
      <c r="V488" s="76"/>
      <c r="W488" s="76"/>
      <c r="X488" s="76"/>
      <c r="Y488" s="76">
        <v>-1.1040101545319092E-2</v>
      </c>
      <c r="Z488" s="76">
        <v>-1.0686782964010599E-2</v>
      </c>
      <c r="AA488" s="76">
        <v>0.11111111111111116</v>
      </c>
      <c r="AB488" s="76">
        <v>-2.8468750381987595E-2</v>
      </c>
      <c r="AC488" s="76">
        <v>-0.12562187534378888</v>
      </c>
      <c r="AD488" s="142"/>
      <c r="AE488" s="142"/>
      <c r="AF488" s="142"/>
    </row>
    <row r="489" spans="1:32" x14ac:dyDescent="0.35">
      <c r="A489" t="s">
        <v>89</v>
      </c>
      <c r="B489" t="s">
        <v>636</v>
      </c>
      <c r="C489" s="31">
        <v>22</v>
      </c>
      <c r="D489" s="31">
        <v>353</v>
      </c>
      <c r="E489" s="72">
        <v>35</v>
      </c>
      <c r="F489" s="31">
        <v>764</v>
      </c>
      <c r="G489" s="73">
        <v>695.03000000000031</v>
      </c>
      <c r="H489" s="31">
        <v>13442.969999999978</v>
      </c>
      <c r="I489" s="72">
        <v>223.19</v>
      </c>
      <c r="J489" s="72">
        <v>-3068.1500000000233</v>
      </c>
      <c r="K489" s="31">
        <v>177.57142857142858</v>
      </c>
      <c r="L489" s="31">
        <v>13978.571428571429</v>
      </c>
      <c r="M489" s="74">
        <v>5.073469387755102</v>
      </c>
      <c r="N489" s="74">
        <v>17.896333754740834</v>
      </c>
      <c r="O489" s="75">
        <v>19.858000000000008</v>
      </c>
      <c r="P489" s="75">
        <v>17.595510471204157</v>
      </c>
      <c r="Q489" s="76">
        <v>0.32112282923039276</v>
      </c>
      <c r="R489" s="76">
        <v>-0.2210084638933931</v>
      </c>
      <c r="S489" s="31">
        <v>922</v>
      </c>
      <c r="T489" s="31"/>
      <c r="U489" s="76">
        <v>-0.98722534491568725</v>
      </c>
      <c r="V489" s="76">
        <v>-0.95418848167539272</v>
      </c>
      <c r="W489" s="76">
        <v>-0.94829788357781042</v>
      </c>
      <c r="X489" s="76">
        <v>-1.081804620408821</v>
      </c>
      <c r="Y489" s="76">
        <v>-0.11539096677146821</v>
      </c>
      <c r="Z489" s="76">
        <v>-0.14452856159669647</v>
      </c>
      <c r="AA489" s="76">
        <v>0.66666666666666674</v>
      </c>
      <c r="AB489" s="76">
        <v>0.71193871770240724</v>
      </c>
      <c r="AC489" s="76">
        <v>2.7163230621444212E-2</v>
      </c>
      <c r="AD489" s="142"/>
      <c r="AE489" s="142"/>
      <c r="AF489" s="142"/>
    </row>
    <row r="490" spans="1:32" x14ac:dyDescent="0.35">
      <c r="A490" t="s">
        <v>89</v>
      </c>
      <c r="B490" t="s">
        <v>650</v>
      </c>
      <c r="C490" s="31">
        <v>3</v>
      </c>
      <c r="D490" s="31">
        <v>4</v>
      </c>
      <c r="E490" s="72">
        <v>4</v>
      </c>
      <c r="F490" s="31">
        <v>4</v>
      </c>
      <c r="G490" s="73">
        <v>565.78000000000009</v>
      </c>
      <c r="H490" s="31">
        <v>569.79000000000008</v>
      </c>
      <c r="I490" s="72">
        <v>261.28000000000003</v>
      </c>
      <c r="J490" s="72">
        <v>71.290000000000077</v>
      </c>
      <c r="K490" s="31">
        <v>53.285714285714285</v>
      </c>
      <c r="L490" s="31">
        <v>149.85714285714286</v>
      </c>
      <c r="M490" s="74">
        <v>13.321428571428571</v>
      </c>
      <c r="N490" s="74">
        <v>37.464285714285715</v>
      </c>
      <c r="O490" s="75">
        <v>141.44500000000002</v>
      </c>
      <c r="P490" s="75">
        <v>142.44750000000002</v>
      </c>
      <c r="Q490" s="76">
        <v>0.46180494185018911</v>
      </c>
      <c r="R490" s="76">
        <v>0.12511627090682545</v>
      </c>
      <c r="S490" s="31">
        <v>55</v>
      </c>
      <c r="T490" s="31"/>
      <c r="U490" s="76">
        <v>-0.67778836987607249</v>
      </c>
      <c r="V490" s="76">
        <v>0</v>
      </c>
      <c r="W490" s="76">
        <v>-7.0376805489741345E-3</v>
      </c>
      <c r="X490" s="76">
        <v>2.6650301585075016</v>
      </c>
      <c r="Y490" s="76">
        <v>-0.17672740137508092</v>
      </c>
      <c r="Z490" s="76">
        <v>-0.24949698189134806</v>
      </c>
      <c r="AA490" s="76">
        <v>-0.75</v>
      </c>
      <c r="AB490" s="76">
        <v>-0.65707809052779587</v>
      </c>
      <c r="AC490" s="76">
        <v>0.37168763788881654</v>
      </c>
      <c r="AD490" s="142"/>
      <c r="AE490" s="142"/>
      <c r="AF490" s="142"/>
    </row>
    <row r="491" spans="1:32" x14ac:dyDescent="0.35">
      <c r="A491" t="s">
        <v>89</v>
      </c>
      <c r="B491" t="s">
        <v>664</v>
      </c>
      <c r="C491" s="31">
        <v>2</v>
      </c>
      <c r="D491" s="31">
        <v>2</v>
      </c>
      <c r="E491" s="72">
        <v>10</v>
      </c>
      <c r="F491" s="31">
        <v>2</v>
      </c>
      <c r="G491" s="73">
        <v>545.36</v>
      </c>
      <c r="H491" s="31">
        <v>120.9</v>
      </c>
      <c r="I491" s="72">
        <v>190.36</v>
      </c>
      <c r="J491" s="72">
        <v>34.300000000000011</v>
      </c>
      <c r="K491" s="31">
        <v>8.1428571428571423</v>
      </c>
      <c r="L491" s="31">
        <v>38</v>
      </c>
      <c r="M491" s="74">
        <v>0.81428571428571428</v>
      </c>
      <c r="N491" s="74">
        <v>19</v>
      </c>
      <c r="O491" s="75">
        <v>54.536000000000001</v>
      </c>
      <c r="P491" s="75">
        <v>60.45</v>
      </c>
      <c r="Q491" s="76">
        <v>0.34905383599823969</v>
      </c>
      <c r="R491" s="76">
        <v>0.28370554177005797</v>
      </c>
      <c r="S491" s="31">
        <v>4</v>
      </c>
      <c r="T491" s="31"/>
      <c r="U491" s="76">
        <v>-0.7857142857142857</v>
      </c>
      <c r="V491" s="76">
        <v>4</v>
      </c>
      <c r="W491" s="76">
        <v>3.5108354011579817</v>
      </c>
      <c r="X491" s="76">
        <v>4.5498542274052465</v>
      </c>
      <c r="Y491" s="76">
        <v>-7.5354807136183588E-2</v>
      </c>
      <c r="Z491" s="76">
        <v>-9.5238095238095344E-2</v>
      </c>
      <c r="AA491" s="76"/>
      <c r="AB491" s="76"/>
      <c r="AC491" s="76"/>
      <c r="AD491" s="142"/>
      <c r="AE491" s="142"/>
      <c r="AF491" s="142"/>
    </row>
    <row r="492" spans="1:32" x14ac:dyDescent="0.35">
      <c r="A492" t="s">
        <v>89</v>
      </c>
      <c r="B492" t="s">
        <v>642</v>
      </c>
      <c r="C492" s="31">
        <v>2</v>
      </c>
      <c r="D492" s="31">
        <v>17</v>
      </c>
      <c r="E492" s="72">
        <v>2</v>
      </c>
      <c r="F492" s="31">
        <v>24</v>
      </c>
      <c r="G492" s="73">
        <v>518.16999999999996</v>
      </c>
      <c r="H492" s="31">
        <v>7590.5799999999981</v>
      </c>
      <c r="I492" s="72">
        <v>8.2600000000000051</v>
      </c>
      <c r="J492" s="72">
        <v>1943.1499999999978</v>
      </c>
      <c r="K492" s="31">
        <v>147.14285714285714</v>
      </c>
      <c r="L492" s="31">
        <v>656.71428571428567</v>
      </c>
      <c r="M492" s="74">
        <v>73.571428571428569</v>
      </c>
      <c r="N492" s="74">
        <v>28.24404761904762</v>
      </c>
      <c r="O492" s="75">
        <v>259.08499999999998</v>
      </c>
      <c r="P492" s="75">
        <v>316.27416666666659</v>
      </c>
      <c r="Q492" s="76">
        <v>1.5940714437346827E-2</v>
      </c>
      <c r="R492" s="76">
        <v>0.2559949305586659</v>
      </c>
      <c r="S492" s="31">
        <v>13.857142857142858</v>
      </c>
      <c r="T492" s="31"/>
      <c r="U492" s="76">
        <v>-0.7768109636719599</v>
      </c>
      <c r="V492" s="76">
        <v>-0.91666666666666663</v>
      </c>
      <c r="W492" s="76">
        <v>-0.93173512432515038</v>
      </c>
      <c r="X492" s="76">
        <v>-0.99574917016185061</v>
      </c>
      <c r="Y492" s="76">
        <v>7.6342904818715862E-3</v>
      </c>
      <c r="Z492" s="76">
        <v>9.8039215686274161E-3</v>
      </c>
      <c r="AA492" s="76">
        <v>-0.6</v>
      </c>
      <c r="AB492" s="76">
        <v>-0.67796525900375992</v>
      </c>
      <c r="AC492" s="76">
        <v>-0.19491314750940003</v>
      </c>
      <c r="AD492" s="142"/>
      <c r="AE492" s="142"/>
      <c r="AF492" s="142"/>
    </row>
    <row r="493" spans="1:32" x14ac:dyDescent="0.35">
      <c r="A493" t="s">
        <v>89</v>
      </c>
      <c r="B493" t="s">
        <v>637</v>
      </c>
      <c r="C493" s="31">
        <v>14</v>
      </c>
      <c r="D493" s="31">
        <v>235</v>
      </c>
      <c r="E493" s="72">
        <v>23</v>
      </c>
      <c r="F493" s="31">
        <v>500</v>
      </c>
      <c r="G493" s="73">
        <v>497.59999999999991</v>
      </c>
      <c r="H493" s="31">
        <v>9152.9499999999953</v>
      </c>
      <c r="I493" s="72">
        <v>-247.34000000000009</v>
      </c>
      <c r="J493" s="72">
        <v>2138.7099999999955</v>
      </c>
      <c r="K493" s="31">
        <v>121.14285714285714</v>
      </c>
      <c r="L493" s="31">
        <v>8232.8571428571431</v>
      </c>
      <c r="M493" s="74">
        <v>5.2670807453416151</v>
      </c>
      <c r="N493" s="74">
        <v>16.728828058169373</v>
      </c>
      <c r="O493" s="75">
        <v>21.634782608695648</v>
      </c>
      <c r="P493" s="75">
        <v>18.305899999999991</v>
      </c>
      <c r="Q493" s="76">
        <v>-0.49706591639871411</v>
      </c>
      <c r="R493" s="76">
        <v>0.23320077940401943</v>
      </c>
      <c r="S493" s="31">
        <v>675.85714285714289</v>
      </c>
      <c r="T493" s="31"/>
      <c r="U493" s="76">
        <v>-0.98492104806524383</v>
      </c>
      <c r="V493" s="76">
        <v>-0.95399999999999996</v>
      </c>
      <c r="W493" s="76">
        <v>-0.94563501384799431</v>
      </c>
      <c r="X493" s="76">
        <v>-1.1162421280195509</v>
      </c>
      <c r="Y493" s="76">
        <v>-0.60465114661055885</v>
      </c>
      <c r="Z493" s="76">
        <v>-0.16453201970443354</v>
      </c>
      <c r="AA493" s="76">
        <v>0.76923076923076916</v>
      </c>
      <c r="AB493" s="76">
        <v>1.1908158323427105</v>
      </c>
      <c r="AC493" s="76">
        <v>0.23828720958501015</v>
      </c>
      <c r="AD493" s="142"/>
      <c r="AE493" s="142"/>
      <c r="AF493" s="142"/>
    </row>
    <row r="494" spans="1:32" x14ac:dyDescent="0.35">
      <c r="A494" t="s">
        <v>89</v>
      </c>
      <c r="B494" t="s">
        <v>651</v>
      </c>
      <c r="C494" s="31">
        <v>6</v>
      </c>
      <c r="D494" s="31">
        <v>4</v>
      </c>
      <c r="E494" s="72">
        <v>7</v>
      </c>
      <c r="F494" s="31">
        <v>4</v>
      </c>
      <c r="G494" s="73">
        <v>407.20000000000005</v>
      </c>
      <c r="H494" s="31">
        <v>309.03999999999996</v>
      </c>
      <c r="I494" s="72">
        <v>36.200000000000003</v>
      </c>
      <c r="J494" s="72">
        <v>97.899999999999977</v>
      </c>
      <c r="K494" s="31">
        <v>98.571428571428569</v>
      </c>
      <c r="L494" s="31">
        <v>490</v>
      </c>
      <c r="M494" s="74">
        <v>14.081632653061224</v>
      </c>
      <c r="N494" s="74">
        <v>124.75</v>
      </c>
      <c r="O494" s="75">
        <v>58.171428571428578</v>
      </c>
      <c r="P494" s="75">
        <v>77.259999999999991</v>
      </c>
      <c r="Q494" s="76">
        <v>8.8899803536345773E-2</v>
      </c>
      <c r="R494" s="76">
        <v>0.31678747087755627</v>
      </c>
      <c r="S494" s="31"/>
      <c r="T494" s="31"/>
      <c r="U494" s="76">
        <v>-0.79883381924198249</v>
      </c>
      <c r="V494" s="76">
        <v>0.75</v>
      </c>
      <c r="W494" s="76">
        <v>0.31762878591768096</v>
      </c>
      <c r="X494" s="76">
        <v>-0.63023493360571958</v>
      </c>
      <c r="Y494" s="76">
        <v>-0.21074575188800582</v>
      </c>
      <c r="Z494" s="76">
        <v>-0.20871559633027525</v>
      </c>
      <c r="AA494" s="76">
        <v>-0.73076923076923084</v>
      </c>
      <c r="AB494" s="76">
        <v>-0.73076261884926141</v>
      </c>
      <c r="AC494" s="76">
        <v>2.4558559886145304E-5</v>
      </c>
      <c r="AD494" s="142"/>
      <c r="AE494" s="142"/>
      <c r="AF494" s="142"/>
    </row>
    <row r="495" spans="1:32" x14ac:dyDescent="0.35">
      <c r="A495" t="s">
        <v>89</v>
      </c>
      <c r="B495" t="s">
        <v>639</v>
      </c>
      <c r="C495" s="31">
        <v>8</v>
      </c>
      <c r="D495" s="31">
        <v>161</v>
      </c>
      <c r="E495" s="72">
        <v>10</v>
      </c>
      <c r="F495" s="31">
        <v>341</v>
      </c>
      <c r="G495" s="73">
        <v>288.09000000000003</v>
      </c>
      <c r="H495" s="31">
        <v>6800.2799999999988</v>
      </c>
      <c r="I495" s="72">
        <v>-1.92</v>
      </c>
      <c r="J495" s="72">
        <v>-2613.4200000000019</v>
      </c>
      <c r="K495" s="31">
        <v>33.857142857142854</v>
      </c>
      <c r="L495" s="31">
        <v>1979.2857142857142</v>
      </c>
      <c r="M495" s="74">
        <v>3.3857142857142852</v>
      </c>
      <c r="N495" s="74">
        <v>5.8131545873481354</v>
      </c>
      <c r="O495" s="75">
        <v>28.809000000000005</v>
      </c>
      <c r="P495" s="75">
        <v>19.942170087976535</v>
      </c>
      <c r="Q495" s="76">
        <v>-6.6645839841716122E-3</v>
      </c>
      <c r="R495" s="76">
        <v>-0.38431064603222254</v>
      </c>
      <c r="S495" s="31">
        <v>571</v>
      </c>
      <c r="T495" s="31"/>
      <c r="U495" s="76">
        <v>-0.98404907975460121</v>
      </c>
      <c r="V495" s="76">
        <v>-0.97360703812316718</v>
      </c>
      <c r="W495" s="76">
        <v>-0.96030751674931036</v>
      </c>
      <c r="X495" s="76">
        <v>-1.0037919660827574</v>
      </c>
      <c r="Y495" s="76">
        <v>-0.31643702644331895</v>
      </c>
      <c r="Z495" s="76">
        <v>-0.26168224299065423</v>
      </c>
      <c r="AA495" s="76">
        <v>0.25</v>
      </c>
      <c r="AB495" s="76">
        <v>0.35113966794859786</v>
      </c>
      <c r="AC495" s="76">
        <v>8.0911734358878329E-2</v>
      </c>
      <c r="AD495" s="142"/>
      <c r="AE495" s="142"/>
      <c r="AF495" s="142"/>
    </row>
    <row r="496" spans="1:32" x14ac:dyDescent="0.35">
      <c r="A496" t="s">
        <v>89</v>
      </c>
      <c r="B496" t="s">
        <v>634</v>
      </c>
      <c r="C496" s="31">
        <v>7</v>
      </c>
      <c r="D496" s="31">
        <v>323</v>
      </c>
      <c r="E496" s="72">
        <v>9</v>
      </c>
      <c r="F496" s="31">
        <v>1011</v>
      </c>
      <c r="G496" s="73">
        <v>219.75</v>
      </c>
      <c r="H496" s="31">
        <v>18740.52</v>
      </c>
      <c r="I496" s="72">
        <v>3.75</v>
      </c>
      <c r="J496" s="72">
        <v>-2299.3799999999901</v>
      </c>
      <c r="K496" s="31">
        <v>39.714285714285715</v>
      </c>
      <c r="L496" s="31">
        <v>5037.8571428571431</v>
      </c>
      <c r="M496" s="74">
        <v>4.412698412698413</v>
      </c>
      <c r="N496" s="74">
        <v>5.0330648579906745</v>
      </c>
      <c r="O496" s="75">
        <v>24.416666666666668</v>
      </c>
      <c r="P496" s="75">
        <v>18.536617210682493</v>
      </c>
      <c r="Q496" s="76">
        <v>1.7064846416382253E-2</v>
      </c>
      <c r="R496" s="76">
        <v>-0.12269563491301148</v>
      </c>
      <c r="S496" s="31">
        <v>1432.2857142857142</v>
      </c>
      <c r="T496" s="31"/>
      <c r="U496" s="76">
        <v>-0.99237204026655323</v>
      </c>
      <c r="V496" s="76">
        <v>-0.99208704253214641</v>
      </c>
      <c r="W496" s="76">
        <v>-0.99118434280372159</v>
      </c>
      <c r="X496" s="76">
        <v>-0.98508728439840298</v>
      </c>
      <c r="Y496" s="76">
        <v>-4.684814412378091E-2</v>
      </c>
      <c r="Z496" s="76">
        <v>-0.13395638629283479</v>
      </c>
      <c r="AA496" s="76">
        <v>0.8</v>
      </c>
      <c r="AB496" s="76">
        <v>1.418822234452394</v>
      </c>
      <c r="AC496" s="76">
        <v>0.34379013025132998</v>
      </c>
      <c r="AD496" s="142"/>
      <c r="AE496" s="142"/>
      <c r="AF496" s="142"/>
    </row>
    <row r="497" spans="1:32" x14ac:dyDescent="0.35">
      <c r="A497" t="s">
        <v>89</v>
      </c>
      <c r="B497" t="s">
        <v>797</v>
      </c>
      <c r="C497" s="31">
        <v>2</v>
      </c>
      <c r="D497" s="31"/>
      <c r="E497" s="72">
        <v>3</v>
      </c>
      <c r="F497" s="31"/>
      <c r="G497" s="73">
        <v>218.15</v>
      </c>
      <c r="H497" s="31"/>
      <c r="I497" s="72">
        <v>-6.85</v>
      </c>
      <c r="J497" s="72"/>
      <c r="K497" s="31">
        <v>872</v>
      </c>
      <c r="L497" s="31"/>
      <c r="M497" s="74">
        <v>290.66666666666669</v>
      </c>
      <c r="N497" s="74"/>
      <c r="O497" s="75">
        <v>72.716666666666669</v>
      </c>
      <c r="P497" s="75"/>
      <c r="Q497" s="76">
        <v>-3.1400412560165021E-2</v>
      </c>
      <c r="R497" s="76"/>
      <c r="S497" s="31"/>
      <c r="T497" s="31"/>
      <c r="U497" s="76"/>
      <c r="V497" s="76"/>
      <c r="W497" s="76"/>
      <c r="X497" s="76"/>
      <c r="Y497" s="76">
        <v>-1.2482524465747824E-3</v>
      </c>
      <c r="Z497" s="76">
        <v>-1.1454753722794919E-3</v>
      </c>
      <c r="AA497" s="76"/>
      <c r="AB497" s="76"/>
      <c r="AC497" s="76"/>
      <c r="AD497" s="142"/>
      <c r="AE497" s="142"/>
      <c r="AF497" s="142"/>
    </row>
    <row r="498" spans="1:32" x14ac:dyDescent="0.35">
      <c r="A498" t="s">
        <v>89</v>
      </c>
      <c r="B498" t="s">
        <v>656</v>
      </c>
      <c r="C498" s="31">
        <v>2</v>
      </c>
      <c r="D498" s="31"/>
      <c r="E498" s="72">
        <v>2</v>
      </c>
      <c r="F498" s="31"/>
      <c r="G498" s="73">
        <v>176.35000000000002</v>
      </c>
      <c r="H498" s="31"/>
      <c r="I498" s="72">
        <v>-7.8499999999999979</v>
      </c>
      <c r="J498" s="72"/>
      <c r="K498" s="31">
        <v>97.571428571428569</v>
      </c>
      <c r="L498" s="31">
        <v>190</v>
      </c>
      <c r="M498" s="74">
        <v>48.785714285714285</v>
      </c>
      <c r="N498" s="74"/>
      <c r="O498" s="75">
        <v>88.175000000000011</v>
      </c>
      <c r="P498" s="75"/>
      <c r="Q498" s="76">
        <v>-4.4513751063226518E-2</v>
      </c>
      <c r="R498" s="76"/>
      <c r="S498" s="31">
        <v>143.28571428571428</v>
      </c>
      <c r="T498" s="31"/>
      <c r="U498" s="76">
        <v>-0.48646616541353382</v>
      </c>
      <c r="V498" s="76"/>
      <c r="W498" s="76"/>
      <c r="X498" s="76"/>
      <c r="Y498" s="76">
        <v>-3.556920680928366E-2</v>
      </c>
      <c r="Z498" s="76">
        <v>-2.1489971346704828E-2</v>
      </c>
      <c r="AA498" s="76">
        <v>-0.33333333333333337</v>
      </c>
      <c r="AB498" s="76">
        <v>-0.45921496473474388</v>
      </c>
      <c r="AC498" s="76">
        <v>-0.18882244710211582</v>
      </c>
      <c r="AD498" s="142"/>
      <c r="AE498" s="142"/>
      <c r="AF498" s="142"/>
    </row>
    <row r="499" spans="1:32" x14ac:dyDescent="0.35">
      <c r="A499" t="s">
        <v>89</v>
      </c>
      <c r="B499" t="s">
        <v>644</v>
      </c>
      <c r="C499" s="31">
        <v>2</v>
      </c>
      <c r="D499" s="31">
        <v>11</v>
      </c>
      <c r="E499" s="72">
        <v>2</v>
      </c>
      <c r="F499" s="31">
        <v>14</v>
      </c>
      <c r="G499" s="73">
        <v>168.16000000000003</v>
      </c>
      <c r="H499" s="31">
        <v>2385.3000000000002</v>
      </c>
      <c r="I499" s="72">
        <v>-63.470000000000006</v>
      </c>
      <c r="J499" s="72">
        <v>609.11999999999989</v>
      </c>
      <c r="K499" s="31">
        <v>79.571428571428569</v>
      </c>
      <c r="L499" s="31">
        <v>158.28571428571428</v>
      </c>
      <c r="M499" s="74">
        <v>39.785714285714285</v>
      </c>
      <c r="N499" s="74">
        <v>11.23469387755102</v>
      </c>
      <c r="O499" s="75">
        <v>84.080000000000013</v>
      </c>
      <c r="P499" s="75">
        <v>170.37857142857143</v>
      </c>
      <c r="Q499" s="76">
        <v>-0.37743815413891529</v>
      </c>
      <c r="R499" s="76">
        <v>0.25536410514400698</v>
      </c>
      <c r="S499" s="31">
        <v>131.42857142857142</v>
      </c>
      <c r="T499" s="31"/>
      <c r="U499" s="76">
        <v>-0.78790613718411551</v>
      </c>
      <c r="V499" s="76">
        <v>-0.85714285714285721</v>
      </c>
      <c r="W499" s="76">
        <v>-0.92950153020584414</v>
      </c>
      <c r="X499" s="76">
        <v>-1.104199500919359</v>
      </c>
      <c r="Y499" s="76">
        <v>-1.522055390372401E-2</v>
      </c>
      <c r="Z499" s="76">
        <v>-4.6232876712328785E-2</v>
      </c>
      <c r="AA499" s="76">
        <v>0</v>
      </c>
      <c r="AB499" s="76">
        <v>-2.6288361320208287E-2</v>
      </c>
      <c r="AC499" s="76">
        <v>-2.6288361320208287E-2</v>
      </c>
      <c r="AD499" s="142"/>
      <c r="AE499" s="142"/>
      <c r="AF499" s="142"/>
    </row>
    <row r="500" spans="1:32" x14ac:dyDescent="0.35">
      <c r="A500" t="s">
        <v>89</v>
      </c>
      <c r="B500" t="s">
        <v>680</v>
      </c>
      <c r="C500" s="31">
        <v>1</v>
      </c>
      <c r="D500" s="31"/>
      <c r="E500" s="72">
        <v>1</v>
      </c>
      <c r="F500" s="31"/>
      <c r="G500" s="73">
        <v>130.9</v>
      </c>
      <c r="H500" s="31"/>
      <c r="I500" s="72">
        <v>60.9</v>
      </c>
      <c r="J500" s="72"/>
      <c r="K500" s="31">
        <v>5.4285714285714288</v>
      </c>
      <c r="L500" s="31">
        <v>10</v>
      </c>
      <c r="M500" s="74">
        <v>5.4285714285714288</v>
      </c>
      <c r="N500" s="74"/>
      <c r="O500" s="75">
        <v>130.9</v>
      </c>
      <c r="P500" s="75"/>
      <c r="Q500" s="76">
        <v>0.46524064171122992</v>
      </c>
      <c r="R500" s="76"/>
      <c r="S500" s="31">
        <v>6</v>
      </c>
      <c r="T500" s="31"/>
      <c r="U500" s="76">
        <v>-0.45714285714285707</v>
      </c>
      <c r="V500" s="76"/>
      <c r="W500" s="76"/>
      <c r="X500" s="76"/>
      <c r="Y500" s="76">
        <v>-9.5238095238095233E-2</v>
      </c>
      <c r="Z500" s="76">
        <v>-9.5238095238095233E-2</v>
      </c>
      <c r="AA500" s="76"/>
      <c r="AB500" s="76"/>
      <c r="AC500" s="76"/>
      <c r="AD500" s="142"/>
      <c r="AE500" s="142"/>
      <c r="AF500" s="142"/>
    </row>
    <row r="501" spans="1:32" x14ac:dyDescent="0.35">
      <c r="A501" t="s">
        <v>89</v>
      </c>
      <c r="B501" t="s">
        <v>709</v>
      </c>
      <c r="C501" s="31">
        <v>4</v>
      </c>
      <c r="D501" s="31"/>
      <c r="E501" s="72">
        <v>5</v>
      </c>
      <c r="F501" s="31"/>
      <c r="G501" s="73">
        <v>91.789999999999992</v>
      </c>
      <c r="H501" s="31"/>
      <c r="I501" s="72">
        <v>19.490000000000002</v>
      </c>
      <c r="J501" s="72"/>
      <c r="K501" s="31">
        <v>7.7142857142857144</v>
      </c>
      <c r="L501" s="31">
        <v>-7</v>
      </c>
      <c r="M501" s="74">
        <v>1.5428571428571429</v>
      </c>
      <c r="N501" s="74"/>
      <c r="O501" s="75">
        <v>18.357999999999997</v>
      </c>
      <c r="P501" s="75"/>
      <c r="Q501" s="76">
        <v>0.21233249809347426</v>
      </c>
      <c r="R501" s="76"/>
      <c r="S501" s="31">
        <v>59.285714285714285</v>
      </c>
      <c r="T501" s="31"/>
      <c r="U501" s="76">
        <v>-1.2244897959183674</v>
      </c>
      <c r="V501" s="76"/>
      <c r="W501" s="76"/>
      <c r="X501" s="76"/>
      <c r="Y501" s="76">
        <v>-0.38243805313467583</v>
      </c>
      <c r="Z501" s="76">
        <v>-0.3932584269662921</v>
      </c>
      <c r="AA501" s="76">
        <v>4</v>
      </c>
      <c r="AB501" s="76">
        <v>2.3672046955245776</v>
      </c>
      <c r="AC501" s="76">
        <v>-0.32655906089508457</v>
      </c>
      <c r="AD501" s="142"/>
      <c r="AE501" s="142"/>
      <c r="AF501" s="142"/>
    </row>
    <row r="502" spans="1:32" x14ac:dyDescent="0.35">
      <c r="A502" t="s">
        <v>89</v>
      </c>
      <c r="B502" t="s">
        <v>704</v>
      </c>
      <c r="C502" s="31">
        <v>1</v>
      </c>
      <c r="D502" s="31"/>
      <c r="E502" s="72">
        <v>3</v>
      </c>
      <c r="F502" s="31"/>
      <c r="G502" s="73">
        <v>90.88</v>
      </c>
      <c r="H502" s="31"/>
      <c r="I502" s="72">
        <v>23.380000000000003</v>
      </c>
      <c r="J502" s="72"/>
      <c r="K502" s="31">
        <v>9.8571428571428577</v>
      </c>
      <c r="L502" s="31">
        <v>25</v>
      </c>
      <c r="M502" s="74">
        <v>3.285714285714286</v>
      </c>
      <c r="N502" s="74"/>
      <c r="O502" s="75">
        <v>30.293333333333333</v>
      </c>
      <c r="P502" s="75"/>
      <c r="Q502" s="76">
        <v>0.257262323943662</v>
      </c>
      <c r="R502" s="76"/>
      <c r="S502" s="31">
        <v>2</v>
      </c>
      <c r="T502" s="31"/>
      <c r="U502" s="76">
        <v>-0.60571428571428565</v>
      </c>
      <c r="V502" s="76"/>
      <c r="W502" s="76"/>
      <c r="X502" s="76"/>
      <c r="Y502" s="76">
        <v>-1.5475617305179212E-2</v>
      </c>
      <c r="Z502" s="76">
        <v>-1.4285714285714235E-2</v>
      </c>
      <c r="AA502" s="76"/>
      <c r="AB502" s="76"/>
      <c r="AC502" s="76"/>
      <c r="AD502" s="142"/>
      <c r="AE502" s="142"/>
      <c r="AF502" s="142"/>
    </row>
    <row r="503" spans="1:32" x14ac:dyDescent="0.35">
      <c r="A503" t="s">
        <v>89</v>
      </c>
      <c r="B503" t="s">
        <v>674</v>
      </c>
      <c r="C503" s="31">
        <v>1</v>
      </c>
      <c r="D503" s="31"/>
      <c r="E503" s="72">
        <v>5</v>
      </c>
      <c r="F503" s="31"/>
      <c r="G503" s="73">
        <v>90.84</v>
      </c>
      <c r="H503" s="31"/>
      <c r="I503" s="72">
        <v>44.5</v>
      </c>
      <c r="J503" s="72"/>
      <c r="K503" s="31">
        <v>5.2857142857142856</v>
      </c>
      <c r="L503" s="31">
        <v>5</v>
      </c>
      <c r="M503" s="74">
        <v>1.0571428571428572</v>
      </c>
      <c r="N503" s="74"/>
      <c r="O503" s="75">
        <v>18.167999999999999</v>
      </c>
      <c r="P503" s="75"/>
      <c r="Q503" s="76">
        <v>0.48987230295024214</v>
      </c>
      <c r="R503" s="76"/>
      <c r="S503" s="31"/>
      <c r="T503" s="31"/>
      <c r="U503" s="76">
        <v>5.7142857142857162E-2</v>
      </c>
      <c r="V503" s="76"/>
      <c r="W503" s="76"/>
      <c r="X503" s="76"/>
      <c r="Y503" s="76">
        <v>-1.7392130773617231E-2</v>
      </c>
      <c r="Z503" s="76">
        <v>0</v>
      </c>
      <c r="AA503" s="76"/>
      <c r="AB503" s="76"/>
      <c r="AC503" s="76"/>
      <c r="AD503" s="142"/>
      <c r="AE503" s="142"/>
      <c r="AF503" s="142"/>
    </row>
    <row r="504" spans="1:32" x14ac:dyDescent="0.35">
      <c r="A504" t="s">
        <v>89</v>
      </c>
      <c r="B504" t="s">
        <v>646</v>
      </c>
      <c r="C504" s="31">
        <v>3</v>
      </c>
      <c r="D504" s="31">
        <v>56</v>
      </c>
      <c r="E504" s="72">
        <v>4</v>
      </c>
      <c r="F504" s="31">
        <v>94</v>
      </c>
      <c r="G504" s="73">
        <v>72.69</v>
      </c>
      <c r="H504" s="31">
        <v>1677.7299999999993</v>
      </c>
      <c r="I504" s="72">
        <v>40.03</v>
      </c>
      <c r="J504" s="72">
        <v>533.94999999999982</v>
      </c>
      <c r="K504" s="31">
        <v>58.428571428571431</v>
      </c>
      <c r="L504" s="31">
        <v>2406.1428571428573</v>
      </c>
      <c r="M504" s="74">
        <v>14.607142857142858</v>
      </c>
      <c r="N504" s="74">
        <v>25.955357142857142</v>
      </c>
      <c r="O504" s="75">
        <v>18.172499999999999</v>
      </c>
      <c r="P504" s="75">
        <v>17.848191489361696</v>
      </c>
      <c r="Q504" s="76">
        <v>0.55069473104966293</v>
      </c>
      <c r="R504" s="76">
        <v>0.31151366646247197</v>
      </c>
      <c r="S504" s="31">
        <v>176</v>
      </c>
      <c r="T504" s="31"/>
      <c r="U504" s="76">
        <v>-0.97571691503888858</v>
      </c>
      <c r="V504" s="76">
        <v>-0.95744680851063835</v>
      </c>
      <c r="W504" s="76">
        <v>-0.95667360063895857</v>
      </c>
      <c r="X504" s="76">
        <v>-0.92317141047540452</v>
      </c>
      <c r="Y504" s="76">
        <v>-0.1290552870518199</v>
      </c>
      <c r="Z504" s="76">
        <v>-0.15320910973084878</v>
      </c>
      <c r="AA504" s="76"/>
      <c r="AB504" s="76"/>
      <c r="AC504" s="76"/>
      <c r="AD504" s="142"/>
      <c r="AE504" s="142"/>
      <c r="AF504" s="142"/>
    </row>
    <row r="505" spans="1:32" x14ac:dyDescent="0.35">
      <c r="A505" t="s">
        <v>89</v>
      </c>
      <c r="B505" t="s">
        <v>653</v>
      </c>
      <c r="C505" s="31">
        <v>1</v>
      </c>
      <c r="D505" s="31">
        <v>16</v>
      </c>
      <c r="E505" s="72">
        <v>1</v>
      </c>
      <c r="F505" s="31">
        <v>29</v>
      </c>
      <c r="G505" s="73">
        <v>54.54</v>
      </c>
      <c r="H505" s="31">
        <v>952.2</v>
      </c>
      <c r="I505" s="72">
        <v>31.19</v>
      </c>
      <c r="J505" s="72">
        <v>290.94999999999993</v>
      </c>
      <c r="K505" s="31">
        <v>32.857142857142854</v>
      </c>
      <c r="L505" s="31">
        <v>558.85714285714289</v>
      </c>
      <c r="M505" s="74">
        <v>32.857142857142854</v>
      </c>
      <c r="N505" s="74">
        <v>19.438423645320196</v>
      </c>
      <c r="O505" s="75">
        <v>54.54</v>
      </c>
      <c r="P505" s="75">
        <v>32.834482758620695</v>
      </c>
      <c r="Q505" s="76">
        <v>0.57187385405207192</v>
      </c>
      <c r="R505" s="76">
        <v>0.30555555555555547</v>
      </c>
      <c r="S505" s="31">
        <v>208</v>
      </c>
      <c r="T505" s="31"/>
      <c r="U505" s="76">
        <v>-0.94274028629856854</v>
      </c>
      <c r="V505" s="76">
        <v>-0.96551724137931039</v>
      </c>
      <c r="W505" s="76">
        <v>-0.94272211720226839</v>
      </c>
      <c r="X505" s="76">
        <v>-0.89279945007733286</v>
      </c>
      <c r="Y505" s="76">
        <v>-0.18771642503869412</v>
      </c>
      <c r="Z505" s="76">
        <v>-3.3613445378151363E-2</v>
      </c>
      <c r="AA505" s="76">
        <v>0</v>
      </c>
      <c r="AB505" s="76">
        <v>2.0016510731975781</v>
      </c>
      <c r="AC505" s="76">
        <v>2.0016510731975781</v>
      </c>
      <c r="AD505" s="142"/>
      <c r="AE505" s="142"/>
      <c r="AF505" s="142"/>
    </row>
    <row r="506" spans="1:32" x14ac:dyDescent="0.35">
      <c r="A506" t="s">
        <v>89</v>
      </c>
      <c r="B506" t="s">
        <v>669</v>
      </c>
      <c r="C506" s="31">
        <v>1</v>
      </c>
      <c r="D506" s="31"/>
      <c r="E506" s="72">
        <v>1</v>
      </c>
      <c r="F506" s="31"/>
      <c r="G506" s="73">
        <v>45.45</v>
      </c>
      <c r="H506" s="31"/>
      <c r="I506" s="72">
        <v>15.95</v>
      </c>
      <c r="J506" s="72"/>
      <c r="K506" s="31">
        <v>7</v>
      </c>
      <c r="L506" s="31">
        <v>60</v>
      </c>
      <c r="M506" s="74">
        <v>7</v>
      </c>
      <c r="N506" s="74"/>
      <c r="O506" s="75">
        <v>45.45</v>
      </c>
      <c r="P506" s="75"/>
      <c r="Q506" s="76">
        <v>0.35093509350935087</v>
      </c>
      <c r="R506" s="76"/>
      <c r="S506" s="31">
        <v>30</v>
      </c>
      <c r="T506" s="31"/>
      <c r="U506" s="76">
        <v>-0.8833333333333333</v>
      </c>
      <c r="V506" s="76"/>
      <c r="W506" s="76"/>
      <c r="X506" s="76"/>
      <c r="Y506" s="76">
        <v>-0.125</v>
      </c>
      <c r="Z506" s="76">
        <v>-0.125</v>
      </c>
      <c r="AA506" s="76"/>
      <c r="AB506" s="76"/>
      <c r="AC506" s="76"/>
      <c r="AD506" s="142"/>
      <c r="AE506" s="142"/>
      <c r="AF506" s="142"/>
    </row>
    <row r="507" spans="1:32" x14ac:dyDescent="0.35">
      <c r="A507" t="s">
        <v>89</v>
      </c>
      <c r="B507" t="s">
        <v>654</v>
      </c>
      <c r="C507" s="31">
        <v>1</v>
      </c>
      <c r="D507" s="31">
        <v>8</v>
      </c>
      <c r="E507" s="72">
        <v>1</v>
      </c>
      <c r="F507" s="31">
        <v>14</v>
      </c>
      <c r="G507" s="73">
        <v>31.81</v>
      </c>
      <c r="H507" s="31">
        <v>346.18</v>
      </c>
      <c r="I507" s="72">
        <v>-6.07</v>
      </c>
      <c r="J507" s="72">
        <v>91.009999999999991</v>
      </c>
      <c r="K507" s="31">
        <v>128.28571428571428</v>
      </c>
      <c r="L507" s="31">
        <v>1015.8571428571429</v>
      </c>
      <c r="M507" s="74">
        <v>128.28571428571428</v>
      </c>
      <c r="N507" s="74">
        <v>72.91836734693878</v>
      </c>
      <c r="O507" s="75">
        <v>31.81</v>
      </c>
      <c r="P507" s="75">
        <v>24.727142857142859</v>
      </c>
      <c r="Q507" s="76">
        <v>-0.19082049669915122</v>
      </c>
      <c r="R507" s="76">
        <v>0.26289791437980237</v>
      </c>
      <c r="S507" s="31">
        <v>44.285714285714285</v>
      </c>
      <c r="T507" s="31"/>
      <c r="U507" s="76">
        <v>-0.88510757980593446</v>
      </c>
      <c r="V507" s="76">
        <v>-0.9285714285714286</v>
      </c>
      <c r="W507" s="76">
        <v>-0.90811138713963835</v>
      </c>
      <c r="X507" s="76">
        <v>-1.0666959674761016</v>
      </c>
      <c r="Y507" s="76">
        <v>-3.500187990384318E-2</v>
      </c>
      <c r="Z507" s="76">
        <v>-3.0237580993520474E-2</v>
      </c>
      <c r="AA507" s="76">
        <v>-0.5</v>
      </c>
      <c r="AB507" s="76">
        <v>-0.66652688961107032</v>
      </c>
      <c r="AC507" s="76">
        <v>-0.33305377922214074</v>
      </c>
      <c r="AD507" s="142"/>
      <c r="AE507" s="142"/>
      <c r="AF507" s="142"/>
    </row>
    <row r="508" spans="1:32" x14ac:dyDescent="0.35">
      <c r="A508" t="s">
        <v>89</v>
      </c>
      <c r="B508" t="s">
        <v>647</v>
      </c>
      <c r="C508" s="31">
        <v>2</v>
      </c>
      <c r="D508" s="31">
        <v>36</v>
      </c>
      <c r="E508" s="72">
        <v>2</v>
      </c>
      <c r="F508" s="31">
        <v>62</v>
      </c>
      <c r="G508" s="73">
        <v>30.83</v>
      </c>
      <c r="H508" s="31">
        <v>1077.9400000000003</v>
      </c>
      <c r="I508" s="72">
        <v>-6.4599999999999991</v>
      </c>
      <c r="J508" s="72">
        <v>271.94000000000028</v>
      </c>
      <c r="K508" s="31">
        <v>39.285714285714285</v>
      </c>
      <c r="L508" s="31">
        <v>1362.7142857142858</v>
      </c>
      <c r="M508" s="74">
        <v>19.642857142857142</v>
      </c>
      <c r="N508" s="74">
        <v>22.172811059907836</v>
      </c>
      <c r="O508" s="75">
        <v>15.414999999999999</v>
      </c>
      <c r="P508" s="75">
        <v>17.386129032258069</v>
      </c>
      <c r="Q508" s="76">
        <v>-0.20953616607200776</v>
      </c>
      <c r="R508" s="76">
        <v>0.25227749225374346</v>
      </c>
      <c r="S508" s="31">
        <v>207.42857142857142</v>
      </c>
      <c r="T508" s="31"/>
      <c r="U508" s="76">
        <v>-0.97337247090890033</v>
      </c>
      <c r="V508" s="76">
        <v>-0.967741935483871</v>
      </c>
      <c r="W508" s="76">
        <v>-0.97139915023099621</v>
      </c>
      <c r="X508" s="76">
        <v>-1.0237552401264984</v>
      </c>
      <c r="Y508" s="76">
        <v>-0.33626094003468365</v>
      </c>
      <c r="Z508" s="76">
        <v>-0.11575562700964637</v>
      </c>
      <c r="AA508" s="76">
        <v>1</v>
      </c>
      <c r="AB508" s="76">
        <v>0.69675288937809543</v>
      </c>
      <c r="AC508" s="76">
        <v>-0.15162355531095228</v>
      </c>
      <c r="AD508" s="142"/>
      <c r="AE508" s="142"/>
      <c r="AF508" s="142"/>
    </row>
    <row r="509" spans="1:32" x14ac:dyDescent="0.35">
      <c r="A509" t="s">
        <v>89</v>
      </c>
      <c r="B509" t="s">
        <v>682</v>
      </c>
      <c r="C509" s="31">
        <v>1</v>
      </c>
      <c r="D509" s="31"/>
      <c r="E509" s="72">
        <v>1</v>
      </c>
      <c r="F509" s="31"/>
      <c r="G509" s="73">
        <v>22.72</v>
      </c>
      <c r="H509" s="31"/>
      <c r="I509" s="72">
        <v>4.42</v>
      </c>
      <c r="J509" s="72"/>
      <c r="K509" s="31">
        <v>-4</v>
      </c>
      <c r="L509" s="31">
        <v>2</v>
      </c>
      <c r="M509" s="74">
        <v>-4</v>
      </c>
      <c r="N509" s="74"/>
      <c r="O509" s="75">
        <v>22.72</v>
      </c>
      <c r="P509" s="75"/>
      <c r="Q509" s="76">
        <v>0.19454225352112678</v>
      </c>
      <c r="R509" s="76"/>
      <c r="S509" s="31">
        <v>1</v>
      </c>
      <c r="T509" s="31"/>
      <c r="U509" s="76">
        <v>-3</v>
      </c>
      <c r="V509" s="76"/>
      <c r="W509" s="76"/>
      <c r="X509" s="76"/>
      <c r="Y509" s="76">
        <v>0</v>
      </c>
      <c r="Z509" s="76">
        <v>0</v>
      </c>
      <c r="AA509" s="76"/>
      <c r="AB509" s="76"/>
      <c r="AC509" s="76"/>
      <c r="AD509" s="142"/>
      <c r="AE509" s="142"/>
      <c r="AF509" s="142"/>
    </row>
    <row r="510" spans="1:32" x14ac:dyDescent="0.35">
      <c r="A510" t="s">
        <v>89</v>
      </c>
      <c r="B510" t="s">
        <v>686</v>
      </c>
      <c r="C510" s="31"/>
      <c r="D510" s="31"/>
      <c r="E510" s="72"/>
      <c r="F510" s="31"/>
      <c r="G510" s="73"/>
      <c r="H510" s="31"/>
      <c r="I510" s="72"/>
      <c r="J510" s="72"/>
      <c r="K510" s="31">
        <v>1</v>
      </c>
      <c r="L510" s="31">
        <v>1</v>
      </c>
      <c r="M510" s="74"/>
      <c r="N510" s="74"/>
      <c r="O510" s="75"/>
      <c r="P510" s="75"/>
      <c r="Q510" s="76"/>
      <c r="R510" s="76"/>
      <c r="S510" s="31"/>
      <c r="T510" s="31"/>
      <c r="U510" s="76">
        <v>0</v>
      </c>
      <c r="V510" s="76"/>
      <c r="W510" s="76"/>
      <c r="X510" s="76"/>
      <c r="Y510" s="76">
        <v>0</v>
      </c>
      <c r="Z510" s="76">
        <v>0</v>
      </c>
      <c r="AA510" s="76"/>
      <c r="AB510" s="76"/>
      <c r="AC510" s="76"/>
      <c r="AD510" s="142"/>
      <c r="AE510" s="142"/>
      <c r="AF510" s="142"/>
    </row>
    <row r="511" spans="1:32" x14ac:dyDescent="0.35">
      <c r="A511" t="s">
        <v>89</v>
      </c>
      <c r="B511" t="s">
        <v>707</v>
      </c>
      <c r="C511" s="31"/>
      <c r="D511" s="31"/>
      <c r="E511" s="72"/>
      <c r="F511" s="31"/>
      <c r="G511" s="73"/>
      <c r="H511" s="31"/>
      <c r="I511" s="72"/>
      <c r="J511" s="72"/>
      <c r="K511" s="31">
        <v>1</v>
      </c>
      <c r="L511" s="31">
        <v>3</v>
      </c>
      <c r="M511" s="74"/>
      <c r="N511" s="74"/>
      <c r="O511" s="75"/>
      <c r="P511" s="75"/>
      <c r="Q511" s="76"/>
      <c r="R511" s="76"/>
      <c r="S511" s="31"/>
      <c r="T511" s="31"/>
      <c r="U511" s="76">
        <v>-0.66666666666666674</v>
      </c>
      <c r="V511" s="76"/>
      <c r="W511" s="76"/>
      <c r="X511" s="76"/>
      <c r="Y511" s="76">
        <v>0</v>
      </c>
      <c r="Z511" s="76">
        <v>0</v>
      </c>
      <c r="AA511" s="76"/>
      <c r="AB511" s="76"/>
      <c r="AC511" s="76"/>
      <c r="AD511" s="142"/>
      <c r="AE511" s="142"/>
      <c r="AF511" s="142"/>
    </row>
    <row r="512" spans="1:32" x14ac:dyDescent="0.35">
      <c r="A512" t="s">
        <v>89</v>
      </c>
      <c r="B512" t="s">
        <v>796</v>
      </c>
      <c r="C512" s="31"/>
      <c r="D512" s="31"/>
      <c r="E512" s="72"/>
      <c r="F512" s="31"/>
      <c r="G512" s="73"/>
      <c r="H512" s="31"/>
      <c r="I512" s="72"/>
      <c r="J512" s="72"/>
      <c r="K512" s="31">
        <v>2</v>
      </c>
      <c r="L512" s="31"/>
      <c r="M512" s="74"/>
      <c r="N512" s="74"/>
      <c r="O512" s="75"/>
      <c r="P512" s="75"/>
      <c r="Q512" s="76"/>
      <c r="R512" s="76"/>
      <c r="S512" s="31"/>
      <c r="T512" s="31"/>
      <c r="U512" s="76"/>
      <c r="V512" s="76"/>
      <c r="W512" s="76"/>
      <c r="X512" s="76"/>
      <c r="Y512" s="76">
        <v>0</v>
      </c>
      <c r="Z512" s="76">
        <v>0</v>
      </c>
      <c r="AA512" s="76"/>
      <c r="AB512" s="76"/>
      <c r="AC512" s="76"/>
      <c r="AD512" s="142"/>
      <c r="AE512" s="142"/>
      <c r="AF512" s="142"/>
    </row>
    <row r="513" spans="1:32" x14ac:dyDescent="0.35">
      <c r="A513" t="s">
        <v>89</v>
      </c>
      <c r="B513" t="s">
        <v>793</v>
      </c>
      <c r="C513" s="31"/>
      <c r="D513" s="31"/>
      <c r="E513" s="72"/>
      <c r="F513" s="31"/>
      <c r="G513" s="73"/>
      <c r="H513" s="31"/>
      <c r="I513" s="72"/>
      <c r="J513" s="72"/>
      <c r="K513" s="31">
        <v>-1</v>
      </c>
      <c r="L513" s="31"/>
      <c r="M513" s="74"/>
      <c r="N513" s="74"/>
      <c r="O513" s="75"/>
      <c r="P513" s="75"/>
      <c r="Q513" s="76"/>
      <c r="R513" s="76"/>
      <c r="S513" s="31"/>
      <c r="T513" s="31"/>
      <c r="U513" s="76"/>
      <c r="V513" s="76"/>
      <c r="W513" s="76"/>
      <c r="X513" s="76"/>
      <c r="Y513" s="76">
        <v>0</v>
      </c>
      <c r="Z513" s="76">
        <v>0</v>
      </c>
      <c r="AA513" s="76"/>
      <c r="AB513" s="76"/>
      <c r="AC513" s="76"/>
      <c r="AD513" s="142"/>
      <c r="AE513" s="142"/>
      <c r="AF513" s="142"/>
    </row>
    <row r="514" spans="1:32" x14ac:dyDescent="0.35">
      <c r="A514" t="s">
        <v>89</v>
      </c>
      <c r="B514" t="s">
        <v>675</v>
      </c>
      <c r="C514" s="31"/>
      <c r="D514" s="31"/>
      <c r="E514" s="72"/>
      <c r="F514" s="31"/>
      <c r="G514" s="73"/>
      <c r="H514" s="31"/>
      <c r="I514" s="72"/>
      <c r="J514" s="72"/>
      <c r="K514" s="31">
        <v>1</v>
      </c>
      <c r="L514" s="31">
        <v>1</v>
      </c>
      <c r="M514" s="74"/>
      <c r="N514" s="74"/>
      <c r="O514" s="75"/>
      <c r="P514" s="75"/>
      <c r="Q514" s="76"/>
      <c r="R514" s="76"/>
      <c r="S514" s="31"/>
      <c r="T514" s="31"/>
      <c r="U514" s="76">
        <v>0</v>
      </c>
      <c r="V514" s="76"/>
      <c r="W514" s="76"/>
      <c r="X514" s="76"/>
      <c r="Y514" s="76">
        <v>0</v>
      </c>
      <c r="Z514" s="76">
        <v>0</v>
      </c>
      <c r="AA514" s="76"/>
      <c r="AB514" s="76"/>
      <c r="AC514" s="76"/>
      <c r="AD514" s="142"/>
      <c r="AE514" s="142"/>
      <c r="AF514" s="142"/>
    </row>
    <row r="515" spans="1:32" x14ac:dyDescent="0.35">
      <c r="A515" t="s">
        <v>89</v>
      </c>
      <c r="B515" t="s">
        <v>676</v>
      </c>
      <c r="C515" s="31"/>
      <c r="D515" s="31"/>
      <c r="E515" s="72"/>
      <c r="F515" s="31"/>
      <c r="G515" s="73"/>
      <c r="H515" s="31"/>
      <c r="I515" s="72"/>
      <c r="J515" s="72"/>
      <c r="K515" s="31">
        <v>2</v>
      </c>
      <c r="L515" s="31">
        <v>1</v>
      </c>
      <c r="M515" s="74"/>
      <c r="N515" s="74"/>
      <c r="O515" s="75"/>
      <c r="P515" s="75"/>
      <c r="Q515" s="76"/>
      <c r="R515" s="76"/>
      <c r="S515" s="31"/>
      <c r="T515" s="31"/>
      <c r="U515" s="76">
        <v>1</v>
      </c>
      <c r="V515" s="76"/>
      <c r="W515" s="76"/>
      <c r="X515" s="76"/>
      <c r="Y515" s="76">
        <v>0</v>
      </c>
      <c r="Z515" s="76">
        <v>0</v>
      </c>
      <c r="AA515" s="76"/>
      <c r="AB515" s="76"/>
      <c r="AC515" s="76"/>
      <c r="AD515" s="142"/>
      <c r="AE515" s="142"/>
      <c r="AF515" s="142"/>
    </row>
    <row r="516" spans="1:32" x14ac:dyDescent="0.35">
      <c r="A516" t="s">
        <v>89</v>
      </c>
      <c r="B516" t="s">
        <v>697</v>
      </c>
      <c r="C516" s="31"/>
      <c r="D516" s="31"/>
      <c r="E516" s="72"/>
      <c r="F516" s="31"/>
      <c r="G516" s="73"/>
      <c r="H516" s="31"/>
      <c r="I516" s="72"/>
      <c r="J516" s="72"/>
      <c r="K516" s="31"/>
      <c r="L516" s="31"/>
      <c r="M516" s="74"/>
      <c r="N516" s="74"/>
      <c r="O516" s="75"/>
      <c r="P516" s="75"/>
      <c r="Q516" s="76"/>
      <c r="R516" s="76"/>
      <c r="S516" s="31">
        <v>-2</v>
      </c>
      <c r="T516" s="31"/>
      <c r="U516" s="76"/>
      <c r="V516" s="76"/>
      <c r="W516" s="76"/>
      <c r="X516" s="76"/>
      <c r="Y516" s="76"/>
      <c r="Z516" s="76"/>
      <c r="AA516" s="76"/>
      <c r="AB516" s="76"/>
      <c r="AC516" s="76"/>
      <c r="AD516" s="142"/>
      <c r="AE516" s="142"/>
      <c r="AF516" s="142"/>
    </row>
    <row r="517" spans="1:32" x14ac:dyDescent="0.35">
      <c r="A517" t="s">
        <v>89</v>
      </c>
      <c r="B517" t="s">
        <v>702</v>
      </c>
      <c r="C517" s="31"/>
      <c r="D517" s="31"/>
      <c r="E517" s="72"/>
      <c r="F517" s="31"/>
      <c r="G517" s="73"/>
      <c r="H517" s="31"/>
      <c r="I517" s="72"/>
      <c r="J517" s="72"/>
      <c r="K517" s="31">
        <v>73</v>
      </c>
      <c r="L517" s="31">
        <v>115</v>
      </c>
      <c r="M517" s="74"/>
      <c r="N517" s="74"/>
      <c r="O517" s="75"/>
      <c r="P517" s="75"/>
      <c r="Q517" s="76"/>
      <c r="R517" s="76"/>
      <c r="S517" s="31"/>
      <c r="T517" s="31"/>
      <c r="U517" s="76">
        <v>-0.36521739130434783</v>
      </c>
      <c r="V517" s="76"/>
      <c r="W517" s="76"/>
      <c r="X517" s="76"/>
      <c r="Y517" s="76">
        <v>0</v>
      </c>
      <c r="Z517" s="76">
        <v>0</v>
      </c>
      <c r="AA517" s="76"/>
      <c r="AB517" s="76"/>
      <c r="AC517" s="76"/>
      <c r="AD517" s="142"/>
      <c r="AE517" s="142"/>
      <c r="AF517" s="142"/>
    </row>
    <row r="518" spans="1:32" x14ac:dyDescent="0.35">
      <c r="A518" t="s">
        <v>89</v>
      </c>
      <c r="B518" t="s">
        <v>655</v>
      </c>
      <c r="C518" s="31"/>
      <c r="D518" s="31"/>
      <c r="E518" s="72"/>
      <c r="F518" s="31">
        <v>0</v>
      </c>
      <c r="G518" s="73"/>
      <c r="H518" s="31">
        <v>0</v>
      </c>
      <c r="I518" s="72"/>
      <c r="J518" s="72">
        <v>-8.4200000000000017</v>
      </c>
      <c r="K518" s="31">
        <v>83</v>
      </c>
      <c r="L518" s="31">
        <v>205.85714285714286</v>
      </c>
      <c r="M518" s="74"/>
      <c r="N518" s="74">
        <v>208.14285714285714</v>
      </c>
      <c r="O518" s="75"/>
      <c r="P518" s="75"/>
      <c r="Q518" s="76"/>
      <c r="R518" s="76">
        <v>-8.7181611099606565E-2</v>
      </c>
      <c r="S518" s="31">
        <v>12</v>
      </c>
      <c r="T518" s="31"/>
      <c r="U518" s="76">
        <v>-0.60166551006245661</v>
      </c>
      <c r="V518" s="76"/>
      <c r="W518" s="76"/>
      <c r="X518" s="76"/>
      <c r="Y518" s="76">
        <v>4.3923865300146359E-2</v>
      </c>
      <c r="Z518" s="76">
        <v>3.5650623885917998E-2</v>
      </c>
      <c r="AA518" s="76"/>
      <c r="AB518" s="76"/>
      <c r="AC518" s="76"/>
      <c r="AD518" s="142"/>
      <c r="AE518" s="142"/>
      <c r="AF518" s="142"/>
    </row>
    <row r="519" spans="1:32" x14ac:dyDescent="0.35">
      <c r="A519" t="s">
        <v>89</v>
      </c>
      <c r="B519" t="s">
        <v>677</v>
      </c>
      <c r="C519" s="31"/>
      <c r="D519" s="31"/>
      <c r="E519" s="72"/>
      <c r="F519" s="31"/>
      <c r="G519" s="73"/>
      <c r="H519" s="31"/>
      <c r="I519" s="72"/>
      <c r="J519" s="72"/>
      <c r="K519" s="31">
        <v>1</v>
      </c>
      <c r="L519" s="31">
        <v>5</v>
      </c>
      <c r="M519" s="74"/>
      <c r="N519" s="74"/>
      <c r="O519" s="75"/>
      <c r="P519" s="75"/>
      <c r="Q519" s="76"/>
      <c r="R519" s="76"/>
      <c r="S519" s="31"/>
      <c r="T519" s="31"/>
      <c r="U519" s="76">
        <v>-0.8</v>
      </c>
      <c r="V519" s="76"/>
      <c r="W519" s="76"/>
      <c r="X519" s="76"/>
      <c r="Y519" s="76">
        <v>0</v>
      </c>
      <c r="Z519" s="76">
        <v>0</v>
      </c>
      <c r="AA519" s="76"/>
      <c r="AB519" s="76"/>
      <c r="AC519" s="76"/>
      <c r="AD519" s="142"/>
      <c r="AE519" s="142"/>
      <c r="AF519" s="142"/>
    </row>
    <row r="520" spans="1:32" x14ac:dyDescent="0.35">
      <c r="A520" t="s">
        <v>89</v>
      </c>
      <c r="B520" t="s">
        <v>668</v>
      </c>
      <c r="C520" s="31"/>
      <c r="D520" s="31">
        <v>2</v>
      </c>
      <c r="E520" s="72"/>
      <c r="F520" s="31">
        <v>2</v>
      </c>
      <c r="G520" s="73"/>
      <c r="H520" s="31">
        <v>118.17</v>
      </c>
      <c r="I520" s="72"/>
      <c r="J520" s="72">
        <v>32.22</v>
      </c>
      <c r="K520" s="31">
        <v>0.25</v>
      </c>
      <c r="L520" s="31">
        <v>7.7142857142857144</v>
      </c>
      <c r="M520" s="74"/>
      <c r="N520" s="74">
        <v>3.8571428571428572</v>
      </c>
      <c r="O520" s="75"/>
      <c r="P520" s="75">
        <v>59.085000000000001</v>
      </c>
      <c r="Q520" s="76"/>
      <c r="R520" s="76">
        <v>0.27265803503427266</v>
      </c>
      <c r="S520" s="31">
        <v>1</v>
      </c>
      <c r="T520" s="31"/>
      <c r="U520" s="76">
        <v>-0.87037037037037035</v>
      </c>
      <c r="V520" s="76"/>
      <c r="W520" s="76"/>
      <c r="X520" s="76"/>
      <c r="Y520" s="76"/>
      <c r="Z520" s="76"/>
      <c r="AA520" s="76"/>
      <c r="AB520" s="76"/>
      <c r="AC520" s="76"/>
      <c r="AD520" s="142"/>
      <c r="AE520" s="142"/>
      <c r="AF520" s="142"/>
    </row>
    <row r="521" spans="1:32" x14ac:dyDescent="0.35">
      <c r="A521" t="s">
        <v>89</v>
      </c>
      <c r="B521" t="s">
        <v>679</v>
      </c>
      <c r="C521" s="31"/>
      <c r="D521" s="31"/>
      <c r="E521" s="72"/>
      <c r="F521" s="31"/>
      <c r="G521" s="73"/>
      <c r="H521" s="31"/>
      <c r="I521" s="72"/>
      <c r="J521" s="72"/>
      <c r="K521" s="31"/>
      <c r="L521" s="31">
        <v>1</v>
      </c>
      <c r="M521" s="74"/>
      <c r="N521" s="74"/>
      <c r="O521" s="75"/>
      <c r="P521" s="75"/>
      <c r="Q521" s="76"/>
      <c r="R521" s="76"/>
      <c r="S521" s="31"/>
      <c r="T521" s="31"/>
      <c r="U521" s="76"/>
      <c r="V521" s="76"/>
      <c r="W521" s="76"/>
      <c r="X521" s="76"/>
      <c r="Y521" s="76"/>
      <c r="Z521" s="76"/>
      <c r="AA521" s="76"/>
      <c r="AB521" s="76"/>
      <c r="AC521" s="76"/>
      <c r="AD521" s="142"/>
      <c r="AE521" s="142"/>
      <c r="AF521" s="142"/>
    </row>
    <row r="522" spans="1:32" x14ac:dyDescent="0.35">
      <c r="A522" t="s">
        <v>89</v>
      </c>
      <c r="B522" t="s">
        <v>698</v>
      </c>
      <c r="C522" s="31"/>
      <c r="D522" s="31"/>
      <c r="E522" s="72"/>
      <c r="F522" s="31"/>
      <c r="G522" s="73"/>
      <c r="H522" s="31"/>
      <c r="I522" s="72"/>
      <c r="J522" s="72"/>
      <c r="K522" s="31">
        <v>-2</v>
      </c>
      <c r="L522" s="31">
        <v>-1</v>
      </c>
      <c r="M522" s="74"/>
      <c r="N522" s="74"/>
      <c r="O522" s="75"/>
      <c r="P522" s="75"/>
      <c r="Q522" s="76"/>
      <c r="R522" s="76"/>
      <c r="S522" s="31"/>
      <c r="T522" s="31"/>
      <c r="U522" s="76">
        <v>1</v>
      </c>
      <c r="V522" s="76"/>
      <c r="W522" s="76"/>
      <c r="X522" s="76"/>
      <c r="Y522" s="76">
        <v>0</v>
      </c>
      <c r="Z522" s="76">
        <v>0</v>
      </c>
      <c r="AA522" s="76"/>
      <c r="AB522" s="76"/>
      <c r="AC522" s="76"/>
      <c r="AD522" s="142"/>
      <c r="AE522" s="142"/>
      <c r="AF522" s="142"/>
    </row>
    <row r="523" spans="1:32" x14ac:dyDescent="0.35">
      <c r="A523" t="s">
        <v>89</v>
      </c>
      <c r="B523" t="s">
        <v>685</v>
      </c>
      <c r="C523" s="31"/>
      <c r="D523" s="31"/>
      <c r="E523" s="72"/>
      <c r="F523" s="31"/>
      <c r="G523" s="73"/>
      <c r="H523" s="31"/>
      <c r="I523" s="72"/>
      <c r="J523" s="72"/>
      <c r="K523" s="31"/>
      <c r="L523" s="31">
        <v>8</v>
      </c>
      <c r="M523" s="74"/>
      <c r="N523" s="74"/>
      <c r="O523" s="75"/>
      <c r="P523" s="75"/>
      <c r="Q523" s="76"/>
      <c r="R523" s="76"/>
      <c r="S523" s="31">
        <v>7</v>
      </c>
      <c r="T523" s="31"/>
      <c r="U523" s="76"/>
      <c r="V523" s="76"/>
      <c r="W523" s="76"/>
      <c r="X523" s="76"/>
      <c r="Y523" s="76"/>
      <c r="Z523" s="76"/>
      <c r="AA523" s="76"/>
      <c r="AB523" s="76"/>
      <c r="AC523" s="76"/>
      <c r="AD523" s="142"/>
      <c r="AE523" s="142"/>
      <c r="AF523" s="142"/>
    </row>
    <row r="524" spans="1:32" x14ac:dyDescent="0.35">
      <c r="A524" t="s">
        <v>89</v>
      </c>
      <c r="B524" t="s">
        <v>694</v>
      </c>
      <c r="C524" s="31"/>
      <c r="D524" s="31"/>
      <c r="E524" s="72"/>
      <c r="F524" s="31"/>
      <c r="G524" s="73"/>
      <c r="H524" s="31"/>
      <c r="I524" s="72"/>
      <c r="J524" s="72"/>
      <c r="K524" s="31">
        <v>2</v>
      </c>
      <c r="L524" s="31">
        <v>3</v>
      </c>
      <c r="M524" s="74"/>
      <c r="N524" s="74"/>
      <c r="O524" s="75"/>
      <c r="P524" s="75"/>
      <c r="Q524" s="76"/>
      <c r="R524" s="76"/>
      <c r="S524" s="31"/>
      <c r="T524" s="31"/>
      <c r="U524" s="76">
        <v>-0.33333333333333337</v>
      </c>
      <c r="V524" s="76"/>
      <c r="W524" s="76"/>
      <c r="X524" s="76"/>
      <c r="Y524" s="76">
        <v>0</v>
      </c>
      <c r="Z524" s="76">
        <v>0</v>
      </c>
      <c r="AA524" s="76"/>
      <c r="AB524" s="76"/>
      <c r="AC524" s="76"/>
      <c r="AD524" s="142"/>
      <c r="AE524" s="142"/>
      <c r="AF524" s="142"/>
    </row>
    <row r="525" spans="1:32" x14ac:dyDescent="0.35">
      <c r="A525" t="s">
        <v>89</v>
      </c>
      <c r="B525" t="s">
        <v>715</v>
      </c>
      <c r="C525" s="31"/>
      <c r="D525" s="31"/>
      <c r="E525" s="72"/>
      <c r="F525" s="31"/>
      <c r="G525" s="73"/>
      <c r="H525" s="31"/>
      <c r="I525" s="72"/>
      <c r="J525" s="72"/>
      <c r="K525" s="31">
        <v>20</v>
      </c>
      <c r="L525" s="31">
        <v>26</v>
      </c>
      <c r="M525" s="74"/>
      <c r="N525" s="74"/>
      <c r="O525" s="75"/>
      <c r="P525" s="75"/>
      <c r="Q525" s="76"/>
      <c r="R525" s="76"/>
      <c r="S525" s="31"/>
      <c r="T525" s="31"/>
      <c r="U525" s="76">
        <v>-0.23076923076923073</v>
      </c>
      <c r="V525" s="76"/>
      <c r="W525" s="76"/>
      <c r="X525" s="76"/>
      <c r="Y525" s="76">
        <v>2.2204460492503131E-16</v>
      </c>
      <c r="Z525" s="76">
        <v>0</v>
      </c>
      <c r="AA525" s="76"/>
      <c r="AB525" s="76"/>
      <c r="AC525" s="76"/>
      <c r="AD525" s="142"/>
      <c r="AE525" s="142"/>
      <c r="AF525" s="142"/>
    </row>
    <row r="526" spans="1:32" x14ac:dyDescent="0.35">
      <c r="A526" t="s">
        <v>89</v>
      </c>
      <c r="B526" t="s">
        <v>673</v>
      </c>
      <c r="C526" s="31"/>
      <c r="D526" s="31"/>
      <c r="E526" s="72"/>
      <c r="F526" s="31"/>
      <c r="G526" s="73"/>
      <c r="H526" s="31"/>
      <c r="I526" s="72"/>
      <c r="J526" s="72"/>
      <c r="K526" s="31">
        <v>3</v>
      </c>
      <c r="L526" s="31">
        <v>5</v>
      </c>
      <c r="M526" s="74"/>
      <c r="N526" s="74"/>
      <c r="O526" s="75"/>
      <c r="P526" s="75"/>
      <c r="Q526" s="76"/>
      <c r="R526" s="76"/>
      <c r="S526" s="31"/>
      <c r="T526" s="31"/>
      <c r="U526" s="76">
        <v>-0.4</v>
      </c>
      <c r="V526" s="76"/>
      <c r="W526" s="76"/>
      <c r="X526" s="76"/>
      <c r="Y526" s="76">
        <v>0</v>
      </c>
      <c r="Z526" s="76">
        <v>0</v>
      </c>
      <c r="AA526" s="76"/>
      <c r="AB526" s="76"/>
      <c r="AC526" s="76"/>
      <c r="AD526" s="142"/>
      <c r="AE526" s="142"/>
      <c r="AF526" s="142"/>
    </row>
    <row r="527" spans="1:32" x14ac:dyDescent="0.35">
      <c r="A527" t="s">
        <v>89</v>
      </c>
      <c r="B527" t="s">
        <v>714</v>
      </c>
      <c r="C527" s="31"/>
      <c r="D527" s="31"/>
      <c r="E527" s="72"/>
      <c r="F527" s="31"/>
      <c r="G527" s="73"/>
      <c r="H527" s="31"/>
      <c r="I527" s="72"/>
      <c r="J527" s="72"/>
      <c r="K527" s="31">
        <v>2</v>
      </c>
      <c r="L527" s="31">
        <v>3</v>
      </c>
      <c r="M527" s="74"/>
      <c r="N527" s="74"/>
      <c r="O527" s="75"/>
      <c r="P527" s="75"/>
      <c r="Q527" s="76"/>
      <c r="R527" s="76"/>
      <c r="S527" s="31">
        <v>8</v>
      </c>
      <c r="T527" s="31"/>
      <c r="U527" s="76">
        <v>-0.66666666666666674</v>
      </c>
      <c r="V527" s="76"/>
      <c r="W527" s="76"/>
      <c r="X527" s="76"/>
      <c r="Y527" s="76">
        <v>-0.22082585278276468</v>
      </c>
      <c r="Z527" s="76">
        <v>-0.22222222222222232</v>
      </c>
      <c r="AA527" s="76"/>
      <c r="AB527" s="76"/>
      <c r="AC527" s="76"/>
      <c r="AD527" s="142"/>
      <c r="AE527" s="142"/>
      <c r="AF527" s="142"/>
    </row>
    <row r="528" spans="1:32" x14ac:dyDescent="0.35">
      <c r="A528" t="s">
        <v>89</v>
      </c>
      <c r="B528" t="s">
        <v>712</v>
      </c>
      <c r="C528" s="31"/>
      <c r="D528" s="31"/>
      <c r="E528" s="72"/>
      <c r="F528" s="31"/>
      <c r="G528" s="73"/>
      <c r="H528" s="31"/>
      <c r="I528" s="72"/>
      <c r="J528" s="72"/>
      <c r="K528" s="31"/>
      <c r="L528" s="31">
        <v>1</v>
      </c>
      <c r="M528" s="74"/>
      <c r="N528" s="74"/>
      <c r="O528" s="75"/>
      <c r="P528" s="75"/>
      <c r="Q528" s="76"/>
      <c r="R528" s="76"/>
      <c r="S528" s="31">
        <v>12</v>
      </c>
      <c r="T528" s="31"/>
      <c r="U528" s="76"/>
      <c r="V528" s="76"/>
      <c r="W528" s="76"/>
      <c r="X528" s="76"/>
      <c r="Y528" s="76"/>
      <c r="Z528" s="76"/>
      <c r="AA528" s="76"/>
      <c r="AB528" s="76"/>
      <c r="AC528" s="76"/>
      <c r="AD528" s="142"/>
      <c r="AE528" s="142"/>
      <c r="AF528" s="142"/>
    </row>
    <row r="529" spans="1:32" x14ac:dyDescent="0.35">
      <c r="A529" t="s">
        <v>89</v>
      </c>
      <c r="B529" t="s">
        <v>670</v>
      </c>
      <c r="C529" s="31"/>
      <c r="D529" s="31"/>
      <c r="E529" s="72"/>
      <c r="F529" s="31"/>
      <c r="G529" s="73"/>
      <c r="H529" s="31"/>
      <c r="I529" s="72"/>
      <c r="J529" s="72"/>
      <c r="K529" s="31">
        <v>5</v>
      </c>
      <c r="L529" s="31">
        <v>6</v>
      </c>
      <c r="M529" s="74"/>
      <c r="N529" s="74"/>
      <c r="O529" s="75"/>
      <c r="P529" s="75"/>
      <c r="Q529" s="76"/>
      <c r="R529" s="76"/>
      <c r="S529" s="31"/>
      <c r="T529" s="31"/>
      <c r="U529" s="76">
        <v>-0.16666666666666663</v>
      </c>
      <c r="V529" s="76"/>
      <c r="W529" s="76"/>
      <c r="X529" s="76"/>
      <c r="Y529" s="76">
        <v>0</v>
      </c>
      <c r="Z529" s="76">
        <v>0</v>
      </c>
      <c r="AA529" s="76"/>
      <c r="AB529" s="76"/>
      <c r="AC529" s="76"/>
      <c r="AD529" s="142"/>
      <c r="AE529" s="142"/>
      <c r="AF529" s="142"/>
    </row>
    <row r="530" spans="1:32" x14ac:dyDescent="0.35">
      <c r="A530" t="s">
        <v>89</v>
      </c>
      <c r="B530" t="s">
        <v>660</v>
      </c>
      <c r="C530" s="31"/>
      <c r="D530" s="31"/>
      <c r="E530" s="72"/>
      <c r="F530" s="31"/>
      <c r="G530" s="73"/>
      <c r="H530" s="31"/>
      <c r="I530" s="72"/>
      <c r="J530" s="72"/>
      <c r="K530" s="31">
        <v>9.4285714285714288</v>
      </c>
      <c r="L530" s="31">
        <v>101</v>
      </c>
      <c r="M530" s="74"/>
      <c r="N530" s="74"/>
      <c r="O530" s="75"/>
      <c r="P530" s="75"/>
      <c r="Q530" s="76"/>
      <c r="R530" s="76"/>
      <c r="S530" s="31">
        <v>4</v>
      </c>
      <c r="T530" s="31"/>
      <c r="U530" s="76">
        <v>-0.90664780763790664</v>
      </c>
      <c r="V530" s="76"/>
      <c r="W530" s="76"/>
      <c r="X530" s="76"/>
      <c r="Y530" s="76">
        <v>0.28780659396885255</v>
      </c>
      <c r="Z530" s="76">
        <v>0.13793103448275845</v>
      </c>
      <c r="AA530" s="76"/>
      <c r="AB530" s="76"/>
      <c r="AC530" s="76"/>
      <c r="AD530" s="142"/>
      <c r="AE530" s="142"/>
      <c r="AF530" s="142"/>
    </row>
    <row r="531" spans="1:32" x14ac:dyDescent="0.35">
      <c r="A531" t="s">
        <v>89</v>
      </c>
      <c r="B531" t="s">
        <v>695</v>
      </c>
      <c r="C531" s="31"/>
      <c r="D531" s="31"/>
      <c r="E531" s="72"/>
      <c r="F531" s="31"/>
      <c r="G531" s="73"/>
      <c r="H531" s="31"/>
      <c r="I531" s="72"/>
      <c r="J531" s="72"/>
      <c r="K531" s="31"/>
      <c r="L531" s="31">
        <v>1</v>
      </c>
      <c r="M531" s="74"/>
      <c r="N531" s="74"/>
      <c r="O531" s="75"/>
      <c r="P531" s="75"/>
      <c r="Q531" s="76"/>
      <c r="R531" s="76"/>
      <c r="S531" s="31"/>
      <c r="T531" s="31"/>
      <c r="U531" s="76"/>
      <c r="V531" s="76"/>
      <c r="W531" s="76"/>
      <c r="X531" s="76"/>
      <c r="Y531" s="76"/>
      <c r="Z531" s="76"/>
      <c r="AA531" s="76"/>
      <c r="AB531" s="76"/>
      <c r="AC531" s="76"/>
      <c r="AD531" s="142"/>
      <c r="AE531" s="142"/>
      <c r="AF531" s="142"/>
    </row>
    <row r="532" spans="1:32" x14ac:dyDescent="0.35">
      <c r="A532" t="s">
        <v>89</v>
      </c>
      <c r="B532" t="s">
        <v>699</v>
      </c>
      <c r="C532" s="31"/>
      <c r="D532" s="31"/>
      <c r="E532" s="72"/>
      <c r="F532" s="31"/>
      <c r="G532" s="73"/>
      <c r="H532" s="31"/>
      <c r="I532" s="72"/>
      <c r="J532" s="72"/>
      <c r="K532" s="31"/>
      <c r="L532" s="31">
        <v>1</v>
      </c>
      <c r="M532" s="74"/>
      <c r="N532" s="74"/>
      <c r="O532" s="75"/>
      <c r="P532" s="75"/>
      <c r="Q532" s="76"/>
      <c r="R532" s="76"/>
      <c r="S532" s="31"/>
      <c r="T532" s="31"/>
      <c r="U532" s="76"/>
      <c r="V532" s="76"/>
      <c r="W532" s="76"/>
      <c r="X532" s="76"/>
      <c r="Y532" s="76"/>
      <c r="Z532" s="76"/>
      <c r="AA532" s="76"/>
      <c r="AB532" s="76"/>
      <c r="AC532" s="76"/>
      <c r="AD532" s="142"/>
      <c r="AE532" s="142"/>
      <c r="AF532" s="142"/>
    </row>
    <row r="533" spans="1:32" x14ac:dyDescent="0.35">
      <c r="A533" t="s">
        <v>89</v>
      </c>
      <c r="B533" t="s">
        <v>687</v>
      </c>
      <c r="C533" s="31"/>
      <c r="D533" s="31"/>
      <c r="E533" s="72"/>
      <c r="F533" s="31"/>
      <c r="G533" s="73"/>
      <c r="H533" s="31"/>
      <c r="I533" s="72"/>
      <c r="J533" s="72"/>
      <c r="K533" s="31">
        <v>5</v>
      </c>
      <c r="L533" s="31">
        <v>16</v>
      </c>
      <c r="M533" s="74"/>
      <c r="N533" s="74"/>
      <c r="O533" s="75"/>
      <c r="P533" s="75"/>
      <c r="Q533" s="76"/>
      <c r="R533" s="76"/>
      <c r="S533" s="31"/>
      <c r="T533" s="31"/>
      <c r="U533" s="76">
        <v>-0.6875</v>
      </c>
      <c r="V533" s="76"/>
      <c r="W533" s="76"/>
      <c r="X533" s="76"/>
      <c r="Y533" s="76">
        <v>0</v>
      </c>
      <c r="Z533" s="76">
        <v>0</v>
      </c>
      <c r="AA533" s="76"/>
      <c r="AB533" s="76"/>
      <c r="AC533" s="76"/>
      <c r="AD533" s="142"/>
      <c r="AE533" s="142"/>
      <c r="AF533" s="142"/>
    </row>
    <row r="534" spans="1:32" x14ac:dyDescent="0.35">
      <c r="A534" t="s">
        <v>89</v>
      </c>
      <c r="B534" t="s">
        <v>661</v>
      </c>
      <c r="C534" s="31"/>
      <c r="D534" s="31"/>
      <c r="E534" s="72"/>
      <c r="F534" s="31"/>
      <c r="G534" s="73"/>
      <c r="H534" s="31"/>
      <c r="I534" s="72"/>
      <c r="J534" s="72"/>
      <c r="K534" s="31">
        <v>4</v>
      </c>
      <c r="L534" s="31">
        <v>6</v>
      </c>
      <c r="M534" s="74"/>
      <c r="N534" s="74"/>
      <c r="O534" s="75"/>
      <c r="P534" s="75"/>
      <c r="Q534" s="76"/>
      <c r="R534" s="76"/>
      <c r="S534" s="31">
        <v>1</v>
      </c>
      <c r="T534" s="31"/>
      <c r="U534" s="76">
        <v>-0.33333333333333337</v>
      </c>
      <c r="V534" s="76"/>
      <c r="W534" s="76"/>
      <c r="X534" s="76"/>
      <c r="Y534" s="76">
        <v>0</v>
      </c>
      <c r="Z534" s="76">
        <v>0</v>
      </c>
      <c r="AA534" s="76"/>
      <c r="AB534" s="76"/>
      <c r="AC534" s="76"/>
      <c r="AD534" s="142"/>
      <c r="AE534" s="142"/>
      <c r="AF534" s="142"/>
    </row>
    <row r="535" spans="1:32" x14ac:dyDescent="0.35">
      <c r="A535" t="s">
        <v>89</v>
      </c>
      <c r="B535" t="s">
        <v>689</v>
      </c>
      <c r="C535" s="31"/>
      <c r="D535" s="31"/>
      <c r="E535" s="72"/>
      <c r="F535" s="31"/>
      <c r="G535" s="73"/>
      <c r="H535" s="31"/>
      <c r="I535" s="72"/>
      <c r="J535" s="72"/>
      <c r="K535" s="31">
        <v>13</v>
      </c>
      <c r="L535" s="31">
        <v>1</v>
      </c>
      <c r="M535" s="74"/>
      <c r="N535" s="74"/>
      <c r="O535" s="75"/>
      <c r="P535" s="75"/>
      <c r="Q535" s="76"/>
      <c r="R535" s="76"/>
      <c r="S535" s="31"/>
      <c r="T535" s="31"/>
      <c r="U535" s="76"/>
      <c r="V535" s="76"/>
      <c r="W535" s="76"/>
      <c r="X535" s="76"/>
      <c r="Y535" s="76">
        <v>0</v>
      </c>
      <c r="Z535" s="76">
        <v>0</v>
      </c>
      <c r="AA535" s="76"/>
      <c r="AB535" s="76"/>
      <c r="AC535" s="76"/>
      <c r="AD535" s="142"/>
      <c r="AE535" s="142"/>
      <c r="AF535" s="142"/>
    </row>
    <row r="536" spans="1:32" x14ac:dyDescent="0.35">
      <c r="A536" t="s">
        <v>89</v>
      </c>
      <c r="B536" t="s">
        <v>657</v>
      </c>
      <c r="C536" s="31"/>
      <c r="D536" s="31">
        <v>1</v>
      </c>
      <c r="E536" s="72"/>
      <c r="F536" s="31">
        <v>1</v>
      </c>
      <c r="G536" s="73"/>
      <c r="H536" s="31">
        <v>5.45</v>
      </c>
      <c r="I536" s="72"/>
      <c r="J536" s="72">
        <v>1.9500000000000002</v>
      </c>
      <c r="K536" s="31">
        <v>288.14285714285717</v>
      </c>
      <c r="L536" s="31">
        <v>616.85714285714289</v>
      </c>
      <c r="M536" s="74"/>
      <c r="N536" s="74">
        <v>616.85714285714289</v>
      </c>
      <c r="O536" s="75"/>
      <c r="P536" s="75">
        <v>5.45</v>
      </c>
      <c r="Q536" s="76"/>
      <c r="R536" s="76">
        <v>0.3577981651376147</v>
      </c>
      <c r="S536" s="31">
        <v>5.2857142857142856</v>
      </c>
      <c r="T536" s="31"/>
      <c r="U536" s="76">
        <v>-0.53288559518295497</v>
      </c>
      <c r="V536" s="76"/>
      <c r="W536" s="76"/>
      <c r="X536" s="76"/>
      <c r="Y536" s="76">
        <v>3.7405262461809308E-4</v>
      </c>
      <c r="Z536" s="76">
        <v>-4.9333991119879794E-3</v>
      </c>
      <c r="AA536" s="76"/>
      <c r="AB536" s="76"/>
      <c r="AC536" s="76"/>
      <c r="AD536" s="142"/>
      <c r="AE536" s="142"/>
      <c r="AF536" s="142"/>
    </row>
    <row r="537" spans="1:32" x14ac:dyDescent="0.35">
      <c r="A537" t="s">
        <v>89</v>
      </c>
      <c r="B537" t="s">
        <v>794</v>
      </c>
      <c r="C537" s="31"/>
      <c r="D537" s="31"/>
      <c r="E537" s="72"/>
      <c r="F537" s="31"/>
      <c r="G537" s="73"/>
      <c r="H537" s="31"/>
      <c r="I537" s="72"/>
      <c r="J537" s="72"/>
      <c r="K537" s="31">
        <v>92</v>
      </c>
      <c r="L537" s="31"/>
      <c r="M537" s="74"/>
      <c r="N537" s="74"/>
      <c r="O537" s="75"/>
      <c r="P537" s="75"/>
      <c r="Q537" s="76"/>
      <c r="R537" s="76"/>
      <c r="S537" s="31"/>
      <c r="T537" s="31"/>
      <c r="U537" s="76"/>
      <c r="V537" s="76"/>
      <c r="W537" s="76"/>
      <c r="X537" s="76"/>
      <c r="Y537" s="76">
        <v>0</v>
      </c>
      <c r="Z537" s="76">
        <v>0</v>
      </c>
      <c r="AA537" s="76"/>
      <c r="AB537" s="76"/>
      <c r="AC537" s="76"/>
      <c r="AD537" s="142"/>
      <c r="AE537" s="142"/>
      <c r="AF537" s="142"/>
    </row>
    <row r="538" spans="1:32" x14ac:dyDescent="0.35">
      <c r="A538" t="s">
        <v>89</v>
      </c>
      <c r="B538" t="s">
        <v>678</v>
      </c>
      <c r="C538" s="31"/>
      <c r="D538" s="31"/>
      <c r="E538" s="72"/>
      <c r="F538" s="31"/>
      <c r="G538" s="73"/>
      <c r="H538" s="31"/>
      <c r="I538" s="72"/>
      <c r="J538" s="72"/>
      <c r="K538" s="31">
        <v>2</v>
      </c>
      <c r="L538" s="31">
        <v>3</v>
      </c>
      <c r="M538" s="74"/>
      <c r="N538" s="74"/>
      <c r="O538" s="75"/>
      <c r="P538" s="75"/>
      <c r="Q538" s="76"/>
      <c r="R538" s="76"/>
      <c r="S538" s="31"/>
      <c r="T538" s="31"/>
      <c r="U538" s="76">
        <v>-0.33333333333333337</v>
      </c>
      <c r="V538" s="76"/>
      <c r="W538" s="76"/>
      <c r="X538" s="76"/>
      <c r="Y538" s="76">
        <v>0</v>
      </c>
      <c r="Z538" s="76">
        <v>0</v>
      </c>
      <c r="AA538" s="76"/>
      <c r="AB538" s="76"/>
      <c r="AC538" s="76"/>
      <c r="AD538" s="142"/>
      <c r="AE538" s="142"/>
      <c r="AF538" s="142"/>
    </row>
    <row r="539" spans="1:32" x14ac:dyDescent="0.35">
      <c r="A539" t="s">
        <v>89</v>
      </c>
      <c r="B539" t="s">
        <v>690</v>
      </c>
      <c r="C539" s="31"/>
      <c r="D539" s="31"/>
      <c r="E539" s="72"/>
      <c r="F539" s="31"/>
      <c r="G539" s="73"/>
      <c r="H539" s="31"/>
      <c r="I539" s="72"/>
      <c r="J539" s="72"/>
      <c r="K539" s="31">
        <v>-1</v>
      </c>
      <c r="L539" s="31">
        <v>6</v>
      </c>
      <c r="M539" s="74"/>
      <c r="N539" s="74"/>
      <c r="O539" s="75"/>
      <c r="P539" s="75"/>
      <c r="Q539" s="76"/>
      <c r="R539" s="76"/>
      <c r="S539" s="31"/>
      <c r="T539" s="31"/>
      <c r="U539" s="76">
        <v>-1.1666666666666667</v>
      </c>
      <c r="V539" s="76"/>
      <c r="W539" s="76"/>
      <c r="X539" s="76"/>
      <c r="Y539" s="76">
        <v>0</v>
      </c>
      <c r="Z539" s="76">
        <v>0</v>
      </c>
      <c r="AA539" s="76"/>
      <c r="AB539" s="76"/>
      <c r="AC539" s="76"/>
      <c r="AD539" s="142"/>
      <c r="AE539" s="142"/>
      <c r="AF539" s="142"/>
    </row>
    <row r="540" spans="1:32" x14ac:dyDescent="0.35">
      <c r="A540" t="s">
        <v>89</v>
      </c>
      <c r="B540" t="s">
        <v>683</v>
      </c>
      <c r="C540" s="31"/>
      <c r="D540" s="31"/>
      <c r="E540" s="72"/>
      <c r="F540" s="31"/>
      <c r="G540" s="73"/>
      <c r="H540" s="31"/>
      <c r="I540" s="72"/>
      <c r="J540" s="72"/>
      <c r="K540" s="31">
        <v>13</v>
      </c>
      <c r="L540" s="31">
        <v>3</v>
      </c>
      <c r="M540" s="74"/>
      <c r="N540" s="74"/>
      <c r="O540" s="75"/>
      <c r="P540" s="75"/>
      <c r="Q540" s="76"/>
      <c r="R540" s="76"/>
      <c r="S540" s="31"/>
      <c r="T540" s="31"/>
      <c r="U540" s="76">
        <v>-0.33333333333333337</v>
      </c>
      <c r="V540" s="76"/>
      <c r="W540" s="76"/>
      <c r="X540" s="76"/>
      <c r="Y540" s="76">
        <v>0</v>
      </c>
      <c r="Z540" s="76">
        <v>0</v>
      </c>
      <c r="AA540" s="76"/>
      <c r="AB540" s="76"/>
      <c r="AC540" s="76"/>
      <c r="AD540" s="142"/>
      <c r="AE540" s="142"/>
      <c r="AF540" s="142"/>
    </row>
    <row r="541" spans="1:32" x14ac:dyDescent="0.35">
      <c r="A541" t="s">
        <v>89</v>
      </c>
      <c r="B541" t="s">
        <v>795</v>
      </c>
      <c r="C541" s="31"/>
      <c r="D541" s="31"/>
      <c r="E541" s="72"/>
      <c r="F541" s="31"/>
      <c r="G541" s="73"/>
      <c r="H541" s="31"/>
      <c r="I541" s="72"/>
      <c r="J541" s="72"/>
      <c r="K541" s="31">
        <v>1</v>
      </c>
      <c r="L541" s="31"/>
      <c r="M541" s="74"/>
      <c r="N541" s="74"/>
      <c r="O541" s="75"/>
      <c r="P541" s="75"/>
      <c r="Q541" s="76"/>
      <c r="R541" s="76"/>
      <c r="S541" s="31"/>
      <c r="T541" s="31"/>
      <c r="U541" s="76"/>
      <c r="V541" s="76"/>
      <c r="W541" s="76"/>
      <c r="X541" s="76"/>
      <c r="Y541" s="76">
        <v>0</v>
      </c>
      <c r="Z541" s="76">
        <v>0</v>
      </c>
      <c r="AA541" s="76"/>
      <c r="AB541" s="76"/>
      <c r="AC541" s="76"/>
      <c r="AD541" s="142"/>
      <c r="AE541" s="142"/>
      <c r="AF541" s="142"/>
    </row>
    <row r="542" spans="1:32" x14ac:dyDescent="0.35">
      <c r="A542" t="s">
        <v>89</v>
      </c>
      <c r="B542" t="s">
        <v>667</v>
      </c>
      <c r="C542" s="31"/>
      <c r="D542" s="31"/>
      <c r="E542" s="72"/>
      <c r="F542" s="31"/>
      <c r="G542" s="73"/>
      <c r="H542" s="31"/>
      <c r="I542" s="72"/>
      <c r="J542" s="72"/>
      <c r="K542" s="31"/>
      <c r="L542" s="31">
        <v>3</v>
      </c>
      <c r="M542" s="74"/>
      <c r="N542" s="74"/>
      <c r="O542" s="75"/>
      <c r="P542" s="75"/>
      <c r="Q542" s="76"/>
      <c r="R542" s="76"/>
      <c r="S542" s="31"/>
      <c r="T542" s="31"/>
      <c r="U542" s="76"/>
      <c r="V542" s="76"/>
      <c r="W542" s="76"/>
      <c r="X542" s="76"/>
      <c r="Y542" s="76"/>
      <c r="Z542" s="76"/>
      <c r="AA542" s="76"/>
      <c r="AB542" s="76"/>
      <c r="AC542" s="76"/>
      <c r="AD542" s="142"/>
      <c r="AE542" s="142"/>
      <c r="AF542" s="142"/>
    </row>
    <row r="543" spans="1:32" x14ac:dyDescent="0.35">
      <c r="A543" t="s">
        <v>89</v>
      </c>
      <c r="B543" t="s">
        <v>706</v>
      </c>
      <c r="C543" s="31"/>
      <c r="D543" s="31"/>
      <c r="E543" s="72"/>
      <c r="F543" s="31"/>
      <c r="G543" s="73"/>
      <c r="H543" s="31"/>
      <c r="I543" s="72"/>
      <c r="J543" s="72"/>
      <c r="K543" s="31">
        <v>3</v>
      </c>
      <c r="L543" s="31">
        <v>2</v>
      </c>
      <c r="M543" s="74"/>
      <c r="N543" s="74"/>
      <c r="O543" s="75"/>
      <c r="P543" s="75"/>
      <c r="Q543" s="76"/>
      <c r="R543" s="76"/>
      <c r="S543" s="31"/>
      <c r="T543" s="31"/>
      <c r="U543" s="76">
        <v>0.5</v>
      </c>
      <c r="V543" s="76"/>
      <c r="W543" s="76"/>
      <c r="X543" s="76"/>
      <c r="Y543" s="76">
        <v>0</v>
      </c>
      <c r="Z543" s="76">
        <v>0</v>
      </c>
      <c r="AA543" s="76"/>
      <c r="AB543" s="76"/>
      <c r="AC543" s="76"/>
      <c r="AD543" s="142"/>
      <c r="AE543" s="142"/>
      <c r="AF543" s="142"/>
    </row>
    <row r="544" spans="1:32" x14ac:dyDescent="0.35">
      <c r="A544" t="s">
        <v>89</v>
      </c>
      <c r="B544" t="s">
        <v>792</v>
      </c>
      <c r="C544" s="31"/>
      <c r="D544" s="31"/>
      <c r="E544" s="72"/>
      <c r="F544" s="31"/>
      <c r="G544" s="73"/>
      <c r="H544" s="31"/>
      <c r="I544" s="72"/>
      <c r="J544" s="72"/>
      <c r="K544" s="31">
        <v>-1</v>
      </c>
      <c r="L544" s="31"/>
      <c r="M544" s="74"/>
      <c r="N544" s="74"/>
      <c r="O544" s="75"/>
      <c r="P544" s="75"/>
      <c r="Q544" s="76"/>
      <c r="R544" s="76"/>
      <c r="S544" s="31"/>
      <c r="T544" s="31"/>
      <c r="U544" s="76"/>
      <c r="V544" s="76"/>
      <c r="W544" s="76"/>
      <c r="X544" s="76"/>
      <c r="Y544" s="76">
        <v>0</v>
      </c>
      <c r="Z544" s="76">
        <v>0</v>
      </c>
      <c r="AA544" s="76"/>
      <c r="AB544" s="76"/>
      <c r="AC544" s="76"/>
      <c r="AD544" s="142"/>
      <c r="AE544" s="142"/>
      <c r="AF544" s="142"/>
    </row>
    <row r="545" spans="1:32" x14ac:dyDescent="0.35">
      <c r="A545" t="s">
        <v>89</v>
      </c>
      <c r="B545" t="s">
        <v>659</v>
      </c>
      <c r="C545" s="31"/>
      <c r="D545" s="31"/>
      <c r="E545" s="72"/>
      <c r="F545" s="31"/>
      <c r="G545" s="73"/>
      <c r="H545" s="31"/>
      <c r="I545" s="72"/>
      <c r="J545" s="72"/>
      <c r="K545" s="31">
        <v>3</v>
      </c>
      <c r="L545" s="31">
        <v>11</v>
      </c>
      <c r="M545" s="74"/>
      <c r="N545" s="74"/>
      <c r="O545" s="75"/>
      <c r="P545" s="75"/>
      <c r="Q545" s="76"/>
      <c r="R545" s="76"/>
      <c r="S545" s="31"/>
      <c r="T545" s="31"/>
      <c r="U545" s="76">
        <v>-0.72727272727272729</v>
      </c>
      <c r="V545" s="76"/>
      <c r="W545" s="76"/>
      <c r="X545" s="76"/>
      <c r="Y545" s="76">
        <v>-0.21020867430441914</v>
      </c>
      <c r="Z545" s="76">
        <v>-0.19230769230769229</v>
      </c>
      <c r="AA545" s="76"/>
      <c r="AB545" s="76"/>
      <c r="AC545" s="76"/>
      <c r="AD545" s="142"/>
      <c r="AE545" s="142"/>
      <c r="AF545" s="142"/>
    </row>
    <row r="546" spans="1:32" x14ac:dyDescent="0.35">
      <c r="A546" t="s">
        <v>89</v>
      </c>
      <c r="B546" t="s">
        <v>710</v>
      </c>
      <c r="C546" s="31"/>
      <c r="D546" s="31"/>
      <c r="E546" s="72"/>
      <c r="F546" s="31"/>
      <c r="G546" s="73"/>
      <c r="H546" s="31"/>
      <c r="I546" s="72"/>
      <c r="J546" s="72"/>
      <c r="K546" s="31"/>
      <c r="L546" s="31">
        <v>1</v>
      </c>
      <c r="M546" s="74"/>
      <c r="N546" s="74"/>
      <c r="O546" s="75"/>
      <c r="P546" s="75"/>
      <c r="Q546" s="76"/>
      <c r="R546" s="76"/>
      <c r="S546" s="31"/>
      <c r="T546" s="31"/>
      <c r="U546" s="76"/>
      <c r="V546" s="76"/>
      <c r="W546" s="76"/>
      <c r="X546" s="76"/>
      <c r="Y546" s="76"/>
      <c r="Z546" s="76"/>
      <c r="AA546" s="76"/>
      <c r="AB546" s="76"/>
      <c r="AC546" s="76"/>
      <c r="AD546" s="142"/>
      <c r="AE546" s="142"/>
      <c r="AF546" s="142"/>
    </row>
    <row r="547" spans="1:32" x14ac:dyDescent="0.35">
      <c r="A547" t="s">
        <v>89</v>
      </c>
      <c r="B547" t="s">
        <v>693</v>
      </c>
      <c r="C547" s="31"/>
      <c r="D547" s="31"/>
      <c r="E547" s="72"/>
      <c r="F547" s="31"/>
      <c r="G547" s="73"/>
      <c r="H547" s="31"/>
      <c r="I547" s="72"/>
      <c r="J547" s="72"/>
      <c r="K547" s="31"/>
      <c r="L547" s="31">
        <v>-3</v>
      </c>
      <c r="M547" s="74"/>
      <c r="N547" s="74"/>
      <c r="O547" s="75"/>
      <c r="P547" s="75"/>
      <c r="Q547" s="76"/>
      <c r="R547" s="76"/>
      <c r="S547" s="31"/>
      <c r="T547" s="31"/>
      <c r="U547" s="76"/>
      <c r="V547" s="76"/>
      <c r="W547" s="76"/>
      <c r="X547" s="76"/>
      <c r="Y547" s="76"/>
      <c r="Z547" s="76"/>
      <c r="AA547" s="76"/>
      <c r="AB547" s="76"/>
      <c r="AC547" s="76"/>
      <c r="AD547" s="142"/>
      <c r="AE547" s="142"/>
      <c r="AF547" s="142"/>
    </row>
    <row r="548" spans="1:32" x14ac:dyDescent="0.35">
      <c r="A548" t="s">
        <v>89</v>
      </c>
      <c r="B548" t="s">
        <v>671</v>
      </c>
      <c r="C548" s="31"/>
      <c r="D548" s="31"/>
      <c r="E548" s="72"/>
      <c r="F548" s="31"/>
      <c r="G548" s="73"/>
      <c r="H548" s="31"/>
      <c r="I548" s="72"/>
      <c r="J548" s="72"/>
      <c r="K548" s="31"/>
      <c r="L548" s="31">
        <v>2</v>
      </c>
      <c r="M548" s="74"/>
      <c r="N548" s="74"/>
      <c r="O548" s="75"/>
      <c r="P548" s="75"/>
      <c r="Q548" s="76"/>
      <c r="R548" s="76"/>
      <c r="S548" s="31"/>
      <c r="T548" s="31"/>
      <c r="U548" s="76"/>
      <c r="V548" s="76"/>
      <c r="W548" s="76"/>
      <c r="X548" s="76"/>
      <c r="Y548" s="76"/>
      <c r="Z548" s="76"/>
      <c r="AA548" s="76"/>
      <c r="AB548" s="76"/>
      <c r="AC548" s="76"/>
      <c r="AD548" s="142"/>
      <c r="AE548" s="142"/>
      <c r="AF548" s="142"/>
    </row>
    <row r="549" spans="1:32" x14ac:dyDescent="0.35">
      <c r="A549" t="s">
        <v>89</v>
      </c>
      <c r="B549" t="s">
        <v>701</v>
      </c>
      <c r="C549" s="31"/>
      <c r="D549" s="31"/>
      <c r="E549" s="72"/>
      <c r="F549" s="31"/>
      <c r="G549" s="73"/>
      <c r="H549" s="31"/>
      <c r="I549" s="72"/>
      <c r="J549" s="72"/>
      <c r="K549" s="31">
        <v>2</v>
      </c>
      <c r="L549" s="31">
        <v>3</v>
      </c>
      <c r="M549" s="74"/>
      <c r="N549" s="74"/>
      <c r="O549" s="75"/>
      <c r="P549" s="75"/>
      <c r="Q549" s="76"/>
      <c r="R549" s="76"/>
      <c r="S549" s="31"/>
      <c r="T549" s="31"/>
      <c r="U549" s="76">
        <v>-0.33333333333333337</v>
      </c>
      <c r="V549" s="76"/>
      <c r="W549" s="76"/>
      <c r="X549" s="76"/>
      <c r="Y549" s="76">
        <v>0</v>
      </c>
      <c r="Z549" s="76">
        <v>0</v>
      </c>
      <c r="AA549" s="76"/>
      <c r="AB549" s="76"/>
      <c r="AC549" s="76"/>
      <c r="AD549" s="142"/>
      <c r="AE549" s="142"/>
      <c r="AF549" s="142"/>
    </row>
    <row r="550" spans="1:32" x14ac:dyDescent="0.35">
      <c r="A550" t="s">
        <v>89</v>
      </c>
      <c r="B550" t="s">
        <v>703</v>
      </c>
      <c r="C550" s="31"/>
      <c r="D550" s="31"/>
      <c r="E550" s="72"/>
      <c r="F550" s="31"/>
      <c r="G550" s="73"/>
      <c r="H550" s="31"/>
      <c r="I550" s="72"/>
      <c r="J550" s="72"/>
      <c r="K550" s="31">
        <v>15.285714285714286</v>
      </c>
      <c r="L550" s="31">
        <v>22</v>
      </c>
      <c r="M550" s="74"/>
      <c r="N550" s="74"/>
      <c r="O550" s="75"/>
      <c r="P550" s="75"/>
      <c r="Q550" s="76"/>
      <c r="R550" s="76"/>
      <c r="S550" s="31"/>
      <c r="T550" s="31"/>
      <c r="U550" s="76">
        <v>-0.39610389610389607</v>
      </c>
      <c r="V550" s="76"/>
      <c r="W550" s="76"/>
      <c r="X550" s="76"/>
      <c r="Y550" s="76">
        <v>0</v>
      </c>
      <c r="Z550" s="76">
        <v>-0.27210884353741494</v>
      </c>
      <c r="AA550" s="76"/>
      <c r="AB550" s="76"/>
      <c r="AC550" s="76"/>
      <c r="AD550" s="142"/>
      <c r="AE550" s="142"/>
      <c r="AF550" s="142"/>
    </row>
    <row r="551" spans="1:32" x14ac:dyDescent="0.35">
      <c r="A551" t="s">
        <v>89</v>
      </c>
      <c r="B551" t="s">
        <v>666</v>
      </c>
      <c r="C551" s="31"/>
      <c r="D551" s="31"/>
      <c r="E551" s="72"/>
      <c r="F551" s="31"/>
      <c r="G551" s="73"/>
      <c r="H551" s="31"/>
      <c r="I551" s="72"/>
      <c r="J551" s="72"/>
      <c r="K551" s="31">
        <v>17</v>
      </c>
      <c r="L551" s="31">
        <v>18</v>
      </c>
      <c r="M551" s="74"/>
      <c r="N551" s="74"/>
      <c r="O551" s="75"/>
      <c r="P551" s="75"/>
      <c r="Q551" s="76"/>
      <c r="R551" s="76"/>
      <c r="S551" s="31">
        <v>4</v>
      </c>
      <c r="T551" s="31"/>
      <c r="U551" s="76">
        <v>-0.11111111111111116</v>
      </c>
      <c r="V551" s="76"/>
      <c r="W551" s="76"/>
      <c r="X551" s="76"/>
      <c r="Y551" s="76">
        <v>-8.213612484357824E-2</v>
      </c>
      <c r="Z551" s="76">
        <v>-7.7519379844961156E-2</v>
      </c>
      <c r="AA551" s="76"/>
      <c r="AB551" s="76"/>
      <c r="AC551" s="76"/>
      <c r="AD551" s="142"/>
      <c r="AE551" s="142"/>
      <c r="AF551" s="142"/>
    </row>
    <row r="552" spans="1:32" x14ac:dyDescent="0.35">
      <c r="A552" t="s">
        <v>89</v>
      </c>
      <c r="B552" t="s">
        <v>700</v>
      </c>
      <c r="C552" s="31"/>
      <c r="D552" s="31"/>
      <c r="E552" s="72"/>
      <c r="F552" s="31"/>
      <c r="G552" s="73"/>
      <c r="H552" s="31"/>
      <c r="I552" s="72"/>
      <c r="J552" s="72"/>
      <c r="K552" s="31">
        <v>2</v>
      </c>
      <c r="L552" s="31">
        <v>4</v>
      </c>
      <c r="M552" s="74"/>
      <c r="N552" s="74"/>
      <c r="O552" s="75"/>
      <c r="P552" s="75"/>
      <c r="Q552" s="76"/>
      <c r="R552" s="76"/>
      <c r="S552" s="31"/>
      <c r="T552" s="31"/>
      <c r="U552" s="76">
        <v>-0.5</v>
      </c>
      <c r="V552" s="76"/>
      <c r="W552" s="76"/>
      <c r="X552" s="76"/>
      <c r="Y552" s="76">
        <v>0</v>
      </c>
      <c r="Z552" s="76">
        <v>0</v>
      </c>
      <c r="AA552" s="76"/>
      <c r="AB552" s="76"/>
      <c r="AC552" s="76"/>
      <c r="AD552" s="142"/>
      <c r="AE552" s="142"/>
      <c r="AF552" s="142"/>
    </row>
    <row r="553" spans="1:32" x14ac:dyDescent="0.35">
      <c r="A553" t="s">
        <v>89</v>
      </c>
      <c r="B553" t="s">
        <v>691</v>
      </c>
      <c r="C553" s="31"/>
      <c r="D553" s="31"/>
      <c r="E553" s="72"/>
      <c r="F553" s="31"/>
      <c r="G553" s="73"/>
      <c r="H553" s="31"/>
      <c r="I553" s="72"/>
      <c r="J553" s="72"/>
      <c r="K553" s="31">
        <v>12</v>
      </c>
      <c r="L553" s="31">
        <v>19</v>
      </c>
      <c r="M553" s="74"/>
      <c r="N553" s="74"/>
      <c r="O553" s="75"/>
      <c r="P553" s="75"/>
      <c r="Q553" s="76"/>
      <c r="R553" s="76"/>
      <c r="S553" s="31"/>
      <c r="T553" s="31"/>
      <c r="U553" s="76">
        <v>-0.36842105263157898</v>
      </c>
      <c r="V553" s="76"/>
      <c r="W553" s="76"/>
      <c r="X553" s="76"/>
      <c r="Y553" s="76">
        <v>-3.5490201498106666E-2</v>
      </c>
      <c r="Z553" s="76">
        <v>-3.4482758620689724E-2</v>
      </c>
      <c r="AA553" s="76"/>
      <c r="AB553" s="76"/>
      <c r="AC553" s="76"/>
      <c r="AD553" s="142"/>
      <c r="AE553" s="142"/>
      <c r="AF553" s="142"/>
    </row>
    <row r="554" spans="1:32" x14ac:dyDescent="0.35">
      <c r="A554" t="s">
        <v>89</v>
      </c>
      <c r="B554" t="s">
        <v>705</v>
      </c>
      <c r="C554" s="31"/>
      <c r="D554" s="31"/>
      <c r="E554" s="72"/>
      <c r="F554" s="31"/>
      <c r="G554" s="73"/>
      <c r="H554" s="31"/>
      <c r="I554" s="72"/>
      <c r="J554" s="72"/>
      <c r="K554" s="31">
        <v>2</v>
      </c>
      <c r="L554" s="31">
        <v>2</v>
      </c>
      <c r="M554" s="74"/>
      <c r="N554" s="74"/>
      <c r="O554" s="75"/>
      <c r="P554" s="75"/>
      <c r="Q554" s="76"/>
      <c r="R554" s="76"/>
      <c r="S554" s="31"/>
      <c r="T554" s="31"/>
      <c r="U554" s="76">
        <v>0</v>
      </c>
      <c r="V554" s="76"/>
      <c r="W554" s="76"/>
      <c r="X554" s="76"/>
      <c r="Y554" s="76">
        <v>0</v>
      </c>
      <c r="Z554" s="76">
        <v>0</v>
      </c>
      <c r="AA554" s="76"/>
      <c r="AB554" s="76"/>
      <c r="AC554" s="76"/>
      <c r="AD554" s="142"/>
      <c r="AE554" s="142"/>
      <c r="AF554" s="142"/>
    </row>
    <row r="555" spans="1:32" x14ac:dyDescent="0.35">
      <c r="A555" t="s">
        <v>89</v>
      </c>
      <c r="B555" t="s">
        <v>711</v>
      </c>
      <c r="C555" s="31"/>
      <c r="D555" s="31"/>
      <c r="E555" s="72"/>
      <c r="F555" s="31"/>
      <c r="G555" s="73"/>
      <c r="H555" s="31"/>
      <c r="I555" s="72"/>
      <c r="J555" s="72"/>
      <c r="K555" s="31"/>
      <c r="L555" s="31">
        <v>1</v>
      </c>
      <c r="M555" s="74"/>
      <c r="N555" s="74"/>
      <c r="O555" s="75"/>
      <c r="P555" s="75"/>
      <c r="Q555" s="76"/>
      <c r="R555" s="76"/>
      <c r="S555" s="31"/>
      <c r="T555" s="31"/>
      <c r="U555" s="76"/>
      <c r="V555" s="76"/>
      <c r="W555" s="76"/>
      <c r="X555" s="76"/>
      <c r="Y555" s="76"/>
      <c r="Z555" s="76"/>
      <c r="AA555" s="76"/>
      <c r="AB555" s="76"/>
      <c r="AC555" s="76"/>
      <c r="AD555" s="142"/>
      <c r="AE555" s="142"/>
      <c r="AF555" s="142"/>
    </row>
    <row r="556" spans="1:32" x14ac:dyDescent="0.35">
      <c r="A556" t="s">
        <v>89</v>
      </c>
      <c r="B556" t="s">
        <v>649</v>
      </c>
      <c r="C556" s="31"/>
      <c r="D556" s="31"/>
      <c r="E556" s="72"/>
      <c r="F556" s="31"/>
      <c r="G556" s="73"/>
      <c r="H556" s="31"/>
      <c r="I556" s="72"/>
      <c r="J556" s="72"/>
      <c r="K556" s="31">
        <v>14</v>
      </c>
      <c r="L556" s="31">
        <v>6</v>
      </c>
      <c r="M556" s="74"/>
      <c r="N556" s="74"/>
      <c r="O556" s="75"/>
      <c r="P556" s="75"/>
      <c r="Q556" s="76"/>
      <c r="R556" s="76"/>
      <c r="S556" s="31">
        <v>8</v>
      </c>
      <c r="T556" s="31"/>
      <c r="U556" s="76">
        <v>0.97619047619047628</v>
      </c>
      <c r="V556" s="76"/>
      <c r="W556" s="76"/>
      <c r="X556" s="76"/>
      <c r="Y556" s="76">
        <v>-0.10214727626133291</v>
      </c>
      <c r="Z556" s="76">
        <v>-6.6666666666666652E-2</v>
      </c>
      <c r="AA556" s="76"/>
      <c r="AB556" s="76"/>
      <c r="AC556" s="76"/>
      <c r="AD556" s="142"/>
      <c r="AE556" s="142"/>
      <c r="AF556" s="142"/>
    </row>
    <row r="557" spans="1:32" x14ac:dyDescent="0.35">
      <c r="A557" t="s">
        <v>89</v>
      </c>
      <c r="B557" t="s">
        <v>713</v>
      </c>
      <c r="C557" s="31"/>
      <c r="D557" s="31"/>
      <c r="E557" s="72"/>
      <c r="F557" s="31"/>
      <c r="G557" s="73"/>
      <c r="H557" s="31"/>
      <c r="I557" s="72"/>
      <c r="J557" s="72"/>
      <c r="K557" s="31">
        <v>2</v>
      </c>
      <c r="L557" s="31"/>
      <c r="M557" s="74"/>
      <c r="N557" s="74"/>
      <c r="O557" s="75"/>
      <c r="P557" s="75"/>
      <c r="Q557" s="76"/>
      <c r="R557" s="76"/>
      <c r="S557" s="31"/>
      <c r="T557" s="31"/>
      <c r="U557" s="76"/>
      <c r="V557" s="76"/>
      <c r="W557" s="76"/>
      <c r="X557" s="76"/>
      <c r="Y557" s="76">
        <v>0</v>
      </c>
      <c r="Z557" s="76">
        <v>0</v>
      </c>
      <c r="AA557" s="76"/>
      <c r="AB557" s="76"/>
      <c r="AC557" s="76"/>
      <c r="AD557" s="142"/>
      <c r="AE557" s="142"/>
      <c r="AF557" s="142"/>
    </row>
    <row r="558" spans="1:32" x14ac:dyDescent="0.35">
      <c r="A558" t="s">
        <v>89</v>
      </c>
      <c r="B558" t="s">
        <v>708</v>
      </c>
      <c r="C558" s="31"/>
      <c r="D558" s="31"/>
      <c r="E558" s="72"/>
      <c r="F558" s="31"/>
      <c r="G558" s="73"/>
      <c r="H558" s="31"/>
      <c r="I558" s="72"/>
      <c r="J558" s="72"/>
      <c r="K558" s="31">
        <v>6</v>
      </c>
      <c r="L558" s="31">
        <v>28</v>
      </c>
      <c r="M558" s="74"/>
      <c r="N558" s="74"/>
      <c r="O558" s="75"/>
      <c r="P558" s="75"/>
      <c r="Q558" s="76"/>
      <c r="R558" s="76"/>
      <c r="S558" s="31">
        <v>25</v>
      </c>
      <c r="T558" s="31"/>
      <c r="U558" s="76">
        <v>-0.7857142857142857</v>
      </c>
      <c r="V558" s="76"/>
      <c r="W558" s="76"/>
      <c r="X558" s="76"/>
      <c r="Y558" s="76">
        <v>-0.12376237623762376</v>
      </c>
      <c r="Z558" s="76">
        <v>-0.1428571428571429</v>
      </c>
      <c r="AA558" s="76"/>
      <c r="AB558" s="76"/>
      <c r="AC558" s="76"/>
      <c r="AD558" s="142"/>
      <c r="AE558" s="142"/>
      <c r="AF558" s="142"/>
    </row>
    <row r="559" spans="1:32" x14ac:dyDescent="0.35">
      <c r="A559" t="s">
        <v>89</v>
      </c>
      <c r="B559" t="s">
        <v>688</v>
      </c>
      <c r="C559" s="31"/>
      <c r="D559" s="31"/>
      <c r="E559" s="72"/>
      <c r="F559" s="31"/>
      <c r="G559" s="73"/>
      <c r="H559" s="31"/>
      <c r="I559" s="72"/>
      <c r="J559" s="72"/>
      <c r="K559" s="31">
        <v>4</v>
      </c>
      <c r="L559" s="31">
        <v>1</v>
      </c>
      <c r="M559" s="74"/>
      <c r="N559" s="74"/>
      <c r="O559" s="75"/>
      <c r="P559" s="75"/>
      <c r="Q559" s="76"/>
      <c r="R559" s="76"/>
      <c r="S559" s="31"/>
      <c r="T559" s="31"/>
      <c r="U559" s="76"/>
      <c r="V559" s="76"/>
      <c r="W559" s="76"/>
      <c r="X559" s="76"/>
      <c r="Y559" s="76">
        <v>-0.17647058823529405</v>
      </c>
      <c r="Z559" s="76">
        <v>-0.17647058823529405</v>
      </c>
      <c r="AA559" s="76"/>
      <c r="AB559" s="76"/>
      <c r="AC559" s="76"/>
      <c r="AD559" s="142"/>
      <c r="AE559" s="142"/>
      <c r="AF559" s="142"/>
    </row>
    <row r="560" spans="1:32" x14ac:dyDescent="0.35">
      <c r="A560" t="s">
        <v>89</v>
      </c>
      <c r="B560" t="s">
        <v>681</v>
      </c>
      <c r="C560" s="31"/>
      <c r="D560" s="31"/>
      <c r="E560" s="72"/>
      <c r="F560" s="31"/>
      <c r="G560" s="73"/>
      <c r="H560" s="31"/>
      <c r="I560" s="72"/>
      <c r="J560" s="72"/>
      <c r="K560" s="31"/>
      <c r="L560" s="31">
        <v>1</v>
      </c>
      <c r="M560" s="74"/>
      <c r="N560" s="74"/>
      <c r="O560" s="75"/>
      <c r="P560" s="75"/>
      <c r="Q560" s="76"/>
      <c r="R560" s="76"/>
      <c r="S560" s="31">
        <v>8</v>
      </c>
      <c r="T560" s="31"/>
      <c r="U560" s="76"/>
      <c r="V560" s="76"/>
      <c r="W560" s="76"/>
      <c r="X560" s="76"/>
      <c r="Y560" s="76"/>
      <c r="Z560" s="76"/>
      <c r="AA560" s="76"/>
      <c r="AB560" s="76"/>
      <c r="AC560" s="76"/>
      <c r="AD560" s="142"/>
      <c r="AE560" s="142"/>
      <c r="AF560" s="142"/>
    </row>
    <row r="561" spans="1:32" x14ac:dyDescent="0.35">
      <c r="A561" t="s">
        <v>89</v>
      </c>
      <c r="B561" t="s">
        <v>696</v>
      </c>
      <c r="C561" s="31"/>
      <c r="D561" s="31"/>
      <c r="E561" s="72"/>
      <c r="F561" s="31"/>
      <c r="G561" s="73"/>
      <c r="H561" s="31"/>
      <c r="I561" s="72"/>
      <c r="J561" s="72"/>
      <c r="K561" s="31">
        <v>7</v>
      </c>
      <c r="L561" s="31">
        <v>5</v>
      </c>
      <c r="M561" s="74"/>
      <c r="N561" s="74"/>
      <c r="O561" s="75"/>
      <c r="P561" s="75"/>
      <c r="Q561" s="76"/>
      <c r="R561" s="76"/>
      <c r="S561" s="31"/>
      <c r="T561" s="31"/>
      <c r="U561" s="76">
        <v>0.39999999999999991</v>
      </c>
      <c r="V561" s="76"/>
      <c r="W561" s="76"/>
      <c r="X561" s="76"/>
      <c r="Y561" s="76">
        <v>0</v>
      </c>
      <c r="Z561" s="76">
        <v>0</v>
      </c>
      <c r="AA561" s="76"/>
      <c r="AB561" s="76"/>
      <c r="AC561" s="76"/>
      <c r="AD561" s="142"/>
      <c r="AE561" s="142"/>
      <c r="AF561" s="142"/>
    </row>
    <row r="562" spans="1:32" x14ac:dyDescent="0.35">
      <c r="A562" t="s">
        <v>89</v>
      </c>
      <c r="B562" t="s">
        <v>665</v>
      </c>
      <c r="C562" s="31"/>
      <c r="D562" s="31">
        <v>1</v>
      </c>
      <c r="E562" s="72"/>
      <c r="F562" s="31">
        <v>1</v>
      </c>
      <c r="G562" s="73"/>
      <c r="H562" s="31">
        <v>109.09</v>
      </c>
      <c r="I562" s="72"/>
      <c r="J562" s="72">
        <v>29.590000000000003</v>
      </c>
      <c r="K562" s="31">
        <v>0</v>
      </c>
      <c r="L562" s="31">
        <v>14.714285714285714</v>
      </c>
      <c r="M562" s="74"/>
      <c r="N562" s="74">
        <v>14.714285714285714</v>
      </c>
      <c r="O562" s="75"/>
      <c r="P562" s="75">
        <v>109.09</v>
      </c>
      <c r="Q562" s="76"/>
      <c r="R562" s="76">
        <v>0.27124392703272532</v>
      </c>
      <c r="S562" s="31"/>
      <c r="T562" s="31"/>
      <c r="U562" s="76"/>
      <c r="V562" s="76"/>
      <c r="W562" s="76"/>
      <c r="X562" s="76"/>
      <c r="Y562" s="76">
        <v>0</v>
      </c>
      <c r="Z562" s="76"/>
      <c r="AA562" s="76"/>
      <c r="AB562" s="76"/>
      <c r="AC562" s="76"/>
      <c r="AD562" s="142"/>
      <c r="AE562" s="142"/>
      <c r="AF562" s="142"/>
    </row>
    <row r="563" spans="1:32" x14ac:dyDescent="0.35">
      <c r="A563" t="s">
        <v>89</v>
      </c>
      <c r="B563" t="s">
        <v>692</v>
      </c>
      <c r="C563" s="31"/>
      <c r="D563" s="31"/>
      <c r="E563" s="72"/>
      <c r="F563" s="31"/>
      <c r="G563" s="73"/>
      <c r="H563" s="31"/>
      <c r="I563" s="72"/>
      <c r="J563" s="72"/>
      <c r="K563" s="31">
        <v>-1</v>
      </c>
      <c r="L563" s="31">
        <v>5</v>
      </c>
      <c r="M563" s="74"/>
      <c r="N563" s="74"/>
      <c r="O563" s="75"/>
      <c r="P563" s="75"/>
      <c r="Q563" s="76"/>
      <c r="R563" s="76"/>
      <c r="S563" s="31">
        <v>15</v>
      </c>
      <c r="T563" s="31"/>
      <c r="U563" s="76">
        <v>-1.2</v>
      </c>
      <c r="V563" s="76"/>
      <c r="W563" s="76"/>
      <c r="X563" s="76"/>
      <c r="Y563" s="76">
        <v>0</v>
      </c>
      <c r="Z563" s="76">
        <v>0</v>
      </c>
      <c r="AA563" s="76"/>
      <c r="AB563" s="76"/>
      <c r="AC563" s="76"/>
      <c r="AD563" s="142"/>
      <c r="AE563" s="142"/>
      <c r="AF563" s="142"/>
    </row>
    <row r="564" spans="1:32" x14ac:dyDescent="0.35">
      <c r="A564" t="s">
        <v>89</v>
      </c>
      <c r="B564" t="s">
        <v>652</v>
      </c>
      <c r="C564" s="31"/>
      <c r="D564" s="31">
        <v>3</v>
      </c>
      <c r="E564" s="72"/>
      <c r="F564" s="31">
        <v>4</v>
      </c>
      <c r="G564" s="73"/>
      <c r="H564" s="31">
        <v>1004.54</v>
      </c>
      <c r="I564" s="72"/>
      <c r="J564" s="72">
        <v>383.93999999999994</v>
      </c>
      <c r="K564" s="31">
        <v>33</v>
      </c>
      <c r="L564" s="31">
        <v>107.71428571428571</v>
      </c>
      <c r="M564" s="74"/>
      <c r="N564" s="74">
        <v>28.928571428571427</v>
      </c>
      <c r="O564" s="75"/>
      <c r="P564" s="75">
        <v>251.13499999999999</v>
      </c>
      <c r="Q564" s="76"/>
      <c r="R564" s="76">
        <v>0.38220479025225473</v>
      </c>
      <c r="S564" s="31">
        <v>2</v>
      </c>
      <c r="T564" s="31"/>
      <c r="U564" s="76">
        <v>-0.70291777188328908</v>
      </c>
      <c r="V564" s="76"/>
      <c r="W564" s="76"/>
      <c r="X564" s="76"/>
      <c r="Y564" s="76">
        <v>3.2548074778030678E-2</v>
      </c>
      <c r="Z564" s="76">
        <v>3.125E-2</v>
      </c>
      <c r="AA564" s="76"/>
      <c r="AB564" s="76"/>
      <c r="AC564" s="76"/>
      <c r="AD564" s="142"/>
      <c r="AE564" s="142"/>
      <c r="AF564" s="142"/>
    </row>
    <row r="565" spans="1:32" x14ac:dyDescent="0.35">
      <c r="A565" t="s">
        <v>89</v>
      </c>
      <c r="B565" t="s">
        <v>658</v>
      </c>
      <c r="C565" s="31"/>
      <c r="D565" s="31">
        <v>1</v>
      </c>
      <c r="E565" s="72"/>
      <c r="F565" s="31">
        <v>1</v>
      </c>
      <c r="G565" s="73"/>
      <c r="H565" s="31">
        <v>115.9</v>
      </c>
      <c r="I565" s="72"/>
      <c r="J565" s="72">
        <v>-35.599999999999994</v>
      </c>
      <c r="K565" s="31">
        <v>5</v>
      </c>
      <c r="L565" s="31">
        <v>17.285714285714285</v>
      </c>
      <c r="M565" s="74"/>
      <c r="N565" s="74">
        <v>17.285714285714285</v>
      </c>
      <c r="O565" s="75"/>
      <c r="P565" s="75">
        <v>115.9</v>
      </c>
      <c r="Q565" s="76"/>
      <c r="R565" s="76">
        <v>-0.30716134598792055</v>
      </c>
      <c r="S565" s="31">
        <v>5</v>
      </c>
      <c r="T565" s="31"/>
      <c r="U565" s="76">
        <v>-0.71074380165289253</v>
      </c>
      <c r="V565" s="76"/>
      <c r="W565" s="76"/>
      <c r="X565" s="76"/>
      <c r="Y565" s="76">
        <v>0</v>
      </c>
      <c r="Z565" s="76">
        <v>0</v>
      </c>
      <c r="AA565" s="76"/>
      <c r="AB565" s="76"/>
      <c r="AC565" s="76"/>
      <c r="AD565" s="142"/>
      <c r="AE565" s="142"/>
      <c r="AF565" s="142"/>
    </row>
    <row r="566" spans="1:32" x14ac:dyDescent="0.35">
      <c r="A566" t="s">
        <v>89</v>
      </c>
      <c r="B566" t="s">
        <v>662</v>
      </c>
      <c r="C566" s="31">
        <v>-1</v>
      </c>
      <c r="D566" s="31"/>
      <c r="E566" s="72">
        <v>-1</v>
      </c>
      <c r="F566" s="31"/>
      <c r="G566" s="73">
        <v>-181.81</v>
      </c>
      <c r="H566" s="31"/>
      <c r="I566" s="72">
        <v>79.19</v>
      </c>
      <c r="J566" s="72"/>
      <c r="K566" s="31">
        <v>10.285714285714286</v>
      </c>
      <c r="L566" s="31">
        <v>29</v>
      </c>
      <c r="M566" s="74">
        <v>-10.285714285714286</v>
      </c>
      <c r="N566" s="74"/>
      <c r="O566" s="75">
        <v>181.81</v>
      </c>
      <c r="P566" s="75"/>
      <c r="Q566" s="76">
        <v>-0.43556460040701828</v>
      </c>
      <c r="R566" s="76"/>
      <c r="S566" s="31">
        <v>10</v>
      </c>
      <c r="T566" s="31"/>
      <c r="U566" s="76">
        <v>-0.64532019704433496</v>
      </c>
      <c r="V566" s="76"/>
      <c r="W566" s="76"/>
      <c r="X566" s="76"/>
      <c r="Y566" s="76">
        <v>3.0905312516651406E-2</v>
      </c>
      <c r="Z566" s="76">
        <v>2.8571428571428692E-2</v>
      </c>
      <c r="AA566" s="76"/>
      <c r="AB566" s="76"/>
      <c r="AC566" s="76"/>
      <c r="AD566" s="142"/>
      <c r="AE566" s="142"/>
      <c r="AF566" s="142"/>
    </row>
    <row r="567" spans="1:32" x14ac:dyDescent="0.35">
      <c r="A567" s="138" t="s">
        <v>850</v>
      </c>
      <c r="B567" s="138"/>
      <c r="C567" s="127">
        <v>3776</v>
      </c>
      <c r="D567" s="127">
        <v>5152</v>
      </c>
      <c r="E567" s="126">
        <v>7167</v>
      </c>
      <c r="F567" s="127">
        <v>12064</v>
      </c>
      <c r="G567" s="127">
        <v>3235352.330000014</v>
      </c>
      <c r="H567" s="127">
        <v>2213243.2200000687</v>
      </c>
      <c r="I567" s="126">
        <v>1948215.6700000141</v>
      </c>
      <c r="J567" s="126">
        <v>758184.1700000593</v>
      </c>
      <c r="K567" s="127">
        <v>107207.14285714286</v>
      </c>
      <c r="L567" s="127">
        <v>190894</v>
      </c>
      <c r="M567" s="140">
        <v>14.95844047120732</v>
      </c>
      <c r="N567" s="140">
        <v>16.005096625963635</v>
      </c>
      <c r="O567" s="139">
        <v>451.42351472024751</v>
      </c>
      <c r="P567" s="139">
        <v>183.45848972149111</v>
      </c>
      <c r="Q567" s="141">
        <v>0.60216491784683213</v>
      </c>
      <c r="R567" s="141">
        <v>0.33612318892784704</v>
      </c>
      <c r="S567" s="127">
        <v>34094.62857142857</v>
      </c>
      <c r="T567" s="127"/>
      <c r="U567" s="141">
        <v>-0.49107956696985167</v>
      </c>
      <c r="V567" s="141">
        <v>-0.4626989389920424</v>
      </c>
      <c r="W567" s="141">
        <v>0.36989467881433469</v>
      </c>
      <c r="X567" s="141">
        <v>1.4727129545627973</v>
      </c>
      <c r="Y567" s="141">
        <v>3.735808725902956E-3</v>
      </c>
      <c r="Z567" s="141">
        <v>-4.2460027864392735E-3</v>
      </c>
      <c r="AA567" s="141">
        <v>6.9541859423966512E-2</v>
      </c>
      <c r="AB567" s="141">
        <v>9.2123935350822306E-2</v>
      </c>
      <c r="AC567" s="141">
        <v>2.1113784119695778E-2</v>
      </c>
      <c r="AD567" s="143">
        <v>0.18176829802577277</v>
      </c>
      <c r="AE567" s="143">
        <v>0.37364040360048134</v>
      </c>
      <c r="AF567" s="143">
        <v>0.79976288182650412</v>
      </c>
    </row>
    <row r="568" spans="1:32" x14ac:dyDescent="0.35">
      <c r="A568" t="s">
        <v>100</v>
      </c>
      <c r="B568" t="s">
        <v>716</v>
      </c>
      <c r="C568" s="31">
        <v>3660</v>
      </c>
      <c r="D568" s="31">
        <v>1984</v>
      </c>
      <c r="E568" s="72">
        <v>4097</v>
      </c>
      <c r="F568" s="31">
        <v>2220</v>
      </c>
      <c r="G568" s="73">
        <v>1830937.0099998917</v>
      </c>
      <c r="H568" s="31">
        <v>1375676.759999997</v>
      </c>
      <c r="I568" s="72">
        <v>1109452.1400000036</v>
      </c>
      <c r="J568" s="72">
        <v>681374.68999999342</v>
      </c>
      <c r="K568" s="31">
        <v>31118.142857142859</v>
      </c>
      <c r="L568" s="31">
        <v>41148.428571428572</v>
      </c>
      <c r="M568" s="74">
        <v>7.5953485128491236</v>
      </c>
      <c r="N568" s="74">
        <v>18.715987895599547</v>
      </c>
      <c r="O568" s="75">
        <v>446.8970002440546</v>
      </c>
      <c r="P568" s="75">
        <v>619.67421621621486</v>
      </c>
      <c r="Q568" s="76">
        <v>0.60594773820212922</v>
      </c>
      <c r="R568" s="76">
        <v>0.4863190805906864</v>
      </c>
      <c r="S568" s="31">
        <v>8829.2857142857138</v>
      </c>
      <c r="T568" s="31"/>
      <c r="U568" s="76">
        <v>-0.26789427820538192</v>
      </c>
      <c r="V568" s="76">
        <v>0.77747747747747753</v>
      </c>
      <c r="W568" s="76">
        <v>0.28418267384258278</v>
      </c>
      <c r="X568" s="76">
        <v>0.60014653411777985</v>
      </c>
      <c r="Y568" s="76">
        <v>0.2581476128103104</v>
      </c>
      <c r="Z568" s="76">
        <v>0.1666032915771829</v>
      </c>
      <c r="AA568" s="76">
        <v>0.27991252733520766</v>
      </c>
      <c r="AB568" s="76">
        <v>0.55335588590686435</v>
      </c>
      <c r="AC568" s="76">
        <v>0.21364222377053266</v>
      </c>
      <c r="AD568" s="142">
        <v>-0.37551755678202264</v>
      </c>
      <c r="AE568" s="142">
        <v>-0.24816665780284813</v>
      </c>
      <c r="AF568" s="142">
        <v>1.0878939070251826E-2</v>
      </c>
    </row>
    <row r="569" spans="1:32" x14ac:dyDescent="0.35">
      <c r="A569" t="s">
        <v>100</v>
      </c>
      <c r="B569" t="s">
        <v>717</v>
      </c>
      <c r="C569" s="31">
        <v>1219</v>
      </c>
      <c r="D569" s="31">
        <v>1365</v>
      </c>
      <c r="E569" s="72">
        <v>1507</v>
      </c>
      <c r="F569" s="31">
        <v>1757</v>
      </c>
      <c r="G569" s="73">
        <v>553226.23999999813</v>
      </c>
      <c r="H569" s="31">
        <v>558445.15999999805</v>
      </c>
      <c r="I569" s="72">
        <v>355862.87999999779</v>
      </c>
      <c r="J569" s="72">
        <v>258409.09999999776</v>
      </c>
      <c r="K569" s="31">
        <v>16839.428571428572</v>
      </c>
      <c r="L569" s="31">
        <v>33376.571428571428</v>
      </c>
      <c r="M569" s="74">
        <v>11.174139728884255</v>
      </c>
      <c r="N569" s="74">
        <v>19.083898973954224</v>
      </c>
      <c r="O569" s="75">
        <v>367.10433974784218</v>
      </c>
      <c r="P569" s="75">
        <v>317.84015936254872</v>
      </c>
      <c r="Q569" s="76">
        <v>0.64325018278236223</v>
      </c>
      <c r="R569" s="76">
        <v>0.44826192645678903</v>
      </c>
      <c r="S569" s="31">
        <v>4761.5714285714284</v>
      </c>
      <c r="T569" s="31"/>
      <c r="U569" s="76">
        <v>-0.5187471108904449</v>
      </c>
      <c r="V569" s="76">
        <v>-0.18838929994308484</v>
      </c>
      <c r="W569" s="76">
        <v>-6.5978528670565306E-2</v>
      </c>
      <c r="X569" s="76">
        <v>0.33824806086352766</v>
      </c>
      <c r="Y569" s="76">
        <v>0.2228260760206886</v>
      </c>
      <c r="Z569" s="76">
        <v>0.39569248256509248</v>
      </c>
      <c r="AA569" s="76">
        <v>6.6800267201068131E-3</v>
      </c>
      <c r="AB569" s="76">
        <v>2.6836639542845209E-2</v>
      </c>
      <c r="AC569" s="76">
        <v>2.0022859585693054E-2</v>
      </c>
      <c r="AD569" s="142">
        <v>-8.2950336801245583E-2</v>
      </c>
      <c r="AE569" s="142">
        <v>0.23576196414132267</v>
      </c>
      <c r="AF569" s="142">
        <v>0.54953764552235529</v>
      </c>
    </row>
    <row r="570" spans="1:32" x14ac:dyDescent="0.35">
      <c r="A570" t="s">
        <v>100</v>
      </c>
      <c r="B570" t="s">
        <v>798</v>
      </c>
      <c r="C570" s="31">
        <v>12</v>
      </c>
      <c r="D570" s="31"/>
      <c r="E570" s="72">
        <v>15</v>
      </c>
      <c r="F570" s="31"/>
      <c r="G570" s="73">
        <v>6818.0599999999995</v>
      </c>
      <c r="H570" s="31"/>
      <c r="I570" s="72">
        <v>2743.06</v>
      </c>
      <c r="J570" s="72"/>
      <c r="K570" s="31">
        <v>154.71428571428572</v>
      </c>
      <c r="L570" s="31"/>
      <c r="M570" s="74">
        <v>10.314285714285715</v>
      </c>
      <c r="N570" s="74"/>
      <c r="O570" s="75">
        <v>454.53733333333332</v>
      </c>
      <c r="P570" s="75"/>
      <c r="Q570" s="76">
        <v>0.40232265483143304</v>
      </c>
      <c r="R570" s="76"/>
      <c r="S570" s="31"/>
      <c r="T570" s="31"/>
      <c r="U570" s="76"/>
      <c r="V570" s="76"/>
      <c r="W570" s="76"/>
      <c r="X570" s="76"/>
      <c r="Y570" s="76">
        <v>-5.5912080859939151E-2</v>
      </c>
      <c r="Z570" s="76">
        <v>-5.579773321708803E-2</v>
      </c>
      <c r="AA570" s="76">
        <v>0.25</v>
      </c>
      <c r="AB570" s="76">
        <v>0.25000183336877857</v>
      </c>
      <c r="AC570" s="76">
        <v>1.4666950227670839E-6</v>
      </c>
      <c r="AD570" s="142"/>
      <c r="AE570" s="142"/>
      <c r="AF570" s="142"/>
    </row>
    <row r="571" spans="1:32" x14ac:dyDescent="0.35">
      <c r="A571" s="138" t="s">
        <v>851</v>
      </c>
      <c r="B571" s="138"/>
      <c r="C571" s="127">
        <v>4783</v>
      </c>
      <c r="D571" s="127">
        <v>3244</v>
      </c>
      <c r="E571" s="126">
        <v>5619</v>
      </c>
      <c r="F571" s="127">
        <v>3977</v>
      </c>
      <c r="G571" s="127">
        <v>2390981.3099999907</v>
      </c>
      <c r="H571" s="127">
        <v>1934121.9200000134</v>
      </c>
      <c r="I571" s="126">
        <v>1468058.0800000182</v>
      </c>
      <c r="J571" s="126">
        <v>939783.78999999899</v>
      </c>
      <c r="K571" s="127">
        <v>48112.285714285717</v>
      </c>
      <c r="L571" s="127">
        <v>74525</v>
      </c>
      <c r="M571" s="140">
        <v>8.5624284951567393</v>
      </c>
      <c r="N571" s="140">
        <v>18.87936352165989</v>
      </c>
      <c r="O571" s="139">
        <v>425.51722904431227</v>
      </c>
      <c r="P571" s="139">
        <v>486.32685944179366</v>
      </c>
      <c r="Q571" s="141">
        <v>0.61399814120672724</v>
      </c>
      <c r="R571" s="141">
        <v>0.47522519289163273</v>
      </c>
      <c r="S571" s="127">
        <v>13590.857142857143</v>
      </c>
      <c r="T571" s="127"/>
      <c r="U571" s="141">
        <v>-0.38024057123688126</v>
      </c>
      <c r="V571" s="141">
        <v>0.35076690973095292</v>
      </c>
      <c r="W571" s="141">
        <v>0.18307951858580407</v>
      </c>
      <c r="X571" s="141">
        <v>0.52871284104873184</v>
      </c>
      <c r="Y571" s="141">
        <v>0.24435547730787111</v>
      </c>
      <c r="Z571" s="141">
        <v>0.23671522420067337</v>
      </c>
      <c r="AA571" s="141">
        <v>0.19299363057324848</v>
      </c>
      <c r="AB571" s="141">
        <v>0.38774973182584804</v>
      </c>
      <c r="AC571" s="141">
        <v>0.16324990868477385</v>
      </c>
      <c r="AD571" s="143">
        <v>-0.31508570838750749</v>
      </c>
      <c r="AE571" s="143">
        <v>-0.17065532811372355</v>
      </c>
      <c r="AF571" s="143">
        <v>0.10615691144110663</v>
      </c>
    </row>
    <row r="572" spans="1:32" x14ac:dyDescent="0.35">
      <c r="A572" t="s">
        <v>201</v>
      </c>
      <c r="B572" t="s">
        <v>799</v>
      </c>
      <c r="C572" s="31">
        <v>65</v>
      </c>
      <c r="D572" s="31"/>
      <c r="E572" s="72">
        <v>71</v>
      </c>
      <c r="F572" s="31"/>
      <c r="G572" s="73">
        <v>616034.99999999965</v>
      </c>
      <c r="H572" s="31"/>
      <c r="I572" s="72">
        <v>174922.22000000006</v>
      </c>
      <c r="J572" s="72"/>
      <c r="K572" s="31">
        <v>806</v>
      </c>
      <c r="L572" s="31"/>
      <c r="M572" s="74">
        <v>11.352112676056338</v>
      </c>
      <c r="N572" s="74"/>
      <c r="O572" s="75">
        <v>8676.5492957746428</v>
      </c>
      <c r="P572" s="75"/>
      <c r="Q572" s="76">
        <v>0.28394850941910793</v>
      </c>
      <c r="R572" s="76"/>
      <c r="S572" s="31">
        <v>224.57142857142858</v>
      </c>
      <c r="T572" s="31"/>
      <c r="U572" s="76"/>
      <c r="V572" s="76"/>
      <c r="W572" s="76"/>
      <c r="X572" s="76"/>
      <c r="Y572" s="76">
        <v>-0.1860228608852873</v>
      </c>
      <c r="Z572" s="76">
        <v>-6.573936082132803E-2</v>
      </c>
      <c r="AA572" s="76">
        <v>-5.3333333333333344E-2</v>
      </c>
      <c r="AB572" s="76">
        <v>-0.22629442725133653</v>
      </c>
      <c r="AC572" s="76">
        <v>-0.18270538089929922</v>
      </c>
      <c r="AD572" s="142"/>
      <c r="AE572" s="142"/>
      <c r="AF572" s="142"/>
    </row>
    <row r="573" spans="1:32" x14ac:dyDescent="0.35">
      <c r="A573" t="s">
        <v>201</v>
      </c>
      <c r="B573" t="s">
        <v>800</v>
      </c>
      <c r="C573" s="31">
        <v>135</v>
      </c>
      <c r="D573" s="31"/>
      <c r="E573" s="72">
        <v>137</v>
      </c>
      <c r="F573" s="31"/>
      <c r="G573" s="73">
        <v>433752.1100000001</v>
      </c>
      <c r="H573" s="31"/>
      <c r="I573" s="72">
        <v>72109.439999999973</v>
      </c>
      <c r="J573" s="72"/>
      <c r="K573" s="31">
        <v>3094.2857142857142</v>
      </c>
      <c r="L573" s="31"/>
      <c r="M573" s="74">
        <v>22.586027111574555</v>
      </c>
      <c r="N573" s="74"/>
      <c r="O573" s="75">
        <v>3166.0737956204389</v>
      </c>
      <c r="P573" s="75"/>
      <c r="Q573" s="76">
        <v>0.16624573883917235</v>
      </c>
      <c r="R573" s="76"/>
      <c r="S573" s="31">
        <v>2</v>
      </c>
      <c r="T573" s="31"/>
      <c r="U573" s="76"/>
      <c r="V573" s="76"/>
      <c r="W573" s="76"/>
      <c r="X573" s="76"/>
      <c r="Y573" s="76">
        <v>-4.5351320888982527E-2</v>
      </c>
      <c r="Z573" s="76">
        <v>-5.4437508185270933E-2</v>
      </c>
      <c r="AA573" s="76">
        <v>0.25688073394495414</v>
      </c>
      <c r="AB573" s="76">
        <v>0.39732789039049354</v>
      </c>
      <c r="AC573" s="76">
        <v>0.11174262812090374</v>
      </c>
      <c r="AD573" s="142"/>
      <c r="AE573" s="142"/>
      <c r="AF573" s="142"/>
    </row>
    <row r="574" spans="1:32" x14ac:dyDescent="0.35">
      <c r="A574" t="s">
        <v>201</v>
      </c>
      <c r="B574" t="s">
        <v>801</v>
      </c>
      <c r="C574" s="31">
        <v>12</v>
      </c>
      <c r="D574" s="31"/>
      <c r="E574" s="72">
        <v>12</v>
      </c>
      <c r="F574" s="31"/>
      <c r="G574" s="73">
        <v>185159.94999999998</v>
      </c>
      <c r="H574" s="31"/>
      <c r="I574" s="72">
        <v>-18974.489999999998</v>
      </c>
      <c r="J574" s="72"/>
      <c r="K574" s="31">
        <v>325.71428571428572</v>
      </c>
      <c r="L574" s="31"/>
      <c r="M574" s="74">
        <v>27.142857142857142</v>
      </c>
      <c r="N574" s="74"/>
      <c r="O574" s="75">
        <v>15429.995833333332</v>
      </c>
      <c r="P574" s="75"/>
      <c r="Q574" s="76">
        <v>-0.10247621043319573</v>
      </c>
      <c r="R574" s="76"/>
      <c r="S574" s="31">
        <v>2</v>
      </c>
      <c r="T574" s="31"/>
      <c r="U574" s="76"/>
      <c r="V574" s="76"/>
      <c r="W574" s="76"/>
      <c r="X574" s="76"/>
      <c r="Y574" s="76">
        <v>-1.9690792343585062E-2</v>
      </c>
      <c r="Z574" s="76">
        <v>-1.8932874354561036E-2</v>
      </c>
      <c r="AA574" s="76">
        <v>3</v>
      </c>
      <c r="AB574" s="76">
        <v>2.7659671273042044</v>
      </c>
      <c r="AC574" s="76">
        <v>-5.8508218173948912E-2</v>
      </c>
      <c r="AD574" s="142"/>
      <c r="AE574" s="142"/>
      <c r="AF574" s="142"/>
    </row>
    <row r="575" spans="1:32" x14ac:dyDescent="0.35">
      <c r="A575" t="s">
        <v>201</v>
      </c>
      <c r="B575" t="s">
        <v>805</v>
      </c>
      <c r="C575" s="31">
        <v>8</v>
      </c>
      <c r="D575" s="31"/>
      <c r="E575" s="72">
        <v>8</v>
      </c>
      <c r="F575" s="31"/>
      <c r="G575" s="73">
        <v>176661.63999999996</v>
      </c>
      <c r="H575" s="31"/>
      <c r="I575" s="72">
        <v>-32966.82</v>
      </c>
      <c r="J575" s="72"/>
      <c r="K575" s="31">
        <v>353</v>
      </c>
      <c r="L575" s="31"/>
      <c r="M575" s="74">
        <v>44.125</v>
      </c>
      <c r="N575" s="74"/>
      <c r="O575" s="75">
        <v>22082.704999999994</v>
      </c>
      <c r="P575" s="75"/>
      <c r="Q575" s="76">
        <v>-0.1866099510906839</v>
      </c>
      <c r="R575" s="76"/>
      <c r="S575" s="31"/>
      <c r="T575" s="31"/>
      <c r="U575" s="76"/>
      <c r="V575" s="76"/>
      <c r="W575" s="76"/>
      <c r="X575" s="76"/>
      <c r="Y575" s="76">
        <v>-7.5614973522978302E-3</v>
      </c>
      <c r="Z575" s="76">
        <v>-8.8247091857200921E-3</v>
      </c>
      <c r="AA575" s="76">
        <v>1</v>
      </c>
      <c r="AB575" s="76">
        <v>1.0783732133520996</v>
      </c>
      <c r="AC575" s="76">
        <v>3.9186606676049784E-2</v>
      </c>
      <c r="AD575" s="142"/>
      <c r="AE575" s="142"/>
      <c r="AF575" s="142"/>
    </row>
    <row r="576" spans="1:32" x14ac:dyDescent="0.35">
      <c r="A576" t="s">
        <v>201</v>
      </c>
      <c r="B576" t="s">
        <v>755</v>
      </c>
      <c r="C576" s="31">
        <v>327</v>
      </c>
      <c r="D576" s="31"/>
      <c r="E576" s="72">
        <v>441</v>
      </c>
      <c r="F576" s="31"/>
      <c r="G576" s="73">
        <v>159016.39000000063</v>
      </c>
      <c r="H576" s="31"/>
      <c r="I576" s="72">
        <v>58913.23000000004</v>
      </c>
      <c r="J576" s="72"/>
      <c r="K576" s="31">
        <v>5536.2857142857147</v>
      </c>
      <c r="L576" s="31">
        <v>7</v>
      </c>
      <c r="M576" s="74">
        <v>12.55393586005831</v>
      </c>
      <c r="N576" s="74"/>
      <c r="O576" s="75">
        <v>360.58138321995608</v>
      </c>
      <c r="P576" s="75"/>
      <c r="Q576" s="76">
        <v>0.37048526884555616</v>
      </c>
      <c r="R576" s="76"/>
      <c r="S576" s="31">
        <v>473.57142857142856</v>
      </c>
      <c r="T576" s="31"/>
      <c r="U576" s="76">
        <v>711.57142857142856</v>
      </c>
      <c r="V576" s="76"/>
      <c r="W576" s="76"/>
      <c r="X576" s="76"/>
      <c r="Y576" s="76">
        <v>-7.377226156941441E-2</v>
      </c>
      <c r="Z576" s="76">
        <v>-7.8930481283422282E-2</v>
      </c>
      <c r="AA576" s="76">
        <v>-8.3160083160083165E-2</v>
      </c>
      <c r="AB576" s="76">
        <v>-0.1639379678573033</v>
      </c>
      <c r="AC576" s="76">
        <v>-8.8104676960006456E-2</v>
      </c>
      <c r="AD576" s="142"/>
      <c r="AE576" s="142"/>
      <c r="AF576" s="142"/>
    </row>
    <row r="577" spans="1:32" x14ac:dyDescent="0.35">
      <c r="A577" t="s">
        <v>201</v>
      </c>
      <c r="B577" t="s">
        <v>802</v>
      </c>
      <c r="C577" s="31">
        <v>16</v>
      </c>
      <c r="D577" s="31"/>
      <c r="E577" s="72">
        <v>16</v>
      </c>
      <c r="F577" s="31"/>
      <c r="G577" s="73">
        <v>105407.46000000002</v>
      </c>
      <c r="H577" s="31"/>
      <c r="I577" s="72">
        <v>-11652.83</v>
      </c>
      <c r="J577" s="72"/>
      <c r="K577" s="31">
        <v>296.71428571428572</v>
      </c>
      <c r="L577" s="31"/>
      <c r="M577" s="74">
        <v>18.544642857142858</v>
      </c>
      <c r="N577" s="74"/>
      <c r="O577" s="75">
        <v>6587.9662500000013</v>
      </c>
      <c r="P577" s="75"/>
      <c r="Q577" s="76">
        <v>-0.1105503348624471</v>
      </c>
      <c r="R577" s="76"/>
      <c r="S577" s="31"/>
      <c r="T577" s="31"/>
      <c r="U577" s="76"/>
      <c r="V577" s="76"/>
      <c r="W577" s="76"/>
      <c r="X577" s="76"/>
      <c r="Y577" s="76">
        <v>-2.8299139972405962E-2</v>
      </c>
      <c r="Z577" s="76">
        <v>-3.1701631701631761E-2</v>
      </c>
      <c r="AA577" s="76">
        <v>0.14285714285714279</v>
      </c>
      <c r="AB577" s="76">
        <v>-8.3412514568491969E-2</v>
      </c>
      <c r="AC577" s="76">
        <v>-0.19798595024743049</v>
      </c>
      <c r="AD577" s="142"/>
      <c r="AE577" s="142"/>
      <c r="AF577" s="142"/>
    </row>
    <row r="578" spans="1:32" x14ac:dyDescent="0.35">
      <c r="A578" t="s">
        <v>201</v>
      </c>
      <c r="B578" t="s">
        <v>806</v>
      </c>
      <c r="C578" s="31">
        <v>9</v>
      </c>
      <c r="D578" s="31"/>
      <c r="E578" s="72">
        <v>9</v>
      </c>
      <c r="F578" s="31"/>
      <c r="G578" s="73">
        <v>98149.06</v>
      </c>
      <c r="H578" s="31"/>
      <c r="I578" s="72">
        <v>36089.880000000005</v>
      </c>
      <c r="J578" s="72"/>
      <c r="K578" s="31">
        <v>174.28571428571428</v>
      </c>
      <c r="L578" s="31"/>
      <c r="M578" s="74">
        <v>19.365079365079364</v>
      </c>
      <c r="N578" s="74"/>
      <c r="O578" s="75">
        <v>10905.451111111111</v>
      </c>
      <c r="P578" s="75"/>
      <c r="Q578" s="76">
        <v>0.3677047951350732</v>
      </c>
      <c r="R578" s="76"/>
      <c r="S578" s="31">
        <v>128.57142857142858</v>
      </c>
      <c r="T578" s="31"/>
      <c r="U578" s="76"/>
      <c r="V578" s="76"/>
      <c r="W578" s="76"/>
      <c r="X578" s="76"/>
      <c r="Y578" s="76">
        <v>6.9223617355305134E-3</v>
      </c>
      <c r="Z578" s="76">
        <v>2.1775544388609624E-2</v>
      </c>
      <c r="AA578" s="76">
        <v>0.8</v>
      </c>
      <c r="AB578" s="76">
        <v>1.2159750869183066</v>
      </c>
      <c r="AC578" s="76">
        <v>0.23109727051017037</v>
      </c>
      <c r="AD578" s="142"/>
      <c r="AE578" s="142"/>
      <c r="AF578" s="142"/>
    </row>
    <row r="579" spans="1:32" x14ac:dyDescent="0.35">
      <c r="A579" t="s">
        <v>201</v>
      </c>
      <c r="B579" t="s">
        <v>803</v>
      </c>
      <c r="C579" s="31">
        <v>4</v>
      </c>
      <c r="D579" s="31"/>
      <c r="E579" s="72">
        <v>4</v>
      </c>
      <c r="F579" s="31"/>
      <c r="G579" s="73">
        <v>65830.83</v>
      </c>
      <c r="H579" s="31"/>
      <c r="I579" s="72">
        <v>-13864.15</v>
      </c>
      <c r="J579" s="72"/>
      <c r="K579" s="31">
        <v>251.57142857142858</v>
      </c>
      <c r="L579" s="31"/>
      <c r="M579" s="74">
        <v>62.892857142857146</v>
      </c>
      <c r="N579" s="74"/>
      <c r="O579" s="75">
        <v>16457.7075</v>
      </c>
      <c r="P579" s="75"/>
      <c r="Q579" s="76">
        <v>-0.21060269177830507</v>
      </c>
      <c r="R579" s="76"/>
      <c r="S579" s="31">
        <v>1</v>
      </c>
      <c r="T579" s="31"/>
      <c r="U579" s="76"/>
      <c r="V579" s="76"/>
      <c r="W579" s="76"/>
      <c r="X579" s="76"/>
      <c r="Y579" s="76">
        <v>-8.4820882956249122E-3</v>
      </c>
      <c r="Z579" s="76">
        <v>-9.5613048368953235E-3</v>
      </c>
      <c r="AA579" s="76">
        <v>0.33333333333333326</v>
      </c>
      <c r="AB579" s="76">
        <v>0.31661712664685071</v>
      </c>
      <c r="AC579" s="76">
        <v>-1.2537155014861967E-2</v>
      </c>
      <c r="AD579" s="142"/>
      <c r="AE579" s="142"/>
      <c r="AF579" s="142"/>
    </row>
    <row r="580" spans="1:32" x14ac:dyDescent="0.35">
      <c r="A580" t="s">
        <v>201</v>
      </c>
      <c r="B580" t="s">
        <v>804</v>
      </c>
      <c r="C580" s="31">
        <v>22</v>
      </c>
      <c r="D580" s="31"/>
      <c r="E580" s="72">
        <v>26</v>
      </c>
      <c r="F580" s="31"/>
      <c r="G580" s="73">
        <v>46416.44000000001</v>
      </c>
      <c r="H580" s="31"/>
      <c r="I580" s="72">
        <v>15245.31</v>
      </c>
      <c r="J580" s="72"/>
      <c r="K580" s="31">
        <v>461.85714285714283</v>
      </c>
      <c r="L580" s="31"/>
      <c r="M580" s="74">
        <v>17.763736263736263</v>
      </c>
      <c r="N580" s="74"/>
      <c r="O580" s="75">
        <v>1785.2476923076927</v>
      </c>
      <c r="P580" s="75"/>
      <c r="Q580" s="76">
        <v>0.32844634357999014</v>
      </c>
      <c r="R580" s="76"/>
      <c r="S580" s="31">
        <v>89.142857142857139</v>
      </c>
      <c r="T580" s="31"/>
      <c r="U580" s="76"/>
      <c r="V580" s="76"/>
      <c r="W580" s="76"/>
      <c r="X580" s="76"/>
      <c r="Y580" s="76">
        <v>9.8306759539488198E-3</v>
      </c>
      <c r="Z580" s="76">
        <v>1.9230769230769162E-2</v>
      </c>
      <c r="AA580" s="76">
        <v>0.13043478260869557</v>
      </c>
      <c r="AB580" s="76">
        <v>0.14139282736228287</v>
      </c>
      <c r="AC580" s="76">
        <v>9.6936549743271705E-3</v>
      </c>
      <c r="AD580" s="142"/>
      <c r="AE580" s="142"/>
      <c r="AF580" s="142"/>
    </row>
    <row r="581" spans="1:32" x14ac:dyDescent="0.35">
      <c r="A581" t="s">
        <v>201</v>
      </c>
      <c r="B581" t="s">
        <v>807</v>
      </c>
      <c r="C581" s="31">
        <v>13</v>
      </c>
      <c r="D581" s="31"/>
      <c r="E581" s="72">
        <v>14</v>
      </c>
      <c r="F581" s="31"/>
      <c r="G581" s="73">
        <v>37596.200000000012</v>
      </c>
      <c r="H581" s="31"/>
      <c r="I581" s="72">
        <v>1304.2</v>
      </c>
      <c r="J581" s="72"/>
      <c r="K581" s="31">
        <v>293.42857142857144</v>
      </c>
      <c r="L581" s="31"/>
      <c r="M581" s="74">
        <v>20.95918367346939</v>
      </c>
      <c r="N581" s="74"/>
      <c r="O581" s="75">
        <v>2685.442857142858</v>
      </c>
      <c r="P581" s="75"/>
      <c r="Q581" s="76">
        <v>3.4689676084285102E-2</v>
      </c>
      <c r="R581" s="76"/>
      <c r="S581" s="31">
        <v>1</v>
      </c>
      <c r="T581" s="31"/>
      <c r="U581" s="76"/>
      <c r="V581" s="76"/>
      <c r="W581" s="76"/>
      <c r="X581" s="76"/>
      <c r="Y581" s="76">
        <v>-3.6320575722250226E-2</v>
      </c>
      <c r="Z581" s="76">
        <v>-3.838951310861427E-2</v>
      </c>
      <c r="AA581" s="76">
        <v>0.16666666666666674</v>
      </c>
      <c r="AB581" s="76">
        <v>9.7701834048079972E-2</v>
      </c>
      <c r="AC581" s="76">
        <v>-5.9112713673074357E-2</v>
      </c>
      <c r="AD581" s="142"/>
      <c r="AE581" s="142"/>
      <c r="AF581" s="142"/>
    </row>
    <row r="582" spans="1:32" x14ac:dyDescent="0.35">
      <c r="A582" t="s">
        <v>201</v>
      </c>
      <c r="B582" t="s">
        <v>809</v>
      </c>
      <c r="C582" s="31">
        <v>51</v>
      </c>
      <c r="D582" s="31"/>
      <c r="E582" s="72">
        <v>73</v>
      </c>
      <c r="F582" s="31"/>
      <c r="G582" s="73">
        <v>23891.179999999997</v>
      </c>
      <c r="H582" s="31"/>
      <c r="I582" s="72">
        <v>8004.0499999999975</v>
      </c>
      <c r="J582" s="72"/>
      <c r="K582" s="31">
        <v>1227</v>
      </c>
      <c r="L582" s="31"/>
      <c r="M582" s="74">
        <v>16.80821917808219</v>
      </c>
      <c r="N582" s="74"/>
      <c r="O582" s="75">
        <v>327.27643835616436</v>
      </c>
      <c r="P582" s="75"/>
      <c r="Q582" s="76">
        <v>0.33502112495071396</v>
      </c>
      <c r="R582" s="76"/>
      <c r="S582" s="31"/>
      <c r="T582" s="31"/>
      <c r="U582" s="76"/>
      <c r="V582" s="76"/>
      <c r="W582" s="76"/>
      <c r="X582" s="76"/>
      <c r="Y582" s="76">
        <v>-5.2588924169163831E-2</v>
      </c>
      <c r="Z582" s="76">
        <v>-5.1568021201413461E-2</v>
      </c>
      <c r="AA582" s="76">
        <v>0.35185185185185186</v>
      </c>
      <c r="AB582" s="76">
        <v>0.34272312606923561</v>
      </c>
      <c r="AC582" s="76">
        <v>-6.7527560583735546E-3</v>
      </c>
      <c r="AD582" s="142"/>
      <c r="AE582" s="142"/>
      <c r="AF582" s="142"/>
    </row>
    <row r="583" spans="1:32" x14ac:dyDescent="0.35">
      <c r="A583" t="s">
        <v>201</v>
      </c>
      <c r="B583" t="s">
        <v>808</v>
      </c>
      <c r="C583" s="31">
        <v>6</v>
      </c>
      <c r="D583" s="31"/>
      <c r="E583" s="72">
        <v>6</v>
      </c>
      <c r="F583" s="31"/>
      <c r="G583" s="73">
        <v>20824.939999999999</v>
      </c>
      <c r="H583" s="31"/>
      <c r="I583" s="72">
        <v>3009.91</v>
      </c>
      <c r="J583" s="72"/>
      <c r="K583" s="31">
        <v>256.42857142857144</v>
      </c>
      <c r="L583" s="31"/>
      <c r="M583" s="74">
        <v>42.738095238095241</v>
      </c>
      <c r="N583" s="74"/>
      <c r="O583" s="75">
        <v>3470.8233333333333</v>
      </c>
      <c r="P583" s="75"/>
      <c r="Q583" s="76">
        <v>0.14453390982158892</v>
      </c>
      <c r="R583" s="76"/>
      <c r="S583" s="31">
        <v>14.857142857142858</v>
      </c>
      <c r="T583" s="31"/>
      <c r="U583" s="76"/>
      <c r="V583" s="76"/>
      <c r="W583" s="76"/>
      <c r="X583" s="76"/>
      <c r="Y583" s="76">
        <v>-2.6417683345309029E-2</v>
      </c>
      <c r="Z583" s="76">
        <v>-2.4456521739130266E-2</v>
      </c>
      <c r="AA583" s="76">
        <v>0.19999999999999996</v>
      </c>
      <c r="AB583" s="76">
        <v>0.31526379878332222</v>
      </c>
      <c r="AC583" s="76">
        <v>9.6053165652768557E-2</v>
      </c>
      <c r="AD583" s="142"/>
      <c r="AE583" s="142"/>
      <c r="AF583" s="142"/>
    </row>
    <row r="584" spans="1:32" x14ac:dyDescent="0.35">
      <c r="A584" t="s">
        <v>201</v>
      </c>
      <c r="B584" t="s">
        <v>812</v>
      </c>
      <c r="C584" s="31">
        <v>10</v>
      </c>
      <c r="D584" s="31"/>
      <c r="E584" s="72">
        <v>15</v>
      </c>
      <c r="F584" s="31"/>
      <c r="G584" s="73">
        <v>13569.91</v>
      </c>
      <c r="H584" s="31"/>
      <c r="I584" s="72">
        <v>6562.7400000000007</v>
      </c>
      <c r="J584" s="72"/>
      <c r="K584" s="31">
        <v>226</v>
      </c>
      <c r="L584" s="31"/>
      <c r="M584" s="74">
        <v>15.066666666666666</v>
      </c>
      <c r="N584" s="74"/>
      <c r="O584" s="75">
        <v>904.66066666666666</v>
      </c>
      <c r="P584" s="75"/>
      <c r="Q584" s="76">
        <v>0.48362443081789053</v>
      </c>
      <c r="R584" s="76"/>
      <c r="S584" s="31"/>
      <c r="T584" s="31"/>
      <c r="U584" s="76"/>
      <c r="V584" s="76"/>
      <c r="W584" s="76"/>
      <c r="X584" s="76"/>
      <c r="Y584" s="76">
        <v>4.6099687690301927E-3</v>
      </c>
      <c r="Z584" s="76">
        <v>-3.1230863441518597E-2</v>
      </c>
      <c r="AA584" s="76">
        <v>0.66666666666666674</v>
      </c>
      <c r="AB584" s="76">
        <v>7.9120665894232722E-2</v>
      </c>
      <c r="AC584" s="76">
        <v>-0.35252760046346032</v>
      </c>
      <c r="AD584" s="142"/>
      <c r="AE584" s="142"/>
      <c r="AF584" s="142"/>
    </row>
    <row r="585" spans="1:32" x14ac:dyDescent="0.35">
      <c r="A585" t="s">
        <v>201</v>
      </c>
      <c r="B585" t="s">
        <v>810</v>
      </c>
      <c r="C585" s="31">
        <v>5</v>
      </c>
      <c r="D585" s="31"/>
      <c r="E585" s="72">
        <v>6</v>
      </c>
      <c r="F585" s="31"/>
      <c r="G585" s="73">
        <v>11699.94</v>
      </c>
      <c r="H585" s="31"/>
      <c r="I585" s="72">
        <v>5315.53</v>
      </c>
      <c r="J585" s="72"/>
      <c r="K585" s="31">
        <v>79</v>
      </c>
      <c r="L585" s="31"/>
      <c r="M585" s="74">
        <v>13.166666666666666</v>
      </c>
      <c r="N585" s="74"/>
      <c r="O585" s="75">
        <v>1949.99</v>
      </c>
      <c r="P585" s="75"/>
      <c r="Q585" s="76">
        <v>0.4543211332707689</v>
      </c>
      <c r="R585" s="76"/>
      <c r="S585" s="31">
        <v>6</v>
      </c>
      <c r="T585" s="31"/>
      <c r="U585" s="76"/>
      <c r="V585" s="76"/>
      <c r="W585" s="76"/>
      <c r="X585" s="76"/>
      <c r="Y585" s="76">
        <v>0.17058935941929088</v>
      </c>
      <c r="Z585" s="76">
        <v>0.1716101694915253</v>
      </c>
      <c r="AA585" s="76">
        <v>0</v>
      </c>
      <c r="AB585" s="76">
        <v>1.0072285287315408E-2</v>
      </c>
      <c r="AC585" s="76">
        <v>1.0072285287315408E-2</v>
      </c>
      <c r="AD585" s="142"/>
      <c r="AE585" s="142"/>
      <c r="AF585" s="142"/>
    </row>
    <row r="586" spans="1:32" x14ac:dyDescent="0.35">
      <c r="A586" t="s">
        <v>201</v>
      </c>
      <c r="B586" t="s">
        <v>813</v>
      </c>
      <c r="C586" s="31">
        <v>11</v>
      </c>
      <c r="D586" s="31"/>
      <c r="E586" s="72">
        <v>11</v>
      </c>
      <c r="F586" s="31"/>
      <c r="G586" s="73">
        <v>11549.869999999999</v>
      </c>
      <c r="H586" s="31"/>
      <c r="I586" s="72">
        <v>3856.0300000000007</v>
      </c>
      <c r="J586" s="72"/>
      <c r="K586" s="31">
        <v>115.85714285714286</v>
      </c>
      <c r="L586" s="31"/>
      <c r="M586" s="74">
        <v>10.532467532467534</v>
      </c>
      <c r="N586" s="74"/>
      <c r="O586" s="75">
        <v>1049.9881818181818</v>
      </c>
      <c r="P586" s="75"/>
      <c r="Q586" s="76">
        <v>0.33385916897765955</v>
      </c>
      <c r="R586" s="76"/>
      <c r="S586" s="31">
        <v>91</v>
      </c>
      <c r="T586" s="31"/>
      <c r="U586" s="76"/>
      <c r="V586" s="76"/>
      <c r="W586" s="76"/>
      <c r="X586" s="76"/>
      <c r="Y586" s="76">
        <v>4.6451612903225525E-2</v>
      </c>
      <c r="Z586" s="76">
        <v>4.6451612903225969E-2</v>
      </c>
      <c r="AA586" s="76">
        <v>0.10000000000000009</v>
      </c>
      <c r="AB586" s="76">
        <v>0.10000019047836739</v>
      </c>
      <c r="AC586" s="76">
        <v>1.7316215239482347E-7</v>
      </c>
      <c r="AD586" s="142"/>
      <c r="AE586" s="142"/>
      <c r="AF586" s="142"/>
    </row>
    <row r="587" spans="1:32" x14ac:dyDescent="0.35">
      <c r="A587" t="s">
        <v>201</v>
      </c>
      <c r="B587" t="s">
        <v>822</v>
      </c>
      <c r="C587" s="31">
        <v>2</v>
      </c>
      <c r="D587" s="31"/>
      <c r="E587" s="72">
        <v>2</v>
      </c>
      <c r="F587" s="31"/>
      <c r="G587" s="73">
        <v>9983.32</v>
      </c>
      <c r="H587" s="31"/>
      <c r="I587" s="72">
        <v>3493.32</v>
      </c>
      <c r="J587" s="72"/>
      <c r="K587" s="31">
        <v>40</v>
      </c>
      <c r="L587" s="31"/>
      <c r="M587" s="74">
        <v>20</v>
      </c>
      <c r="N587" s="74"/>
      <c r="O587" s="75">
        <v>4991.66</v>
      </c>
      <c r="P587" s="75"/>
      <c r="Q587" s="76">
        <v>0.34991565931974539</v>
      </c>
      <c r="R587" s="76"/>
      <c r="S587" s="31"/>
      <c r="T587" s="31"/>
      <c r="U587" s="76"/>
      <c r="V587" s="76"/>
      <c r="W587" s="76"/>
      <c r="X587" s="76"/>
      <c r="Y587" s="76">
        <v>3.0633494725418764E-2</v>
      </c>
      <c r="Z587" s="76">
        <v>2.564102564102555E-2</v>
      </c>
      <c r="AA587" s="76"/>
      <c r="AB587" s="76"/>
      <c r="AC587" s="76"/>
      <c r="AD587" s="142"/>
      <c r="AE587" s="142"/>
      <c r="AF587" s="142"/>
    </row>
    <row r="588" spans="1:32" x14ac:dyDescent="0.35">
      <c r="A588" t="s">
        <v>201</v>
      </c>
      <c r="B588" t="s">
        <v>811</v>
      </c>
      <c r="C588" s="31">
        <v>2</v>
      </c>
      <c r="D588" s="31"/>
      <c r="E588" s="72">
        <v>2</v>
      </c>
      <c r="F588" s="31"/>
      <c r="G588" s="73">
        <v>5415.83</v>
      </c>
      <c r="H588" s="31"/>
      <c r="I588" s="72">
        <v>1625.33</v>
      </c>
      <c r="J588" s="72"/>
      <c r="K588" s="31">
        <v>106.42857142857143</v>
      </c>
      <c r="L588" s="31"/>
      <c r="M588" s="74">
        <v>53.214285714285715</v>
      </c>
      <c r="N588" s="74"/>
      <c r="O588" s="75">
        <v>2707.915</v>
      </c>
      <c r="P588" s="75"/>
      <c r="Q588" s="76">
        <v>0.30010727810880328</v>
      </c>
      <c r="R588" s="76"/>
      <c r="S588" s="31"/>
      <c r="T588" s="31"/>
      <c r="U588" s="76"/>
      <c r="V588" s="76"/>
      <c r="W588" s="76"/>
      <c r="X588" s="76"/>
      <c r="Y588" s="76">
        <v>-4.1640142555462001E-2</v>
      </c>
      <c r="Z588" s="76">
        <v>-3.9948453608247392E-2</v>
      </c>
      <c r="AA588" s="76">
        <v>-0.5</v>
      </c>
      <c r="AB588" s="76">
        <v>-0.52902344955931524</v>
      </c>
      <c r="AC588" s="76">
        <v>-5.8046899118630479E-2</v>
      </c>
      <c r="AD588" s="142"/>
      <c r="AE588" s="142"/>
      <c r="AF588" s="142"/>
    </row>
    <row r="589" spans="1:32" x14ac:dyDescent="0.35">
      <c r="A589" t="s">
        <v>201</v>
      </c>
      <c r="B589" t="s">
        <v>814</v>
      </c>
      <c r="C589" s="31">
        <v>1</v>
      </c>
      <c r="D589" s="31"/>
      <c r="E589" s="72">
        <v>1</v>
      </c>
      <c r="F589" s="31"/>
      <c r="G589" s="73">
        <v>4158.32</v>
      </c>
      <c r="H589" s="31"/>
      <c r="I589" s="72">
        <v>1455.32</v>
      </c>
      <c r="J589" s="72"/>
      <c r="K589" s="31">
        <v>50.142857142857146</v>
      </c>
      <c r="L589" s="31"/>
      <c r="M589" s="74">
        <v>50.142857142857146</v>
      </c>
      <c r="N589" s="74"/>
      <c r="O589" s="75">
        <v>4158.32</v>
      </c>
      <c r="P589" s="75"/>
      <c r="Q589" s="76">
        <v>0.34997787568056332</v>
      </c>
      <c r="R589" s="76"/>
      <c r="S589" s="31"/>
      <c r="T589" s="31"/>
      <c r="U589" s="76"/>
      <c r="V589" s="76"/>
      <c r="W589" s="76"/>
      <c r="X589" s="76"/>
      <c r="Y589" s="76">
        <v>4.2233776688163527E-2</v>
      </c>
      <c r="Z589" s="76">
        <v>4.4642857142857206E-2</v>
      </c>
      <c r="AA589" s="76"/>
      <c r="AB589" s="76"/>
      <c r="AC589" s="76"/>
      <c r="AD589" s="142"/>
      <c r="AE589" s="142"/>
      <c r="AF589" s="142"/>
    </row>
    <row r="590" spans="1:32" x14ac:dyDescent="0.35">
      <c r="A590" t="s">
        <v>201</v>
      </c>
      <c r="B590" t="s">
        <v>815</v>
      </c>
      <c r="C590" s="31">
        <v>1</v>
      </c>
      <c r="D590" s="31"/>
      <c r="E590" s="72">
        <v>1</v>
      </c>
      <c r="F590" s="31"/>
      <c r="G590" s="73">
        <v>2491.66</v>
      </c>
      <c r="H590" s="31"/>
      <c r="I590" s="72">
        <v>547.08000000000004</v>
      </c>
      <c r="J590" s="72"/>
      <c r="K590" s="31">
        <v>6.1428571428571432</v>
      </c>
      <c r="L590" s="31"/>
      <c r="M590" s="74">
        <v>6.1428571428571432</v>
      </c>
      <c r="N590" s="74"/>
      <c r="O590" s="75">
        <v>2491.66</v>
      </c>
      <c r="P590" s="75"/>
      <c r="Q590" s="76">
        <v>0.21956446706211927</v>
      </c>
      <c r="R590" s="76"/>
      <c r="S590" s="31"/>
      <c r="T590" s="31"/>
      <c r="U590" s="76"/>
      <c r="V590" s="76"/>
      <c r="W590" s="76"/>
      <c r="X590" s="76"/>
      <c r="Y590" s="76">
        <v>-0.12389011810159456</v>
      </c>
      <c r="Z590" s="76">
        <v>-0.12244897959183665</v>
      </c>
      <c r="AA590" s="76">
        <v>0</v>
      </c>
      <c r="AB590" s="76">
        <v>9.1244328434034516E-2</v>
      </c>
      <c r="AC590" s="76">
        <v>9.1244328434034516E-2</v>
      </c>
      <c r="AD590" s="142"/>
      <c r="AE590" s="142"/>
      <c r="AF590" s="142"/>
    </row>
    <row r="591" spans="1:32" x14ac:dyDescent="0.35">
      <c r="A591" t="s">
        <v>201</v>
      </c>
      <c r="B591" t="s">
        <v>816</v>
      </c>
      <c r="C591" s="31">
        <v>6</v>
      </c>
      <c r="D591" s="31"/>
      <c r="E591" s="72">
        <v>6</v>
      </c>
      <c r="F591" s="31"/>
      <c r="G591" s="73">
        <v>1749.9500000000003</v>
      </c>
      <c r="H591" s="31"/>
      <c r="I591" s="72">
        <v>586.61</v>
      </c>
      <c r="J591" s="72"/>
      <c r="K591" s="31">
        <v>125.28571428571429</v>
      </c>
      <c r="L591" s="31"/>
      <c r="M591" s="74">
        <v>20.880952380952383</v>
      </c>
      <c r="N591" s="74"/>
      <c r="O591" s="75">
        <v>291.65833333333336</v>
      </c>
      <c r="P591" s="75"/>
      <c r="Q591" s="76">
        <v>0.33521529186548182</v>
      </c>
      <c r="R591" s="76"/>
      <c r="S591" s="31">
        <v>48.571428571428569</v>
      </c>
      <c r="T591" s="31"/>
      <c r="U591" s="76"/>
      <c r="V591" s="76"/>
      <c r="W591" s="76"/>
      <c r="X591" s="76"/>
      <c r="Y591" s="76">
        <v>-5.291576673866083E-2</v>
      </c>
      <c r="Z591" s="76">
        <v>-5.291576673866083E-2</v>
      </c>
      <c r="AA591" s="76">
        <v>-0.45454545454545459</v>
      </c>
      <c r="AB591" s="76">
        <v>-0.46188499384993842</v>
      </c>
      <c r="AC591" s="76">
        <v>-1.345582205822049E-2</v>
      </c>
      <c r="AD591" s="142"/>
      <c r="AE591" s="142"/>
      <c r="AF591" s="142"/>
    </row>
    <row r="592" spans="1:32" x14ac:dyDescent="0.35">
      <c r="A592" t="s">
        <v>201</v>
      </c>
      <c r="B592" t="s">
        <v>824</v>
      </c>
      <c r="C592" s="31">
        <v>0</v>
      </c>
      <c r="D592" s="31"/>
      <c r="E592" s="72">
        <v>0</v>
      </c>
      <c r="F592" s="31"/>
      <c r="G592" s="73">
        <v>0</v>
      </c>
      <c r="H592" s="31"/>
      <c r="I592" s="72">
        <v>0</v>
      </c>
      <c r="J592" s="72"/>
      <c r="K592" s="31">
        <v>23.571428571428573</v>
      </c>
      <c r="L592" s="31"/>
      <c r="M592" s="74"/>
      <c r="N592" s="74"/>
      <c r="O592" s="75"/>
      <c r="P592" s="75"/>
      <c r="Q592" s="76"/>
      <c r="R592" s="76"/>
      <c r="S592" s="31">
        <v>3</v>
      </c>
      <c r="T592" s="31"/>
      <c r="U592" s="76"/>
      <c r="V592" s="76"/>
      <c r="W592" s="76"/>
      <c r="X592" s="76"/>
      <c r="Y592" s="76">
        <v>-0.20707570214844906</v>
      </c>
      <c r="Z592" s="76">
        <v>-0.18316831683168311</v>
      </c>
      <c r="AA592" s="76">
        <v>-1</v>
      </c>
      <c r="AB592" s="76">
        <v>-1</v>
      </c>
      <c r="AC592" s="76"/>
      <c r="AD592" s="142"/>
      <c r="AE592" s="142"/>
      <c r="AF592" s="142"/>
    </row>
    <row r="593" spans="1:32" x14ac:dyDescent="0.35">
      <c r="A593" t="s">
        <v>201</v>
      </c>
      <c r="B593" t="s">
        <v>817</v>
      </c>
      <c r="C593" s="31"/>
      <c r="D593" s="31"/>
      <c r="E593" s="72"/>
      <c r="F593" s="31"/>
      <c r="G593" s="73"/>
      <c r="H593" s="31"/>
      <c r="I593" s="72"/>
      <c r="J593" s="72"/>
      <c r="K593" s="31">
        <v>47.285714285714285</v>
      </c>
      <c r="L593" s="31"/>
      <c r="M593" s="74"/>
      <c r="N593" s="74"/>
      <c r="O593" s="75"/>
      <c r="P593" s="75"/>
      <c r="Q593" s="76"/>
      <c r="R593" s="76"/>
      <c r="S593" s="31"/>
      <c r="T593" s="31"/>
      <c r="U593" s="76"/>
      <c r="V593" s="76"/>
      <c r="W593" s="76"/>
      <c r="X593" s="76"/>
      <c r="Y593" s="76">
        <v>-7.0763197342739392E-2</v>
      </c>
      <c r="Z593" s="76">
        <v>-7.02247191011236E-2</v>
      </c>
      <c r="AA593" s="76"/>
      <c r="AB593" s="76"/>
      <c r="AC593" s="76"/>
      <c r="AD593" s="142"/>
      <c r="AE593" s="142"/>
      <c r="AF593" s="142"/>
    </row>
    <row r="594" spans="1:32" x14ac:dyDescent="0.35">
      <c r="A594" t="s">
        <v>201</v>
      </c>
      <c r="B594" t="s">
        <v>821</v>
      </c>
      <c r="C594" s="31"/>
      <c r="D594" s="31"/>
      <c r="E594" s="72"/>
      <c r="F594" s="31"/>
      <c r="G594" s="73"/>
      <c r="H594" s="31"/>
      <c r="I594" s="72"/>
      <c r="J594" s="72"/>
      <c r="K594" s="31">
        <v>1</v>
      </c>
      <c r="L594" s="31"/>
      <c r="M594" s="74"/>
      <c r="N594" s="74"/>
      <c r="O594" s="75"/>
      <c r="P594" s="75"/>
      <c r="Q594" s="76"/>
      <c r="R594" s="76"/>
      <c r="S594" s="31"/>
      <c r="T594" s="31"/>
      <c r="U594" s="76"/>
      <c r="V594" s="76"/>
      <c r="W594" s="76"/>
      <c r="X594" s="76"/>
      <c r="Y594" s="76">
        <v>0</v>
      </c>
      <c r="Z594" s="76">
        <v>0</v>
      </c>
      <c r="AA594" s="76"/>
      <c r="AB594" s="76"/>
      <c r="AC594" s="76"/>
      <c r="AD594" s="142"/>
      <c r="AE594" s="142"/>
      <c r="AF594" s="142"/>
    </row>
    <row r="595" spans="1:32" x14ac:dyDescent="0.35">
      <c r="A595" t="s">
        <v>201</v>
      </c>
      <c r="B595" t="s">
        <v>820</v>
      </c>
      <c r="C595" s="31"/>
      <c r="D595" s="31"/>
      <c r="E595" s="72"/>
      <c r="F595" s="31"/>
      <c r="G595" s="73"/>
      <c r="H595" s="31"/>
      <c r="I595" s="72"/>
      <c r="J595" s="72"/>
      <c r="K595" s="31">
        <v>1</v>
      </c>
      <c r="L595" s="31"/>
      <c r="M595" s="74"/>
      <c r="N595" s="74"/>
      <c r="O595" s="75"/>
      <c r="P595" s="75"/>
      <c r="Q595" s="76"/>
      <c r="R595" s="76"/>
      <c r="S595" s="31"/>
      <c r="T595" s="31"/>
      <c r="U595" s="76"/>
      <c r="V595" s="76"/>
      <c r="W595" s="76"/>
      <c r="X595" s="76"/>
      <c r="Y595" s="76"/>
      <c r="Z595" s="76"/>
      <c r="AA595" s="76"/>
      <c r="AB595" s="76"/>
      <c r="AC595" s="76"/>
      <c r="AD595" s="142"/>
      <c r="AE595" s="142"/>
      <c r="AF595" s="142"/>
    </row>
    <row r="596" spans="1:32" x14ac:dyDescent="0.35">
      <c r="A596" t="s">
        <v>201</v>
      </c>
      <c r="B596" t="s">
        <v>819</v>
      </c>
      <c r="C596" s="31"/>
      <c r="D596" s="31"/>
      <c r="E596" s="72"/>
      <c r="F596" s="31"/>
      <c r="G596" s="73"/>
      <c r="H596" s="31"/>
      <c r="I596" s="72"/>
      <c r="J596" s="72"/>
      <c r="K596" s="31">
        <v>56</v>
      </c>
      <c r="L596" s="31"/>
      <c r="M596" s="74"/>
      <c r="N596" s="74"/>
      <c r="O596" s="75"/>
      <c r="P596" s="75"/>
      <c r="Q596" s="76"/>
      <c r="R596" s="76"/>
      <c r="S596" s="31">
        <v>5</v>
      </c>
      <c r="T596" s="31"/>
      <c r="U596" s="76"/>
      <c r="V596" s="76"/>
      <c r="W596" s="76"/>
      <c r="X596" s="76"/>
      <c r="Y596" s="76">
        <v>0</v>
      </c>
      <c r="Z596" s="76">
        <v>0</v>
      </c>
      <c r="AA596" s="76"/>
      <c r="AB596" s="76"/>
      <c r="AC596" s="76"/>
      <c r="AD596" s="142"/>
      <c r="AE596" s="142"/>
      <c r="AF596" s="142"/>
    </row>
    <row r="597" spans="1:32" x14ac:dyDescent="0.35">
      <c r="A597" t="s">
        <v>201</v>
      </c>
      <c r="B597" t="s">
        <v>818</v>
      </c>
      <c r="C597" s="31"/>
      <c r="D597" s="31"/>
      <c r="E597" s="72"/>
      <c r="F597" s="31"/>
      <c r="G597" s="73"/>
      <c r="H597" s="31"/>
      <c r="I597" s="72"/>
      <c r="J597" s="72"/>
      <c r="K597" s="31">
        <v>2</v>
      </c>
      <c r="L597" s="31"/>
      <c r="M597" s="74"/>
      <c r="N597" s="74"/>
      <c r="O597" s="75"/>
      <c r="P597" s="75"/>
      <c r="Q597" s="76"/>
      <c r="R597" s="76"/>
      <c r="S597" s="31"/>
      <c r="T597" s="31"/>
      <c r="U597" s="76"/>
      <c r="V597" s="76"/>
      <c r="W597" s="76"/>
      <c r="X597" s="76"/>
      <c r="Y597" s="76">
        <v>-0.30000000000000004</v>
      </c>
      <c r="Z597" s="76">
        <v>-0.30000000000000004</v>
      </c>
      <c r="AA597" s="76"/>
      <c r="AB597" s="76"/>
      <c r="AC597" s="76"/>
      <c r="AD597" s="142"/>
      <c r="AE597" s="142"/>
      <c r="AF597" s="142"/>
    </row>
    <row r="598" spans="1:32" x14ac:dyDescent="0.35">
      <c r="A598" t="s">
        <v>201</v>
      </c>
      <c r="B598" t="s">
        <v>823</v>
      </c>
      <c r="C598" s="31"/>
      <c r="D598" s="31"/>
      <c r="E598" s="72"/>
      <c r="F598" s="31"/>
      <c r="G598" s="73"/>
      <c r="H598" s="31"/>
      <c r="I598" s="72"/>
      <c r="J598" s="72"/>
      <c r="K598" s="31">
        <v>1</v>
      </c>
      <c r="L598" s="31"/>
      <c r="M598" s="74"/>
      <c r="N598" s="74"/>
      <c r="O598" s="75"/>
      <c r="P598" s="75"/>
      <c r="Q598" s="76"/>
      <c r="R598" s="76"/>
      <c r="S598" s="31"/>
      <c r="T598" s="31"/>
      <c r="U598" s="76"/>
      <c r="V598" s="76"/>
      <c r="W598" s="76"/>
      <c r="X598" s="76"/>
      <c r="Y598" s="76">
        <v>0</v>
      </c>
      <c r="Z598" s="76">
        <v>0</v>
      </c>
      <c r="AA598" s="76"/>
      <c r="AB598" s="76"/>
      <c r="AC598" s="76"/>
      <c r="AD598" s="142"/>
      <c r="AE598" s="142"/>
      <c r="AF598" s="142"/>
    </row>
    <row r="599" spans="1:32" x14ac:dyDescent="0.35">
      <c r="A599" s="138" t="s">
        <v>852</v>
      </c>
      <c r="B599" s="138"/>
      <c r="C599" s="127">
        <v>663</v>
      </c>
      <c r="D599" s="127"/>
      <c r="E599" s="126">
        <v>861</v>
      </c>
      <c r="F599" s="127"/>
      <c r="G599" s="127">
        <v>2029359.9999999937</v>
      </c>
      <c r="H599" s="127"/>
      <c r="I599" s="126">
        <v>315581.90999999939</v>
      </c>
      <c r="J599" s="126"/>
      <c r="K599" s="127">
        <v>13957.285714285714</v>
      </c>
      <c r="L599" s="127">
        <v>7</v>
      </c>
      <c r="M599" s="140">
        <v>16.210552513688402</v>
      </c>
      <c r="N599" s="140"/>
      <c r="O599" s="139">
        <v>2356.9802555168335</v>
      </c>
      <c r="P599" s="139"/>
      <c r="Q599" s="141">
        <v>0.15550809614853961</v>
      </c>
      <c r="R599" s="141"/>
      <c r="S599" s="127">
        <v>1082.2857142857142</v>
      </c>
      <c r="T599" s="127"/>
      <c r="U599" s="141">
        <v>1847.9183673469386</v>
      </c>
      <c r="V599" s="141"/>
      <c r="W599" s="141"/>
      <c r="X599" s="141"/>
      <c r="Y599" s="141">
        <v>-3.6655738218468237E-2</v>
      </c>
      <c r="Z599" s="141">
        <v>-5.4960680189199418E-2</v>
      </c>
      <c r="AA599" s="141">
        <v>3.4855769230769162E-2</v>
      </c>
      <c r="AB599" s="141">
        <v>0.12358346809282761</v>
      </c>
      <c r="AC599" s="141">
        <v>8.5739193325473417E-2</v>
      </c>
      <c r="AD599" s="143"/>
      <c r="AE599" s="143"/>
      <c r="AF599" s="143"/>
    </row>
    <row r="600" spans="1:32" x14ac:dyDescent="0.35">
      <c r="A600" t="s">
        <v>88</v>
      </c>
      <c r="B600" t="s">
        <v>719</v>
      </c>
      <c r="C600" s="31">
        <v>423</v>
      </c>
      <c r="D600" s="31">
        <v>470</v>
      </c>
      <c r="E600" s="72">
        <v>535</v>
      </c>
      <c r="F600" s="31">
        <v>581</v>
      </c>
      <c r="G600" s="73">
        <v>861988.67000000062</v>
      </c>
      <c r="H600" s="31">
        <v>654078.55000000354</v>
      </c>
      <c r="I600" s="72">
        <v>554890.87000000034</v>
      </c>
      <c r="J600" s="72">
        <v>375351.18000000325</v>
      </c>
      <c r="K600" s="31">
        <v>9455.8571428571431</v>
      </c>
      <c r="L600" s="31">
        <v>9642.5714285714294</v>
      </c>
      <c r="M600" s="74">
        <v>17.674499332443258</v>
      </c>
      <c r="N600" s="74">
        <v>16.893037822211518</v>
      </c>
      <c r="O600" s="75">
        <v>1611.1937757009357</v>
      </c>
      <c r="P600" s="75">
        <v>1125.7806368330525</v>
      </c>
      <c r="Q600" s="76">
        <v>0.64373336832837946</v>
      </c>
      <c r="R600" s="76">
        <v>0.56012215295326429</v>
      </c>
      <c r="S600" s="31">
        <v>4123.5714285714284</v>
      </c>
      <c r="T600" s="31"/>
      <c r="U600" s="76">
        <v>-5.284601025215574E-2</v>
      </c>
      <c r="V600" s="76">
        <v>-0.11359724612736666</v>
      </c>
      <c r="W600" s="76">
        <v>0.2707506002146014</v>
      </c>
      <c r="X600" s="76">
        <v>0.46402461543639073</v>
      </c>
      <c r="Y600" s="76">
        <v>1.7533797786213778E-2</v>
      </c>
      <c r="Z600" s="76">
        <v>1.2326986311845145E-2</v>
      </c>
      <c r="AA600" s="76">
        <v>-2.1937842778793404E-2</v>
      </c>
      <c r="AB600" s="76">
        <v>-6.0660058563770658E-3</v>
      </c>
      <c r="AC600" s="76">
        <v>1.6227840741236843E-2</v>
      </c>
      <c r="AD600" s="142">
        <v>-0.49637398684095829</v>
      </c>
      <c r="AE600" s="142">
        <v>-0.25999747353120573</v>
      </c>
      <c r="AF600" s="142">
        <v>7.7021257337420599E-3</v>
      </c>
    </row>
    <row r="601" spans="1:32" x14ac:dyDescent="0.35">
      <c r="A601" t="s">
        <v>88</v>
      </c>
      <c r="B601" t="s">
        <v>718</v>
      </c>
      <c r="C601" s="31">
        <v>369</v>
      </c>
      <c r="D601" s="31">
        <v>806</v>
      </c>
      <c r="E601" s="72">
        <v>447</v>
      </c>
      <c r="F601" s="31">
        <v>986</v>
      </c>
      <c r="G601" s="73">
        <v>742197.77999999782</v>
      </c>
      <c r="H601" s="31">
        <v>944954.03000000725</v>
      </c>
      <c r="I601" s="72">
        <v>452506.0399999998</v>
      </c>
      <c r="J601" s="72">
        <v>479791.02000000782</v>
      </c>
      <c r="K601" s="31">
        <v>6519.7142857142853</v>
      </c>
      <c r="L601" s="31">
        <v>12407.714285714286</v>
      </c>
      <c r="M601" s="74">
        <v>14.585490572067753</v>
      </c>
      <c r="N601" s="74">
        <v>12.923581408611348</v>
      </c>
      <c r="O601" s="75">
        <v>1660.3977181208004</v>
      </c>
      <c r="P601" s="75">
        <v>958.37122718053479</v>
      </c>
      <c r="Q601" s="76">
        <v>0.60968390393191574</v>
      </c>
      <c r="R601" s="76">
        <v>0.50108167469810505</v>
      </c>
      <c r="S601" s="31">
        <v>8587.8571428571431</v>
      </c>
      <c r="T601" s="31"/>
      <c r="U601" s="76">
        <v>-0.47460105464342461</v>
      </c>
      <c r="V601" s="76">
        <v>-0.62271805273833669</v>
      </c>
      <c r="W601" s="76">
        <v>-0.25283209808630158</v>
      </c>
      <c r="X601" s="76">
        <v>1.0548347428367411E-2</v>
      </c>
      <c r="Y601" s="76">
        <v>5.6411718374799191E-2</v>
      </c>
      <c r="Z601" s="76">
        <v>4.9149425287356108E-2</v>
      </c>
      <c r="AA601" s="76">
        <v>-7.644628099173556E-2</v>
      </c>
      <c r="AB601" s="76">
        <v>-0.15096155721574989</v>
      </c>
      <c r="AC601" s="76">
        <v>-8.068320736559953E-2</v>
      </c>
      <c r="AD601" s="142">
        <v>-0.56532190684235828</v>
      </c>
      <c r="AE601" s="142">
        <v>-0.52486963113951957</v>
      </c>
      <c r="AF601" s="142">
        <v>-0.37966311567597738</v>
      </c>
    </row>
    <row r="602" spans="1:32" x14ac:dyDescent="0.35">
      <c r="A602" t="s">
        <v>88</v>
      </c>
      <c r="B602" t="s">
        <v>721</v>
      </c>
      <c r="C602" s="31">
        <v>159</v>
      </c>
      <c r="D602" s="31">
        <v>251</v>
      </c>
      <c r="E602" s="72">
        <v>186</v>
      </c>
      <c r="F602" s="31">
        <v>337</v>
      </c>
      <c r="G602" s="73">
        <v>139779.24999999974</v>
      </c>
      <c r="H602" s="31">
        <v>98964.460000000123</v>
      </c>
      <c r="I602" s="72">
        <v>84031.209999999992</v>
      </c>
      <c r="J602" s="72">
        <v>44713.270000000099</v>
      </c>
      <c r="K602" s="31">
        <v>3079.1428571428573</v>
      </c>
      <c r="L602" s="31">
        <v>4201.8571428571431</v>
      </c>
      <c r="M602" s="74">
        <v>16.554531490015361</v>
      </c>
      <c r="N602" s="74">
        <v>13.036028487641392</v>
      </c>
      <c r="O602" s="75">
        <v>751.50134408602014</v>
      </c>
      <c r="P602" s="75">
        <v>293.66308605341283</v>
      </c>
      <c r="Q602" s="76">
        <v>0.60117084617352112</v>
      </c>
      <c r="R602" s="76">
        <v>0.44869951383235174</v>
      </c>
      <c r="S602" s="31">
        <v>5287.4285714285716</v>
      </c>
      <c r="T602" s="31"/>
      <c r="U602" s="76">
        <v>-0.29527759834086964</v>
      </c>
      <c r="V602" s="76">
        <v>-0.4599406528189911</v>
      </c>
      <c r="W602" s="76">
        <v>0.37934931388500015</v>
      </c>
      <c r="X602" s="76">
        <v>0.83875191138357907</v>
      </c>
      <c r="Y602" s="76">
        <v>-3.6772205610400288E-2</v>
      </c>
      <c r="Z602" s="76">
        <v>-5.6304728546409666E-2</v>
      </c>
      <c r="AA602" s="76">
        <v>0.13414634146341453</v>
      </c>
      <c r="AB602" s="76">
        <v>3.968690216566495E-2</v>
      </c>
      <c r="AC602" s="76">
        <v>-8.3286817445327621E-2</v>
      </c>
      <c r="AD602" s="142">
        <v>-0.37524939641030391</v>
      </c>
      <c r="AE602" s="142">
        <v>-5.3925543816947065E-2</v>
      </c>
      <c r="AF602" s="142">
        <v>0.2513706000189721</v>
      </c>
    </row>
    <row r="603" spans="1:32" x14ac:dyDescent="0.35">
      <c r="A603" t="s">
        <v>88</v>
      </c>
      <c r="B603" t="s">
        <v>720</v>
      </c>
      <c r="C603" s="31">
        <v>102</v>
      </c>
      <c r="D603" s="31">
        <v>231</v>
      </c>
      <c r="E603" s="72">
        <v>125</v>
      </c>
      <c r="F603" s="31">
        <v>317</v>
      </c>
      <c r="G603" s="73">
        <v>88848.01999999996</v>
      </c>
      <c r="H603" s="31">
        <v>122738.01000000004</v>
      </c>
      <c r="I603" s="72">
        <v>38690.769999999982</v>
      </c>
      <c r="J603" s="72">
        <v>57202.190000000104</v>
      </c>
      <c r="K603" s="31">
        <v>1935.4285714285713</v>
      </c>
      <c r="L603" s="31">
        <v>6225.1428571428569</v>
      </c>
      <c r="M603" s="74">
        <v>15.48342857142857</v>
      </c>
      <c r="N603" s="74">
        <v>20.389529724933453</v>
      </c>
      <c r="O603" s="75">
        <v>710.7841599999997</v>
      </c>
      <c r="P603" s="75">
        <v>387.18615141955848</v>
      </c>
      <c r="Q603" s="76">
        <v>0.4354713813543622</v>
      </c>
      <c r="R603" s="76">
        <v>0.4543404170923635</v>
      </c>
      <c r="S603" s="31">
        <v>1455.5714285714287</v>
      </c>
      <c r="T603" s="31"/>
      <c r="U603" s="76">
        <v>-0.70290985863778221</v>
      </c>
      <c r="V603" s="76">
        <v>-0.64037854889589907</v>
      </c>
      <c r="W603" s="76">
        <v>-0.33018491989563847</v>
      </c>
      <c r="X603" s="76">
        <v>-0.3243445902655836</v>
      </c>
      <c r="Y603" s="76">
        <v>-6.3387424493154487E-2</v>
      </c>
      <c r="Z603" s="76">
        <v>-6.0341240116521089E-2</v>
      </c>
      <c r="AA603" s="76">
        <v>0.15740740740740744</v>
      </c>
      <c r="AB603" s="76">
        <v>0.18800183666368975</v>
      </c>
      <c r="AC603" s="76">
        <v>2.6433586877427917E-2</v>
      </c>
      <c r="AD603" s="142">
        <v>-0.5452676918151822</v>
      </c>
      <c r="AE603" s="142">
        <v>-0.53776599358332289</v>
      </c>
      <c r="AF603" s="142">
        <v>-0.54561993569497991</v>
      </c>
    </row>
    <row r="604" spans="1:32" x14ac:dyDescent="0.35">
      <c r="A604" t="s">
        <v>88</v>
      </c>
      <c r="B604" t="s">
        <v>722</v>
      </c>
      <c r="C604" s="31">
        <v>43</v>
      </c>
      <c r="D604" s="31">
        <v>65</v>
      </c>
      <c r="E604" s="72">
        <v>47</v>
      </c>
      <c r="F604" s="31">
        <v>73</v>
      </c>
      <c r="G604" s="73">
        <v>69052.319999999963</v>
      </c>
      <c r="H604" s="31">
        <v>59551.420000000035</v>
      </c>
      <c r="I604" s="72">
        <v>45928.039999999986</v>
      </c>
      <c r="J604" s="72">
        <v>31578.850000000006</v>
      </c>
      <c r="K604" s="31">
        <v>1449.2857142857142</v>
      </c>
      <c r="L604" s="31">
        <v>1426.4285714285713</v>
      </c>
      <c r="M604" s="74">
        <v>30.835866261398174</v>
      </c>
      <c r="N604" s="74">
        <v>20.577142857142857</v>
      </c>
      <c r="O604" s="75">
        <v>1469.1982978723397</v>
      </c>
      <c r="P604" s="75">
        <v>815.77287671232921</v>
      </c>
      <c r="Q604" s="76">
        <v>0.66511943407549534</v>
      </c>
      <c r="R604" s="76">
        <v>0.51748136351964369</v>
      </c>
      <c r="S604" s="31">
        <v>2025.8571428571429</v>
      </c>
      <c r="T604" s="31"/>
      <c r="U604" s="76">
        <v>-3.3950926389584302E-2</v>
      </c>
      <c r="V604" s="76">
        <v>-0.42465753424657537</v>
      </c>
      <c r="W604" s="76">
        <v>3.7416740020640216E-2</v>
      </c>
      <c r="X604" s="76">
        <v>0.33246030632522672</v>
      </c>
      <c r="Y604" s="76">
        <v>-3.2970423791928716E-2</v>
      </c>
      <c r="Z604" s="76">
        <v>-3.5096062392999894E-2</v>
      </c>
      <c r="AA604" s="76">
        <v>4.4444444444444509E-2</v>
      </c>
      <c r="AB604" s="76">
        <v>0.10172022128755032</v>
      </c>
      <c r="AC604" s="76">
        <v>5.4838509743399211E-2</v>
      </c>
      <c r="AD604" s="142">
        <v>-0.61083082650424236</v>
      </c>
      <c r="AE604" s="142">
        <v>-0.47468706587040627</v>
      </c>
      <c r="AF604" s="142">
        <v>-0.29108482680978826</v>
      </c>
    </row>
    <row r="605" spans="1:32" x14ac:dyDescent="0.35">
      <c r="A605" t="s">
        <v>88</v>
      </c>
      <c r="B605" t="s">
        <v>728</v>
      </c>
      <c r="C605" s="31">
        <v>10</v>
      </c>
      <c r="D605" s="31">
        <v>2</v>
      </c>
      <c r="E605" s="72">
        <v>14</v>
      </c>
      <c r="F605" s="31">
        <v>2</v>
      </c>
      <c r="G605" s="73">
        <v>32472.6</v>
      </c>
      <c r="H605" s="31">
        <v>681.12</v>
      </c>
      <c r="I605" s="72">
        <v>16767.249999999996</v>
      </c>
      <c r="J605" s="72">
        <v>-88.32000000000005</v>
      </c>
      <c r="K605" s="31">
        <v>119.14285714285714</v>
      </c>
      <c r="L605" s="31">
        <v>8.4285714285714288</v>
      </c>
      <c r="M605" s="74">
        <v>8.5102040816326525</v>
      </c>
      <c r="N605" s="74">
        <v>3.7142857142857144</v>
      </c>
      <c r="O605" s="75">
        <v>2319.4714285714285</v>
      </c>
      <c r="P605" s="75">
        <v>340.56</v>
      </c>
      <c r="Q605" s="76">
        <v>0.51635070798149818</v>
      </c>
      <c r="R605" s="76">
        <v>-0.1296687808315716</v>
      </c>
      <c r="S605" s="31">
        <v>121.71428571428571</v>
      </c>
      <c r="T605" s="31"/>
      <c r="U605" s="76">
        <v>11.949152542372881</v>
      </c>
      <c r="V605" s="76">
        <v>6</v>
      </c>
      <c r="W605" s="76">
        <v>46.675299506694856</v>
      </c>
      <c r="X605" s="76">
        <v>-190.84658061594189</v>
      </c>
      <c r="Y605" s="76">
        <v>8.2346825690712944E-2</v>
      </c>
      <c r="Z605" s="76">
        <v>8.171206225680927E-2</v>
      </c>
      <c r="AA605" s="76">
        <v>1.3333333333333335</v>
      </c>
      <c r="AB605" s="76">
        <v>1.2795163909166405</v>
      </c>
      <c r="AC605" s="76">
        <v>-2.3064403892868235E-2</v>
      </c>
      <c r="AD605" s="142"/>
      <c r="AE605" s="142"/>
      <c r="AF605" s="142"/>
    </row>
    <row r="606" spans="1:32" x14ac:dyDescent="0.35">
      <c r="A606" t="s">
        <v>88</v>
      </c>
      <c r="B606" t="s">
        <v>725</v>
      </c>
      <c r="C606" s="31">
        <v>48</v>
      </c>
      <c r="D606" s="31">
        <v>46</v>
      </c>
      <c r="E606" s="72">
        <v>49</v>
      </c>
      <c r="F606" s="31">
        <v>50</v>
      </c>
      <c r="G606" s="73">
        <v>25790.400000000001</v>
      </c>
      <c r="H606" s="31">
        <v>8076.3200000000015</v>
      </c>
      <c r="I606" s="72">
        <v>18061.2</v>
      </c>
      <c r="J606" s="72">
        <v>3365.8600000000024</v>
      </c>
      <c r="K606" s="31">
        <v>485.28571428571428</v>
      </c>
      <c r="L606" s="31">
        <v>814.57142857142856</v>
      </c>
      <c r="M606" s="74">
        <v>9.9037900874635572</v>
      </c>
      <c r="N606" s="74">
        <v>17.925714285714285</v>
      </c>
      <c r="O606" s="75">
        <v>526.3346938775511</v>
      </c>
      <c r="P606" s="75">
        <v>161.52640000000002</v>
      </c>
      <c r="Q606" s="76">
        <v>0.70030709101060862</v>
      </c>
      <c r="R606" s="76">
        <v>0.41675664163876641</v>
      </c>
      <c r="S606" s="31">
        <v>877.14285714285711</v>
      </c>
      <c r="T606" s="31"/>
      <c r="U606" s="76">
        <v>-0.4140652402665731</v>
      </c>
      <c r="V606" s="76">
        <v>-7.999999999999996E-2</v>
      </c>
      <c r="W606" s="76">
        <v>1.8961754858648501</v>
      </c>
      <c r="X606" s="76">
        <v>3.8366331338796025</v>
      </c>
      <c r="Y606" s="76">
        <v>-9.2086574098191543E-2</v>
      </c>
      <c r="Z606" s="76">
        <v>-9.9416755037115667E-2</v>
      </c>
      <c r="AA606" s="76">
        <v>-0.22222222222222221</v>
      </c>
      <c r="AB606" s="76">
        <v>-0.29903581547995184</v>
      </c>
      <c r="AC606" s="76">
        <v>-9.8760334188509491E-2</v>
      </c>
      <c r="AD606" s="142">
        <v>-0.16783989918974768</v>
      </c>
      <c r="AE606" s="142">
        <v>0.75370601666938686</v>
      </c>
      <c r="AF606" s="142">
        <v>1.5015839542278782</v>
      </c>
    </row>
    <row r="607" spans="1:32" x14ac:dyDescent="0.35">
      <c r="A607" t="s">
        <v>88</v>
      </c>
      <c r="B607" t="s">
        <v>723</v>
      </c>
      <c r="C607" s="31">
        <v>5</v>
      </c>
      <c r="D607" s="31">
        <v>38</v>
      </c>
      <c r="E607" s="72">
        <v>7</v>
      </c>
      <c r="F607" s="31">
        <v>40</v>
      </c>
      <c r="G607" s="73">
        <v>1159.23</v>
      </c>
      <c r="H607" s="31">
        <v>29866.82</v>
      </c>
      <c r="I607" s="72">
        <v>-2629.2999999999997</v>
      </c>
      <c r="J607" s="72">
        <v>10879.150000000001</v>
      </c>
      <c r="K607" s="31">
        <v>26.142857142857142</v>
      </c>
      <c r="L607" s="31">
        <v>353.85714285714283</v>
      </c>
      <c r="M607" s="74">
        <v>3.7346938775510203</v>
      </c>
      <c r="N607" s="74">
        <v>9.2750000000000004</v>
      </c>
      <c r="O607" s="75">
        <v>165.60428571428571</v>
      </c>
      <c r="P607" s="75">
        <v>746.67049999999995</v>
      </c>
      <c r="Q607" s="76">
        <v>-2.2681435090534232</v>
      </c>
      <c r="R607" s="76">
        <v>0.36425538440316046</v>
      </c>
      <c r="S607" s="31">
        <v>306</v>
      </c>
      <c r="T607" s="31"/>
      <c r="U607" s="76">
        <v>-0.92894630601534112</v>
      </c>
      <c r="V607" s="76">
        <v>-0.82499999999999996</v>
      </c>
      <c r="W607" s="76">
        <v>-0.96118669480045082</v>
      </c>
      <c r="X607" s="76">
        <v>-1.241682484385269</v>
      </c>
      <c r="Y607" s="76">
        <v>-0.38994175858546753</v>
      </c>
      <c r="Z607" s="76">
        <v>-0.3197026022304833</v>
      </c>
      <c r="AA607" s="76">
        <v>6</v>
      </c>
      <c r="AB607" s="76">
        <v>-3.8336103642141284</v>
      </c>
      <c r="AC607" s="76">
        <v>-1.4048014806020184</v>
      </c>
      <c r="AD607" s="142"/>
      <c r="AE607" s="142"/>
      <c r="AF607" s="142"/>
    </row>
    <row r="608" spans="1:32" x14ac:dyDescent="0.35">
      <c r="A608" t="s">
        <v>88</v>
      </c>
      <c r="B608" t="s">
        <v>727</v>
      </c>
      <c r="C608" s="31">
        <v>3</v>
      </c>
      <c r="D608" s="31">
        <v>3</v>
      </c>
      <c r="E608" s="72">
        <v>3</v>
      </c>
      <c r="F608" s="31">
        <v>3</v>
      </c>
      <c r="G608" s="73">
        <v>827.23</v>
      </c>
      <c r="H608" s="31">
        <v>605.43999999999994</v>
      </c>
      <c r="I608" s="72">
        <v>185.85000000000002</v>
      </c>
      <c r="J608" s="72">
        <v>17</v>
      </c>
      <c r="K608" s="31">
        <v>10</v>
      </c>
      <c r="L608" s="31">
        <v>18.857142857142858</v>
      </c>
      <c r="M608" s="74">
        <v>3.3333333333333335</v>
      </c>
      <c r="N608" s="74">
        <v>6.2857142857142856</v>
      </c>
      <c r="O608" s="75">
        <v>275.74333333333334</v>
      </c>
      <c r="P608" s="75">
        <v>201.8133333333333</v>
      </c>
      <c r="Q608" s="76">
        <v>0.2246654497539983</v>
      </c>
      <c r="R608" s="76">
        <v>2.8078752642706133E-2</v>
      </c>
      <c r="S608" s="31">
        <v>43.714285714285715</v>
      </c>
      <c r="T608" s="31"/>
      <c r="U608" s="76">
        <v>-0.48484848484848486</v>
      </c>
      <c r="V608" s="76">
        <v>-0.33333333333333337</v>
      </c>
      <c r="W608" s="76">
        <v>0.14112050739957738</v>
      </c>
      <c r="X608" s="76">
        <v>15.379411764705882</v>
      </c>
      <c r="Y608" s="76">
        <v>-0.5864946591765301</v>
      </c>
      <c r="Z608" s="76">
        <v>-5.4054054054054057E-2</v>
      </c>
      <c r="AA608" s="76">
        <v>0.5</v>
      </c>
      <c r="AB608" s="76">
        <v>2.6401760176017603</v>
      </c>
      <c r="AC608" s="76">
        <v>1.4267840117345068</v>
      </c>
      <c r="AD608" s="142"/>
      <c r="AE608" s="142"/>
      <c r="AF608" s="142"/>
    </row>
    <row r="609" spans="1:32" x14ac:dyDescent="0.35">
      <c r="A609" t="s">
        <v>88</v>
      </c>
      <c r="B609" t="s">
        <v>726</v>
      </c>
      <c r="C609" s="31">
        <v>2</v>
      </c>
      <c r="D609" s="31">
        <v>8</v>
      </c>
      <c r="E609" s="72">
        <v>2</v>
      </c>
      <c r="F609" s="31">
        <v>8</v>
      </c>
      <c r="G609" s="73">
        <v>318.15999999999997</v>
      </c>
      <c r="H609" s="31">
        <v>6209.04</v>
      </c>
      <c r="I609" s="72">
        <v>-344.11</v>
      </c>
      <c r="J609" s="72">
        <v>2421.3200000000002</v>
      </c>
      <c r="K609" s="31">
        <v>10.285714285714286</v>
      </c>
      <c r="L609" s="31">
        <v>117.71428571428571</v>
      </c>
      <c r="M609" s="74">
        <v>5.1428571428571432</v>
      </c>
      <c r="N609" s="74">
        <v>15.946428571428571</v>
      </c>
      <c r="O609" s="75">
        <v>159.07999999999998</v>
      </c>
      <c r="P609" s="75">
        <v>776.13</v>
      </c>
      <c r="Q609" s="76">
        <v>-1.0815627357304503</v>
      </c>
      <c r="R609" s="76">
        <v>0.38996688699058152</v>
      </c>
      <c r="S609" s="31">
        <v>120</v>
      </c>
      <c r="T609" s="31"/>
      <c r="U609" s="76">
        <v>-0.904126213592233</v>
      </c>
      <c r="V609" s="76">
        <v>-0.75</v>
      </c>
      <c r="W609" s="76">
        <v>-0.94875858425779191</v>
      </c>
      <c r="X609" s="76">
        <v>-1.1421166966778451</v>
      </c>
      <c r="Y609" s="76">
        <v>-0.72240612234440027</v>
      </c>
      <c r="Z609" s="76">
        <v>-0.65714285714285714</v>
      </c>
      <c r="AA609" s="76"/>
      <c r="AB609" s="76"/>
      <c r="AC609" s="76"/>
      <c r="AD609" s="142"/>
      <c r="AE609" s="142"/>
      <c r="AF609" s="142"/>
    </row>
    <row r="610" spans="1:32" x14ac:dyDescent="0.35">
      <c r="A610" t="s">
        <v>88</v>
      </c>
      <c r="B610" t="s">
        <v>730</v>
      </c>
      <c r="C610" s="31">
        <v>2</v>
      </c>
      <c r="D610" s="31">
        <v>1</v>
      </c>
      <c r="E610" s="72">
        <v>2</v>
      </c>
      <c r="F610" s="31">
        <v>1</v>
      </c>
      <c r="G610" s="73">
        <v>299.99</v>
      </c>
      <c r="H610" s="31">
        <v>163.63999999999999</v>
      </c>
      <c r="I610" s="72">
        <v>-262.40999999999997</v>
      </c>
      <c r="J610" s="72">
        <v>-106.36000000000001</v>
      </c>
      <c r="K610" s="31">
        <v>14.428571428571429</v>
      </c>
      <c r="L610" s="31">
        <v>23.857142857142858</v>
      </c>
      <c r="M610" s="74">
        <v>7.2142857142857144</v>
      </c>
      <c r="N610" s="74">
        <v>24.857142857142858</v>
      </c>
      <c r="O610" s="75">
        <v>149.995</v>
      </c>
      <c r="P610" s="75">
        <v>163.63999999999999</v>
      </c>
      <c r="Q610" s="76">
        <v>-0.87472915763858783</v>
      </c>
      <c r="R610" s="76">
        <v>-0.64996333414813023</v>
      </c>
      <c r="S610" s="31"/>
      <c r="T610" s="31"/>
      <c r="U610" s="76">
        <v>-0.39520958083832336</v>
      </c>
      <c r="V610" s="76">
        <v>1</v>
      </c>
      <c r="W610" s="76">
        <v>0.83323148374480582</v>
      </c>
      <c r="X610" s="76">
        <v>1.4671869123730721</v>
      </c>
      <c r="Y610" s="76">
        <v>0.13406129712840853</v>
      </c>
      <c r="Z610" s="76">
        <v>0.13483146067415741</v>
      </c>
      <c r="AA610" s="76">
        <v>1</v>
      </c>
      <c r="AB610" s="76">
        <v>-0.17501306272859773</v>
      </c>
      <c r="AC610" s="76">
        <v>-0.58750653136429887</v>
      </c>
      <c r="AD610" s="142"/>
      <c r="AE610" s="142"/>
      <c r="AF610" s="142"/>
    </row>
    <row r="611" spans="1:32" x14ac:dyDescent="0.35">
      <c r="A611" t="s">
        <v>88</v>
      </c>
      <c r="B611" t="s">
        <v>732</v>
      </c>
      <c r="C611" s="31">
        <v>2</v>
      </c>
      <c r="D611" s="31">
        <v>1</v>
      </c>
      <c r="E611" s="72">
        <v>2</v>
      </c>
      <c r="F611" s="31">
        <v>1</v>
      </c>
      <c r="G611" s="73">
        <v>283.32</v>
      </c>
      <c r="H611" s="31">
        <v>58.33</v>
      </c>
      <c r="I611" s="72">
        <v>211.18</v>
      </c>
      <c r="J611" s="72">
        <v>22.269999999999996</v>
      </c>
      <c r="K611" s="31">
        <v>4.4285714285714288</v>
      </c>
      <c r="L611" s="31">
        <v>13</v>
      </c>
      <c r="M611" s="74">
        <v>2.2142857142857144</v>
      </c>
      <c r="N611" s="74">
        <v>13</v>
      </c>
      <c r="O611" s="75">
        <v>141.66</v>
      </c>
      <c r="P611" s="75">
        <v>58.33</v>
      </c>
      <c r="Q611" s="76">
        <v>0.74537625300014121</v>
      </c>
      <c r="R611" s="76">
        <v>0.38179324532830444</v>
      </c>
      <c r="S611" s="31">
        <v>1</v>
      </c>
      <c r="T611" s="31"/>
      <c r="U611" s="76">
        <v>-0.65934065934065933</v>
      </c>
      <c r="V611" s="76">
        <v>1</v>
      </c>
      <c r="W611" s="76">
        <v>3.8571918395336873</v>
      </c>
      <c r="X611" s="76">
        <v>8.4827121688370024</v>
      </c>
      <c r="Y611" s="76">
        <v>-0.1007647449104303</v>
      </c>
      <c r="Z611" s="76">
        <v>-0.11428571428571421</v>
      </c>
      <c r="AA611" s="76"/>
      <c r="AB611" s="76"/>
      <c r="AC611" s="76"/>
      <c r="AD611" s="142"/>
      <c r="AE611" s="142"/>
      <c r="AF611" s="142"/>
    </row>
    <row r="612" spans="1:32" x14ac:dyDescent="0.35">
      <c r="A612" t="s">
        <v>88</v>
      </c>
      <c r="B612" t="s">
        <v>731</v>
      </c>
      <c r="C612" s="31">
        <v>1</v>
      </c>
      <c r="D612" s="31"/>
      <c r="E612" s="72">
        <v>1</v>
      </c>
      <c r="F612" s="31"/>
      <c r="G612" s="73">
        <v>181.81</v>
      </c>
      <c r="H612" s="31"/>
      <c r="I612" s="72">
        <v>105.89</v>
      </c>
      <c r="J612" s="72"/>
      <c r="K612" s="31">
        <v>0.8571428571428571</v>
      </c>
      <c r="L612" s="31">
        <v>7</v>
      </c>
      <c r="M612" s="74">
        <v>0.8571428571428571</v>
      </c>
      <c r="N612" s="74"/>
      <c r="O612" s="75">
        <v>181.81</v>
      </c>
      <c r="P612" s="75"/>
      <c r="Q612" s="76">
        <v>0.58242120895440297</v>
      </c>
      <c r="R612" s="76"/>
      <c r="S612" s="31">
        <v>19</v>
      </c>
      <c r="T612" s="31"/>
      <c r="U612" s="76">
        <v>-0.82857142857142851</v>
      </c>
      <c r="V612" s="76"/>
      <c r="W612" s="76"/>
      <c r="X612" s="76"/>
      <c r="Y612" s="76">
        <v>-0.32786788121158283</v>
      </c>
      <c r="Z612" s="76">
        <v>-0.5714285714285714</v>
      </c>
      <c r="AA612" s="76"/>
      <c r="AB612" s="76"/>
      <c r="AC612" s="76"/>
      <c r="AD612" s="142"/>
      <c r="AE612" s="142"/>
      <c r="AF612" s="142"/>
    </row>
    <row r="613" spans="1:32" x14ac:dyDescent="0.35">
      <c r="A613" t="s">
        <v>88</v>
      </c>
      <c r="B613" t="s">
        <v>724</v>
      </c>
      <c r="C613" s="31">
        <v>1</v>
      </c>
      <c r="D613" s="31">
        <v>14</v>
      </c>
      <c r="E613" s="72">
        <v>1</v>
      </c>
      <c r="F613" s="31">
        <v>14</v>
      </c>
      <c r="G613" s="73">
        <v>136.35</v>
      </c>
      <c r="H613" s="31">
        <v>6595.0199999999986</v>
      </c>
      <c r="I613" s="72">
        <v>-403.65</v>
      </c>
      <c r="J613" s="72">
        <v>2228.4499999999998</v>
      </c>
      <c r="K613" s="31">
        <v>12</v>
      </c>
      <c r="L613" s="31">
        <v>239.14285714285714</v>
      </c>
      <c r="M613" s="74">
        <v>12</v>
      </c>
      <c r="N613" s="74">
        <v>16.980952380952381</v>
      </c>
      <c r="O613" s="75">
        <v>136.35</v>
      </c>
      <c r="P613" s="75">
        <v>471.07285714285706</v>
      </c>
      <c r="Q613" s="76">
        <v>-2.9603960396039604</v>
      </c>
      <c r="R613" s="76">
        <v>0.30433743495896098</v>
      </c>
      <c r="S613" s="31">
        <v>149.28571428571428</v>
      </c>
      <c r="T613" s="31"/>
      <c r="U613" s="76">
        <v>-0.92891278375149344</v>
      </c>
      <c r="V613" s="76">
        <v>-0.9285714285714286</v>
      </c>
      <c r="W613" s="76">
        <v>-0.97932530909686399</v>
      </c>
      <c r="X613" s="76">
        <v>-1.1729056632869426</v>
      </c>
      <c r="Y613" s="76">
        <v>-0.68044301884128555</v>
      </c>
      <c r="Z613" s="76">
        <v>-0.53591160220994483</v>
      </c>
      <c r="AA613" s="76">
        <v>-0.75</v>
      </c>
      <c r="AB613" s="76">
        <v>-0.92105903059215855</v>
      </c>
      <c r="AC613" s="76">
        <v>-0.6842361223686344</v>
      </c>
      <c r="AD613" s="142"/>
      <c r="AE613" s="142"/>
      <c r="AF613" s="142"/>
    </row>
    <row r="614" spans="1:32" x14ac:dyDescent="0.35">
      <c r="A614" t="s">
        <v>88</v>
      </c>
      <c r="B614" t="s">
        <v>729</v>
      </c>
      <c r="C614" s="31"/>
      <c r="D614" s="31"/>
      <c r="E614" s="72"/>
      <c r="F614" s="31"/>
      <c r="G614" s="73"/>
      <c r="H614" s="31"/>
      <c r="I614" s="72"/>
      <c r="J614" s="72"/>
      <c r="K614" s="31">
        <v>3</v>
      </c>
      <c r="L614" s="31">
        <v>13</v>
      </c>
      <c r="M614" s="74"/>
      <c r="N614" s="74"/>
      <c r="O614" s="75"/>
      <c r="P614" s="75"/>
      <c r="Q614" s="76"/>
      <c r="R614" s="76"/>
      <c r="S614" s="31">
        <v>15</v>
      </c>
      <c r="T614" s="31"/>
      <c r="U614" s="76">
        <v>-0.76923076923076916</v>
      </c>
      <c r="V614" s="76"/>
      <c r="W614" s="76"/>
      <c r="X614" s="76"/>
      <c r="Y614" s="76">
        <v>0</v>
      </c>
      <c r="Z614" s="76">
        <v>0</v>
      </c>
      <c r="AA614" s="76"/>
      <c r="AB614" s="76"/>
      <c r="AC614" s="76"/>
      <c r="AD614" s="142"/>
      <c r="AE614" s="142"/>
      <c r="AF614" s="142"/>
    </row>
    <row r="615" spans="1:32" x14ac:dyDescent="0.35">
      <c r="A615" s="138" t="s">
        <v>853</v>
      </c>
      <c r="B615" s="138"/>
      <c r="C615" s="127">
        <v>1121</v>
      </c>
      <c r="D615" s="127">
        <v>1846</v>
      </c>
      <c r="E615" s="126">
        <v>1421</v>
      </c>
      <c r="F615" s="127">
        <v>2413</v>
      </c>
      <c r="G615" s="127">
        <v>1963335.1300000031</v>
      </c>
      <c r="H615" s="127">
        <v>1932542.2000000137</v>
      </c>
      <c r="I615" s="126">
        <v>1207738.8299999973</v>
      </c>
      <c r="J615" s="126">
        <v>1007375.8800000176</v>
      </c>
      <c r="K615" s="127">
        <v>23125</v>
      </c>
      <c r="L615" s="127">
        <v>35513.142857142855</v>
      </c>
      <c r="M615" s="140">
        <v>16.273750879662209</v>
      </c>
      <c r="N615" s="140">
        <v>15.187816667637295</v>
      </c>
      <c r="O615" s="139">
        <v>1381.6573750879684</v>
      </c>
      <c r="P615" s="139">
        <v>800.88777455450213</v>
      </c>
      <c r="Q615" s="141">
        <v>0.61514654912734912</v>
      </c>
      <c r="R615" s="141">
        <v>0.51208772519818591</v>
      </c>
      <c r="S615" s="127">
        <v>23133.142857142859</v>
      </c>
      <c r="T615" s="127"/>
      <c r="U615" s="141">
        <v>-0.36606970457617305</v>
      </c>
      <c r="V615" s="141">
        <v>-0.46042271031910487</v>
      </c>
      <c r="W615" s="141">
        <v>-2.8926364454044728E-2</v>
      </c>
      <c r="X615" s="141">
        <v>0.21785933721224637</v>
      </c>
      <c r="Y615" s="141">
        <v>1.5755732517229948E-2</v>
      </c>
      <c r="Z615" s="141">
        <v>-1.3449069361416432E-3</v>
      </c>
      <c r="AA615" s="141">
        <v>-2.8070175438597023E-3</v>
      </c>
      <c r="AB615" s="141">
        <v>-4.9815616324452638E-2</v>
      </c>
      <c r="AC615" s="141">
        <v>-4.7140924181805155E-2</v>
      </c>
      <c r="AD615" s="143">
        <v>-0.50015867587706675</v>
      </c>
      <c r="AE615" s="143">
        <v>-0.38895076244351401</v>
      </c>
      <c r="AF615" s="143">
        <v>-0.19720105241759361</v>
      </c>
    </row>
    <row r="616" spans="1:32" x14ac:dyDescent="0.35">
      <c r="A616" t="s">
        <v>105</v>
      </c>
      <c r="B616" t="s">
        <v>736</v>
      </c>
      <c r="C616" s="31">
        <v>69</v>
      </c>
      <c r="D616" s="31">
        <v>35</v>
      </c>
      <c r="E616" s="72">
        <v>76</v>
      </c>
      <c r="F616" s="31">
        <v>39</v>
      </c>
      <c r="G616" s="73">
        <v>59440.709999999941</v>
      </c>
      <c r="H616" s="31">
        <v>37607.440000000017</v>
      </c>
      <c r="I616" s="72">
        <v>12774.329999999993</v>
      </c>
      <c r="J616" s="72">
        <v>20153.260000000017</v>
      </c>
      <c r="K616" s="31">
        <v>2980</v>
      </c>
      <c r="L616" s="31">
        <v>7027.1428571428569</v>
      </c>
      <c r="M616" s="74">
        <v>39.210526315789473</v>
      </c>
      <c r="N616" s="74">
        <v>182.47619047619048</v>
      </c>
      <c r="O616" s="75">
        <v>782.11460526315716</v>
      </c>
      <c r="P616" s="75">
        <v>964.29333333333375</v>
      </c>
      <c r="Q616" s="76">
        <v>0.21490877211931023</v>
      </c>
      <c r="R616" s="76">
        <v>0.53588492064336224</v>
      </c>
      <c r="S616" s="31">
        <v>575.14285714285711</v>
      </c>
      <c r="T616" s="31"/>
      <c r="U616" s="76">
        <v>-0.70628176458629799</v>
      </c>
      <c r="V616" s="76">
        <v>0.69230769230769229</v>
      </c>
      <c r="W616" s="76">
        <v>0.40893078603595279</v>
      </c>
      <c r="X616" s="76">
        <v>-0.42188509452069056</v>
      </c>
      <c r="Y616" s="76">
        <v>-5.4993582412627751E-2</v>
      </c>
      <c r="Z616" s="76">
        <v>-4.7619047619047672E-2</v>
      </c>
      <c r="AA616" s="76">
        <v>-0.27619047619047621</v>
      </c>
      <c r="AB616" s="76">
        <v>-0.24658342848103787</v>
      </c>
      <c r="AC616" s="76">
        <v>4.0904473809092678E-2</v>
      </c>
      <c r="AD616" s="142"/>
      <c r="AE616" s="142"/>
      <c r="AF616" s="142"/>
    </row>
    <row r="617" spans="1:32" x14ac:dyDescent="0.35">
      <c r="A617" t="s">
        <v>105</v>
      </c>
      <c r="B617" t="s">
        <v>105</v>
      </c>
      <c r="C617" s="31">
        <v>138</v>
      </c>
      <c r="D617" s="31">
        <v>170</v>
      </c>
      <c r="E617" s="72">
        <v>174</v>
      </c>
      <c r="F617" s="31">
        <v>223</v>
      </c>
      <c r="G617" s="73">
        <v>57195.709999999963</v>
      </c>
      <c r="H617" s="31">
        <v>128600.52999999985</v>
      </c>
      <c r="I617" s="72">
        <v>11560.050000000012</v>
      </c>
      <c r="J617" s="72">
        <v>51622.609999999811</v>
      </c>
      <c r="K617" s="31">
        <v>3699.7142857142858</v>
      </c>
      <c r="L617" s="31">
        <v>47898.142857142855</v>
      </c>
      <c r="M617" s="74">
        <v>21.262725779967159</v>
      </c>
      <c r="N617" s="74">
        <v>215.53635204081633</v>
      </c>
      <c r="O617" s="75">
        <v>328.71097701149404</v>
      </c>
      <c r="P617" s="75">
        <v>576.6839910313895</v>
      </c>
      <c r="Q617" s="76">
        <v>0.20211393476888423</v>
      </c>
      <c r="R617" s="76">
        <v>0.40042763384985958</v>
      </c>
      <c r="S617" s="31">
        <v>2392.5714285714284</v>
      </c>
      <c r="T617" s="31"/>
      <c r="U617" s="76">
        <v>-0.92589333913930449</v>
      </c>
      <c r="V617" s="76">
        <v>-0.23318385650224216</v>
      </c>
      <c r="W617" s="76">
        <v>-0.56266743224153104</v>
      </c>
      <c r="X617" s="76">
        <v>-0.78146561157824035</v>
      </c>
      <c r="Y617" s="76">
        <v>-5.438670150615843E-2</v>
      </c>
      <c r="Z617" s="76">
        <v>-6.7612327188940058E-2</v>
      </c>
      <c r="AA617" s="76">
        <v>3.5714285714285809E-2</v>
      </c>
      <c r="AB617" s="76">
        <v>-0.15197685019689156</v>
      </c>
      <c r="AC617" s="76">
        <v>-0.18121902777630905</v>
      </c>
      <c r="AD617" s="142"/>
      <c r="AE617" s="142"/>
      <c r="AF617" s="142"/>
    </row>
    <row r="618" spans="1:32" x14ac:dyDescent="0.35">
      <c r="A618" t="s">
        <v>105</v>
      </c>
      <c r="B618" t="s">
        <v>737</v>
      </c>
      <c r="C618" s="31">
        <v>54</v>
      </c>
      <c r="D618" s="31">
        <v>93</v>
      </c>
      <c r="E618" s="72">
        <v>64</v>
      </c>
      <c r="F618" s="31">
        <v>103</v>
      </c>
      <c r="G618" s="73">
        <v>8705.9900000000034</v>
      </c>
      <c r="H618" s="31">
        <v>24500.230000000018</v>
      </c>
      <c r="I618" s="72">
        <v>867.05000000000098</v>
      </c>
      <c r="J618" s="72">
        <v>11784.050000000019</v>
      </c>
      <c r="K618" s="31">
        <v>606.71428571428567</v>
      </c>
      <c r="L618" s="31">
        <v>6924.2857142857147</v>
      </c>
      <c r="M618" s="74">
        <v>9.4799107142857135</v>
      </c>
      <c r="N618" s="74">
        <v>68.40408163265306</v>
      </c>
      <c r="O618" s="75">
        <v>136.03109375000005</v>
      </c>
      <c r="P618" s="75">
        <v>237.86631067961181</v>
      </c>
      <c r="Q618" s="76">
        <v>9.9592349635136343E-2</v>
      </c>
      <c r="R618" s="76">
        <v>0.47187256611653849</v>
      </c>
      <c r="S618" s="31">
        <v>104.28571428571429</v>
      </c>
      <c r="T618" s="31"/>
      <c r="U618" s="76">
        <v>-0.9136785640602435</v>
      </c>
      <c r="V618" s="76">
        <v>-0.37864077669902918</v>
      </c>
      <c r="W618" s="76">
        <v>-0.64465680526264457</v>
      </c>
      <c r="X618" s="76">
        <v>-0.92504320357420411</v>
      </c>
      <c r="Y618" s="76">
        <v>-9.6306877653422718E-2</v>
      </c>
      <c r="Z618" s="76">
        <v>-9.7343251859723701E-2</v>
      </c>
      <c r="AA618" s="76">
        <v>0.60000000000000009</v>
      </c>
      <c r="AB618" s="76">
        <v>0.59958072049196498</v>
      </c>
      <c r="AC618" s="76">
        <v>-2.6204969252197063E-4</v>
      </c>
      <c r="AD618" s="142"/>
      <c r="AE618" s="142"/>
      <c r="AF618" s="142"/>
    </row>
    <row r="619" spans="1:32" x14ac:dyDescent="0.35">
      <c r="A619" t="s">
        <v>105</v>
      </c>
      <c r="B619" t="s">
        <v>738</v>
      </c>
      <c r="C619" s="31">
        <v>11</v>
      </c>
      <c r="D619" s="31">
        <v>65</v>
      </c>
      <c r="E619" s="72">
        <v>17</v>
      </c>
      <c r="F619" s="31">
        <v>70</v>
      </c>
      <c r="G619" s="73">
        <v>2317.9499999999998</v>
      </c>
      <c r="H619" s="31">
        <v>31617.740000000013</v>
      </c>
      <c r="I619" s="72">
        <v>-345.16</v>
      </c>
      <c r="J619" s="72">
        <v>12248.110000000011</v>
      </c>
      <c r="K619" s="31">
        <v>287.57142857142856</v>
      </c>
      <c r="L619" s="31">
        <v>2343.5714285714284</v>
      </c>
      <c r="M619" s="74">
        <v>16.915966386554622</v>
      </c>
      <c r="N619" s="74">
        <v>33.608610567514681</v>
      </c>
      <c r="O619" s="75">
        <v>136.35</v>
      </c>
      <c r="P619" s="75">
        <v>451.68200000000019</v>
      </c>
      <c r="Q619" s="76">
        <v>-0.14890743976358423</v>
      </c>
      <c r="R619" s="76">
        <v>0.38341230758731981</v>
      </c>
      <c r="S619" s="31">
        <v>63</v>
      </c>
      <c r="T619" s="31"/>
      <c r="U619" s="76">
        <v>-0.87729350807680584</v>
      </c>
      <c r="V619" s="76">
        <v>-0.75714285714285712</v>
      </c>
      <c r="W619" s="76">
        <v>-0.9266883085255303</v>
      </c>
      <c r="X619" s="76">
        <v>-1.0278335983691427</v>
      </c>
      <c r="Y619" s="76">
        <v>-5.9053243232052632E-2</v>
      </c>
      <c r="Z619" s="76">
        <v>-5.4485674025364195E-2</v>
      </c>
      <c r="AA619" s="76">
        <v>-0.22727272727272729</v>
      </c>
      <c r="AB619" s="76">
        <v>-0.22197383922907299</v>
      </c>
      <c r="AC619" s="76">
        <v>6.8573845270822886E-3</v>
      </c>
      <c r="AD619" s="142"/>
      <c r="AE619" s="142"/>
      <c r="AF619" s="142"/>
    </row>
    <row r="620" spans="1:32" x14ac:dyDescent="0.35">
      <c r="A620" t="s">
        <v>105</v>
      </c>
      <c r="B620" t="s">
        <v>739</v>
      </c>
      <c r="C620" s="31">
        <v>1</v>
      </c>
      <c r="D620" s="31">
        <v>7</v>
      </c>
      <c r="E620" s="72">
        <v>1</v>
      </c>
      <c r="F620" s="31">
        <v>8</v>
      </c>
      <c r="G620" s="73">
        <v>272.72000000000003</v>
      </c>
      <c r="H620" s="31">
        <v>1160.0299999999997</v>
      </c>
      <c r="I620" s="72">
        <v>231.72</v>
      </c>
      <c r="J620" s="72">
        <v>641.42999999999984</v>
      </c>
      <c r="K620" s="31">
        <v>147.57142857142858</v>
      </c>
      <c r="L620" s="31">
        <v>333.71428571428572</v>
      </c>
      <c r="M620" s="74">
        <v>147.57142857142858</v>
      </c>
      <c r="N620" s="74">
        <v>41.839285714285715</v>
      </c>
      <c r="O620" s="75">
        <v>272.72000000000003</v>
      </c>
      <c r="P620" s="75">
        <v>145.00374999999997</v>
      </c>
      <c r="Q620" s="76">
        <v>0.84966265767087112</v>
      </c>
      <c r="R620" s="76">
        <v>0.55294259631216436</v>
      </c>
      <c r="S620" s="31">
        <v>622.85714285714289</v>
      </c>
      <c r="T620" s="31"/>
      <c r="U620" s="76">
        <v>-0.56078767123287676</v>
      </c>
      <c r="V620" s="76">
        <v>-0.875</v>
      </c>
      <c r="W620" s="76">
        <v>-0.76490263182848706</v>
      </c>
      <c r="X620" s="76">
        <v>-0.63874467985594674</v>
      </c>
      <c r="Y620" s="76">
        <v>-2.8402034476338045E-4</v>
      </c>
      <c r="Z620" s="76">
        <v>4.8638132295719672E-3</v>
      </c>
      <c r="AA620" s="76">
        <v>0</v>
      </c>
      <c r="AB620" s="76">
        <v>-0.2500068751203145</v>
      </c>
      <c r="AC620" s="76">
        <v>-0.2500068751203145</v>
      </c>
      <c r="AD620" s="142"/>
      <c r="AE620" s="142"/>
      <c r="AF620" s="142"/>
    </row>
    <row r="621" spans="1:32" x14ac:dyDescent="0.35">
      <c r="A621" s="138" t="s">
        <v>854</v>
      </c>
      <c r="B621" s="138"/>
      <c r="C621" s="127">
        <v>271</v>
      </c>
      <c r="D621" s="127">
        <v>362</v>
      </c>
      <c r="E621" s="126">
        <v>332</v>
      </c>
      <c r="F621" s="127">
        <v>443</v>
      </c>
      <c r="G621" s="127">
        <v>127933.08000000003</v>
      </c>
      <c r="H621" s="127">
        <v>223485.96999999974</v>
      </c>
      <c r="I621" s="126">
        <v>25087.989999999845</v>
      </c>
      <c r="J621" s="126">
        <v>96449.45999999973</v>
      </c>
      <c r="K621" s="127">
        <v>7721.5714285714284</v>
      </c>
      <c r="L621" s="127">
        <v>64526.857142857145</v>
      </c>
      <c r="M621" s="140">
        <v>23.257745266781409</v>
      </c>
      <c r="N621" s="140">
        <v>145.58415526566975</v>
      </c>
      <c r="O621" s="139">
        <v>385.34060240963862</v>
      </c>
      <c r="P621" s="139">
        <v>504.48300225733573</v>
      </c>
      <c r="Q621" s="141">
        <v>0.19610244668540647</v>
      </c>
      <c r="R621" s="141">
        <v>0.42941979740087516</v>
      </c>
      <c r="S621" s="127">
        <v>3757.8571428571427</v>
      </c>
      <c r="T621" s="127"/>
      <c r="U621" s="141">
        <v>-0.89701298241263883</v>
      </c>
      <c r="V621" s="141">
        <v>-0.27990970654627545</v>
      </c>
      <c r="W621" s="141">
        <v>-0.46070824938138066</v>
      </c>
      <c r="X621" s="141">
        <v>-0.75423588013993281</v>
      </c>
      <c r="Y621" s="141">
        <v>-5.5732880035681998E-2</v>
      </c>
      <c r="Z621" s="141">
        <v>-6.0652404372534385E-2</v>
      </c>
      <c r="AA621" s="141">
        <v>-1.1904761904761862E-2</v>
      </c>
      <c r="AB621" s="141">
        <v>-0.17529771532088823</v>
      </c>
      <c r="AC621" s="141">
        <v>-0.16536154321632068</v>
      </c>
      <c r="AD621" s="143"/>
      <c r="AE621" s="143"/>
      <c r="AF621" s="143"/>
    </row>
    <row r="622" spans="1:32" x14ac:dyDescent="0.35">
      <c r="A622" t="s">
        <v>69</v>
      </c>
      <c r="B622" t="s">
        <v>740</v>
      </c>
      <c r="C622" s="31">
        <v>3</v>
      </c>
      <c r="D622" s="31">
        <v>5</v>
      </c>
      <c r="E622" s="72">
        <v>3</v>
      </c>
      <c r="F622" s="31">
        <v>5</v>
      </c>
      <c r="G622" s="73">
        <v>1674.96</v>
      </c>
      <c r="H622" s="31">
        <v>2799.94</v>
      </c>
      <c r="I622" s="72">
        <v>894.92000000000007</v>
      </c>
      <c r="J622" s="72">
        <v>1760.5500000000002</v>
      </c>
      <c r="K622" s="31">
        <v>111.71428571428571</v>
      </c>
      <c r="L622" s="31">
        <v>55.857142857142854</v>
      </c>
      <c r="M622" s="74">
        <v>37.238095238095234</v>
      </c>
      <c r="N622" s="74">
        <v>11.171428571428571</v>
      </c>
      <c r="O622" s="75">
        <v>558.32000000000005</v>
      </c>
      <c r="P622" s="75">
        <v>559.98800000000006</v>
      </c>
      <c r="Q622" s="76">
        <v>0.534293356259254</v>
      </c>
      <c r="R622" s="76">
        <v>0.62878133102852207</v>
      </c>
      <c r="S622" s="31">
        <v>3</v>
      </c>
      <c r="T622" s="31"/>
      <c r="U622" s="76">
        <v>0.91048593350383622</v>
      </c>
      <c r="V622" s="76">
        <v>-0.4</v>
      </c>
      <c r="W622" s="76">
        <v>-0.4017871811538819</v>
      </c>
      <c r="X622" s="76">
        <v>-0.49168157677998359</v>
      </c>
      <c r="Y622" s="76">
        <v>-2.6820421617757884E-2</v>
      </c>
      <c r="Z622" s="76">
        <v>-1.1378002528445008E-2</v>
      </c>
      <c r="AA622" s="76">
        <v>-0.8</v>
      </c>
      <c r="AB622" s="76">
        <v>-0.74981104681557875</v>
      </c>
      <c r="AC622" s="76">
        <v>0.25094476592210646</v>
      </c>
      <c r="AD622" s="142"/>
      <c r="AE622" s="142"/>
      <c r="AF622" s="142"/>
    </row>
    <row r="623" spans="1:32" x14ac:dyDescent="0.35">
      <c r="A623" t="s">
        <v>69</v>
      </c>
      <c r="B623" t="s">
        <v>742</v>
      </c>
      <c r="C623" s="31">
        <v>6</v>
      </c>
      <c r="D623" s="31"/>
      <c r="E623" s="72">
        <v>9</v>
      </c>
      <c r="F623" s="31"/>
      <c r="G623" s="73">
        <v>599.91999999999985</v>
      </c>
      <c r="H623" s="31"/>
      <c r="I623" s="72">
        <v>164.18</v>
      </c>
      <c r="J623" s="72"/>
      <c r="K623" s="31">
        <v>1711.8571428571429</v>
      </c>
      <c r="L623" s="31">
        <v>1620</v>
      </c>
      <c r="M623" s="74">
        <v>190.20634920634922</v>
      </c>
      <c r="N623" s="74"/>
      <c r="O623" s="75">
        <v>66.657777777777767</v>
      </c>
      <c r="P623" s="75"/>
      <c r="Q623" s="76">
        <v>0.27366982264301914</v>
      </c>
      <c r="R623" s="76"/>
      <c r="S623" s="31">
        <v>1</v>
      </c>
      <c r="T623" s="31"/>
      <c r="U623" s="76">
        <v>3.1393298059964714E-2</v>
      </c>
      <c r="V623" s="76"/>
      <c r="W623" s="76"/>
      <c r="X623" s="76"/>
      <c r="Y623" s="76">
        <v>-9.2267528816580846E-3</v>
      </c>
      <c r="Z623" s="76">
        <v>7.5162852847832085E-4</v>
      </c>
      <c r="AA623" s="76">
        <v>-0.70967741935483875</v>
      </c>
      <c r="AB623" s="76">
        <v>-0.78367619219327511</v>
      </c>
      <c r="AC623" s="76">
        <v>-0.25488466199905857</v>
      </c>
      <c r="AD623" s="142"/>
      <c r="AE623" s="142"/>
      <c r="AF623" s="142"/>
    </row>
    <row r="624" spans="1:32" x14ac:dyDescent="0.35">
      <c r="A624" t="s">
        <v>69</v>
      </c>
      <c r="B624" t="s">
        <v>751</v>
      </c>
      <c r="C624" s="31"/>
      <c r="D624" s="31">
        <v>1</v>
      </c>
      <c r="E624" s="72"/>
      <c r="F624" s="31">
        <v>1</v>
      </c>
      <c r="G624" s="73"/>
      <c r="H624" s="31">
        <v>666.66</v>
      </c>
      <c r="I624" s="72"/>
      <c r="J624" s="72">
        <v>660.77</v>
      </c>
      <c r="K624" s="31">
        <v>3</v>
      </c>
      <c r="L624" s="31">
        <v>4.1428571428571432</v>
      </c>
      <c r="M624" s="74"/>
      <c r="N624" s="74">
        <v>4.1428571428571432</v>
      </c>
      <c r="O624" s="75"/>
      <c r="P624" s="75">
        <v>666.66</v>
      </c>
      <c r="Q624" s="76"/>
      <c r="R624" s="76">
        <v>0.99116491164911646</v>
      </c>
      <c r="S624" s="31">
        <v>5</v>
      </c>
      <c r="T624" s="31"/>
      <c r="U624" s="76">
        <v>-0.27586206896551735</v>
      </c>
      <c r="V624" s="76"/>
      <c r="W624" s="76"/>
      <c r="X624" s="76"/>
      <c r="Y624" s="76">
        <v>0.14423648635758113</v>
      </c>
      <c r="Z624" s="76">
        <v>0.61538461538461542</v>
      </c>
      <c r="AA624" s="76"/>
      <c r="AB624" s="76"/>
      <c r="AC624" s="76"/>
      <c r="AD624" s="142"/>
      <c r="AE624" s="142"/>
      <c r="AF624" s="142"/>
    </row>
    <row r="625" spans="1:32" x14ac:dyDescent="0.35">
      <c r="A625" t="s">
        <v>69</v>
      </c>
      <c r="B625" t="s">
        <v>744</v>
      </c>
      <c r="C625" s="31">
        <v>0</v>
      </c>
      <c r="D625" s="31"/>
      <c r="E625" s="72">
        <v>0</v>
      </c>
      <c r="F625" s="31"/>
      <c r="G625" s="73">
        <v>0</v>
      </c>
      <c r="H625" s="31"/>
      <c r="I625" s="72">
        <v>0</v>
      </c>
      <c r="J625" s="72"/>
      <c r="K625" s="31">
        <v>77</v>
      </c>
      <c r="L625" s="31">
        <v>71.285714285714292</v>
      </c>
      <c r="M625" s="74"/>
      <c r="N625" s="74"/>
      <c r="O625" s="75"/>
      <c r="P625" s="75"/>
      <c r="Q625" s="76"/>
      <c r="R625" s="76"/>
      <c r="S625" s="31">
        <v>1699</v>
      </c>
      <c r="T625" s="31"/>
      <c r="U625" s="76">
        <v>5.8116232464929807E-2</v>
      </c>
      <c r="V625" s="76"/>
      <c r="W625" s="76"/>
      <c r="X625" s="76"/>
      <c r="Y625" s="76">
        <v>-1.8382778522183063E-2</v>
      </c>
      <c r="Z625" s="76">
        <v>-1.1009174311926606E-2</v>
      </c>
      <c r="AA625" s="76"/>
      <c r="AB625" s="76"/>
      <c r="AC625" s="76"/>
      <c r="AD625" s="142"/>
      <c r="AE625" s="142"/>
      <c r="AF625" s="142"/>
    </row>
    <row r="626" spans="1:32" x14ac:dyDescent="0.35">
      <c r="A626" t="s">
        <v>69</v>
      </c>
      <c r="B626" t="s">
        <v>752</v>
      </c>
      <c r="C626" s="31"/>
      <c r="D626" s="31"/>
      <c r="E626" s="72"/>
      <c r="F626" s="31"/>
      <c r="G626" s="73"/>
      <c r="H626" s="31"/>
      <c r="I626" s="72"/>
      <c r="J626" s="72"/>
      <c r="K626" s="31">
        <v>17.857142857142858</v>
      </c>
      <c r="L626" s="31">
        <v>7</v>
      </c>
      <c r="M626" s="74"/>
      <c r="N626" s="74"/>
      <c r="O626" s="75"/>
      <c r="P626" s="75"/>
      <c r="Q626" s="76"/>
      <c r="R626" s="76"/>
      <c r="S626" s="31">
        <v>4</v>
      </c>
      <c r="T626" s="31"/>
      <c r="U626" s="76">
        <v>1.5510204081632653</v>
      </c>
      <c r="V626" s="76"/>
      <c r="W626" s="76"/>
      <c r="X626" s="76"/>
      <c r="Y626" s="76">
        <v>1.9523864531827506</v>
      </c>
      <c r="Z626" s="76">
        <v>0.64473684210526305</v>
      </c>
      <c r="AA626" s="76"/>
      <c r="AB626" s="76"/>
      <c r="AC626" s="76"/>
      <c r="AD626" s="142"/>
      <c r="AE626" s="142"/>
      <c r="AF626" s="142"/>
    </row>
    <row r="627" spans="1:32" x14ac:dyDescent="0.35">
      <c r="A627" t="s">
        <v>69</v>
      </c>
      <c r="B627" t="s">
        <v>750</v>
      </c>
      <c r="C627" s="31"/>
      <c r="D627" s="31"/>
      <c r="E627" s="72"/>
      <c r="F627" s="31"/>
      <c r="G627" s="73"/>
      <c r="H627" s="31"/>
      <c r="I627" s="72"/>
      <c r="J627" s="72"/>
      <c r="K627" s="31">
        <v>10</v>
      </c>
      <c r="L627" s="31">
        <v>-2.7142857142857144</v>
      </c>
      <c r="M627" s="74"/>
      <c r="N627" s="74"/>
      <c r="O627" s="75"/>
      <c r="P627" s="75"/>
      <c r="Q627" s="76"/>
      <c r="R627" s="76"/>
      <c r="S627" s="31"/>
      <c r="T627" s="31"/>
      <c r="U627" s="76">
        <v>-4.6842105263157894</v>
      </c>
      <c r="V627" s="76"/>
      <c r="W627" s="76"/>
      <c r="X627" s="76"/>
      <c r="Y627" s="76">
        <v>5.4500965984768834E-2</v>
      </c>
      <c r="Z627" s="76">
        <v>0</v>
      </c>
      <c r="AA627" s="76"/>
      <c r="AB627" s="76"/>
      <c r="AC627" s="76"/>
      <c r="AD627" s="142"/>
      <c r="AE627" s="142"/>
      <c r="AF627" s="142"/>
    </row>
    <row r="628" spans="1:32" x14ac:dyDescent="0.35">
      <c r="A628" t="s">
        <v>69</v>
      </c>
      <c r="B628" t="s">
        <v>743</v>
      </c>
      <c r="C628" s="31"/>
      <c r="D628" s="31"/>
      <c r="E628" s="72"/>
      <c r="F628" s="31"/>
      <c r="G628" s="73"/>
      <c r="H628" s="31"/>
      <c r="I628" s="72"/>
      <c r="J628" s="72"/>
      <c r="K628" s="31">
        <v>26</v>
      </c>
      <c r="L628" s="31">
        <v>-6.4285714285714288</v>
      </c>
      <c r="M628" s="74"/>
      <c r="N628" s="74"/>
      <c r="O628" s="75"/>
      <c r="P628" s="75"/>
      <c r="Q628" s="76"/>
      <c r="R628" s="76"/>
      <c r="S628" s="31"/>
      <c r="T628" s="31"/>
      <c r="U628" s="76">
        <v>-4.8222222222222229</v>
      </c>
      <c r="V628" s="76"/>
      <c r="W628" s="76"/>
      <c r="X628" s="76"/>
      <c r="Y628" s="76">
        <v>3.4825670643321427E-2</v>
      </c>
      <c r="Z628" s="76">
        <v>0.10303030303030303</v>
      </c>
      <c r="AA628" s="76"/>
      <c r="AB628" s="76"/>
      <c r="AC628" s="76"/>
      <c r="AD628" s="142"/>
      <c r="AE628" s="142"/>
      <c r="AF628" s="142"/>
    </row>
    <row r="629" spans="1:32" x14ac:dyDescent="0.35">
      <c r="A629" t="s">
        <v>69</v>
      </c>
      <c r="B629" t="s">
        <v>746</v>
      </c>
      <c r="C629" s="31"/>
      <c r="D629" s="31"/>
      <c r="E629" s="72"/>
      <c r="F629" s="31"/>
      <c r="G629" s="73"/>
      <c r="H629" s="31"/>
      <c r="I629" s="72"/>
      <c r="J629" s="72"/>
      <c r="K629" s="31">
        <v>-1</v>
      </c>
      <c r="L629" s="31">
        <v>-1</v>
      </c>
      <c r="M629" s="74"/>
      <c r="N629" s="74"/>
      <c r="O629" s="75"/>
      <c r="P629" s="75"/>
      <c r="Q629" s="76"/>
      <c r="R629" s="76"/>
      <c r="S629" s="31"/>
      <c r="T629" s="31"/>
      <c r="U629" s="76">
        <v>0</v>
      </c>
      <c r="V629" s="76"/>
      <c r="W629" s="76"/>
      <c r="X629" s="76"/>
      <c r="Y629" s="76">
        <v>-0.47685935777059774</v>
      </c>
      <c r="Z629" s="76">
        <v>-0.63157894736842102</v>
      </c>
      <c r="AA629" s="76"/>
      <c r="AB629" s="76"/>
      <c r="AC629" s="76"/>
      <c r="AD629" s="142"/>
      <c r="AE629" s="142"/>
      <c r="AF629" s="142"/>
    </row>
    <row r="630" spans="1:32" x14ac:dyDescent="0.35">
      <c r="A630" t="s">
        <v>69</v>
      </c>
      <c r="B630" t="s">
        <v>749</v>
      </c>
      <c r="C630" s="31"/>
      <c r="D630" s="31">
        <v>1</v>
      </c>
      <c r="E630" s="72"/>
      <c r="F630" s="31">
        <v>1</v>
      </c>
      <c r="G630" s="73"/>
      <c r="H630" s="31">
        <v>0.01</v>
      </c>
      <c r="I630" s="72"/>
      <c r="J630" s="72">
        <v>-99.99</v>
      </c>
      <c r="K630" s="31">
        <v>-2</v>
      </c>
      <c r="L630" s="31">
        <v>2.8571428571428572</v>
      </c>
      <c r="M630" s="74"/>
      <c r="N630" s="74">
        <v>2.8571428571428572</v>
      </c>
      <c r="O630" s="75"/>
      <c r="P630" s="75">
        <v>0.01</v>
      </c>
      <c r="Q630" s="76"/>
      <c r="R630" s="76">
        <v>-9999</v>
      </c>
      <c r="S630" s="31"/>
      <c r="T630" s="31"/>
      <c r="U630" s="76">
        <v>-2.0499999999999998</v>
      </c>
      <c r="V630" s="76"/>
      <c r="W630" s="76"/>
      <c r="X630" s="76"/>
      <c r="Y630" s="76">
        <v>4.11446564742457E-3</v>
      </c>
      <c r="Z630" s="76">
        <v>-0.30000000000000004</v>
      </c>
      <c r="AA630" s="76"/>
      <c r="AB630" s="76"/>
      <c r="AC630" s="76"/>
      <c r="AD630" s="142"/>
      <c r="AE630" s="142"/>
      <c r="AF630" s="142"/>
    </row>
    <row r="631" spans="1:32" x14ac:dyDescent="0.35">
      <c r="A631" t="s">
        <v>69</v>
      </c>
      <c r="B631" t="s">
        <v>827</v>
      </c>
      <c r="C631" s="31"/>
      <c r="D631" s="31"/>
      <c r="E631" s="72"/>
      <c r="F631" s="31"/>
      <c r="G631" s="73"/>
      <c r="H631" s="31"/>
      <c r="I631" s="72"/>
      <c r="J631" s="72"/>
      <c r="K631" s="31">
        <v>1</v>
      </c>
      <c r="L631" s="31"/>
      <c r="M631" s="74"/>
      <c r="N631" s="74"/>
      <c r="O631" s="75"/>
      <c r="P631" s="75"/>
      <c r="Q631" s="76"/>
      <c r="R631" s="76"/>
      <c r="S631" s="31"/>
      <c r="T631" s="31"/>
      <c r="U631" s="76"/>
      <c r="V631" s="76"/>
      <c r="W631" s="76"/>
      <c r="X631" s="76"/>
      <c r="Y631" s="76">
        <v>0</v>
      </c>
      <c r="Z631" s="76">
        <v>0</v>
      </c>
      <c r="AA631" s="76"/>
      <c r="AB631" s="76"/>
      <c r="AC631" s="76"/>
      <c r="AD631" s="142"/>
      <c r="AE631" s="142"/>
      <c r="AF631" s="142"/>
    </row>
    <row r="632" spans="1:32" x14ac:dyDescent="0.35">
      <c r="A632" t="s">
        <v>69</v>
      </c>
      <c r="B632" t="s">
        <v>825</v>
      </c>
      <c r="C632" s="31"/>
      <c r="D632" s="31"/>
      <c r="E632" s="72"/>
      <c r="F632" s="31"/>
      <c r="G632" s="73"/>
      <c r="H632" s="31"/>
      <c r="I632" s="72"/>
      <c r="J632" s="72"/>
      <c r="K632" s="31">
        <v>1</v>
      </c>
      <c r="L632" s="31"/>
      <c r="M632" s="74"/>
      <c r="N632" s="74"/>
      <c r="O632" s="75"/>
      <c r="P632" s="75"/>
      <c r="Q632" s="76"/>
      <c r="R632" s="76"/>
      <c r="S632" s="31"/>
      <c r="T632" s="31"/>
      <c r="U632" s="76"/>
      <c r="V632" s="76"/>
      <c r="W632" s="76"/>
      <c r="X632" s="76"/>
      <c r="Y632" s="76">
        <v>0</v>
      </c>
      <c r="Z632" s="76">
        <v>0</v>
      </c>
      <c r="AA632" s="76"/>
      <c r="AB632" s="76"/>
      <c r="AC632" s="76"/>
      <c r="AD632" s="142"/>
      <c r="AE632" s="142"/>
      <c r="AF632" s="142"/>
    </row>
    <row r="633" spans="1:32" x14ac:dyDescent="0.35">
      <c r="A633" t="s">
        <v>69</v>
      </c>
      <c r="B633" t="s">
        <v>748</v>
      </c>
      <c r="C633" s="31"/>
      <c r="D633" s="31"/>
      <c r="E633" s="72"/>
      <c r="F633" s="31"/>
      <c r="G633" s="73"/>
      <c r="H633" s="31"/>
      <c r="I633" s="72"/>
      <c r="J633" s="72"/>
      <c r="K633" s="31">
        <v>11.714285714285714</v>
      </c>
      <c r="L633" s="31">
        <v>-1</v>
      </c>
      <c r="M633" s="74"/>
      <c r="N633" s="74"/>
      <c r="O633" s="75"/>
      <c r="P633" s="75"/>
      <c r="Q633" s="76"/>
      <c r="R633" s="76"/>
      <c r="S633" s="31">
        <v>1</v>
      </c>
      <c r="T633" s="31"/>
      <c r="U633" s="76">
        <v>-12.714285714285714</v>
      </c>
      <c r="V633" s="76"/>
      <c r="W633" s="76"/>
      <c r="X633" s="76"/>
      <c r="Y633" s="76">
        <v>-2.5786052147700911E-2</v>
      </c>
      <c r="Z633" s="76">
        <v>-1.2048192771084487E-2</v>
      </c>
      <c r="AA633" s="76"/>
      <c r="AB633" s="76"/>
      <c r="AC633" s="76"/>
      <c r="AD633" s="142"/>
      <c r="AE633" s="142"/>
      <c r="AF633" s="142"/>
    </row>
    <row r="634" spans="1:32" x14ac:dyDescent="0.35">
      <c r="A634" t="s">
        <v>69</v>
      </c>
      <c r="B634" t="s">
        <v>826</v>
      </c>
      <c r="C634" s="31"/>
      <c r="D634" s="31"/>
      <c r="E634" s="72"/>
      <c r="F634" s="31"/>
      <c r="G634" s="73"/>
      <c r="H634" s="31"/>
      <c r="I634" s="72"/>
      <c r="J634" s="72"/>
      <c r="K634" s="31">
        <v>-1</v>
      </c>
      <c r="L634" s="31"/>
      <c r="M634" s="74"/>
      <c r="N634" s="74"/>
      <c r="O634" s="75"/>
      <c r="P634" s="75"/>
      <c r="Q634" s="76"/>
      <c r="R634" s="76"/>
      <c r="S634" s="31"/>
      <c r="T634" s="31"/>
      <c r="U634" s="76"/>
      <c r="V634" s="76"/>
      <c r="W634" s="76"/>
      <c r="X634" s="76"/>
      <c r="Y634" s="76">
        <v>0</v>
      </c>
      <c r="Z634" s="76">
        <v>0</v>
      </c>
      <c r="AA634" s="76"/>
      <c r="AB634" s="76"/>
      <c r="AC634" s="76"/>
      <c r="AD634" s="142"/>
      <c r="AE634" s="142"/>
      <c r="AF634" s="142"/>
    </row>
    <row r="635" spans="1:32" x14ac:dyDescent="0.35">
      <c r="A635" t="s">
        <v>69</v>
      </c>
      <c r="B635" t="s">
        <v>753</v>
      </c>
      <c r="C635" s="31"/>
      <c r="D635" s="31"/>
      <c r="E635" s="72"/>
      <c r="F635" s="31"/>
      <c r="G635" s="73"/>
      <c r="H635" s="31"/>
      <c r="I635" s="72"/>
      <c r="J635" s="72"/>
      <c r="K635" s="31">
        <v>-13</v>
      </c>
      <c r="L635" s="31">
        <v>-4</v>
      </c>
      <c r="M635" s="74"/>
      <c r="N635" s="74"/>
      <c r="O635" s="75"/>
      <c r="P635" s="75"/>
      <c r="Q635" s="76"/>
      <c r="R635" s="76"/>
      <c r="S635" s="31"/>
      <c r="T635" s="31"/>
      <c r="U635" s="76">
        <v>2.5</v>
      </c>
      <c r="V635" s="76"/>
      <c r="W635" s="76"/>
      <c r="X635" s="76"/>
      <c r="Y635" s="76">
        <v>8.9294480457147163E-3</v>
      </c>
      <c r="Z635" s="76">
        <v>-9.9009900990098987E-2</v>
      </c>
      <c r="AA635" s="76"/>
      <c r="AB635" s="76"/>
      <c r="AC635" s="76"/>
      <c r="AD635" s="142"/>
      <c r="AE635" s="142"/>
      <c r="AF635" s="142"/>
    </row>
    <row r="636" spans="1:32" x14ac:dyDescent="0.35">
      <c r="A636" t="s">
        <v>69</v>
      </c>
      <c r="B636" t="s">
        <v>828</v>
      </c>
      <c r="C636" s="31"/>
      <c r="D636" s="31"/>
      <c r="E636" s="72"/>
      <c r="F636" s="31"/>
      <c r="G636" s="73"/>
      <c r="H636" s="31"/>
      <c r="I636" s="72"/>
      <c r="J636" s="72"/>
      <c r="K636" s="31">
        <v>0</v>
      </c>
      <c r="L636" s="31"/>
      <c r="M636" s="74"/>
      <c r="N636" s="74"/>
      <c r="O636" s="75"/>
      <c r="P636" s="75"/>
      <c r="Q636" s="76"/>
      <c r="R636" s="76"/>
      <c r="S636" s="31"/>
      <c r="T636" s="31"/>
      <c r="U636" s="76"/>
      <c r="V636" s="76"/>
      <c r="W636" s="76"/>
      <c r="X636" s="76"/>
      <c r="Y636" s="76">
        <v>-1</v>
      </c>
      <c r="Z636" s="76">
        <v>-1</v>
      </c>
      <c r="AA636" s="76"/>
      <c r="AB636" s="76"/>
      <c r="AC636" s="76"/>
      <c r="AD636" s="142"/>
      <c r="AE636" s="142"/>
      <c r="AF636" s="142"/>
    </row>
    <row r="637" spans="1:32" x14ac:dyDescent="0.35">
      <c r="A637" t="s">
        <v>69</v>
      </c>
      <c r="B637" t="s">
        <v>855</v>
      </c>
      <c r="C637" s="31"/>
      <c r="D637" s="31"/>
      <c r="E637" s="72"/>
      <c r="F637" s="31"/>
      <c r="G637" s="73"/>
      <c r="H637" s="31"/>
      <c r="I637" s="72"/>
      <c r="J637" s="72"/>
      <c r="K637" s="31">
        <v>1</v>
      </c>
      <c r="L637" s="31"/>
      <c r="M637" s="74"/>
      <c r="N637" s="74"/>
      <c r="O637" s="75"/>
      <c r="P637" s="75"/>
      <c r="Q637" s="76"/>
      <c r="R637" s="76"/>
      <c r="S637" s="31"/>
      <c r="T637" s="31"/>
      <c r="U637" s="76"/>
      <c r="V637" s="76"/>
      <c r="W637" s="76"/>
      <c r="X637" s="76"/>
      <c r="Y637" s="76">
        <v>0</v>
      </c>
      <c r="Z637" s="76">
        <v>0</v>
      </c>
      <c r="AA637" s="76"/>
      <c r="AB637" s="76"/>
      <c r="AC637" s="76"/>
      <c r="AD637" s="142"/>
      <c r="AE637" s="142"/>
      <c r="AF637" s="142"/>
    </row>
    <row r="638" spans="1:32" x14ac:dyDescent="0.35">
      <c r="A638" t="s">
        <v>69</v>
      </c>
      <c r="B638" t="s">
        <v>829</v>
      </c>
      <c r="C638" s="31"/>
      <c r="D638" s="31"/>
      <c r="E638" s="72"/>
      <c r="F638" s="31"/>
      <c r="G638" s="73"/>
      <c r="H638" s="31"/>
      <c r="I638" s="72"/>
      <c r="J638" s="72"/>
      <c r="K638" s="31">
        <v>0</v>
      </c>
      <c r="L638" s="31"/>
      <c r="M638" s="74"/>
      <c r="N638" s="74"/>
      <c r="O638" s="75"/>
      <c r="P638" s="75"/>
      <c r="Q638" s="76"/>
      <c r="R638" s="76"/>
      <c r="S638" s="31"/>
      <c r="T638" s="31"/>
      <c r="U638" s="76"/>
      <c r="V638" s="76"/>
      <c r="W638" s="76"/>
      <c r="X638" s="76"/>
      <c r="Y638" s="76"/>
      <c r="Z638" s="76"/>
      <c r="AA638" s="76"/>
      <c r="AB638" s="76"/>
      <c r="AC638" s="76"/>
      <c r="AD638" s="142"/>
      <c r="AE638" s="142"/>
      <c r="AF638" s="142"/>
    </row>
    <row r="639" spans="1:32" x14ac:dyDescent="0.35">
      <c r="A639" t="s">
        <v>69</v>
      </c>
      <c r="B639" t="s">
        <v>754</v>
      </c>
      <c r="C639" s="31"/>
      <c r="D639" s="31">
        <v>1</v>
      </c>
      <c r="E639" s="72"/>
      <c r="F639" s="31">
        <v>1</v>
      </c>
      <c r="G639" s="73"/>
      <c r="H639" s="31">
        <v>2</v>
      </c>
      <c r="I639" s="72"/>
      <c r="J639" s="72">
        <v>-98</v>
      </c>
      <c r="K639" s="31">
        <v>27.571428571428573</v>
      </c>
      <c r="L639" s="31">
        <v>8.8571428571428577</v>
      </c>
      <c r="M639" s="74"/>
      <c r="N639" s="74">
        <v>8.8571428571428577</v>
      </c>
      <c r="O639" s="75"/>
      <c r="P639" s="75">
        <v>2</v>
      </c>
      <c r="Q639" s="76"/>
      <c r="R639" s="76">
        <v>-49</v>
      </c>
      <c r="S639" s="31"/>
      <c r="T639" s="31"/>
      <c r="U639" s="76">
        <v>2.1129032258064515</v>
      </c>
      <c r="V639" s="76"/>
      <c r="W639" s="76"/>
      <c r="X639" s="76"/>
      <c r="Y639" s="76">
        <v>-9.6774897821025996E-2</v>
      </c>
      <c r="Z639" s="76">
        <v>-7.6555023923444931E-2</v>
      </c>
      <c r="AA639" s="76"/>
      <c r="AB639" s="76"/>
      <c r="AC639" s="76"/>
      <c r="AD639" s="142"/>
      <c r="AE639" s="142"/>
      <c r="AF639" s="142"/>
    </row>
    <row r="640" spans="1:32" x14ac:dyDescent="0.35">
      <c r="A640" t="s">
        <v>69</v>
      </c>
      <c r="B640" t="s">
        <v>745</v>
      </c>
      <c r="C640" s="31"/>
      <c r="D640" s="31"/>
      <c r="E640" s="72"/>
      <c r="F640" s="31"/>
      <c r="G640" s="73"/>
      <c r="H640" s="31"/>
      <c r="I640" s="72"/>
      <c r="J640" s="72"/>
      <c r="K640" s="31">
        <v>130.42857142857142</v>
      </c>
      <c r="L640" s="31">
        <v>13.571428571428571</v>
      </c>
      <c r="M640" s="74"/>
      <c r="N640" s="74"/>
      <c r="O640" s="75"/>
      <c r="P640" s="75"/>
      <c r="Q640" s="76"/>
      <c r="R640" s="76"/>
      <c r="S640" s="31"/>
      <c r="T640" s="31"/>
      <c r="U640" s="76">
        <v>8.3894736842105271</v>
      </c>
      <c r="V640" s="76"/>
      <c r="W640" s="76"/>
      <c r="X640" s="76"/>
      <c r="Y640" s="76">
        <v>2.3785448548678811E-3</v>
      </c>
      <c r="Z640" s="76">
        <v>-1.094091903720118E-3</v>
      </c>
      <c r="AA640" s="76"/>
      <c r="AB640" s="76"/>
      <c r="AC640" s="76"/>
      <c r="AD640" s="142"/>
      <c r="AE640" s="142"/>
      <c r="AF640" s="142"/>
    </row>
    <row r="641" spans="1:32" x14ac:dyDescent="0.35">
      <c r="A641" t="s">
        <v>69</v>
      </c>
      <c r="B641" t="s">
        <v>830</v>
      </c>
      <c r="C641" s="31"/>
      <c r="D641" s="31"/>
      <c r="E641" s="72"/>
      <c r="F641" s="31"/>
      <c r="G641" s="73"/>
      <c r="H641" s="31"/>
      <c r="I641" s="72"/>
      <c r="J641" s="72"/>
      <c r="K641" s="31">
        <v>1</v>
      </c>
      <c r="L641" s="31"/>
      <c r="M641" s="74"/>
      <c r="N641" s="74"/>
      <c r="O641" s="75"/>
      <c r="P641" s="75"/>
      <c r="Q641" s="76"/>
      <c r="R641" s="76"/>
      <c r="S641" s="31"/>
      <c r="T641" s="31"/>
      <c r="U641" s="76"/>
      <c r="V641" s="76"/>
      <c r="W641" s="76"/>
      <c r="X641" s="76"/>
      <c r="Y641" s="76">
        <v>0</v>
      </c>
      <c r="Z641" s="76">
        <v>0</v>
      </c>
      <c r="AA641" s="76"/>
      <c r="AB641" s="76"/>
      <c r="AC641" s="76"/>
      <c r="AD641" s="142"/>
      <c r="AE641" s="142"/>
      <c r="AF641" s="142"/>
    </row>
    <row r="642" spans="1:32" x14ac:dyDescent="0.35">
      <c r="A642" t="s">
        <v>69</v>
      </c>
      <c r="B642" t="s">
        <v>747</v>
      </c>
      <c r="C642" s="31"/>
      <c r="D642" s="31"/>
      <c r="E642" s="72"/>
      <c r="F642" s="31"/>
      <c r="G642" s="73"/>
      <c r="H642" s="31"/>
      <c r="I642" s="72"/>
      <c r="J642" s="72"/>
      <c r="K642" s="31">
        <v>-9</v>
      </c>
      <c r="L642" s="31">
        <v>-4</v>
      </c>
      <c r="M642" s="74"/>
      <c r="N642" s="74"/>
      <c r="O642" s="75"/>
      <c r="P642" s="75"/>
      <c r="Q642" s="76"/>
      <c r="R642" s="76"/>
      <c r="S642" s="31">
        <v>7</v>
      </c>
      <c r="T642" s="31"/>
      <c r="U642" s="76">
        <v>1.25</v>
      </c>
      <c r="V642" s="76"/>
      <c r="W642" s="76"/>
      <c r="X642" s="76"/>
      <c r="Y642" s="76">
        <v>-1.5806302036726505E-2</v>
      </c>
      <c r="Z642" s="76">
        <v>1.6129032258064502E-2</v>
      </c>
      <c r="AA642" s="76"/>
      <c r="AB642" s="76"/>
      <c r="AC642" s="76"/>
      <c r="AD642" s="142"/>
      <c r="AE642" s="142"/>
      <c r="AF642" s="142"/>
    </row>
    <row r="643" spans="1:32" x14ac:dyDescent="0.35">
      <c r="A643" t="s">
        <v>69</v>
      </c>
      <c r="B643" t="s">
        <v>831</v>
      </c>
      <c r="C643" s="31"/>
      <c r="D643" s="31"/>
      <c r="E643" s="72"/>
      <c r="F643" s="31"/>
      <c r="G643" s="73"/>
      <c r="H643" s="31"/>
      <c r="I643" s="72"/>
      <c r="J643" s="72"/>
      <c r="K643" s="31">
        <v>-4</v>
      </c>
      <c r="L643" s="31"/>
      <c r="M643" s="74"/>
      <c r="N643" s="74"/>
      <c r="O643" s="75"/>
      <c r="P643" s="75"/>
      <c r="Q643" s="76"/>
      <c r="R643" s="76"/>
      <c r="S643" s="31">
        <v>24</v>
      </c>
      <c r="T643" s="31"/>
      <c r="U643" s="76"/>
      <c r="V643" s="76"/>
      <c r="W643" s="76"/>
      <c r="X643" s="76"/>
      <c r="Y643" s="76">
        <v>0</v>
      </c>
      <c r="Z643" s="76">
        <v>-3.4482758620689724E-2</v>
      </c>
      <c r="AA643" s="76"/>
      <c r="AB643" s="76"/>
      <c r="AC643" s="76"/>
      <c r="AD643" s="142"/>
      <c r="AE643" s="142"/>
      <c r="AF643" s="142"/>
    </row>
    <row r="644" spans="1:32" x14ac:dyDescent="0.35">
      <c r="A644" t="s">
        <v>69</v>
      </c>
      <c r="B644" t="s">
        <v>741</v>
      </c>
      <c r="C644" s="31">
        <v>0</v>
      </c>
      <c r="D644" s="31">
        <v>2</v>
      </c>
      <c r="E644" s="72">
        <v>0</v>
      </c>
      <c r="F644" s="31">
        <v>2</v>
      </c>
      <c r="G644" s="73">
        <v>-86.63000000000001</v>
      </c>
      <c r="H644" s="31">
        <v>133.32</v>
      </c>
      <c r="I644" s="72">
        <v>-95.440000000000012</v>
      </c>
      <c r="J644" s="72">
        <v>84.109999999999985</v>
      </c>
      <c r="K644" s="31">
        <v>23</v>
      </c>
      <c r="L644" s="31">
        <v>11.428571428571429</v>
      </c>
      <c r="M644" s="74"/>
      <c r="N644" s="74">
        <v>5.7142857142857144</v>
      </c>
      <c r="O644" s="75"/>
      <c r="P644" s="75">
        <v>66.66</v>
      </c>
      <c r="Q644" s="76">
        <v>1.1016968717534341</v>
      </c>
      <c r="R644" s="76">
        <v>0.63088808880888081</v>
      </c>
      <c r="S644" s="31">
        <v>-25</v>
      </c>
      <c r="T644" s="31"/>
      <c r="U644" s="76">
        <v>1.0124999999999997</v>
      </c>
      <c r="V644" s="76">
        <v>-1</v>
      </c>
      <c r="W644" s="76">
        <v>-1.6497899789978998</v>
      </c>
      <c r="X644" s="76">
        <v>-2.1347045535608133</v>
      </c>
      <c r="Y644" s="76">
        <v>0.24485559418656644</v>
      </c>
      <c r="Z644" s="76">
        <v>0.21969696969696972</v>
      </c>
      <c r="AA644" s="76">
        <v>-1</v>
      </c>
      <c r="AB644" s="76">
        <v>-2.2995799579957996</v>
      </c>
      <c r="AC644" s="76"/>
      <c r="AD644" s="142"/>
      <c r="AE644" s="142"/>
      <c r="AF644" s="142"/>
    </row>
    <row r="645" spans="1:32" x14ac:dyDescent="0.35">
      <c r="A645" s="138" t="s">
        <v>856</v>
      </c>
      <c r="B645" s="138"/>
      <c r="C645" s="127">
        <v>9</v>
      </c>
      <c r="D645" s="127">
        <v>10</v>
      </c>
      <c r="E645" s="126">
        <v>12</v>
      </c>
      <c r="F645" s="127">
        <v>10</v>
      </c>
      <c r="G645" s="127">
        <v>2188.2500000000005</v>
      </c>
      <c r="H645" s="127">
        <v>3601.9300000000003</v>
      </c>
      <c r="I645" s="126">
        <v>963.6600000000002</v>
      </c>
      <c r="J645" s="126">
        <v>2307.4400000000005</v>
      </c>
      <c r="K645" s="127">
        <v>2124.1428571428573</v>
      </c>
      <c r="L645" s="127">
        <v>1775.8571428571429</v>
      </c>
      <c r="M645" s="140">
        <v>177.01190476190479</v>
      </c>
      <c r="N645" s="140">
        <v>179.75714285714287</v>
      </c>
      <c r="O645" s="139">
        <v>182.35416666666671</v>
      </c>
      <c r="P645" s="139">
        <v>360.19300000000004</v>
      </c>
      <c r="Q645" s="141">
        <v>0.4403792985262196</v>
      </c>
      <c r="R645" s="141">
        <v>0.64061211628210446</v>
      </c>
      <c r="S645" s="127">
        <v>1718.2857142857142</v>
      </c>
      <c r="T645" s="127"/>
      <c r="U645" s="141">
        <v>0.1657147453945782</v>
      </c>
      <c r="V645" s="141">
        <v>0.19999999999999996</v>
      </c>
      <c r="W645" s="141">
        <v>-0.39247847681659542</v>
      </c>
      <c r="X645" s="141">
        <v>-0.58236833893839057</v>
      </c>
      <c r="Y645" s="141">
        <v>-5.5879500211842847E-3</v>
      </c>
      <c r="Z645" s="141">
        <v>7.3165774676513529E-3</v>
      </c>
      <c r="AA645" s="141">
        <v>-0.76</v>
      </c>
      <c r="AB645" s="141">
        <v>-0.78332399264098662</v>
      </c>
      <c r="AC645" s="141">
        <v>-9.7183302670777461E-2</v>
      </c>
      <c r="AD645" s="143"/>
      <c r="AE645" s="143"/>
      <c r="AF645" s="143"/>
    </row>
    <row r="646" spans="1:32" x14ac:dyDescent="0.35">
      <c r="A646" t="s">
        <v>860</v>
      </c>
      <c r="C646" s="31">
        <v>133298</v>
      </c>
      <c r="D646" s="31">
        <v>134007</v>
      </c>
      <c r="E646" s="72">
        <v>347613</v>
      </c>
      <c r="F646" s="31">
        <v>344385</v>
      </c>
      <c r="G646" s="73">
        <v>147330652.3499999</v>
      </c>
      <c r="H646" s="31">
        <v>109003326.02999969</v>
      </c>
      <c r="I646" s="72">
        <v>76377772.780000076</v>
      </c>
      <c r="J646" s="72">
        <v>47450161.639999934</v>
      </c>
      <c r="K646" s="31">
        <v>4090031.1428571427</v>
      </c>
      <c r="L646" s="31">
        <v>5774798.8571428573</v>
      </c>
      <c r="M646" s="74">
        <v>11.766047710693048</v>
      </c>
      <c r="N646" s="74">
        <v>17.004538237854877</v>
      </c>
      <c r="O646" s="75">
        <v>423.83527759318542</v>
      </c>
      <c r="P646" s="75">
        <v>316.51589363648156</v>
      </c>
      <c r="Q646" s="76">
        <v>0.51841060608729572</v>
      </c>
      <c r="R646" s="76">
        <v>0.42702379284620773</v>
      </c>
      <c r="S646" s="31">
        <v>1567375.482285714</v>
      </c>
      <c r="T646" s="31"/>
      <c r="U646" s="76">
        <v>-0.31748989550458562</v>
      </c>
      <c r="V646" s="76">
        <v>-2.9217300405069868E-2</v>
      </c>
      <c r="W646" s="76">
        <v>0.30246070143700554</v>
      </c>
      <c r="X646" s="76">
        <v>0.58372326858776491</v>
      </c>
      <c r="Y646" s="76">
        <v>-2.5592345320168963E-3</v>
      </c>
      <c r="Z646" s="76">
        <v>-7.5579622640568056E-3</v>
      </c>
      <c r="AA646" s="76">
        <v>5.1712296646809097E-2</v>
      </c>
      <c r="AB646" s="76">
        <v>9.8832180842879147E-2</v>
      </c>
      <c r="AC646" s="76">
        <v>4.4803017276020762E-2</v>
      </c>
      <c r="AD646" s="142">
        <v>-0.12176295529704083</v>
      </c>
      <c r="AE646" s="142">
        <v>-1.4698013464910327E-2</v>
      </c>
      <c r="AF646" s="142">
        <v>0.10782351036862355</v>
      </c>
    </row>
  </sheetData>
  <mergeCells count="1">
    <mergeCell ref="Y12:AC12"/>
  </mergeCell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3F37E-D40A-4EFD-A5D3-950E9AFACA75}">
  <sheetPr>
    <tabColor rgb="FFFF0000"/>
  </sheetPr>
  <dimension ref="A4:AL209"/>
  <sheetViews>
    <sheetView showGridLines="0" topLeftCell="A56" zoomScale="85" zoomScaleNormal="85" workbookViewId="0">
      <selection activeCell="A21" sqref="A21:S25"/>
    </sheetView>
  </sheetViews>
  <sheetFormatPr defaultColWidth="22.54296875" defaultRowHeight="15.5" outlineLevelRow="1" x14ac:dyDescent="0.35"/>
  <cols>
    <col min="1" max="1" width="24.1796875" bestFit="1" customWidth="1"/>
    <col min="2" max="2" width="13.453125" customWidth="1"/>
    <col min="3" max="3" width="10.1796875" customWidth="1"/>
    <col min="4" max="4" width="7.81640625" customWidth="1"/>
    <col min="5" max="5" width="9.7265625" customWidth="1"/>
    <col min="6" max="12" width="11" customWidth="1"/>
    <col min="13" max="16" width="9" customWidth="1"/>
    <col min="17" max="17" width="10.81640625" customWidth="1"/>
    <col min="18" max="18" width="9.54296875" customWidth="1"/>
    <col min="19" max="19" width="11.81640625" customWidth="1"/>
    <col min="20" max="20" width="12.1796875" customWidth="1"/>
    <col min="21" max="21" width="13.54296875" customWidth="1"/>
    <col min="22" max="22" width="11.54296875" customWidth="1"/>
    <col min="23" max="23" width="10.7265625" customWidth="1"/>
    <col min="24" max="24" width="12.453125" bestFit="1" customWidth="1"/>
    <col min="25" max="25" width="8.453125" bestFit="1" customWidth="1"/>
    <col min="26" max="26" width="7.81640625" bestFit="1" customWidth="1"/>
    <col min="27" max="27" width="8.1796875" bestFit="1" customWidth="1"/>
    <col min="28" max="28" width="8.453125" bestFit="1" customWidth="1"/>
    <col min="29" max="29" width="8.54296875" bestFit="1" customWidth="1"/>
    <col min="30" max="30" width="15.453125" customWidth="1"/>
    <col min="31" max="33" width="8.26953125" customWidth="1"/>
    <col min="34" max="34" width="7.81640625" customWidth="1"/>
    <col min="35" max="35" width="8" customWidth="1"/>
    <col min="36" max="36" width="8.1796875" customWidth="1"/>
    <col min="37" max="37" width="9.1796875" style="115" customWidth="1"/>
    <col min="38" max="38" width="9" customWidth="1"/>
  </cols>
  <sheetData>
    <row r="4" spans="1:13" x14ac:dyDescent="0.35">
      <c r="A4" s="132" t="s">
        <v>6</v>
      </c>
      <c r="B4" t="s" vm="11">
        <v>140</v>
      </c>
    </row>
    <row r="5" spans="1:13" x14ac:dyDescent="0.35">
      <c r="A5" s="132" t="s">
        <v>4</v>
      </c>
      <c r="B5" t="s" vm="12">
        <v>5</v>
      </c>
    </row>
    <row r="6" spans="1:13" x14ac:dyDescent="0.35">
      <c r="A6" s="132" t="s">
        <v>111</v>
      </c>
      <c r="B6" t="s" vm="13">
        <v>112</v>
      </c>
    </row>
    <row r="7" spans="1:13" x14ac:dyDescent="0.35">
      <c r="A7" s="132" t="s">
        <v>0</v>
      </c>
      <c r="B7" t="s" vm="14">
        <v>1</v>
      </c>
    </row>
    <row r="8" spans="1:13" x14ac:dyDescent="0.35">
      <c r="A8" s="132" t="s">
        <v>141</v>
      </c>
      <c r="B8" t="s" vm="15">
        <v>3</v>
      </c>
    </row>
    <row r="9" spans="1:13" x14ac:dyDescent="0.35">
      <c r="A9" s="132" t="s">
        <v>110</v>
      </c>
      <c r="B9" t="s" vm="16">
        <v>3</v>
      </c>
    </row>
    <row r="10" spans="1:13" x14ac:dyDescent="0.35">
      <c r="A10" s="133" t="s">
        <v>113</v>
      </c>
      <c r="B10" t="s" vm="17">
        <v>3</v>
      </c>
    </row>
    <row r="11" spans="1:13" x14ac:dyDescent="0.35">
      <c r="A11" s="132" t="s">
        <v>7</v>
      </c>
      <c r="B11" t="s" vm="18">
        <v>8</v>
      </c>
    </row>
    <row r="13" spans="1:13" x14ac:dyDescent="0.35">
      <c r="D13" s="132" t="s">
        <v>24</v>
      </c>
    </row>
    <row r="14" spans="1:13" ht="58" x14ac:dyDescent="0.35">
      <c r="A14" s="132" t="s">
        <v>142</v>
      </c>
      <c r="B14" s="132" t="s">
        <v>143</v>
      </c>
      <c r="C14" s="132" t="s">
        <v>144</v>
      </c>
      <c r="D14" s="2" t="s">
        <v>145</v>
      </c>
      <c r="E14" s="2" t="s">
        <v>58</v>
      </c>
      <c r="F14" s="2" t="s">
        <v>146</v>
      </c>
      <c r="G14" s="70" t="s">
        <v>34</v>
      </c>
      <c r="H14" s="2" t="s">
        <v>126</v>
      </c>
      <c r="I14" s="2" t="s">
        <v>147</v>
      </c>
      <c r="J14" s="2" t="s">
        <v>30</v>
      </c>
      <c r="K14" s="2" t="s">
        <v>148</v>
      </c>
      <c r="L14" s="2" t="s">
        <v>136</v>
      </c>
      <c r="M14" s="2" t="s">
        <v>134</v>
      </c>
    </row>
    <row r="15" spans="1:13" x14ac:dyDescent="0.35">
      <c r="A15" t="s">
        <v>204</v>
      </c>
      <c r="B15" t="s">
        <v>205</v>
      </c>
      <c r="C15" t="s">
        <v>149</v>
      </c>
      <c r="D15" s="31">
        <v>19357</v>
      </c>
      <c r="E15" s="31">
        <v>18344</v>
      </c>
      <c r="F15" s="31">
        <v>1013</v>
      </c>
      <c r="G15" s="72">
        <v>47727</v>
      </c>
      <c r="H15" s="31">
        <v>18873039.390003078</v>
      </c>
      <c r="I15" s="31">
        <v>9167551.790000122</v>
      </c>
      <c r="J15" s="31">
        <v>4143630</v>
      </c>
      <c r="K15" s="31">
        <v>176844</v>
      </c>
      <c r="L15" s="31">
        <v>1518286.6680000001</v>
      </c>
      <c r="M15" s="76">
        <v>0.51425143557647124</v>
      </c>
    </row>
    <row r="16" spans="1:13" x14ac:dyDescent="0.35">
      <c r="B16" t="s">
        <v>206</v>
      </c>
      <c r="C16" t="s">
        <v>150</v>
      </c>
      <c r="D16" s="31">
        <v>20478</v>
      </c>
      <c r="E16" s="31">
        <v>19370</v>
      </c>
      <c r="F16" s="31">
        <v>1108</v>
      </c>
      <c r="G16" s="72">
        <v>54165</v>
      </c>
      <c r="H16" s="31">
        <v>19914151.220002603</v>
      </c>
      <c r="I16" s="31">
        <v>10018429.480000058</v>
      </c>
      <c r="J16" s="31">
        <v>4135814</v>
      </c>
      <c r="K16" s="31">
        <v>199651</v>
      </c>
      <c r="L16" s="31">
        <v>1516897.6680000001</v>
      </c>
      <c r="M16" s="76">
        <v>0.49691908184671413</v>
      </c>
    </row>
    <row r="17" spans="1:13" x14ac:dyDescent="0.35">
      <c r="B17" t="s">
        <v>207</v>
      </c>
      <c r="C17" t="s">
        <v>151</v>
      </c>
      <c r="D17" s="31">
        <v>18914</v>
      </c>
      <c r="E17" s="31">
        <v>17905</v>
      </c>
      <c r="F17" s="31">
        <v>1009</v>
      </c>
      <c r="G17" s="72">
        <v>49570</v>
      </c>
      <c r="H17" s="31">
        <v>18848030.170002814</v>
      </c>
      <c r="I17" s="31">
        <v>9337711.3500000685</v>
      </c>
      <c r="J17" s="31">
        <v>4140675</v>
      </c>
      <c r="K17" s="31">
        <v>209616</v>
      </c>
      <c r="L17" s="31">
        <v>1572952.6680000001</v>
      </c>
      <c r="M17" s="76">
        <v>0.50457892597902876</v>
      </c>
    </row>
    <row r="18" spans="1:13" x14ac:dyDescent="0.35">
      <c r="B18" t="s">
        <v>208</v>
      </c>
      <c r="C18" t="s">
        <v>152</v>
      </c>
      <c r="D18" s="31">
        <v>19657</v>
      </c>
      <c r="E18" s="31">
        <v>18692</v>
      </c>
      <c r="F18" s="31">
        <v>965</v>
      </c>
      <c r="G18" s="72">
        <v>48984</v>
      </c>
      <c r="H18" s="31">
        <v>19167361.690002803</v>
      </c>
      <c r="I18" s="31">
        <v>9565205.0500000659</v>
      </c>
      <c r="J18" s="31">
        <v>4154144</v>
      </c>
      <c r="K18" s="31">
        <v>223661</v>
      </c>
      <c r="L18" s="31">
        <v>1551123.6680000001</v>
      </c>
      <c r="M18" s="76">
        <v>0.50096391956794717</v>
      </c>
    </row>
    <row r="19" spans="1:13" x14ac:dyDescent="0.35">
      <c r="B19" t="s">
        <v>209</v>
      </c>
      <c r="C19" t="s">
        <v>153</v>
      </c>
      <c r="D19" s="31">
        <v>23893</v>
      </c>
      <c r="E19" s="31">
        <v>22749</v>
      </c>
      <c r="F19" s="31">
        <v>1144</v>
      </c>
      <c r="G19" s="72">
        <v>62112</v>
      </c>
      <c r="H19" s="31">
        <v>25028885.859998912</v>
      </c>
      <c r="I19" s="31">
        <v>12347002.170000063</v>
      </c>
      <c r="J19" s="31">
        <v>4123430</v>
      </c>
      <c r="K19" s="31">
        <v>188537</v>
      </c>
      <c r="L19" s="31">
        <v>1574426.6680000001</v>
      </c>
      <c r="M19" s="76">
        <v>0.50668990065869002</v>
      </c>
    </row>
    <row r="20" spans="1:13" x14ac:dyDescent="0.35">
      <c r="B20" t="s">
        <v>210</v>
      </c>
      <c r="C20" t="s">
        <v>154</v>
      </c>
      <c r="D20" s="31">
        <v>21773</v>
      </c>
      <c r="E20" s="31">
        <v>20554</v>
      </c>
      <c r="F20" s="31">
        <v>1219</v>
      </c>
      <c r="G20" s="72">
        <v>56348</v>
      </c>
      <c r="H20" s="31">
        <v>22931527.420001477</v>
      </c>
      <c r="I20" s="31">
        <v>11304310.890000058</v>
      </c>
      <c r="J20" s="31">
        <v>4070269</v>
      </c>
      <c r="K20" s="31">
        <v>183117</v>
      </c>
      <c r="L20" s="31">
        <v>1574432.6680000001</v>
      </c>
      <c r="M20" s="76">
        <v>0.50704064831977746</v>
      </c>
    </row>
    <row r="21" spans="1:13" x14ac:dyDescent="0.35">
      <c r="A21" t="s">
        <v>211</v>
      </c>
      <c r="D21" s="31">
        <v>124072</v>
      </c>
      <c r="E21" s="31">
        <v>117614</v>
      </c>
      <c r="F21" s="31">
        <v>6458</v>
      </c>
      <c r="G21" s="72">
        <v>318906</v>
      </c>
      <c r="H21" s="31">
        <v>124762995.74998279</v>
      </c>
      <c r="I21" s="31">
        <v>61740210.729998142</v>
      </c>
      <c r="J21" s="31">
        <v>4127993.6666666665</v>
      </c>
      <c r="K21" s="31">
        <v>196904.33333333334</v>
      </c>
      <c r="L21" s="31">
        <v>1551353.3346666666</v>
      </c>
      <c r="M21" s="76">
        <v>0.50514004285598058</v>
      </c>
    </row>
    <row r="22" spans="1:13" x14ac:dyDescent="0.35">
      <c r="A22" t="s">
        <v>212</v>
      </c>
      <c r="B22" t="s">
        <v>213</v>
      </c>
      <c r="C22" t="s">
        <v>155</v>
      </c>
      <c r="D22" s="31">
        <v>11973</v>
      </c>
      <c r="E22" s="31">
        <v>11230</v>
      </c>
      <c r="F22" s="31">
        <v>743</v>
      </c>
      <c r="G22" s="72">
        <v>29754</v>
      </c>
      <c r="H22" s="31">
        <v>11728616.800001195</v>
      </c>
      <c r="I22" s="31">
        <v>5718541.7700000284</v>
      </c>
      <c r="J22" s="31">
        <v>4115371</v>
      </c>
      <c r="K22" s="31">
        <v>160040</v>
      </c>
      <c r="L22" s="31">
        <v>1570127.6680000001</v>
      </c>
      <c r="M22" s="76">
        <v>0.51242828821891895</v>
      </c>
    </row>
    <row r="23" spans="1:13" x14ac:dyDescent="0.35">
      <c r="B23" t="s">
        <v>214</v>
      </c>
      <c r="C23" t="s">
        <v>149</v>
      </c>
      <c r="D23" s="31">
        <v>16168</v>
      </c>
      <c r="E23" s="31">
        <v>15300</v>
      </c>
      <c r="F23" s="31">
        <v>868</v>
      </c>
      <c r="G23" s="72">
        <v>40812</v>
      </c>
      <c r="H23" s="31">
        <v>15751022.890001848</v>
      </c>
      <c r="I23" s="31">
        <v>7780464.7000000635</v>
      </c>
      <c r="J23" s="31">
        <v>4113470</v>
      </c>
      <c r="K23" s="31">
        <v>171013</v>
      </c>
      <c r="L23" s="31">
        <v>1591636.6680000001</v>
      </c>
      <c r="M23" s="76">
        <v>0.50603432206677768</v>
      </c>
    </row>
    <row r="24" spans="1:13" x14ac:dyDescent="0.35">
      <c r="B24" t="s">
        <v>215</v>
      </c>
      <c r="C24" t="s">
        <v>150</v>
      </c>
      <c r="D24" s="31">
        <v>17824</v>
      </c>
      <c r="E24" s="31">
        <v>16867</v>
      </c>
      <c r="F24" s="31">
        <v>957</v>
      </c>
      <c r="G24" s="72">
        <v>44030</v>
      </c>
      <c r="H24" s="31">
        <v>17543557.700001903</v>
      </c>
      <c r="I24" s="31">
        <v>8542946.1700000297</v>
      </c>
      <c r="J24" s="31">
        <v>4121345</v>
      </c>
      <c r="K24" s="31">
        <v>180211</v>
      </c>
      <c r="L24" s="31">
        <v>1537922.6680000001</v>
      </c>
      <c r="M24" s="76">
        <v>0.51304368725616822</v>
      </c>
    </row>
    <row r="25" spans="1:13" x14ac:dyDescent="0.35">
      <c r="B25" t="s">
        <v>216</v>
      </c>
      <c r="C25" t="s">
        <v>151</v>
      </c>
      <c r="D25" s="31">
        <v>17101</v>
      </c>
      <c r="E25" s="31">
        <v>16244</v>
      </c>
      <c r="F25" s="31">
        <v>857</v>
      </c>
      <c r="G25" s="72">
        <v>41766</v>
      </c>
      <c r="H25" s="31">
        <v>16988775.630001713</v>
      </c>
      <c r="I25" s="31">
        <v>8208396.0500000697</v>
      </c>
      <c r="J25" s="31">
        <v>4145679</v>
      </c>
      <c r="K25" s="31">
        <v>194868</v>
      </c>
      <c r="L25" s="31">
        <v>1593142.6680000001</v>
      </c>
      <c r="M25" s="76">
        <v>0.5168341598728472</v>
      </c>
    </row>
    <row r="26" spans="1:13" x14ac:dyDescent="0.35">
      <c r="B26" t="s">
        <v>217</v>
      </c>
      <c r="C26" t="s">
        <v>152</v>
      </c>
      <c r="D26" s="31">
        <v>19857</v>
      </c>
      <c r="E26" s="31">
        <v>18921</v>
      </c>
      <c r="F26" s="31">
        <v>936</v>
      </c>
      <c r="G26" s="72">
        <v>49206</v>
      </c>
      <c r="H26" s="31">
        <v>19939705.82000199</v>
      </c>
      <c r="I26" s="31">
        <v>10096978.00000013</v>
      </c>
      <c r="J26" s="31">
        <v>4161176</v>
      </c>
      <c r="K26" s="31">
        <v>186935</v>
      </c>
      <c r="L26" s="31">
        <v>1583486.6680000001</v>
      </c>
      <c r="M26" s="76">
        <v>0.4936245252989962</v>
      </c>
    </row>
    <row r="27" spans="1:13" x14ac:dyDescent="0.35">
      <c r="B27" t="s">
        <v>218</v>
      </c>
      <c r="C27" t="s">
        <v>153</v>
      </c>
      <c r="D27" s="31">
        <v>27034</v>
      </c>
      <c r="E27" s="31">
        <v>25805</v>
      </c>
      <c r="F27" s="31">
        <v>1229</v>
      </c>
      <c r="G27" s="72">
        <v>68605</v>
      </c>
      <c r="H27" s="31">
        <v>29196096.219999056</v>
      </c>
      <c r="I27" s="31">
        <v>14447076.150000064</v>
      </c>
      <c r="J27" s="31">
        <v>4123162</v>
      </c>
      <c r="K27" s="31">
        <v>154654</v>
      </c>
      <c r="L27" s="31">
        <v>1583486.6680000001</v>
      </c>
      <c r="M27" s="76">
        <v>0.50517096391459215</v>
      </c>
    </row>
    <row r="28" spans="1:13" x14ac:dyDescent="0.35">
      <c r="B28" t="s">
        <v>219</v>
      </c>
      <c r="C28" t="s">
        <v>154</v>
      </c>
      <c r="D28" s="31">
        <v>23785</v>
      </c>
      <c r="E28" s="31">
        <v>22641</v>
      </c>
      <c r="F28" s="31">
        <v>1144</v>
      </c>
      <c r="G28" s="72">
        <v>61974</v>
      </c>
      <c r="H28" s="31">
        <v>26686709.339999683</v>
      </c>
      <c r="I28" s="31">
        <v>13234669.240000099</v>
      </c>
      <c r="J28" s="31">
        <v>4066656</v>
      </c>
      <c r="K28" s="31">
        <v>146167</v>
      </c>
      <c r="L28" s="31">
        <v>1583538.6680000001</v>
      </c>
      <c r="M28" s="76">
        <v>0.50407264262579365</v>
      </c>
    </row>
    <row r="29" spans="1:13" x14ac:dyDescent="0.35">
      <c r="A29" t="s">
        <v>220</v>
      </c>
      <c r="D29" s="31">
        <v>133742</v>
      </c>
      <c r="E29" s="31">
        <v>127008</v>
      </c>
      <c r="F29" s="31">
        <v>6734</v>
      </c>
      <c r="G29" s="72">
        <v>336147</v>
      </c>
      <c r="H29" s="31">
        <v>137834484.39992645</v>
      </c>
      <c r="I29" s="31">
        <v>68029072.079998523</v>
      </c>
      <c r="J29" s="31">
        <v>4120979.8571428573</v>
      </c>
      <c r="K29" s="31">
        <v>170555.42857142858</v>
      </c>
      <c r="L29" s="31">
        <v>1577620.2394285712</v>
      </c>
      <c r="M29" s="76">
        <v>0.50644374391429559</v>
      </c>
    </row>
    <row r="30" spans="1:13" x14ac:dyDescent="0.35">
      <c r="A30" t="s">
        <v>221</v>
      </c>
      <c r="B30" t="s">
        <v>222</v>
      </c>
      <c r="C30" t="s">
        <v>155</v>
      </c>
      <c r="D30" s="31">
        <v>16118</v>
      </c>
      <c r="E30" s="31">
        <v>15157</v>
      </c>
      <c r="F30" s="31">
        <v>961</v>
      </c>
      <c r="G30" s="72">
        <v>40251</v>
      </c>
      <c r="H30" s="31">
        <v>16319882.860001523</v>
      </c>
      <c r="I30" s="31">
        <v>7969845.2000000561</v>
      </c>
      <c r="J30" s="31">
        <v>4108166</v>
      </c>
      <c r="K30" s="31">
        <v>102769</v>
      </c>
      <c r="L30" s="31">
        <v>1527801.6680000001</v>
      </c>
      <c r="M30" s="76">
        <v>0.51164813691557731</v>
      </c>
    </row>
    <row r="31" spans="1:13" x14ac:dyDescent="0.35">
      <c r="A31" t="s">
        <v>223</v>
      </c>
      <c r="D31" s="31">
        <v>16118</v>
      </c>
      <c r="E31" s="31">
        <v>15157</v>
      </c>
      <c r="F31" s="31">
        <v>961</v>
      </c>
      <c r="G31" s="72">
        <v>40251</v>
      </c>
      <c r="H31" s="31">
        <v>16319882.860001069</v>
      </c>
      <c r="I31" s="31">
        <v>7969845.2000000617</v>
      </c>
      <c r="J31" s="31">
        <v>4108166</v>
      </c>
      <c r="K31" s="31">
        <v>102769</v>
      </c>
      <c r="L31" s="31">
        <v>1527801.6680000001</v>
      </c>
      <c r="M31" s="76">
        <v>0.51164813691558864</v>
      </c>
    </row>
    <row r="34" hidden="1" outlineLevel="1" x14ac:dyDescent="0.35"/>
    <row r="35" hidden="1" outlineLevel="1" x14ac:dyDescent="0.35"/>
    <row r="36" hidden="1" outlineLevel="1" x14ac:dyDescent="0.35"/>
    <row r="37" hidden="1" outlineLevel="1" x14ac:dyDescent="0.35"/>
    <row r="38" hidden="1" outlineLevel="1" x14ac:dyDescent="0.35"/>
    <row r="39" hidden="1" outlineLevel="1" x14ac:dyDescent="0.35"/>
    <row r="40" hidden="1" outlineLevel="1" x14ac:dyDescent="0.35"/>
    <row r="41" hidden="1" outlineLevel="1" x14ac:dyDescent="0.35"/>
    <row r="42" hidden="1" outlineLevel="1" x14ac:dyDescent="0.35"/>
    <row r="43" hidden="1" outlineLevel="1" x14ac:dyDescent="0.35"/>
    <row r="44" hidden="1" outlineLevel="1" x14ac:dyDescent="0.35"/>
    <row r="45" hidden="1" outlineLevel="1" x14ac:dyDescent="0.35"/>
    <row r="46" hidden="1" outlineLevel="1" x14ac:dyDescent="0.35"/>
    <row r="47" hidden="1" outlineLevel="1" x14ac:dyDescent="0.35"/>
    <row r="48" hidden="1" outlineLevel="1" x14ac:dyDescent="0.35"/>
    <row r="49" spans="1:34" hidden="1" outlineLevel="1" x14ac:dyDescent="0.35"/>
    <row r="50" spans="1:34" hidden="1" outlineLevel="1" x14ac:dyDescent="0.35"/>
    <row r="51" spans="1:34" hidden="1" outlineLevel="1" x14ac:dyDescent="0.35"/>
    <row r="52" spans="1:34" hidden="1" outlineLevel="1" x14ac:dyDescent="0.35"/>
    <row r="53" spans="1:34" hidden="1" outlineLevel="1" x14ac:dyDescent="0.35"/>
    <row r="54" spans="1:34" hidden="1" outlineLevel="1" x14ac:dyDescent="0.35"/>
    <row r="55" spans="1:34" hidden="1" outlineLevel="1" x14ac:dyDescent="0.35"/>
    <row r="56" spans="1:34" collapsed="1" x14ac:dyDescent="0.35">
      <c r="A56" s="132" t="s">
        <v>0</v>
      </c>
      <c r="B56" t="s" vm="14">
        <v>1</v>
      </c>
    </row>
    <row r="57" spans="1:34" x14ac:dyDescent="0.35">
      <c r="A57" s="132" t="s">
        <v>6</v>
      </c>
      <c r="B57" t="s" vm="11">
        <v>140</v>
      </c>
    </row>
    <row r="58" spans="1:34" x14ac:dyDescent="0.35">
      <c r="A58" s="132" t="s">
        <v>111</v>
      </c>
      <c r="B58" t="s" vm="13">
        <v>112</v>
      </c>
    </row>
    <row r="59" spans="1:34" x14ac:dyDescent="0.35">
      <c r="A59" s="133" t="s">
        <v>113</v>
      </c>
      <c r="B59" t="s" vm="19">
        <v>156</v>
      </c>
      <c r="K59" s="77"/>
      <c r="L59" s="78"/>
      <c r="M59" s="78"/>
      <c r="N59" s="78"/>
      <c r="O59" s="78"/>
    </row>
    <row r="60" spans="1:34" x14ac:dyDescent="0.35">
      <c r="A60" s="133" t="s">
        <v>142</v>
      </c>
      <c r="B60" t="s" vm="20">
        <v>3</v>
      </c>
    </row>
    <row r="61" spans="1:34" x14ac:dyDescent="0.35">
      <c r="A61" s="133" t="s">
        <v>125</v>
      </c>
      <c r="B61" t="s" vm="21">
        <v>3</v>
      </c>
    </row>
    <row r="63" spans="1:34" x14ac:dyDescent="0.35">
      <c r="A63" s="79"/>
      <c r="B63" s="131" t="s">
        <v>4</v>
      </c>
      <c r="C63" s="131" t="s">
        <v>24</v>
      </c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</row>
    <row r="64" spans="1:34" x14ac:dyDescent="0.35">
      <c r="A64" s="79"/>
      <c r="B64" s="155" t="s">
        <v>157</v>
      </c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5" t="s">
        <v>5</v>
      </c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63"/>
      <c r="AE64" s="80" t="s">
        <v>158</v>
      </c>
      <c r="AF64" s="81"/>
      <c r="AG64" s="81"/>
      <c r="AH64" s="81"/>
    </row>
    <row r="65" spans="1:38" ht="58" x14ac:dyDescent="0.35">
      <c r="A65" s="137" t="s">
        <v>125</v>
      </c>
      <c r="B65" s="83" t="s">
        <v>159</v>
      </c>
      <c r="C65" s="70" t="s">
        <v>160</v>
      </c>
      <c r="D65" s="2" t="s">
        <v>161</v>
      </c>
      <c r="E65" s="2" t="s">
        <v>162</v>
      </c>
      <c r="F65" s="84" t="s">
        <v>30</v>
      </c>
      <c r="G65" s="70" t="s">
        <v>34</v>
      </c>
      <c r="H65" s="70" t="s">
        <v>126</v>
      </c>
      <c r="I65" s="2" t="s">
        <v>128</v>
      </c>
      <c r="J65" s="83" t="s">
        <v>148</v>
      </c>
      <c r="K65" s="2" t="s">
        <v>136</v>
      </c>
      <c r="L65" s="2" t="s">
        <v>134</v>
      </c>
      <c r="M65" s="2" t="s">
        <v>49</v>
      </c>
      <c r="N65" s="2" t="s">
        <v>132</v>
      </c>
      <c r="O65" s="83" t="s">
        <v>159</v>
      </c>
      <c r="P65" s="70" t="s">
        <v>160</v>
      </c>
      <c r="Q65" s="85" t="s">
        <v>161</v>
      </c>
      <c r="R65" s="2" t="s">
        <v>162</v>
      </c>
      <c r="S65" s="84" t="s">
        <v>30</v>
      </c>
      <c r="T65" s="70" t="s">
        <v>34</v>
      </c>
      <c r="U65" s="86" t="s">
        <v>126</v>
      </c>
      <c r="V65" s="2" t="s">
        <v>128</v>
      </c>
      <c r="W65" s="83" t="s">
        <v>148</v>
      </c>
      <c r="X65" s="85" t="s">
        <v>136</v>
      </c>
      <c r="Y65" s="2" t="s">
        <v>134</v>
      </c>
      <c r="Z65" s="2" t="s">
        <v>49</v>
      </c>
      <c r="AA65" s="2" t="s">
        <v>132</v>
      </c>
      <c r="AB65" s="87"/>
      <c r="AD65" s="87" t="str">
        <f>A65</f>
        <v>MainGroupDesc</v>
      </c>
      <c r="AE65" s="88" t="s">
        <v>30</v>
      </c>
      <c r="AF65" s="88" t="s">
        <v>34</v>
      </c>
      <c r="AG65" s="88" t="s">
        <v>126</v>
      </c>
      <c r="AH65" s="88" t="s">
        <v>163</v>
      </c>
      <c r="AI65" s="89" t="s">
        <v>164</v>
      </c>
      <c r="AJ65" s="89" t="s">
        <v>165</v>
      </c>
      <c r="AK65" s="90" t="s">
        <v>166</v>
      </c>
      <c r="AL65" s="89" t="s">
        <v>167</v>
      </c>
    </row>
    <row r="66" spans="1:38" x14ac:dyDescent="0.35">
      <c r="A66" s="82" t="s">
        <v>85</v>
      </c>
      <c r="B66" s="91">
        <v>0.10340638207215819</v>
      </c>
      <c r="C66" s="92">
        <v>0.14925306268734523</v>
      </c>
      <c r="D66" s="92">
        <v>8.3749223926980088E-2</v>
      </c>
      <c r="E66" s="92">
        <v>9.2550853626745699E-2</v>
      </c>
      <c r="F66" s="93">
        <v>44897.5</v>
      </c>
      <c r="G66" s="93">
        <v>36647</v>
      </c>
      <c r="H66" s="93">
        <v>6531190.6900013993</v>
      </c>
      <c r="I66" s="94">
        <v>2952677.6299999841</v>
      </c>
      <c r="J66" s="94">
        <v>2666.9642857142858</v>
      </c>
      <c r="K66" s="94">
        <v>329314.03571428574</v>
      </c>
      <c r="L66" s="95">
        <v>0.45208871860382804</v>
      </c>
      <c r="M66" s="96">
        <v>4.9005375610554749</v>
      </c>
      <c r="N66" s="97">
        <v>178.21897263081286</v>
      </c>
      <c r="O66" s="98">
        <v>0.10193224060361189</v>
      </c>
      <c r="P66" s="92">
        <v>9.7689638682384575E-2</v>
      </c>
      <c r="Q66" s="92">
        <v>6.4987519993202528E-2</v>
      </c>
      <c r="R66" s="92">
        <v>7.3916792818259261E-2</v>
      </c>
      <c r="S66" s="93">
        <v>587805.39285714284</v>
      </c>
      <c r="T66" s="93">
        <v>118279</v>
      </c>
      <c r="U66" s="93">
        <v>25769178.479998399</v>
      </c>
      <c r="V66" s="94">
        <v>13116375.6400008</v>
      </c>
      <c r="W66" s="94">
        <v>29986.5</v>
      </c>
      <c r="X66" s="94">
        <v>329314.03571428574</v>
      </c>
      <c r="Y66" s="95">
        <v>0.50899471437094945</v>
      </c>
      <c r="Z66" s="96">
        <v>19.878605428085894</v>
      </c>
      <c r="AA66" s="99">
        <v>217.86774051182712</v>
      </c>
      <c r="AD66" t="str">
        <f>A66</f>
        <v>Aksesuar</v>
      </c>
      <c r="AE66" s="100">
        <f>F66/(S66+F66)</f>
        <v>7.0961426772134809E-2</v>
      </c>
      <c r="AF66" s="100">
        <f>G66/(T66+G66)</f>
        <v>0.23654518931618967</v>
      </c>
      <c r="AG66" s="100">
        <f>H66/(U66+H66)</f>
        <v>0.20220173508318576</v>
      </c>
      <c r="AH66" s="100">
        <f>I66/(V66+I66)</f>
        <v>0.18374932115710388</v>
      </c>
      <c r="AI66" s="101">
        <f>D66*L66</f>
        <v>3.7862079329213483E-2</v>
      </c>
      <c r="AJ66" s="101">
        <f>Q66*Y66</f>
        <v>3.3078304176616488E-2</v>
      </c>
      <c r="AK66" s="102">
        <f>AI66-AJ66</f>
        <v>4.7837751525969946E-3</v>
      </c>
      <c r="AL66" s="103">
        <f>H66/(H66+U66)</f>
        <v>0.20220173508318576</v>
      </c>
    </row>
    <row r="67" spans="1:38" x14ac:dyDescent="0.35">
      <c r="A67" s="83" t="s">
        <v>100</v>
      </c>
      <c r="B67" s="104">
        <v>2.1198008090692087E-2</v>
      </c>
      <c r="C67" s="101">
        <v>2.8081421868890916E-2</v>
      </c>
      <c r="D67" s="101">
        <v>3.4701854306145759E-2</v>
      </c>
      <c r="E67" s="101">
        <v>3.5363003108537502E-2</v>
      </c>
      <c r="F67" s="72">
        <v>9203.8571428571431</v>
      </c>
      <c r="G67" s="72">
        <v>6895</v>
      </c>
      <c r="H67" s="72">
        <v>2706227.1999999979</v>
      </c>
      <c r="I67" s="31">
        <v>1128196.4900000035</v>
      </c>
      <c r="J67" s="31">
        <v>603.67857142857144</v>
      </c>
      <c r="K67" s="31">
        <v>12619.285714285714</v>
      </c>
      <c r="L67" s="76">
        <v>0.41688905129621207</v>
      </c>
      <c r="M67" s="74">
        <v>5.3394385165233604</v>
      </c>
      <c r="N67" s="75">
        <v>392.49125453226947</v>
      </c>
      <c r="O67" s="104">
        <v>1.1482804579447094E-2</v>
      </c>
      <c r="P67" s="101">
        <v>9.5394391800872665E-3</v>
      </c>
      <c r="Q67" s="101">
        <v>1.5605456786327618E-2</v>
      </c>
      <c r="R67" s="101">
        <v>1.6180805408652271E-2</v>
      </c>
      <c r="S67" s="72">
        <v>66217.071428571435</v>
      </c>
      <c r="T67" s="72">
        <v>11550</v>
      </c>
      <c r="U67" s="72">
        <v>6187954.2600000901</v>
      </c>
      <c r="V67" s="31">
        <v>2871249.0599999754</v>
      </c>
      <c r="W67" s="31">
        <v>1490.6071428571429</v>
      </c>
      <c r="X67" s="31">
        <v>12619.285714285714</v>
      </c>
      <c r="Y67" s="76">
        <v>0.46400618675548089</v>
      </c>
      <c r="Z67" s="74">
        <v>22.932319109461968</v>
      </c>
      <c r="AA67" s="105">
        <v>535.75361558442341</v>
      </c>
      <c r="AD67" t="str">
        <f t="shared" ref="AD67:AD88" si="0">A67</f>
        <v>Banyo</v>
      </c>
      <c r="AE67" s="100">
        <f t="shared" ref="AE67:AH85" si="1">F67/(S67+F67)</f>
        <v>0.1220331984396146</v>
      </c>
      <c r="AF67" s="100">
        <f t="shared" si="1"/>
        <v>0.37381404174573057</v>
      </c>
      <c r="AG67" s="100">
        <f t="shared" si="1"/>
        <v>0.30426939366716843</v>
      </c>
      <c r="AH67" s="100">
        <f t="shared" si="1"/>
        <v>0.28208822345387585</v>
      </c>
      <c r="AI67" s="101">
        <f t="shared" ref="AI67:AI88" si="2">D67*L67</f>
        <v>1.4466823119908477E-2</v>
      </c>
      <c r="AJ67" s="101">
        <f t="shared" ref="AJ67:AJ88" si="3">Q67*Y67</f>
        <v>7.2410284960013191E-3</v>
      </c>
      <c r="AK67" s="102">
        <f t="shared" ref="AK67:AK88" si="4">AI67-AJ67</f>
        <v>7.2257946239071584E-3</v>
      </c>
      <c r="AL67" s="103">
        <f t="shared" ref="AL67:AL88" si="5">H67/(H67+U67)</f>
        <v>0.30426939366716843</v>
      </c>
    </row>
    <row r="68" spans="1:38" x14ac:dyDescent="0.35">
      <c r="A68" s="83" t="s">
        <v>106</v>
      </c>
      <c r="B68" s="104">
        <v>3.1111326804406945E-2</v>
      </c>
      <c r="C68" s="101">
        <v>1.6506744428515574E-2</v>
      </c>
      <c r="D68" s="101">
        <v>2.1470746130108513E-2</v>
      </c>
      <c r="E68" s="101">
        <v>1.7605830855151831E-2</v>
      </c>
      <c r="F68" s="72">
        <v>13508.071428571429</v>
      </c>
      <c r="G68" s="72">
        <v>4053</v>
      </c>
      <c r="H68" s="72">
        <v>1674398.049999994</v>
      </c>
      <c r="I68" s="31">
        <v>561684.09999999893</v>
      </c>
      <c r="J68" s="31">
        <v>62.714285714285715</v>
      </c>
      <c r="K68" s="31">
        <v>244756.46428571429</v>
      </c>
      <c r="L68" s="76">
        <v>0.33545434432392046</v>
      </c>
      <c r="M68" s="74">
        <v>13.331429981318953</v>
      </c>
      <c r="N68" s="75">
        <v>413.12559832222894</v>
      </c>
      <c r="O68" s="104">
        <v>1.0111336032764774E-2</v>
      </c>
      <c r="P68" s="101">
        <v>1.7939927136855025E-2</v>
      </c>
      <c r="Q68" s="101">
        <v>2.059204700822068E-2</v>
      </c>
      <c r="R68" s="101">
        <v>9.8702767226005739E-3</v>
      </c>
      <c r="S68" s="72">
        <v>58308.321428571428</v>
      </c>
      <c r="T68" s="72">
        <v>21721</v>
      </c>
      <c r="U68" s="72">
        <v>8165262.1099998718</v>
      </c>
      <c r="V68" s="31">
        <v>1751459.3399999999</v>
      </c>
      <c r="W68" s="31">
        <v>1702.8928571428571</v>
      </c>
      <c r="X68" s="31">
        <v>244756.46428571429</v>
      </c>
      <c r="Y68" s="76">
        <v>0.21450130031404802</v>
      </c>
      <c r="Z68" s="74">
        <v>10.737686373292469</v>
      </c>
      <c r="AA68" s="105">
        <v>375.91557064591279</v>
      </c>
      <c r="AD68" t="str">
        <f t="shared" si="0"/>
        <v>Battaniye</v>
      </c>
      <c r="AE68" s="100">
        <f t="shared" si="1"/>
        <v>0.18809175581181975</v>
      </c>
      <c r="AF68" s="100">
        <f t="shared" si="1"/>
        <v>0.15725149375339489</v>
      </c>
      <c r="AG68" s="100">
        <f t="shared" si="1"/>
        <v>0.17016828048663185</v>
      </c>
      <c r="AH68" s="100">
        <f t="shared" si="1"/>
        <v>0.24282285753969468</v>
      </c>
      <c r="AI68" s="101">
        <f t="shared" si="2"/>
        <v>7.2024550652209042E-3</v>
      </c>
      <c r="AJ68" s="101">
        <f t="shared" si="3"/>
        <v>4.4170208593913383E-3</v>
      </c>
      <c r="AK68" s="102">
        <f t="shared" si="4"/>
        <v>2.7854342058295659E-3</v>
      </c>
      <c r="AL68" s="103">
        <f t="shared" si="5"/>
        <v>0.17016828048663185</v>
      </c>
    </row>
    <row r="69" spans="1:38" x14ac:dyDescent="0.35">
      <c r="A69" s="83" t="s">
        <v>95</v>
      </c>
      <c r="B69" s="104">
        <v>6.9365263983917319E-2</v>
      </c>
      <c r="C69" s="101">
        <v>5.9172585690082109E-2</v>
      </c>
      <c r="D69" s="101">
        <v>4.7789740487711063E-2</v>
      </c>
      <c r="E69" s="101">
        <v>4.9861408066635235E-2</v>
      </c>
      <c r="F69" s="72">
        <v>30117.357142857141</v>
      </c>
      <c r="G69" s="72">
        <v>14529</v>
      </c>
      <c r="H69" s="72">
        <v>3726887.1700000279</v>
      </c>
      <c r="I69" s="31">
        <v>1590743.4500000016</v>
      </c>
      <c r="J69" s="31">
        <v>1532.5</v>
      </c>
      <c r="K69" s="31">
        <v>322927.64285714284</v>
      </c>
      <c r="L69" s="76">
        <v>0.42682898017542875</v>
      </c>
      <c r="M69" s="74">
        <v>8.2916531469081534</v>
      </c>
      <c r="N69" s="75">
        <v>256.51367403124976</v>
      </c>
      <c r="O69" s="104">
        <v>6.4163094894648956E-2</v>
      </c>
      <c r="P69" s="101">
        <v>7.7246331445543021E-2</v>
      </c>
      <c r="Q69" s="101">
        <v>6.3347424370908983E-2</v>
      </c>
      <c r="R69" s="101">
        <v>5.6679001570437607E-2</v>
      </c>
      <c r="S69" s="72">
        <v>370004.75</v>
      </c>
      <c r="T69" s="72">
        <v>93527</v>
      </c>
      <c r="U69" s="72">
        <v>25118839.509999745</v>
      </c>
      <c r="V69" s="31">
        <v>10057566.719999939</v>
      </c>
      <c r="W69" s="31">
        <v>28104.75</v>
      </c>
      <c r="X69" s="31">
        <v>322927.64285714284</v>
      </c>
      <c r="Y69" s="76">
        <v>0.40039933835303376</v>
      </c>
      <c r="Z69" s="74">
        <v>15.824510569140463</v>
      </c>
      <c r="AA69" s="105">
        <v>268.57313406823425</v>
      </c>
      <c r="AD69" t="str">
        <f t="shared" si="0"/>
        <v>Çarşaf</v>
      </c>
      <c r="AE69" s="100">
        <f t="shared" si="1"/>
        <v>7.5270415218782763E-2</v>
      </c>
      <c r="AF69" s="100">
        <f t="shared" si="1"/>
        <v>0.13445805878433406</v>
      </c>
      <c r="AG69" s="100">
        <f t="shared" si="1"/>
        <v>0.12920066848529321</v>
      </c>
      <c r="AH69" s="100">
        <f t="shared" si="1"/>
        <v>0.13656431076989511</v>
      </c>
      <c r="AI69" s="101">
        <f t="shared" si="2"/>
        <v>2.0398046195218109E-2</v>
      </c>
      <c r="AJ69" s="101">
        <f t="shared" si="3"/>
        <v>2.5364266804480801E-2</v>
      </c>
      <c r="AK69" s="102">
        <f t="shared" si="4"/>
        <v>-4.9662206092626927E-3</v>
      </c>
      <c r="AL69" s="103">
        <f t="shared" si="5"/>
        <v>0.12920066848529321</v>
      </c>
    </row>
    <row r="70" spans="1:38" x14ac:dyDescent="0.35">
      <c r="A70" s="83" t="s">
        <v>201</v>
      </c>
      <c r="B70" s="104">
        <v>4.1786006294222836E-5</v>
      </c>
      <c r="C70" s="101">
        <v>1.6290890134236934E-5</v>
      </c>
      <c r="D70" s="101">
        <v>1.69792714899905E-5</v>
      </c>
      <c r="E70" s="101">
        <v>1.738440861844643E-5</v>
      </c>
      <c r="F70" s="72">
        <v>18.142857142857142</v>
      </c>
      <c r="G70" s="72">
        <v>4</v>
      </c>
      <c r="H70" s="72">
        <v>1324.13</v>
      </c>
      <c r="I70" s="31">
        <v>554.62</v>
      </c>
      <c r="J70" s="31">
        <v>0</v>
      </c>
      <c r="K70" s="31">
        <v>24</v>
      </c>
      <c r="L70" s="76">
        <v>0.41885615460717601</v>
      </c>
      <c r="M70" s="74">
        <v>18.142857142857142</v>
      </c>
      <c r="N70" s="75">
        <v>331.03250000000003</v>
      </c>
      <c r="O70" s="104">
        <v>2.1119048721744493E-6</v>
      </c>
      <c r="P70" s="101">
        <v>0</v>
      </c>
      <c r="Q70" s="101">
        <v>0</v>
      </c>
      <c r="R70" s="101">
        <v>0</v>
      </c>
      <c r="S70" s="72">
        <v>12.178571428571429</v>
      </c>
      <c r="T70" s="72"/>
      <c r="U70" s="72"/>
      <c r="V70" s="31"/>
      <c r="W70" s="31">
        <v>3.4285714285714284</v>
      </c>
      <c r="X70" s="31">
        <v>24</v>
      </c>
      <c r="Y70" s="76"/>
      <c r="Z70" s="74"/>
      <c r="AA70" s="105"/>
      <c r="AD70" t="str">
        <f t="shared" si="0"/>
        <v>Dünya Markaları</v>
      </c>
      <c r="AE70" s="100">
        <f t="shared" si="1"/>
        <v>0.59835100117785633</v>
      </c>
      <c r="AF70" s="100">
        <f t="shared" si="1"/>
        <v>1</v>
      </c>
      <c r="AG70" s="100">
        <f t="shared" si="1"/>
        <v>1</v>
      </c>
      <c r="AH70" s="100">
        <f t="shared" si="1"/>
        <v>1</v>
      </c>
      <c r="AI70" s="101">
        <f t="shared" si="2"/>
        <v>7.1118723643286765E-6</v>
      </c>
      <c r="AJ70" s="101">
        <f t="shared" si="3"/>
        <v>0</v>
      </c>
      <c r="AK70" s="102">
        <f t="shared" si="4"/>
        <v>7.1118723643286765E-6</v>
      </c>
      <c r="AL70" s="103">
        <f t="shared" si="5"/>
        <v>1</v>
      </c>
    </row>
    <row r="71" spans="1:38" x14ac:dyDescent="0.35">
      <c r="A71" s="83" t="s">
        <v>88</v>
      </c>
      <c r="B71" s="104">
        <v>2.9636807220095448E-3</v>
      </c>
      <c r="C71" s="101">
        <v>7.4123550110778052E-3</v>
      </c>
      <c r="D71" s="101">
        <v>1.3449509798662294E-2</v>
      </c>
      <c r="E71" s="101">
        <v>1.4480132553561042E-2</v>
      </c>
      <c r="F71" s="72">
        <v>1286.7857142857142</v>
      </c>
      <c r="G71" s="72">
        <v>1820</v>
      </c>
      <c r="H71" s="72">
        <v>1048861.220000003</v>
      </c>
      <c r="I71" s="31">
        <v>461964.00999999727</v>
      </c>
      <c r="J71" s="31">
        <v>49.928571428571431</v>
      </c>
      <c r="K71" s="31">
        <v>22897.964285714286</v>
      </c>
      <c r="L71" s="76">
        <v>0.4404434077560766</v>
      </c>
      <c r="M71" s="74">
        <v>2.8281004709576139</v>
      </c>
      <c r="N71" s="75">
        <v>576.29737362637525</v>
      </c>
      <c r="O71" s="104">
        <v>6.188308611061108E-3</v>
      </c>
      <c r="P71" s="101">
        <v>6.7948888428206013E-3</v>
      </c>
      <c r="Q71" s="101">
        <v>1.4867326111133561E-2</v>
      </c>
      <c r="R71" s="101">
        <v>1.4827961934138869E-2</v>
      </c>
      <c r="S71" s="72">
        <v>35685.678571428572</v>
      </c>
      <c r="T71" s="72">
        <v>8227</v>
      </c>
      <c r="U71" s="72">
        <v>5895266.969999996</v>
      </c>
      <c r="V71" s="31">
        <v>2631189.9000000255</v>
      </c>
      <c r="W71" s="31">
        <v>1894.1071428571429</v>
      </c>
      <c r="X71" s="31">
        <v>22897.964285714286</v>
      </c>
      <c r="Y71" s="76">
        <v>0.44632243346903544</v>
      </c>
      <c r="Z71" s="74">
        <v>17.350518328152948</v>
      </c>
      <c r="AA71" s="105">
        <v>716.57554029415292</v>
      </c>
      <c r="AD71" t="str">
        <f t="shared" si="0"/>
        <v>Halı - Kilim</v>
      </c>
      <c r="AE71" s="100">
        <f t="shared" si="1"/>
        <v>3.4803893631264189E-2</v>
      </c>
      <c r="AF71" s="100">
        <f t="shared" si="1"/>
        <v>0.18114860157260873</v>
      </c>
      <c r="AG71" s="100">
        <f t="shared" si="1"/>
        <v>0.15104289427007295</v>
      </c>
      <c r="AH71" s="100">
        <f t="shared" si="1"/>
        <v>0.14935047638802876</v>
      </c>
      <c r="AI71" s="101">
        <f t="shared" si="2"/>
        <v>5.9237479283715646E-3</v>
      </c>
      <c r="AJ71" s="101">
        <f t="shared" si="3"/>
        <v>6.6356211690988621E-3</v>
      </c>
      <c r="AK71" s="102">
        <f t="shared" si="4"/>
        <v>-7.1187324072729749E-4</v>
      </c>
      <c r="AL71" s="103">
        <f t="shared" si="5"/>
        <v>0.15104289427007295</v>
      </c>
    </row>
    <row r="72" spans="1:38" x14ac:dyDescent="0.35">
      <c r="A72" s="83" t="s">
        <v>99</v>
      </c>
      <c r="B72" s="104">
        <v>5.7691257347509871E-2</v>
      </c>
      <c r="C72" s="101">
        <v>6.9509155480255436E-2</v>
      </c>
      <c r="D72" s="101">
        <v>4.4470854364902258E-2</v>
      </c>
      <c r="E72" s="101">
        <v>4.5630214088387515E-2</v>
      </c>
      <c r="F72" s="72">
        <v>25048.678571428572</v>
      </c>
      <c r="G72" s="72">
        <v>17067</v>
      </c>
      <c r="H72" s="72">
        <v>3468063.5400000294</v>
      </c>
      <c r="I72" s="31">
        <v>1455754.4000000099</v>
      </c>
      <c r="J72" s="31">
        <v>1554.2142857142858</v>
      </c>
      <c r="K72" s="31">
        <v>195172.57142857142</v>
      </c>
      <c r="L72" s="76">
        <v>0.41976001397021623</v>
      </c>
      <c r="M72" s="74">
        <v>5.8706693786672695</v>
      </c>
      <c r="N72" s="75">
        <v>203.20287924064155</v>
      </c>
      <c r="O72" s="104">
        <v>0.10165466446148291</v>
      </c>
      <c r="P72" s="101">
        <v>8.856316223736603E-2</v>
      </c>
      <c r="Q72" s="101">
        <v>5.4271645656653648E-2</v>
      </c>
      <c r="R72" s="101">
        <v>5.5017782754358369E-2</v>
      </c>
      <c r="S72" s="72">
        <v>586204.71428571432</v>
      </c>
      <c r="T72" s="72">
        <v>107229</v>
      </c>
      <c r="U72" s="72">
        <v>21520066.060003825</v>
      </c>
      <c r="V72" s="31">
        <v>9762787.0199998841</v>
      </c>
      <c r="W72" s="31">
        <v>15266.821428571429</v>
      </c>
      <c r="X72" s="31">
        <v>195172.57142857142</v>
      </c>
      <c r="Y72" s="76">
        <v>0.45365971427683188</v>
      </c>
      <c r="Z72" s="74">
        <v>21.867394614729758</v>
      </c>
      <c r="AA72" s="105">
        <v>200.692593048558</v>
      </c>
      <c r="AD72" t="str">
        <f t="shared" si="0"/>
        <v>Havlu</v>
      </c>
      <c r="AE72" s="100">
        <f t="shared" si="1"/>
        <v>4.0979205782965274E-2</v>
      </c>
      <c r="AF72" s="100">
        <f t="shared" si="1"/>
        <v>0.13730932612473451</v>
      </c>
      <c r="AG72" s="100">
        <f t="shared" si="1"/>
        <v>0.13878844057217851</v>
      </c>
      <c r="AH72" s="100">
        <f t="shared" si="1"/>
        <v>0.12976325045292952</v>
      </c>
      <c r="AI72" s="101">
        <f t="shared" si="2"/>
        <v>1.8667086449478822E-2</v>
      </c>
      <c r="AJ72" s="101">
        <f t="shared" si="3"/>
        <v>2.4620859261930958E-2</v>
      </c>
      <c r="AK72" s="102">
        <f t="shared" si="4"/>
        <v>-5.9537728124521364E-3</v>
      </c>
      <c r="AL72" s="103">
        <f t="shared" si="5"/>
        <v>0.13878844057217851</v>
      </c>
    </row>
    <row r="73" spans="1:38" x14ac:dyDescent="0.35">
      <c r="A73" s="83" t="s">
        <v>68</v>
      </c>
      <c r="B73" s="104">
        <v>9.4776913725057952E-3</v>
      </c>
      <c r="C73" s="101">
        <v>1.8534960250228074E-2</v>
      </c>
      <c r="D73" s="101">
        <v>7.3674194725001779E-2</v>
      </c>
      <c r="E73" s="101">
        <v>5.6653279483020715E-2</v>
      </c>
      <c r="F73" s="72">
        <v>4115.0714285714284</v>
      </c>
      <c r="G73" s="72">
        <v>4551</v>
      </c>
      <c r="H73" s="72">
        <v>5745488.6400000183</v>
      </c>
      <c r="I73" s="31">
        <v>1807426.559999998</v>
      </c>
      <c r="J73" s="31">
        <v>106.28571428571429</v>
      </c>
      <c r="K73" s="31">
        <v>41248.428571428572</v>
      </c>
      <c r="L73" s="76">
        <v>0.3145818699242946</v>
      </c>
      <c r="M73" s="74">
        <v>3.6168502997771288</v>
      </c>
      <c r="N73" s="75">
        <v>1262.4672907053434</v>
      </c>
      <c r="O73" s="104">
        <v>1.4695569284272219E-2</v>
      </c>
      <c r="P73" s="101">
        <v>1.708839797714334E-2</v>
      </c>
      <c r="Q73" s="101">
        <v>8.1332079600152984E-2</v>
      </c>
      <c r="R73" s="101">
        <v>6.3421489121565561E-2</v>
      </c>
      <c r="S73" s="72">
        <v>84743.892857142855</v>
      </c>
      <c r="T73" s="72">
        <v>20690</v>
      </c>
      <c r="U73" s="72">
        <v>32250205.509996366</v>
      </c>
      <c r="V73" s="31">
        <v>11254006.609999837</v>
      </c>
      <c r="W73" s="31">
        <v>5041.9642857142853</v>
      </c>
      <c r="X73" s="31">
        <v>41248.428571428572</v>
      </c>
      <c r="Y73" s="76">
        <v>0.34895922156252646</v>
      </c>
      <c r="Z73" s="74">
        <v>16.383546226610509</v>
      </c>
      <c r="AA73" s="105">
        <v>1558.733954083923</v>
      </c>
      <c r="AD73" t="str">
        <f t="shared" si="0"/>
        <v>KEA</v>
      </c>
      <c r="AE73" s="100">
        <f t="shared" si="1"/>
        <v>4.6310143964090764E-2</v>
      </c>
      <c r="AF73" s="100">
        <f t="shared" si="1"/>
        <v>0.18030188978249673</v>
      </c>
      <c r="AG73" s="100">
        <f t="shared" si="1"/>
        <v>0.15121420383368794</v>
      </c>
      <c r="AH73" s="100">
        <f t="shared" si="1"/>
        <v>0.13837888510974333</v>
      </c>
      <c r="AI73" s="101">
        <f t="shared" si="2"/>
        <v>2.3176565941757661E-2</v>
      </c>
      <c r="AJ73" s="101">
        <f t="shared" si="3"/>
        <v>2.8381579185330824E-2</v>
      </c>
      <c r="AK73" s="102">
        <f t="shared" si="4"/>
        <v>-5.205013243573163E-3</v>
      </c>
      <c r="AL73" s="103">
        <f t="shared" si="5"/>
        <v>0.15121420383368794</v>
      </c>
    </row>
    <row r="74" spans="1:38" x14ac:dyDescent="0.35">
      <c r="A74" s="83" t="s">
        <v>87</v>
      </c>
      <c r="B74" s="104">
        <v>0.18606255727068285</v>
      </c>
      <c r="C74" s="101">
        <v>0.13458311612146487</v>
      </c>
      <c r="D74" s="101">
        <v>6.9141090844773809E-2</v>
      </c>
      <c r="E74" s="101">
        <v>7.2925798101930839E-2</v>
      </c>
      <c r="F74" s="72">
        <v>80785.571428571435</v>
      </c>
      <c r="G74" s="72">
        <v>33045</v>
      </c>
      <c r="H74" s="72">
        <v>5391974.1300008846</v>
      </c>
      <c r="I74" s="31">
        <v>2326573.6000001696</v>
      </c>
      <c r="J74" s="31">
        <v>1927.3214285714287</v>
      </c>
      <c r="K74" s="31">
        <v>400091.07142857142</v>
      </c>
      <c r="L74" s="76">
        <v>0.43148827199580586</v>
      </c>
      <c r="M74" s="74">
        <v>9.778855673000022</v>
      </c>
      <c r="N74" s="75">
        <v>163.17065002272309</v>
      </c>
      <c r="O74" s="104">
        <v>9.6457551461454891E-2</v>
      </c>
      <c r="P74" s="101">
        <v>0.12002761894772139</v>
      </c>
      <c r="Q74" s="101">
        <v>5.2617425226237906E-2</v>
      </c>
      <c r="R74" s="101">
        <v>5.3351852187657325E-2</v>
      </c>
      <c r="S74" s="72">
        <v>556234.89285714284</v>
      </c>
      <c r="T74" s="72">
        <v>145325</v>
      </c>
      <c r="U74" s="72">
        <v>20864126.250004895</v>
      </c>
      <c r="V74" s="31">
        <v>9467171.2300029378</v>
      </c>
      <c r="W74" s="31">
        <v>29229.357142857141</v>
      </c>
      <c r="X74" s="31">
        <v>400091.07142857142</v>
      </c>
      <c r="Y74" s="76">
        <v>0.45375354407667645</v>
      </c>
      <c r="Z74" s="74">
        <v>15.310095107026124</v>
      </c>
      <c r="AA74" s="105">
        <v>143.56873387238875</v>
      </c>
      <c r="AD74" t="str">
        <f t="shared" si="0"/>
        <v>Kozmetik</v>
      </c>
      <c r="AE74" s="100">
        <f t="shared" si="1"/>
        <v>0.12681785901361209</v>
      </c>
      <c r="AF74" s="100">
        <f t="shared" si="1"/>
        <v>0.18526097437909964</v>
      </c>
      <c r="AG74" s="100">
        <f t="shared" si="1"/>
        <v>0.20536081337146753</v>
      </c>
      <c r="AH74" s="100">
        <f t="shared" si="1"/>
        <v>0.19727182786602282</v>
      </c>
      <c r="AI74" s="101">
        <f t="shared" si="2"/>
        <v>2.9833569812516482E-2</v>
      </c>
      <c r="AJ74" s="101">
        <f t="shared" si="3"/>
        <v>2.3875343176594968E-2</v>
      </c>
      <c r="AK74" s="102">
        <f t="shared" si="4"/>
        <v>5.9582266359215139E-3</v>
      </c>
      <c r="AL74" s="103">
        <f t="shared" si="5"/>
        <v>0.20536081337146753</v>
      </c>
    </row>
    <row r="75" spans="1:38" x14ac:dyDescent="0.35">
      <c r="A75" s="83" t="s">
        <v>81</v>
      </c>
      <c r="B75" s="104">
        <v>0.10407553396429106</v>
      </c>
      <c r="C75" s="101">
        <v>7.4595985924670927E-2</v>
      </c>
      <c r="D75" s="101">
        <v>6.2390281349318788E-2</v>
      </c>
      <c r="E75" s="101">
        <v>6.2176277765474082E-2</v>
      </c>
      <c r="F75" s="72">
        <v>45188.035714285717</v>
      </c>
      <c r="G75" s="72">
        <v>18316</v>
      </c>
      <c r="H75" s="72">
        <v>4865511.6500006979</v>
      </c>
      <c r="I75" s="31">
        <v>1983628.4299999929</v>
      </c>
      <c r="J75" s="31">
        <v>1643.5</v>
      </c>
      <c r="K75" s="31">
        <v>294905.5</v>
      </c>
      <c r="L75" s="76">
        <v>0.40769164122743562</v>
      </c>
      <c r="M75" s="74">
        <v>9.8685380463607153</v>
      </c>
      <c r="N75" s="75">
        <v>265.6426976414445</v>
      </c>
      <c r="O75" s="104">
        <v>0.13207860502502311</v>
      </c>
      <c r="P75" s="101">
        <v>0.10290535802630242</v>
      </c>
      <c r="Q75" s="101">
        <v>5.557323674836713E-2</v>
      </c>
      <c r="R75" s="101">
        <v>5.2969234580962733E-2</v>
      </c>
      <c r="S75" s="72">
        <v>761648.28571428568</v>
      </c>
      <c r="T75" s="72">
        <v>124594</v>
      </c>
      <c r="U75" s="72">
        <v>22036179.509999286</v>
      </c>
      <c r="V75" s="31">
        <v>9399276.5600025281</v>
      </c>
      <c r="W75" s="31">
        <v>21065.428571428572</v>
      </c>
      <c r="X75" s="31">
        <v>294905.5</v>
      </c>
      <c r="Y75" s="76">
        <v>0.42653839136395882</v>
      </c>
      <c r="Z75" s="74">
        <v>24.452165777301818</v>
      </c>
      <c r="AA75" s="105">
        <v>176.86388999469708</v>
      </c>
      <c r="AD75" t="str">
        <f t="shared" si="0"/>
        <v>Mutfak</v>
      </c>
      <c r="AE75" s="100">
        <f t="shared" si="1"/>
        <v>5.6006447050222667E-2</v>
      </c>
      <c r="AF75" s="100">
        <f t="shared" si="1"/>
        <v>0.12816457910573087</v>
      </c>
      <c r="AG75" s="100">
        <f t="shared" si="1"/>
        <v>0.18086266848662688</v>
      </c>
      <c r="AH75" s="100">
        <f t="shared" si="1"/>
        <v>0.1742638133009273</v>
      </c>
      <c r="AI75" s="101">
        <f t="shared" si="2"/>
        <v>2.5435996199945243E-2</v>
      </c>
      <c r="AJ75" s="101">
        <f t="shared" si="3"/>
        <v>2.3704119005536959E-2</v>
      </c>
      <c r="AK75" s="102">
        <f t="shared" si="4"/>
        <v>1.7318771944082843E-3</v>
      </c>
      <c r="AL75" s="103">
        <f t="shared" si="5"/>
        <v>0.18086266848662688</v>
      </c>
    </row>
    <row r="76" spans="1:38" x14ac:dyDescent="0.35">
      <c r="A76" s="83" t="s">
        <v>94</v>
      </c>
      <c r="B76" s="104">
        <v>4.966678127657894E-2</v>
      </c>
      <c r="C76" s="101">
        <v>2.9315456796559364E-2</v>
      </c>
      <c r="D76" s="101">
        <v>7.8056520935616991E-2</v>
      </c>
      <c r="E76" s="101">
        <v>7.6513575564368552E-2</v>
      </c>
      <c r="F76" s="72">
        <v>21564.571428571428</v>
      </c>
      <c r="G76" s="72">
        <v>7198</v>
      </c>
      <c r="H76" s="72">
        <v>6087244.740000112</v>
      </c>
      <c r="I76" s="31">
        <v>2441035.5400000028</v>
      </c>
      <c r="J76" s="31">
        <v>474.46428571428572</v>
      </c>
      <c r="K76" s="31">
        <v>77229.107142857145</v>
      </c>
      <c r="L76" s="76">
        <v>0.40100827948638679</v>
      </c>
      <c r="M76" s="74">
        <v>11.983646250942721</v>
      </c>
      <c r="N76" s="75">
        <v>845.68557099195777</v>
      </c>
      <c r="O76" s="104">
        <v>3.291151057891549E-2</v>
      </c>
      <c r="P76" s="101">
        <v>3.870617123252032E-2</v>
      </c>
      <c r="Q76" s="101">
        <v>0.10640894424677319</v>
      </c>
      <c r="R76" s="101">
        <v>0.1038536618274994</v>
      </c>
      <c r="S76" s="72">
        <v>189788.46428571429</v>
      </c>
      <c r="T76" s="72">
        <v>46864</v>
      </c>
      <c r="U76" s="72">
        <v>42193810.079998568</v>
      </c>
      <c r="V76" s="31">
        <v>18428608.549999226</v>
      </c>
      <c r="W76" s="31">
        <v>10449.714285714286</v>
      </c>
      <c r="X76" s="31">
        <v>77229.107142857145</v>
      </c>
      <c r="Y76" s="76">
        <v>0.43676094941554167</v>
      </c>
      <c r="Z76" s="74">
        <v>16.199083670682338</v>
      </c>
      <c r="AA76" s="105">
        <v>900.3458962102801</v>
      </c>
      <c r="AD76" t="str">
        <f t="shared" si="0"/>
        <v>Nevresim</v>
      </c>
      <c r="AE76" s="100">
        <f t="shared" si="1"/>
        <v>0.10203104656477778</v>
      </c>
      <c r="AF76" s="100">
        <f t="shared" si="1"/>
        <v>0.13314342791609635</v>
      </c>
      <c r="AG76" s="100">
        <f t="shared" si="1"/>
        <v>0.12607936514010648</v>
      </c>
      <c r="AH76" s="100">
        <f t="shared" si="1"/>
        <v>0.11696584424119391</v>
      </c>
      <c r="AI76" s="101">
        <f t="shared" si="2"/>
        <v>3.1301311163084898E-2</v>
      </c>
      <c r="AJ76" s="101">
        <f t="shared" si="3"/>
        <v>4.64752715155261E-2</v>
      </c>
      <c r="AK76" s="102">
        <f t="shared" si="4"/>
        <v>-1.5173960352441201E-2</v>
      </c>
      <c r="AL76" s="103">
        <f t="shared" si="5"/>
        <v>0.12607936514010648</v>
      </c>
    </row>
    <row r="77" spans="1:38" x14ac:dyDescent="0.35">
      <c r="A77" s="83" t="s">
        <v>105</v>
      </c>
      <c r="B77" s="104">
        <v>1.2460455467468606E-2</v>
      </c>
      <c r="C77" s="101">
        <v>1.4523328554672227E-2</v>
      </c>
      <c r="D77" s="101">
        <v>2.3165769518880951E-2</v>
      </c>
      <c r="E77" s="101">
        <v>2.4289574898456085E-2</v>
      </c>
      <c r="F77" s="72">
        <v>5410.1428571428569</v>
      </c>
      <c r="G77" s="72">
        <v>3566</v>
      </c>
      <c r="H77" s="72">
        <v>1806584.5999999968</v>
      </c>
      <c r="I77" s="31">
        <v>774917.58999999869</v>
      </c>
      <c r="J77" s="31">
        <v>738</v>
      </c>
      <c r="K77" s="31">
        <v>94310.428571428565</v>
      </c>
      <c r="L77" s="76">
        <v>0.42894065962922523</v>
      </c>
      <c r="M77" s="74">
        <v>6.0685842480570464</v>
      </c>
      <c r="N77" s="75">
        <v>506.61374088614605</v>
      </c>
      <c r="O77" s="104">
        <v>1.5149857982758261E-2</v>
      </c>
      <c r="P77" s="101">
        <v>6.5421556489585492E-3</v>
      </c>
      <c r="Q77" s="101">
        <v>1.3978799256364602E-2</v>
      </c>
      <c r="R77" s="101">
        <v>1.5868221957389714E-2</v>
      </c>
      <c r="S77" s="72">
        <v>87363.607142857145</v>
      </c>
      <c r="T77" s="72">
        <v>7921</v>
      </c>
      <c r="U77" s="72">
        <v>5542943.8300000727</v>
      </c>
      <c r="V77" s="31">
        <v>2815781.8000000962</v>
      </c>
      <c r="W77" s="31">
        <v>20450.321428571428</v>
      </c>
      <c r="X77" s="31">
        <v>94310.428571428565</v>
      </c>
      <c r="Y77" s="76">
        <v>0.5079939263970602</v>
      </c>
      <c r="Z77" s="74">
        <v>44.117463523725363</v>
      </c>
      <c r="AA77" s="105">
        <v>699.77828935741354</v>
      </c>
      <c r="AD77" t="str">
        <f t="shared" si="0"/>
        <v>Pike</v>
      </c>
      <c r="AE77" s="100">
        <f t="shared" si="1"/>
        <v>5.8315448681796916E-2</v>
      </c>
      <c r="AF77" s="100">
        <f t="shared" si="1"/>
        <v>0.31043788630625924</v>
      </c>
      <c r="AG77" s="100">
        <f t="shared" si="1"/>
        <v>0.24580959407214373</v>
      </c>
      <c r="AH77" s="100">
        <f t="shared" si="1"/>
        <v>0.21581243814453047</v>
      </c>
      <c r="AI77" s="101">
        <f t="shared" si="2"/>
        <v>9.9367404582473944E-3</v>
      </c>
      <c r="AJ77" s="101">
        <f t="shared" si="3"/>
        <v>7.1011451205569591E-3</v>
      </c>
      <c r="AK77" s="102">
        <f t="shared" si="4"/>
        <v>2.8355953376904353E-3</v>
      </c>
      <c r="AL77" s="103">
        <f t="shared" si="5"/>
        <v>0.24580959407214373</v>
      </c>
    </row>
    <row r="78" spans="1:38" x14ac:dyDescent="0.35">
      <c r="A78" s="83" t="s">
        <v>80</v>
      </c>
      <c r="B78" s="104">
        <v>2.6124232757925768E-2</v>
      </c>
      <c r="C78" s="101">
        <v>1.6132053955428126E-2</v>
      </c>
      <c r="D78" s="101">
        <v>3.0064120808962105E-2</v>
      </c>
      <c r="E78" s="101">
        <v>2.8898007283873279E-2</v>
      </c>
      <c r="F78" s="72">
        <v>11342.75</v>
      </c>
      <c r="G78" s="72">
        <v>3961</v>
      </c>
      <c r="H78" s="72">
        <v>2344553.140000076</v>
      </c>
      <c r="I78" s="31">
        <v>921941.78999999247</v>
      </c>
      <c r="J78" s="31">
        <v>336.92857142857144</v>
      </c>
      <c r="K78" s="31">
        <v>151507</v>
      </c>
      <c r="L78" s="76">
        <v>0.39322708206987478</v>
      </c>
      <c r="M78" s="74">
        <v>11.454430699318355</v>
      </c>
      <c r="N78" s="75">
        <v>591.90940166626513</v>
      </c>
      <c r="O78" s="104">
        <v>3.5333797341335967E-2</v>
      </c>
      <c r="P78" s="101">
        <v>3.7465631176373908E-2</v>
      </c>
      <c r="Q78" s="101">
        <v>7.7433096728634396E-2</v>
      </c>
      <c r="R78" s="101">
        <v>8.0478142864509605E-2</v>
      </c>
      <c r="S78" s="72">
        <v>203756.89285714287</v>
      </c>
      <c r="T78" s="72">
        <v>45362</v>
      </c>
      <c r="U78" s="72">
        <v>30704161.19999456</v>
      </c>
      <c r="V78" s="31">
        <v>14280673.070000993</v>
      </c>
      <c r="W78" s="31">
        <v>20600.678571428572</v>
      </c>
      <c r="X78" s="31">
        <v>151507</v>
      </c>
      <c r="Y78" s="76">
        <v>0.46510546166633354</v>
      </c>
      <c r="Z78" s="74">
        <v>17.967187765719579</v>
      </c>
      <c r="AA78" s="105">
        <v>676.86965301341559</v>
      </c>
      <c r="AD78" t="str">
        <f t="shared" si="0"/>
        <v>Pişirme</v>
      </c>
      <c r="AE78" s="100">
        <f t="shared" si="1"/>
        <v>5.2732537578099183E-2</v>
      </c>
      <c r="AF78" s="100">
        <f t="shared" si="1"/>
        <v>8.0307361677108044E-2</v>
      </c>
      <c r="AG78" s="100">
        <f t="shared" si="1"/>
        <v>7.094234032465109E-2</v>
      </c>
      <c r="AH78" s="100">
        <f t="shared" si="1"/>
        <v>6.0643632591500955E-2</v>
      </c>
      <c r="AI78" s="101">
        <f t="shared" si="2"/>
        <v>1.1822026500704371E-2</v>
      </c>
      <c r="AJ78" s="101">
        <f t="shared" si="3"/>
        <v>3.6014556202225365E-2</v>
      </c>
      <c r="AK78" s="102">
        <f t="shared" si="4"/>
        <v>-2.4192529701520991E-2</v>
      </c>
      <c r="AL78" s="103">
        <f t="shared" si="5"/>
        <v>7.094234032465109E-2</v>
      </c>
    </row>
    <row r="79" spans="1:38" x14ac:dyDescent="0.35">
      <c r="A79" s="83" t="s">
        <v>89</v>
      </c>
      <c r="B79" s="104">
        <v>4.2422749354702319E-2</v>
      </c>
      <c r="C79" s="101">
        <v>2.4485207871758112E-2</v>
      </c>
      <c r="D79" s="101">
        <v>2.0868668982517193E-2</v>
      </c>
      <c r="E79" s="101">
        <v>1.941355201131888E-2</v>
      </c>
      <c r="F79" s="72">
        <v>18419.321428571428</v>
      </c>
      <c r="G79" s="72">
        <v>6012</v>
      </c>
      <c r="H79" s="72">
        <v>1627445.010000011</v>
      </c>
      <c r="I79" s="31">
        <v>619356.36999999895</v>
      </c>
      <c r="J79" s="31">
        <v>394.32142857142856</v>
      </c>
      <c r="K79" s="31">
        <v>48712.357142857145</v>
      </c>
      <c r="L79" s="76">
        <v>0.3805697680685351</v>
      </c>
      <c r="M79" s="74">
        <v>12.255037543959698</v>
      </c>
      <c r="N79" s="75">
        <v>270.69943612774631</v>
      </c>
      <c r="O79" s="104">
        <v>3.0739698211642671E-2</v>
      </c>
      <c r="P79" s="101">
        <v>2.4920649210456548E-2</v>
      </c>
      <c r="Q79" s="101">
        <v>1.5397498591426785E-2</v>
      </c>
      <c r="R79" s="101">
        <v>1.2703465360489325E-2</v>
      </c>
      <c r="S79" s="72">
        <v>177264.42857142858</v>
      </c>
      <c r="T79" s="72">
        <v>30173</v>
      </c>
      <c r="U79" s="72">
        <v>6105493.6300000781</v>
      </c>
      <c r="V79" s="31">
        <v>2254202.5600000881</v>
      </c>
      <c r="W79" s="31">
        <v>7827.9285714285716</v>
      </c>
      <c r="X79" s="31">
        <v>48712.357142857145</v>
      </c>
      <c r="Y79" s="76">
        <v>0.36920889556313552</v>
      </c>
      <c r="Z79" s="74">
        <v>23.499741964196943</v>
      </c>
      <c r="AA79" s="105">
        <v>202.34957180260756</v>
      </c>
      <c r="AD79" t="str">
        <f t="shared" si="0"/>
        <v>Salon</v>
      </c>
      <c r="AE79" s="100">
        <f t="shared" si="1"/>
        <v>9.412800719820337E-2</v>
      </c>
      <c r="AF79" s="100">
        <f t="shared" si="1"/>
        <v>0.16614619317396712</v>
      </c>
      <c r="AG79" s="100">
        <f t="shared" si="1"/>
        <v>0.21045621668090622</v>
      </c>
      <c r="AH79" s="100">
        <f t="shared" si="1"/>
        <v>0.21553633841780309</v>
      </c>
      <c r="AI79" s="101">
        <f t="shared" si="2"/>
        <v>7.9419845145756E-3</v>
      </c>
      <c r="AJ79" s="101">
        <f t="shared" si="3"/>
        <v>5.6848934493756182E-3</v>
      </c>
      <c r="AK79" s="102">
        <f t="shared" si="4"/>
        <v>2.2570910651999818E-3</v>
      </c>
      <c r="AL79" s="103">
        <f t="shared" si="5"/>
        <v>0.21045621668090622</v>
      </c>
    </row>
    <row r="80" spans="1:38" x14ac:dyDescent="0.35">
      <c r="A80" s="83" t="s">
        <v>202</v>
      </c>
      <c r="B80" s="104">
        <v>8.2980592538730205E-2</v>
      </c>
      <c r="C80" s="101">
        <v>0.12144858595073635</v>
      </c>
      <c r="D80" s="101">
        <v>0.11448875090150201</v>
      </c>
      <c r="E80" s="101">
        <v>0.12145069175572591</v>
      </c>
      <c r="F80" s="72">
        <v>36028.928571428572</v>
      </c>
      <c r="G80" s="72">
        <v>29820</v>
      </c>
      <c r="H80" s="72">
        <v>8928415.440001348</v>
      </c>
      <c r="I80" s="31">
        <v>3874677.8300003102</v>
      </c>
      <c r="J80" s="31">
        <v>2083.4285714285716</v>
      </c>
      <c r="K80" s="31">
        <v>317101.67857142858</v>
      </c>
      <c r="L80" s="76">
        <v>0.43397149875451196</v>
      </c>
      <c r="M80" s="74">
        <v>4.8328542684679503</v>
      </c>
      <c r="N80" s="75">
        <v>299.41030985920014</v>
      </c>
      <c r="O80" s="104">
        <v>0.11876551592046172</v>
      </c>
      <c r="P80" s="101">
        <v>0.12013581518430939</v>
      </c>
      <c r="Q80" s="101">
        <v>9.591206864387207E-2</v>
      </c>
      <c r="R80" s="101">
        <v>0.10328974154063809</v>
      </c>
      <c r="S80" s="72">
        <v>684876.64285714284</v>
      </c>
      <c r="T80" s="72">
        <v>145456</v>
      </c>
      <c r="U80" s="72">
        <v>38031536.13998989</v>
      </c>
      <c r="V80" s="31">
        <v>18328542.109999914</v>
      </c>
      <c r="W80" s="31">
        <v>28043.214285714286</v>
      </c>
      <c r="X80" s="31">
        <v>317101.67857142858</v>
      </c>
      <c r="Y80" s="76">
        <v>0.48193010249532325</v>
      </c>
      <c r="Z80" s="74">
        <v>18.833919339378035</v>
      </c>
      <c r="AA80" s="105">
        <v>261.46419632046729</v>
      </c>
      <c r="AD80" t="str">
        <f t="shared" si="0"/>
        <v>Sofra İçecek</v>
      </c>
      <c r="AE80" s="100">
        <f t="shared" si="1"/>
        <v>4.997732019192528E-2</v>
      </c>
      <c r="AF80" s="100">
        <f t="shared" si="1"/>
        <v>0.17013167803920673</v>
      </c>
      <c r="AG80" s="100">
        <f t="shared" si="1"/>
        <v>0.19012829314341925</v>
      </c>
      <c r="AH80" s="100">
        <f t="shared" si="1"/>
        <v>0.17450972608796628</v>
      </c>
      <c r="AI80" s="101">
        <f t="shared" si="2"/>
        <v>4.9684854819256809E-2</v>
      </c>
      <c r="AJ80" s="101">
        <f t="shared" si="3"/>
        <v>4.6222913072079749E-2</v>
      </c>
      <c r="AK80" s="102">
        <f t="shared" si="4"/>
        <v>3.4619417471770594E-3</v>
      </c>
      <c r="AL80" s="103">
        <f t="shared" si="5"/>
        <v>0.19012829314341925</v>
      </c>
    </row>
    <row r="81" spans="1:38" x14ac:dyDescent="0.35">
      <c r="A81" s="83" t="s">
        <v>203</v>
      </c>
      <c r="B81" s="104">
        <v>0.13494642672067042</v>
      </c>
      <c r="C81" s="101">
        <v>0.11568161084321647</v>
      </c>
      <c r="D81" s="101">
        <v>7.3225835168030287E-2</v>
      </c>
      <c r="E81" s="101">
        <v>7.6802614004212941E-2</v>
      </c>
      <c r="F81" s="72">
        <v>58591.714285714283</v>
      </c>
      <c r="G81" s="72">
        <v>28404</v>
      </c>
      <c r="H81" s="72">
        <v>5710523.2800007602</v>
      </c>
      <c r="I81" s="31">
        <v>2450256.8200000827</v>
      </c>
      <c r="J81" s="31">
        <v>2750.1071428571427</v>
      </c>
      <c r="K81" s="31">
        <v>434077.75</v>
      </c>
      <c r="L81" s="76">
        <v>0.4290774592551449</v>
      </c>
      <c r="M81" s="74">
        <v>8.251191985032289</v>
      </c>
      <c r="N81" s="75">
        <v>201.04644697932545</v>
      </c>
      <c r="O81" s="104">
        <v>0.16449710658503955</v>
      </c>
      <c r="P81" s="101">
        <v>0.15166634593227576</v>
      </c>
      <c r="Q81" s="101">
        <v>9.5597842303112787E-2</v>
      </c>
      <c r="R81" s="101">
        <v>0.10466015637529706</v>
      </c>
      <c r="S81" s="72">
        <v>948593.75</v>
      </c>
      <c r="T81" s="72">
        <v>183632</v>
      </c>
      <c r="U81" s="72">
        <v>37906937.529995389</v>
      </c>
      <c r="V81" s="31">
        <v>18571719.27000213</v>
      </c>
      <c r="W81" s="31">
        <v>39894.321428571428</v>
      </c>
      <c r="X81" s="31">
        <v>434077.75</v>
      </c>
      <c r="Y81" s="76">
        <v>0.48992929738274249</v>
      </c>
      <c r="Z81" s="74">
        <v>20.66292911910778</v>
      </c>
      <c r="AA81" s="105">
        <v>206.42882248189525</v>
      </c>
      <c r="AD81" t="str">
        <f t="shared" si="0"/>
        <v>Sofra Sunum</v>
      </c>
      <c r="AE81" s="100">
        <f t="shared" si="1"/>
        <v>5.8173709176062155E-2</v>
      </c>
      <c r="AF81" s="100">
        <f t="shared" si="1"/>
        <v>0.13395838442528626</v>
      </c>
      <c r="AG81" s="100">
        <f t="shared" si="1"/>
        <v>0.13092287294935875</v>
      </c>
      <c r="AH81" s="100">
        <f t="shared" si="1"/>
        <v>0.11655692164759877</v>
      </c>
      <c r="AI81" s="101">
        <f t="shared" si="2"/>
        <v>3.1419555305734474E-2</v>
      </c>
      <c r="AJ81" s="101">
        <f t="shared" si="3"/>
        <v>4.6836183710870262E-2</v>
      </c>
      <c r="AK81" s="102">
        <f t="shared" si="4"/>
        <v>-1.5416628405135788E-2</v>
      </c>
      <c r="AL81" s="103">
        <f t="shared" si="5"/>
        <v>0.13092287294935875</v>
      </c>
    </row>
    <row r="82" spans="1:38" x14ac:dyDescent="0.35">
      <c r="A82" s="83" t="s">
        <v>77</v>
      </c>
      <c r="B82" s="104">
        <v>7.4029503552633094E-3</v>
      </c>
      <c r="C82" s="101">
        <v>2.0009285807376515E-2</v>
      </c>
      <c r="D82" s="101">
        <v>7.4646022684357452E-2</v>
      </c>
      <c r="E82" s="101">
        <v>6.8447080825162779E-2</v>
      </c>
      <c r="F82" s="72">
        <v>3214.25</v>
      </c>
      <c r="G82" s="72">
        <v>4913</v>
      </c>
      <c r="H82" s="72">
        <v>5821276.7300002426</v>
      </c>
      <c r="I82" s="31">
        <v>2183687.7399999984</v>
      </c>
      <c r="J82" s="31">
        <v>371.21428571428572</v>
      </c>
      <c r="K82" s="31">
        <v>54103.071428571428</v>
      </c>
      <c r="L82" s="76">
        <v>0.3751217887901212</v>
      </c>
      <c r="M82" s="74">
        <v>2.6169346631386117</v>
      </c>
      <c r="N82" s="75">
        <v>1184.8721209037742</v>
      </c>
      <c r="O82" s="104">
        <v>1.1327124366039911E-2</v>
      </c>
      <c r="P82" s="101">
        <v>1.5006239866926889E-2</v>
      </c>
      <c r="Q82" s="101">
        <v>6.3697178834360824E-2</v>
      </c>
      <c r="R82" s="101">
        <v>5.8036850177571771E-2</v>
      </c>
      <c r="S82" s="72">
        <v>65319.321428571428</v>
      </c>
      <c r="T82" s="72">
        <v>18169</v>
      </c>
      <c r="U82" s="72">
        <v>25257525.910000995</v>
      </c>
      <c r="V82" s="31">
        <v>10298514.030000435</v>
      </c>
      <c r="W82" s="31">
        <v>3085.5357142857142</v>
      </c>
      <c r="X82" s="31">
        <v>54103.071428571428</v>
      </c>
      <c r="Y82" s="76">
        <v>0.40774041237042247</v>
      </c>
      <c r="Z82" s="74">
        <v>14.380388888452073</v>
      </c>
      <c r="AA82" s="105">
        <v>1390.1439765535249</v>
      </c>
      <c r="AD82" t="str">
        <f t="shared" si="0"/>
        <v>Sofra Takımları</v>
      </c>
      <c r="AE82" s="100">
        <f t="shared" si="1"/>
        <v>4.6900372080419403E-2</v>
      </c>
      <c r="AF82" s="100">
        <f t="shared" si="1"/>
        <v>0.21284983970193225</v>
      </c>
      <c r="AG82" s="100">
        <f t="shared" si="1"/>
        <v>0.18730698210708194</v>
      </c>
      <c r="AH82" s="100">
        <f t="shared" si="1"/>
        <v>0.1749441148474499</v>
      </c>
      <c r="AI82" s="101">
        <f t="shared" si="2"/>
        <v>2.8001349555424132E-2</v>
      </c>
      <c r="AJ82" s="101">
        <f t="shared" si="3"/>
        <v>2.5971913964754827E-2</v>
      </c>
      <c r="AK82" s="102">
        <f t="shared" si="4"/>
        <v>2.0294355906693047E-3</v>
      </c>
      <c r="AL82" s="103">
        <f t="shared" si="5"/>
        <v>0.18730698210708194</v>
      </c>
    </row>
    <row r="83" spans="1:38" x14ac:dyDescent="0.35">
      <c r="A83" s="83" t="s">
        <v>97</v>
      </c>
      <c r="B83" s="104">
        <v>4.7594096657284013E-3</v>
      </c>
      <c r="C83" s="101">
        <v>2.2041574351622573E-2</v>
      </c>
      <c r="D83" s="101">
        <v>1.5937699941667372E-2</v>
      </c>
      <c r="E83" s="101">
        <v>1.6795752895755318E-2</v>
      </c>
      <c r="F83" s="72">
        <v>2066.4642857142858</v>
      </c>
      <c r="G83" s="72">
        <v>5412</v>
      </c>
      <c r="H83" s="72">
        <v>1242902.949999996</v>
      </c>
      <c r="I83" s="31">
        <v>535839.93999999983</v>
      </c>
      <c r="J83" s="31">
        <v>121.85714285714286</v>
      </c>
      <c r="K83" s="31">
        <v>31963.357142857141</v>
      </c>
      <c r="L83" s="76">
        <v>0.43111969442183845</v>
      </c>
      <c r="M83" s="74">
        <v>1.5273202407348749</v>
      </c>
      <c r="N83" s="75">
        <v>229.6568643754612</v>
      </c>
      <c r="O83" s="104">
        <v>1.7081328143654321E-2</v>
      </c>
      <c r="P83" s="101">
        <v>2.632472250969017E-2</v>
      </c>
      <c r="Q83" s="101">
        <v>2.610473243944899E-2</v>
      </c>
      <c r="R83" s="101">
        <v>2.8936870280665009E-2</v>
      </c>
      <c r="S83" s="72">
        <v>98501.678571428565</v>
      </c>
      <c r="T83" s="72">
        <v>31873</v>
      </c>
      <c r="U83" s="72">
        <v>10351179.88000045</v>
      </c>
      <c r="V83" s="31">
        <v>5134785.2900000308</v>
      </c>
      <c r="W83" s="31">
        <v>5427.8928571428569</v>
      </c>
      <c r="X83" s="31">
        <v>31963.357142857141</v>
      </c>
      <c r="Y83" s="76">
        <v>0.49605797112278632</v>
      </c>
      <c r="Z83" s="74">
        <v>12.361770598491333</v>
      </c>
      <c r="AA83" s="105">
        <v>324.76327549965328</v>
      </c>
      <c r="AD83" t="str">
        <f t="shared" si="0"/>
        <v>Yastık</v>
      </c>
      <c r="AE83" s="100">
        <f t="shared" si="1"/>
        <v>2.0547901422915807E-2</v>
      </c>
      <c r="AF83" s="100">
        <f t="shared" si="1"/>
        <v>0.14515220598095749</v>
      </c>
      <c r="AG83" s="100">
        <f t="shared" si="1"/>
        <v>0.10720148960674178</v>
      </c>
      <c r="AH83" s="100">
        <f t="shared" si="1"/>
        <v>9.4493978753026675E-2</v>
      </c>
      <c r="AI83" s="101">
        <f t="shared" si="2"/>
        <v>6.8710563286385898E-3</v>
      </c>
      <c r="AJ83" s="101">
        <f t="shared" si="3"/>
        <v>1.294946061061625E-2</v>
      </c>
      <c r="AK83" s="102">
        <f t="shared" si="4"/>
        <v>-6.0784042819776599E-3</v>
      </c>
      <c r="AL83" s="103">
        <f t="shared" si="5"/>
        <v>0.10720148960674178</v>
      </c>
    </row>
    <row r="84" spans="1:38" x14ac:dyDescent="0.35">
      <c r="A84" s="83" t="s">
        <v>104</v>
      </c>
      <c r="B84" s="104">
        <v>4.9323445075255941E-2</v>
      </c>
      <c r="C84" s="101">
        <v>6.6047341326730097E-2</v>
      </c>
      <c r="D84" s="101">
        <v>9.65924220505881E-2</v>
      </c>
      <c r="E84" s="101">
        <v>9.8569341093675364E-2</v>
      </c>
      <c r="F84" s="72">
        <v>21415.5</v>
      </c>
      <c r="G84" s="72">
        <v>16217</v>
      </c>
      <c r="H84" s="72">
        <v>7532768.6399999242</v>
      </c>
      <c r="I84" s="31">
        <v>3144687.2399999835</v>
      </c>
      <c r="J84" s="31">
        <v>1709.3571428571429</v>
      </c>
      <c r="K84" s="31">
        <v>196469.21428571429</v>
      </c>
      <c r="L84" s="76">
        <v>0.41746765237170685</v>
      </c>
      <c r="M84" s="74">
        <v>5.2822346919898875</v>
      </c>
      <c r="N84" s="75">
        <v>464.49828204969629</v>
      </c>
      <c r="O84" s="104">
        <v>2.3897367963304831E-2</v>
      </c>
      <c r="P84" s="101">
        <v>2.885618407566138E-2</v>
      </c>
      <c r="Q84" s="101">
        <v>5.7500489121581781E-2</v>
      </c>
      <c r="R84" s="101">
        <v>7.4662050668781982E-2</v>
      </c>
      <c r="S84" s="72">
        <v>137807.25</v>
      </c>
      <c r="T84" s="72">
        <v>34938</v>
      </c>
      <c r="U84" s="72">
        <v>22800383.320001014</v>
      </c>
      <c r="V84" s="31">
        <v>13248620.039999994</v>
      </c>
      <c r="W84" s="31">
        <v>18438.607142857141</v>
      </c>
      <c r="X84" s="31">
        <v>196469.21428571429</v>
      </c>
      <c r="Y84" s="76">
        <v>0.58107005720285432</v>
      </c>
      <c r="Z84" s="74">
        <v>15.777348445818307</v>
      </c>
      <c r="AA84" s="105">
        <v>652.59554983115845</v>
      </c>
      <c r="AD84" t="str">
        <f t="shared" si="0"/>
        <v>Yatak Örtüsü</v>
      </c>
      <c r="AE84" s="100">
        <f t="shared" si="1"/>
        <v>0.13450025200544521</v>
      </c>
      <c r="AF84" s="100">
        <f t="shared" si="1"/>
        <v>0.31701690939302118</v>
      </c>
      <c r="AG84" s="100">
        <f t="shared" si="1"/>
        <v>0.24833451696457631</v>
      </c>
      <c r="AH84" s="100">
        <f t="shared" si="1"/>
        <v>0.19182750535253726</v>
      </c>
      <c r="AI84" s="101">
        <f t="shared" si="2"/>
        <v>4.0324211670356103E-2</v>
      </c>
      <c r="AJ84" s="101">
        <f t="shared" si="3"/>
        <v>3.3411812503069627E-2</v>
      </c>
      <c r="AK84" s="102">
        <f t="shared" si="4"/>
        <v>6.912399167286476E-3</v>
      </c>
      <c r="AL84" s="103">
        <f t="shared" si="5"/>
        <v>0.24833451696457631</v>
      </c>
    </row>
    <row r="85" spans="1:38" x14ac:dyDescent="0.35">
      <c r="A85" s="83" t="s">
        <v>69</v>
      </c>
      <c r="B85" s="104">
        <v>6.3032709888312919E-4</v>
      </c>
      <c r="C85" s="101">
        <v>2.932360224162648E-4</v>
      </c>
      <c r="D85" s="101">
        <v>1.6716516132056304E-4</v>
      </c>
      <c r="E85" s="101">
        <v>2.2292584292487515E-4</v>
      </c>
      <c r="F85" s="72">
        <v>273.67857142857144</v>
      </c>
      <c r="G85" s="72">
        <v>72</v>
      </c>
      <c r="H85" s="72">
        <v>13036.389999999994</v>
      </c>
      <c r="I85" s="31">
        <v>7112.0699999999979</v>
      </c>
      <c r="J85" s="31">
        <v>0</v>
      </c>
      <c r="K85" s="31">
        <v>1758.4285714285713</v>
      </c>
      <c r="L85" s="76">
        <v>0.545555172866108</v>
      </c>
      <c r="M85" s="74">
        <v>15.204365079365081</v>
      </c>
      <c r="N85" s="75">
        <v>181.06097222222215</v>
      </c>
      <c r="O85" s="104">
        <v>3.0908130366785362E-4</v>
      </c>
      <c r="P85" s="101">
        <v>3.4688869745771881E-5</v>
      </c>
      <c r="Q85" s="101">
        <v>4.2515424289888856E-5</v>
      </c>
      <c r="R85" s="101">
        <v>5.6876711944882885E-5</v>
      </c>
      <c r="S85" s="72">
        <v>1782.3571428571429</v>
      </c>
      <c r="T85" s="72">
        <v>42</v>
      </c>
      <c r="U85" s="72">
        <v>16858.429999999997</v>
      </c>
      <c r="V85" s="31">
        <v>10092.65</v>
      </c>
      <c r="W85" s="31">
        <v>272.89285714285717</v>
      </c>
      <c r="X85" s="31">
        <v>1758.4285714285713</v>
      </c>
      <c r="Y85" s="76">
        <v>0.59867081335569217</v>
      </c>
      <c r="Z85" s="74">
        <v>169.74829931972789</v>
      </c>
      <c r="AA85" s="105">
        <v>401.39119047619039</v>
      </c>
      <c r="AD85" t="str">
        <f t="shared" si="0"/>
        <v>YEDEK PARÇA</v>
      </c>
      <c r="AE85" s="100">
        <f t="shared" si="1"/>
        <v>0.13310983341729057</v>
      </c>
      <c r="AF85" s="100">
        <f t="shared" si="1"/>
        <v>0.63157894736842102</v>
      </c>
      <c r="AG85" s="100">
        <f t="shared" si="1"/>
        <v>0.43607521303021718</v>
      </c>
      <c r="AH85" s="100">
        <f t="shared" si="1"/>
        <v>0.41337900297127761</v>
      </c>
      <c r="AI85" s="101">
        <f t="shared" si="2"/>
        <v>9.1197818481430595E-5</v>
      </c>
      <c r="AJ85" s="101">
        <f t="shared" si="3"/>
        <v>2.5452743639790113E-5</v>
      </c>
      <c r="AK85" s="102">
        <f t="shared" si="4"/>
        <v>6.5745074841640482E-5</v>
      </c>
      <c r="AL85" s="103">
        <f t="shared" si="5"/>
        <v>0.43607521303021718</v>
      </c>
    </row>
    <row r="86" spans="1:38" x14ac:dyDescent="0.35">
      <c r="A86" s="106" t="s">
        <v>96</v>
      </c>
      <c r="B86" s="104">
        <v>3.8891420543250986E-3</v>
      </c>
      <c r="C86" s="101">
        <v>1.2356640166818715E-2</v>
      </c>
      <c r="D86" s="101">
        <v>2.1932548641532719E-2</v>
      </c>
      <c r="E86" s="101">
        <v>2.1332701766479969E-2</v>
      </c>
      <c r="F86" s="72">
        <v>1688.6071428571429</v>
      </c>
      <c r="G86" s="72">
        <v>3034</v>
      </c>
      <c r="H86" s="72">
        <v>1710411.7600000144</v>
      </c>
      <c r="I86" s="31">
        <v>680583.57999999973</v>
      </c>
      <c r="J86" s="31">
        <v>72.535714285714292</v>
      </c>
      <c r="K86" s="31">
        <v>43271.357142857145</v>
      </c>
      <c r="L86" s="76">
        <v>0.39790627959667091</v>
      </c>
      <c r="M86" s="74">
        <v>2.2262454091722383</v>
      </c>
      <c r="N86" s="75">
        <v>563.74810810811289</v>
      </c>
      <c r="O86" s="104">
        <v>1.1221324744540333E-2</v>
      </c>
      <c r="P86" s="101">
        <v>1.2546633816857635E-2</v>
      </c>
      <c r="Q86" s="101">
        <v>2.4732672908892923E-2</v>
      </c>
      <c r="R86" s="101">
        <v>2.1218765136632518E-2</v>
      </c>
      <c r="S86" s="72">
        <v>64709.214285714283</v>
      </c>
      <c r="T86" s="72">
        <v>15191</v>
      </c>
      <c r="U86" s="72">
        <v>9807123.9299998917</v>
      </c>
      <c r="V86" s="31">
        <v>3765224.1600000099</v>
      </c>
      <c r="W86" s="31">
        <v>3727</v>
      </c>
      <c r="X86" s="31">
        <v>43271.357142857145</v>
      </c>
      <c r="Y86" s="76">
        <v>0.38392745792497113</v>
      </c>
      <c r="Z86" s="74">
        <v>17.038829382058925</v>
      </c>
      <c r="AA86" s="105">
        <v>645.58777763148521</v>
      </c>
      <c r="AD86" t="str">
        <f t="shared" si="0"/>
        <v>Yorgan</v>
      </c>
      <c r="AE86" s="100">
        <f t="shared" ref="AE86:AH88" si="6">F86/(S86+F86)</f>
        <v>2.5431664872825544E-2</v>
      </c>
      <c r="AF86" s="100">
        <f t="shared" si="6"/>
        <v>0.16647462277091907</v>
      </c>
      <c r="AG86" s="100">
        <f t="shared" si="6"/>
        <v>0.1485050106235033</v>
      </c>
      <c r="AH86" s="100">
        <f t="shared" si="6"/>
        <v>0.15308434817741315</v>
      </c>
      <c r="AI86" s="101">
        <f t="shared" si="2"/>
        <v>8.7270988320253019E-3</v>
      </c>
      <c r="AJ86" s="101">
        <f t="shared" si="3"/>
        <v>9.4955522376010612E-3</v>
      </c>
      <c r="AK86" s="102">
        <f t="shared" si="4"/>
        <v>-7.6845340557575928E-4</v>
      </c>
      <c r="AL86" s="103">
        <f t="shared" si="5"/>
        <v>0.1485050106235033</v>
      </c>
    </row>
    <row r="87" spans="1:38" x14ac:dyDescent="0.35">
      <c r="A87" s="4" t="s">
        <v>108</v>
      </c>
      <c r="B87" s="107">
        <v>1</v>
      </c>
      <c r="C87" s="108">
        <v>1</v>
      </c>
      <c r="D87" s="108">
        <v>1</v>
      </c>
      <c r="E87" s="108">
        <v>1</v>
      </c>
      <c r="F87" s="109">
        <v>434185</v>
      </c>
      <c r="G87" s="109">
        <v>245536</v>
      </c>
      <c r="H87" s="109">
        <v>77985089.100000069</v>
      </c>
      <c r="I87" s="110">
        <v>31903299.799999986</v>
      </c>
      <c r="J87" s="110">
        <v>19199.321428571428</v>
      </c>
      <c r="K87" s="110">
        <v>3314449.5714285714</v>
      </c>
      <c r="L87" s="111">
        <v>0.40909486888051738</v>
      </c>
      <c r="M87" s="112">
        <v>7.0732601329336635</v>
      </c>
      <c r="N87" s="113">
        <v>317.61162965919488</v>
      </c>
      <c r="O87" s="107">
        <v>1</v>
      </c>
      <c r="P87" s="108">
        <v>1</v>
      </c>
      <c r="Q87" s="108">
        <v>1</v>
      </c>
      <c r="R87" s="108">
        <v>1</v>
      </c>
      <c r="S87" s="109">
        <v>5766628.7857142854</v>
      </c>
      <c r="T87" s="109">
        <v>1210763</v>
      </c>
      <c r="U87" s="109">
        <v>396525032.53999794</v>
      </c>
      <c r="V87" s="110">
        <v>177447845.60999963</v>
      </c>
      <c r="W87" s="110">
        <v>292003.96428571426</v>
      </c>
      <c r="X87" s="110">
        <v>3314449.5714285714</v>
      </c>
      <c r="Y87" s="111">
        <v>0.4475072972652745</v>
      </c>
      <c r="Z87" s="112">
        <v>19.051222363796334</v>
      </c>
      <c r="AA87" s="114">
        <v>327.50012392185567</v>
      </c>
      <c r="AD87" t="str">
        <f t="shared" si="0"/>
        <v>Genel Toplam</v>
      </c>
      <c r="AE87" s="100">
        <f t="shared" si="6"/>
        <v>7.0020648096270038E-2</v>
      </c>
      <c r="AF87" s="100">
        <f t="shared" si="6"/>
        <v>0.16860273886063232</v>
      </c>
      <c r="AG87" s="100">
        <f t="shared" si="6"/>
        <v>0.16434863144851081</v>
      </c>
      <c r="AH87" s="100">
        <f t="shared" si="6"/>
        <v>0.15239133149961803</v>
      </c>
      <c r="AI87" s="101">
        <f t="shared" si="2"/>
        <v>0.40909486888051738</v>
      </c>
      <c r="AJ87" s="101">
        <f t="shared" si="3"/>
        <v>0.4475072972652745</v>
      </c>
      <c r="AK87" s="102">
        <f t="shared" si="4"/>
        <v>-3.8412428384757114E-2</v>
      </c>
      <c r="AL87" s="103">
        <f t="shared" si="5"/>
        <v>0.16434863144851081</v>
      </c>
    </row>
    <row r="88" spans="1:38" x14ac:dyDescent="0.35">
      <c r="AD88">
        <f t="shared" si="0"/>
        <v>0</v>
      </c>
      <c r="AE88" s="100" t="e">
        <f t="shared" si="6"/>
        <v>#DIV/0!</v>
      </c>
      <c r="AF88" s="100" t="e">
        <f t="shared" si="6"/>
        <v>#DIV/0!</v>
      </c>
      <c r="AG88" s="100" t="e">
        <f t="shared" si="6"/>
        <v>#DIV/0!</v>
      </c>
      <c r="AH88" s="100" t="e">
        <f t="shared" si="6"/>
        <v>#DIV/0!</v>
      </c>
      <c r="AI88" s="101">
        <f t="shared" si="2"/>
        <v>0</v>
      </c>
      <c r="AJ88" s="101">
        <f t="shared" si="3"/>
        <v>0</v>
      </c>
      <c r="AK88" s="102">
        <f t="shared" si="4"/>
        <v>0</v>
      </c>
      <c r="AL88" s="103" t="e">
        <f t="shared" si="5"/>
        <v>#DIV/0!</v>
      </c>
    </row>
    <row r="177" spans="1:26" x14ac:dyDescent="0.35">
      <c r="A177" s="133" t="s">
        <v>142</v>
      </c>
      <c r="B177" t="s" vm="20">
        <v>3</v>
      </c>
    </row>
    <row r="178" spans="1:26" x14ac:dyDescent="0.35">
      <c r="A178" s="134" t="s">
        <v>141</v>
      </c>
      <c r="B178" s="116" t="s" vm="24">
        <v>8</v>
      </c>
    </row>
    <row r="179" spans="1:26" x14ac:dyDescent="0.35">
      <c r="A179" s="132" t="s">
        <v>110</v>
      </c>
      <c r="B179" t="s" vm="22">
        <v>168</v>
      </c>
      <c r="K179" s="77"/>
      <c r="L179" s="78"/>
      <c r="M179" s="78"/>
      <c r="N179" s="78"/>
      <c r="O179" s="78"/>
    </row>
    <row r="180" spans="1:26" x14ac:dyDescent="0.35">
      <c r="A180" s="132" t="s">
        <v>111</v>
      </c>
      <c r="B180" t="s" vm="13">
        <v>112</v>
      </c>
    </row>
    <row r="181" spans="1:26" x14ac:dyDescent="0.35">
      <c r="A181" s="133" t="s">
        <v>125</v>
      </c>
      <c r="B181" t="s" vm="23">
        <v>8</v>
      </c>
    </row>
    <row r="183" spans="1:26" x14ac:dyDescent="0.35">
      <c r="A183" s="79"/>
      <c r="B183" s="79"/>
      <c r="C183" s="79"/>
      <c r="D183" s="131" t="s">
        <v>4</v>
      </c>
      <c r="E183" s="131" t="s">
        <v>24</v>
      </c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Q183" s="117" t="s">
        <v>158</v>
      </c>
      <c r="R183" s="81"/>
      <c r="S183" s="81"/>
      <c r="T183" s="81"/>
    </row>
    <row r="184" spans="1:26" x14ac:dyDescent="0.35">
      <c r="A184" s="79"/>
      <c r="B184" s="79"/>
      <c r="C184" s="79"/>
      <c r="D184" s="155" t="s">
        <v>157</v>
      </c>
      <c r="E184" s="156"/>
      <c r="F184" s="156"/>
      <c r="G184" s="156"/>
      <c r="H184" s="156"/>
      <c r="I184" s="156"/>
      <c r="J184" s="155" t="s">
        <v>5</v>
      </c>
      <c r="K184" s="156"/>
      <c r="L184" s="156"/>
      <c r="M184" s="156"/>
      <c r="N184" s="156"/>
      <c r="O184" s="163"/>
    </row>
    <row r="185" spans="1:26" ht="72.5" x14ac:dyDescent="0.35">
      <c r="A185" s="133" t="s">
        <v>169</v>
      </c>
      <c r="B185" s="133" t="s">
        <v>170</v>
      </c>
      <c r="C185" s="131" t="s">
        <v>171</v>
      </c>
      <c r="D185" s="84" t="s">
        <v>30</v>
      </c>
      <c r="E185" s="70" t="s">
        <v>34</v>
      </c>
      <c r="F185" s="70" t="s">
        <v>126</v>
      </c>
      <c r="G185" s="2" t="s">
        <v>128</v>
      </c>
      <c r="H185" s="83" t="s">
        <v>148</v>
      </c>
      <c r="I185" s="2" t="s">
        <v>136</v>
      </c>
      <c r="J185" s="84" t="s">
        <v>30</v>
      </c>
      <c r="K185" s="70" t="s">
        <v>34</v>
      </c>
      <c r="L185" s="86" t="s">
        <v>126</v>
      </c>
      <c r="M185" s="2" t="s">
        <v>128</v>
      </c>
      <c r="N185" s="83" t="s">
        <v>148</v>
      </c>
      <c r="O185" s="85" t="s">
        <v>136</v>
      </c>
      <c r="P185" s="89" t="s">
        <v>167</v>
      </c>
      <c r="Q185" s="88" t="s">
        <v>30</v>
      </c>
      <c r="R185" s="88" t="s">
        <v>34</v>
      </c>
      <c r="S185" s="88" t="s">
        <v>126</v>
      </c>
      <c r="T185" s="88" t="s">
        <v>163</v>
      </c>
      <c r="U185" s="89" t="s">
        <v>172</v>
      </c>
      <c r="V185" s="89"/>
      <c r="W185" s="89"/>
      <c r="X185" s="89" t="s">
        <v>173</v>
      </c>
      <c r="Y185" s="89" t="s">
        <v>174</v>
      </c>
      <c r="Z185" s="89" t="s">
        <v>175</v>
      </c>
    </row>
    <row r="186" spans="1:26" x14ac:dyDescent="0.35">
      <c r="A186" s="157" t="s">
        <v>176</v>
      </c>
      <c r="B186" s="158"/>
      <c r="C186" s="158"/>
      <c r="D186" s="118"/>
      <c r="E186" s="93">
        <v>3221407</v>
      </c>
      <c r="F186" s="93">
        <v>146897493.43005574</v>
      </c>
      <c r="G186" s="94">
        <v>62430362.309983492</v>
      </c>
      <c r="H186" s="94"/>
      <c r="I186" s="94"/>
      <c r="J186" s="118"/>
      <c r="K186" s="93">
        <v>13136077</v>
      </c>
      <c r="L186" s="93">
        <v>647724812.14968848</v>
      </c>
      <c r="M186" s="94">
        <v>303344831.73996502</v>
      </c>
      <c r="N186" s="94"/>
      <c r="O186" s="119"/>
      <c r="P186" s="103">
        <f>E186/(K186+E186)</f>
        <v>0.19693780534952685</v>
      </c>
      <c r="Q186" s="103" t="str">
        <f>IFERROR(D186/(D186+J186),"-")</f>
        <v>-</v>
      </c>
      <c r="R186" s="103">
        <f t="shared" ref="R186:T198" si="7">IFERROR(E186/(E186+K186),"-")</f>
        <v>0.19693780534952685</v>
      </c>
      <c r="S186" s="103">
        <f t="shared" si="7"/>
        <v>0.18486454809858577</v>
      </c>
      <c r="T186" s="103">
        <f>IFERROR(G186/(G186+M186),"-")</f>
        <v>0.17067959589807039</v>
      </c>
      <c r="U186" s="100">
        <f>IFERROR(G186/F186,"-")</f>
        <v>0.42499269968625636</v>
      </c>
      <c r="V186" s="100"/>
      <c r="W186" s="100"/>
      <c r="X186" s="100">
        <f>IFERROR(M186/L186,"-")</f>
        <v>0.46832362455471654</v>
      </c>
      <c r="Y186" s="120" t="str">
        <f>IFERROR(E186/H186,"-")</f>
        <v>-</v>
      </c>
      <c r="Z186" s="120" t="str">
        <f>IFERROR(K186/N186,"-")</f>
        <v>-</v>
      </c>
    </row>
    <row r="187" spans="1:26" x14ac:dyDescent="0.35">
      <c r="A187" s="157" t="s">
        <v>177</v>
      </c>
      <c r="B187" s="158"/>
      <c r="C187" s="158"/>
      <c r="D187" s="121">
        <v>631834.3426183844</v>
      </c>
      <c r="E187" s="72">
        <v>3318948</v>
      </c>
      <c r="F187" s="72">
        <v>271506738.45991361</v>
      </c>
      <c r="G187" s="31">
        <v>121381619.00999267</v>
      </c>
      <c r="H187" s="31">
        <v>49629.027855153203</v>
      </c>
      <c r="I187" s="31">
        <v>2691705.4447075203</v>
      </c>
      <c r="J187" s="121">
        <v>3262594.6128133703</v>
      </c>
      <c r="K187" s="72">
        <v>13440361</v>
      </c>
      <c r="L187" s="72">
        <v>1338181464.7506616</v>
      </c>
      <c r="M187" s="31">
        <v>643868443.94959509</v>
      </c>
      <c r="N187" s="31">
        <v>247126.84401114206</v>
      </c>
      <c r="O187" s="122">
        <v>2691705.4447075203</v>
      </c>
      <c r="P187" s="103">
        <f t="shared" ref="P187:P198" si="8">E187/(K187+E187)</f>
        <v>0.19803608848073628</v>
      </c>
      <c r="Q187" s="103">
        <f t="shared" ref="Q187:Q198" si="9">IFERROR(D187/(D187+J187),"-")</f>
        <v>0.16224056205650728</v>
      </c>
      <c r="R187" s="103">
        <f t="shared" si="7"/>
        <v>0.19803608848073628</v>
      </c>
      <c r="S187" s="103">
        <f t="shared" si="7"/>
        <v>0.16867039089830232</v>
      </c>
      <c r="T187" s="103">
        <f t="shared" si="7"/>
        <v>0.15861693436594038</v>
      </c>
      <c r="U187" s="100">
        <f t="shared" ref="U187:U198" si="10">IFERROR(G187/F187,"-")</f>
        <v>0.44706669049362824</v>
      </c>
      <c r="V187" s="100"/>
      <c r="W187" s="100"/>
      <c r="X187" s="100">
        <f t="shared" ref="X187:X198" si="11">IFERROR(M187/L187,"-")</f>
        <v>0.48115181752989289</v>
      </c>
      <c r="Y187" s="120">
        <f t="shared" ref="Y187:Y198" si="12">IFERROR(E187/H187,"-")</f>
        <v>66.875136254666302</v>
      </c>
      <c r="Z187" s="120">
        <f t="shared" ref="Z187:Z198" si="13">IFERROR(K187/N187,"-")</f>
        <v>54.38648744850245</v>
      </c>
    </row>
    <row r="188" spans="1:26" x14ac:dyDescent="0.35">
      <c r="A188" s="157" t="s">
        <v>178</v>
      </c>
      <c r="B188" s="157" t="s">
        <v>179</v>
      </c>
      <c r="C188" s="158"/>
      <c r="D188" s="121">
        <v>469593.82857142854</v>
      </c>
      <c r="E188" s="72">
        <v>204681</v>
      </c>
      <c r="F188" s="72">
        <v>26520837.039998416</v>
      </c>
      <c r="G188" s="31">
        <v>12375557.590000128</v>
      </c>
      <c r="H188" s="31">
        <v>29924.114285714284</v>
      </c>
      <c r="I188" s="31">
        <v>1605932.8631428571</v>
      </c>
      <c r="J188" s="121">
        <v>3106069.6285714284</v>
      </c>
      <c r="K188" s="72">
        <v>1035851</v>
      </c>
      <c r="L188" s="72">
        <v>147306728.35998154</v>
      </c>
      <c r="M188" s="31">
        <v>73912395.220001802</v>
      </c>
      <c r="N188" s="31">
        <v>189537.42857142858</v>
      </c>
      <c r="O188" s="122">
        <v>1605932.8631428571</v>
      </c>
      <c r="P188" s="103">
        <f t="shared" si="8"/>
        <v>0.16499453460289618</v>
      </c>
      <c r="Q188" s="103">
        <f t="shared" si="9"/>
        <v>0.13133054444297695</v>
      </c>
      <c r="R188" s="103">
        <f t="shared" si="7"/>
        <v>0.16499453460289618</v>
      </c>
      <c r="S188" s="103">
        <f t="shared" si="7"/>
        <v>0.15256980087694122</v>
      </c>
      <c r="T188" s="103">
        <f t="shared" si="7"/>
        <v>0.14342161549770405</v>
      </c>
      <c r="U188" s="100">
        <f t="shared" si="10"/>
        <v>0.46663525632073594</v>
      </c>
      <c r="V188" s="100"/>
      <c r="W188" s="100"/>
      <c r="X188" s="100">
        <f t="shared" si="11"/>
        <v>0.50175844676543235</v>
      </c>
      <c r="Y188" s="120">
        <f t="shared" si="12"/>
        <v>6.8400019477841099</v>
      </c>
      <c r="Z188" s="120">
        <f t="shared" si="13"/>
        <v>5.4651527553547661</v>
      </c>
    </row>
    <row r="189" spans="1:26" x14ac:dyDescent="0.35">
      <c r="A189" s="158"/>
      <c r="B189" s="157" t="s">
        <v>180</v>
      </c>
      <c r="C189" s="158"/>
      <c r="D189" s="121">
        <v>478369.82142857142</v>
      </c>
      <c r="E189" s="72">
        <v>122216</v>
      </c>
      <c r="F189" s="72">
        <v>18068248.03000056</v>
      </c>
      <c r="G189" s="31">
        <v>8382585.1399999931</v>
      </c>
      <c r="H189" s="31">
        <v>37149.607142857145</v>
      </c>
      <c r="I189" s="31">
        <v>1485520.1425357142</v>
      </c>
      <c r="J189" s="121">
        <v>3068295.7857142859</v>
      </c>
      <c r="K189" s="72">
        <v>737259</v>
      </c>
      <c r="L189" s="72">
        <v>119835915.63001153</v>
      </c>
      <c r="M189" s="31">
        <v>56350212.190015562</v>
      </c>
      <c r="N189" s="31">
        <v>220979.64285714287</v>
      </c>
      <c r="O189" s="122">
        <v>1485520.1425357142</v>
      </c>
      <c r="P189" s="103">
        <f t="shared" si="8"/>
        <v>0.1421984350911894</v>
      </c>
      <c r="Q189" s="103">
        <f t="shared" si="9"/>
        <v>0.13487874934280575</v>
      </c>
      <c r="R189" s="103">
        <f t="shared" si="7"/>
        <v>0.1421984350911894</v>
      </c>
      <c r="S189" s="103">
        <f t="shared" si="7"/>
        <v>0.13102032274055109</v>
      </c>
      <c r="T189" s="103">
        <f t="shared" si="7"/>
        <v>0.12949517842191446</v>
      </c>
      <c r="U189" s="100">
        <f t="shared" si="10"/>
        <v>0.46394011893579995</v>
      </c>
      <c r="V189" s="100"/>
      <c r="W189" s="100"/>
      <c r="X189" s="100">
        <f t="shared" si="11"/>
        <v>0.4702280772318253</v>
      </c>
      <c r="Y189" s="120">
        <f t="shared" si="12"/>
        <v>3.2898329053662363</v>
      </c>
      <c r="Z189" s="120">
        <f t="shared" si="13"/>
        <v>3.3363208957515478</v>
      </c>
    </row>
    <row r="190" spans="1:26" x14ac:dyDescent="0.35">
      <c r="A190" s="158"/>
      <c r="B190" s="157" t="s">
        <v>181</v>
      </c>
      <c r="C190" s="158"/>
      <c r="D190" s="121">
        <v>477643.57142857142</v>
      </c>
      <c r="E190" s="72">
        <v>238863</v>
      </c>
      <c r="F190" s="72">
        <v>30212942.319997862</v>
      </c>
      <c r="G190" s="31">
        <v>13726997.540000647</v>
      </c>
      <c r="H190" s="31">
        <v>81830.857142857145</v>
      </c>
      <c r="I190" s="31">
        <v>2314869.3663214296</v>
      </c>
      <c r="J190" s="121">
        <v>3073667.9642857141</v>
      </c>
      <c r="K190" s="72">
        <v>771619</v>
      </c>
      <c r="L190" s="72">
        <v>112625294.66002589</v>
      </c>
      <c r="M190" s="31">
        <v>55027836.830009058</v>
      </c>
      <c r="N190" s="31">
        <v>284177.60714285716</v>
      </c>
      <c r="O190" s="122">
        <v>2314869.3663214296</v>
      </c>
      <c r="P190" s="103">
        <f t="shared" si="8"/>
        <v>0.23638521022640679</v>
      </c>
      <c r="Q190" s="103">
        <f t="shared" si="9"/>
        <v>0.13449779514556207</v>
      </c>
      <c r="R190" s="103">
        <f t="shared" si="7"/>
        <v>0.23638521022640679</v>
      </c>
      <c r="S190" s="103">
        <f t="shared" si="7"/>
        <v>0.21151858885112962</v>
      </c>
      <c r="T190" s="103">
        <f t="shared" si="7"/>
        <v>0.19965137965612278</v>
      </c>
      <c r="U190" s="100">
        <f t="shared" si="10"/>
        <v>0.4543416326226124</v>
      </c>
      <c r="V190" s="100"/>
      <c r="W190" s="100"/>
      <c r="X190" s="100">
        <f t="shared" si="11"/>
        <v>0.48859216747106182</v>
      </c>
      <c r="Y190" s="120">
        <f t="shared" si="12"/>
        <v>2.9189844557414597</v>
      </c>
      <c r="Z190" s="120">
        <f t="shared" si="13"/>
        <v>2.7152702415855878</v>
      </c>
    </row>
    <row r="191" spans="1:26" x14ac:dyDescent="0.35">
      <c r="A191" s="158"/>
      <c r="B191" s="157" t="s">
        <v>182</v>
      </c>
      <c r="C191" s="2" t="s">
        <v>183</v>
      </c>
      <c r="D191" s="121">
        <v>520955.71428571426</v>
      </c>
      <c r="E191" s="72">
        <v>40315</v>
      </c>
      <c r="F191" s="72">
        <v>5460452.7400001632</v>
      </c>
      <c r="G191" s="31">
        <v>2707309.5999999372</v>
      </c>
      <c r="H191" s="31">
        <v>110205.57142857143</v>
      </c>
      <c r="I191" s="31">
        <v>2217047.8391428567</v>
      </c>
      <c r="J191" s="121">
        <v>3118305.8571428573</v>
      </c>
      <c r="K191" s="72">
        <v>178989</v>
      </c>
      <c r="L191" s="72">
        <v>26516038.020000137</v>
      </c>
      <c r="M191" s="31">
        <v>13706260.469999667</v>
      </c>
      <c r="N191" s="31">
        <v>372566.71428571426</v>
      </c>
      <c r="O191" s="122">
        <v>2217047.8391428567</v>
      </c>
      <c r="P191" s="103">
        <f t="shared" si="8"/>
        <v>0.18383157625943894</v>
      </c>
      <c r="Q191" s="103">
        <f t="shared" si="9"/>
        <v>0.14314874159518468</v>
      </c>
      <c r="R191" s="103">
        <f t="shared" si="7"/>
        <v>0.18383157625943894</v>
      </c>
      <c r="S191" s="103">
        <f t="shared" si="7"/>
        <v>0.17076460268838181</v>
      </c>
      <c r="T191" s="103">
        <f t="shared" si="7"/>
        <v>0.1649433723713955</v>
      </c>
      <c r="U191" s="100">
        <f t="shared" si="10"/>
        <v>0.49580313737865195</v>
      </c>
      <c r="V191" s="100"/>
      <c r="W191" s="100"/>
      <c r="X191" s="100">
        <f t="shared" si="11"/>
        <v>0.51690454130671804</v>
      </c>
      <c r="Y191" s="120">
        <f t="shared" si="12"/>
        <v>0.36581635100118087</v>
      </c>
      <c r="Z191" s="120">
        <f t="shared" si="13"/>
        <v>0.48042133968719697</v>
      </c>
    </row>
    <row r="192" spans="1:26" x14ac:dyDescent="0.35">
      <c r="A192" s="158"/>
      <c r="B192" s="158"/>
      <c r="C192" s="2" t="s">
        <v>184</v>
      </c>
      <c r="D192" s="121">
        <v>542771.28571428568</v>
      </c>
      <c r="E192" s="72">
        <v>56675</v>
      </c>
      <c r="F192" s="72">
        <v>8646456.9799999818</v>
      </c>
      <c r="G192" s="31">
        <v>4128782.8999999641</v>
      </c>
      <c r="H192" s="31">
        <v>86330.571428571435</v>
      </c>
      <c r="I192" s="31">
        <v>2120026.3058571434</v>
      </c>
      <c r="J192" s="121">
        <v>3146041</v>
      </c>
      <c r="K192" s="72">
        <v>196269</v>
      </c>
      <c r="L192" s="72">
        <v>29644257.239998382</v>
      </c>
      <c r="M192" s="31">
        <v>15618826.640000124</v>
      </c>
      <c r="N192" s="31">
        <v>405250</v>
      </c>
      <c r="O192" s="122">
        <v>2120026.3058571434</v>
      </c>
      <c r="P192" s="103">
        <f t="shared" si="8"/>
        <v>0.22406145233727623</v>
      </c>
      <c r="Q192" s="103">
        <f t="shared" si="9"/>
        <v>0.14713984981460931</v>
      </c>
      <c r="R192" s="103">
        <f t="shared" si="7"/>
        <v>0.22406145233727623</v>
      </c>
      <c r="S192" s="103">
        <f t="shared" si="7"/>
        <v>0.22581080442433055</v>
      </c>
      <c r="T192" s="103">
        <f t="shared" si="7"/>
        <v>0.20907760464054354</v>
      </c>
      <c r="U192" s="100">
        <f t="shared" si="10"/>
        <v>0.477511529815068</v>
      </c>
      <c r="V192" s="100"/>
      <c r="W192" s="100"/>
      <c r="X192" s="100">
        <f t="shared" si="11"/>
        <v>0.52687529033198255</v>
      </c>
      <c r="Y192" s="120">
        <f t="shared" si="12"/>
        <v>0.65648818329543912</v>
      </c>
      <c r="Z192" s="120">
        <f t="shared" si="13"/>
        <v>0.4843158544108575</v>
      </c>
    </row>
    <row r="193" spans="1:26" x14ac:dyDescent="0.35">
      <c r="A193" s="158"/>
      <c r="B193" s="158"/>
      <c r="C193" s="2" t="s">
        <v>185</v>
      </c>
      <c r="D193" s="121">
        <v>552040.85714285716</v>
      </c>
      <c r="E193" s="72">
        <v>70050</v>
      </c>
      <c r="F193" s="72">
        <v>8029184.3300000336</v>
      </c>
      <c r="G193" s="31">
        <v>3837217.9800000624</v>
      </c>
      <c r="H193" s="31">
        <v>82951.28571428571</v>
      </c>
      <c r="I193" s="31">
        <v>1910488.5714285714</v>
      </c>
      <c r="J193" s="121">
        <v>3200537</v>
      </c>
      <c r="K193" s="72">
        <v>210708</v>
      </c>
      <c r="L193" s="72">
        <v>31592252.219999902</v>
      </c>
      <c r="M193" s="31">
        <v>16105732.420000199</v>
      </c>
      <c r="N193" s="31">
        <v>480760.14285714284</v>
      </c>
      <c r="O193" s="122">
        <v>1910488.5714285714</v>
      </c>
      <c r="P193" s="103">
        <f t="shared" si="8"/>
        <v>0.24950313081016393</v>
      </c>
      <c r="Q193" s="103">
        <f t="shared" si="9"/>
        <v>0.14710976778058665</v>
      </c>
      <c r="R193" s="103">
        <f t="shared" si="7"/>
        <v>0.24950313081016393</v>
      </c>
      <c r="S193" s="103">
        <f t="shared" si="7"/>
        <v>0.20264748149319806</v>
      </c>
      <c r="T193" s="103">
        <f t="shared" si="7"/>
        <v>0.19240974394641286</v>
      </c>
      <c r="U193" s="100">
        <f t="shared" si="10"/>
        <v>0.47790881642395255</v>
      </c>
      <c r="V193" s="100"/>
      <c r="W193" s="100"/>
      <c r="X193" s="100">
        <f t="shared" si="11"/>
        <v>0.50980007084788492</v>
      </c>
      <c r="Y193" s="120">
        <f t="shared" si="12"/>
        <v>0.84447154009496106</v>
      </c>
      <c r="Z193" s="120">
        <f t="shared" si="13"/>
        <v>0.43828092476170921</v>
      </c>
    </row>
    <row r="194" spans="1:26" x14ac:dyDescent="0.35">
      <c r="A194" s="158"/>
      <c r="B194" s="158"/>
      <c r="C194" s="2" t="s">
        <v>186</v>
      </c>
      <c r="D194" s="121">
        <v>559180.28571428568</v>
      </c>
      <c r="E194" s="72">
        <v>35413</v>
      </c>
      <c r="F194" s="72">
        <v>4934315.3300000709</v>
      </c>
      <c r="G194" s="31">
        <v>2345872.849999994</v>
      </c>
      <c r="H194" s="31">
        <v>73648.142857142855</v>
      </c>
      <c r="I194" s="31">
        <v>1947526</v>
      </c>
      <c r="J194" s="121">
        <v>3300986.4285714286</v>
      </c>
      <c r="K194" s="72">
        <v>228465</v>
      </c>
      <c r="L194" s="72">
        <v>34245281.529996142</v>
      </c>
      <c r="M194" s="31">
        <v>17006009.140000433</v>
      </c>
      <c r="N194" s="31">
        <v>456591.42857142858</v>
      </c>
      <c r="O194" s="122">
        <v>1947526</v>
      </c>
      <c r="P194" s="103">
        <f t="shared" si="8"/>
        <v>0.13420216918424424</v>
      </c>
      <c r="Q194" s="103">
        <f t="shared" si="9"/>
        <v>0.14485910249546216</v>
      </c>
      <c r="R194" s="103">
        <f t="shared" si="7"/>
        <v>0.13420216918424424</v>
      </c>
      <c r="S194" s="103">
        <f t="shared" si="7"/>
        <v>0.12594094185379903</v>
      </c>
      <c r="T194" s="103">
        <f t="shared" si="7"/>
        <v>0.1212219489149511</v>
      </c>
      <c r="U194" s="100">
        <f t="shared" si="10"/>
        <v>0.47542013290827939</v>
      </c>
      <c r="V194" s="100"/>
      <c r="W194" s="100"/>
      <c r="X194" s="100">
        <f t="shared" si="11"/>
        <v>0.49659422788230029</v>
      </c>
      <c r="Y194" s="120">
        <f t="shared" si="12"/>
        <v>0.48084036645284434</v>
      </c>
      <c r="Z194" s="120">
        <f t="shared" si="13"/>
        <v>0.50037075972892298</v>
      </c>
    </row>
    <row r="195" spans="1:26" x14ac:dyDescent="0.35">
      <c r="A195" s="158"/>
      <c r="B195" s="158"/>
      <c r="C195" s="2" t="s">
        <v>187</v>
      </c>
      <c r="D195" s="121">
        <v>590167</v>
      </c>
      <c r="E195" s="72">
        <v>54297</v>
      </c>
      <c r="F195" s="72">
        <v>7641956.8100002389</v>
      </c>
      <c r="G195" s="31">
        <v>3593601.7900000783</v>
      </c>
      <c r="H195" s="31">
        <v>81918.28571428571</v>
      </c>
      <c r="I195" s="31">
        <v>2065235.2857142857</v>
      </c>
      <c r="J195" s="121">
        <v>3314173.2857142859</v>
      </c>
      <c r="K195" s="72">
        <v>235015</v>
      </c>
      <c r="L195" s="72">
        <v>36309201.589996114</v>
      </c>
      <c r="M195" s="31">
        <v>17869814.740000326</v>
      </c>
      <c r="N195" s="31">
        <v>495745</v>
      </c>
      <c r="O195" s="122">
        <v>2065235.2857142857</v>
      </c>
      <c r="P195" s="103">
        <f t="shared" si="8"/>
        <v>0.18767628027873023</v>
      </c>
      <c r="Q195" s="103">
        <f t="shared" si="9"/>
        <v>0.15115665049979907</v>
      </c>
      <c r="R195" s="103">
        <f t="shared" si="7"/>
        <v>0.18767628027873023</v>
      </c>
      <c r="S195" s="103">
        <f t="shared" si="7"/>
        <v>0.17387384287921004</v>
      </c>
      <c r="T195" s="103">
        <f t="shared" si="7"/>
        <v>0.16742915951787712</v>
      </c>
      <c r="U195" s="100">
        <f t="shared" si="10"/>
        <v>0.47024628368711835</v>
      </c>
      <c r="V195" s="100"/>
      <c r="W195" s="100"/>
      <c r="X195" s="100">
        <f t="shared" si="11"/>
        <v>0.49215664232407152</v>
      </c>
      <c r="Y195" s="120">
        <f t="shared" si="12"/>
        <v>0.66281904615749498</v>
      </c>
      <c r="Z195" s="120">
        <f t="shared" si="13"/>
        <v>0.47406428708307696</v>
      </c>
    </row>
    <row r="196" spans="1:26" x14ac:dyDescent="0.35">
      <c r="A196" s="158"/>
      <c r="B196" s="159" t="s">
        <v>188</v>
      </c>
      <c r="C196" s="160"/>
      <c r="D196" s="123">
        <v>553023.02857142861</v>
      </c>
      <c r="E196" s="135">
        <v>256750</v>
      </c>
      <c r="F196" s="135">
        <v>34712366.190003753</v>
      </c>
      <c r="G196" s="136">
        <v>16612785.120001346</v>
      </c>
      <c r="H196" s="136">
        <v>87010.771428571432</v>
      </c>
      <c r="I196" s="136">
        <v>2052064.8004285714</v>
      </c>
      <c r="J196" s="123">
        <v>3216008.7142857141</v>
      </c>
      <c r="K196" s="135">
        <v>1049446</v>
      </c>
      <c r="L196" s="135">
        <v>158307030.59981704</v>
      </c>
      <c r="M196" s="136">
        <v>80306643.410009012</v>
      </c>
      <c r="N196" s="136">
        <v>442182.65714285715</v>
      </c>
      <c r="O196" s="124">
        <v>2052064.8004285714</v>
      </c>
      <c r="P196" s="103">
        <f>E196/(K196+E196)</f>
        <v>0.19656314978762759</v>
      </c>
      <c r="Q196" s="103">
        <f t="shared" si="9"/>
        <v>0.14672814300900669</v>
      </c>
      <c r="R196" s="103">
        <f t="shared" si="7"/>
        <v>0.19656314978762759</v>
      </c>
      <c r="S196" s="103">
        <f t="shared" si="7"/>
        <v>0.17983874557333798</v>
      </c>
      <c r="T196" s="103">
        <f t="shared" si="7"/>
        <v>0.1714082034115309</v>
      </c>
      <c r="U196" s="100">
        <f t="shared" si="10"/>
        <v>0.47858405932538794</v>
      </c>
      <c r="V196" s="100"/>
      <c r="W196" s="100"/>
      <c r="X196" s="100">
        <f t="shared" si="11"/>
        <v>0.50728412443674387</v>
      </c>
      <c r="Y196" s="120">
        <f t="shared" si="12"/>
        <v>2.9507840901142943</v>
      </c>
      <c r="Z196" s="120">
        <f t="shared" si="13"/>
        <v>2.3733314345274121</v>
      </c>
    </row>
    <row r="197" spans="1:26" x14ac:dyDescent="0.35">
      <c r="A197" s="158"/>
      <c r="B197" s="157" t="s">
        <v>189</v>
      </c>
      <c r="C197" s="158"/>
      <c r="D197" s="121">
        <v>591213.14285714284</v>
      </c>
      <c r="E197" s="72">
        <v>219951</v>
      </c>
      <c r="F197" s="72">
        <v>32212876.319998566</v>
      </c>
      <c r="G197" s="31">
        <v>14723096.44000062</v>
      </c>
      <c r="H197" s="31">
        <v>84657.142857142855</v>
      </c>
      <c r="I197" s="31">
        <v>1747855.357142857</v>
      </c>
      <c r="J197" s="121">
        <v>3514466.5</v>
      </c>
      <c r="K197" s="72">
        <v>1045117</v>
      </c>
      <c r="L197" s="72">
        <v>164407878.45993778</v>
      </c>
      <c r="M197" s="31">
        <v>80172068.309977621</v>
      </c>
      <c r="N197" s="31">
        <v>404061.21428571426</v>
      </c>
      <c r="O197" s="122">
        <v>1747855.357142857</v>
      </c>
      <c r="P197" s="103">
        <f t="shared" si="8"/>
        <v>0.17386496219966041</v>
      </c>
      <c r="Q197" s="103">
        <f t="shared" si="9"/>
        <v>0.14399884898124141</v>
      </c>
      <c r="R197" s="103">
        <f t="shared" si="7"/>
        <v>0.17386496219966041</v>
      </c>
      <c r="S197" s="103">
        <f t="shared" si="7"/>
        <v>0.16383253312221363</v>
      </c>
      <c r="T197" s="103">
        <f t="shared" si="7"/>
        <v>0.15515117634066802</v>
      </c>
      <c r="U197" s="100">
        <f t="shared" si="10"/>
        <v>0.45705624961097158</v>
      </c>
      <c r="V197" s="100"/>
      <c r="W197" s="100"/>
      <c r="X197" s="100">
        <f t="shared" si="11"/>
        <v>0.48764128009542812</v>
      </c>
      <c r="Y197" s="120">
        <f t="shared" si="12"/>
        <v>2.5981387107661154</v>
      </c>
      <c r="Z197" s="120">
        <f t="shared" si="13"/>
        <v>2.5865313547788111</v>
      </c>
    </row>
    <row r="198" spans="1:26" x14ac:dyDescent="0.35">
      <c r="A198" s="158"/>
      <c r="B198" s="157" t="s">
        <v>190</v>
      </c>
      <c r="C198" s="158"/>
      <c r="D198" s="121">
        <v>618295.57142857148</v>
      </c>
      <c r="E198" s="72">
        <v>165668</v>
      </c>
      <c r="F198" s="72">
        <v>25372450.480000824</v>
      </c>
      <c r="G198" s="31">
        <v>12599504.879999908</v>
      </c>
      <c r="H198" s="31">
        <v>86747.96428571429</v>
      </c>
      <c r="I198" s="31">
        <v>1553201.3214285714</v>
      </c>
      <c r="J198" s="121">
        <v>3726078.0357142859</v>
      </c>
      <c r="K198" s="72">
        <v>811266</v>
      </c>
      <c r="L198" s="72">
        <v>139599756.23990744</v>
      </c>
      <c r="M198" s="31">
        <v>76289459.980003312</v>
      </c>
      <c r="N198" s="31">
        <v>299040.21428571426</v>
      </c>
      <c r="O198" s="122">
        <v>1553201.3214285714</v>
      </c>
      <c r="P198" s="103">
        <f t="shared" si="8"/>
        <v>0.16957952123684916</v>
      </c>
      <c r="Q198" s="103">
        <f t="shared" si="9"/>
        <v>0.14232099431135317</v>
      </c>
      <c r="R198" s="103">
        <f t="shared" si="7"/>
        <v>0.16957952123684916</v>
      </c>
      <c r="S198" s="103">
        <f t="shared" si="7"/>
        <v>0.15379833357674888</v>
      </c>
      <c r="T198" s="103">
        <f t="shared" si="7"/>
        <v>0.14174430875467675</v>
      </c>
      <c r="U198" s="100">
        <f t="shared" si="10"/>
        <v>0.49658210545848303</v>
      </c>
      <c r="V198" s="100"/>
      <c r="W198" s="100"/>
      <c r="X198" s="100">
        <f t="shared" si="11"/>
        <v>0.54648705724741375</v>
      </c>
      <c r="Y198" s="120">
        <f t="shared" si="12"/>
        <v>1.9097623945889219</v>
      </c>
      <c r="Z198" s="120">
        <f t="shared" si="13"/>
        <v>2.7128993401030872</v>
      </c>
    </row>
    <row r="199" spans="1:26" x14ac:dyDescent="0.35">
      <c r="A199" s="158"/>
      <c r="B199" s="157" t="s">
        <v>191</v>
      </c>
      <c r="C199" s="158"/>
      <c r="D199" s="121">
        <v>629568.25714285718</v>
      </c>
      <c r="E199" s="72">
        <v>223065</v>
      </c>
      <c r="F199" s="72">
        <v>36740885.330002166</v>
      </c>
      <c r="G199" s="31">
        <v>18051296.189999878</v>
      </c>
      <c r="H199" s="31">
        <v>67167.171428571426</v>
      </c>
      <c r="I199" s="31">
        <v>1548890.6390571429</v>
      </c>
      <c r="J199" s="121">
        <v>3716321.2857142859</v>
      </c>
      <c r="K199" s="72">
        <v>1201656</v>
      </c>
      <c r="L199" s="72">
        <v>220927811.13963687</v>
      </c>
      <c r="M199" s="31">
        <v>124744367.62998292</v>
      </c>
      <c r="N199" s="31">
        <v>285974.48571428569</v>
      </c>
      <c r="O199" s="122">
        <v>1548890.6390571429</v>
      </c>
    </row>
    <row r="200" spans="1:26" x14ac:dyDescent="0.35">
      <c r="A200" s="158"/>
      <c r="B200" s="157" t="s">
        <v>192</v>
      </c>
      <c r="C200" s="158"/>
      <c r="D200" s="121">
        <v>603879.46428571432</v>
      </c>
      <c r="E200" s="72">
        <v>200618</v>
      </c>
      <c r="F200" s="72">
        <v>31573338.080006883</v>
      </c>
      <c r="G200" s="31">
        <v>15350652.369999649</v>
      </c>
      <c r="H200" s="31">
        <v>56663.964285714283</v>
      </c>
      <c r="I200" s="31">
        <v>1761438.9210357142</v>
      </c>
      <c r="J200" s="121">
        <v>3656055.5</v>
      </c>
      <c r="K200" s="72">
        <v>1035098</v>
      </c>
      <c r="L200" s="72">
        <v>188823590.22965419</v>
      </c>
      <c r="M200" s="31">
        <v>106190403.04997677</v>
      </c>
      <c r="N200" s="31">
        <v>340525.46428571426</v>
      </c>
      <c r="O200" s="122">
        <v>1761438.9210357142</v>
      </c>
    </row>
    <row r="201" spans="1:26" x14ac:dyDescent="0.35">
      <c r="A201" s="158"/>
      <c r="B201" s="157" t="s">
        <v>193</v>
      </c>
      <c r="C201" s="158"/>
      <c r="D201" s="121">
        <v>616309.07142857148</v>
      </c>
      <c r="E201" s="72">
        <v>224303</v>
      </c>
      <c r="F201" s="72">
        <v>36810346.779999629</v>
      </c>
      <c r="G201" s="31">
        <v>17495585.170000318</v>
      </c>
      <c r="H201" s="31">
        <v>67064.571428571435</v>
      </c>
      <c r="I201" s="31">
        <v>2256069.9285714286</v>
      </c>
      <c r="J201" s="121">
        <v>3833027.2857142859</v>
      </c>
      <c r="K201" s="72">
        <v>1081600</v>
      </c>
      <c r="L201" s="72">
        <v>186426004.9295105</v>
      </c>
      <c r="M201" s="31">
        <v>100352025.36998111</v>
      </c>
      <c r="N201" s="31">
        <v>322654.5</v>
      </c>
      <c r="O201" s="122">
        <v>2256069.9285714286</v>
      </c>
    </row>
    <row r="202" spans="1:26" x14ac:dyDescent="0.35">
      <c r="A202" s="158"/>
      <c r="B202" s="157" t="s">
        <v>194</v>
      </c>
      <c r="C202" s="158"/>
      <c r="D202" s="121">
        <v>660564.4</v>
      </c>
      <c r="E202" s="72">
        <v>305800</v>
      </c>
      <c r="F202" s="72">
        <v>52925685.309980646</v>
      </c>
      <c r="G202" s="31">
        <v>26090495.249999844</v>
      </c>
      <c r="H202" s="31">
        <v>90040.514285714293</v>
      </c>
      <c r="I202" s="31">
        <v>2592702.1383714285</v>
      </c>
      <c r="J202" s="121">
        <v>3961550.0857142857</v>
      </c>
      <c r="K202" s="72">
        <v>1221598</v>
      </c>
      <c r="L202" s="72">
        <v>231438611.72957322</v>
      </c>
      <c r="M202" s="31">
        <v>126323769.71995382</v>
      </c>
      <c r="N202" s="31">
        <v>337633.62857142859</v>
      </c>
      <c r="O202" s="122">
        <v>2592702.1383714285</v>
      </c>
    </row>
    <row r="203" spans="1:26" x14ac:dyDescent="0.35">
      <c r="A203" s="158"/>
      <c r="B203" s="157" t="s">
        <v>195</v>
      </c>
      <c r="C203" s="158"/>
      <c r="D203" s="121">
        <v>639515.21428571432</v>
      </c>
      <c r="E203" s="72">
        <v>485226</v>
      </c>
      <c r="F203" s="72">
        <v>86711893.390006647</v>
      </c>
      <c r="G203" s="31">
        <v>37747359.779997155</v>
      </c>
      <c r="H203" s="31">
        <v>98546.892857142855</v>
      </c>
      <c r="I203" s="31">
        <v>2508743.2142857141</v>
      </c>
      <c r="J203" s="121">
        <v>4117826.2857142859</v>
      </c>
      <c r="K203" s="72">
        <v>1345182</v>
      </c>
      <c r="L203" s="72">
        <v>252594515.61942977</v>
      </c>
      <c r="M203" s="31">
        <v>123361150.71000203</v>
      </c>
      <c r="N203" s="31">
        <v>451954.5</v>
      </c>
      <c r="O203" s="122">
        <v>2508743.2142857141</v>
      </c>
    </row>
    <row r="204" spans="1:26" x14ac:dyDescent="0.35">
      <c r="A204" s="158"/>
      <c r="B204" s="157" t="s">
        <v>196</v>
      </c>
      <c r="C204" s="158"/>
      <c r="D204" s="121">
        <v>552424.02857142861</v>
      </c>
      <c r="E204" s="72">
        <v>360618</v>
      </c>
      <c r="F204" s="72">
        <v>65629105.929986715</v>
      </c>
      <c r="G204" s="31">
        <v>29150407.500000842</v>
      </c>
      <c r="H204" s="31">
        <v>92236.028571428571</v>
      </c>
      <c r="I204" s="31">
        <v>1913281.3142857142</v>
      </c>
      <c r="J204" s="121">
        <v>4312216.8571428573</v>
      </c>
      <c r="K204" s="72">
        <v>1805112</v>
      </c>
      <c r="L204" s="72">
        <v>324694582.44087309</v>
      </c>
      <c r="M204" s="31">
        <v>157734947.0899148</v>
      </c>
      <c r="N204" s="31">
        <v>511816.4</v>
      </c>
      <c r="O204" s="122">
        <v>1913281.3142857142</v>
      </c>
    </row>
    <row r="205" spans="1:26" x14ac:dyDescent="0.35">
      <c r="A205" s="161" t="s">
        <v>197</v>
      </c>
      <c r="B205" s="162"/>
      <c r="C205" s="162"/>
      <c r="D205" s="125">
        <v>574090.02156334231</v>
      </c>
      <c r="E205" s="126">
        <v>3007759</v>
      </c>
      <c r="F205" s="126">
        <v>477490975.19941884</v>
      </c>
      <c r="G205" s="127">
        <v>222306322.97003794</v>
      </c>
      <c r="H205" s="127">
        <v>73255.415094339623</v>
      </c>
      <c r="I205" s="127">
        <v>1944814.18456065</v>
      </c>
      <c r="J205" s="125">
        <v>3613556.6469002697</v>
      </c>
      <c r="K205" s="126">
        <v>13140804</v>
      </c>
      <c r="L205" s="126">
        <v>2246987720.0470972</v>
      </c>
      <c r="M205" s="127">
        <v>1160765279.5096061</v>
      </c>
      <c r="N205" s="127">
        <v>342062.18059299194</v>
      </c>
      <c r="O205" s="128">
        <v>1944814.18456065</v>
      </c>
    </row>
    <row r="206" spans="1:26" x14ac:dyDescent="0.35">
      <c r="A206" s="157" t="s">
        <v>198</v>
      </c>
      <c r="B206" s="158"/>
      <c r="C206" s="158"/>
      <c r="D206" s="121">
        <v>432146.2087912088</v>
      </c>
      <c r="E206" s="72">
        <v>2395595</v>
      </c>
      <c r="F206" s="72">
        <v>615809723.35980105</v>
      </c>
      <c r="G206" s="31">
        <v>275855900.11000472</v>
      </c>
      <c r="H206" s="31">
        <v>19017.263736263736</v>
      </c>
      <c r="I206" s="31">
        <v>1505279.9716648329</v>
      </c>
      <c r="J206" s="121">
        <v>4144080.6923076925</v>
      </c>
      <c r="K206" s="72">
        <v>12545865</v>
      </c>
      <c r="L206" s="72">
        <v>3539514540.4573717</v>
      </c>
      <c r="M206" s="31">
        <v>1765560066.5209093</v>
      </c>
      <c r="N206" s="31">
        <v>324755.04945054947</v>
      </c>
      <c r="O206" s="122">
        <v>1505279.9716648329</v>
      </c>
    </row>
    <row r="207" spans="1:26" x14ac:dyDescent="0.35">
      <c r="A207" s="157" t="s">
        <v>199</v>
      </c>
      <c r="B207" s="158"/>
      <c r="C207" s="158"/>
      <c r="D207" s="121">
        <v>314641.06593406596</v>
      </c>
      <c r="E207" s="72">
        <v>2151288</v>
      </c>
      <c r="F207" s="72">
        <v>706008734.30991554</v>
      </c>
      <c r="G207" s="31">
        <v>300672164.6999799</v>
      </c>
      <c r="H207" s="31">
        <v>15068.48076923077</v>
      </c>
      <c r="I207" s="31">
        <v>1565097.6607719781</v>
      </c>
      <c r="J207" s="121">
        <v>3307990.826923077</v>
      </c>
      <c r="K207" s="72">
        <v>11459762</v>
      </c>
      <c r="L207" s="72">
        <v>4249007413.1370935</v>
      </c>
      <c r="M207" s="31">
        <v>2068354680.5011399</v>
      </c>
      <c r="N207" s="31">
        <v>137864.37362637362</v>
      </c>
      <c r="O207" s="122">
        <v>1565097.6607719781</v>
      </c>
    </row>
    <row r="208" spans="1:26" x14ac:dyDescent="0.35">
      <c r="A208" s="157" t="s">
        <v>200</v>
      </c>
      <c r="B208" s="158"/>
      <c r="C208" s="158"/>
      <c r="D208" s="121">
        <v>214035.20930232559</v>
      </c>
      <c r="E208" s="72">
        <v>203178</v>
      </c>
      <c r="F208" s="72">
        <v>81642055.459986269</v>
      </c>
      <c r="G208" s="31">
        <v>37042614.749994136</v>
      </c>
      <c r="H208" s="31">
        <v>5539.7209302325582</v>
      </c>
      <c r="I208" s="31">
        <v>1089913.2004651164</v>
      </c>
      <c r="J208" s="121">
        <v>2464560.8372093025</v>
      </c>
      <c r="K208" s="72">
        <v>1348776</v>
      </c>
      <c r="L208" s="72">
        <v>533033559.3301084</v>
      </c>
      <c r="M208" s="31">
        <v>273294700.98987687</v>
      </c>
      <c r="N208" s="31">
        <v>96960.162790697679</v>
      </c>
      <c r="O208" s="122">
        <v>1089913.2004651164</v>
      </c>
    </row>
    <row r="209" spans="1:15" x14ac:dyDescent="0.35">
      <c r="A209" s="155" t="s">
        <v>108</v>
      </c>
      <c r="B209" s="156"/>
      <c r="C209" s="156"/>
      <c r="D209" s="129">
        <v>480246.50832778146</v>
      </c>
      <c r="E209" s="109">
        <v>14298175</v>
      </c>
      <c r="F209" s="109">
        <v>2299355720.2200189</v>
      </c>
      <c r="G209" s="110">
        <v>1019688983.8499984</v>
      </c>
      <c r="H209" s="110">
        <v>38401.065289806793</v>
      </c>
      <c r="I209" s="110">
        <v>1900287.836741518</v>
      </c>
      <c r="J209" s="129">
        <v>3551253.2518321117</v>
      </c>
      <c r="K209" s="109">
        <v>65071645</v>
      </c>
      <c r="L209" s="109">
        <v>12554449509.840277</v>
      </c>
      <c r="M209" s="110">
        <v>6215188003.2100048</v>
      </c>
      <c r="N209" s="110">
        <v>258618.49633577614</v>
      </c>
      <c r="O209" s="130">
        <v>1900287.836741518</v>
      </c>
    </row>
  </sheetData>
  <mergeCells count="25">
    <mergeCell ref="D184:I184"/>
    <mergeCell ref="J184:O184"/>
    <mergeCell ref="B64:N64"/>
    <mergeCell ref="O64:AA64"/>
    <mergeCell ref="A186:C186"/>
    <mergeCell ref="A187:C187"/>
    <mergeCell ref="A188:A204"/>
    <mergeCell ref="A205:C205"/>
    <mergeCell ref="A206:C206"/>
    <mergeCell ref="B201:C201"/>
    <mergeCell ref="B202:C202"/>
    <mergeCell ref="B203:C203"/>
    <mergeCell ref="B204:C204"/>
    <mergeCell ref="A209:C209"/>
    <mergeCell ref="B188:C188"/>
    <mergeCell ref="B189:C189"/>
    <mergeCell ref="B190:C190"/>
    <mergeCell ref="B191:B195"/>
    <mergeCell ref="B196:C196"/>
    <mergeCell ref="B197:C197"/>
    <mergeCell ref="B198:C198"/>
    <mergeCell ref="B199:C199"/>
    <mergeCell ref="B200:C200"/>
    <mergeCell ref="A207:C207"/>
    <mergeCell ref="A208:C208"/>
  </mergeCells>
  <conditionalFormatting sqref="AE66:AH85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66:D68 D71:D72 D74:D79 D83:D84 D8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{A7A4C435-9426-4AAF-A993-89D72F407E5A}</x14:id>
        </ext>
      </extLst>
    </cfRule>
  </conditionalFormatting>
  <conditionalFormatting pivot="1" sqref="C66:C68 C71:C72 C74:C79 C83:C84 C86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{C63CEEB5-F351-433F-BA41-F45C875B1ECF}</x14:id>
        </ext>
      </extLst>
    </cfRule>
  </conditionalFormatting>
  <conditionalFormatting pivot="1" sqref="B66:B68 B71:B72 B74:B79 B83:B84 B86">
    <cfRule type="dataBar" priority="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{F91B9551-1BE6-4032-B58F-F94EB1B1E6B2}</x14:id>
        </ext>
      </extLst>
    </cfRule>
  </conditionalFormatting>
  <conditionalFormatting pivot="1" sqref="Q66:Q68 Q71:Q72 Q74:Q79 Q83:Q84 Q8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{F62CABA9-4CCE-4FEF-9BCB-A7355D911B1F}</x14:id>
        </ext>
      </extLst>
    </cfRule>
  </conditionalFormatting>
  <conditionalFormatting pivot="1" sqref="P66:P68 P71:P72 P74:P79 P83:P84 P86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{4A68A333-2B75-4875-AD23-C116E5D01496}</x14:id>
        </ext>
      </extLst>
    </cfRule>
  </conditionalFormatting>
  <conditionalFormatting pivot="1" sqref="O66:O68 O71:O72 O74:O79 O83:O84 O86"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{C80B4CDE-64FD-4DDC-A8C4-91DD3E28D418}</x14:id>
        </ext>
      </extLst>
    </cfRule>
  </conditionalFormatting>
  <conditionalFormatting sqref="AE66:AH8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6:AH8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6:AH8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6:AH8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66:E87 R66:R8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{DCED1EBD-8F28-4C20-8C57-F4FA914AA331}</x14:id>
        </ext>
      </extLst>
    </cfRule>
  </conditionalFormatting>
  <conditionalFormatting sqref="AA193:AB194 Q186:T19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3:AE194">
    <cfRule type="colorScale" priority="22">
      <colorScale>
        <cfvo type="min"/>
        <cfvo type="max"/>
        <color rgb="FFFFEF9C"/>
        <color rgb="FF63BE7B"/>
      </colorScale>
    </cfRule>
  </conditionalFormatting>
  <conditionalFormatting sqref="AC193:AD194 U186:W198">
    <cfRule type="colorScale" priority="21">
      <colorScale>
        <cfvo type="min"/>
        <cfvo type="max"/>
        <color rgb="FFFFEF9C"/>
        <color rgb="FF63BE7B"/>
      </colorScale>
    </cfRule>
  </conditionalFormatting>
  <conditionalFormatting sqref="AF193:AF194 Y186:Z198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93:AH194 AA186:AA192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6:T19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86:R19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93:AA194 S186:S19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93:AB194 T186:T19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86:X198">
    <cfRule type="colorScale" priority="14">
      <colorScale>
        <cfvo type="min"/>
        <cfvo type="max"/>
        <color rgb="FFFFEF9C"/>
        <color rgb="FF63BE7B"/>
      </colorScale>
    </cfRule>
  </conditionalFormatting>
  <conditionalFormatting sqref="AK66:AK88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{BEFB2904-2518-4D03-B6AE-777EFF04B32A}</x14:id>
        </ext>
      </extLst>
    </cfRule>
  </conditionalFormatting>
  <conditionalFormatting sqref="AE86:AH8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6:AH8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6:AH8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86:AH8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7:AH8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7:AH8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7:AH8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87:AH8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8:AH8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8:AH8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8:AH8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88:AH8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4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7A4C435-9426-4AAF-A993-89D72F407E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D66:D68 D71:D72 D74:D79 D83:D84 D86</xm:sqref>
        </x14:conditionalFormatting>
        <x14:conditionalFormatting xmlns:xm="http://schemas.microsoft.com/office/excel/2006/main" pivot="1">
          <x14:cfRule type="dataBar" id="{C63CEEB5-F351-433F-BA41-F45C875B1E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C66:C68 C71:C72 C74:C79 C83:C84 C86</xm:sqref>
        </x14:conditionalFormatting>
        <x14:conditionalFormatting xmlns:xm="http://schemas.microsoft.com/office/excel/2006/main" pivot="1">
          <x14:cfRule type="dataBar" id="{F91B9551-1BE6-4032-B58F-F94EB1B1E6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B66:B68 B71:B72 B74:B79 B83:B84 B86</xm:sqref>
        </x14:conditionalFormatting>
        <x14:conditionalFormatting xmlns:xm="http://schemas.microsoft.com/office/excel/2006/main" pivot="1">
          <x14:cfRule type="dataBar" id="{F62CABA9-4CCE-4FEF-9BCB-A7355D911B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Q66:Q68 Q71:Q72 Q74:Q79 Q83:Q84 Q86</xm:sqref>
        </x14:conditionalFormatting>
        <x14:conditionalFormatting xmlns:xm="http://schemas.microsoft.com/office/excel/2006/main" pivot="1">
          <x14:cfRule type="dataBar" id="{4A68A333-2B75-4875-AD23-C116E5D014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P66:P68 P71:P72 P74:P79 P83:P84 P86</xm:sqref>
        </x14:conditionalFormatting>
        <x14:conditionalFormatting xmlns:xm="http://schemas.microsoft.com/office/excel/2006/main" pivot="1">
          <x14:cfRule type="dataBar" id="{C80B4CDE-64FD-4DDC-A8C4-91DD3E28D41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O66:O68 O71:O72 O74:O79 O83:O84 O86</xm:sqref>
        </x14:conditionalFormatting>
        <x14:conditionalFormatting xmlns:xm="http://schemas.microsoft.com/office/excel/2006/main" pivot="1">
          <x14:cfRule type="dataBar" id="{DCED1EBD-8F28-4C20-8C57-F4FA914AA3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E66:E87 R66:R87</xm:sqref>
        </x14:conditionalFormatting>
        <x14:conditionalFormatting xmlns:xm="http://schemas.microsoft.com/office/excel/2006/main">
          <x14:cfRule type="dataBar" id="{BEFB2904-2518-4D03-B6AE-777EFF04B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AK66:AK88</xm:sqref>
        </x14:conditionalFormatting>
      </x14:conditionalFormattings>
    </ex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Trading Sunum</vt:lpstr>
      <vt:lpstr>Trading</vt:lpstr>
      <vt:lpstr>offline vs online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Fatih Başol</dc:creator>
  <cp:lastModifiedBy>M.Hakan Ugur</cp:lastModifiedBy>
  <dcterms:created xsi:type="dcterms:W3CDTF">2026-02-10T06:20:21Z</dcterms:created>
  <dcterms:modified xsi:type="dcterms:W3CDTF">2026-02-15T19:36:02Z</dcterms:modified>
</cp:coreProperties>
</file>