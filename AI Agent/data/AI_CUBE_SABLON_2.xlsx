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ustomProperty2.bin" ContentType="application/vnd.openxmlformats-officedocument.spreadsheetml.customProperty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rt.sucakli\Desktop\"/>
    </mc:Choice>
  </mc:AlternateContent>
  <xr:revisionPtr revIDLastSave="0" documentId="13_ncr:1_{86384BE8-871F-4850-B6D7-26E91E2199A1}" xr6:coauthVersionLast="47" xr6:coauthVersionMax="47" xr10:uidLastSave="{00000000-0000-0000-0000-000000000000}"/>
  <bookViews>
    <workbookView xWindow="-120" yWindow="-120" windowWidth="29040" windowHeight="15720" activeTab="2" xr2:uid="{5D71E823-9670-464F-9CD6-D112009A61A1}"/>
  </bookViews>
  <sheets>
    <sheet name="Trading Sunum" sheetId="1" r:id="rId1"/>
    <sheet name="Trading" sheetId="2" r:id="rId2"/>
    <sheet name="offline vs online" sheetId="3" r:id="rId3"/>
  </sheets>
  <definedNames>
    <definedName name="Dilimleyici_DistrubitionChannelDesc3">#N/A</definedName>
    <definedName name="Dilimleyici_H_MainGroup1">#N/A</definedName>
    <definedName name="Dilimleyici_H_Merch">#N/A</definedName>
    <definedName name="Dilimleyici_H_SalesChannel3">#N/A</definedName>
    <definedName name="Dilimleyici_MainGroupDesc3">#N/A</definedName>
    <definedName name="Dilimleyici_MerchMonth2">#N/A</definedName>
    <definedName name="Dilimleyici_MerchMonth4">#N/A</definedName>
    <definedName name="Dilimleyici_MerchWeek2">#N/A</definedName>
    <definedName name="Dilimleyici_MerchWeek4">#N/A</definedName>
    <definedName name="Dilimleyici_MerchYear3">#N/A</definedName>
  </definedNames>
  <calcPr calcId="191029"/>
  <pivotCaches>
    <pivotCache cacheId="252" r:id="rId4"/>
    <pivotCache cacheId="268" r:id="rId5"/>
    <pivotCache cacheId="272" r:id="rId6"/>
    <pivotCache cacheId="275" r:id="rId7"/>
    <pivotCache cacheId="278" r:id="rId8"/>
  </pivotCaches>
  <extLst>
    <ext xmlns:x14="http://schemas.microsoft.com/office/spreadsheetml/2009/9/main" uri="{876F7934-8845-4945-9796-88D515C7AA90}">
      <x14:pivotCaches>
        <pivotCache cacheId="251" r:id="rId9"/>
        <pivotCache cacheId="271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8" i="3" l="1"/>
  <c r="Y198" i="3"/>
  <c r="X198" i="3"/>
  <c r="U198" i="3"/>
  <c r="T198" i="3"/>
  <c r="S198" i="3"/>
  <c r="R198" i="3"/>
  <c r="Q198" i="3"/>
  <c r="P198" i="3"/>
  <c r="Z197" i="3"/>
  <c r="Y197" i="3"/>
  <c r="X197" i="3"/>
  <c r="U197" i="3"/>
  <c r="T197" i="3"/>
  <c r="S197" i="3"/>
  <c r="R197" i="3"/>
  <c r="Q197" i="3"/>
  <c r="P197" i="3"/>
  <c r="Z196" i="3"/>
  <c r="Y196" i="3"/>
  <c r="X196" i="3"/>
  <c r="U196" i="3"/>
  <c r="T196" i="3"/>
  <c r="S196" i="3"/>
  <c r="R196" i="3"/>
  <c r="Q196" i="3"/>
  <c r="P196" i="3"/>
  <c r="Z195" i="3"/>
  <c r="Y195" i="3"/>
  <c r="X195" i="3"/>
  <c r="U195" i="3"/>
  <c r="T195" i="3"/>
  <c r="S195" i="3"/>
  <c r="R195" i="3"/>
  <c r="Q195" i="3"/>
  <c r="P195" i="3"/>
  <c r="Z194" i="3"/>
  <c r="Y194" i="3"/>
  <c r="X194" i="3"/>
  <c r="U194" i="3"/>
  <c r="T194" i="3"/>
  <c r="S194" i="3"/>
  <c r="R194" i="3"/>
  <c r="Q194" i="3"/>
  <c r="P194" i="3"/>
  <c r="Z193" i="3"/>
  <c r="Y193" i="3"/>
  <c r="X193" i="3"/>
  <c r="U193" i="3"/>
  <c r="T193" i="3"/>
  <c r="S193" i="3"/>
  <c r="R193" i="3"/>
  <c r="Q193" i="3"/>
  <c r="P193" i="3"/>
  <c r="Z192" i="3"/>
  <c r="Y192" i="3"/>
  <c r="X192" i="3"/>
  <c r="U192" i="3"/>
  <c r="T192" i="3"/>
  <c r="S192" i="3"/>
  <c r="R192" i="3"/>
  <c r="Q192" i="3"/>
  <c r="P192" i="3"/>
  <c r="Z191" i="3"/>
  <c r="Y191" i="3"/>
  <c r="X191" i="3"/>
  <c r="U191" i="3"/>
  <c r="T191" i="3"/>
  <c r="S191" i="3"/>
  <c r="R191" i="3"/>
  <c r="Q191" i="3"/>
  <c r="P191" i="3"/>
  <c r="Z190" i="3"/>
  <c r="Y190" i="3"/>
  <c r="X190" i="3"/>
  <c r="U190" i="3"/>
  <c r="T190" i="3"/>
  <c r="S190" i="3"/>
  <c r="R190" i="3"/>
  <c r="Q190" i="3"/>
  <c r="P190" i="3"/>
  <c r="Z189" i="3"/>
  <c r="Y189" i="3"/>
  <c r="X189" i="3"/>
  <c r="U189" i="3"/>
  <c r="T189" i="3"/>
  <c r="S189" i="3"/>
  <c r="R189" i="3"/>
  <c r="Q189" i="3"/>
  <c r="P189" i="3"/>
  <c r="Z188" i="3"/>
  <c r="Y188" i="3"/>
  <c r="X188" i="3"/>
  <c r="U188" i="3"/>
  <c r="T188" i="3"/>
  <c r="S188" i="3"/>
  <c r="R188" i="3"/>
  <c r="Q188" i="3"/>
  <c r="P188" i="3"/>
  <c r="Z187" i="3"/>
  <c r="Y187" i="3"/>
  <c r="X187" i="3"/>
  <c r="U187" i="3"/>
  <c r="T187" i="3"/>
  <c r="S187" i="3"/>
  <c r="R187" i="3"/>
  <c r="Q187" i="3"/>
  <c r="P187" i="3"/>
  <c r="Z186" i="3"/>
  <c r="Y186" i="3"/>
  <c r="X186" i="3"/>
  <c r="U186" i="3"/>
  <c r="T186" i="3"/>
  <c r="S186" i="3"/>
  <c r="R186" i="3"/>
  <c r="Q186" i="3"/>
  <c r="P186" i="3"/>
  <c r="AL88" i="3"/>
  <c r="AJ88" i="3"/>
  <c r="AI88" i="3"/>
  <c r="AK88" i="3" s="1"/>
  <c r="AH88" i="3"/>
  <c r="AG88" i="3"/>
  <c r="AF88" i="3"/>
  <c r="AE88" i="3"/>
  <c r="AD88" i="3"/>
  <c r="AL87" i="3"/>
  <c r="AJ87" i="3"/>
  <c r="AI87" i="3"/>
  <c r="AH87" i="3"/>
  <c r="AG87" i="3"/>
  <c r="AF87" i="3"/>
  <c r="AE87" i="3"/>
  <c r="AD87" i="3"/>
  <c r="AL86" i="3"/>
  <c r="AJ86" i="3"/>
  <c r="AI86" i="3"/>
  <c r="AK86" i="3" s="1"/>
  <c r="AH86" i="3"/>
  <c r="AG86" i="3"/>
  <c r="AF86" i="3"/>
  <c r="AE86" i="3"/>
  <c r="AD86" i="3"/>
  <c r="AL85" i="3"/>
  <c r="AJ85" i="3"/>
  <c r="AI85" i="3"/>
  <c r="AH85" i="3"/>
  <c r="AG85" i="3"/>
  <c r="AF85" i="3"/>
  <c r="AE85" i="3"/>
  <c r="AD85" i="3"/>
  <c r="AL84" i="3"/>
  <c r="AJ84" i="3"/>
  <c r="AI84" i="3"/>
  <c r="AK84" i="3" s="1"/>
  <c r="AH84" i="3"/>
  <c r="AG84" i="3"/>
  <c r="AF84" i="3"/>
  <c r="AE84" i="3"/>
  <c r="AD84" i="3"/>
  <c r="AL83" i="3"/>
  <c r="AJ83" i="3"/>
  <c r="AI83" i="3"/>
  <c r="AH83" i="3"/>
  <c r="AG83" i="3"/>
  <c r="AF83" i="3"/>
  <c r="AE83" i="3"/>
  <c r="AD83" i="3"/>
  <c r="AL82" i="3"/>
  <c r="AJ82" i="3"/>
  <c r="AK82" i="3" s="1"/>
  <c r="AI82" i="3"/>
  <c r="AH82" i="3"/>
  <c r="AG82" i="3"/>
  <c r="AF82" i="3"/>
  <c r="AE82" i="3"/>
  <c r="AD82" i="3"/>
  <c r="AL81" i="3"/>
  <c r="AJ81" i="3"/>
  <c r="AI81" i="3"/>
  <c r="AH81" i="3"/>
  <c r="AG81" i="3"/>
  <c r="AF81" i="3"/>
  <c r="AE81" i="3"/>
  <c r="AD81" i="3"/>
  <c r="AL80" i="3"/>
  <c r="AJ80" i="3"/>
  <c r="AI80" i="3"/>
  <c r="AK80" i="3" s="1"/>
  <c r="AH80" i="3"/>
  <c r="AG80" i="3"/>
  <c r="AF80" i="3"/>
  <c r="AE80" i="3"/>
  <c r="AD80" i="3"/>
  <c r="AL79" i="3"/>
  <c r="AJ79" i="3"/>
  <c r="AI79" i="3"/>
  <c r="AH79" i="3"/>
  <c r="AG79" i="3"/>
  <c r="AF79" i="3"/>
  <c r="AE79" i="3"/>
  <c r="AD79" i="3"/>
  <c r="AL78" i="3"/>
  <c r="AJ78" i="3"/>
  <c r="AI78" i="3"/>
  <c r="AH78" i="3"/>
  <c r="AG78" i="3"/>
  <c r="AF78" i="3"/>
  <c r="AE78" i="3"/>
  <c r="AD78" i="3"/>
  <c r="AL77" i="3"/>
  <c r="AJ77" i="3"/>
  <c r="AI77" i="3"/>
  <c r="AH77" i="3"/>
  <c r="AG77" i="3"/>
  <c r="AF77" i="3"/>
  <c r="AE77" i="3"/>
  <c r="AD77" i="3"/>
  <c r="AL76" i="3"/>
  <c r="AJ76" i="3"/>
  <c r="AI76" i="3"/>
  <c r="AH76" i="3"/>
  <c r="AG76" i="3"/>
  <c r="AF76" i="3"/>
  <c r="AE76" i="3"/>
  <c r="AD76" i="3"/>
  <c r="AL75" i="3"/>
  <c r="AJ75" i="3"/>
  <c r="AK75" i="3" s="1"/>
  <c r="AI75" i="3"/>
  <c r="AH75" i="3"/>
  <c r="AG75" i="3"/>
  <c r="AF75" i="3"/>
  <c r="AE75" i="3"/>
  <c r="AD75" i="3"/>
  <c r="AL74" i="3"/>
  <c r="AJ74" i="3"/>
  <c r="AI74" i="3"/>
  <c r="AH74" i="3"/>
  <c r="AG74" i="3"/>
  <c r="AF74" i="3"/>
  <c r="AE74" i="3"/>
  <c r="AD74" i="3"/>
  <c r="AL73" i="3"/>
  <c r="AJ73" i="3"/>
  <c r="AI73" i="3"/>
  <c r="AK73" i="3" s="1"/>
  <c r="AH73" i="3"/>
  <c r="AG73" i="3"/>
  <c r="AF73" i="3"/>
  <c r="AE73" i="3"/>
  <c r="AD73" i="3"/>
  <c r="AL72" i="3"/>
  <c r="AJ72" i="3"/>
  <c r="AK72" i="3" s="1"/>
  <c r="AI72" i="3"/>
  <c r="AH72" i="3"/>
  <c r="AG72" i="3"/>
  <c r="AF72" i="3"/>
  <c r="AE72" i="3"/>
  <c r="AD72" i="3"/>
  <c r="AL71" i="3"/>
  <c r="AJ71" i="3"/>
  <c r="AI71" i="3"/>
  <c r="AH71" i="3"/>
  <c r="AG71" i="3"/>
  <c r="AF71" i="3"/>
  <c r="AE71" i="3"/>
  <c r="AD71" i="3"/>
  <c r="AL70" i="3"/>
  <c r="AJ70" i="3"/>
  <c r="AI70" i="3"/>
  <c r="AK70" i="3" s="1"/>
  <c r="AH70" i="3"/>
  <c r="AG70" i="3"/>
  <c r="AF70" i="3"/>
  <c r="AE70" i="3"/>
  <c r="AD70" i="3"/>
  <c r="AL69" i="3"/>
  <c r="AJ69" i="3"/>
  <c r="AI69" i="3"/>
  <c r="AH69" i="3"/>
  <c r="AG69" i="3"/>
  <c r="AF69" i="3"/>
  <c r="AE69" i="3"/>
  <c r="AD69" i="3"/>
  <c r="AL68" i="3"/>
  <c r="AJ68" i="3"/>
  <c r="AI68" i="3"/>
  <c r="AK68" i="3" s="1"/>
  <c r="AH68" i="3"/>
  <c r="AG68" i="3"/>
  <c r="AF68" i="3"/>
  <c r="AE68" i="3"/>
  <c r="AD68" i="3"/>
  <c r="AL67" i="3"/>
  <c r="AJ67" i="3"/>
  <c r="AI67" i="3"/>
  <c r="AH67" i="3"/>
  <c r="AG67" i="3"/>
  <c r="AF67" i="3"/>
  <c r="AE67" i="3"/>
  <c r="AD67" i="3"/>
  <c r="AL66" i="3"/>
  <c r="AJ66" i="3"/>
  <c r="AK66" i="3" s="1"/>
  <c r="AI66" i="3"/>
  <c r="AH66" i="3"/>
  <c r="AG66" i="3"/>
  <c r="AF66" i="3"/>
  <c r="AE66" i="3"/>
  <c r="AD66" i="3"/>
  <c r="AD65" i="3"/>
  <c r="AW37" i="1"/>
  <c r="AV37" i="1"/>
  <c r="AW36" i="1"/>
  <c r="AV36" i="1"/>
  <c r="AW35" i="1"/>
  <c r="AV35" i="1"/>
  <c r="AW34" i="1"/>
  <c r="AV34" i="1"/>
  <c r="AW33" i="1"/>
  <c r="AV33" i="1"/>
  <c r="AW32" i="1"/>
  <c r="AV32" i="1"/>
  <c r="AW31" i="1"/>
  <c r="AV31" i="1"/>
  <c r="AW30" i="1"/>
  <c r="AV30" i="1"/>
  <c r="AW29" i="1"/>
  <c r="AV29" i="1"/>
  <c r="AW28" i="1"/>
  <c r="AV28" i="1"/>
  <c r="AW27" i="1"/>
  <c r="AV27" i="1"/>
  <c r="AW26" i="1"/>
  <c r="AV26" i="1"/>
  <c r="AW25" i="1"/>
  <c r="AV25" i="1"/>
  <c r="AW24" i="1"/>
  <c r="AV24" i="1"/>
  <c r="AW23" i="1"/>
  <c r="AV23" i="1"/>
  <c r="AW22" i="1"/>
  <c r="AV22" i="1"/>
  <c r="AW21" i="1"/>
  <c r="AV21" i="1"/>
  <c r="AW20" i="1"/>
  <c r="AV20" i="1"/>
  <c r="AW19" i="1"/>
  <c r="AV19" i="1"/>
  <c r="AW18" i="1"/>
  <c r="AV18" i="1"/>
  <c r="AW17" i="1"/>
  <c r="AV17" i="1"/>
  <c r="AW16" i="1"/>
  <c r="AV16" i="1"/>
  <c r="AK85" i="3" l="1"/>
  <c r="AK78" i="3"/>
  <c r="AK81" i="3"/>
  <c r="AK76" i="3"/>
  <c r="AK74" i="3"/>
  <c r="AK77" i="3"/>
  <c r="AK69" i="3"/>
  <c r="AK83" i="3"/>
  <c r="AK87" i="3"/>
  <c r="AK71" i="3"/>
  <c r="AK79" i="3"/>
  <c r="AK67" i="3"/>
  <c r="AW38" i="1"/>
  <c r="AV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A578B-8656-4111-AD79-0DFE387CFA1B}" odcFile="C:\Users\ibrahim.caliskan\Documents\Veri Kaynaklarım\DataHome CURE Model.odc" keepAlive="1" name="DataHome CURE Model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2" xr16:uid="{EF2A578B-8656-4111-AD79-0DFE387CFA1B}" odcFile="C:\Users\ibrahim.caliskan\Documents\Veri Kaynaklarım\DataHome CURE Model.odc" keepAlive="1" name="DataHome CURE Model1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3" xr16:uid="{EF2A578B-8656-4111-AD79-0DFE387CFA1B}" odcFile="C:\Users\ibrahim.caliskan\Documents\Veri Kaynaklarım\DataHome CURE Model.odc" keepAlive="1" name="DataHome CURE Model2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DataHome CURE Model2"/>
    <s v="{[Material].[MerchProduct].&amp;[Merch]}"/>
    <s v="{[Material].[TextileProduct].[All]}"/>
    <s v="{[SalesChannel].[DistrubitionChannelDesc].&amp;[Perakende Satış]}"/>
    <s v="{[SalesChannel].[CountryName].[All]}"/>
    <s v="{[Calendar].[LastNDays].&amp;[1],[Calendar].[LastNDays].&amp;[2],[Calendar].[LastNDays].&amp;[3],[Calendar].[LastNDays].&amp;[4],[Calendar].[LastNDays].&amp;[5],[Calendar].[LastNDays].&amp;[6],[Calendar].[LastNDays].&amp;[7]}"/>
    <s v="DataHome CURE Model"/>
    <s v="{[Calendar].[MerchYearMonth].[All]}"/>
    <s v="{[Store].[LocationCountry].[All]}"/>
    <s v="{[SalesChannel].[SalesOrgType].&amp;[İştirak]}"/>
    <s v="{[Material].[MaterialDesc].[All]}"/>
    <s v="DataHome CURE Model1"/>
    <s v="{[SalesChannel].[CountryName].&amp;[TÜRKİYE]}"/>
    <s v="{[Material].[H_MainGroup].[All]}"/>
    <s v="{[Calendar].[H_Merch].[All]}"/>
    <s v="{[Calendar].[LastNDays].&amp;[0],[Calendar].[LastNDays].&amp;[1],[Calendar].[LastNDays].&amp;[2],[Calendar].[LastNDays].&amp;[3],[Calendar].[LastNDays].&amp;[4],[Calendar].[LastNDays].&amp;[5],[Calendar].[LastNDays].&amp;[6],[Calendar].[LastNDays].&amp;[7],[Calendar].[LastNDays].&amp;[8],[Calendar].[LastNDays].&amp;[9],[Calendar].[LastNDays].&amp;[10],[Calendar].[LastNDays].&amp;[11],[Calendar].[LastNDays].&amp;[12],[Calendar].[LastNDays].&amp;[13],[Calendar].[LastNDays].&amp;[14]}"/>
    <s v="{[Calendar].[H_Merch].[MerchYearMonthName].&amp;[2025-Mart]}"/>
    <s v="{[Calendar].[MerchWeek].[All]}"/>
    <s v="{[Material].[MainGroupDesc].[All]}"/>
    <s v="{[Store].[LocationCountry].&amp;[TR]}"/>
    <s v="{[Material].[MainGroupDesc].&amp;[Aksesuar],[Material].[MainGroupDesc].&amp;[Banyo],[Material].[MainGroupDesc].&amp;[Battaniye],[Material].[MainGroupDesc].&amp;[Bebe - Çocuk],[Material].[MainGroupDesc].&amp;[Bornoz],[Material].[MainGroupDesc].&amp;[Ev Giysisi],[Material].[MainGroupDesc].&amp;[Halı - Kilim],[Material].[MainGroupDesc].&amp;[Havlu],[Material].[MainGroupDesc].&amp;[Kozmetik],[Material].[MainGroupDesc].&amp;[Masa Örtüsü],[Material].[MainGroupDesc].&amp;[Mobilya Satış],[Material].[MainGroupDesc].&amp;[Mutfak],[Material].[MainGroupDesc].&amp;[Nevresim],[Material].[MainGroupDesc].&amp;[Pike],[Material].[MainGroupDesc].&amp;[Pişirme],[Material].[MainGroupDesc].&amp;[Salon],[Material].[MainGroupDesc].&amp;[Yastık],[Material].[MainGroupDesc].&amp;[Yatak Örtüsü],[Material].[MainGroupDesc].&amp;[Yorgan],[Material].[MainGroupDesc].&amp;[#NA],[Material].[MainGroupDesc].&amp;[EBA],[Material].[MainGroupDesc].&amp;[Cafe],[Material].[MainGroupDesc].&amp;[Yatak],[Material].[MainGroupDesc].&amp;[Mobilya],[Material].[MainGroupDesc].&amp;[Planlama],[Material].[MainGroupDesc].&amp;[Pazarlama],[Material].[MainGroupDesc].&amp;[Yarı Mamul],[Material].[MainGroupDesc].&amp;[Entegrasyon],[Material].[MainGroupDesc].&amp;[Bilgi Sistemleri],[Material].[MainGroupDesc].&amp;[İnsan Kaynakları],[Material].[MainGroupDesc].&amp;[Mağaza Yatırım ve Proje]}"/>
    <s v="{[Material].[H_MainGroup].[MainGroupDesc].&amp;[Aksesuar],[Material].[H_MainGroup].[MainGroupDesc].&amp;[Banyo],[Material].[H_MainGroup].[MainGroupDesc].&amp;[Battaniye],[Material].[H_MainGroup].[MainGroupDesc].&amp;[Bebe - Çocuk],[Material].[H_MainGroup].[MainGroupDesc].&amp;[Bornoz],[Material].[H_MainGroup].[MainGroupDesc].&amp;[Ev Giysisi],[Material].[H_MainGroup].[MainGroupDesc].&amp;[Halı - Kilim],[Material].[H_MainGroup].[MainGroupDesc].&amp;[Havlu],[Material].[H_MainGroup].[MainGroupDesc].&amp;[Kozmetik],[Material].[H_MainGroup].[MainGroupDesc].&amp;[Masa Örtüsü],[Material].[H_MainGroup].[MainGroupDesc].&amp;[Mobilya Satış],[Material].[H_MainGroup].[MainGroupDesc].&amp;[Mutfak],[Material].[H_MainGroup].[MainGroupDesc].&amp;[Nevresim],[Material].[H_MainGroup].[MainGroupDesc].&amp;[Pike],[Material].[H_MainGroup].[MainGroupDesc].&amp;[Pişirme],[Material].[H_MainGroup].[MainGroupDesc].&amp;[Salon],[Material].[H_MainGroup].[MainGroupDesc].&amp;[Yastık],[Material].[H_MainGroup].[MainGroupDesc].&amp;[Yatak Örtüsü],[Material].[H_MainGroup].[MainGroupDesc].&amp;[Yorgan],[Material].[H_MainGroup].[MainGroupDesc].&amp;[Yatak],[Material].[H_MainGroup].[MainGroupDesc].&amp;[Mobilya],[Material].[H_MainGroup].[MainGroupDesc].&amp;[White Collection],[Material].[H_MainGroup].[MainGroupDesc].&amp;[Küçük Elektrikli Ev Aletleri]}"/>
    <s v="{[Calendar].[LastNWeeks].[All]}"/>
    <s v="{[Calendar].[H_Merch].[MerchYear].&amp;[2026]}"/>
    <s v="{[SalesChannel].[H_SalesChannel].[SalesOrgType].&amp;[İştirak].&amp;[TÜRKİYE]}"/>
  </metadataStrings>
  <mdxMetadata count="29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6" f="s">
      <ms ns="1" c="0"/>
    </mdx>
    <mdx n="6" f="s">
      <ms ns="7" c="0"/>
    </mdx>
    <mdx n="6" f="s">
      <ms ns="8" c="0"/>
    </mdx>
    <mdx n="6" f="s">
      <ms ns="9" c="0"/>
    </mdx>
    <mdx n="6" f="s">
      <ms ns="10" c="0"/>
    </mdx>
    <mdx n="11" f="s">
      <ms ns="12" c="0"/>
    </mdx>
    <mdx n="11" f="s">
      <ms ns="3" c="0"/>
    </mdx>
    <mdx n="11" f="s">
      <ms ns="9" c="0"/>
    </mdx>
    <mdx n="11" f="s">
      <ms ns="1" c="0"/>
    </mdx>
    <mdx n="11" f="s">
      <ms ns="13" c="0"/>
    </mdx>
    <mdx n="11" f="s">
      <ms ns="8" c="0"/>
    </mdx>
    <mdx n="11" f="s">
      <ms ns="14" c="0"/>
    </mdx>
    <mdx n="11" f="s">
      <ms ns="15" c="0"/>
    </mdx>
    <mdx n="11" f="s">
      <ms ns="16" c="0"/>
    </mdx>
    <mdx n="11" f="s">
      <ms ns="17" c="0"/>
    </mdx>
    <mdx n="11" f="s">
      <ms ns="18" c="0"/>
    </mdx>
    <mdx n="11" f="s">
      <ms ns="19" c="0"/>
    </mdx>
    <mdx n="11" f="s">
      <ms ns="20" c="0"/>
    </mdx>
    <mdx n="11" f="s">
      <ms ns="21" c="0"/>
    </mdx>
    <mdx n="6" f="s">
      <ms ns="22" c="0"/>
    </mdx>
    <mdx n="6" f="s">
      <ms ns="5" c="0"/>
    </mdx>
    <mdx n="6" f="s">
      <ms ns="23" c="0"/>
    </mdx>
    <mdx n="6" f="s">
      <ms ns="24" c="0"/>
    </mdx>
    <mdx n="6" f="s">
      <ms ns="3" c="0"/>
    </mdx>
  </mdx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<sst xmlns="http://schemas.openxmlformats.org/spreadsheetml/2006/main" count="1606" uniqueCount="846">
  <si>
    <t>MerchProduct</t>
  </si>
  <si>
    <t>Merch</t>
  </si>
  <si>
    <t>TextileProduct</t>
  </si>
  <si>
    <t>All</t>
  </si>
  <si>
    <t>DistrubitionChannelDesc</t>
  </si>
  <si>
    <t>Perakende Satış</t>
  </si>
  <si>
    <t>CountryName</t>
  </si>
  <si>
    <t>LastNDays</t>
  </si>
  <si>
    <t>(Birden Çok Öğe)</t>
  </si>
  <si>
    <t>STOK</t>
  </si>
  <si>
    <t>SATIŞ ADET</t>
  </si>
  <si>
    <t>TUTAR</t>
  </si>
  <si>
    <t>KAR</t>
  </si>
  <si>
    <t>KAR MARJI</t>
  </si>
  <si>
    <t>BİRİM MALİYET</t>
  </si>
  <si>
    <t>FİYAT</t>
  </si>
  <si>
    <t>COVER</t>
  </si>
  <si>
    <t>DEVİR HIZI</t>
  </si>
  <si>
    <t>GMROI</t>
  </si>
  <si>
    <t>İNDİRİM</t>
  </si>
  <si>
    <t>MARK UP</t>
  </si>
  <si>
    <t>FİŞ KONTROL</t>
  </si>
  <si>
    <t>GİRİŞ SAYISI</t>
  </si>
  <si>
    <t>BÜTÇE HEDEF</t>
  </si>
  <si>
    <t>Değerler</t>
  </si>
  <si>
    <t>CategoryLeader</t>
  </si>
  <si>
    <t>TribeLeader</t>
  </si>
  <si>
    <t>Ana Grup</t>
  </si>
  <si>
    <t>Alt Grup</t>
  </si>
  <si>
    <t>LY LFL Avg Store Stock Unit</t>
  </si>
  <si>
    <t>TY Avg Store Stock Unit</t>
  </si>
  <si>
    <t>LFL Store Stock Unit TYvsLY%</t>
  </si>
  <si>
    <t>LFL Stock Cost TYvsLY TRY%</t>
  </si>
  <si>
    <t>LY LFL Sales Unit</t>
  </si>
  <si>
    <t>TY Sales Unit</t>
  </si>
  <si>
    <t>LFL Sales Unit TYvsLY%</t>
  </si>
  <si>
    <t>LY LFL Sales Value TRY</t>
  </si>
  <si>
    <t>TY Sales Value TRY</t>
  </si>
  <si>
    <t>LFL Sales Value TYvsLY TRY%</t>
  </si>
  <si>
    <t>LFL Sales Profit TYvsLY TRY%</t>
  </si>
  <si>
    <t>LY LFL Gross Marjin TRY%</t>
  </si>
  <si>
    <t>TY Gross Marjin TRY%</t>
  </si>
  <si>
    <t>LY LFL Unit Cost TRY</t>
  </si>
  <si>
    <t>TY Unit Cost TRY</t>
  </si>
  <si>
    <t>LFL Unit Cost TYvsLY TRY%</t>
  </si>
  <si>
    <t>LY LFL Unit Sales Price TRY</t>
  </si>
  <si>
    <t>TY Unit Sales Price TRY</t>
  </si>
  <si>
    <t>LFL Unit Sales Price TYvsLY TRY%</t>
  </si>
  <si>
    <t>LY LFL Store Back Cover Unit</t>
  </si>
  <si>
    <t>TY Store Back Cover Unit</t>
  </si>
  <si>
    <t>LY Store Turnover Unit</t>
  </si>
  <si>
    <t>TY Store Turnover Unit</t>
  </si>
  <si>
    <t>LY GMROII LC</t>
  </si>
  <si>
    <t>TY GMROII LC</t>
  </si>
  <si>
    <t>TY Actual MarkDown TRY%</t>
  </si>
  <si>
    <t>LY Actual MarkUp TRY</t>
  </si>
  <si>
    <t>TY Actual MarkUp TRY</t>
  </si>
  <si>
    <t>LY LFL Invoice Count</t>
  </si>
  <si>
    <t>TY Invoice Count</t>
  </si>
  <si>
    <t>TY Customer Entry Count</t>
  </si>
  <si>
    <t>LY LFL Customer Entry Count</t>
  </si>
  <si>
    <t>TY Sales Budget Unit</t>
  </si>
  <si>
    <t>TY Sales Budget Value LC</t>
  </si>
  <si>
    <t>TY Sales Budget Profit Value LC</t>
  </si>
  <si>
    <t>V1</t>
  </si>
  <si>
    <t>V2</t>
  </si>
  <si>
    <t>KEA</t>
  </si>
  <si>
    <t>YEDEK PARÇA</t>
  </si>
  <si>
    <t>Sevgi Babacan</t>
  </si>
  <si>
    <t>Esat Müfettişoğlu</t>
  </si>
  <si>
    <t>Eda Şıvgın</t>
  </si>
  <si>
    <t>Sofra</t>
  </si>
  <si>
    <t>Gökhan Açıkgöz</t>
  </si>
  <si>
    <t>Sofra Takımları</t>
  </si>
  <si>
    <t>Merve Türkyılmaz</t>
  </si>
  <si>
    <t>Şule Kumbasar</t>
  </si>
  <si>
    <t>Pişirme</t>
  </si>
  <si>
    <t>Mutfak</t>
  </si>
  <si>
    <t>Toplam Esat Müfettişoğlu</t>
  </si>
  <si>
    <t>Nihal Kaya</t>
  </si>
  <si>
    <t>İlker Ölge</t>
  </si>
  <si>
    <t>Aksesuar</t>
  </si>
  <si>
    <t>Ömer Can Bengül</t>
  </si>
  <si>
    <t>Kozmetik</t>
  </si>
  <si>
    <t>Halı - Kilim</t>
  </si>
  <si>
    <t>Salon</t>
  </si>
  <si>
    <t>Toplam Nihal Kaya</t>
  </si>
  <si>
    <t>Simla Ünlü</t>
  </si>
  <si>
    <t>Aslıhan Köksal</t>
  </si>
  <si>
    <t>Nevresim</t>
  </si>
  <si>
    <t>Çarşaf</t>
  </si>
  <si>
    <t>Yorgan</t>
  </si>
  <si>
    <t>Yastık</t>
  </si>
  <si>
    <t>Fatma Gök İnce</t>
  </si>
  <si>
    <t>Havlu</t>
  </si>
  <si>
    <t>Banyo</t>
  </si>
  <si>
    <t>Bornoz</t>
  </si>
  <si>
    <t>White Collection</t>
  </si>
  <si>
    <t>Yatak Örtüsü</t>
  </si>
  <si>
    <t>Pike</t>
  </si>
  <si>
    <t>Battaniye</t>
  </si>
  <si>
    <t>Toplam Simla Ünlü</t>
  </si>
  <si>
    <t>Genel Toplam</t>
  </si>
  <si>
    <t>MerchYearMonth</t>
  </si>
  <si>
    <t>LocationCountry</t>
  </si>
  <si>
    <t>SalesOrgType</t>
  </si>
  <si>
    <t>İştirak</t>
  </si>
  <si>
    <t>H_Merch</t>
  </si>
  <si>
    <t>MaterialDesc</t>
  </si>
  <si>
    <t>Invoice</t>
  </si>
  <si>
    <t>Sales Unit</t>
  </si>
  <si>
    <t>Sales Value</t>
  </si>
  <si>
    <t>Profit</t>
  </si>
  <si>
    <t>Stock</t>
  </si>
  <si>
    <t>Cover</t>
  </si>
  <si>
    <t>Unit Price</t>
  </si>
  <si>
    <t>Gross Margin</t>
  </si>
  <si>
    <t>TR Stock</t>
  </si>
  <si>
    <t xml:space="preserve">LFL Change </t>
  </si>
  <si>
    <t>MainGroupDesc</t>
  </si>
  <si>
    <t>TY Sales Value LC</t>
  </si>
  <si>
    <t>LY LFL Sales Value LC</t>
  </si>
  <si>
    <t>TY Gross Profit LC</t>
  </si>
  <si>
    <t>LY Gross Profit LC</t>
  </si>
  <si>
    <t>TY Store Cover Unit</t>
  </si>
  <si>
    <t>LY Store Cover Unit</t>
  </si>
  <si>
    <t>TY Unit Sales Price LC</t>
  </si>
  <si>
    <t>LY LFL Unit Sales Price LC</t>
  </si>
  <si>
    <t>TY Gross Marjin LC%</t>
  </si>
  <si>
    <t>LY Gross Marjin LC%</t>
  </si>
  <si>
    <t>TY Avg DC Stock Unit</t>
  </si>
  <si>
    <t>LY Avg DC Stock Unit</t>
  </si>
  <si>
    <t>LFL Sales Value TYvsLY LC%</t>
  </si>
  <si>
    <t>LFL Sales Profit TYvsLY LC%</t>
  </si>
  <si>
    <t>TÜRKİYE</t>
  </si>
  <si>
    <t>H_MainGroup</t>
  </si>
  <si>
    <t>MerchWeek</t>
  </si>
  <si>
    <t>Date</t>
  </si>
  <si>
    <t>DayName</t>
  </si>
  <si>
    <t>TY Gross Invoice Count</t>
  </si>
  <si>
    <t>TY Return Invoice Count</t>
  </si>
  <si>
    <t>TY Sales Cost LC</t>
  </si>
  <si>
    <t>TY Avg Store Transit Stock Unit</t>
  </si>
  <si>
    <t>Salı</t>
  </si>
  <si>
    <t>Çarşamba</t>
  </si>
  <si>
    <t>Perşembe</t>
  </si>
  <si>
    <t>Cuma</t>
  </si>
  <si>
    <t>Cumartesi</t>
  </si>
  <si>
    <t>Pazar</t>
  </si>
  <si>
    <t>Pazartesi</t>
  </si>
  <si>
    <t>2025-Mart</t>
  </si>
  <si>
    <t>E - Ticaret</t>
  </si>
  <si>
    <t>Ülke Online Payı</t>
  </si>
  <si>
    <t>TY Avg Store Stock Unit %</t>
  </si>
  <si>
    <t>TY Sales Unit %</t>
  </si>
  <si>
    <t>TY Sales Value LC %</t>
  </si>
  <si>
    <t>TY Gross Profit LC2</t>
  </si>
  <si>
    <t>TY Sales Profit LC</t>
  </si>
  <si>
    <t>Birim marj Katkısı_Ecom</t>
  </si>
  <si>
    <t>Birim marj Katkısı_Offline</t>
  </si>
  <si>
    <t>Fark</t>
  </si>
  <si>
    <t>Ecom Ciro Payı</t>
  </si>
  <si>
    <t>TR</t>
  </si>
  <si>
    <t>MerchYear</t>
  </si>
  <si>
    <t>MerchYearMonthName</t>
  </si>
  <si>
    <t>MerchYearWeek</t>
  </si>
  <si>
    <t>Online GM %</t>
  </si>
  <si>
    <t>Offline GM %</t>
  </si>
  <si>
    <t>Online DH</t>
  </si>
  <si>
    <t>Offline DH</t>
  </si>
  <si>
    <t>2021</t>
  </si>
  <si>
    <t>2022</t>
  </si>
  <si>
    <t>2023</t>
  </si>
  <si>
    <t>2023-Ocak</t>
  </si>
  <si>
    <t>2023-Şubat</t>
  </si>
  <si>
    <t>2023-Mart</t>
  </si>
  <si>
    <t>2023-Nisan</t>
  </si>
  <si>
    <t>202314</t>
  </si>
  <si>
    <t>202315</t>
  </si>
  <si>
    <t>202316</t>
  </si>
  <si>
    <t>202317</t>
  </si>
  <si>
    <t>202318</t>
  </si>
  <si>
    <t>Toplam 2023-Nisan</t>
  </si>
  <si>
    <t>2023-Mayıs</t>
  </si>
  <si>
    <t>2023-Haziran</t>
  </si>
  <si>
    <t>2023-Temmuz</t>
  </si>
  <si>
    <t>2023-Ağustos</t>
  </si>
  <si>
    <t>2023-Eylül</t>
  </si>
  <si>
    <t>2023-Ekim</t>
  </si>
  <si>
    <t>2023-Kasım</t>
  </si>
  <si>
    <t>2023-Aralık</t>
  </si>
  <si>
    <t>Toplam 2023</t>
  </si>
  <si>
    <t>2024</t>
  </si>
  <si>
    <t>2025</t>
  </si>
  <si>
    <t>2026</t>
  </si>
  <si>
    <t>Dünya Markaları</t>
  </si>
  <si>
    <t>Sofra İçecek</t>
  </si>
  <si>
    <t>Sofra Sunum</t>
  </si>
  <si>
    <t>Store Stock Cost TyTWvsTyLW TRY%</t>
  </si>
  <si>
    <t>Store Stock Unit TyTWvsTyLW%</t>
  </si>
  <si>
    <t>Sales Unit TyTWvsTyLW%</t>
  </si>
  <si>
    <t>Sales Value TyTWvsTyLW TRY%</t>
  </si>
  <si>
    <t>Unit Sales Price TyTWvsTyLW TRY%</t>
  </si>
  <si>
    <t>SubGroupDesc</t>
  </si>
  <si>
    <t>Kahve Fincanı</t>
  </si>
  <si>
    <t>Kupa</t>
  </si>
  <si>
    <t>Bardak</t>
  </si>
  <si>
    <t>Çay Fincanı</t>
  </si>
  <si>
    <t>Kadeh</t>
  </si>
  <si>
    <t>Çay Seti</t>
  </si>
  <si>
    <t>Meşrubat Bardağı</t>
  </si>
  <si>
    <t>Çay-Kahve Takımı</t>
  </si>
  <si>
    <t>Çay Takımı</t>
  </si>
  <si>
    <t>Su Bardağı</t>
  </si>
  <si>
    <t>Pipetli Bardak</t>
  </si>
  <si>
    <t>Likör Bardağı</t>
  </si>
  <si>
    <t>Mug</t>
  </si>
  <si>
    <t>Şarap Kadehi</t>
  </si>
  <si>
    <t>Bira Bardağı</t>
  </si>
  <si>
    <t>Espresso Bardağı</t>
  </si>
  <si>
    <t>Detoks Bardağı</t>
  </si>
  <si>
    <t>Kokteyl Bardağı</t>
  </si>
  <si>
    <t>Nevresim Takımı</t>
  </si>
  <si>
    <t>Nevresim Seti</t>
  </si>
  <si>
    <t>Çocuk Nevresim Takım</t>
  </si>
  <si>
    <t>Bebe Nevresim Takımı</t>
  </si>
  <si>
    <t>Düz Çarşaf NVR TK</t>
  </si>
  <si>
    <t>Bebe Yastık Kılıfı</t>
  </si>
  <si>
    <t>Bebe Nevresim Seti</t>
  </si>
  <si>
    <t>Bebe Nevresim</t>
  </si>
  <si>
    <t>Çocuk Nevresim Seti</t>
  </si>
  <si>
    <t>Çay Makinesi</t>
  </si>
  <si>
    <t>Türk Kahve M.</t>
  </si>
  <si>
    <t>Stand Mikseri</t>
  </si>
  <si>
    <t>Kişisel Blender</t>
  </si>
  <si>
    <t>Sürahi Blender</t>
  </si>
  <si>
    <t>Airfryer</t>
  </si>
  <si>
    <t>Mini Blender Seti</t>
  </si>
  <si>
    <t>Multi Blender Seti</t>
  </si>
  <si>
    <t>Izgara Ve Tost M.</t>
  </si>
  <si>
    <t>Tost Makinesi</t>
  </si>
  <si>
    <t>Doğrayıcı</t>
  </si>
  <si>
    <t>El Blenderı</t>
  </si>
  <si>
    <t>Waffle Makinesi</t>
  </si>
  <si>
    <t>Filtre Kahve M.</t>
  </si>
  <si>
    <t>El Mikseri</t>
  </si>
  <si>
    <t>Su Isıtıcı</t>
  </si>
  <si>
    <t>Ekmek Kızartma M.</t>
  </si>
  <si>
    <t>Su Arıtma Sürahisi</t>
  </si>
  <si>
    <t>Su Arıtma Filtresi</t>
  </si>
  <si>
    <t>Masa Örtüsü</t>
  </si>
  <si>
    <t>Sunumluk</t>
  </si>
  <si>
    <t>Tepsi</t>
  </si>
  <si>
    <t>Sürahi</t>
  </si>
  <si>
    <t>Kase</t>
  </si>
  <si>
    <t>Servis Standı</t>
  </si>
  <si>
    <t>Çerezlik</t>
  </si>
  <si>
    <t>Amerikan Servis</t>
  </si>
  <si>
    <t>Cup</t>
  </si>
  <si>
    <t>Kayık Tabak</t>
  </si>
  <si>
    <t>Servis Tamamlayıcı</t>
  </si>
  <si>
    <t>Runner</t>
  </si>
  <si>
    <t>Pasta Tabağı</t>
  </si>
  <si>
    <t>Kahvaltılık</t>
  </si>
  <si>
    <t>Şişe</t>
  </si>
  <si>
    <t>Servis Tabağı</t>
  </si>
  <si>
    <t>Yağdanlık</t>
  </si>
  <si>
    <t>Kağıt Peçete</t>
  </si>
  <si>
    <t>Su Takımı</t>
  </si>
  <si>
    <t>Çukur Tabak</t>
  </si>
  <si>
    <t>Mutfak Seti</t>
  </si>
  <si>
    <t>Meşrubatlık</t>
  </si>
  <si>
    <t>Mutfak Önlüğü</t>
  </si>
  <si>
    <t>Kurulama Bezi</t>
  </si>
  <si>
    <t>Sunum Tahtası</t>
  </si>
  <si>
    <t>Peçete Halkası</t>
  </si>
  <si>
    <t>Misafir Peçetesi</t>
  </si>
  <si>
    <t>Tereyağlık</t>
  </si>
  <si>
    <t>Supla</t>
  </si>
  <si>
    <t>Kek Fanus</t>
  </si>
  <si>
    <t>Sosluk</t>
  </si>
  <si>
    <t>Salata Kasesi</t>
  </si>
  <si>
    <t>Bebe Mama Takımı</t>
  </si>
  <si>
    <t>Başucu Sürahi</t>
  </si>
  <si>
    <t>Peynir Tahtası</t>
  </si>
  <si>
    <t>Sunum Seti</t>
  </si>
  <si>
    <t>Buz Kovası</t>
  </si>
  <si>
    <t>Tatlı Tabağı</t>
  </si>
  <si>
    <t>Reçellik</t>
  </si>
  <si>
    <t>Sunum Kasesi</t>
  </si>
  <si>
    <t>Mutfak Bezi</t>
  </si>
  <si>
    <t>Çocuk Önlüğü</t>
  </si>
  <si>
    <t>Lokumluk</t>
  </si>
  <si>
    <t>Sunum Tabağı</t>
  </si>
  <si>
    <t>Piknik Çantası</t>
  </si>
  <si>
    <t>Kokteyl Seti</t>
  </si>
  <si>
    <t>Çocuk Fırın Eldiveni</t>
  </si>
  <si>
    <t>Supla Altı</t>
  </si>
  <si>
    <t>Tutaç</t>
  </si>
  <si>
    <t>Tuzluk</t>
  </si>
  <si>
    <t>Tabak</t>
  </si>
  <si>
    <t>Şekerlik</t>
  </si>
  <si>
    <t>Sehpa Örtüsü</t>
  </si>
  <si>
    <t>Mutfak Minderi</t>
  </si>
  <si>
    <t>Piknik Örtüsü.</t>
  </si>
  <si>
    <t>Karaf</t>
  </si>
  <si>
    <t>Pizza Tabağı</t>
  </si>
  <si>
    <t>Kurabiyelik</t>
  </si>
  <si>
    <t>Çorba Kasesi</t>
  </si>
  <si>
    <t>Aşçı Eldiven</t>
  </si>
  <si>
    <t>Peynir Tabağı</t>
  </si>
  <si>
    <t>Damacana Kılıfı</t>
  </si>
  <si>
    <t>Mutfak Masa Örtüsü</t>
  </si>
  <si>
    <t>Karaf Seti</t>
  </si>
  <si>
    <t>Dekoratif Şekerlik</t>
  </si>
  <si>
    <t>Peçete Yüzüğü</t>
  </si>
  <si>
    <t>Mutfak Runnerı</t>
  </si>
  <si>
    <t>Vazo</t>
  </si>
  <si>
    <t>Dekoratif Tepsi</t>
  </si>
  <si>
    <t>Çerçeve</t>
  </si>
  <si>
    <t>Banyo Seti</t>
  </si>
  <si>
    <t>Saklama Kutusu</t>
  </si>
  <si>
    <t>Dekoratif Kutu</t>
  </si>
  <si>
    <t>Dekoratif</t>
  </si>
  <si>
    <t>Sepet</t>
  </si>
  <si>
    <t>Çamaşır Sepeti</t>
  </si>
  <si>
    <t>Tek Dal Yapay Çiçek</t>
  </si>
  <si>
    <t>Şamdan</t>
  </si>
  <si>
    <t>Biblo</t>
  </si>
  <si>
    <t>Abajur</t>
  </si>
  <si>
    <t>Banyo Sıvı Sabunluk</t>
  </si>
  <si>
    <t>Dekoratif Aydınlatma</t>
  </si>
  <si>
    <t>Duş Kaydırmaz</t>
  </si>
  <si>
    <t>Kar Küresi</t>
  </si>
  <si>
    <t>Hurç</t>
  </si>
  <si>
    <t>Organizer</t>
  </si>
  <si>
    <t>Fener</t>
  </si>
  <si>
    <t>Dekoratif Obje</t>
  </si>
  <si>
    <t>Saksı</t>
  </si>
  <si>
    <t>Sıcak Su Torbası</t>
  </si>
  <si>
    <t>Masa Saati</t>
  </si>
  <si>
    <t>Mum</t>
  </si>
  <si>
    <t>Askılı Aksesuar</t>
  </si>
  <si>
    <t>Müzik Kutusu</t>
  </si>
  <si>
    <t>Kum Saati</t>
  </si>
  <si>
    <t>Duvar Aksesuarı</t>
  </si>
  <si>
    <t>Duvar Saati</t>
  </si>
  <si>
    <t>Mum Söndürme Aleti</t>
  </si>
  <si>
    <t>Dekoratif Peçetelik</t>
  </si>
  <si>
    <t>Kapı Süsü</t>
  </si>
  <si>
    <t>Mum Bakım Seti</t>
  </si>
  <si>
    <t>Kandil</t>
  </si>
  <si>
    <t>Vazolu Yapay Çiçek</t>
  </si>
  <si>
    <t>Alışveriş Çantası</t>
  </si>
  <si>
    <t>Yapay Ağaç</t>
  </si>
  <si>
    <t>Ayna</t>
  </si>
  <si>
    <t>Diş Fırçalık</t>
  </si>
  <si>
    <t>Şezlong</t>
  </si>
  <si>
    <t>Küllük</t>
  </si>
  <si>
    <t>Elbise Kılıfı</t>
  </si>
  <si>
    <t>Sandalye</t>
  </si>
  <si>
    <t>Tütsülük</t>
  </si>
  <si>
    <t>Sabunluk</t>
  </si>
  <si>
    <t>Sehpa.</t>
  </si>
  <si>
    <t>Ayakkabı Saklama Kts</t>
  </si>
  <si>
    <t>Oyuncak Sepeti</t>
  </si>
  <si>
    <t>Katlanır Tabure</t>
  </si>
  <si>
    <t>Tablo</t>
  </si>
  <si>
    <t>Kandil Yağı</t>
  </si>
  <si>
    <t>Duvar Süsü</t>
  </si>
  <si>
    <t>Hamak</t>
  </si>
  <si>
    <t>Kandil Fitili</t>
  </si>
  <si>
    <t>Fırçalı Faraş</t>
  </si>
  <si>
    <t>Temizlik Fırçası</t>
  </si>
  <si>
    <t>Takılık</t>
  </si>
  <si>
    <t>Keyif Tepsisi</t>
  </si>
  <si>
    <t>Maske</t>
  </si>
  <si>
    <t>Tavla</t>
  </si>
  <si>
    <t>Bebe Mama Önlüğü</t>
  </si>
  <si>
    <t>Cam Sileceği</t>
  </si>
  <si>
    <t>Çocuk Duvar Saati</t>
  </si>
  <si>
    <t>Bereket Kuşu</t>
  </si>
  <si>
    <t>Saç Bandı</t>
  </si>
  <si>
    <t>Kumbara</t>
  </si>
  <si>
    <t>Maske Kutusu</t>
  </si>
  <si>
    <t>Çocuk Maske</t>
  </si>
  <si>
    <t>Kapı Önü Ağırlığı</t>
  </si>
  <si>
    <t>Uyku Gözlüğü</t>
  </si>
  <si>
    <t>Yapay Çiçek</t>
  </si>
  <si>
    <t>Kalemlik</t>
  </si>
  <si>
    <t>Büyüteç</t>
  </si>
  <si>
    <t>Vakumlu Poşet</t>
  </si>
  <si>
    <t>Dekoratif Raf</t>
  </si>
  <si>
    <t>Süpürgelik</t>
  </si>
  <si>
    <t>Havluluk</t>
  </si>
  <si>
    <t>Ayakkabı Rampası</t>
  </si>
  <si>
    <t>Hesap Makinesi</t>
  </si>
  <si>
    <t>Cüzdan</t>
  </si>
  <si>
    <t>Mop</t>
  </si>
  <si>
    <t>Showroom Hibe</t>
  </si>
  <si>
    <t>Hobi Kumaşı</t>
  </si>
  <si>
    <t>Taç</t>
  </si>
  <si>
    <t>Armut Hamak</t>
  </si>
  <si>
    <t>Kurdele</t>
  </si>
  <si>
    <t>Kitap Tutucu</t>
  </si>
  <si>
    <t>Etamin</t>
  </si>
  <si>
    <t>Not Defteri</t>
  </si>
  <si>
    <t>Boyunluk</t>
  </si>
  <si>
    <t>Şemsiye</t>
  </si>
  <si>
    <t>Bebek Sepeti</t>
  </si>
  <si>
    <t>Bardak Tutacağı</t>
  </si>
  <si>
    <t>Canlı Çiçek</t>
  </si>
  <si>
    <t>Elbise Askısı</t>
  </si>
  <si>
    <t>Pet Yatağı</t>
  </si>
  <si>
    <t>Kitap Ayracı</t>
  </si>
  <si>
    <t>Bileklik</t>
  </si>
  <si>
    <t>Bereket Fili</t>
  </si>
  <si>
    <t>Saç Tokası</t>
  </si>
  <si>
    <t>Tuvalet Kağıtlığı</t>
  </si>
  <si>
    <t>Bebe Hurç</t>
  </si>
  <si>
    <t>Yılbaşı Aksesuar</t>
  </si>
  <si>
    <t>Askı</t>
  </si>
  <si>
    <t>Salıncak</t>
  </si>
  <si>
    <t>Çocuk Duvar Kağıdı</t>
  </si>
  <si>
    <t>Kapı Numarası</t>
  </si>
  <si>
    <t>Yoga Mat</t>
  </si>
  <si>
    <t>Lambader</t>
  </si>
  <si>
    <t>TV Battaniye</t>
  </si>
  <si>
    <t>Bebe Battaniye</t>
  </si>
  <si>
    <t>Çocuk Battaniye</t>
  </si>
  <si>
    <t>Yüz Havlusu</t>
  </si>
  <si>
    <t>Banyo Havlusu</t>
  </si>
  <si>
    <t>El Havlusu</t>
  </si>
  <si>
    <t>Ayak Havlusu</t>
  </si>
  <si>
    <t>Banyo Havlusu Takımı</t>
  </si>
  <si>
    <t>Çocuk Bornoz</t>
  </si>
  <si>
    <t>El Havlusu Seti</t>
  </si>
  <si>
    <t>Bornoz Seti</t>
  </si>
  <si>
    <t>Yüz Havlusu Seti</t>
  </si>
  <si>
    <t>Bebe Havlu</t>
  </si>
  <si>
    <t>Banyo Terliği</t>
  </si>
  <si>
    <t>Peştamal</t>
  </si>
  <si>
    <t>Plaj Havlusu</t>
  </si>
  <si>
    <t>Saç Bonesi</t>
  </si>
  <si>
    <t>Bebe Ağız Silme Bezi</t>
  </si>
  <si>
    <t>Bebe Banyo Havlu Set</t>
  </si>
  <si>
    <t>Bebe El Havlusu</t>
  </si>
  <si>
    <t>Bebek Ter Havlusu</t>
  </si>
  <si>
    <t>Bebe Banyo Havlusu</t>
  </si>
  <si>
    <t>Hediyelik Havlu</t>
  </si>
  <si>
    <t>Çocuk Plaj Havlusu</t>
  </si>
  <si>
    <t>Kutulu Havlu</t>
  </si>
  <si>
    <t>Havlu Seti</t>
  </si>
  <si>
    <t>Tencere</t>
  </si>
  <si>
    <t>Tencere Seti</t>
  </si>
  <si>
    <t>Tava</t>
  </si>
  <si>
    <t>Kek Kalıbı</t>
  </si>
  <si>
    <t>Sahan</t>
  </si>
  <si>
    <t>Fırın Kabı</t>
  </si>
  <si>
    <t>Fırın Tencere</t>
  </si>
  <si>
    <t>Tava Seti</t>
  </si>
  <si>
    <t>Bakraç</t>
  </si>
  <si>
    <t>Sos Tenceresi</t>
  </si>
  <si>
    <t>Pişir-Sakla Set</t>
  </si>
  <si>
    <t>Sahan Seti</t>
  </si>
  <si>
    <t>Kek Kalıp Set</t>
  </si>
  <si>
    <t>Pişirme Seti</t>
  </si>
  <si>
    <t>Tencere-Tava Seti</t>
  </si>
  <si>
    <t>Tart Kalıbı</t>
  </si>
  <si>
    <t>Grıll Tava</t>
  </si>
  <si>
    <t>Wok Tava</t>
  </si>
  <si>
    <t>Mini Tava</t>
  </si>
  <si>
    <t>Mini Tencere</t>
  </si>
  <si>
    <t>Çaydanlık</t>
  </si>
  <si>
    <t>Saklama Kabı</t>
  </si>
  <si>
    <t>Demleme Ürünleri</t>
  </si>
  <si>
    <t>Kavanoz</t>
  </si>
  <si>
    <t>Termos</t>
  </si>
  <si>
    <t>Mutfak Gereci</t>
  </si>
  <si>
    <t>Doğrayıcılar</t>
  </si>
  <si>
    <t>Yemek Hazırlama</t>
  </si>
  <si>
    <t>Servis Gereçleri</t>
  </si>
  <si>
    <t>Kesme Tahtası</t>
  </si>
  <si>
    <t>Değirmen</t>
  </si>
  <si>
    <t>Hazırlık Seti</t>
  </si>
  <si>
    <t>Moka Pot</t>
  </si>
  <si>
    <t>Yumurta Fırçası</t>
  </si>
  <si>
    <t>Fondü Seti</t>
  </si>
  <si>
    <t>Kağıt Havluluk</t>
  </si>
  <si>
    <t>Merdane</t>
  </si>
  <si>
    <t>Servis Kaşığı</t>
  </si>
  <si>
    <t>Çocuk Suluk</t>
  </si>
  <si>
    <t>Spagetti Kaşığı</t>
  </si>
  <si>
    <t>Poşet Klipsi</t>
  </si>
  <si>
    <t>Şişe Tıpası</t>
  </si>
  <si>
    <t>Ölçü Kaşığı</t>
  </si>
  <si>
    <t>Huni</t>
  </si>
  <si>
    <t>Bal Kavanozu</t>
  </si>
  <si>
    <t>Perforated Spatula</t>
  </si>
  <si>
    <t>Pizza Kesici</t>
  </si>
  <si>
    <t>İbrik</t>
  </si>
  <si>
    <t>Süt Potu</t>
  </si>
  <si>
    <t>Piknik Seti</t>
  </si>
  <si>
    <t>Isıtıcı</t>
  </si>
  <si>
    <t>Kurabiye Kutusu</t>
  </si>
  <si>
    <t>Kahve Ölçü Kaşığı</t>
  </si>
  <si>
    <t>Saklama Kabı Seti</t>
  </si>
  <si>
    <t>Yumurtalık</t>
  </si>
  <si>
    <t>Açacak</t>
  </si>
  <si>
    <t>Shaker</t>
  </si>
  <si>
    <t>Havan</t>
  </si>
  <si>
    <t>Çekmece Düzenleyici</t>
  </si>
  <si>
    <t>Sufle Kabı</t>
  </si>
  <si>
    <t>Ölçü Kabı</t>
  </si>
  <si>
    <t>Poşet Torbalığı</t>
  </si>
  <si>
    <t>Kavanoz Kapağı</t>
  </si>
  <si>
    <t>Ekmek Kutusu</t>
  </si>
  <si>
    <t>Hamur ruleti</t>
  </si>
  <si>
    <t>Kettle</t>
  </si>
  <si>
    <t>Düzenleyici Set</t>
  </si>
  <si>
    <t>Bardak Altı</t>
  </si>
  <si>
    <t>Bulaşık Seti</t>
  </si>
  <si>
    <t>Coffee Maker</t>
  </si>
  <si>
    <t>Piknik Sepeti</t>
  </si>
  <si>
    <t>Satır</t>
  </si>
  <si>
    <t>Çatal Bıçaklık</t>
  </si>
  <si>
    <t>Salata Seti</t>
  </si>
  <si>
    <t>Krep Tava</t>
  </si>
  <si>
    <t>Yemek Takımı</t>
  </si>
  <si>
    <t>Kahvaltı Takımı</t>
  </si>
  <si>
    <t>Pasta Seti</t>
  </si>
  <si>
    <t>Çatal Kaşık Bıçak Tk</t>
  </si>
  <si>
    <t>Çay Tabağı</t>
  </si>
  <si>
    <t>Yemek Bıçağı</t>
  </si>
  <si>
    <t>Yemek Çatalı</t>
  </si>
  <si>
    <t>Yemek Kaşığı</t>
  </si>
  <si>
    <t>Kokteyl Karıştırıcı</t>
  </si>
  <si>
    <t>Kokteyl Çatalı</t>
  </si>
  <si>
    <t>Tatlı Kaşığı</t>
  </si>
  <si>
    <t>Çay Kaşığı</t>
  </si>
  <si>
    <t>Tatlı Bıçağı</t>
  </si>
  <si>
    <t>Tatlı Çatalı</t>
  </si>
  <si>
    <t>Lastikli Çarşaf</t>
  </si>
  <si>
    <t>Yastık Kılıfı</t>
  </si>
  <si>
    <t>Lastikli Çarşaf Tkm</t>
  </si>
  <si>
    <t>Bebe Las. Çarşaf Tkm</t>
  </si>
  <si>
    <t>Çocuk Las.Çarşaf Tkm</t>
  </si>
  <si>
    <t>Bebe Lastikli Çarşaf</t>
  </si>
  <si>
    <t>Bebe Çarşaf Takımı</t>
  </si>
  <si>
    <t>Çubuklu Oda Kokusu</t>
  </si>
  <si>
    <t>Oda Spreyi</t>
  </si>
  <si>
    <t>Kokulu Mum</t>
  </si>
  <si>
    <t>Kokulu Kese</t>
  </si>
  <si>
    <t>Aromaterapi Set</t>
  </si>
  <si>
    <t>Kolonya</t>
  </si>
  <si>
    <t>El Kremi</t>
  </si>
  <si>
    <t>Oto Kokusu</t>
  </si>
  <si>
    <t>Tütsü</t>
  </si>
  <si>
    <t>Esansiyel Koku Yağı</t>
  </si>
  <si>
    <t>Çamaşır Kokusu</t>
  </si>
  <si>
    <t>Katı Sabun</t>
  </si>
  <si>
    <t>Koku Barı</t>
  </si>
  <si>
    <t>Vücut Losyonu</t>
  </si>
  <si>
    <t>Sıvı Sabun</t>
  </si>
  <si>
    <t>Nemlendirici Jel</t>
  </si>
  <si>
    <t>Body Mist</t>
  </si>
  <si>
    <t>Yüz Maskesi</t>
  </si>
  <si>
    <t>Kokulu Set</t>
  </si>
  <si>
    <t>Yüz &amp; Vücut Spreyi</t>
  </si>
  <si>
    <t>Duş Jeli</t>
  </si>
  <si>
    <t>Sprey Kolonya</t>
  </si>
  <si>
    <t>Sabun</t>
  </si>
  <si>
    <t>TEALIGHT MUM</t>
  </si>
  <si>
    <t>Makyaj Çantası</t>
  </si>
  <si>
    <t>Pudra Ponponu</t>
  </si>
  <si>
    <t>Katı Sabun Set</t>
  </si>
  <si>
    <t>Dezenfektan</t>
  </si>
  <si>
    <t>Su Torbası</t>
  </si>
  <si>
    <t>Parfüm</t>
  </si>
  <si>
    <t>Çok Amaçlı Kutu</t>
  </si>
  <si>
    <t>Kolonyalı Mendil</t>
  </si>
  <si>
    <t>Kokulu Taş</t>
  </si>
  <si>
    <t>Alez Yastık Kılıfı</t>
  </si>
  <si>
    <t>Kırlent Yastık</t>
  </si>
  <si>
    <t>Bebe Yastık</t>
  </si>
  <si>
    <t>Yastık Alezi</t>
  </si>
  <si>
    <t>Çocuk Yastık Kılıfı</t>
  </si>
  <si>
    <t>Dekoratif Yastık</t>
  </si>
  <si>
    <t>Çocuk Yastık</t>
  </si>
  <si>
    <t>Bel Yastığı</t>
  </si>
  <si>
    <t>Alez</t>
  </si>
  <si>
    <t>Bebe Yorgan</t>
  </si>
  <si>
    <t>Uyku Seti</t>
  </si>
  <si>
    <t>Yastık ve Yorgan Tk</t>
  </si>
  <si>
    <t>Bebe Alez</t>
  </si>
  <si>
    <t>Bebe Yorgan Set</t>
  </si>
  <si>
    <t>Yatak Pedi.</t>
  </si>
  <si>
    <t>Kırlent</t>
  </si>
  <si>
    <t>Koltuk Şalı</t>
  </si>
  <si>
    <t>Ev Terliği</t>
  </si>
  <si>
    <t>Sandalye Minderi</t>
  </si>
  <si>
    <t>Dolgulu Kırlent</t>
  </si>
  <si>
    <t>Çanta.</t>
  </si>
  <si>
    <t>Panduf Ev Botu</t>
  </si>
  <si>
    <t>Soket Çorap</t>
  </si>
  <si>
    <t>Panduf Ev Babeti</t>
  </si>
  <si>
    <t>Babet Çorap</t>
  </si>
  <si>
    <t>Patik Çorap</t>
  </si>
  <si>
    <t>Pijama Takımı</t>
  </si>
  <si>
    <t>Peluş Çorap</t>
  </si>
  <si>
    <t>Dekoratif Minder</t>
  </si>
  <si>
    <t>Sokak Terliği</t>
  </si>
  <si>
    <t>Yer Minderi</t>
  </si>
  <si>
    <t>Puf.</t>
  </si>
  <si>
    <t>Koltuk Örtüsü</t>
  </si>
  <si>
    <t>Plaj Terliği</t>
  </si>
  <si>
    <t>Ten Çorap</t>
  </si>
  <si>
    <t>Sneaker Çorap</t>
  </si>
  <si>
    <t>Sallanan Koltuk</t>
  </si>
  <si>
    <t>Dekoratif Koltuk</t>
  </si>
  <si>
    <t>Gecelik</t>
  </si>
  <si>
    <t>Plaj Çantası.</t>
  </si>
  <si>
    <t>Büyük Kırlent</t>
  </si>
  <si>
    <t>Bebe Çorap</t>
  </si>
  <si>
    <t>Çocuk Terliği</t>
  </si>
  <si>
    <t>Bebe Müslin Set</t>
  </si>
  <si>
    <t>Sabahlık</t>
  </si>
  <si>
    <t>Diğer</t>
  </si>
  <si>
    <t>Bebe Hediyelik Set</t>
  </si>
  <si>
    <t>Kısa Gecelik</t>
  </si>
  <si>
    <t>Çorap</t>
  </si>
  <si>
    <t>Dekoratif Puf</t>
  </si>
  <si>
    <t>Yaslanma Minderi</t>
  </si>
  <si>
    <t>Tül Perde</t>
  </si>
  <si>
    <t>Şort Takım</t>
  </si>
  <si>
    <t>Uzun Gecelik</t>
  </si>
  <si>
    <t>Berjer</t>
  </si>
  <si>
    <t>Bebe Kundak Set</t>
  </si>
  <si>
    <t>Tek Uzun Alt</t>
  </si>
  <si>
    <t>Çocuk Çanta</t>
  </si>
  <si>
    <t>Bebe Sandalyesi</t>
  </si>
  <si>
    <t>Seyahat Çantası</t>
  </si>
  <si>
    <t>Boxer</t>
  </si>
  <si>
    <t>Çocuk Çorap</t>
  </si>
  <si>
    <t>Braçol</t>
  </si>
  <si>
    <t>Deniz Şortu</t>
  </si>
  <si>
    <t>Duvar Kağıdı</t>
  </si>
  <si>
    <t>Eldiven</t>
  </si>
  <si>
    <t>Pijama Üst</t>
  </si>
  <si>
    <t>Ev Elbisesi</t>
  </si>
  <si>
    <t>Bebe Uyku Tulumu</t>
  </si>
  <si>
    <t>Bebe Örtü</t>
  </si>
  <si>
    <t>Fanila</t>
  </si>
  <si>
    <t>Plaj Elbisesi</t>
  </si>
  <si>
    <t>Fon Perde</t>
  </si>
  <si>
    <t>Bebe Puset Örtüsü</t>
  </si>
  <si>
    <t>Çocuk Boxer</t>
  </si>
  <si>
    <t>Hasır Çanta</t>
  </si>
  <si>
    <t>Panço</t>
  </si>
  <si>
    <t>İç Çamaşır Takımı</t>
  </si>
  <si>
    <t>Kapri Takım</t>
  </si>
  <si>
    <t>Bluz</t>
  </si>
  <si>
    <t>Ayaklı Tepsi</t>
  </si>
  <si>
    <t>Klozet Adaptörü</t>
  </si>
  <si>
    <t>Plaj Pantolonu</t>
  </si>
  <si>
    <t>Bebe Şapka</t>
  </si>
  <si>
    <t>Bebe Body</t>
  </si>
  <si>
    <t>Çocuk Çarşaf</t>
  </si>
  <si>
    <t>Çocuk Atlet</t>
  </si>
  <si>
    <t>Tayt</t>
  </si>
  <si>
    <t>Bebe Önlük</t>
  </si>
  <si>
    <t>Bebe Alt Açma Yedek</t>
  </si>
  <si>
    <t>Düzenleyici</t>
  </si>
  <si>
    <t>Çocuk Pijama Takımı</t>
  </si>
  <si>
    <t>Şort</t>
  </si>
  <si>
    <t>Spor Tshirt</t>
  </si>
  <si>
    <t>Bebe Tulum</t>
  </si>
  <si>
    <t>Stor Perde</t>
  </si>
  <si>
    <t>Tek Alt</t>
  </si>
  <si>
    <t>Külot</t>
  </si>
  <si>
    <t>Çocuk Eldiven</t>
  </si>
  <si>
    <t>Küpe</t>
  </si>
  <si>
    <t>Çocuk Panço</t>
  </si>
  <si>
    <t>Omuz Şalı</t>
  </si>
  <si>
    <t>Atlet</t>
  </si>
  <si>
    <t>Evcil Hayvan Yatağı</t>
  </si>
  <si>
    <t>Banyo Paspası Seti</t>
  </si>
  <si>
    <t>Banyo Paspası</t>
  </si>
  <si>
    <t>Post</t>
  </si>
  <si>
    <t>Peluş Halı</t>
  </si>
  <si>
    <t>Dokuma Halı</t>
  </si>
  <si>
    <t>Dekoratif Halı</t>
  </si>
  <si>
    <t>Kapı Önü Paspası</t>
  </si>
  <si>
    <t>Makine Halısı</t>
  </si>
  <si>
    <t>Kilim</t>
  </si>
  <si>
    <t>Halı</t>
  </si>
  <si>
    <t>Mutfak Paspası</t>
  </si>
  <si>
    <t>Bebek Halısı</t>
  </si>
  <si>
    <t>Çocuk Halısı</t>
  </si>
  <si>
    <t>Dış Mekan Kilim</t>
  </si>
  <si>
    <t>Yatak Örtüsü Takımı</t>
  </si>
  <si>
    <t>Çok Amaçlı Örtü</t>
  </si>
  <si>
    <t>Bebe Yatak K. Koruma</t>
  </si>
  <si>
    <t>Pike Takımı</t>
  </si>
  <si>
    <t>Bebe Pike</t>
  </si>
  <si>
    <t>Çocuk Pike Takımı</t>
  </si>
  <si>
    <t>Pike Seti</t>
  </si>
  <si>
    <t>Çay Makinesi YP</t>
  </si>
  <si>
    <t>El Blen.Multi Set YP</t>
  </si>
  <si>
    <t>Sofra YP</t>
  </si>
  <si>
    <t>Stand Mikser YP</t>
  </si>
  <si>
    <t>Pişirme YP</t>
  </si>
  <si>
    <t>Türk Kahve M. YP</t>
  </si>
  <si>
    <t>El Mikseri YP</t>
  </si>
  <si>
    <t>Airfryer YP</t>
  </si>
  <si>
    <t>Filtre Kahve M.YP</t>
  </si>
  <si>
    <t>Waffle Makinesi YP</t>
  </si>
  <si>
    <t>Doğrayıcı YP</t>
  </si>
  <si>
    <t>Sürahi Blender YP</t>
  </si>
  <si>
    <t>Sarf YP</t>
  </si>
  <si>
    <t>Izgara ve Tost M. YP</t>
  </si>
  <si>
    <t>Kişisel Blender YP</t>
  </si>
  <si>
    <t>DM Doğrayıcılar</t>
  </si>
  <si>
    <t>LastNWeeks</t>
  </si>
  <si>
    <t>Cibinlik</t>
  </si>
  <si>
    <t>Nevr. ve Yastık Klf</t>
  </si>
  <si>
    <t>Dizüstü Tepsi</t>
  </si>
  <si>
    <t>Yağ-Sirke-Tuz-Bbr</t>
  </si>
  <si>
    <t>Kokteyl Peçetesi</t>
  </si>
  <si>
    <t>Tuzluk - Biberlik</t>
  </si>
  <si>
    <t>Katlı Servis</t>
  </si>
  <si>
    <t>Kahve Fincan Takımı</t>
  </si>
  <si>
    <t>Fincan</t>
  </si>
  <si>
    <t>Çay Bardağı</t>
  </si>
  <si>
    <t>Magnet</t>
  </si>
  <si>
    <t>El Aynası</t>
  </si>
  <si>
    <t>Şemsiyelik</t>
  </si>
  <si>
    <t>Not Panosu</t>
  </si>
  <si>
    <t>Güneş Kremi</t>
  </si>
  <si>
    <t>WHT Oda Spreyi</t>
  </si>
  <si>
    <t>Dolap İçi Koku</t>
  </si>
  <si>
    <t>Espresso Makinesi</t>
  </si>
  <si>
    <t>Saç Kurutma Makinesi</t>
  </si>
  <si>
    <t>Ütüleme Sistemleri</t>
  </si>
  <si>
    <t>Şarjlı Dikey Süpürge</t>
  </si>
  <si>
    <t>Kablolu Dikey Süpürg</t>
  </si>
  <si>
    <t>Kepçe</t>
  </si>
  <si>
    <t>El Rondosu</t>
  </si>
  <si>
    <t>Pipet</t>
  </si>
  <si>
    <t>Baharatlık</t>
  </si>
  <si>
    <t>Matara</t>
  </si>
  <si>
    <t>Bebe Bornoz</t>
  </si>
  <si>
    <t>Yatak Eteği</t>
  </si>
  <si>
    <t>Destekli Yastık</t>
  </si>
  <si>
    <t>Çocuk Yatak Örtü Tkm</t>
  </si>
  <si>
    <t>Bebe Yatak Koruma</t>
  </si>
  <si>
    <t>Sütyen</t>
  </si>
  <si>
    <t>Puset</t>
  </si>
  <si>
    <t>Bebe Pijama Takımı</t>
  </si>
  <si>
    <t>İçlik</t>
  </si>
  <si>
    <t>Kartela Kumaşı</t>
  </si>
  <si>
    <t>Çocuk Ev Ayakkabısı</t>
  </si>
  <si>
    <t>Çocuk Üst</t>
  </si>
  <si>
    <t>Klozet Seti</t>
  </si>
  <si>
    <t>DM Tencere</t>
  </si>
  <si>
    <t>DM Buharlı Ütü</t>
  </si>
  <si>
    <t>DM Buhar Kazanlı Ütü</t>
  </si>
  <si>
    <t>DM Torbasız Süpürge</t>
  </si>
  <si>
    <t>DM Şarjlı Dikey Süpü</t>
  </si>
  <si>
    <t>DM Tava</t>
  </si>
  <si>
    <t>DM Espresso Makinesi</t>
  </si>
  <si>
    <t>DM Tencere Seti</t>
  </si>
  <si>
    <t>DM Buharlı Düzleştir</t>
  </si>
  <si>
    <t>DM Filtre Kahve M.</t>
  </si>
  <si>
    <t>DM Bıçak</t>
  </si>
  <si>
    <t>DM Sahan</t>
  </si>
  <si>
    <t>DM Saklama Termosu</t>
  </si>
  <si>
    <t>DM Saklama Kabı</t>
  </si>
  <si>
    <t>DM Bıçak Seti</t>
  </si>
  <si>
    <t>DM Ekmek Kızartma M.</t>
  </si>
  <si>
    <t>DM Doğrayıcı</t>
  </si>
  <si>
    <t>DM Soyacak</t>
  </si>
  <si>
    <t>DM Bardak</t>
  </si>
  <si>
    <t>DM Tava Seti</t>
  </si>
  <si>
    <t>DMNarenciye Sıkacağı</t>
  </si>
  <si>
    <t>DM Stand Mikseri</t>
  </si>
  <si>
    <t>DM Izgara Ve Tost M.</t>
  </si>
  <si>
    <t>DM Sürahi Blender</t>
  </si>
  <si>
    <t>DM Değirmen</t>
  </si>
  <si>
    <t>DM Su Isıtıcı</t>
  </si>
  <si>
    <t>Saç Kurutma YP</t>
  </si>
  <si>
    <t>Şarjlı Süpürge YP.</t>
  </si>
  <si>
    <t>Elektrikli Süpürge Y</t>
  </si>
  <si>
    <t>SSH YP</t>
  </si>
  <si>
    <t>Su Isıtıcısı YP.</t>
  </si>
  <si>
    <t>Kozmetik YP</t>
  </si>
  <si>
    <t>Mutfak YP</t>
  </si>
  <si>
    <t>H_SalesChannel</t>
  </si>
  <si>
    <t>LW vs TW Change</t>
  </si>
  <si>
    <t>Achieved TY Sales Budget Unit</t>
  </si>
  <si>
    <t>KEA YP</t>
  </si>
  <si>
    <t>Achieved TY Sales Budget Value TRY</t>
  </si>
  <si>
    <t>Achieved TY Sales Budget Profit Value TRY</t>
  </si>
  <si>
    <t>Kek Standı</t>
  </si>
  <si>
    <t>Toplam Sofra Sunum</t>
  </si>
  <si>
    <t>Toplam Sofra İçecek</t>
  </si>
  <si>
    <t>Düdüklü Tencere Seti</t>
  </si>
  <si>
    <t>Toplam Pişirme</t>
  </si>
  <si>
    <t>Toplam Nevresim</t>
  </si>
  <si>
    <t>Toplam Aksesuar</t>
  </si>
  <si>
    <t>Toplam Sofra Takımları</t>
  </si>
  <si>
    <t>Toplam Mutfak</t>
  </si>
  <si>
    <t>Oyun Konsolları</t>
  </si>
  <si>
    <t>Toplam KEA</t>
  </si>
  <si>
    <t>Toplam Kozmetik</t>
  </si>
  <si>
    <t>Toplam Çarşaf</t>
  </si>
  <si>
    <t>Toplam Havlu</t>
  </si>
  <si>
    <t>Toplam Yorgan</t>
  </si>
  <si>
    <t>Toplam Yastık</t>
  </si>
  <si>
    <t>Toplam Yatak Örtüsü</t>
  </si>
  <si>
    <t>Toplam Battaniye</t>
  </si>
  <si>
    <t>Döşemelik Kumaş</t>
  </si>
  <si>
    <t>Toplam Salon</t>
  </si>
  <si>
    <t>Toplam Banyo</t>
  </si>
  <si>
    <t>Toplam Dünya Markaları</t>
  </si>
  <si>
    <t>Toplam Halı - Kilim</t>
  </si>
  <si>
    <t>Toplam Pike</t>
  </si>
  <si>
    <t>Toplam YEDEK PARÇA</t>
  </si>
  <si>
    <t>9</t>
  </si>
  <si>
    <t>23.02.2026</t>
  </si>
  <si>
    <t>24.02.2026</t>
  </si>
  <si>
    <t>25.02.2026</t>
  </si>
  <si>
    <t>26.02.2026</t>
  </si>
  <si>
    <t>27.02.2026</t>
  </si>
  <si>
    <t>28.02.2026</t>
  </si>
  <si>
    <t>1.03.2026</t>
  </si>
  <si>
    <t>Toplam 9</t>
  </si>
  <si>
    <t>10</t>
  </si>
  <si>
    <t>2.03.2026</t>
  </si>
  <si>
    <t>Toplam 10</t>
  </si>
  <si>
    <t>3.03.2026</t>
  </si>
  <si>
    <t>4.03.2026</t>
  </si>
  <si>
    <t>5.03.2026</t>
  </si>
  <si>
    <t>6.03.2026</t>
  </si>
  <si>
    <t>7.03.2026</t>
  </si>
  <si>
    <t>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</si>
</sst>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#,##0.0"/>
    <numFmt numFmtId="168" formatCode="0.0%;\-0.0%;0.0%"/>
    <numFmt numFmtId="169" formatCode="#,##0.0%;\-#,##0.0%;#,##0.0%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3" fontId="0" fillId="0" borderId="0" xfId="0" applyNumberFormat="1"/>
    <xf numFmtId="3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164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0" borderId="0" xfId="0" applyNumberFormat="1"/>
    <xf numFmtId="3" fontId="0" fillId="5" borderId="0" xfId="0" applyNumberFormat="1" applyFill="1"/>
    <xf numFmtId="166" fontId="0" fillId="0" borderId="0" xfId="0" applyNumberFormat="1"/>
    <xf numFmtId="4" fontId="0" fillId="0" borderId="0" xfId="0" applyNumberFormat="1"/>
    <xf numFmtId="168" fontId="0" fillId="0" borderId="0" xfId="0" applyNumberFormat="1"/>
    <xf numFmtId="0" fontId="4" fillId="0" borderId="0" xfId="0" applyFont="1"/>
    <xf numFmtId="9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164" fontId="4" fillId="7" borderId="13" xfId="0" applyNumberFormat="1" applyFont="1" applyFill="1" applyBorder="1" applyAlignment="1">
      <alignment horizontal="center" vertical="center" wrapText="1"/>
    </xf>
    <xf numFmtId="164" fontId="4" fillId="7" borderId="0" xfId="0" applyNumberFormat="1" applyFont="1" applyFill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 wrapText="1"/>
    </xf>
    <xf numFmtId="10" fontId="0" fillId="0" borderId="5" xfId="0" applyNumberFormat="1" applyBorder="1"/>
    <xf numFmtId="10" fontId="0" fillId="0" borderId="6" xfId="0" applyNumberFormat="1" applyBorder="1"/>
    <xf numFmtId="164" fontId="0" fillId="0" borderId="6" xfId="0" applyNumberFormat="1" applyBorder="1"/>
    <xf numFmtId="3" fontId="0" fillId="0" borderId="6" xfId="0" applyNumberFormat="1" applyBorder="1"/>
    <xf numFmtId="168" fontId="0" fillId="0" borderId="6" xfId="0" applyNumberFormat="1" applyBorder="1"/>
    <xf numFmtId="166" fontId="0" fillId="0" borderId="6" xfId="0" applyNumberFormat="1" applyBorder="1"/>
    <xf numFmtId="4" fontId="0" fillId="0" borderId="6" xfId="0" applyNumberFormat="1" applyBorder="1"/>
    <xf numFmtId="10" fontId="4" fillId="0" borderId="5" xfId="0" applyNumberFormat="1" applyFont="1" applyBorder="1"/>
    <xf numFmtId="4" fontId="0" fillId="0" borderId="7" xfId="0" applyNumberFormat="1" applyBorder="1"/>
    <xf numFmtId="165" fontId="0" fillId="0" borderId="0" xfId="2" applyNumberFormat="1" applyFont="1"/>
    <xf numFmtId="10" fontId="0" fillId="0" borderId="0" xfId="0" applyNumberFormat="1"/>
    <xf numFmtId="10" fontId="6" fillId="0" borderId="0" xfId="0" applyNumberFormat="1" applyFont="1"/>
    <xf numFmtId="9" fontId="0" fillId="0" borderId="0" xfId="2" applyFont="1"/>
    <xf numFmtId="10" fontId="0" fillId="0" borderId="8" xfId="0" applyNumberFormat="1" applyBorder="1"/>
    <xf numFmtId="4" fontId="0" fillId="0" borderId="9" xfId="0" applyNumberFormat="1" applyBorder="1"/>
    <xf numFmtId="0" fontId="0" fillId="0" borderId="10" xfId="0" applyBorder="1" applyAlignment="1">
      <alignment horizontal="center" vertical="center" wrapText="1"/>
    </xf>
    <xf numFmtId="10" fontId="0" fillId="0" borderId="1" xfId="0" applyNumberFormat="1" applyBorder="1"/>
    <xf numFmtId="10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168" fontId="0" fillId="0" borderId="2" xfId="0" applyNumberFormat="1" applyBorder="1"/>
    <xf numFmtId="166" fontId="0" fillId="0" borderId="2" xfId="0" applyNumberFormat="1" applyBorder="1"/>
    <xf numFmtId="4" fontId="0" fillId="0" borderId="2" xfId="0" applyNumberFormat="1" applyBorder="1"/>
    <xf numFmtId="4" fontId="0" fillId="0" borderId="3" xfId="0" applyNumberFormat="1" applyBorder="1"/>
    <xf numFmtId="0" fontId="6" fillId="0" borderId="0" xfId="0" applyFont="1"/>
    <xf numFmtId="0" fontId="0" fillId="0" borderId="1" xfId="0" applyBorder="1"/>
    <xf numFmtId="0" fontId="4" fillId="0" borderId="0" xfId="0" applyFont="1" applyAlignment="1">
      <alignment horizontal="centerContinuous"/>
    </xf>
    <xf numFmtId="164" fontId="0" fillId="0" borderId="5" xfId="0" applyNumberFormat="1" applyBorder="1"/>
    <xf numFmtId="3" fontId="0" fillId="0" borderId="7" xfId="0" applyNumberFormat="1" applyBorder="1"/>
    <xf numFmtId="43" fontId="0" fillId="0" borderId="0" xfId="1" applyFont="1"/>
    <xf numFmtId="164" fontId="0" fillId="0" borderId="8" xfId="0" applyNumberFormat="1" applyBorder="1"/>
    <xf numFmtId="3" fontId="0" fillId="0" borderId="9" xfId="0" applyNumberFormat="1" applyBorder="1"/>
    <xf numFmtId="164" fontId="0" fillId="8" borderId="8" xfId="0" applyNumberFormat="1" applyFill="1" applyBorder="1"/>
    <xf numFmtId="3" fontId="0" fillId="8" borderId="9" xfId="0" applyNumberFormat="1" applyFill="1" applyBorder="1"/>
    <xf numFmtId="164" fontId="0" fillId="9" borderId="8" xfId="0" applyNumberFormat="1" applyFill="1" applyBorder="1"/>
    <xf numFmtId="164" fontId="0" fillId="9" borderId="0" xfId="0" applyNumberFormat="1" applyFill="1"/>
    <xf numFmtId="3" fontId="0" fillId="9" borderId="0" xfId="0" applyNumberFormat="1" applyFill="1"/>
    <xf numFmtId="3" fontId="0" fillId="9" borderId="9" xfId="0" applyNumberFormat="1" applyFill="1" applyBorder="1"/>
    <xf numFmtId="164" fontId="0" fillId="0" borderId="1" xfId="0" applyNumberFormat="1" applyBorder="1"/>
    <xf numFmtId="3" fontId="0" fillId="0" borderId="3" xfId="0" applyNumberFormat="1" applyBorder="1"/>
    <xf numFmtId="0" fontId="0" fillId="0" borderId="0" xfId="0" pivotButton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5" xfId="0" pivotButton="1" applyBorder="1" applyAlignment="1">
      <alignment vertical="center" wrapText="1"/>
    </xf>
    <xf numFmtId="0" fontId="0" fillId="0" borderId="5" xfId="0" pivotButton="1" applyBorder="1" applyAlignment="1">
      <alignment horizontal="center" vertical="center" wrapText="1"/>
    </xf>
    <xf numFmtId="0" fontId="0" fillId="9" borderId="0" xfId="0" applyFill="1"/>
    <xf numFmtId="4" fontId="0" fillId="9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169" fontId="0" fillId="0" borderId="0" xfId="0" applyNumberFormat="1"/>
    <xf numFmtId="169" fontId="0" fillId="9" borderId="0" xfId="0" applyNumberFormat="1" applyFill="1"/>
    <xf numFmtId="0" fontId="0" fillId="0" borderId="0" xfId="0" applyAlignment="1">
      <alignment horizontal="center" vertical="top" wrapText="1"/>
    </xf>
    <xf numFmtId="0" fontId="0" fillId="0" borderId="0" xfId="0" pivotButton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/>
    </xf>
    <xf numFmtId="164" fontId="0" fillId="0" borderId="0" xfId="0" applyNumberFormat="1" applyBorder="1"/>
    <xf numFmtId="3" fontId="0" fillId="0" borderId="0" xfId="0" applyNumberFormat="1" applyBorder="1"/>
    <xf numFmtId="164" fontId="0" fillId="8" borderId="0" xfId="0" applyNumberFormat="1" applyFill="1" applyBorder="1"/>
    <xf numFmtId="3" fontId="0" fillId="8" borderId="0" xfId="0" applyNumberFormat="1" applyFill="1" applyBorder="1"/>
    <xf numFmtId="164" fontId="0" fillId="9" borderId="0" xfId="0" applyNumberFormat="1" applyFill="1" applyBorder="1"/>
    <xf numFmtId="3" fontId="0" fillId="9" borderId="0" xfId="0" applyNumberFormat="1" applyFill="1" applyBorder="1"/>
    <xf numFmtId="10" fontId="0" fillId="0" borderId="0" xfId="0" applyNumberFormat="1" applyBorder="1"/>
    <xf numFmtId="168" fontId="0" fillId="0" borderId="0" xfId="0" applyNumberFormat="1" applyBorder="1"/>
    <xf numFmtId="166" fontId="0" fillId="0" borderId="0" xfId="0" applyNumberFormat="1" applyBorder="1"/>
    <xf numFmtId="4" fontId="0" fillId="0" borderId="0" xfId="0" applyNumberFormat="1" applyBorder="1"/>
  </cellXfs>
  <cellStyles count="3">
    <cellStyle name="Normal" xfId="0" builtinId="0"/>
    <cellStyle name="Virgül" xfId="1" builtinId="3"/>
    <cellStyle name="Yüzde" xfId="2" builtinId="5"/>
  </cellStyles>
  <dxfs count="516"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alignment vertical="center"/>
    </dxf>
    <dxf>
      <alignment wrapText="1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3" formatCode="#,##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59999389629810485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font>
        <b/>
      </font>
    </dxf>
    <dxf>
      <alignment vertical="center"/>
    </dxf>
    <dxf>
      <alignment wrapText="1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3" formatCode="#,##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fill>
        <patternFill>
          <bgColor theme="3" tint="0.79998168889431442"/>
        </patternFill>
      </fill>
    </dxf>
    <dxf>
      <fill>
        <patternFill>
          <bgColor theme="6" tint="0.59999389629810485"/>
        </patternFill>
      </fill>
    </dxf>
    <dxf>
      <alignment horizontal="center" vertical="center" wrapText="1"/>
    </dxf>
    <dxf>
      <alignment horizontal="center" vertical="center" wrapText="1"/>
    </dxf>
    <dxf>
      <numFmt numFmtId="164" formatCode="_-* #,##0_-;\-* #,##0_-;_-* &quot;-&quot;??_-;_-@_-"/>
    </dxf>
    <dxf>
      <alignment horizontal="center" vertical="center" wrapText="1"/>
    </dxf>
    <dxf>
      <alignment vertical="top"/>
    </dxf>
    <dxf>
      <alignment horizontal="center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79998168889431442"/>
        </patternFill>
      </fill>
    </dxf>
    <dxf>
      <numFmt numFmtId="3" formatCode="#,##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3" formatCode="#,##0"/>
    </dxf>
    <dxf>
      <numFmt numFmtId="14" formatCode="0.00%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_-;\-* #,##0_-;_-* &quot;-&quot;??_-;_-@_-"/>
    </dxf>
    <dxf>
      <numFmt numFmtId="2" formatCode="0.00"/>
    </dxf>
    <dxf>
      <alignment horizontal="center" vertical="center"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</border>
    </dxf>
    <dxf>
      <border>
        <left/>
        <right/>
        <top/>
        <bottom/>
        <horizontal/>
      </border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</dxf>
    <dxf>
      <alignment wrapText="1"/>
    </dxf>
    <dxf>
      <alignment vertical="center"/>
    </dxf>
    <dxf>
      <alignment horizontal="center"/>
    </dxf>
    <dxf>
      <border>
        <left/>
        <right/>
        <top/>
        <bottom/>
        <horizontal/>
      </border>
    </dxf>
    <dxf>
      <numFmt numFmtId="165" formatCode="0.0%"/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horizontal/>
      </border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5" formatCode="0.0%"/>
    </dxf>
    <dxf>
      <alignment horizontal="center"/>
    </dxf>
    <dxf>
      <alignment vertical="center"/>
    </dxf>
    <dxf>
      <border>
        <left/>
        <right/>
        <top/>
        <bottom/>
        <horizontal/>
      </border>
    </dxf>
    <dxf>
      <numFmt numFmtId="167" formatCode="#,##0.0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4" formatCode="#,##0.00"/>
    </dxf>
    <dxf>
      <numFmt numFmtId="165" formatCode="0.0%"/>
    </dxf>
    <dxf>
      <alignment horizontal="center"/>
    </dxf>
    <dxf>
      <alignment vertical="center"/>
    </dxf>
    <dxf>
      <numFmt numFmtId="165" formatCode="0.0%"/>
    </dxf>
    <dxf>
      <alignment horizont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numFmt numFmtId="3" formatCode="#,##0"/>
    </dxf>
    <dxf>
      <numFmt numFmtId="164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vertical="top"/>
    </dxf>
    <dxf>
      <alignment horizontal="center" vertical="center" wrapText="1"/>
    </dxf>
    <dxf>
      <numFmt numFmtId="164" formatCode="_-* #,##0_-;\-* #,##0_-;_-* &quot;-&quot;??_-;_-@_-"/>
    </dxf>
    <dxf>
      <alignment horizontal="center" vertical="center" wrapText="1"/>
    </dxf>
    <dxf>
      <alignment horizontal="center" vertical="center" wrapText="1"/>
    </dxf>
    <dxf>
      <fill>
        <patternFill>
          <bgColor theme="6" tint="0.59999389629810485"/>
        </patternFill>
      </fill>
    </dxf>
    <dxf>
      <fill>
        <patternFill>
          <bgColor theme="3" tint="0.79998168889431442"/>
        </patternFill>
      </fill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EHM Dilimleyici Taslak" pivot="0" table="0" count="4" xr9:uid="{F04E949F-DF17-4ADD-9FE4-67B77E3CDB27}">
      <tableStyleElement type="wholeTable" dxfId="515"/>
      <tableStyleElement type="headerRow" dxfId="514"/>
    </tableStyle>
    <tableStyle name="EHM Taslak" table="0" count="8" xr9:uid="{D0CCD6C5-E124-49C3-A7C7-D33FB2988CF0}">
      <tableStyleElement type="headerRow" dxfId="513"/>
      <tableStyleElement type="totalRow" dxfId="512"/>
      <tableStyleElement type="firstColumn" dxfId="511"/>
      <tableStyleElement type="firstSubtotalRow" dxfId="510"/>
      <tableStyleElement type="secondSubtotalRow" dxfId="509"/>
      <tableStyleElement type="thirdSubtotalRow" dxfId="508"/>
      <tableStyleElement type="pageFieldLabels" dxfId="507"/>
      <tableStyleElement type="pageFieldValues" dxfId="506"/>
    </tableStyle>
  </tableStyle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5"/>
            </patternFill>
          </fill>
        </dxf>
        <dxf>
          <font>
            <b/>
            <i val="0"/>
            <color theme="1"/>
          </font>
          <fill>
            <patternFill>
              <bgColor theme="3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HM Dilimleyici Taslak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24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microsoft.com/office/2007/relationships/slicerCache" Target="slicerCaches/slicerCache5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19" Type="http://schemas.microsoft.com/office/2007/relationships/slicerCache" Target="slicerCaches/slicerCache9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4.xml"/><Relationship Id="rId22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582723</xdr:colOff>
      <xdr:row>0</xdr:row>
      <xdr:rowOff>31463</xdr:rowOff>
    </xdr:from>
    <xdr:to>
      <xdr:col>8</xdr:col>
      <xdr:colOff>501725</xdr:colOff>
      <xdr:row>6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Name 4">
              <a:extLst>
                <a:ext uri="{FF2B5EF4-FFF2-40B4-BE49-F238E27FC236}">
                  <a16:creationId xmlns:a16="http://schemas.microsoft.com/office/drawing/2014/main" id="{6FD82D16-FB02-4EEB-B771-B218E317DFF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Nam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834" y="28288"/>
              <a:ext cx="3966673" cy="115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45238</xdr:colOff>
      <xdr:row>0</xdr:row>
      <xdr:rowOff>31462</xdr:rowOff>
    </xdr:from>
    <xdr:to>
      <xdr:col>1</xdr:col>
      <xdr:colOff>551801</xdr:colOff>
      <xdr:row>6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strubitionChannelDesc 3">
              <a:extLst>
                <a:ext uri="{FF2B5EF4-FFF2-40B4-BE49-F238E27FC236}">
                  <a16:creationId xmlns:a16="http://schemas.microsoft.com/office/drawing/2014/main" id="{653C0F52-BBCB-4451-8B1E-3FE98583820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ubitionChannel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13" y="28287"/>
              <a:ext cx="1809674" cy="115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838559</xdr:colOff>
      <xdr:row>0</xdr:row>
      <xdr:rowOff>45547</xdr:rowOff>
    </xdr:from>
    <xdr:to>
      <xdr:col>17</xdr:col>
      <xdr:colOff>769248</xdr:colOff>
      <xdr:row>6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rchMonth 4">
              <a:extLst>
                <a:ext uri="{FF2B5EF4-FFF2-40B4-BE49-F238E27FC236}">
                  <a16:creationId xmlns:a16="http://schemas.microsoft.com/office/drawing/2014/main" id="{19B1F2F2-CF74-4A74-A4E2-C3F80EE3F2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Month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7880" y="48722"/>
              <a:ext cx="2546436" cy="11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806770</xdr:colOff>
      <xdr:row>0</xdr:row>
      <xdr:rowOff>45547</xdr:rowOff>
    </xdr:from>
    <xdr:to>
      <xdr:col>23</xdr:col>
      <xdr:colOff>0</xdr:colOff>
      <xdr:row>6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rchWeek 4">
              <a:extLst>
                <a:ext uri="{FF2B5EF4-FFF2-40B4-BE49-F238E27FC236}">
                  <a16:creationId xmlns:a16="http://schemas.microsoft.com/office/drawing/2014/main" id="{7FDD9D0E-6064-4E08-A61E-08F6D923866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Week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1838" y="48722"/>
              <a:ext cx="2687091" cy="11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543166</xdr:colOff>
      <xdr:row>0</xdr:row>
      <xdr:rowOff>45548</xdr:rowOff>
    </xdr:from>
    <xdr:to>
      <xdr:col>12</xdr:col>
      <xdr:colOff>761882</xdr:colOff>
      <xdr:row>6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rchYear 3">
              <a:extLst>
                <a:ext uri="{FF2B5EF4-FFF2-40B4-BE49-F238E27FC236}">
                  <a16:creationId xmlns:a16="http://schemas.microsoft.com/office/drawing/2014/main" id="{1D83F17D-8115-498F-8D9A-2C4F9823E0A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Yea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7598" y="48723"/>
              <a:ext cx="1963605" cy="1130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30</xdr:col>
      <xdr:colOff>28098</xdr:colOff>
      <xdr:row>0</xdr:row>
      <xdr:rowOff>31462</xdr:rowOff>
    </xdr:from>
    <xdr:to>
      <xdr:col>38</xdr:col>
      <xdr:colOff>713422</xdr:colOff>
      <xdr:row>6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inGroupDesc 5">
              <a:extLst>
                <a:ext uri="{FF2B5EF4-FFF2-40B4-BE49-F238E27FC236}">
                  <a16:creationId xmlns:a16="http://schemas.microsoft.com/office/drawing/2014/main" id="{B3F01700-F2D4-45CF-BC7B-E37CFEA9C1B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GroupDes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0202" y="28287"/>
              <a:ext cx="7842681" cy="115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415636</xdr:colOff>
      <xdr:row>0</xdr:row>
      <xdr:rowOff>86015</xdr:rowOff>
    </xdr:from>
    <xdr:to>
      <xdr:col>10</xdr:col>
      <xdr:colOff>516659</xdr:colOff>
      <xdr:row>9</xdr:row>
      <xdr:rowOff>87168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B4B93C85-3F29-45D3-BF0C-610AA6DAE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5779" y="82840"/>
              <a:ext cx="2442153" cy="1871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571497</xdr:colOff>
      <xdr:row>0</xdr:row>
      <xdr:rowOff>111990</xdr:rowOff>
    </xdr:from>
    <xdr:to>
      <xdr:col>15</xdr:col>
      <xdr:colOff>189777</xdr:colOff>
      <xdr:row>9</xdr:row>
      <xdr:rowOff>92362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inGroupDesc 3">
              <a:extLst>
                <a:ext uri="{FF2B5EF4-FFF2-40B4-BE49-F238E27FC236}">
                  <a16:creationId xmlns:a16="http://schemas.microsoft.com/office/drawing/2014/main" id="{E51F32D9-3991-4FAC-BCE0-90D1F365B9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Group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2770" y="111990"/>
              <a:ext cx="3047280" cy="18507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135657</xdr:colOff>
      <xdr:row>0</xdr:row>
      <xdr:rowOff>91787</xdr:rowOff>
    </xdr:from>
    <xdr:to>
      <xdr:col>20</xdr:col>
      <xdr:colOff>123391</xdr:colOff>
      <xdr:row>9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GroupDesc 3">
              <a:extLst>
                <a:ext uri="{FF2B5EF4-FFF2-40B4-BE49-F238E27FC236}">
                  <a16:creationId xmlns:a16="http://schemas.microsoft.com/office/drawing/2014/main" id="{DF32D370-EEE4-492F-BF27-0881B2877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Group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5930" y="88612"/>
              <a:ext cx="3731636" cy="1905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71005</xdr:colOff>
      <xdr:row>0</xdr:row>
      <xdr:rowOff>27132</xdr:rowOff>
    </xdr:from>
    <xdr:to>
      <xdr:col>4</xdr:col>
      <xdr:colOff>644956</xdr:colOff>
      <xdr:row>9</xdr:row>
      <xdr:rowOff>150090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rchMonth 2">
              <a:extLst>
                <a:ext uri="{FF2B5EF4-FFF2-40B4-BE49-F238E27FC236}">
                  <a16:creationId xmlns:a16="http://schemas.microsoft.com/office/drawing/2014/main" id="{12EC86EB-E9E7-46EC-A2D4-AEEB4FB0FB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2875" y="30307"/>
              <a:ext cx="1841354" cy="1990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547254</xdr:colOff>
      <xdr:row>0</xdr:row>
      <xdr:rowOff>87745</xdr:rowOff>
    </xdr:from>
    <xdr:to>
      <xdr:col>7</xdr:col>
      <xdr:colOff>545525</xdr:colOff>
      <xdr:row>9</xdr:row>
      <xdr:rowOff>92363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rchWeek 2">
              <a:extLst>
                <a:ext uri="{FF2B5EF4-FFF2-40B4-BE49-F238E27FC236}">
                  <a16:creationId xmlns:a16="http://schemas.microsoft.com/office/drawing/2014/main" id="{30324818-2B3C-4F57-A78A-B8AA4FB5C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Week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3352" y="84570"/>
              <a:ext cx="2232316" cy="1878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58697337963" backgroundQuery="1" createdVersion="8" refreshedVersion="8" minRefreshableVersion="3" recordCount="0" supportSubquery="1" supportAdvancedDrill="1" xr:uid="{08638922-5E7E-4F59-B023-9EF3577C1E77}">
  <cacheSource type="external" connectionId="3"/>
  <cacheFields count="58">
    <cacheField name="[SalesChannel].[DistrubitionChannelDesc].[DistrubitionChannelDesc]" caption="DistrubitionChannelDesc" numFmtId="0" hierarchy="142" level="1">
      <sharedItems count="1">
        <s v="[SalesChannel].[DistrubitionChannelDesc].&amp;[E - Ticaret]" c="E - Ticaret"/>
      </sharedItems>
    </cacheField>
    <cacheField name="[Measures].[TY Sales Unit]" caption="TY Sales Unit" numFmtId="0" hierarchy="856" level="32767"/>
    <cacheField name="[Measures].[TY Avg Store Stock Unit]" caption="TY Avg Store Stock Unit" numFmtId="0" hierarchy="763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Material].[H_MainGroup].[MainGroupDesc]" caption="MainGroupDesc" numFmtId="0" hierarchy="70" level="1">
      <sharedItems containsSemiMixedTypes="0" containsString="0"/>
    </cacheField>
    <cacheField name="[Material].[H_MainGroup].[SubGroupDesc]" caption="SubGroupDesc" numFmtId="0" hierarchy="70" level="2">
      <sharedItems containsSemiMixedTypes="0" containsString="0"/>
    </cacheField>
    <cacheField name="[Measures].[LY LFL Sales Unit]" caption="LY LFL Sales Unit" numFmtId="0" hierarchy="941" level="32767"/>
    <cacheField name="[Measures].[LY LFL Avg Store Stock Unit]" caption="LY LFL Avg Store Stock Unit" numFmtId="0" hierarchy="788" level="32767"/>
    <cacheField name="[Material].[MainGroupDesc].[MainGroupDesc]" caption="MainGroupDesc" numFmtId="0" hierarchy="76" level="1">
      <sharedItems count="23">
        <s v="[Material].[MainGroupDesc].&amp;[Sofra]" c="Sofra"/>
        <s v="[Material].[MainGroupDesc].&amp;[Sofra Sunum]" c="Sofra Sunum"/>
        <s v="[Material].[MainGroupDesc].&amp;[Sofra Takımları]" c="Sofra Takımları"/>
        <s v="[Material].[MainGroupDesc].&amp;[Sofra İçecek]" c="Sofra İçecek"/>
        <s v="[Material].[MainGroupDesc].&amp;[Dünya Markaları]" c="Dünya Markaları"/>
        <s v="[Material].[MainGroupDesc].&amp;[Mutfak]" c="Mutfak"/>
        <s v="[Material].[MainGroupDesc].&amp;[Pişirme]" c="Pişirme"/>
        <s v="[Material].[MainGroupDesc].&amp;[KEA]" c="KEA"/>
        <s v="[Material].[MainGroupDesc].&amp;[YEDEK PARÇA]" c="YEDEK PARÇA"/>
        <s v="[Material].[MainGroupDesc].&amp;[Aksesuar]" c="Aksesuar"/>
        <s v="[Material].[MainGroupDesc].&amp;[Halı - Kilim]" c="Halı - Kilim"/>
        <s v="[Material].[MainGroupDesc].&amp;[Kozmetik]" c="Kozmetik"/>
        <s v="[Material].[MainGroupDesc].&amp;[Salon]" c="Salon"/>
        <s v="[Material].[MainGroupDesc].&amp;[Çarşaf]" c="Çarşaf"/>
        <s v="[Material].[MainGroupDesc].&amp;[Nevresim]" c="Nevresim"/>
        <s v="[Material].[MainGroupDesc].&amp;[Yastık]" c="Yastık"/>
        <s v="[Material].[MainGroupDesc].&amp;[Yorgan]" c="Yorgan"/>
        <s v="[Material].[MainGroupDesc].&amp;[Banyo]" c="Banyo"/>
        <s v="[Material].[MainGroupDesc].&amp;[Battaniye]" c="Battaniye"/>
        <s v="[Material].[MainGroupDesc].&amp;[Havlu]" c="Havlu"/>
        <s v="[Material].[MainGroupDesc].&amp;[Pike]" c="Pike"/>
        <s v="[Material].[MainGroupDesc].&amp;[White Collection]" c="White Collection"/>
        <s v="[Material].[MainGroupDesc].&amp;[Yatak Örtüsü]" c="Yatak Örtüsü"/>
      </sharedItems>
    </cacheField>
    <cacheField name="[Material].[SubGroupDesc].[SubGroupDesc]" caption="SubGroupDesc" numFmtId="0" hierarchy="122" level="1">
      <sharedItems count="168">
        <s v="[Material].[SubGroupDesc].&amp;[Açacak]" c="Açacak"/>
        <s v="[Material].[SubGroupDesc].&amp;[Baharatlık]" c="Baharatlık"/>
        <s v="[Material].[SubGroupDesc].&amp;[Bakliyat Torbası]" c="Bakliyat Torbası"/>
        <s v="[Material].[SubGroupDesc].&amp;[Bakraç]" c="Bakraç"/>
        <s v="[Material].[SubGroupDesc].&amp;[Bal Kavanozu]" c="Bal Kavanozu"/>
        <s v="[Material].[SubGroupDesc].&amp;[Barbekü]" c="Barbekü"/>
        <s v="[Material].[SubGroupDesc].&amp;[Barbekü Izgarası]" c="Barbekü Izgarası"/>
        <s v="[Material].[SubGroupDesc].&amp;[Bardak Altı]" c="Bardak Altı"/>
        <s v="[Material].[SubGroupDesc].&amp;[Bardak Kapağı]" c="Bardak Kapağı"/>
        <s v="[Material].[SubGroupDesc].&amp;[Bıçak]" c="Bıçak"/>
        <s v="[Material].[SubGroupDesc].&amp;[Bisküvi Kutusu]" c="Bisküvi Kutusu"/>
        <s v="[Material].[SubGroupDesc].&amp;[Bulaşık Seti]" c="Bulaşık Seti"/>
        <s v="[Material].[SubGroupDesc].&amp;[Bulaşıklık]" c="Bulaşıklık"/>
        <s v="[Material].[SubGroupDesc].&amp;[Buz Kalıbı]" c="Buz Kalıbı"/>
        <s v="[Material].[SubGroupDesc].&amp;[Çatal Bıçaklık]" c="Çatal Bıçaklık"/>
        <s v="[Material].[SubGroupDesc].&amp;[Çay Kutusu]" c="Çay Kutusu"/>
        <s v="[Material].[SubGroupDesc].&amp;[Çay Saklama Kabı]" c="Çay Saklama Kabı"/>
        <s v="[Material].[SubGroupDesc].&amp;[Çaydanlık]" c="Çaydanlık"/>
        <s v="[Material].[SubGroupDesc].&amp;[Çaydanlık Sck Tutma]" c="Çaydanlık Sck Tutma"/>
        <s v="[Material].[SubGroupDesc].&amp;[Çekmece Düzenleyici]" c="Çekmece Düzenleyici"/>
        <s v="[Material].[SubGroupDesc].&amp;[Çeyiz Seti]" c="Çeyiz Seti"/>
        <s v="[Material].[SubGroupDesc].&amp;[Cezve]" c="Cezve"/>
        <s v="[Material].[SubGroupDesc].&amp;[Çikolata Kalıbı]" c="Çikolata Kalıbı"/>
        <s v="[Material].[SubGroupDesc].&amp;[Çırpıcı]" c="Çırpıcı"/>
        <s v="[Material].[SubGroupDesc].&amp;[Çocuk Suluk]" c="Çocuk Suluk"/>
        <s v="[Material].[SubGroupDesc].&amp;[Coffee Maker]" c="Coffee Maker"/>
        <s v="[Material].[SubGroupDesc].&amp;[Cupcake Kağıdı]" c="Cupcake Kağıdı"/>
        <s v="[Material].[SubGroupDesc].&amp;[Cupcake Set]" c="Cupcake Set"/>
        <s v="[Material].[SubGroupDesc].&amp;[Değirmen]" c="Değirmen"/>
        <s v="[Material].[SubGroupDesc].&amp;[Demlik]" c="Demlik"/>
        <s v="[Material].[SubGroupDesc].&amp;[Demlik Seti]" c="Demlik Seti"/>
        <s v="[Material].[SubGroupDesc].&amp;[Dondurma Kaşığı]" c="Dondurma Kaşığı"/>
        <s v="[Material].[SubGroupDesc].&amp;[Düdüklü Tencere]" c="Düdüklü Tencere"/>
        <s v="[Material].[SubGroupDesc].&amp;[Düzenleyici Set]" c="Düzenleyici Set"/>
        <s v="[Material].[SubGroupDesc].&amp;[Ekmek Kutusu]" c="Ekmek Kutusu"/>
        <s v="[Material].[SubGroupDesc].&amp;[Ekmek Torbası]" c="Ekmek Torbası"/>
        <s v="[Material].[SubGroupDesc].&amp;[El Rondosu]" c="El Rondosu"/>
        <s v="[Material].[SubGroupDesc].&amp;[Erzak Kabı]" c="Erzak Kabı"/>
        <s v="[Material].[SubGroupDesc].&amp;[Fındık Ceviz Kırcağı]" c="Fındık Ceviz Kırcağı"/>
        <s v="[Material].[SubGroupDesc].&amp;[Fırın Kabı]" c="Fırın Kabı"/>
        <s v="[Material].[SubGroupDesc].&amp;[Fırın Tencere]" c="Fırın Tencere"/>
        <s v="[Material].[SubGroupDesc].&amp;[Fondü Seti]" c="Fondü Seti"/>
        <s v="[Material].[SubGroupDesc].&amp;[French Press]" c="French Press"/>
        <s v="[Material].[SubGroupDesc].&amp;[Grıll Tava]" c="Grıll Tava"/>
        <s v="[Material].[SubGroupDesc].&amp;[Hamur ruleti]" c="Hamur ruleti"/>
        <s v="[Material].[SubGroupDesc].&amp;[Havan]" c="Havan"/>
        <s v="[Material].[SubGroupDesc].&amp;[Hazırlık Seti]" c="Hazırlık Seti"/>
        <s v="[Material].[SubGroupDesc].&amp;[Huni]" c="Huni"/>
        <s v="[Material].[SubGroupDesc].&amp;[İbrik]" c="İbrik"/>
        <s v="[Material].[SubGroupDesc].&amp;[Isıtıcı]" c="Isıtıcı"/>
        <s v="[Material].[SubGroupDesc].&amp;[Izgara Set]" c="Izgara Set"/>
        <s v="[Material].[SubGroupDesc].&amp;[Kağıt Havluluk]" c="Kağıt Havluluk"/>
        <s v="[Material].[SubGroupDesc].&amp;[Kahve Ölçü Kaşığı]" c="Kahve Ölçü Kaşığı"/>
        <s v="[Material].[SubGroupDesc].&amp;[Karıştırma Kabı]" c="Karıştırma Kabı"/>
        <s v="[Material].[SubGroupDesc].&amp;[Karıştır-Sakla Set]" c="Karıştır-Sakla Set"/>
        <s v="[Material].[SubGroupDesc].&amp;[Kaşıklık]" c="Kaşıklık"/>
        <s v="[Material].[SubGroupDesc].&amp;[Kavanoz]" c="Kavanoz"/>
        <s v="[Material].[SubGroupDesc].&amp;[Kavanoz Kapağı]" c="Kavanoz Kapağı"/>
        <s v="[Material].[SubGroupDesc].&amp;[Kavanoz Örtüsü]" c="Kavanoz Örtüsü"/>
        <s v="[Material].[SubGroupDesc].&amp;[Kavanoz Seti]" c="Kavanoz Seti"/>
        <s v="[Material].[SubGroupDesc].&amp;[Kavun Oyucu]" c="Kavun Oyucu"/>
        <s v="[Material].[SubGroupDesc].&amp;[Kek Kalıbı]" c="Kek Kalıbı"/>
        <s v="[Material].[SubGroupDesc].&amp;[Kek Kalıp Set]" c="Kek Kalıp Set"/>
        <s v="[Material].[SubGroupDesc].&amp;[Kek Spatula Seti]" c="Kek Spatula Seti"/>
        <s v="[Material].[SubGroupDesc].&amp;[Kek Spatulası]" c="Kek Spatulası"/>
        <s v="[Material].[SubGroupDesc].&amp;[Kepçe]" c="Kepçe"/>
        <s v="[Material].[SubGroupDesc].&amp;[Kesme Tahtası]" c="Kesme Tahtası"/>
        <s v="[Material].[SubGroupDesc].&amp;[Kestane Çizici]" c="Kestane Çizici"/>
        <s v="[Material].[SubGroupDesc].&amp;[Kettle]" c="Kettle"/>
        <s v="[Material].[SubGroupDesc].&amp;[Kevgir]" c="Kevgir"/>
        <s v="[Material].[SubGroupDesc].&amp;[Kızartma Tenceresi]" c="Kızartma Tenceresi"/>
        <s v="[Material].[SubGroupDesc].&amp;[Kova]" c="Kova"/>
        <s v="[Material].[SubGroupDesc].&amp;[Krema Pompası]" c="Krema Pompası"/>
        <s v="[Material].[SubGroupDesc].&amp;[Krep Tava]" c="Krep Tava"/>
        <s v="[Material].[SubGroupDesc].&amp;[Kupalık]" c="Kupalık"/>
        <s v="[Material].[SubGroupDesc].&amp;[Kurabiye Kalıbı]" c="Kurabiye Kalıbı"/>
        <s v="[Material].[SubGroupDesc].&amp;[Kurabiye Kutusu]" c="Kurabiye Kutusu"/>
        <s v="[Material].[SubGroupDesc].&amp;[Limon Sıkacağı]" c="Limon Sıkacağı"/>
        <s v="[Material].[SubGroupDesc].&amp;[Lunch box]" c="Lunch box"/>
        <s v="[Material].[SubGroupDesc].&amp;[Maşa]" c="Maşa"/>
        <s v="[Material].[SubGroupDesc].&amp;[Matara]" c="Matara"/>
        <s v="[Material].[SubGroupDesc].&amp;[Merdane]" c="Merdane"/>
        <s v="[Material].[SubGroupDesc].&amp;[Meşrubat Bardağı Set]" c="Meşrubat Bardağı Set"/>
        <s v="[Material].[SubGroupDesc].&amp;[Mikser Kabı]" c="Mikser Kabı"/>
        <s v="[Material].[SubGroupDesc].&amp;[Mini Tava]" c="Mini Tava"/>
        <s v="[Material].[SubGroupDesc].&amp;[Mini Tencere]" c="Mini Tencere"/>
        <s v="[Material].[SubGroupDesc].&amp;[Mısır Kovası]" c="Mısır Kovası"/>
        <s v="[Material].[SubGroupDesc].&amp;[Mısır Patlatma]" c="Mısır Patlatma"/>
        <s v="[Material].[SubGroupDesc].&amp;[Moka Pot]" c="Moka Pot"/>
        <s v="[Material].[SubGroupDesc].&amp;[Muffin Oyacağı]" c="Muffin Oyacağı"/>
        <s v="[Material].[SubGroupDesc].&amp;[Mutfak Çöp Kutusu]" c="Mutfak Çöp Kutusu"/>
        <s v="[Material].[SubGroupDesc].&amp;[Mutfak Düzenleyici]" c="Mutfak Düzenleyici"/>
        <s v="[Material].[SubGroupDesc].&amp;[Mutfak Gereci]" c="Mutfak Gereci"/>
        <s v="[Material].[SubGroupDesc].&amp;[Mutfak Saklama Kutu]" c="Mutfak Saklama Kutu"/>
        <s v="[Material].[SubGroupDesc].&amp;[Mutfak Sepeti]" c="Mutfak Sepeti"/>
        <s v="[Material].[SubGroupDesc].&amp;[Mutfak Sıvı Sabunluk]" c="Mutfak Sıvı Sabunluk"/>
        <s v="[Material].[SubGroupDesc].&amp;[Nar Ayık-Narency Sık]" c="Nar Ayık-Narency Sık"/>
        <s v="[Material].[SubGroupDesc].&amp;[Narenciye Sıkacağı]" c="Narenciye Sıkacağı"/>
        <s v="[Material].[SubGroupDesc].&amp;[Nihale]" c="Nihale"/>
        <s v="[Material].[SubGroupDesc].&amp;[Ölçü Kabı]" c="Ölçü Kabı"/>
        <s v="[Material].[SubGroupDesc].&amp;[Ölçü Kaşığı]" c="Ölçü Kaşığı"/>
        <s v="[Material].[SubGroupDesc].&amp;[Oto Termos]" c="Oto Termos"/>
        <s v="[Material].[SubGroupDesc].&amp;[Pankek Tavası]" c="Pankek Tavası"/>
        <s v="[Material].[SubGroupDesc].&amp;[Pasta - Börek Kabı]" c="Pasta - Börek Kabı"/>
        <s v="[Material].[SubGroupDesc].&amp;[Pasta Mumluğu]" c="Pasta Mumluğu"/>
        <s v="[Material].[SubGroupDesc].&amp;[Patates Dilimleyici]" c="Patates Dilimleyici"/>
        <s v="[Material].[SubGroupDesc].&amp;[Piknik Sepeti]" c="Piknik Sepeti"/>
        <s v="[Material].[SubGroupDesc].&amp;[Piknik Seti]" c="Piknik Seti"/>
        <s v="[Material].[SubGroupDesc].&amp;[Pilav Ve Tatlı Kalıp]" c="Pilav Ve Tatlı Kalıp"/>
        <s v="[Material].[SubGroupDesc].&amp;[Pişirme Seti]" c="Pişirme Seti"/>
        <s v="[Material].[SubGroupDesc].&amp;[Pişir-Sakla Set]" c="Pişir-Sakla Set"/>
        <s v="[Material].[SubGroupDesc].&amp;[Pizza Kesici]" c="Pizza Kesici"/>
        <s v="[Material].[SubGroupDesc].&amp;[Poşet Klipsi]" c="Poşet Klipsi"/>
        <s v="[Material].[SubGroupDesc].&amp;[Poşet Torbalığı]" c="Poşet Torbalığı"/>
        <s v="[Material].[SubGroupDesc].&amp;[Rende]" c="Rende"/>
        <s v="[Material].[SubGroupDesc].&amp;[Sac Tava]" c="Sac Tava"/>
        <s v="[Material].[SubGroupDesc].&amp;[Sahan]" c="Sahan"/>
        <s v="[Material].[SubGroupDesc].&amp;[Sahan Seti]" c="Sahan Seti"/>
        <s v="[Material].[SubGroupDesc].&amp;[Saklama Kabı]" c="Saklama Kabı"/>
        <s v="[Material].[SubGroupDesc].&amp;[Saklama Kabı Seti]" c="Saklama Kabı Seti"/>
        <s v="[Material].[SubGroupDesc].&amp;[Saklama Termosu]" c="Saklama Termosu"/>
        <s v="[Material].[SubGroupDesc].&amp;[Salata Kurutucu]" c="Salata Kurutucu"/>
        <s v="[Material].[SubGroupDesc].&amp;[Salata Maşası]" c="Salata Maşası"/>
        <s v="[Material].[SubGroupDesc].&amp;[Salata Servisi]" c="Salata Servisi"/>
        <s v="[Material].[SubGroupDesc].&amp;[Salata Seti]" c="Salata Seti"/>
        <s v="[Material].[SubGroupDesc].&amp;[Sarımsak Ezici]" c="Sarımsak Ezici"/>
        <s v="[Material].[SubGroupDesc].&amp;[Sarmsk Ez-Çekrdk Çık]" c="Sarmsk Ez-Çekrdk Çık"/>
        <s v="[Material].[SubGroupDesc].&amp;[Satır]" c="Satır"/>
        <s v="[Material].[SubGroupDesc].&amp;[Şeker Hmr Şekllendrc]" c="Şeker Hmr Şekllendrc"/>
        <s v="[Material].[SubGroupDesc].&amp;[Şeker Poşeti/Etiketi]" c="Şeker Poşeti/Etiketi"/>
        <s v="[Material].[SubGroupDesc].&amp;[Servis Gereci]" c="Servis Gereci"/>
        <s v="[Material].[SubGroupDesc].&amp;[Servis Kaşığı]" c="Servis Kaşığı"/>
        <s v="[Material].[SubGroupDesc].&amp;[Servis Seti]" c="Servis Seti"/>
        <s v="[Material].[SubGroupDesc].&amp;[Shaker]" c="Shaker"/>
        <s v="[Material].[SubGroupDesc].&amp;[Sılpat]" c="Sılpat"/>
        <s v="[Material].[SubGroupDesc].&amp;[Şişe Kapağı]" c="Şişe Kapağı"/>
        <s v="[Material].[SubGroupDesc].&amp;[Şişe Tıpası]" c="Şişe Tıpası"/>
        <s v="[Material].[SubGroupDesc].&amp;[Sofra Seti]" c="Sofra Seti"/>
        <s v="[Material].[SubGroupDesc].&amp;[Sos Tenceresi]" c="Sos Tenceresi"/>
        <s v="[Material].[SubGroupDesc].&amp;[Soyacak]" c="Soyacak"/>
        <s v="[Material].[SubGroupDesc].&amp;[Soyucu]" c="Soyucu"/>
        <s v="[Material].[SubGroupDesc].&amp;[Spagetti Kaşığı]" c="Spagetti Kaşığı"/>
        <s v="[Material].[SubGroupDesc].&amp;[Spatula]" c="Spatula"/>
        <s v="[Material].[SubGroupDesc].&amp;[Sufle Kabı]" c="Sufle Kabı"/>
        <s v="[Material].[SubGroupDesc].&amp;[Süngerlik]" c="Süngerlik"/>
        <s v="[Material].[SubGroupDesc].&amp;[Sürme Fırçası]" c="Sürme Fırçası"/>
        <s v="[Material].[SubGroupDesc].&amp;[Süt Potu]" c="Süt Potu"/>
        <s v="[Material].[SubGroupDesc].&amp;[Sütlük]" c="Sütlük"/>
        <s v="[Material].[SubGroupDesc].&amp;[Süzgeç]" c="Süzgeç"/>
        <s v="[Material].[SubGroupDesc].&amp;[Süzgeç Set]" c="Süzgeç Set"/>
        <s v="[Material].[SubGroupDesc].&amp;[Tabaklık]" c="Tabaklık"/>
        <s v="[Material].[SubGroupDesc].&amp;[Tart Kalıbı]" c="Tart Kalıbı"/>
        <s v="[Material].[SubGroupDesc].&amp;[Tatlı Kabı]" c="Tatlı Kabı"/>
        <s v="[Material].[SubGroupDesc].&amp;[Tava]" c="Tava"/>
        <s v="[Material].[SubGroupDesc].&amp;[Tava Seti]" c="Tava Seti"/>
        <s v="[Material].[SubGroupDesc].&amp;[Tencere]" c="Tencere"/>
        <s v="[Material].[SubGroupDesc].&amp;[Tencere Seti]" c="Tencere Seti"/>
        <s v="[Material].[SubGroupDesc].&amp;[Tencere-Tava Seti]" c="Tencere-Tava Seti"/>
        <s v="[Material].[SubGroupDesc].&amp;[Termos]" c="Termos"/>
        <s v="[Material].[SubGroupDesc].&amp;[Top Kek Süsü]" c="Top Kek Süsü"/>
        <s v="[Material].[SubGroupDesc].&amp;[Travel Mug]" c="Travel Mug"/>
        <s v="[Material].[SubGroupDesc].&amp;[Un Eleği]" c="Un Eleği"/>
        <s v="[Material].[SubGroupDesc].&amp;[Wok Tava]" c="Wok Tava"/>
        <s v="[Material].[SubGroupDesc].&amp;[Yardımcı Set]" c="Yardımcı Set"/>
        <s v="[Material].[SubGroupDesc].&amp;[Yedek Filtre]" c="Yedek Filtre"/>
        <s v="[Material].[SubGroupDesc].&amp;[Yumurta Fırçası]" c="Yumurta Fırçası"/>
        <s v="[Material].[SubGroupDesc].&amp;[Yumurta Saklama Kabı]" c="Yumurta Saklama Kabı"/>
        <s v="[Material].[SubGroupDesc].&amp;[Yumurtalık]" c="Yumurtalık"/>
      </sharedItems>
    </cacheField>
    <cacheField name="[Material].[FacricDesc].[FacricDesc]" caption="FacricDesc" numFmtId="0" hierarchy="68" level="1">
      <sharedItems count="38">
        <s v="[Material].[FacricDesc].&amp;[#]" c="#"/>
        <s v="[Material].[FacricDesc].&amp;[#NA]" c="#NA"/>
        <s v="[Material].[FacricDesc].&amp;[Antik Boyama]" c="Antik Boyama"/>
        <s v="[Material].[FacricDesc].&amp;[Bambu]" c="Bambu"/>
        <s v="[Material].[FacricDesc].&amp;[Bambu Pamuk]" c="Bambu Pamuk"/>
        <s v="[Material].[FacricDesc].&amp;[Bambu Saten]" c="Bambu Saten"/>
        <s v="[Material].[FacricDesc].&amp;[Bold Stripe Twill]" c="Bold Stripe Twill"/>
        <s v="[Material].[FacricDesc].&amp;[Çizgili Pamuk Saten]" c="Çizgili Pamuk Saten"/>
        <s v="[Material].[FacricDesc].&amp;[Dijital Pamuklu]" c="Dijital Pamuklu"/>
        <s v="[Material].[FacricDesc].&amp;[Düz Flamlı]" c="Düz Flamlı"/>
        <s v="[Material].[FacricDesc].&amp;[Fırfırlı Flamlı]" c="Fırfırlı Flamlı"/>
        <s v="[Material].[FacricDesc].&amp;[Flamlı Çizgili]" c="Flamlı Çizgili"/>
        <s v="[Material].[FacricDesc].&amp;[Flanel]" c="Flanel"/>
        <s v="[Material].[FacricDesc].&amp;[Gofre]" c="Gofre"/>
        <s v="[Material].[FacricDesc].&amp;[İpeksi Twill]" c="İpeksi Twill"/>
        <s v="[Material].[FacricDesc].&amp;[İpliği Boyalı]" c="İpliği Boyalı"/>
        <s v="[Material].[FacricDesc].&amp;[Kabartma Jakar]" c="Kabartma Jakar"/>
        <s v="[Material].[FacricDesc].&amp;[Kolay Ütülenir]" c="Kolay Ütülenir"/>
        <s v="[Material].[FacricDesc].&amp;[Krep]" c="Krep"/>
        <s v="[Material].[FacricDesc].&amp;[Melange Twill]" c="Melange Twill"/>
        <s v="[Material].[FacricDesc].&amp;[Müslin]" c="Müslin"/>
        <s v="[Material].[FacricDesc].&amp;[Pamuk]" c="Pamuk"/>
        <s v="[Material].[FacricDesc].&amp;[Pamuk Polyester]" c="Pamuk Polyester"/>
        <s v="[Material].[FacricDesc].&amp;[Pamuk Saten]" c="Pamuk Saten"/>
        <s v="[Material].[FacricDesc].&amp;[Pamuk Saten Wedding]" c="Pamuk Saten Wedding"/>
        <s v="[Material].[FacricDesc].&amp;[Pamuk/Keten]" c="Pamuk/Keten"/>
        <s v="[Material].[FacricDesc].&amp;[Pamuk/Viskon]" c="Pamuk/Viskon"/>
        <s v="[Material].[FacricDesc].&amp;[Pamuklu]" c="Pamuklu"/>
        <s v="[Material].[FacricDesc].&amp;[Parça boyama]" c="Parça boyama"/>
        <s v="[Material].[FacricDesc].&amp;[Parça Yıkamalı]" c="Parça Yıkamalı"/>
        <s v="[Material].[FacricDesc].&amp;[Penye]" c="Penye"/>
        <s v="[Material].[FacricDesc].&amp;[Polycotton]" c="Polycotton"/>
        <s v="[Material].[FacricDesc].&amp;[Poplin]" c="Poplin"/>
        <s v="[Material].[FacricDesc].&amp;[Saten]" c="Saten"/>
        <s v="[Material].[FacricDesc].&amp;[Simli Gofre]" c="Simli Gofre"/>
        <s v="[Material].[FacricDesc].&amp;[Twill Suit]" c="Twill Suit"/>
        <s v="[Material].[FacricDesc].&amp;[Waffle]" c="Waffle"/>
        <s v="[Material].[FacricDesc].&amp;[Winter Soft]" c="Winter Soft"/>
      </sharedItems>
    </cacheField>
    <cacheField name="[Material].[MaterialDesc].[MaterialDesc]" caption="MaterialDesc" numFmtId="0" hierarchy="82" level="1">
      <sharedItems count="27">
        <s v="[Material].[MaterialDesc].&amp;[Blue Blanc Nevresim Takımı 160x220 cm An]" c="Blue Blanc Nevresim Takımı 160x220 cm An"/>
        <s v="[Material].[MaterialDesc].&amp;[Blue Blanc Nevresim Takımı 160x220 cm Ma]" c="Blue Blanc Nevresim Takımı 160x220 cm Ma"/>
        <s v="[Material].[MaterialDesc].&amp;[Blue Blanc Nevresim Takımı 200x220 cm An]" c="Blue Blanc Nevresim Takımı 200x220 cm An"/>
        <s v="[Material].[MaterialDesc].&amp;[Blue Blanc Nevresim Takımı 200x220 cm Ma]" c="Blue Blanc Nevresim Takımı 200x220 cm Ma"/>
        <s v="[Material].[MaterialDesc].&amp;[Liberty Blossom Nevresim Takımı 160x220]" c="Liberty Blossom Nevresim Takımı 160x220"/>
        <s v="[Material].[MaterialDesc].&amp;[Liberty Blossom Nevresim Takımı 200x220]" c="Liberty Blossom Nevresim Takımı 200x220"/>
        <s v="[Material].[MaterialDesc].&amp;[Modest Nevresim Takımı 160x220 cm Gece M]" c="Modest Nevresim Takımı 160x220 cm Gece M"/>
        <s v="[Material].[MaterialDesc].&amp;[Modest Nevresim Takımı 160x220 cm Gül Ku]" c="Modest Nevresim Takımı 160x220 cm Gül Ku"/>
        <s v="[Material].[MaterialDesc].&amp;[Modest Nevresim Takımı 160x220 cm Kiremi]" c="Modest Nevresim Takımı 160x220 cm Kiremi"/>
        <s v="[Material].[MaterialDesc].&amp;[Modest Nevresim Takımı 160x220 cm Kömür]" c="Modest Nevresim Takımı 160x220 cm Kömür"/>
        <s v="[Material].[MaterialDesc].&amp;[Modest Nevresim Takımı 160x220 cm Petrol]" c="Modest Nevresim Takımı 160x220 cm Petrol"/>
        <s v="[Material].[MaterialDesc].&amp;[Modest Nevresim Takımı 160x220 cm Zeytin]" c="Modest Nevresim Takımı 160x220 cm Zeytin"/>
        <s v="[Material].[MaterialDesc].&amp;[Modest Nevresim Takımı 200x220 cm Gece M]" c="Modest Nevresim Takımı 200x220 cm Gece M"/>
        <s v="[Material].[MaterialDesc].&amp;[Modest Nevresim Takımı 200x220 cm Gül Ku]" c="Modest Nevresim Takımı 200x220 cm Gül Ku"/>
        <s v="[Material].[MaterialDesc].&amp;[Modest Nevresim Takımı 200x220 cm Kiremi]" c="Modest Nevresim Takımı 200x220 cm Kiremi"/>
        <s v="[Material].[MaterialDesc].&amp;[Modest Nevresim Takımı 200x220 cm Kömür]" c="Modest Nevresim Takımı 200x220 cm Kömür"/>
        <s v="[Material].[MaterialDesc].&amp;[Modest Nevresim Takımı 200x220 cm Petrol]" c="Modest Nevresim Takımı 200x220 cm Petrol"/>
        <s v="[Material].[MaterialDesc].&amp;[Oxford Nevresim Takımı 160x220 cm Lacive]" c="Oxford Nevresim Takımı 160x220 cm Lacive"/>
        <s v="[Material].[MaterialDesc].&amp;[Oxford Nevresim Takımı 200x220 cm Lacive]" c="Oxford Nevresim Takımı 200x220 cm Lacive"/>
        <s v="[Material].[MaterialDesc].&amp;[Petit Florets Nevresim Takımı 160x220 cm]" c="Petit Florets Nevresim Takımı 160x220 cm"/>
        <s v="[Material].[MaterialDesc].&amp;[Petit Florets Nevresim Takımı 200x220 cm]" c="Petit Florets Nevresim Takımı 200x220 cm"/>
        <s v="[Material].[MaterialDesc].&amp;[Pure Magnolia Nevresim Takımı 160x220 cm]" c="Pure Magnolia Nevresim Takımı 160x220 cm"/>
        <s v="[Material].[MaterialDesc].&amp;[Pure Magnolia Nevresim Takımı 200x220 cm]" c="Pure Magnolia Nevresim Takımı 200x220 cm"/>
        <s v="[Material].[MaterialDesc].&amp;[Romantic Bloom Nevresim Takımı 160x220 c]" c="Romantic Bloom Nevresim Takımı 160x220 c"/>
        <s v="[Material].[MaterialDesc].&amp;[Romantic Bloom Nevresim Takımı 200x220 c]" c="Romantic Bloom Nevresim Takımı 200x220 c"/>
        <s v="[Material].[MaterialDesc].&amp;[Romantic Ivy Nevresim Takımı 160x220 cm]" c="Romantic Ivy Nevresim Takımı 160x220 cm"/>
        <s v="[Material].[MaterialDesc].&amp;[Romantic Ivy Nevresim Takımı 200x220 cm]" c="Romantic Ivy Nevresim Takımı 200x220 cm"/>
      </sharedItems>
    </cacheField>
    <cacheField name="[Calendar].[MerchYear].[MerchYear]" caption="MerchYear" numFmtId="0" hierarchy="15" level="1">
      <sharedItems containsSemiMixedTypes="0" containsString="0"/>
    </cacheField>
    <cacheField name="[SalesChannel].[CountryName].[CountryName]" caption="CountryName" numFmtId="0" hierarchy="140" level="1">
      <sharedItems containsSemiMixedTypes="0" containsString="0"/>
    </cacheField>
    <cacheField name="[Measures].[TY Sales Value TRY]" caption="TY Sales Value TRY" numFmtId="0" hierarchy="866" level="32767"/>
    <cacheField name="[Measures].[LY LFL Sales Value TRY]" caption="LY LFL Sales Value TRY" numFmtId="0" hierarchy="951" level="32767"/>
    <cacheField name="[Measures].[TY Gross Marjin TRY%]" caption="TY Gross Marjin TRY%" numFmtId="0" hierarchy="1121" level="32767"/>
    <cacheField name="[Measures].[LY LFL Gross Marjin TRY%]" caption="LY LFL Gross Marjin TRY%" numFmtId="0" hierarchy="1131" level="32767"/>
    <cacheField name="[Material].[MerchProduct].[MerchProduct]" caption="MerchProduct" numFmtId="0" hierarchy="102" level="1">
      <sharedItems containsSemiMixedTypes="0" containsString="0"/>
    </cacheField>
    <cacheField name="[Material].[TextileProduct].[TextileProduct]" caption="TextileProduct" numFmtId="0" hierarchy="124" level="1">
      <sharedItems containsSemiMixedTypes="0" containsString="0"/>
    </cacheField>
    <cacheField name="[Measures].[TY Unit Cost TRY]" caption="TY Unit Cost TRY" numFmtId="0" hierarchy="983" level="32767"/>
    <cacheField name="[Measures].[TY Unit Sales Price TRY]" caption="TY Unit Sales Price TRY" numFmtId="0" hierarchy="982" level="32767"/>
    <cacheField name="[Measures].[TY Store Back Cover Unit]" caption="TY Store Back Cover Unit" numFmtId="0" hierarchy="1134" level="32767"/>
    <cacheField name="[Measures].[LFL Sales Unit TYvsLY%]" caption="LFL Sales Unit TYvsLY%" numFmtId="0" hierarchy="1187" level="32767"/>
    <cacheField name="[Measures].[LY LFL Unit Cost TRY]" caption="LY LFL Unit Cost TRY" numFmtId="0" hierarchy="992" level="32767"/>
    <cacheField name="[Measures].[LY LFL Unit Sales Price TRY]" caption="LY LFL Unit Sales Price TRY" numFmtId="0" hierarchy="991" level="32767"/>
    <cacheField name="[Measures].[LY LFL Store Back Cover Unit]" caption="LY LFL Store Back Cover Unit" numFmtId="0" hierarchy="1170" level="32767"/>
    <cacheField name="[Measures].[LFL Sales Value TYvsLY TRY%]" caption="LFL Sales Value TYvsLY TRY%" numFmtId="0" hierarchy="1189" level="32767"/>
    <cacheField name="[Measures].[LFL Sales Profit TYvsLY TRY%]" caption="LFL Sales Profit TYvsLY TRY%" numFmtId="0" hierarchy="1229" level="32767"/>
    <cacheField name="[Measures].[LFL Unit Cost TYvsLY TRY%]" caption="LFL Unit Cost TYvsLY TRY%" numFmtId="0" hierarchy="1209" level="32767"/>
    <cacheField name="[Measures].[LFL Unit Sales Price TYvsLY TRY%]" caption="LFL Unit Sales Price TYvsLY TRY%" numFmtId="0" hierarchy="1203" level="32767"/>
    <cacheField name="[Measures].[LFL Stock Cost TYvsLY TRY%]" caption="LFL Stock Cost TYvsLY TRY%" numFmtId="0" hierarchy="1197" level="32767"/>
    <cacheField name="[Measures].[LFL Store Stock Unit TYvsLY%]" caption="LFL Store Stock Unit TYvsLY%" numFmtId="0" hierarchy="1195" level="32767"/>
    <cacheField name="[Measures].[TY Store Turnover Unit]" caption="TY Store Turnover Unit" numFmtId="0" hierarchy="1135" level="32767"/>
    <cacheField name="[Measures].[LY Store Turnover Unit]" caption="LY Store Turnover Unit" numFmtId="0" hierarchy="1145" level="32767"/>
    <cacheField name="[Measures].[TY Actual MarkUp TRY]" caption="TY Actual MarkUp TRY" numFmtId="0" hierarchy="1158" level="32767"/>
    <cacheField name="[Measures].[TY Actual MarkDown TRY%]" caption="TY Actual MarkDown TRY%" numFmtId="0" hierarchy="1140" level="32767"/>
    <cacheField name="[Measures].[LY Actual MarkUp TRY]" caption="LY Actual MarkUp TRY" numFmtId="0" hierarchy="1161" level="32767"/>
    <cacheField name="[Measures].[TY Invoice Count]" caption="TY Invoice Count" numFmtId="0" hierarchy="873" level="32767"/>
    <cacheField name="[Measures].[LY LFL Invoice Count]" caption="LY LFL Invoice Count" numFmtId="0" hierarchy="960" level="32767"/>
    <cacheField name="[Measures].[TY Customer Entry Count]" caption="TY Customer Entry Count" numFmtId="0" hierarchy="1385" level="32767"/>
    <cacheField name="[Measures].[LY LFL Customer Entry Count]" caption="LY LFL Customer Entry Count" numFmtId="0" hierarchy="1388" level="32767"/>
    <cacheField name="[Measures].[TY Sales Budget Unit]" caption="TY Sales Budget Unit" numFmtId="0" hierarchy="1058" level="32767"/>
    <cacheField name="[Measures].[TY Sales Budget Value LC]" caption="TY Sales Budget Value LC" numFmtId="0" hierarchy="1059" level="32767"/>
    <cacheField name="[Measures].[TY Sales Budget Profit Value LC]" caption="TY Sales Budget Profit Value LC" numFmtId="0" hierarchy="1061" level="32767"/>
    <cacheField name="[Measures].[LY GMROII LC]" caption="LY GMROII LC" numFmtId="0" hierarchy="1245" level="32767"/>
    <cacheField name="[Measures].[TY GMROII LC]" caption="TY GMROII LC" numFmtId="0" hierarchy="1242" level="32767"/>
    <cacheField name="[SalesChannel].[H_SalesChannel].[SalesOrgType]" caption="SalesOrgType" numFmtId="0" hierarchy="144" level="1">
      <sharedItems containsSemiMixedTypes="0" containsString="0"/>
    </cacheField>
    <cacheField name="[SalesChannel].[H_SalesChannel].[CountryName]" caption="CountryName" numFmtId="0" hierarchy="144" level="2">
      <sharedItems containsSemiMixedTypes="0" containsString="0"/>
    </cacheField>
    <cacheField name="[SalesChannel].[H_SalesChannel].[DistrubitionChannelDesc]" caption="DistrubitionChannelDesc" numFmtId="0" hierarchy="144" level="3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aterial].[CategoryLeader].[CategoryLeader]" caption="CategoryLeader" numFmtId="0" hierarchy="53" level="1">
      <sharedItems count="4">
        <s v="[Material].[CategoryLeader].&amp;[Esat Müfettişoğlu]" c="Esat Müfettişoğlu"/>
        <s v="[Material].[CategoryLeader].&amp;[KEA]" c="KEA"/>
        <s v="[Material].[CategoryLeader].&amp;[Nihal Kaya]" c="Nihal Kaya"/>
        <s v="[Material].[CategoryLeader].&amp;[Simla Ünlü]" c="Simla Ünlü"/>
      </sharedItems>
    </cacheField>
    <cacheField name="[Material].[TribeLeader].[TribeLeader]" caption="TribeLeader" numFmtId="0" hierarchy="126" level="1">
      <sharedItems count="9">
        <s v="[Material].[TribeLeader].&amp;[Eda Şıvgın]" c="Eda Şıvgın"/>
        <s v="[Material].[TribeLeader].&amp;[Gökhan Açıkgöz]" c="Gökhan Açıkgöz"/>
        <s v="[Material].[TribeLeader].&amp;[Merve Türkyılmaz]" c="Merve Türkyılmaz"/>
        <s v="[Material].[TribeLeader].&amp;[Şule Kumbasar]" c="Şule Kumbasar"/>
        <s v="[Material].[TribeLeader].&amp;[Sevgi Babacan]" c="Sevgi Babacan"/>
        <s v="[Material].[TribeLeader].&amp;[İlker Ölge]" c="İlker Ölge"/>
        <s v="[Material].[TribeLeader].&amp;[Ömer Can Bengül]" c="Ömer Can Bengül"/>
        <s v="[Material].[TribeLeader].&amp;[Aslıhan Köksal]" c="Aslıhan Köksal"/>
        <s v="[Material].[TribeLeader].&amp;[Fatma Gök İnce]" c="Fatma Gök İnce"/>
      </sharedItems>
    </cacheField>
    <cacheField name="[Calendar].[MerchMonth].[MerchMonth]" caption="MerchMonth" numFmtId="0" hierarchy="12" level="1">
      <sharedItems containsSemiMixedTypes="0" containsString="0"/>
    </cacheField>
    <cacheField name="[Calendar].[MerchWeek].[MerchWeek]" caption="MerchWeek" numFmtId="0" hierarchy="14" level="1">
      <sharedItems containsSemiMixedTypes="0" containsString="0"/>
    </cacheField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53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>
      <fieldsUsage count="2">
        <fieldUsage x="-1"/>
        <fieldUsage x="56"/>
      </fieldsUsage>
    </cacheHierarchy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57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15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2" unbalanced="0">
      <fieldsUsage count="2">
        <fieldUsage x="-1"/>
        <fieldUsage x="54"/>
      </fieldsUsage>
    </cacheHierarchy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2" unbalanced="0">
      <fieldsUsage count="2">
        <fieldUsage x="-1"/>
        <fieldUsage x="13"/>
      </fieldsUsage>
    </cacheHierarchy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7"/>
        <fieldUsage x="8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1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14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1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2" unbalanced="0">
      <fieldsUsage count="2">
        <fieldUsage x="-1"/>
        <fieldUsage x="12"/>
      </fieldsUsage>
    </cacheHierarchy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2" unbalanced="0">
      <fieldsUsage count="2">
        <fieldUsage x="-1"/>
        <fieldUsage x="22"/>
      </fieldsUsage>
    </cacheHierarchy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2" unbalanced="0">
      <fieldsUsage count="2">
        <fieldUsage x="-1"/>
        <fieldUsage x="55"/>
      </fieldsUsage>
    </cacheHierarchy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16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0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50"/>
        <fieldUsage x="51"/>
        <fieldUsage x="52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2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0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1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 oneField="1">
      <fieldsUsage count="1">
        <fieldUsage x="17"/>
      </fieldsUsage>
    </cacheHierarchy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41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9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 oneField="1">
      <fieldsUsage count="1">
        <fieldUsage x="18"/>
      </fieldsUsage>
    </cacheHierarchy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42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 oneField="1">
      <fieldsUsage count="1">
        <fieldUsage x="24"/>
      </fieldsUsage>
    </cacheHierarchy>
    <cacheHierarchy uniqueName="[Measures].[TY Unit Cost TRY]" caption="TY Unit Cost TRY" measure="1" displayFolder="01_TY\TRY" measureGroup="Sales" count="0" oneField="1">
      <fieldsUsage count="1">
        <fieldUsage x="23"/>
      </fieldsUsage>
    </cacheHierarchy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 oneField="1">
      <fieldsUsage count="1">
        <fieldUsage x="28"/>
      </fieldsUsage>
    </cacheHierarchy>
    <cacheHierarchy uniqueName="[Measures].[LY LFL Unit Cost TRY]" caption="LY LFL Unit Cost TRY" measure="1" displayFolder="04_LYLFL\TRY" measureGroup="Sales" count="0" oneField="1">
      <fieldsUsage count="1">
        <fieldUsage x="27"/>
      </fieldsUsage>
    </cacheHierarchy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 oneField="1">
      <fieldsUsage count="1">
        <fieldUsage x="45"/>
      </fieldsUsage>
    </cacheHierarchy>
    <cacheHierarchy uniqueName="[Measures].[TY Sales Budget Value LC]" caption="TY Sales Budget Value LC" measure="1" displayFolder="TY\LC" measureGroup="SalesBudget" count="0" oneField="1">
      <fieldsUsage count="1">
        <fieldUsage x="46"/>
      </fieldsUsage>
    </cacheHierarchy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 oneField="1">
      <fieldsUsage count="1">
        <fieldUsage x="47"/>
      </fieldsUsage>
    </cacheHierarchy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 oneField="1">
      <fieldsUsage count="1">
        <fieldUsage x="19"/>
      </fieldsUsage>
    </cacheHierarchy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 oneField="1">
      <fieldsUsage count="1">
        <fieldUsage x="20"/>
      </fieldsUsage>
    </cacheHierarchy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 oneField="1">
      <fieldsUsage count="1">
        <fieldUsage x="25"/>
      </fieldsUsage>
    </cacheHierarchy>
    <cacheHierarchy uniqueName="[Measures].[TY Store Turnover Unit]" caption="TY Store Turnover Unit" measure="1" displayFolder="01_TY\_UNIT" measureGroup="KPI" count="0" oneField="1">
      <fieldsUsage count="1">
        <fieldUsage x="36"/>
      </fieldsUsage>
    </cacheHierarchy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 oneField="1">
      <fieldsUsage count="1">
        <fieldUsage x="39"/>
      </fieldsUsage>
    </cacheHierarchy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 oneField="1">
      <fieldsUsage count="1">
        <fieldUsage x="37"/>
      </fieldsUsage>
    </cacheHierarchy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 oneField="1">
      <fieldsUsage count="1">
        <fieldUsage x="38"/>
      </fieldsUsage>
    </cacheHierarchy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 oneField="1">
      <fieldsUsage count="1">
        <fieldUsage x="40"/>
      </fieldsUsage>
    </cacheHierarchy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 oneField="1">
      <fieldsUsage count="1">
        <fieldUsage x="29"/>
      </fieldsUsage>
    </cacheHierarchy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6"/>
      </fieldsUsage>
    </cacheHierarchy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 oneField="1">
      <fieldsUsage count="1">
        <fieldUsage x="30"/>
      </fieldsUsage>
    </cacheHierarchy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35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 oneField="1">
      <fieldsUsage count="1">
        <fieldUsage x="34"/>
      </fieldsUsage>
    </cacheHierarchy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 oneField="1">
      <fieldsUsage count="1">
        <fieldUsage x="33"/>
      </fieldsUsage>
    </cacheHierarchy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 oneField="1">
      <fieldsUsage count="1">
        <fieldUsage x="32"/>
      </fieldsUsage>
    </cacheHierarchy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 oneField="1">
      <fieldsUsage count="1">
        <fieldUsage x="31"/>
      </fieldsUsage>
    </cacheHierarchy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 oneField="1">
      <fieldsUsage count="1">
        <fieldUsage x="49"/>
      </fieldsUsage>
    </cacheHierarchy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 oneField="1">
      <fieldsUsage count="1">
        <fieldUsage x="48"/>
      </fieldsUsage>
    </cacheHierarchy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 oneField="1">
      <fieldsUsage count="1">
        <fieldUsage x="43"/>
      </fieldsUsage>
    </cacheHierarchy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 oneField="1">
      <fieldsUsage count="1">
        <fieldUsage x="44"/>
      </fieldsUsage>
    </cacheHierarchy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60286805559" backgroundQuery="1" createdVersion="8" refreshedVersion="8" minRefreshableVersion="3" recordCount="0" supportSubquery="1" supportAdvancedDrill="1" xr:uid="{22C5299B-2AE3-4F08-972E-B2E5029AF1A9}">
  <cacheSource type="external" connectionId="1"/>
  <cacheFields count="48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1"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Material].[H_MainGroup].[MainGroupDesc]" caption="MainGroupDesc" numFmtId="0" hierarchy="70" level="1">
      <sharedItems count="21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</sharedItems>
    </cacheField>
    <cacheField name="[Material].[H_MainGroup].[SubGroupDesc]" caption="SubGroupDesc" numFmtId="0" hierarchy="70" level="2">
      <sharedItems count="605">
        <s v="[Material].[H_MainGroup].[MainGroupDesc].&amp;[Aksesuar].&amp;[Abajur]" c="Abajur"/>
        <s v="[Material].[H_MainGroup].[MainGroupDesc].&amp;[Aksesuar].&amp;[Alışveriş Çantası]" c="Alışveriş Çantası"/>
        <s v="[Material].[H_MainGroup].[MainGroupDesc].&amp;[Aksesuar].&amp;[Armut Hamak]" c="Armut Hamak"/>
        <s v="[Material].[H_MainGroup].[MainGroupDesc].&amp;[Aksesuar].&amp;[Askı]" c="Askı"/>
        <s v="[Material].[H_MainGroup].[MainGroupDesc].&amp;[Aksesuar].&amp;[Askılı Aksesuar]" c="Askılı Aksesuar"/>
        <s v="[Material].[H_MainGroup].[MainGroupDesc].&amp;[Aksesuar].&amp;[Ayakkabı Rampası]" c="Ayakkabı Rampası"/>
        <s v="[Material].[H_MainGroup].[MainGroupDesc].&amp;[Aksesuar].&amp;[Ayakkabı Saklama Kts]" c="Ayakkabı Saklama Kts"/>
        <s v="[Material].[H_MainGroup].[MainGroupDesc].&amp;[Aksesuar].&amp;[Ayna]" c="Ayna"/>
        <s v="[Material].[H_MainGroup].[MainGroupDesc].&amp;[Aksesuar].&amp;[Banyo Seti]" c="Banyo Seti"/>
        <s v="[Material].[H_MainGroup].[MainGroupDesc].&amp;[Aksesuar].&amp;[Banyo Sıvı Sabunluk]" c="Banyo Sıvı Sabunluk"/>
        <s v="[Material].[H_MainGroup].[MainGroupDesc].&amp;[Aksesuar].&amp;[Bardak Tutacağı]" c="Bardak Tutacağı"/>
        <s v="[Material].[H_MainGroup].[MainGroupDesc].&amp;[Aksesuar].&amp;[Bebe Hurç]" c="Bebe Hurç"/>
        <s v="[Material].[H_MainGroup].[MainGroupDesc].&amp;[Aksesuar].&amp;[Bebe Mama Önlüğü]" c="Bebe Mama Önlüğü"/>
        <s v="[Material].[H_MainGroup].[MainGroupDesc].&amp;[Aksesuar].&amp;[Bebek Sepeti]" c="Bebek Sepeti"/>
        <s v="[Material].[H_MainGroup].[MainGroupDesc].&amp;[Aksesuar].&amp;[Bereket Fili]" c="Bereket Fili"/>
        <s v="[Material].[H_MainGroup].[MainGroupDesc].&amp;[Aksesuar].&amp;[Bereket Kuşu]" c="Bereket Kuşu"/>
        <s v="[Material].[H_MainGroup].[MainGroupDesc].&amp;[Aksesuar].&amp;[Biblo]" c="Biblo"/>
        <s v="[Material].[H_MainGroup].[MainGroupDesc].&amp;[Aksesuar].&amp;[Bileklik]" c="Bileklik"/>
        <s v="[Material].[H_MainGroup].[MainGroupDesc].&amp;[Aksesuar].&amp;[Boyunluk]" c="Boyunluk"/>
        <s v="[Material].[H_MainGroup].[MainGroupDesc].&amp;[Aksesuar].&amp;[Büyüteç]" c="Büyüteç"/>
        <s v="[Material].[H_MainGroup].[MainGroupDesc].&amp;[Aksesuar].&amp;[Cam Sileceği]" c="Cam Sileceği"/>
        <s v="[Material].[H_MainGroup].[MainGroupDesc].&amp;[Aksesuar].&amp;[Çamaşır Sepeti]" c="Çamaşır Sepeti"/>
        <s v="[Material].[H_MainGroup].[MainGroupDesc].&amp;[Aksesuar].&amp;[Canlı Çiçek]" c="Canlı Çiçek"/>
        <s v="[Material].[H_MainGroup].[MainGroupDesc].&amp;[Aksesuar].&amp;[Çerçeve]" c="Çerçeve"/>
        <s v="[Material].[H_MainGroup].[MainGroupDesc].&amp;[Aksesuar].&amp;[Çocuk Duvar Kağıdı]" c="Çocuk Duvar Kağıdı"/>
        <s v="[Material].[H_MainGroup].[MainGroupDesc].&amp;[Aksesuar].&amp;[Çocuk Duvar Saati]" c="Çocuk Duvar Saati"/>
        <s v="[Material].[H_MainGroup].[MainGroupDesc].&amp;[Aksesuar].&amp;[Çocuk Maske]" c="Çocuk Maske"/>
        <s v="[Material].[H_MainGroup].[MainGroupDesc].&amp;[Aksesuar].&amp;[Cüzdan]" c="Cüzdan"/>
        <s v="[Material].[H_MainGroup].[MainGroupDesc].&amp;[Aksesuar].&amp;[Dekoratif]" c="Dekoratif"/>
        <s v="[Material].[H_MainGroup].[MainGroupDesc].&amp;[Aksesuar].&amp;[Dekoratif Aydınlatma]" c="Dekoratif Aydınlatma"/>
        <s v="[Material].[H_MainGroup].[MainGroupDesc].&amp;[Aksesuar].&amp;[Dekoratif Kutu]" c="Dekoratif Kutu"/>
        <s v="[Material].[H_MainGroup].[MainGroupDesc].&amp;[Aksesuar].&amp;[Dekoratif Obje]" c="Dekoratif Obje"/>
        <s v="[Material].[H_MainGroup].[MainGroupDesc].&amp;[Aksesuar].&amp;[Dekoratif Peçetelik]" c="Dekoratif Peçetelik"/>
        <s v="[Material].[H_MainGroup].[MainGroupDesc].&amp;[Aksesuar].&amp;[Dekoratif Raf]" c="Dekoratif Raf"/>
        <s v="[Material].[H_MainGroup].[MainGroupDesc].&amp;[Aksesuar].&amp;[Dekoratif Tepsi]" c="Dekoratif Tepsi"/>
        <s v="[Material].[H_MainGroup].[MainGroupDesc].&amp;[Aksesuar].&amp;[Diş Fırçalık]" c="Diş Fırçalık"/>
        <s v="[Material].[H_MainGroup].[MainGroupDesc].&amp;[Aksesuar].&amp;[Duş Kaydırmaz]" c="Duş Kaydırmaz"/>
        <s v="[Material].[H_MainGroup].[MainGroupDesc].&amp;[Aksesuar].&amp;[Duvar Aksesuarı]" c="Duvar Aksesuarı"/>
        <s v="[Material].[H_MainGroup].[MainGroupDesc].&amp;[Aksesuar].&amp;[Duvar Saati]" c="Duvar Saati"/>
        <s v="[Material].[H_MainGroup].[MainGroupDesc].&amp;[Aksesuar].&amp;[Duvar Süsü]" c="Duvar Süsü"/>
        <s v="[Material].[H_MainGroup].[MainGroupDesc].&amp;[Aksesuar].&amp;[El Aynası]" c="El Aynası"/>
        <s v="[Material].[H_MainGroup].[MainGroupDesc].&amp;[Aksesuar].&amp;[Elbise Askısı]" c="Elbise Askısı"/>
        <s v="[Material].[H_MainGroup].[MainGroupDesc].&amp;[Aksesuar].&amp;[Elbise Kılıfı]" c="Elbise Kılıfı"/>
        <s v="[Material].[H_MainGroup].[MainGroupDesc].&amp;[Aksesuar].&amp;[Etamin]" c="Etamin"/>
        <s v="[Material].[H_MainGroup].[MainGroupDesc].&amp;[Aksesuar].&amp;[Fener]" c="Fener"/>
        <s v="[Material].[H_MainGroup].[MainGroupDesc].&amp;[Aksesuar].&amp;[Fırçalı Faraş]" c="Fırçalı Faraş"/>
        <s v="[Material].[H_MainGroup].[MainGroupDesc].&amp;[Aksesuar].&amp;[Hamak]" c="Hamak"/>
        <s v="[Material].[H_MainGroup].[MainGroupDesc].&amp;[Aksesuar].&amp;[Havluluk]" c="Havluluk"/>
        <s v="[Material].[H_MainGroup].[MainGroupDesc].&amp;[Aksesuar].&amp;[Hesap Makinesi]" c="Hesap Makinesi"/>
        <s v="[Material].[H_MainGroup].[MainGroupDesc].&amp;[Aksesuar].&amp;[Hobi Kumaşı]" c="Hobi Kumaşı"/>
        <s v="[Material].[H_MainGroup].[MainGroupDesc].&amp;[Aksesuar].&amp;[Hurç]" c="Hurç"/>
        <s v="[Material].[H_MainGroup].[MainGroupDesc].&amp;[Aksesuar].&amp;[Kalemlik]" c="Kalemlik"/>
        <s v="[Material].[H_MainGroup].[MainGroupDesc].&amp;[Aksesuar].&amp;[Kandil]" c="Kandil"/>
        <s v="[Material].[H_MainGroup].[MainGroupDesc].&amp;[Aksesuar].&amp;[Kandil Fitili]" c="Kandil Fitili"/>
        <s v="[Material].[H_MainGroup].[MainGroupDesc].&amp;[Aksesuar].&amp;[Kandil Yağı]" c="Kandil Yağı"/>
        <s v="[Material].[H_MainGroup].[MainGroupDesc].&amp;[Aksesuar].&amp;[Kapı Numarası]" c="Kapı Numarası"/>
        <s v="[Material].[H_MainGroup].[MainGroupDesc].&amp;[Aksesuar].&amp;[Kapı Önü Ağırlığı]" c="Kapı Önü Ağırlığı"/>
        <s v="[Material].[H_MainGroup].[MainGroupDesc].&amp;[Aksesuar].&amp;[Kapı Süsü]" c="Kapı Süsü"/>
        <s v="[Material].[H_MainGroup].[MainGroupDesc].&amp;[Aksesuar].&amp;[Kar Küresi]" c="Kar Küresi"/>
        <s v="[Material].[H_MainGroup].[MainGroupDesc].&amp;[Aksesuar].&amp;[Katlanır Tabure]" c="Katlanır Tabure"/>
        <s v="[Material].[H_MainGroup].[MainGroupDesc].&amp;[Aksesuar].&amp;[Keyif Tepsisi]" c="Keyif Tepsisi"/>
        <s v="[Material].[H_MainGroup].[MainGroupDesc].&amp;[Aksesuar].&amp;[Kitap Ayracı]" c="Kitap Ayracı"/>
        <s v="[Material].[H_MainGroup].[MainGroupDesc].&amp;[Aksesuar].&amp;[Kitap Tutucu]" c="Kitap Tutucu"/>
        <s v="[Material].[H_MainGroup].[MainGroupDesc].&amp;[Aksesuar].&amp;[Küllük]" c="Küllük"/>
        <s v="[Material].[H_MainGroup].[MainGroupDesc].&amp;[Aksesuar].&amp;[Kum Saati]" c="Kum Saati"/>
        <s v="[Material].[H_MainGroup].[MainGroupDesc].&amp;[Aksesuar].&amp;[Kumbara]" c="Kumbara"/>
        <s v="[Material].[H_MainGroup].[MainGroupDesc].&amp;[Aksesuar].&amp;[Kurdele]" c="Kurdele"/>
        <s v="[Material].[H_MainGroup].[MainGroupDesc].&amp;[Aksesuar].&amp;[Lambader]" c="Lambader"/>
        <s v="[Material].[H_MainGroup].[MainGroupDesc].&amp;[Aksesuar].&amp;[Magnet]" c="Magnet"/>
        <s v="[Material].[H_MainGroup].[MainGroupDesc].&amp;[Aksesuar].&amp;[Masa Saati]" c="Masa Saati"/>
        <s v="[Material].[H_MainGroup].[MainGroupDesc].&amp;[Aksesuar].&amp;[Maske]" c="Maske"/>
        <s v="[Material].[H_MainGroup].[MainGroupDesc].&amp;[Aksesuar].&amp;[Maske Kutusu]" c="Maske Kutusu"/>
        <s v="[Material].[H_MainGroup].[MainGroupDesc].&amp;[Aksesuar].&amp;[Mop]" c="Mop"/>
        <s v="[Material].[H_MainGroup].[MainGroupDesc].&amp;[Aksesuar].&amp;[Mum]" c="Mum"/>
        <s v="[Material].[H_MainGroup].[MainGroupDesc].&amp;[Aksesuar].&amp;[Mum Bakım Seti]" c="Mum Bakım Seti"/>
        <s v="[Material].[H_MainGroup].[MainGroupDesc].&amp;[Aksesuar].&amp;[Mum Söndürme Aleti]" c="Mum Söndürme Aleti"/>
        <s v="[Material].[H_MainGroup].[MainGroupDesc].&amp;[Aksesuar].&amp;[Müzik Kutusu]" c="Müzik Kutusu"/>
        <s v="[Material].[H_MainGroup].[MainGroupDesc].&amp;[Aksesuar].&amp;[Not Defteri]" c="Not Defteri"/>
        <s v="[Material].[H_MainGroup].[MainGroupDesc].&amp;[Aksesuar].&amp;[Not Panosu]" c="Not Panosu"/>
        <s v="[Material].[H_MainGroup].[MainGroupDesc].&amp;[Aksesuar].&amp;[Organizer]" c="Organizer"/>
        <s v="[Material].[H_MainGroup].[MainGroupDesc].&amp;[Aksesuar].&amp;[Oyuncak Sepeti]" c="Oyuncak Sepeti"/>
        <s v="[Material].[H_MainGroup].[MainGroupDesc].&amp;[Aksesuar].&amp;[Pet Yatağı]" c="Pet Yatağı"/>
        <s v="[Material].[H_MainGroup].[MainGroupDesc].&amp;[Aksesuar].&amp;[Sabunluk]" c="Sabunluk"/>
        <s v="[Material].[H_MainGroup].[MainGroupDesc].&amp;[Aksesuar].&amp;[Saç Bandı]" c="Saç Bandı"/>
        <s v="[Material].[H_MainGroup].[MainGroupDesc].&amp;[Aksesuar].&amp;[Saç Tokası]" c="Saç Tokası"/>
        <s v="[Material].[H_MainGroup].[MainGroupDesc].&amp;[Aksesuar].&amp;[Saklama Kutusu]" c="Saklama Kutusu"/>
        <s v="[Material].[H_MainGroup].[MainGroupDesc].&amp;[Aksesuar].&amp;[Saksı]" c="Saksı"/>
        <s v="[Material].[H_MainGroup].[MainGroupDesc].&amp;[Aksesuar].&amp;[Salıncak]" c="Salıncak"/>
        <s v="[Material].[H_MainGroup].[MainGroupDesc].&amp;[Aksesuar].&amp;[Şamdan]" c="Şamdan"/>
        <s v="[Material].[H_MainGroup].[MainGroupDesc].&amp;[Aksesuar].&amp;[Sandalye]" c="Sandalye"/>
        <s v="[Material].[H_MainGroup].[MainGroupDesc].&amp;[Aksesuar].&amp;[Sehpa.]" c="Sehpa."/>
        <s v="[Material].[H_MainGroup].[MainGroupDesc].&amp;[Aksesuar].&amp;[Şemsiye]" c="Şemsiye"/>
        <s v="[Material].[H_MainGroup].[MainGroupDesc].&amp;[Aksesuar].&amp;[Şemsiyelik]" c="Şemsiyelik"/>
        <s v="[Material].[H_MainGroup].[MainGroupDesc].&amp;[Aksesuar].&amp;[Sepet]" c="Sepet"/>
        <s v="[Material].[H_MainGroup].[MainGroupDesc].&amp;[Aksesuar].&amp;[Şezlong]" c="Şezlong"/>
        <s v="[Material].[H_MainGroup].[MainGroupDesc].&amp;[Aksesuar].&amp;[Showroom Hibe]" c="Showroom Hibe"/>
        <s v="[Material].[H_MainGroup].[MainGroupDesc].&amp;[Aksesuar].&amp;[Sıcak Su Torbası]" c="Sıcak Su Torbası"/>
        <s v="[Material].[H_MainGroup].[MainGroupDesc].&amp;[Aksesuar].&amp;[Süpürgelik]" c="Süpürgelik"/>
        <s v="[Material].[H_MainGroup].[MainGroupDesc].&amp;[Aksesuar].&amp;[Tablo]" c="Tablo"/>
        <s v="[Material].[H_MainGroup].[MainGroupDesc].&amp;[Aksesuar].&amp;[Taç]" c="Taç"/>
        <s v="[Material].[H_MainGroup].[MainGroupDesc].&amp;[Aksesuar].&amp;[Takılık]" c="Takılık"/>
        <s v="[Material].[H_MainGroup].[MainGroupDesc].&amp;[Aksesuar].&amp;[Tavla]" c="Tavla"/>
        <s v="[Material].[H_MainGroup].[MainGroupDesc].&amp;[Aksesuar].&amp;[Tek Dal Yapay Çiçek]" c="Tek Dal Yapay Çiçek"/>
        <s v="[Material].[H_MainGroup].[MainGroupDesc].&amp;[Aksesuar].&amp;[Temizlik Fırçası]" c="Temizlik Fırçası"/>
        <s v="[Material].[H_MainGroup].[MainGroupDesc].&amp;[Aksesuar].&amp;[Tütsülük]" c="Tütsülük"/>
        <s v="[Material].[H_MainGroup].[MainGroupDesc].&amp;[Aksesuar].&amp;[Tuvalet Kağıtlığı]" c="Tuvalet Kağıtlığı"/>
        <s v="[Material].[H_MainGroup].[MainGroupDesc].&amp;[Aksesuar].&amp;[Uyku Gözlüğü]" c="Uyku Gözlüğü"/>
        <s v="[Material].[H_MainGroup].[MainGroupDesc].&amp;[Aksesuar].&amp;[Vakumlu Poşet]" c="Vakumlu Poşet"/>
        <s v="[Material].[H_MainGroup].[MainGroupDesc].&amp;[Aksesuar].&amp;[Vazo]" c="Vazo"/>
        <s v="[Material].[H_MainGroup].[MainGroupDesc].&amp;[Aksesuar].&amp;[Vazolu Yapay Çiçek]" c="Vazolu Yapay Çiçek"/>
        <s v="[Material].[H_MainGroup].[MainGroupDesc].&amp;[Aksesuar].&amp;[Yapay Ağaç]" c="Yapay Ağaç"/>
        <s v="[Material].[H_MainGroup].[MainGroupDesc].&amp;[Aksesuar].&amp;[Yapay Çiçek]" c="Yapay Çiçek"/>
        <s v="[Material].[H_MainGroup].[MainGroupDesc].&amp;[Aksesuar].&amp;[Yılbaşı Aksesuar]" c="Yılbaşı Aksesuar"/>
        <s v="[Material].[H_MainGroup].[MainGroupDesc].&amp;[Aksesuar].&amp;[Yoga Mat]" c="Yoga Mat"/>
        <s v="[Material].[H_MainGroup].[MainGroupDesc].&amp;[Banyo].&amp;[Banyo Paspası]" c="Banyo Paspası"/>
        <s v="[Material].[H_MainGroup].[MainGroupDesc].&amp;[Banyo].&amp;[Banyo Paspası Seti]" c="Banyo Paspası Seti"/>
        <s v="[Material].[H_MainGroup].[MainGroupDesc].&amp;[Banyo].&amp;[Klozet Seti]" c="Klozet Seti"/>
        <s v="[Material].[H_MainGroup].[MainGroupDesc].&amp;[Battaniye].&amp;[Battaniye]" c="Battaniye"/>
        <s v="[Material].[H_MainGroup].[MainGroupDesc].&amp;[Battaniye].&amp;[Bebe Battaniye]" c="Bebe Battaniye"/>
        <s v="[Material].[H_MainGroup].[MainGroupDesc].&amp;[Battaniye].&amp;[Çocuk Battaniye]" c="Çocuk Battaniye"/>
        <s v="[Material].[H_MainGroup].[MainGroupDesc].&amp;[Battaniye].&amp;[TV Battaniye]" c="TV Battaniye"/>
        <s v="[Material].[H_MainGroup].[MainGroupDesc].&amp;[Çarşaf].&amp;[Bebe Çarşaf Takımı]" c="Bebe Çarşaf Takımı"/>
        <s v="[Material].[H_MainGroup].[MainGroupDesc].&amp;[Çarşaf].&amp;[Bebe Las. Çarşaf Tkm]" c="Bebe Las. Çarşaf Tkm"/>
        <s v="[Material].[H_MainGroup].[MainGroupDesc].&amp;[Çarşaf].&amp;[Bebe Lastikli Çarşaf]" c="Bebe Lastikli Çarşaf"/>
        <s v="[Material].[H_MainGroup].[MainGroupDesc].&amp;[Çarşaf].&amp;[Çarşaf]" c="Çarşaf"/>
        <s v="[Material].[H_MainGroup].[MainGroupDesc].&amp;[Çarşaf].&amp;[Çocuk Las.Çarşaf Tkm]" c="Çocuk Las.Çarşaf Tkm"/>
        <s v="[Material].[H_MainGroup].[MainGroupDesc].&amp;[Çarşaf].&amp;[Lastikli Çarşaf]" c="Lastikli Çarşaf"/>
        <s v="[Material].[H_MainGroup].[MainGroupDesc].&amp;[Çarşaf].&amp;[Lastikli Çarşaf Tkm]" c="Lastikli Çarşaf Tkm"/>
        <s v="[Material].[H_MainGroup].[MainGroupDesc].&amp;[Çarşaf].&amp;[Yastık Kılıfı]" c="Yastık Kılıfı"/>
        <s v="[Material].[H_MainGroup].[MainGroupDesc].&amp;[Dünya Markaları].&amp;[DM Bardak]" c="DM Bardak"/>
        <s v="[Material].[H_MainGroup].[MainGroupDesc].&amp;[Dünya Markaları].&amp;[DM Bıçak]" c="DM Bıçak"/>
        <s v="[Material].[H_MainGroup].[MainGroupDesc].&amp;[Dünya Markaları].&amp;[DM Bıçak Seti]" c="DM Bıçak Seti"/>
        <s v="[Material].[H_MainGroup].[MainGroupDesc].&amp;[Dünya Markaları].&amp;[DM Buhar Kazanlı Ütü]" c="DM Buhar Kazanlı Ütü"/>
        <s v="[Material].[H_MainGroup].[MainGroupDesc].&amp;[Dünya Markaları].&amp;[DM Buharlı Düzleştir]" c="DM Buharlı Düzleştir"/>
        <s v="[Material].[H_MainGroup].[MainGroupDesc].&amp;[Dünya Markaları].&amp;[DM Buharlı Ütü]" c="DM Buharlı Ütü"/>
        <s v="[Material].[H_MainGroup].[MainGroupDesc].&amp;[Dünya Markaları].&amp;[DM Değirmen]" c="DM Değirmen"/>
        <s v="[Material].[H_MainGroup].[MainGroupDesc].&amp;[Dünya Markaları].&amp;[DM Doğrayıcı]" c="DM Doğrayıcı"/>
        <s v="[Material].[H_MainGroup].[MainGroupDesc].&amp;[Dünya Markaları].&amp;[DM Doğrayıcılar]" c="DM Doğrayıcılar"/>
        <s v="[Material].[H_MainGroup].[MainGroupDesc].&amp;[Dünya Markaları].&amp;[DM Ekmek Kızartma M.]" c="DM Ekmek Kızartma M."/>
        <s v="[Material].[H_MainGroup].[MainGroupDesc].&amp;[Dünya Markaları].&amp;[DM Espresso Makinesi]" c="DM Espresso Makinesi"/>
        <s v="[Material].[H_MainGroup].[MainGroupDesc].&amp;[Dünya Markaları].&amp;[DM Filtre Kahve M.]" c="DM Filtre Kahve M."/>
        <s v="[Material].[H_MainGroup].[MainGroupDesc].&amp;[Dünya Markaları].&amp;[DM Izgara Ve Tost M.]" c="DM Izgara Ve Tost M."/>
        <s v="[Material].[H_MainGroup].[MainGroupDesc].&amp;[Dünya Markaları].&amp;[DM Sahan]" c="DM Sahan"/>
        <s v="[Material].[H_MainGroup].[MainGroupDesc].&amp;[Dünya Markaları].&amp;[DM Saklama Kabı]" c="DM Saklama Kabı"/>
        <s v="[Material].[H_MainGroup].[MainGroupDesc].&amp;[Dünya Markaları].&amp;[DM Saklama Termosu]" c="DM Saklama Termosu"/>
        <s v="[Material].[H_MainGroup].[MainGroupDesc].&amp;[Dünya Markaları].&amp;[DM Şarjlı Dikey Süpü]" c="DM Şarjlı Dikey Süpü"/>
        <s v="[Material].[H_MainGroup].[MainGroupDesc].&amp;[Dünya Markaları].&amp;[DM Soyacak]" c="DM Soyacak"/>
        <s v="[Material].[H_MainGroup].[MainGroupDesc].&amp;[Dünya Markaları].&amp;[DM Stand Mikseri]" c="DM Stand Mikseri"/>
        <s v="[Material].[H_MainGroup].[MainGroupDesc].&amp;[Dünya Markaları].&amp;[DM Su Isıtıcı]" c="DM Su Isıtıcı"/>
        <s v="[Material].[H_MainGroup].[MainGroupDesc].&amp;[Dünya Markaları].&amp;[DM Sürahi Blender]" c="DM Sürahi Blender"/>
        <s v="[Material].[H_MainGroup].[MainGroupDesc].&amp;[Dünya Markaları].&amp;[DM Tava]" c="DM Tava"/>
        <s v="[Material].[H_MainGroup].[MainGroupDesc].&amp;[Dünya Markaları].&amp;[DM Tava Seti]" c="DM Tava Seti"/>
        <s v="[Material].[H_MainGroup].[MainGroupDesc].&amp;[Dünya Markaları].&amp;[DM Tencere]" c="DM Tencere"/>
        <s v="[Material].[H_MainGroup].[MainGroupDesc].&amp;[Dünya Markaları].&amp;[DM Tencere Seti]" c="DM Tencere Seti"/>
        <s v="[Material].[H_MainGroup].[MainGroupDesc].&amp;[Dünya Markaları].&amp;[DM Torbasız Süpürge]" c="DM Torbasız Süpürge"/>
        <s v="[Material].[H_MainGroup].[MainGroupDesc].&amp;[Dünya Markaları].&amp;[DMNarenciye Sıkacağı]" c="DMNarenciye Sıkacağı"/>
        <s v="[Material].[H_MainGroup].[MainGroupDesc].&amp;[Halı - Kilim].&amp;[Bebek Halısı]" c="Bebek Halısı"/>
        <s v="[Material].[H_MainGroup].[MainGroupDesc].&amp;[Halı - Kilim].&amp;[Çocuk Halısı]" c="Çocuk Halısı"/>
        <s v="[Material].[H_MainGroup].[MainGroupDesc].&amp;[Halı - Kilim].&amp;[Dekoratif Halı]" c="Dekoratif Halı"/>
        <s v="[Material].[H_MainGroup].[MainGroupDesc].&amp;[Halı - Kilim].&amp;[Dış Mekan Kilim]" c="Dış Mekan Kilim"/>
        <s v="[Material].[H_MainGroup].[MainGroupDesc].&amp;[Halı - Kilim].&amp;[Dokuma Halı]" c="Dokuma Halı"/>
        <s v="[Material].[H_MainGroup].[MainGroupDesc].&amp;[Halı - Kilim].&amp;[Halı]" c="Halı"/>
        <s v="[Material].[H_MainGroup].[MainGroupDesc].&amp;[Halı - Kilim].&amp;[Kapı Önü Paspası]" c="Kapı Önü Paspası"/>
        <s v="[Material].[H_MainGroup].[MainGroupDesc].&amp;[Halı - Kilim].&amp;[Kilim]" c="Kilim"/>
        <s v="[Material].[H_MainGroup].[MainGroupDesc].&amp;[Halı - Kilim].&amp;[Makine Halısı]" c="Makine Halısı"/>
        <s v="[Material].[H_MainGroup].[MainGroupDesc].&amp;[Halı - Kilim].&amp;[Mutfak Paspası]" c="Mutfak Paspası"/>
        <s v="[Material].[H_MainGroup].[MainGroupDesc].&amp;[Halı - Kilim].&amp;[Peluş Halı]" c="Peluş Halı"/>
        <s v="[Material].[H_MainGroup].[MainGroupDesc].&amp;[Halı - Kilim].&amp;[Post]" c="Post"/>
        <s v="[Material].[H_MainGroup].[MainGroupDesc].&amp;[Havlu].&amp;[Ayak Havlusu]" c="Ayak Havlusu"/>
        <s v="[Material].[H_MainGroup].[MainGroupDesc].&amp;[Havlu].&amp;[Banyo Havlusu]" c="Banyo Havlusu"/>
        <s v="[Material].[H_MainGroup].[MainGroupDesc].&amp;[Havlu].&amp;[Banyo Havlusu Takımı]" c="Banyo Havlusu Takımı"/>
        <s v="[Material].[H_MainGroup].[MainGroupDesc].&amp;[Havlu].&amp;[Banyo Terliği]" c="Banyo Terliği"/>
        <s v="[Material].[H_MainGroup].[MainGroupDesc].&amp;[Havlu].&amp;[Bebe Ağız Silme Bezi]" c="Bebe Ağız Silme Bezi"/>
        <s v="[Material].[H_MainGroup].[MainGroupDesc].&amp;[Havlu].&amp;[Bebe Banyo Havlu Set]" c="Bebe Banyo Havlu Set"/>
        <s v="[Material].[H_MainGroup].[MainGroupDesc].&amp;[Havlu].&amp;[Bebe Banyo Havlusu]" c="Bebe Banyo Havlusu"/>
        <s v="[Material].[H_MainGroup].[MainGroupDesc].&amp;[Havlu].&amp;[Bebe Bornoz]" c="Bebe Bornoz"/>
        <s v="[Material].[H_MainGroup].[MainGroupDesc].&amp;[Havlu].&amp;[Bebe El Havlusu]" c="Bebe El Havlusu"/>
        <s v="[Material].[H_MainGroup].[MainGroupDesc].&amp;[Havlu].&amp;[Bebe Havlu]" c="Bebe Havlu"/>
        <s v="[Material].[H_MainGroup].[MainGroupDesc].&amp;[Havlu].&amp;[Bebek Ter Havlusu]" c="Bebek Ter Havlusu"/>
        <s v="[Material].[H_MainGroup].[MainGroupDesc].&amp;[Havlu].&amp;[Bornoz]" c="Bornoz"/>
        <s v="[Material].[H_MainGroup].[MainGroupDesc].&amp;[Havlu].&amp;[Bornoz Seti]" c="Bornoz Seti"/>
        <s v="[Material].[H_MainGroup].[MainGroupDesc].&amp;[Havlu].&amp;[Çocuk Bornoz]" c="Çocuk Bornoz"/>
        <s v="[Material].[H_MainGroup].[MainGroupDesc].&amp;[Havlu].&amp;[Çocuk Plaj Havlusu]" c="Çocuk Plaj Havlusu"/>
        <s v="[Material].[H_MainGroup].[MainGroupDesc].&amp;[Havlu].&amp;[El Havlusu]" c="El Havlusu"/>
        <s v="[Material].[H_MainGroup].[MainGroupDesc].&amp;[Havlu].&amp;[El Havlusu Seti]" c="El Havlusu Seti"/>
        <s v="[Material].[H_MainGroup].[MainGroupDesc].&amp;[Havlu].&amp;[Havlu Seti]" c="Havlu Seti"/>
        <s v="[Material].[H_MainGroup].[MainGroupDesc].&amp;[Havlu].&amp;[Hediyelik Havlu]" c="Hediyelik Havlu"/>
        <s v="[Material].[H_MainGroup].[MainGroupDesc].&amp;[Havlu].&amp;[Kutulu Havlu]" c="Kutulu Havlu"/>
        <s v="[Material].[H_MainGroup].[MainGroupDesc].&amp;[Havlu].&amp;[Peştamal]" c="Peştamal"/>
        <s v="[Material].[H_MainGroup].[MainGroupDesc].&amp;[Havlu].&amp;[Plaj Havlusu]" c="Plaj Havlusu"/>
        <s v="[Material].[H_MainGroup].[MainGroupDesc].&amp;[Havlu].&amp;[Saç Bonesi]" c="Saç Bonesi"/>
        <s v="[Material].[H_MainGroup].[MainGroupDesc].&amp;[Havlu].&amp;[Yüz Havlusu]" c="Yüz Havlusu"/>
        <s v="[Material].[H_MainGroup].[MainGroupDesc].&amp;[Havlu].&amp;[Yüz Havlusu Seti]" c="Yüz Havlusu Seti"/>
        <s v="[Material].[H_MainGroup].[MainGroupDesc].&amp;[KEA].&amp;[Airfryer]" c="Airfryer"/>
        <s v="[Material].[H_MainGroup].[MainGroupDesc].&amp;[KEA].&amp;[Çay Makinesi]" c="Çay Makinesi"/>
        <s v="[Material].[H_MainGroup].[MainGroupDesc].&amp;[KEA].&amp;[Doğrayıcı]" c="Doğrayıcı"/>
        <s v="[Material].[H_MainGroup].[MainGroupDesc].&amp;[KEA].&amp;[Ekmek Kızartma M.]" c="Ekmek Kızartma M."/>
        <s v="[Material].[H_MainGroup].[MainGroupDesc].&amp;[KEA].&amp;[El Blenderı]" c="El Blenderı"/>
        <s v="[Material].[H_MainGroup].[MainGroupDesc].&amp;[KEA].&amp;[El Mikseri]" c="El Mikseri"/>
        <s v="[Material].[H_MainGroup].[MainGroupDesc].&amp;[KEA].&amp;[Espresso Makinesi]" c="Espresso Makinesi"/>
        <s v="[Material].[H_MainGroup].[MainGroupDesc].&amp;[KEA].&amp;[Filtre Kahve M.]" c="Filtre Kahve M."/>
        <s v="[Material].[H_MainGroup].[MainGroupDesc].&amp;[KEA].&amp;[Izgara Ve Tost M.]" c="Izgara Ve Tost M."/>
        <s v="[Material].[H_MainGroup].[MainGroupDesc].&amp;[KEA].&amp;[Kablolu Dikey Süpürg]" c="Kablolu Dikey Süpürg"/>
        <s v="[Material].[H_MainGroup].[MainGroupDesc].&amp;[KEA].&amp;[Kişisel Blender]" c="Kişisel Blender"/>
        <s v="[Material].[H_MainGroup].[MainGroupDesc].&amp;[KEA].&amp;[Mini Blender Seti]" c="Mini Blender Seti"/>
        <s v="[Material].[H_MainGroup].[MainGroupDesc].&amp;[KEA].&amp;[Multi Blender Seti]" c="Multi Blender Seti"/>
        <s v="[Material].[H_MainGroup].[MainGroupDesc].&amp;[KEA].&amp;[Oyun Konsolları]" c="Oyun Konsolları"/>
        <s v="[Material].[H_MainGroup].[MainGroupDesc].&amp;[KEA].&amp;[Saç Kurutma Makinesi]" c="Saç Kurutma Makinesi"/>
        <s v="[Material].[H_MainGroup].[MainGroupDesc].&amp;[KEA].&amp;[Şarjlı Dikey Süpürge]" c="Şarjlı Dikey Süpürge"/>
        <s v="[Material].[H_MainGroup].[MainGroupDesc].&amp;[KEA].&amp;[Stand Mikseri]" c="Stand Mikseri"/>
        <s v="[Material].[H_MainGroup].[MainGroupDesc].&amp;[KEA].&amp;[Su Arıtma Filtresi]" c="Su Arıtma Filtresi"/>
        <s v="[Material].[H_MainGroup].[MainGroupDesc].&amp;[KEA].&amp;[Su Arıtma Sürahisi]" c="Su Arıtma Sürahisi"/>
        <s v="[Material].[H_MainGroup].[MainGroupDesc].&amp;[KEA].&amp;[Su Isıtıcı]" c="Su Isıtıcı"/>
        <s v="[Material].[H_MainGroup].[MainGroupDesc].&amp;[KEA].&amp;[Sürahi Blender]" c="Sürahi Blender"/>
        <s v="[Material].[H_MainGroup].[MainGroupDesc].&amp;[KEA].&amp;[Tost Makinesi]" c="Tost Makinesi"/>
        <s v="[Material].[H_MainGroup].[MainGroupDesc].&amp;[KEA].&amp;[Türk Kahve M.]" c="Türk Kahve M."/>
        <s v="[Material].[H_MainGroup].[MainGroupDesc].&amp;[KEA].&amp;[Ütüleme Sistemleri]" c="Ütüleme Sistemleri"/>
        <s v="[Material].[H_MainGroup].[MainGroupDesc].&amp;[KEA].&amp;[Waffle Makinesi]" c="Waffle Makinesi"/>
        <s v="[Material].[H_MainGroup].[MainGroupDesc].&amp;[Kozmetik].&amp;[Aromaterapi Set]" c="Aromaterapi Set"/>
        <s v="[Material].[H_MainGroup].[MainGroupDesc].&amp;[Kozmetik].&amp;[Body Mist]" c="Body Mist"/>
        <s v="[Material].[H_MainGroup].[MainGroupDesc].&amp;[Kozmetik].&amp;[Çamaşır Kokusu]" c="Çamaşır Kokusu"/>
        <s v="[Material].[H_MainGroup].[MainGroupDesc].&amp;[Kozmetik].&amp;[Çok Amaçlı Kutu]" c="Çok Amaçlı Kutu"/>
        <s v="[Material].[H_MainGroup].[MainGroupDesc].&amp;[Kozmetik].&amp;[Çubuklu Oda Kokusu]" c="Çubuklu Oda Kokusu"/>
        <s v="[Material].[H_MainGroup].[MainGroupDesc].&amp;[Kozmetik].&amp;[Dezenfektan]" c="Dezenfektan"/>
        <s v="[Material].[H_MainGroup].[MainGroupDesc].&amp;[Kozmetik].&amp;[Dolap İçi Koku]" c="Dolap İçi Koku"/>
        <s v="[Material].[H_MainGroup].[MainGroupDesc].&amp;[Kozmetik].&amp;[Duş Jeli]" c="Duş Jeli"/>
        <s v="[Material].[H_MainGroup].[MainGroupDesc].&amp;[Kozmetik].&amp;[El Kremi]" c="El Kremi"/>
        <s v="[Material].[H_MainGroup].[MainGroupDesc].&amp;[Kozmetik].&amp;[Esansiyel Koku Yağı]" c="Esansiyel Koku Yağı"/>
        <s v="[Material].[H_MainGroup].[MainGroupDesc].&amp;[Kozmetik].&amp;[Güneş Kremi]" c="Güneş Kremi"/>
        <s v="[Material].[H_MainGroup].[MainGroupDesc].&amp;[Kozmetik].&amp;[Katı Sabun]" c="Katı Sabun"/>
        <s v="[Material].[H_MainGroup].[MainGroupDesc].&amp;[Kozmetik].&amp;[Katı Sabun Set]" c="Katı Sabun Set"/>
        <s v="[Material].[H_MainGroup].[MainGroupDesc].&amp;[Kozmetik].&amp;[Koku Barı]" c="Koku Barı"/>
        <s v="[Material].[H_MainGroup].[MainGroupDesc].&amp;[Kozmetik].&amp;[Kokulu Kese]" c="Kokulu Kese"/>
        <s v="[Material].[H_MainGroup].[MainGroupDesc].&amp;[Kozmetik].&amp;[Kokulu Mum]" c="Kokulu Mum"/>
        <s v="[Material].[H_MainGroup].[MainGroupDesc].&amp;[Kozmetik].&amp;[Kokulu Set]" c="Kokulu Set"/>
        <s v="[Material].[H_MainGroup].[MainGroupDesc].&amp;[Kozmetik].&amp;[Kokulu Taş]" c="Kokulu Taş"/>
        <s v="[Material].[H_MainGroup].[MainGroupDesc].&amp;[Kozmetik].&amp;[Kolonya]" c="Kolonya"/>
        <s v="[Material].[H_MainGroup].[MainGroupDesc].&amp;[Kozmetik].&amp;[Kolonyalı Mendil]" c="Kolonyalı Mendil"/>
        <s v="[Material].[H_MainGroup].[MainGroupDesc].&amp;[Kozmetik].&amp;[Makyaj Çantası]" c="Makyaj Çantası"/>
        <s v="[Material].[H_MainGroup].[MainGroupDesc].&amp;[Kozmetik].&amp;[Nemlendirici Jel]" c="Nemlendirici Jel"/>
        <s v="[Material].[H_MainGroup].[MainGroupDesc].&amp;[Kozmetik].&amp;[Oda Spreyi]" c="Oda Spreyi"/>
        <s v="[Material].[H_MainGroup].[MainGroupDesc].&amp;[Kozmetik].&amp;[Oto Kokusu]" c="Oto Kokusu"/>
        <s v="[Material].[H_MainGroup].[MainGroupDesc].&amp;[Kozmetik].&amp;[Parfüm]" c="Parfüm"/>
        <s v="[Material].[H_MainGroup].[MainGroupDesc].&amp;[Kozmetik].&amp;[Pudra Ponponu]" c="Pudra Ponponu"/>
        <s v="[Material].[H_MainGroup].[MainGroupDesc].&amp;[Kozmetik].&amp;[Sabun]" c="Sabun"/>
        <s v="[Material].[H_MainGroup].[MainGroupDesc].&amp;[Kozmetik].&amp;[Sıvı Sabun]" c="Sıvı Sabun"/>
        <s v="[Material].[H_MainGroup].[MainGroupDesc].&amp;[Kozmetik].&amp;[Sprey Kolonya]" c="Sprey Kolonya"/>
        <s v="[Material].[H_MainGroup].[MainGroupDesc].&amp;[Kozmetik].&amp;[Su Torbası]" c="Su Torbası"/>
        <s v="[Material].[H_MainGroup].[MainGroupDesc].&amp;[Kozmetik].&amp;[TEALIGHT MUM]" c="TEALIGHT MUM"/>
        <s v="[Material].[H_MainGroup].[MainGroupDesc].&amp;[Kozmetik].&amp;[Tütsü]" c="Tütsü"/>
        <s v="[Material].[H_MainGroup].[MainGroupDesc].&amp;[Kozmetik].&amp;[Vücut Losyonu]" c="Vücut Losyonu"/>
        <s v="[Material].[H_MainGroup].[MainGroupDesc].&amp;[Kozmetik].&amp;[WHT Oda Spreyi]" c="WHT Oda Spreyi"/>
        <s v="[Material].[H_MainGroup].[MainGroupDesc].&amp;[Kozmetik].&amp;[Yüz &amp; Vücut Spreyi]" c="Yüz &amp; Vücut Spreyi"/>
        <s v="[Material].[H_MainGroup].[MainGroupDesc].&amp;[Kozmetik].&amp;[Yüz Maskesi]" c="Yüz Maskesi"/>
        <s v="[Material].[H_MainGroup].[MainGroupDesc].&amp;[Mutfak].&amp;[Açacak]" c="Açacak"/>
        <s v="[Material].[H_MainGroup].[MainGroupDesc].&amp;[Mutfak].&amp;[Baharatlık]" c="Baharatlık"/>
        <s v="[Material].[H_MainGroup].[MainGroupDesc].&amp;[Mutfak].&amp;[Bal Kavanozu]" c="Bal Kavanozu"/>
        <s v="[Material].[H_MainGroup].[MainGroupDesc].&amp;[Mutfak].&amp;[Bardak Altı]" c="Bardak Altı"/>
        <s v="[Material].[H_MainGroup].[MainGroupDesc].&amp;[Mutfak].&amp;[Bulaşık Seti]" c="Bulaşık Seti"/>
        <s v="[Material].[H_MainGroup].[MainGroupDesc].&amp;[Mutfak].&amp;[Çatal Bıçaklık]" c="Çatal Bıçaklık"/>
        <s v="[Material].[H_MainGroup].[MainGroupDesc].&amp;[Mutfak].&amp;[Çaydanlık]" c="Çaydanlık"/>
        <s v="[Material].[H_MainGroup].[MainGroupDesc].&amp;[Mutfak].&amp;[Çekmece Düzenleyici]" c="Çekmece Düzenleyici"/>
        <s v="[Material].[H_MainGroup].[MainGroupDesc].&amp;[Mutfak].&amp;[Çocuk Suluk]" c="Çocuk Suluk"/>
        <s v="[Material].[H_MainGroup].[MainGroupDesc].&amp;[Mutfak].&amp;[Coffee Maker]" c="Coffee Maker"/>
        <s v="[Material].[H_MainGroup].[MainGroupDesc].&amp;[Mutfak].&amp;[Değirmen]" c="Değirmen"/>
        <s v="[Material].[H_MainGroup].[MainGroupDesc].&amp;[Mutfak].&amp;[Demleme Ürünleri]" c="Demleme Ürünleri"/>
        <s v="[Material].[H_MainGroup].[MainGroupDesc].&amp;[Mutfak].&amp;[Doğrayıcılar]" c="Doğrayıcılar"/>
        <s v="[Material].[H_MainGroup].[MainGroupDesc].&amp;[Mutfak].&amp;[Düzenleyici Set]" c="Düzenleyici Set"/>
        <s v="[Material].[H_MainGroup].[MainGroupDesc].&amp;[Mutfak].&amp;[Ekmek Kutusu]" c="Ekmek Kutusu"/>
        <s v="[Material].[H_MainGroup].[MainGroupDesc].&amp;[Mutfak].&amp;[El Rondosu]" c="El Rondosu"/>
        <s v="[Material].[H_MainGroup].[MainGroupDesc].&amp;[Mutfak].&amp;[Fondü Seti]" c="Fondü Seti"/>
        <s v="[Material].[H_MainGroup].[MainGroupDesc].&amp;[Mutfak].&amp;[Hamur ruleti]" c="Hamur ruleti"/>
        <s v="[Material].[H_MainGroup].[MainGroupDesc].&amp;[Mutfak].&amp;[Havan]" c="Havan"/>
        <s v="[Material].[H_MainGroup].[MainGroupDesc].&amp;[Mutfak].&amp;[Hazırlık Seti]" c="Hazırlık Seti"/>
        <s v="[Material].[H_MainGroup].[MainGroupDesc].&amp;[Mutfak].&amp;[Huni]" c="Huni"/>
        <s v="[Material].[H_MainGroup].[MainGroupDesc].&amp;[Mutfak].&amp;[İbrik]" c="İbrik"/>
        <s v="[Material].[H_MainGroup].[MainGroupDesc].&amp;[Mutfak].&amp;[Isıtıcı]" c="Isıtıcı"/>
        <s v="[Material].[H_MainGroup].[MainGroupDesc].&amp;[Mutfak].&amp;[Kağıt Havluluk]" c="Kağıt Havluluk"/>
        <s v="[Material].[H_MainGroup].[MainGroupDesc].&amp;[Mutfak].&amp;[Kahve Ölçü Kaşığı]" c="Kahve Ölçü Kaşığı"/>
        <s v="[Material].[H_MainGroup].[MainGroupDesc].&amp;[Mutfak].&amp;[Kavanoz]" c="Kavanoz"/>
        <s v="[Material].[H_MainGroup].[MainGroupDesc].&amp;[Mutfak].&amp;[Kavanoz Kapağı]" c="Kavanoz Kapağı"/>
        <s v="[Material].[H_MainGroup].[MainGroupDesc].&amp;[Mutfak].&amp;[Kepçe]" c="Kepçe"/>
        <s v="[Material].[H_MainGroup].[MainGroupDesc].&amp;[Mutfak].&amp;[Kesme Tahtası]" c="Kesme Tahtası"/>
        <s v="[Material].[H_MainGroup].[MainGroupDesc].&amp;[Mutfak].&amp;[Kettle]" c="Kettle"/>
        <s v="[Material].[H_MainGroup].[MainGroupDesc].&amp;[Mutfak].&amp;[Krep Tava]" c="Krep Tava"/>
        <s v="[Material].[H_MainGroup].[MainGroupDesc].&amp;[Mutfak].&amp;[Kurabiye Kutusu]" c="Kurabiye Kutusu"/>
        <s v="[Material].[H_MainGroup].[MainGroupDesc].&amp;[Mutfak].&amp;[Matara]" c="Matara"/>
        <s v="[Material].[H_MainGroup].[MainGroupDesc].&amp;[Mutfak].&amp;[Merdane]" c="Merdane"/>
        <s v="[Material].[H_MainGroup].[MainGroupDesc].&amp;[Mutfak].&amp;[Moka Pot]" c="Moka Pot"/>
        <s v="[Material].[H_MainGroup].[MainGroupDesc].&amp;[Mutfak].&amp;[Mutfak Gereci]" c="Mutfak Gereci"/>
        <s v="[Material].[H_MainGroup].[MainGroupDesc].&amp;[Mutfak].&amp;[Ölçü Kabı]" c="Ölçü Kabı"/>
        <s v="[Material].[H_MainGroup].[MainGroupDesc].&amp;[Mutfak].&amp;[Ölçü Kaşığı]" c="Ölçü Kaşığı"/>
        <s v="[Material].[H_MainGroup].[MainGroupDesc].&amp;[Mutfak].&amp;[Perforated Spatula]" c="Perforated Spatula"/>
        <s v="[Material].[H_MainGroup].[MainGroupDesc].&amp;[Mutfak].&amp;[Piknik Sepeti]" c="Piknik Sepeti"/>
        <s v="[Material].[H_MainGroup].[MainGroupDesc].&amp;[Mutfak].&amp;[Piknik Seti]" c="Piknik Seti"/>
        <s v="[Material].[H_MainGroup].[MainGroupDesc].&amp;[Mutfak].&amp;[Pipet]" c="Pipet"/>
        <s v="[Material].[H_MainGroup].[MainGroupDesc].&amp;[Mutfak].&amp;[Pizza Kesici]" c="Pizza Kesici"/>
        <s v="[Material].[H_MainGroup].[MainGroupDesc].&amp;[Mutfak].&amp;[Poşet Klipsi]" c="Poşet Klipsi"/>
        <s v="[Material].[H_MainGroup].[MainGroupDesc].&amp;[Mutfak].&amp;[Poşet Torbalığı]" c="Poşet Torbalığı"/>
        <s v="[Material].[H_MainGroup].[MainGroupDesc].&amp;[Mutfak].&amp;[Saklama Kabı]" c="Saklama Kabı"/>
        <s v="[Material].[H_MainGroup].[MainGroupDesc].&amp;[Mutfak].&amp;[Saklama Kabı Seti]" c="Saklama Kabı Seti"/>
        <s v="[Material].[H_MainGroup].[MainGroupDesc].&amp;[Mutfak].&amp;[Salata Seti]" c="Salata Seti"/>
        <s v="[Material].[H_MainGroup].[MainGroupDesc].&amp;[Mutfak].&amp;[Satır]" c="Satır"/>
        <s v="[Material].[H_MainGroup].[MainGroupDesc].&amp;[Mutfak].&amp;[Servis Gereçleri]" c="Servis Gereçleri"/>
        <s v="[Material].[H_MainGroup].[MainGroupDesc].&amp;[Mutfak].&amp;[Servis Kaşığı]" c="Servis Kaşığı"/>
        <s v="[Material].[H_MainGroup].[MainGroupDesc].&amp;[Mutfak].&amp;[Shaker]" c="Shaker"/>
        <s v="[Material].[H_MainGroup].[MainGroupDesc].&amp;[Mutfak].&amp;[Şişe Tıpası]" c="Şişe Tıpası"/>
        <s v="[Material].[H_MainGroup].[MainGroupDesc].&amp;[Mutfak].&amp;[Spagetti Kaşığı]" c="Spagetti Kaşığı"/>
        <s v="[Material].[H_MainGroup].[MainGroupDesc].&amp;[Mutfak].&amp;[Sufle Kabı]" c="Sufle Kabı"/>
        <s v="[Material].[H_MainGroup].[MainGroupDesc].&amp;[Mutfak].&amp;[Süt Potu]" c="Süt Potu"/>
        <s v="[Material].[H_MainGroup].[MainGroupDesc].&amp;[Mutfak].&amp;[Termos]" c="Termos"/>
        <s v="[Material].[H_MainGroup].[MainGroupDesc].&amp;[Mutfak].&amp;[Yemek Hazırlama]" c="Yemek Hazırlama"/>
        <s v="[Material].[H_MainGroup].[MainGroupDesc].&amp;[Mutfak].&amp;[Yumurta Fırçası]" c="Yumurta Fırçası"/>
        <s v="[Material].[H_MainGroup].[MainGroupDesc].&amp;[Mutfak].&amp;[Yumurtalık]" c="Yumurtalık"/>
        <s v="[Material].[H_MainGroup].[MainGroupDesc].&amp;[Nevresim].&amp;[Bebe Nevresim]" c="Bebe Nevresim"/>
        <s v="[Material].[H_MainGroup].[MainGroupDesc].&amp;[Nevresim].&amp;[Bebe Nevresim Seti]" c="Bebe Nevresim Seti"/>
        <s v="[Material].[H_MainGroup].[MainGroupDesc].&amp;[Nevresim].&amp;[Bebe Nevresim Takımı]" c="Bebe Nevresim Takımı"/>
        <s v="[Material].[H_MainGroup].[MainGroupDesc].&amp;[Nevresim].&amp;[Bebe Yastık Kılıfı]" c="Bebe Yastık Kılıfı"/>
        <s v="[Material].[H_MainGroup].[MainGroupDesc].&amp;[Nevresim].&amp;[Cibinlik]" c="Cibinlik"/>
        <s v="[Material].[H_MainGroup].[MainGroupDesc].&amp;[Nevresim].&amp;[Çocuk Nevresim Seti]" c="Çocuk Nevresim Seti"/>
        <s v="[Material].[H_MainGroup].[MainGroupDesc].&amp;[Nevresim].&amp;[Çocuk Nevresim Takım]" c="Çocuk Nevresim Takım"/>
        <s v="[Material].[H_MainGroup].[MainGroupDesc].&amp;[Nevresim].&amp;[Düz Çarşaf NVR TK]" c="Düz Çarşaf NVR TK"/>
        <s v="[Material].[H_MainGroup].[MainGroupDesc].&amp;[Nevresim].&amp;[Nevr. ve Yastık Klf]" c="Nevr. ve Yastık Klf"/>
        <s v="[Material].[H_MainGroup].[MainGroupDesc].&amp;[Nevresim].&amp;[Nevresim]" c="Nevresim"/>
        <s v="[Material].[H_MainGroup].[MainGroupDesc].&amp;[Nevresim].&amp;[Nevresim Seti]" c="Nevresim Seti"/>
        <s v="[Material].[H_MainGroup].[MainGroupDesc].&amp;[Nevresim].&amp;[Nevresim Takımı]" c="Nevresim Takımı"/>
        <s v="[Material].[H_MainGroup].[MainGroupDesc].&amp;[Pike].&amp;[Bebe Pike]" c="Bebe Pike"/>
        <s v="[Material].[H_MainGroup].[MainGroupDesc].&amp;[Pike].&amp;[Çocuk Pike Takımı]" c="Çocuk Pike Takımı"/>
        <s v="[Material].[H_MainGroup].[MainGroupDesc].&amp;[Pike].&amp;[Pike]" c="Pike"/>
        <s v="[Material].[H_MainGroup].[MainGroupDesc].&amp;[Pike].&amp;[Pike Seti]" c="Pike Seti"/>
        <s v="[Material].[H_MainGroup].[MainGroupDesc].&amp;[Pike].&amp;[Pike Takımı]" c="Pike Takımı"/>
        <s v="[Material].[H_MainGroup].[MainGroupDesc].&amp;[Pişirme].&amp;[Bakraç]" c="Bakraç"/>
        <s v="[Material].[H_MainGroup].[MainGroupDesc].&amp;[Pişirme].&amp;[Düdüklü Tencere Seti]" c="Düdüklü Tencere Seti"/>
        <s v="[Material].[H_MainGroup].[MainGroupDesc].&amp;[Pişirme].&amp;[Fırın Kabı]" c="Fırın Kabı"/>
        <s v="[Material].[H_MainGroup].[MainGroupDesc].&amp;[Pişirme].&amp;[Fırın Tencere]" c="Fırın Tencere"/>
        <s v="[Material].[H_MainGroup].[MainGroupDesc].&amp;[Pişirme].&amp;[Grıll Tava]" c="Grıll Tava"/>
        <s v="[Material].[H_MainGroup].[MainGroupDesc].&amp;[Pişirme].&amp;[Kek Kalıbı]" c="Kek Kalıbı"/>
        <s v="[Material].[H_MainGroup].[MainGroupDesc].&amp;[Pişirme].&amp;[Kek Kalıp Set]" c="Kek Kalıp Set"/>
        <s v="[Material].[H_MainGroup].[MainGroupDesc].&amp;[Pişirme].&amp;[Mini Tava]" c="Mini Tava"/>
        <s v="[Material].[H_MainGroup].[MainGroupDesc].&amp;[Pişirme].&amp;[Mini Tencere]" c="Mini Tencere"/>
        <s v="[Material].[H_MainGroup].[MainGroupDesc].&amp;[Pişirme].&amp;[Pişirme Seti]" c="Pişirme Seti"/>
        <s v="[Material].[H_MainGroup].[MainGroupDesc].&amp;[Pişirme].&amp;[Pişir-Sakla Set]" c="Pişir-Sakla Set"/>
        <s v="[Material].[H_MainGroup].[MainGroupDesc].&amp;[Pişirme].&amp;[Sahan]" c="Sahan"/>
        <s v="[Material].[H_MainGroup].[MainGroupDesc].&amp;[Pişirme].&amp;[Sahan Seti]" c="Sahan Seti"/>
        <s v="[Material].[H_MainGroup].[MainGroupDesc].&amp;[Pişirme].&amp;[Sos Tenceresi]" c="Sos Tenceresi"/>
        <s v="[Material].[H_MainGroup].[MainGroupDesc].&amp;[Pişirme].&amp;[Tart Kalıbı]" c="Tart Kalıbı"/>
        <s v="[Material].[H_MainGroup].[MainGroupDesc].&amp;[Pişirme].&amp;[Tava]" c="Tava"/>
        <s v="[Material].[H_MainGroup].[MainGroupDesc].&amp;[Pişirme].&amp;[Tava Seti]" c="Tava Seti"/>
        <s v="[Material].[H_MainGroup].[MainGroupDesc].&amp;[Pişirme].&amp;[Tencere]" c="Tencere"/>
        <s v="[Material].[H_MainGroup].[MainGroupDesc].&amp;[Pişirme].&amp;[Tencere Seti]" c="Tencere Seti"/>
        <s v="[Material].[H_MainGroup].[MainGroupDesc].&amp;[Pişirme].&amp;[Tencere-Tava Seti]" c="Tencere-Tava Seti"/>
        <s v="[Material].[H_MainGroup].[MainGroupDesc].&amp;[Pişirme].&amp;[Wok Tava]" c="Wok Tava"/>
        <s v="[Material].[H_MainGroup].[MainGroupDesc].&amp;[Salon].&amp;[Atlet]" c="Atlet"/>
        <s v="[Material].[H_MainGroup].[MainGroupDesc].&amp;[Salon].&amp;[Ayaklı Tepsi]" c="Ayaklı Tepsi"/>
        <s v="[Material].[H_MainGroup].[MainGroupDesc].&amp;[Salon].&amp;[Babet Çorap]" c="Babet Çorap"/>
        <s v="[Material].[H_MainGroup].[MainGroupDesc].&amp;[Salon].&amp;[Bebe Alt Açma Yedek]" c="Bebe Alt Açma Yedek"/>
        <s v="[Material].[H_MainGroup].[MainGroupDesc].&amp;[Salon].&amp;[Bebe Body]" c="Bebe Body"/>
        <s v="[Material].[H_MainGroup].[MainGroupDesc].&amp;[Salon].&amp;[Bebe Çorap]" c="Bebe Çorap"/>
        <s v="[Material].[H_MainGroup].[MainGroupDesc].&amp;[Salon].&amp;[Bebe Hediyelik Set]" c="Bebe Hediyelik Set"/>
        <s v="[Material].[H_MainGroup].[MainGroupDesc].&amp;[Salon].&amp;[Bebe Kundak Set]" c="Bebe Kundak Set"/>
        <s v="[Material].[H_MainGroup].[MainGroupDesc].&amp;[Salon].&amp;[Bebe Müslin Set]" c="Bebe Müslin Set"/>
        <s v="[Material].[H_MainGroup].[MainGroupDesc].&amp;[Salon].&amp;[Bebe Önlük]" c="Bebe Önlük"/>
        <s v="[Material].[H_MainGroup].[MainGroupDesc].&amp;[Salon].&amp;[Bebe Örtü]" c="Bebe Örtü"/>
        <s v="[Material].[H_MainGroup].[MainGroupDesc].&amp;[Salon].&amp;[Bebe Pijama Takımı]" c="Bebe Pijama Takımı"/>
        <s v="[Material].[H_MainGroup].[MainGroupDesc].&amp;[Salon].&amp;[Bebe Puset Örtüsü]" c="Bebe Puset Örtüsü"/>
        <s v="[Material].[H_MainGroup].[MainGroupDesc].&amp;[Salon].&amp;[Bebe Sandalyesi]" c="Bebe Sandalyesi"/>
        <s v="[Material].[H_MainGroup].[MainGroupDesc].&amp;[Salon].&amp;[Bebe Şapka]" c="Bebe Şapka"/>
        <s v="[Material].[H_MainGroup].[MainGroupDesc].&amp;[Salon].&amp;[Bebe Tulum]" c="Bebe Tulum"/>
        <s v="[Material].[H_MainGroup].[MainGroupDesc].&amp;[Salon].&amp;[Bebe Uyku Tulumu]" c="Bebe Uyku Tulumu"/>
        <s v="[Material].[H_MainGroup].[MainGroupDesc].&amp;[Salon].&amp;[Berjer]" c="Berjer"/>
        <s v="[Material].[H_MainGroup].[MainGroupDesc].&amp;[Salon].&amp;[Bluz]" c="Bluz"/>
        <s v="[Material].[H_MainGroup].[MainGroupDesc].&amp;[Salon].&amp;[Boxer]" c="Boxer"/>
        <s v="[Material].[H_MainGroup].[MainGroupDesc].&amp;[Salon].&amp;[Braçol]" c="Braçol"/>
        <s v="[Material].[H_MainGroup].[MainGroupDesc].&amp;[Salon].&amp;[Büyük Kırlent]" c="Büyük Kırlent"/>
        <s v="[Material].[H_MainGroup].[MainGroupDesc].&amp;[Salon].&amp;[Çanta.]" c="Çanta."/>
        <s v="[Material].[H_MainGroup].[MainGroupDesc].&amp;[Salon].&amp;[Çocuk Atlet]" c="Çocuk Atlet"/>
        <s v="[Material].[H_MainGroup].[MainGroupDesc].&amp;[Salon].&amp;[Çocuk Boxer]" c="Çocuk Boxer"/>
        <s v="[Material].[H_MainGroup].[MainGroupDesc].&amp;[Salon].&amp;[Çocuk Çanta]" c="Çocuk Çanta"/>
        <s v="[Material].[H_MainGroup].[MainGroupDesc].&amp;[Salon].&amp;[Çocuk Çarşaf]" c="Çocuk Çarşaf"/>
        <s v="[Material].[H_MainGroup].[MainGroupDesc].&amp;[Salon].&amp;[Çocuk Çorap]" c="Çocuk Çorap"/>
        <s v="[Material].[H_MainGroup].[MainGroupDesc].&amp;[Salon].&amp;[Çocuk Eldiven]" c="Çocuk Eldiven"/>
        <s v="[Material].[H_MainGroup].[MainGroupDesc].&amp;[Salon].&amp;[Çocuk Ev Ayakkabısı]" c="Çocuk Ev Ayakkabısı"/>
        <s v="[Material].[H_MainGroup].[MainGroupDesc].&amp;[Salon].&amp;[Çocuk Panço]" c="Çocuk Panço"/>
        <s v="[Material].[H_MainGroup].[MainGroupDesc].&amp;[Salon].&amp;[Çocuk Pijama Takımı]" c="Çocuk Pijama Takımı"/>
        <s v="[Material].[H_MainGroup].[MainGroupDesc].&amp;[Salon].&amp;[Çocuk Terliği]" c="Çocuk Terliği"/>
        <s v="[Material].[H_MainGroup].[MainGroupDesc].&amp;[Salon].&amp;[Çocuk Üst]" c="Çocuk Üst"/>
        <s v="[Material].[H_MainGroup].[MainGroupDesc].&amp;[Salon].&amp;[Çorap]" c="Çorap"/>
        <s v="[Material].[H_MainGroup].[MainGroupDesc].&amp;[Salon].&amp;[Dekoratif Koltuk]" c="Dekoratif Koltuk"/>
        <s v="[Material].[H_MainGroup].[MainGroupDesc].&amp;[Salon].&amp;[Dekoratif Minder]" c="Dekoratif Minder"/>
        <s v="[Material].[H_MainGroup].[MainGroupDesc].&amp;[Salon].&amp;[Dekoratif Puf]" c="Dekoratif Puf"/>
        <s v="[Material].[H_MainGroup].[MainGroupDesc].&amp;[Salon].&amp;[Deniz Şortu]" c="Deniz Şortu"/>
        <s v="[Material].[H_MainGroup].[MainGroupDesc].&amp;[Salon].&amp;[Diğer]" c="Diğer"/>
        <s v="[Material].[H_MainGroup].[MainGroupDesc].&amp;[Salon].&amp;[Dolgulu Kırlent]" c="Dolgulu Kırlent"/>
        <s v="[Material].[H_MainGroup].[MainGroupDesc].&amp;[Salon].&amp;[Döşemelik Kumaş]" c="Döşemelik Kumaş"/>
        <s v="[Material].[H_MainGroup].[MainGroupDesc].&amp;[Salon].&amp;[Duvar Kağıdı]" c="Duvar Kağıdı"/>
        <s v="[Material].[H_MainGroup].[MainGroupDesc].&amp;[Salon].&amp;[Düzenleyici]" c="Düzenleyici"/>
        <s v="[Material].[H_MainGroup].[MainGroupDesc].&amp;[Salon].&amp;[Eldiven]" c="Eldiven"/>
        <s v="[Material].[H_MainGroup].[MainGroupDesc].&amp;[Salon].&amp;[Ev Elbisesi]" c="Ev Elbisesi"/>
        <s v="[Material].[H_MainGroup].[MainGroupDesc].&amp;[Salon].&amp;[Ev Terliği]" c="Ev Terliği"/>
        <s v="[Material].[H_MainGroup].[MainGroupDesc].&amp;[Salon].&amp;[Evcil Hayvan Yatağı]" c="Evcil Hayvan Yatağı"/>
        <s v="[Material].[H_MainGroup].[MainGroupDesc].&amp;[Salon].&amp;[Fanila]" c="Fanila"/>
        <s v="[Material].[H_MainGroup].[MainGroupDesc].&amp;[Salon].&amp;[Fon Perde]" c="Fon Perde"/>
        <s v="[Material].[H_MainGroup].[MainGroupDesc].&amp;[Salon].&amp;[Gecelik]" c="Gecelik"/>
        <s v="[Material].[H_MainGroup].[MainGroupDesc].&amp;[Salon].&amp;[Hasır Çanta]" c="Hasır Çanta"/>
        <s v="[Material].[H_MainGroup].[MainGroupDesc].&amp;[Salon].&amp;[İç Çamaşır Takımı]" c="İç Çamaşır Takımı"/>
        <s v="[Material].[H_MainGroup].[MainGroupDesc].&amp;[Salon].&amp;[İçlik]" c="İçlik"/>
        <s v="[Material].[H_MainGroup].[MainGroupDesc].&amp;[Salon].&amp;[Kapri Takım]" c="Kapri Takım"/>
        <s v="[Material].[H_MainGroup].[MainGroupDesc].&amp;[Salon].&amp;[Kartela Kumaşı]" c="Kartela Kumaşı"/>
        <s v="[Material].[H_MainGroup].[MainGroupDesc].&amp;[Salon].&amp;[Kırlent]" c="Kırlent"/>
        <s v="[Material].[H_MainGroup].[MainGroupDesc].&amp;[Salon].&amp;[Kısa Gecelik]" c="Kısa Gecelik"/>
        <s v="[Material].[H_MainGroup].[MainGroupDesc].&amp;[Salon].&amp;[Klozet Adaptörü]" c="Klozet Adaptörü"/>
        <s v="[Material].[H_MainGroup].[MainGroupDesc].&amp;[Salon].&amp;[Koltuk Örtüsü]" c="Koltuk Örtüsü"/>
        <s v="[Material].[H_MainGroup].[MainGroupDesc].&amp;[Salon].&amp;[Koltuk Şalı]" c="Koltuk Şalı"/>
        <s v="[Material].[H_MainGroup].[MainGroupDesc].&amp;[Salon].&amp;[Külot]" c="Külot"/>
        <s v="[Material].[H_MainGroup].[MainGroupDesc].&amp;[Salon].&amp;[Küpe]" c="Küpe"/>
        <s v="[Material].[H_MainGroup].[MainGroupDesc].&amp;[Salon].&amp;[Omuz Şalı]" c="Omuz Şalı"/>
        <s v="[Material].[H_MainGroup].[MainGroupDesc].&amp;[Salon].&amp;[Panço]" c="Panço"/>
        <s v="[Material].[H_MainGroup].[MainGroupDesc].&amp;[Salon].&amp;[Panduf Ev Babeti]" c="Panduf Ev Babeti"/>
        <s v="[Material].[H_MainGroup].[MainGroupDesc].&amp;[Salon].&amp;[Panduf Ev Botu]" c="Panduf Ev Botu"/>
        <s v="[Material].[H_MainGroup].[MainGroupDesc].&amp;[Salon].&amp;[Patik Çorap]" c="Patik Çorap"/>
        <s v="[Material].[H_MainGroup].[MainGroupDesc].&amp;[Salon].&amp;[Peluş Çorap]" c="Peluş Çorap"/>
        <s v="[Material].[H_MainGroup].[MainGroupDesc].&amp;[Salon].&amp;[Pijama Takımı]" c="Pijama Takımı"/>
        <s v="[Material].[H_MainGroup].[MainGroupDesc].&amp;[Salon].&amp;[Pijama Üst]" c="Pijama Üst"/>
        <s v="[Material].[H_MainGroup].[MainGroupDesc].&amp;[Salon].&amp;[Plaj Çantası.]" c="Plaj Çantası."/>
        <s v="[Material].[H_MainGroup].[MainGroupDesc].&amp;[Salon].&amp;[Plaj Elbisesi]" c="Plaj Elbisesi"/>
        <s v="[Material].[H_MainGroup].[MainGroupDesc].&amp;[Salon].&amp;[Plaj Pantolonu]" c="Plaj Pantolonu"/>
        <s v="[Material].[H_MainGroup].[MainGroupDesc].&amp;[Salon].&amp;[Plaj Terliği]" c="Plaj Terliği"/>
        <s v="[Material].[H_MainGroup].[MainGroupDesc].&amp;[Salon].&amp;[Puf.]" c="Puf."/>
        <s v="[Material].[H_MainGroup].[MainGroupDesc].&amp;[Salon].&amp;[Puset]" c="Puset"/>
        <s v="[Material].[H_MainGroup].[MainGroupDesc].&amp;[Salon].&amp;[Sabahlık]" c="Sabahlık"/>
        <s v="[Material].[H_MainGroup].[MainGroupDesc].&amp;[Salon].&amp;[Sallanan Koltuk]" c="Sallanan Koltuk"/>
        <s v="[Material].[H_MainGroup].[MainGroupDesc].&amp;[Salon].&amp;[Sandalye Minderi]" c="Sandalye Minderi"/>
        <s v="[Material].[H_MainGroup].[MainGroupDesc].&amp;[Salon].&amp;[Seyahat Çantası]" c="Seyahat Çantası"/>
        <s v="[Material].[H_MainGroup].[MainGroupDesc].&amp;[Salon].&amp;[Sneaker Çorap]" c="Sneaker Çorap"/>
        <s v="[Material].[H_MainGroup].[MainGroupDesc].&amp;[Salon].&amp;[Sokak Terliği]" c="Sokak Terliği"/>
        <s v="[Material].[H_MainGroup].[MainGroupDesc].&amp;[Salon].&amp;[Soket Çorap]" c="Soket Çorap"/>
        <s v="[Material].[H_MainGroup].[MainGroupDesc].&amp;[Salon].&amp;[Şort]" c="Şort"/>
        <s v="[Material].[H_MainGroup].[MainGroupDesc].&amp;[Salon].&amp;[Şort Takım]" c="Şort Takım"/>
        <s v="[Material].[H_MainGroup].[MainGroupDesc].&amp;[Salon].&amp;[Spor Tshirt]" c="Spor Tshirt"/>
        <s v="[Material].[H_MainGroup].[MainGroupDesc].&amp;[Salon].&amp;[Stor Perde]" c="Stor Perde"/>
        <s v="[Material].[H_MainGroup].[MainGroupDesc].&amp;[Salon].&amp;[Sütyen]" c="Sütyen"/>
        <s v="[Material].[H_MainGroup].[MainGroupDesc].&amp;[Salon].&amp;[Tayt]" c="Tayt"/>
        <s v="[Material].[H_MainGroup].[MainGroupDesc].&amp;[Salon].&amp;[Tek Alt]" c="Tek Alt"/>
        <s v="[Material].[H_MainGroup].[MainGroupDesc].&amp;[Salon].&amp;[Tek Uzun Alt]" c="Tek Uzun Alt"/>
        <s v="[Material].[H_MainGroup].[MainGroupDesc].&amp;[Salon].&amp;[Ten Çorap]" c="Ten Çorap"/>
        <s v="[Material].[H_MainGroup].[MainGroupDesc].&amp;[Salon].&amp;[Tül Perde]" c="Tül Perde"/>
        <s v="[Material].[H_MainGroup].[MainGroupDesc].&amp;[Salon].&amp;[Uzun Gecelik]" c="Uzun Gecelik"/>
        <s v="[Material].[H_MainGroup].[MainGroupDesc].&amp;[Salon].&amp;[Yaslanma Minderi]" c="Yaslanma Minderi"/>
        <s v="[Material].[H_MainGroup].[MainGroupDesc].&amp;[Salon].&amp;[Yer Minderi]" c="Yer Minderi"/>
        <s v="[Material].[H_MainGroup].[MainGroupDesc].&amp;[Sofra İçecek].&amp;[Bardak]" c="Bardak"/>
        <s v="[Material].[H_MainGroup].[MainGroupDesc].&amp;[Sofra İçecek].&amp;[Bira Bardağı]" c="Bira Bardağı"/>
        <s v="[Material].[H_MainGroup].[MainGroupDesc].&amp;[Sofra İçecek].&amp;[Çay Bardağı]" c="Çay Bardağı"/>
        <s v="[Material].[H_MainGroup].[MainGroupDesc].&amp;[Sofra İçecek].&amp;[Çay Fincanı]" c="Çay Fincanı"/>
        <s v="[Material].[H_MainGroup].[MainGroupDesc].&amp;[Sofra İçecek].&amp;[Çay Seti]" c="Çay Seti"/>
        <s v="[Material].[H_MainGroup].[MainGroupDesc].&amp;[Sofra İçecek].&amp;[Çay Takımı]" c="Çay Takımı"/>
        <s v="[Material].[H_MainGroup].[MainGroupDesc].&amp;[Sofra İçecek].&amp;[Çay-Kahve Takımı]" c="Çay-Kahve Takımı"/>
        <s v="[Material].[H_MainGroup].[MainGroupDesc].&amp;[Sofra İçecek].&amp;[Detoks Bardağı]" c="Detoks Bardağı"/>
        <s v="[Material].[H_MainGroup].[MainGroupDesc].&amp;[Sofra İçecek].&amp;[Espresso Bardağı]" c="Espresso Bardağı"/>
        <s v="[Material].[H_MainGroup].[MainGroupDesc].&amp;[Sofra İçecek].&amp;[Fincan]" c="Fincan"/>
        <s v="[Material].[H_MainGroup].[MainGroupDesc].&amp;[Sofra İçecek].&amp;[Kadeh]" c="Kadeh"/>
        <s v="[Material].[H_MainGroup].[MainGroupDesc].&amp;[Sofra İçecek].&amp;[Kahve Fincan Takımı]" c="Kahve Fincan Takımı"/>
        <s v="[Material].[H_MainGroup].[MainGroupDesc].&amp;[Sofra İçecek].&amp;[Kahve Fincanı]" c="Kahve Fincanı"/>
        <s v="[Material].[H_MainGroup].[MainGroupDesc].&amp;[Sofra İçecek].&amp;[Kokteyl Bardağı]" c="Kokteyl Bardağı"/>
        <s v="[Material].[H_MainGroup].[MainGroupDesc].&amp;[Sofra İçecek].&amp;[Kupa]" c="Kupa"/>
        <s v="[Material].[H_MainGroup].[MainGroupDesc].&amp;[Sofra İçecek].&amp;[Likör Bardağı]" c="Likör Bardağı"/>
        <s v="[Material].[H_MainGroup].[MainGroupDesc].&amp;[Sofra İçecek].&amp;[Meşrubat Bardağı]" c="Meşrubat Bardağı"/>
        <s v="[Material].[H_MainGroup].[MainGroupDesc].&amp;[Sofra İçecek].&amp;[Mug]" c="Mug"/>
        <s v="[Material].[H_MainGroup].[MainGroupDesc].&amp;[Sofra İçecek].&amp;[Pipetli Bardak]" c="Pipetli Bardak"/>
        <s v="[Material].[H_MainGroup].[MainGroupDesc].&amp;[Sofra İçecek].&amp;[Şarap Kadehi]" c="Şarap Kadehi"/>
        <s v="[Material].[H_MainGroup].[MainGroupDesc].&amp;[Sofra İçecek].&amp;[Su Bardağı]" c="Su Bardağı"/>
        <s v="[Material].[H_MainGroup].[MainGroupDesc].&amp;[Sofra Sunum].&amp;[Amerikan Servis]" c="Amerikan Servis"/>
        <s v="[Material].[H_MainGroup].[MainGroupDesc].&amp;[Sofra Sunum].&amp;[Aşçı Eldiven]" c="Aşçı Eldiven"/>
        <s v="[Material].[H_MainGroup].[MainGroupDesc].&amp;[Sofra Sunum].&amp;[Başucu Sürahi]" c="Başucu Sürahi"/>
        <s v="[Material].[H_MainGroup].[MainGroupDesc].&amp;[Sofra Sunum].&amp;[Bebe Mama Takımı]" c="Bebe Mama Takımı"/>
        <s v="[Material].[H_MainGroup].[MainGroupDesc].&amp;[Sofra Sunum].&amp;[Buz Kovası]" c="Buz Kovası"/>
        <s v="[Material].[H_MainGroup].[MainGroupDesc].&amp;[Sofra Sunum].&amp;[Çerezlik]" c="Çerezlik"/>
        <s v="[Material].[H_MainGroup].[MainGroupDesc].&amp;[Sofra Sunum].&amp;[Çocuk Fırın Eldiveni]" c="Çocuk Fırın Eldiveni"/>
        <s v="[Material].[H_MainGroup].[MainGroupDesc].&amp;[Sofra Sunum].&amp;[Çocuk Önlüğü]" c="Çocuk Önlüğü"/>
        <s v="[Material].[H_MainGroup].[MainGroupDesc].&amp;[Sofra Sunum].&amp;[Çorba Kasesi]" c="Çorba Kasesi"/>
        <s v="[Material].[H_MainGroup].[MainGroupDesc].&amp;[Sofra Sunum].&amp;[Çukur Tabak]" c="Çukur Tabak"/>
        <s v="[Material].[H_MainGroup].[MainGroupDesc].&amp;[Sofra Sunum].&amp;[Cup]" c="Cup"/>
        <s v="[Material].[H_MainGroup].[MainGroupDesc].&amp;[Sofra Sunum].&amp;[Damacana Kılıfı]" c="Damacana Kılıfı"/>
        <s v="[Material].[H_MainGroup].[MainGroupDesc].&amp;[Sofra Sunum].&amp;[Dekoratif Şekerlik]" c="Dekoratif Şekerlik"/>
        <s v="[Material].[H_MainGroup].[MainGroupDesc].&amp;[Sofra Sunum].&amp;[Dizüstü Tepsi]" c="Dizüstü Tepsi"/>
        <s v="[Material].[H_MainGroup].[MainGroupDesc].&amp;[Sofra Sunum].&amp;[Kağıt Peçete]" c="Kağıt Peçete"/>
        <s v="[Material].[H_MainGroup].[MainGroupDesc].&amp;[Sofra Sunum].&amp;[Kahvaltılık]" c="Kahvaltılık"/>
        <s v="[Material].[H_MainGroup].[MainGroupDesc].&amp;[Sofra Sunum].&amp;[Karaf]" c="Karaf"/>
        <s v="[Material].[H_MainGroup].[MainGroupDesc].&amp;[Sofra Sunum].&amp;[Karaf Seti]" c="Karaf Seti"/>
        <s v="[Material].[H_MainGroup].[MainGroupDesc].&amp;[Sofra Sunum].&amp;[Kase]" c="Kase"/>
        <s v="[Material].[H_MainGroup].[MainGroupDesc].&amp;[Sofra Sunum].&amp;[Katlı Servis]" c="Katlı Servis"/>
        <s v="[Material].[H_MainGroup].[MainGroupDesc].&amp;[Sofra Sunum].&amp;[Kayık Tabak]" c="Kayık Tabak"/>
        <s v="[Material].[H_MainGroup].[MainGroupDesc].&amp;[Sofra Sunum].&amp;[Kek Fanus]" c="Kek Fanus"/>
        <s v="[Material].[H_MainGroup].[MainGroupDesc].&amp;[Sofra Sunum].&amp;[Kek Standı]" c="Kek Standı"/>
        <s v="[Material].[H_MainGroup].[MainGroupDesc].&amp;[Sofra Sunum].&amp;[Kokteyl Peçetesi]" c="Kokteyl Peçetesi"/>
        <s v="[Material].[H_MainGroup].[MainGroupDesc].&amp;[Sofra Sunum].&amp;[Kokteyl Seti]" c="Kokteyl Seti"/>
        <s v="[Material].[H_MainGroup].[MainGroupDesc].&amp;[Sofra Sunum].&amp;[Kurabiyelik]" c="Kurabiyelik"/>
        <s v="[Material].[H_MainGroup].[MainGroupDesc].&amp;[Sofra Sunum].&amp;[Kurulama Bezi]" c="Kurulama Bezi"/>
        <s v="[Material].[H_MainGroup].[MainGroupDesc].&amp;[Sofra Sunum].&amp;[Lokumluk]" c="Lokumluk"/>
        <s v="[Material].[H_MainGroup].[MainGroupDesc].&amp;[Sofra Sunum].&amp;[Masa Örtüsü]" c="Masa Örtüsü"/>
        <s v="[Material].[H_MainGroup].[MainGroupDesc].&amp;[Sofra Sunum].&amp;[Meşrubatlık]" c="Meşrubatlık"/>
        <s v="[Material].[H_MainGroup].[MainGroupDesc].&amp;[Sofra Sunum].&amp;[Misafir Peçetesi]" c="Misafir Peçetesi"/>
        <s v="[Material].[H_MainGroup].[MainGroupDesc].&amp;[Sofra Sunum].&amp;[Mutfak Bezi]" c="Mutfak Bezi"/>
        <s v="[Material].[H_MainGroup].[MainGroupDesc].&amp;[Sofra Sunum].&amp;[Mutfak Masa Örtüsü]" c="Mutfak Masa Örtüsü"/>
        <s v="[Material].[H_MainGroup].[MainGroupDesc].&amp;[Sofra Sunum].&amp;[Mutfak Minderi]" c="Mutfak Minderi"/>
        <s v="[Material].[H_MainGroup].[MainGroupDesc].&amp;[Sofra Sunum].&amp;[Mutfak Önlüğü]" c="Mutfak Önlüğü"/>
        <s v="[Material].[H_MainGroup].[MainGroupDesc].&amp;[Sofra Sunum].&amp;[Mutfak Runnerı]" c="Mutfak Runnerı"/>
        <s v="[Material].[H_MainGroup].[MainGroupDesc].&amp;[Sofra Sunum].&amp;[Mutfak Seti]" c="Mutfak Seti"/>
        <s v="[Material].[H_MainGroup].[MainGroupDesc].&amp;[Sofra Sunum].&amp;[Pasta Tabağı]" c="Pasta Tabağı"/>
        <s v="[Material].[H_MainGroup].[MainGroupDesc].&amp;[Sofra Sunum].&amp;[Peçete Halkası]" c="Peçete Halkası"/>
        <s v="[Material].[H_MainGroup].[MainGroupDesc].&amp;[Sofra Sunum].&amp;[Peçete Yüzüğü]" c="Peçete Yüzüğü"/>
        <s v="[Material].[H_MainGroup].[MainGroupDesc].&amp;[Sofra Sunum].&amp;[Peynir Tabağı]" c="Peynir Tabağı"/>
        <s v="[Material].[H_MainGroup].[MainGroupDesc].&amp;[Sofra Sunum].&amp;[Peynir Tahtası]" c="Peynir Tahtası"/>
        <s v="[Material].[H_MainGroup].[MainGroupDesc].&amp;[Sofra Sunum].&amp;[Piknik Çantası]" c="Piknik Çantası"/>
        <s v="[Material].[H_MainGroup].[MainGroupDesc].&amp;[Sofra Sunum].&amp;[Piknik Örtüsü.]" c="Piknik Örtüsü."/>
        <s v="[Material].[H_MainGroup].[MainGroupDesc].&amp;[Sofra Sunum].&amp;[Pizza Tabağı]" c="Pizza Tabağı"/>
        <s v="[Material].[H_MainGroup].[MainGroupDesc].&amp;[Sofra Sunum].&amp;[Reçellik]" c="Reçellik"/>
        <s v="[Material].[H_MainGroup].[MainGroupDesc].&amp;[Sofra Sunum].&amp;[Runner]" c="Runner"/>
        <s v="[Material].[H_MainGroup].[MainGroupDesc].&amp;[Sofra Sunum].&amp;[Salata Kasesi]" c="Salata Kasesi"/>
        <s v="[Material].[H_MainGroup].[MainGroupDesc].&amp;[Sofra Sunum].&amp;[Sehpa Örtüsü]" c="Sehpa Örtüsü"/>
        <s v="[Material].[H_MainGroup].[MainGroupDesc].&amp;[Sofra Sunum].&amp;[Şekerlik]" c="Şekerlik"/>
        <s v="[Material].[H_MainGroup].[MainGroupDesc].&amp;[Sofra Sunum].&amp;[Servis Standı]" c="Servis Standı"/>
        <s v="[Material].[H_MainGroup].[MainGroupDesc].&amp;[Sofra Sunum].&amp;[Servis Tabağı]" c="Servis Tabağı"/>
        <s v="[Material].[H_MainGroup].[MainGroupDesc].&amp;[Sofra Sunum].&amp;[Servis Tamamlayıcı]" c="Servis Tamamlayıcı"/>
        <s v="[Material].[H_MainGroup].[MainGroupDesc].&amp;[Sofra Sunum].&amp;[Şişe]" c="Şişe"/>
        <s v="[Material].[H_MainGroup].[MainGroupDesc].&amp;[Sofra Sunum].&amp;[Sosluk]" c="Sosluk"/>
        <s v="[Material].[H_MainGroup].[MainGroupDesc].&amp;[Sofra Sunum].&amp;[Su Takımı]" c="Su Takımı"/>
        <s v="[Material].[H_MainGroup].[MainGroupDesc].&amp;[Sofra Sunum].&amp;[Sunum Kasesi]" c="Sunum Kasesi"/>
        <s v="[Material].[H_MainGroup].[MainGroupDesc].&amp;[Sofra Sunum].&amp;[Sunum Seti]" c="Sunum Seti"/>
        <s v="[Material].[H_MainGroup].[MainGroupDesc].&amp;[Sofra Sunum].&amp;[Sunum Tabağı]" c="Sunum Tabağı"/>
        <s v="[Material].[H_MainGroup].[MainGroupDesc].&amp;[Sofra Sunum].&amp;[Sunum Tahtası]" c="Sunum Tahtası"/>
        <s v="[Material].[H_MainGroup].[MainGroupDesc].&amp;[Sofra Sunum].&amp;[Sunumluk]" c="Sunumluk"/>
        <s v="[Material].[H_MainGroup].[MainGroupDesc].&amp;[Sofra Sunum].&amp;[Supla]" c="Supla"/>
        <s v="[Material].[H_MainGroup].[MainGroupDesc].&amp;[Sofra Sunum].&amp;[Supla Altı]" c="Supla Altı"/>
        <s v="[Material].[H_MainGroup].[MainGroupDesc].&amp;[Sofra Sunum].&amp;[Sürahi]" c="Sürahi"/>
        <s v="[Material].[H_MainGroup].[MainGroupDesc].&amp;[Sofra Sunum].&amp;[Tabak]" c="Tabak"/>
        <s v="[Material].[H_MainGroup].[MainGroupDesc].&amp;[Sofra Sunum].&amp;[Tatlı Tabağı]" c="Tatlı Tabağı"/>
        <s v="[Material].[H_MainGroup].[MainGroupDesc].&amp;[Sofra Sunum].&amp;[Tepsi]" c="Tepsi"/>
        <s v="[Material].[H_MainGroup].[MainGroupDesc].&amp;[Sofra Sunum].&amp;[Tereyağlık]" c="Tereyağlık"/>
        <s v="[Material].[H_MainGroup].[MainGroupDesc].&amp;[Sofra Sunum].&amp;[Tutaç]" c="Tutaç"/>
        <s v="[Material].[H_MainGroup].[MainGroupDesc].&amp;[Sofra Sunum].&amp;[Tuzluk]" c="Tuzluk"/>
        <s v="[Material].[H_MainGroup].[MainGroupDesc].&amp;[Sofra Sunum].&amp;[Tuzluk - Biberlik]" c="Tuzluk - Biberlik"/>
        <s v="[Material].[H_MainGroup].[MainGroupDesc].&amp;[Sofra Sunum].&amp;[Yağdanlık]" c="Yağdanlık"/>
        <s v="[Material].[H_MainGroup].[MainGroupDesc].&amp;[Sofra Sunum].&amp;[Yağ-Sirke-Tuz-Bbr]" c="Yağ-Sirke-Tuz-Bbr"/>
        <s v="[Material].[H_MainGroup].[MainGroupDesc].&amp;[Sofra Takımları].&amp;[Çatal Kaşık Bıçak Tk]" c="Çatal Kaşık Bıçak Tk"/>
        <s v="[Material].[H_MainGroup].[MainGroupDesc].&amp;[Sofra Takımları].&amp;[Çay Kaşığı]" c="Çay Kaşığı"/>
        <s v="[Material].[H_MainGroup].[MainGroupDesc].&amp;[Sofra Takımları].&amp;[Çay Tabağı]" c="Çay Tabağı"/>
        <s v="[Material].[H_MainGroup].[MainGroupDesc].&amp;[Sofra Takımları].&amp;[Kahvaltı Takımı]" c="Kahvaltı Takımı"/>
        <s v="[Material].[H_MainGroup].[MainGroupDesc].&amp;[Sofra Takımları].&amp;[Kokteyl Çatalı]" c="Kokteyl Çatalı"/>
        <s v="[Material].[H_MainGroup].[MainGroupDesc].&amp;[Sofra Takımları].&amp;[Kokteyl Karıştırıcı]" c="Kokteyl Karıştırıcı"/>
        <s v="[Material].[H_MainGroup].[MainGroupDesc].&amp;[Sofra Takımları].&amp;[Pasta Seti]" c="Pasta Seti"/>
        <s v="[Material].[H_MainGroup].[MainGroupDesc].&amp;[Sofra Takımları].&amp;[Tatlı Bıçağı]" c="Tatlı Bıçağı"/>
        <s v="[Material].[H_MainGroup].[MainGroupDesc].&amp;[Sofra Takımları].&amp;[Tatlı Çatalı]" c="Tatlı Çatalı"/>
        <s v="[Material].[H_MainGroup].[MainGroupDesc].&amp;[Sofra Takımları].&amp;[Tatlı Kaşığı]" c="Tatlı Kaşığı"/>
        <s v="[Material].[H_MainGroup].[MainGroupDesc].&amp;[Sofra Takımları].&amp;[Yemek Bıçağı]" c="Yemek Bıçağı"/>
        <s v="[Material].[H_MainGroup].[MainGroupDesc].&amp;[Sofra Takımları].&amp;[Yemek Çatalı]" c="Yemek Çatalı"/>
        <s v="[Material].[H_MainGroup].[MainGroupDesc].&amp;[Sofra Takımları].&amp;[Yemek Kaşığı]" c="Yemek Kaşığı"/>
        <s v="[Material].[H_MainGroup].[MainGroupDesc].&amp;[Sofra Takımları].&amp;[Yemek Takımı]" c="Yemek Takımı"/>
        <s v="[Material].[H_MainGroup].[MainGroupDesc].&amp;[Yastık].&amp;[Alez Yastık Kılıfı]" c="Alez Yastık Kılıfı"/>
        <s v="[Material].[H_MainGroup].[MainGroupDesc].&amp;[Yastık].&amp;[Bebe Yastık]" c="Bebe Yastık"/>
        <s v="[Material].[H_MainGroup].[MainGroupDesc].&amp;[Yastık].&amp;[Bel Yastığı]" c="Bel Yastığı"/>
        <s v="[Material].[H_MainGroup].[MainGroupDesc].&amp;[Yastık].&amp;[Çocuk Yastık]" c="Çocuk Yastık"/>
        <s v="[Material].[H_MainGroup].[MainGroupDesc].&amp;[Yastık].&amp;[Çocuk Yastık Kılıfı]" c="Çocuk Yastık Kılıfı"/>
        <s v="[Material].[H_MainGroup].[MainGroupDesc].&amp;[Yastık].&amp;[Dekoratif Yastık]" c="Dekoratif Yastık"/>
        <s v="[Material].[H_MainGroup].[MainGroupDesc].&amp;[Yastık].&amp;[Destekli Yastık]" c="Destekli Yastık"/>
        <s v="[Material].[H_MainGroup].[MainGroupDesc].&amp;[Yastık].&amp;[Kırlent Yastık]" c="Kırlent Yastık"/>
        <s v="[Material].[H_MainGroup].[MainGroupDesc].&amp;[Yastık].&amp;[Yastık]" c="Yastık"/>
        <s v="[Material].[H_MainGroup].[MainGroupDesc].&amp;[Yastık].&amp;[Yastık Alezi]" c="Yastık Alezi"/>
        <s v="[Material].[H_MainGroup].[MainGroupDesc].&amp;[Yatak Örtüsü].&amp;[Bebe Yatak K. Koruma]" c="Bebe Yatak K. Koruma"/>
        <s v="[Material].[H_MainGroup].[MainGroupDesc].&amp;[Yatak Örtüsü].&amp;[Bebe Yatak Koruma]" c="Bebe Yatak Koruma"/>
        <s v="[Material].[H_MainGroup].[MainGroupDesc].&amp;[Yatak Örtüsü].&amp;[Çocuk Yatak Örtü Tkm]" c="Çocuk Yatak Örtü Tkm"/>
        <s v="[Material].[H_MainGroup].[MainGroupDesc].&amp;[Yatak Örtüsü].&amp;[Çok Amaçlı Örtü]" c="Çok Amaçlı Örtü"/>
        <s v="[Material].[H_MainGroup].[MainGroupDesc].&amp;[Yatak Örtüsü].&amp;[Yatak Örtüsü]" c="Yatak Örtüsü"/>
        <s v="[Material].[H_MainGroup].[MainGroupDesc].&amp;[Yatak Örtüsü].&amp;[Yatak Örtüsü Takımı]" c="Yatak Örtüsü Takımı"/>
        <s v="[Material].[H_MainGroup].[MainGroupDesc].&amp;[YEDEK PARÇA].&amp;[Airfryer YP]" c="Airfryer YP"/>
        <s v="[Material].[H_MainGroup].[MainGroupDesc].&amp;[YEDEK PARÇA].&amp;[Çay Makinesi YP]" c="Çay Makinesi YP"/>
        <s v="[Material].[H_MainGroup].[MainGroupDesc].&amp;[YEDEK PARÇA].&amp;[Doğrayıcı YP]" c="Doğrayıcı YP"/>
        <s v="[Material].[H_MainGroup].[MainGroupDesc].&amp;[YEDEK PARÇA].&amp;[El Blen.Multi Set YP]" c="El Blen.Multi Set YP"/>
        <s v="[Material].[H_MainGroup].[MainGroupDesc].&amp;[YEDEK PARÇA].&amp;[El Mikseri YP]" c="El Mikseri YP"/>
        <s v="[Material].[H_MainGroup].[MainGroupDesc].&amp;[YEDEK PARÇA].&amp;[Elektrikli Süpürge Y]" c="Elektrikli Süpürge Y"/>
        <s v="[Material].[H_MainGroup].[MainGroupDesc].&amp;[YEDEK PARÇA].&amp;[Filtre Kahve M.YP]" c="Filtre Kahve M.YP"/>
        <s v="[Material].[H_MainGroup].[MainGroupDesc].&amp;[YEDEK PARÇA].&amp;[Izgara ve Tost M. YP]" c="Izgara ve Tost M. YP"/>
        <s v="[Material].[H_MainGroup].[MainGroupDesc].&amp;[YEDEK PARÇA].&amp;[KEA YP]" c="KEA YP"/>
        <s v="[Material].[H_MainGroup].[MainGroupDesc].&amp;[YEDEK PARÇA].&amp;[Kişisel Blender YP]" c="Kişisel Blender YP"/>
        <s v="[Material].[H_MainGroup].[MainGroupDesc].&amp;[YEDEK PARÇA].&amp;[Kozmetik YP]" c="Kozmetik YP"/>
        <s v="[Material].[H_MainGroup].[MainGroupDesc].&amp;[YEDEK PARÇA].&amp;[Mutfak YP]" c="Mutfak YP"/>
        <s v="[Material].[H_MainGroup].[MainGroupDesc].&amp;[YEDEK PARÇA].&amp;[Pişirme YP]" c="Pişirme YP"/>
        <s v="[Material].[H_MainGroup].[MainGroupDesc].&amp;[YEDEK PARÇA].&amp;[Saç Kurutma YP]" c="Saç Kurutma YP"/>
        <s v="[Material].[H_MainGroup].[MainGroupDesc].&amp;[YEDEK PARÇA].&amp;[Sarf YP]" c="Sarf YP"/>
        <s v="[Material].[H_MainGroup].[MainGroupDesc].&amp;[YEDEK PARÇA].&amp;[Şarjlı Süpürge YP.]" c="Şarjlı Süpürge YP."/>
        <s v="[Material].[H_MainGroup].[MainGroupDesc].&amp;[YEDEK PARÇA].&amp;[Sofra YP]" c="Sofra YP"/>
        <s v="[Material].[H_MainGroup].[MainGroupDesc].&amp;[YEDEK PARÇA].&amp;[SSH YP]" c="SSH YP"/>
        <s v="[Material].[H_MainGroup].[MainGroupDesc].&amp;[YEDEK PARÇA].&amp;[Stand Mikser YP]" c="Stand Mikser YP"/>
        <s v="[Material].[H_MainGroup].[MainGroupDesc].&amp;[YEDEK PARÇA].&amp;[Su Isıtıcısı YP.]" c="Su Isıtıcısı YP."/>
        <s v="[Material].[H_MainGroup].[MainGroupDesc].&amp;[YEDEK PARÇA].&amp;[Sürahi Blender YP]" c="Sürahi Blender YP"/>
        <s v="[Material].[H_MainGroup].[MainGroupDesc].&amp;[YEDEK PARÇA].&amp;[Türk Kahve M. YP]" c="Türk Kahve M. YP"/>
        <s v="[Material].[H_MainGroup].[MainGroupDesc].&amp;[YEDEK PARÇA].&amp;[Waffle Makinesi YP]" c="Waffle Makinesi YP"/>
        <s v="[Material].[H_MainGroup].[MainGroupDesc].&amp;[Yorgan].&amp;[Alez]" c="Alez"/>
        <s v="[Material].[H_MainGroup].[MainGroupDesc].&amp;[Yorgan].&amp;[Bebe Alez]" c="Bebe Alez"/>
        <s v="[Material].[H_MainGroup].[MainGroupDesc].&amp;[Yorgan].&amp;[Bebe Yorgan]" c="Bebe Yorgan"/>
        <s v="[Material].[H_MainGroup].[MainGroupDesc].&amp;[Yorgan].&amp;[Bebe Yorgan Set]" c="Bebe Yorgan Set"/>
        <s v="[Material].[H_MainGroup].[MainGroupDesc].&amp;[Yorgan].&amp;[Uyku Seti]" c="Uyku Seti"/>
        <s v="[Material].[H_MainGroup].[MainGroupDesc].&amp;[Yorgan].&amp;[Yastık ve Yorgan Tk]" c="Yastık ve Yorgan Tk"/>
        <s v="[Material].[H_MainGroup].[MainGroupDesc].&amp;[Yorgan].&amp;[Yatak Eteği]" c="Yatak Eteği"/>
        <s v="[Material].[H_MainGroup].[MainGroupDesc].&amp;[Yorgan].&amp;[Yatak Pedi.]" c="Yatak Pedi."/>
        <s v="[Material].[H_MainGroup].[MainGroupDesc].&amp;[Yorgan].&amp;[Yorgan]" c="Yorgan"/>
      </sharedItems>
    </cacheField>
    <cacheField name="[Measures].[TY Invoice Count]" caption="TY Invoice Count" numFmtId="0" hierarchy="873" level="32767"/>
    <cacheField name="[Calendar].[MerchYearMonth].[MerchYearMonth]" caption="MerchYearMonth" numFmtId="0" hierarchy="16" level="1">
      <sharedItems containsSemiMixedTypes="0" containsString="0"/>
    </cacheField>
    <cacheField name="[Measures].[LY LFL Invoice Count]" caption="LY LFL Invoice Count" numFmtId="0" hierarchy="960" level="32767"/>
    <cacheField name="[Measures].[LY LFL Sales Unit]" caption="LY LFL Sales Unit" numFmtId="0" hierarchy="941" level="32767"/>
    <cacheField name="[Measures].[LY LFL Sales Value LC]" caption="LY LFL Sales Value LC" numFmtId="0" hierarchy="943" level="32767"/>
    <cacheField name="[Measures].[LY LFL Avg Store Stock Unit]" caption="LY LFL Avg Store Stock Unit" numFmtId="0" hierarchy="788" level="32767"/>
    <cacheField name="[Measures].[TY Unit Sales Price LC]" caption="TY Unit Sales Price LC" numFmtId="0" hierarchy="970" level="32767"/>
    <cacheField name="[Measures].[LY LFL Unit Sales Price LC]" caption="LY LFL Unit Sales Price LC" numFmtId="0" hierarchy="979" level="32767"/>
    <cacheField name="[Measures].[TY Avg DC Stock Unit]" caption="TY Avg DC Stock Unit" numFmtId="0" hierarchy="696" level="32767"/>
    <cacheField name="[Measures].[LY Avg DC Stock Unit]" caption="LY Avg DC Stock Unit" numFmtId="0" hierarchy="708" level="32767"/>
    <cacheField name="[Measures].[TY Store Cover Unit]" caption="TY Store Cover Unit" numFmtId="0" hierarchy="1533" level="32767"/>
    <cacheField name="[Measures].[LY Store Cover Unit]" caption="LY Store Cover Unit" numFmtId="0" hierarchy="1546" level="32767"/>
    <cacheField name="[Measures].[TY Gross Marjin LC%]" caption="TY Gross Marjin LC%" numFmtId="0" hierarchy="1122" level="32767"/>
    <cacheField name="[Measures].[LY Gross Marjin LC%]" caption="LY Gross Marjin LC%" numFmtId="0" hierarchy="1124" level="32767"/>
    <cacheField name="[Measures].[TY Gross Profit LC]" caption="TY Gross Profit LC" numFmtId="0" hierarchy="1006" level="32767"/>
    <cacheField name="[Measures].[LY Gross Profit LC]" caption="LY Gross Profit LC" numFmtId="0" hierarchy="1008" level="32767"/>
    <cacheField name="[Measures].[LFL Store Stock Unit TYvsLY%]" caption="LFL Store Stock Unit TYvsLY%" numFmtId="0" hierarchy="1195" level="32767"/>
    <cacheField name="[Measures].[LFL Sales Unit TYvsLY%]" caption="LFL Sales Unit TYvsLY%" numFmtId="0" hierarchy="1187" level="32767"/>
    <cacheField name="[Measures].[LFL Sales Value TYvsLY LC%]" caption="LFL Sales Value TYvsLY LC%" numFmtId="0" hierarchy="1188" level="32767"/>
    <cacheField name="[Measures].[LFL Sales Profit TYvsLY LC%]" caption="LFL Sales Profit TYvsLY LC%" numFmtId="0" hierarchy="1228" level="32767"/>
    <cacheField name="[Material].[MaterialDesc].[MaterialDesc]" caption="MaterialDesc" numFmtId="0" hierarchy="82" level="1">
      <sharedItems containsSemiMixedTypes="0" containsString="0"/>
    </cacheField>
    <cacheField name="[SalesChannel].[H_SalesChannel].[SalesOrgType]" caption="SalesOrgType" numFmtId="0" hierarchy="144" level="1">
      <sharedItems containsSemiMixedTypes="0" containsString="0"/>
    </cacheField>
    <cacheField name="[SalesChannel].[H_SalesChannel].[CountryName]" caption="CountryName" numFmtId="0" hierarchy="144" level="2">
      <sharedItems containsSemiMixedTypes="0" containsString="0"/>
    </cacheField>
    <cacheField name="[SalesChannel].[H_SalesChannel].[DistrubitionChannelDesc]" caption="DistrubitionChannelDesc" numFmtId="0" hierarchy="144" level="3">
      <sharedItems containsSemiMixedTypes="0" containsString="0"/>
    </cacheField>
    <cacheField name="[Calendar].[MerchYear].[MerchYear]" caption="MerchYear" numFmtId="0" hierarchy="15" level="1">
      <sharedItems containsSemiMixedTypes="0" containsString="0"/>
    </cacheField>
    <cacheField name="[Material].[MerchProduct].[MerchProduct]" caption="MerchProduct" numFmtId="0" hierarchy="102" level="1">
      <sharedItems containsSemiMixedTypes="0" containsString="0"/>
    </cacheField>
    <cacheField name="[Measures].[Store Stock Cost TyTWvsTyLW TRY%]" caption="Store Stock Cost TyTWvsTyLW TRY%" numFmtId="0" hierarchy="1304" level="32767"/>
    <cacheField name="[Measures].[Store Stock Unit TyTWvsTyLW%]" caption="Store Stock Unit TyTWvsTyLW%" numFmtId="0" hierarchy="1302" level="32767"/>
    <cacheField name="[Measures].[Sales Unit TyTWvsTyLW%]" caption="Sales Unit TyTWvsTyLW%" numFmtId="0" hierarchy="1294" level="32767"/>
    <cacheField name="[Measures].[Sales Value TyTWvsTyLW TRY%]" caption="Sales Value TyTWvsTyLW TRY%" numFmtId="0" hierarchy="1297" level="32767"/>
    <cacheField name="[Measures].[Unit Sales Price TyTWvsTyLW TRY%]" caption="Unit Sales Price TyTWvsTyLW TRY%" numFmtId="0" hierarchy="1311" level="32767"/>
    <cacheField name="[Calendar].[LastNWeeks].[LastNWeeks]" caption="LastNWeeks" numFmtId="0" hierarchy="11" level="1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easures].[Achieved TY Sales Budget Unit]" caption="Achieved TY Sales Budget Unit" numFmtId="0" hierarchy="1062" level="32767"/>
    <cacheField name="[Measures].[Achieved TY Sales Budget Value TRY]" caption="Achieved TY Sales Budget Value TRY" numFmtId="0" hierarchy="1075" level="32767"/>
    <cacheField name="[Measures].[Achieved TY Sales Budget Profit Value TRY]" caption="Achieved TY Sales Budget Profit Value TRY" numFmtId="0" hierarchy="1077" level="32767"/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44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2" unbalanced="0">
      <fieldsUsage count="2">
        <fieldUsage x="-1"/>
        <fieldUsage x="43"/>
      </fieldsUsage>
    </cacheHierarchy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0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36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2" unbalanced="0">
      <fieldsUsage count="2">
        <fieldUsage x="-1"/>
        <fieldUsage x="13"/>
      </fieldsUsage>
    </cacheHierarchy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0"/>
        <fieldUsage x="11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32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37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33"/>
        <fieldUsage x="34"/>
        <fieldUsage x="35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9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20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 oneField="1">
      <fieldsUsage count="1">
        <fieldUsage x="21"/>
      </fieldsUsage>
    </cacheHierarchy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7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2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15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 oneField="1">
      <fieldsUsage count="1">
        <fieldUsage x="16"/>
      </fieldsUsage>
    </cacheHierarchy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14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 oneField="1">
      <fieldsUsage count="1">
        <fieldUsage x="19"/>
      </fieldsUsage>
    </cacheHierarchy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2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 oneField="1">
      <fieldsUsage count="1">
        <fieldUsage x="27"/>
      </fieldsUsage>
    </cacheHierarchy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 oneField="1">
      <fieldsUsage count="1">
        <fieldUsage x="45"/>
      </fieldsUsage>
    </cacheHierarchy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 oneField="1">
      <fieldsUsage count="1">
        <fieldUsage x="46"/>
      </fieldsUsage>
    </cacheHierarchy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 oneField="1">
      <fieldsUsage count="1">
        <fieldUsage x="47"/>
      </fieldsUsage>
    </cacheHierarchy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4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 oneField="1">
      <fieldsUsage count="1">
        <fieldUsage x="25"/>
      </fieldsUsage>
    </cacheHierarchy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9"/>
      </fieldsUsage>
    </cacheHierarchy>
    <cacheHierarchy uniqueName="[Measures].[LFL Sales Value TYvsLY LC%]" caption="LFL Sales Value TYvsLY LC%" measure="1" displayFolder="02_TYLFL\LC" measureGroup="KPI" count="0" oneField="1">
      <fieldsUsage count="1">
        <fieldUsage x="30"/>
      </fieldsUsage>
    </cacheHierarchy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28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 oneField="1">
      <fieldsUsage count="1">
        <fieldUsage x="31"/>
      </fieldsUsage>
    </cacheHierarchy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 oneField="1">
      <fieldsUsage count="1">
        <fieldUsage x="40"/>
      </fieldsUsage>
    </cacheHierarchy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 oneField="1">
      <fieldsUsage count="1">
        <fieldUsage x="41"/>
      </fieldsUsage>
    </cacheHierarchy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 oneField="1">
      <fieldsUsage count="1">
        <fieldUsage x="39"/>
      </fieldsUsage>
    </cacheHierarchy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 oneField="1">
      <fieldsUsage count="1">
        <fieldUsage x="38"/>
      </fieldsUsage>
    </cacheHierarchy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 oneField="1">
      <fieldsUsage count="1">
        <fieldUsage x="42"/>
      </fieldsUsage>
    </cacheHierarchy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oneField="1" hidden="1">
      <fieldsUsage count="1">
        <fieldUsage x="22"/>
      </fieldsUsage>
    </cacheHierarchy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oneField="1" hidden="1">
      <fieldsUsage count="1">
        <fieldUsage x="23"/>
      </fieldsUsage>
    </cacheHierarchy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60392939814" backgroundQuery="1" createdVersion="8" refreshedVersion="8" minRefreshableVersion="3" recordCount="0" supportSubquery="1" supportAdvancedDrill="1" xr:uid="{2B077060-CE01-457A-AEA1-BF4950F84BAB}">
  <cacheSource type="external" connectionId="2"/>
  <cacheFields count="29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ntainsSemiMixedTypes="0" containsString="0"/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Sales Cost LC]" caption="TY Sales Cost LC" numFmtId="0" hierarchy="860" level="32767"/>
    <cacheField name="[Measures].[TY Avg Store Stock Unit]" caption="TY Avg Store Stock Unit" numFmtId="0" hierarchy="763" level="32767"/>
    <cacheField name="[Measures].[TY Avg Store Transit Stock Unit]" caption="TY Avg Store Transit Stock Unit" numFmtId="0" hierarchy="764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Calendar].[MerchWeek].[MerchWeek]" caption="MerchWeek" numFmtId="0" hierarchy="14" level="1">
      <sharedItems count="2">
        <s v="[Calendar].[MerchWeek].&amp;[9]" c="9"/>
        <s v="[Calendar].[MerchWeek].&amp;[10]" c="10"/>
      </sharedItems>
    </cacheField>
    <cacheField name="[Material].[H_MainGroup].[MainGroupDesc]" caption="MainGroupDesc" numFmtId="0" hierarchy="70" level="1">
      <sharedItems containsSemiMixedTypes="0" containsString="0"/>
    </cacheField>
    <cacheField name="[Material].[H_MainGroup].[SubGroupDesc]" caption="SubGroupDesc" numFmtId="0" hierarchy="70" level="2">
      <sharedItems containsSemiMixedTypes="0" containsString="0"/>
    </cacheField>
    <cacheField name="[Measures].[TY Gross Invoice Count]" caption="TY Gross Invoice Count" numFmtId="0" hierarchy="875" level="32767"/>
    <cacheField name="[Measures].[TY Invoice Count]" caption="TY Invoice Count" numFmtId="0" hierarchy="873" level="32767"/>
    <cacheField name="[Measures].[TY Return Invoice Count]" caption="TY Return Invoice Count" numFmtId="0" hierarchy="874" level="32767"/>
    <cacheField name="[Measures].[TY Avg DC Stock Unit]" caption="TY Avg DC Stock Unit" numFmtId="0" hierarchy="696" level="32767"/>
    <cacheField name="[SalesChannel].[H_SalesChannel].[SalesOrgType]" caption="SalesOrgType" numFmtId="0" hierarchy="144" level="1">
      <sharedItems containsSemiMixedTypes="0" containsString="0"/>
    </cacheField>
    <cacheField name="[SalesChannel].[H_SalesChannel].[CountryName]" caption="CountryName" numFmtId="0" hierarchy="144" level="2">
      <sharedItems containsSemiMixedTypes="0" containsString="0"/>
    </cacheField>
    <cacheField name="[SalesChannel].[H_SalesChannel].[DistrubitionChannelDesc]" caption="DistrubitionChannelDesc" numFmtId="0" hierarchy="144" level="3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Calendar].[DayName].[DayName]" caption="DayName" numFmtId="0" hierarchy="2" level="1">
      <sharedItems count="7">
        <s v="[Calendar].[DayName].&amp;[Pazartesi]" c="Pazartesi"/>
        <s v="[Calendar].[DayName].&amp;[Salı]" c="Salı"/>
        <s v="[Calendar].[DayName].&amp;[Çarşamba]" c="Çarşamba"/>
        <s v="[Calendar].[DayName].&amp;[Perşembe]" c="Perşembe"/>
        <s v="[Calendar].[DayName].&amp;[Cuma]" c="Cuma"/>
        <s v="[Calendar].[DayName].&amp;[Cumartesi]" c="Cumartesi"/>
        <s v="[Calendar].[DayName].&amp;[Pazar]" c="Pazar"/>
      </sharedItems>
    </cacheField>
    <cacheField name="[Calendar].[Date].[Date]" caption="Date" numFmtId="0" level="1">
      <sharedItems count="14">
        <s v="[Calendar].[Date].&amp;[2026-02-23T00:00:00]" c="23.02.2026"/>
        <s v="[Calendar].[Date].&amp;[2026-02-24T00:00:00]" c="24.02.2026"/>
        <s v="[Calendar].[Date].&amp;[2026-02-25T00:00:00]" c="25.02.2026"/>
        <s v="[Calendar].[Date].&amp;[2026-02-26T00:00:00]" c="26.02.2026"/>
        <s v="[Calendar].[Date].&amp;[2026-02-27T00:00:00]" c="27.02.2026"/>
        <s v="[Calendar].[Date].&amp;[2026-02-28T00:00:00]" c="28.02.2026"/>
        <s v="[Calendar].[Date].&amp;[2026-03-01T00:00:00]" c="1.03.2026"/>
        <s v="[Calendar].[Date].&amp;[2026-03-02T00:00:00]" c="2.03.2026"/>
        <s v="[Calendar].[Date].&amp;[2026-03-03T00:00:00]" c="3.03.2026"/>
        <s v="[Calendar].[Date].&amp;[2026-03-04T00:00:00]" c="4.03.2026"/>
        <s v="[Calendar].[Date].&amp;[2026-03-05T00:00:00]" c="5.03.2026"/>
        <s v="[Calendar].[Date].&amp;[2026-03-06T00:00:00]" c="6.03.2026"/>
        <s v="[Calendar].[Date].&amp;[2026-03-07T00:00:00]" c="7.03.2026"/>
        <s v="[Calendar].[Date].&amp;[2026-03-08T00:00:00]" c="8.03.2026"/>
      </sharedItems>
    </cacheField>
    <cacheField name="[Measures].[TY Gross Marjin LC%]" caption="TY Gross Marjin LC%" numFmtId="0" hierarchy="1122" level="32767"/>
    <cacheField name="[Material].[MerchProduct].[MerchProduct]" caption="MerchProduct" numFmtId="0" hierarchy="102" level="1">
      <sharedItems containsSemiMixedTypes="0" containsString="0"/>
    </cacheField>
    <cacheField name="[SalesChannel].[CountryName].[CountryName]" caption="CountryName" numFmtId="0" hierarchy="140" level="1">
      <sharedItems containsSemiMixedTypes="0" containsString="0"/>
    </cacheField>
    <cacheField name="[Calendar].[MerchMonth].[MerchMonth]" caption="MerchMonth" numFmtId="0" hierarchy="12" level="1">
      <sharedItems containsSemiMixedTypes="0" containsString="0"/>
    </cacheField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4"/>
      </fieldsUsage>
    </cacheHierarchy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2" unbalanced="0">
      <fieldsUsage count="2">
        <fieldUsage x="-1"/>
        <fieldUsage x="23"/>
      </fieldsUsage>
    </cacheHierarchy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7"/>
        <fieldUsage x="8"/>
        <fieldUsage x="9"/>
        <fieldUsage x="10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22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>
      <fieldsUsage count="2">
        <fieldUsage x="-1"/>
        <fieldUsage x="28"/>
      </fieldsUsage>
    </cacheHierarchy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2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3"/>
        <fieldUsage x="14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6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27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19"/>
        <fieldUsage x="20"/>
        <fieldUsage x="21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11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8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5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6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 oneField="1">
      <fieldsUsage count="1">
        <fieldUsage x="4"/>
      </fieldsUsage>
    </cacheHierarchy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6"/>
      </fieldsUsage>
    </cacheHierarchy>
    <cacheHierarchy uniqueName="[Measures].[TY Return Invoice Count]" caption="TY Return Invoice Count" measure="1" displayFolder="01_TY\_UNIT" measureGroup="Sales" count="0" oneField="1">
      <fieldsUsage count="1">
        <fieldUsage x="17"/>
      </fieldsUsage>
    </cacheHierarchy>
    <cacheHierarchy uniqueName="[Measures].[TY Gross Invoice Count]" caption="TY Gross Invoice Count" measure="1" displayFolder="01_TY\_UNIT" measureGroup="Sales" count="0" oneField="1">
      <fieldsUsage count="1">
        <fieldUsage x="15"/>
      </fieldsUsage>
    </cacheHierarchy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5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60450694445" backgroundQuery="1" createdVersion="8" refreshedVersion="8" minRefreshableVersion="3" recordCount="0" supportSubquery="1" supportAdvancedDrill="1" xr:uid="{902AC062-2D1D-4A20-B57E-591ED12C1405}">
  <cacheSource type="external" connectionId="2"/>
  <cacheFields count="25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2">
        <s v="[SalesChannel].[DistrubitionChannelDesc].&amp;[E - Ticaret]" c="E - Ticaret"/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Measures].[TY Avg Store Transit Stock Unit]" caption="TY Avg Store Transit Stock Unit" numFmtId="0" hierarchy="764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Calendar].[MerchWeek].[MerchWeek]" caption="MerchWeek" numFmtId="0" hierarchy="14" level="1">
      <sharedItems count="2">
        <s v="[Calendar].[MerchWeek].&amp;[14]" c="14"/>
        <s v="[Calendar].[MerchWeek].&amp;[15]" c="15"/>
      </sharedItems>
    </cacheField>
    <cacheField name="[Material].[H_MainGroup].[MainGroupDesc]" caption="MainGroupDesc" numFmtId="0" hierarchy="70" level="1">
      <sharedItems count="23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  <s v="[Material].[H_MainGroup].[MainGroupDesc].&amp;[Ev Giysisi]" u="1" c="Ev Giysisi"/>
        <s v="[Material].[H_MainGroup].[MainGroupDesc].&amp;[Mobilya Satış]" u="1" c="Mobilya Satış"/>
      </sharedItems>
    </cacheField>
    <cacheField name="[Material].[H_MainGroup].[SubGroupDesc]" caption="SubGroupDesc" numFmtId="0" hierarchy="70" level="2">
      <sharedItems containsSemiMixedTypes="0" containsString="0"/>
    </cacheField>
    <cacheField name="[Measures].[TY Avg DC Stock Unit]" caption="TY Avg DC Stock Unit" numFmtId="0" hierarchy="696" level="32767"/>
    <cacheField name="[Material].[MainGroupDesc].[MainGroupDesc]" caption="MainGroupDesc" numFmtId="0" hierarchy="76" level="1">
      <sharedItems containsSemiMixedTypes="0" containsString="0"/>
    </cacheField>
    <cacheField name="[Measures].[TY Gross Profit LC]" caption="TY Gross Profit LC" numFmtId="0" hierarchy="1006" level="32767"/>
    <cacheField name="[Measures].[TY Gross Marjin LC%]" caption="TY Gross Marjin LC%" numFmtId="0" hierarchy="1122" level="32767"/>
    <cacheField name="[Measures].[TY Store Back Cover Unit]" caption="TY Store Back Cover Unit" numFmtId="0" hierarchy="1134" level="32767"/>
    <cacheField name="[Measures].[TY Unit Sales Price LC]" caption="TY Unit Sales Price LC" numFmtId="0" hierarchy="970" level="32767"/>
    <cacheField name="[SalesChannel].[CountryName].[CountryName]" caption="CountryName" numFmtId="0" hierarchy="140" level="1">
      <sharedItems containsSemiMixedTypes="0" containsString="0"/>
    </cacheField>
    <cacheField name="[Material].[MerchProduct].[MerchProduct]" caption="MerchProduct" numFmtId="0" hierarchy="102" level="1">
      <sharedItems containsSemiMixedTypes="0" containsString="0"/>
    </cacheField>
    <cacheField name="Unsupported0" numFmtId="0" hierarchy="1574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157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1576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3" numFmtId="0" hierarchy="157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57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0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1"/>
        <fieldUsage x="12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4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0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19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3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5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15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16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 oneField="1">
      <fieldsUsage count="1">
        <fieldUsage x="17"/>
      </fieldsUsage>
    </cacheHierarchy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3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60533217592" backgroundQuery="1" createdVersion="8" refreshedVersion="8" minRefreshableVersion="3" recordCount="0" supportSubquery="1" supportAdvancedDrill="1" xr:uid="{22B605DF-C810-4B11-ADF9-00087C2D65E9}">
  <cacheSource type="external" connectionId="2"/>
  <cacheFields count="17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2">
        <s v="[SalesChannel].[DistrubitionChannelDesc].&amp;[E - Ticaret]" c="E - Ticaret"/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Measures].[TY Avg Store Transit Stock Unit]" caption="TY Avg Store Transit Stock Unit" numFmtId="0" hierarchy="764" level="32767"/>
    <cacheField name="[Calendar].[H_Merch].[MerchYear]" caption="MerchYear" numFmtId="0" hierarchy="6" level="1">
      <sharedItems count="6">
        <s v="[Calendar].[H_Merch].[MerchYear].&amp;[2021]" c="2021"/>
        <s v="[Calendar].[H_Merch].[MerchYear].&amp;[2022]" c="2022"/>
        <s v="[Calendar].[H_Merch].[MerchYear].&amp;[2023]" c="2023"/>
        <s v="[Calendar].[H_Merch].[MerchYear].&amp;[2024]" c="2024"/>
        <s v="[Calendar].[H_Merch].[MerchYear].&amp;[2025]" c="2025"/>
        <s v="[Calendar].[H_Merch].[MerchYear].&amp;[2026]" c="2026"/>
      </sharedItems>
    </cacheField>
    <cacheField name="[Calendar].[H_Merch].[MerchYearMonthName]" caption="MerchYearMonthName" numFmtId="0" hierarchy="6" level="2">
      <sharedItems count="12">
        <s v="[Calendar].[H_Merch].[MerchYearMonthName].&amp;[2023-Ocak]" c="2023-Ocak"/>
        <s v="[Calendar].[H_Merch].[MerchYearMonthName].&amp;[2023-Şubat]" c="2023-Şubat"/>
        <s v="[Calendar].[H_Merch].[MerchYearMonthName].&amp;[2023-Mart]" c="2023-Mart"/>
        <s v="[Calendar].[H_Merch].[MerchYearMonthName].&amp;[2023-Nisan]" c="2023-Nisan"/>
        <s v="[Calendar].[H_Merch].[MerchYearMonthName].&amp;[2023-Mayıs]" c="2023-Mayıs"/>
        <s v="[Calendar].[H_Merch].[MerchYearMonthName].&amp;[2023-Haziran]" c="2023-Haziran"/>
        <s v="[Calendar].[H_Merch].[MerchYearMonthName].&amp;[2023-Temmuz]" c="2023-Temmuz"/>
        <s v="[Calendar].[H_Merch].[MerchYearMonthName].&amp;[2023-Ağustos]" c="2023-Ağustos"/>
        <s v="[Calendar].[H_Merch].[MerchYearMonthName].&amp;[2023-Eylül]" c="2023-Eylül"/>
        <s v="[Calendar].[H_Merch].[MerchYearMonthName].&amp;[2023-Ekim]" c="2023-Ekim"/>
        <s v="[Calendar].[H_Merch].[MerchYearMonthName].&amp;[2023-Kasım]" c="2023-Kasım"/>
        <s v="[Calendar].[H_Merch].[MerchYearMonthName].&amp;[2023-Aralık]" c="2023-Aralık"/>
      </sharedItems>
    </cacheField>
    <cacheField name="[Calendar].[H_Merch].[MerchYearWeek]" caption="MerchYearWeek" numFmtId="0" hierarchy="6" level="3">
      <sharedItems count="5">
        <s v="[Calendar].[H_Merch].[MerchYearWeek].&amp;[202314]" c="202314"/>
        <s v="[Calendar].[H_Merch].[MerchYearWeek].&amp;[202315]" c="202315"/>
        <s v="[Calendar].[H_Merch].[MerchYearWeek].&amp;[202316]" c="202316"/>
        <s v="[Calendar].[H_Merch].[MerchYearWeek].&amp;[202317]" c="202317"/>
        <s v="[Calendar].[H_Merch].[MerchYearWeek].&amp;[202318]" c="202318"/>
      </sharedItems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Calendar].[MerchWeek].[MerchWeek]" caption="MerchWeek" numFmtId="0" hierarchy="14" level="1">
      <sharedItems count="2">
        <s v="[Calendar].[MerchWeek].&amp;[14]" c="14"/>
        <s v="[Calendar].[MerchWeek].&amp;[15]" c="15"/>
      </sharedItems>
    </cacheField>
    <cacheField name="[Material].[H_MainGroup].[MainGroupDesc]" caption="MainGroupDesc" numFmtId="0" hierarchy="70" level="1">
      <sharedItems count="19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Bebe - Çocuk]" c="Bebe - Çocuk"/>
        <s v="[Material].[H_MainGroup].[MainGroupDesc].&amp;[Bornoz]" c="Bornoz"/>
        <s v="[Material].[H_MainGroup].[MainGroupDesc].&amp;[Ev Giysisi]" c="Ev Giysisi"/>
        <s v="[Material].[H_MainGroup].[MainGroupDesc].&amp;[Halı - Kilim]" c="Halı - Kilim"/>
        <s v="[Material].[H_MainGroup].[MainGroupDesc].&amp;[Havlu]" c="Havlu"/>
        <s v="[Material].[H_MainGroup].[MainGroupDesc].&amp;[Kozmetik]" c="Kozmetik"/>
        <s v="[Material].[H_MainGroup].[MainGroupDesc].&amp;[Masa Örtüsü]" c="Masa Örtüsü"/>
        <s v="[Material].[H_MainGroup].[MainGroupDesc].&amp;[Mobilya Satış]" c="Mobilya Satış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Yastık]" c="Yastık"/>
        <s v="[Material].[H_MainGroup].[MainGroupDesc].&amp;[Yatak Örtüsü]" c="Yatak Örtüsü"/>
        <s v="[Material].[H_MainGroup].[MainGroupDesc].&amp;[Yorgan]" c="Yorgan"/>
      </sharedItems>
    </cacheField>
    <cacheField name="[Material].[H_MainGroup].[SubGroupDesc]" caption="SubGroupDesc" numFmtId="0" hierarchy="70" level="2">
      <sharedItems containsSemiMixedTypes="0" containsString="0"/>
    </cacheField>
    <cacheField name="[Measures].[TY Avg DC Stock Unit]" caption="TY Avg DC Stock Unit" numFmtId="0" hierarchy="696" level="32767"/>
    <cacheField name="[Material].[MainGroupDesc].[MainGroupDesc]" caption="MainGroupDesc" numFmtId="0" hierarchy="76" level="1">
      <sharedItems count="19">
        <s v="[Material].[MainGroupDesc].&amp;[Aksesuar]" c="Aksesuar"/>
        <s v="[Material].[MainGroupDesc].&amp;[Banyo]" c="Banyo"/>
        <s v="[Material].[MainGroupDesc].&amp;[Battaniye]" c="Battaniye"/>
        <s v="[Material].[MainGroupDesc].&amp;[Bebe - Çocuk]" c="Bebe - Çocuk"/>
        <s v="[Material].[MainGroupDesc].&amp;[Bornoz]" c="Bornoz"/>
        <s v="[Material].[MainGroupDesc].&amp;[Ev Giysisi]" c="Ev Giysisi"/>
        <s v="[Material].[MainGroupDesc].&amp;[Halı - Kilim]" c="Halı - Kilim"/>
        <s v="[Material].[MainGroupDesc].&amp;[Havlu]" c="Havlu"/>
        <s v="[Material].[MainGroupDesc].&amp;[Kozmetik]" c="Kozmetik"/>
        <s v="[Material].[MainGroupDesc].&amp;[Masa Örtüsü]" c="Masa Örtüsü"/>
        <s v="[Material].[MainGroupDesc].&amp;[Mobilya Satış]" c="Mobilya Satış"/>
        <s v="[Material].[MainGroupDesc].&amp;[Mutfak]" c="Mutfak"/>
        <s v="[Material].[MainGroupDesc].&amp;[Nevresim]" c="Nevresim"/>
        <s v="[Material].[MainGroupDesc].&amp;[Pike]" c="Pike"/>
        <s v="[Material].[MainGroupDesc].&amp;[Pişirme]" c="Pişirme"/>
        <s v="[Material].[MainGroupDesc].&amp;[Salon]" c="Salon"/>
        <s v="[Material].[MainGroupDesc].&amp;[Yastık]" c="Yastık"/>
        <s v="[Material].[MainGroupDesc].&amp;[Yatak Örtüsü]" c="Yatak Örtüsü"/>
        <s v="[Material].[MainGroupDesc].&amp;[Yorgan]" c="Yorgan"/>
      </sharedItems>
    </cacheField>
    <cacheField name="[Measures].[TY Gross Profit LC]" caption="TY Gross Profit LC" numFmtId="0" hierarchy="1006" level="32767"/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1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2"/>
        <fieldUsage x="13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5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10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4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5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1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58473148145" backgroundQuery="1" createdVersion="3" refreshedVersion="8" minRefreshableVersion="3" recordCount="0" supportSubquery="1" supportAdvancedDrill="1" xr:uid="{3BFE5DF5-2C93-4466-AAEF-0891ED656079}">
  <cacheSource type="external" connectionId="3">
    <extLst>
      <ext xmlns:x14="http://schemas.microsoft.com/office/spreadsheetml/2009/9/main" uri="{F057638F-6D5F-4e77-A914-E7F072B9BCA8}">
        <x14:sourceConnection name="DataHome CURE Model2"/>
      </ext>
    </extLst>
  </cacheSource>
  <cacheFields count="0"/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0" unbalanced="0"/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0" unbalanced="0"/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/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/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/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extLst>
    <ext xmlns:x14="http://schemas.microsoft.com/office/spreadsheetml/2009/9/main" uri="{725AE2AE-9491-48be-B2B4-4EB974FC3084}">
      <x14:pivotCacheDefinition slicerData="1" pivotCacheId="855490630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90.460369907407" backgroundQuery="1" createdVersion="3" refreshedVersion="8" minRefreshableVersion="3" recordCount="0" supportSubquery="1" supportAdvancedDrill="1" xr:uid="{A43C8EA7-032A-4316-9B65-C8C86E7F53DC}">
  <cacheSource type="external" connectionId="2">
    <extLst>
      <ext xmlns:x14="http://schemas.microsoft.com/office/spreadsheetml/2009/9/main" uri="{F057638F-6D5F-4e77-A914-E7F072B9BCA8}">
        <x14:sourceConnection name="DataHome CURE Model1"/>
      </ext>
    </extLst>
  </cacheSource>
  <cacheFields count="0"/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/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/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0" unbalanced="0"/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/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/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extLst>
    <ext xmlns:x14="http://schemas.microsoft.com/office/spreadsheetml/2009/9/main" uri="{725AE2AE-9491-48be-B2B4-4EB974FC3084}">
      <x14:pivotCacheDefinition slicerData="1" pivotCacheId="81721714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B924D-6D3D-4C53-9720-95DCBBDF7D28}" name="PivotTable1" cacheId="252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4:AM44" firstHeaderRow="1" firstDataRow="2" firstDataCol="4" rowPageCount="5" colPageCount="1"/>
  <pivotFields count="58">
    <pivotField name="Satış Kanalı" axis="axisPage" compact="0" allDrilled="1" outline="0" subtotalTop="0" showAll="0" defaultAttributeDrillState="1">
      <items count="2">
        <item x="0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/>
    <pivotField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name="Ana Grup" axis="axisRow" compact="0" allDrilled="1" outline="0" subtotalTop="0" showAll="0" sortType="descending">
      <items count="2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Alt Grup" axis="axisRow" compact="0" allDrilled="1" outline="0" subtotalTop="0" showAll="0" sortType="descending" defaultAttributeDrillState="1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Kalite" compact="0" allDrilled="1" outline="0" subtotalTop="0" showAll="0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SKU" compact="0" allDrilled="1" outline="0" subtotalTop="0" showAll="0" sortType="descending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compact="0" allDrilled="1" outline="0" subtotalTop="0" showAll="0" dataSourceSort="1" defaultSubtotal="0" defaultAttributeDrillState="1"/>
    <pivotField name="Ülke" axis="axisPage" compact="0" allDrilled="1" outline="0" subtotalTop="0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4">
    <field x="54"/>
    <field x="55"/>
    <field x="11"/>
    <field x="12"/>
  </rowFields>
  <rowItems count="29">
    <i>
      <x/>
      <x/>
      <x v="1"/>
    </i>
    <i r="2">
      <x v="2"/>
    </i>
    <i r="2">
      <x/>
    </i>
    <i r="1">
      <x v="1"/>
      <x v="2"/>
    </i>
    <i r="1">
      <x v="2"/>
      <x v="3"/>
    </i>
    <i r="1">
      <x v="3"/>
      <x v="6"/>
    </i>
    <i r="2">
      <x v="5"/>
    </i>
    <i r="2">
      <x v="4"/>
    </i>
    <i t="default">
      <x/>
    </i>
    <i>
      <x v="1"/>
      <x v="4"/>
      <x v="7"/>
    </i>
    <i r="2">
      <x v="8"/>
    </i>
    <i t="default">
      <x v="1"/>
    </i>
    <i>
      <x v="2"/>
      <x v="5"/>
      <x v="9"/>
    </i>
    <i r="1">
      <x v="6"/>
      <x v="11"/>
    </i>
    <i r="2">
      <x v="12"/>
    </i>
    <i r="2">
      <x v="10"/>
    </i>
    <i t="default">
      <x v="2"/>
    </i>
    <i>
      <x v="3"/>
      <x v="7"/>
      <x v="14"/>
    </i>
    <i r="2">
      <x v="13"/>
    </i>
    <i r="2">
      <x v="16"/>
    </i>
    <i r="2">
      <x v="15"/>
    </i>
    <i r="1">
      <x v="8"/>
      <x v="19"/>
    </i>
    <i r="2">
      <x v="22"/>
    </i>
    <i r="2">
      <x v="18"/>
    </i>
    <i r="2">
      <x v="17"/>
    </i>
    <i r="2">
      <x v="20"/>
    </i>
    <i r="2">
      <x v="21"/>
    </i>
    <i t="default">
      <x v="3"/>
    </i>
    <i t="grand">
      <x/>
    </i>
  </rowItems>
  <colFields count="1">
    <field x="-2"/>
  </colFields>
  <colItems count="3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</colItems>
  <pageFields count="5">
    <pageField fld="21" hier="102" name="[Material].[MerchProduct].&amp;[Merch]" cap="Merch"/>
    <pageField fld="22" hier="124" name="[Material].[TextileProduct].[All]" cap="All"/>
    <pageField fld="0" hier="142" name="[SalesChannel].[DistrubitionChannelDesc].&amp;[Perakende Satış]" cap="Perakende Satış"/>
    <pageField fld="16" hier="140" name="[SalesChannel].[CountryName].[All]" cap="All"/>
    <pageField fld="53" hier="9" name="[Calendar].[LastNDays].&amp;[1]" cap="1"/>
  </pageFields>
  <dataFields count="35">
    <dataField fld="10" baseField="0" baseItem="0"/>
    <dataField fld="2" baseField="0" baseItem="0"/>
    <dataField fld="35" baseField="11" baseItem="11" numFmtId="165"/>
    <dataField fld="34" baseField="11" baseItem="11" numFmtId="165"/>
    <dataField fld="9" baseField="0" baseItem="0" numFmtId="3"/>
    <dataField fld="1" baseField="0" baseItem="0"/>
    <dataField fld="26" baseField="11" baseItem="12" numFmtId="165"/>
    <dataField fld="18" baseField="11" baseItem="0" numFmtId="3"/>
    <dataField fld="17" baseField="11" baseItem="11" numFmtId="3"/>
    <dataField fld="30" baseField="11" baseItem="12" numFmtId="165"/>
    <dataField fld="31" baseField="11" baseItem="12" numFmtId="165"/>
    <dataField fld="20" baseField="11" baseItem="0" numFmtId="165"/>
    <dataField fld="19" baseField="11" baseItem="0" numFmtId="165"/>
    <dataField fld="27" baseField="0" baseItem="0"/>
    <dataField fld="23" baseField="11" baseItem="0" numFmtId="4"/>
    <dataField fld="32" baseField="11" baseItem="12" numFmtId="165"/>
    <dataField fld="28" baseField="0" baseItem="0"/>
    <dataField fld="24" baseField="0" baseItem="0"/>
    <dataField fld="33" baseField="11" baseItem="12" numFmtId="165"/>
    <dataField fld="29" baseField="0" baseItem="0"/>
    <dataField fld="25" baseField="11" baseItem="0" numFmtId="167"/>
    <dataField fld="37" baseField="0" baseItem="0"/>
    <dataField fld="36" baseField="0" baseItem="0"/>
    <dataField fld="48" baseField="0" baseItem="0"/>
    <dataField fld="49" baseField="0" baseItem="0"/>
    <dataField fld="39" baseField="0" baseItem="0"/>
    <dataField fld="40" baseField="0" baseItem="0" numFmtId="2"/>
    <dataField fld="38" baseField="0" baseItem="0" numFmtId="2"/>
    <dataField fld="42" baseField="0" baseItem="0"/>
    <dataField fld="41" baseField="0" baseItem="0"/>
    <dataField fld="43" baseField="0" baseItem="0"/>
    <dataField fld="44" baseField="0" baseItem="0"/>
    <dataField fld="45" baseField="0" baseItem="0"/>
    <dataField fld="46" baseField="0" baseItem="0"/>
    <dataField fld="47" baseField="0" baseItem="0"/>
  </dataFields>
  <formats count="142">
    <format dxfId="461">
      <pivotArea field="3" type="button" dataOnly="0" labelOnly="1" outline="0"/>
    </format>
    <format dxfId="460">
      <pivotArea field="4" type="button" dataOnly="0" labelOnly="1" outline="0"/>
    </format>
    <format dxfId="459">
      <pivotArea field="4" type="button" dataOnly="0" labelOnly="1" outline="0"/>
    </format>
    <format dxfId="458">
      <pivotArea field="3" type="button" dataOnly="0" labelOnly="1" outline="0"/>
    </format>
    <format dxfId="457">
      <pivotArea field="4" type="button" dataOnly="0" labelOnly="1" outline="0"/>
    </format>
    <format dxfId="456">
      <pivotArea dataOnly="0" outline="0" fieldPosition="0">
        <references count="1">
          <reference field="4294967294" count="1">
            <x v="5"/>
          </reference>
        </references>
      </pivotArea>
    </format>
    <format dxfId="455">
      <pivotArea outline="0" fieldPosition="0">
        <references count="1">
          <reference field="4294967294" count="1" selected="0">
            <x v="4"/>
          </reference>
        </references>
      </pivotArea>
    </format>
    <format dxfId="454">
      <pivotArea field="3" type="button" dataOnly="0" labelOnly="1" outline="0"/>
    </format>
    <format dxfId="453">
      <pivotArea field="11" type="button" dataOnly="0" labelOnly="1" outline="0" axis="axisRow" fieldPosition="2"/>
    </format>
    <format dxfId="452">
      <pivotArea field="12" type="button" dataOnly="0" labelOnly="1" outline="0" axis="axisRow" fieldPosition="3"/>
    </format>
    <format dxfId="451">
      <pivotArea field="13" type="button" dataOnly="0" labelOnly="1" outline="0"/>
    </format>
    <format dxfId="450">
      <pivotArea field="14" type="button" dataOnly="0" labelOnly="1" outline="0"/>
    </format>
    <format dxfId="449">
      <pivotArea field="11" type="button" dataOnly="0" labelOnly="1" outline="0" axis="axisRow" fieldPosition="2"/>
    </format>
    <format dxfId="448">
      <pivotArea field="12" type="button" dataOnly="0" labelOnly="1" outline="0" axis="axisRow" fieldPosition="3"/>
    </format>
    <format dxfId="447">
      <pivotArea field="13" type="button" dataOnly="0" labelOnly="1" outline="0"/>
    </format>
    <format dxfId="446">
      <pivotArea field="14" type="button" dataOnly="0" labelOnly="1" outline="0"/>
    </format>
    <format dxfId="445">
      <pivotArea field="13" type="button" dataOnly="0" labelOnly="1" outline="0"/>
    </format>
    <format dxfId="444">
      <pivotArea field="14" type="button" dataOnly="0" labelOnly="1" outline="0"/>
    </format>
    <format dxfId="443">
      <pivotArea field="0" type="button" dataOnly="0" labelOnly="1" outline="0" axis="axisPage" fieldPosition="2"/>
    </format>
    <format dxfId="442">
      <pivotArea field="0" type="button" dataOnly="0" labelOnly="1" outline="0" axis="axisPage" fieldPosition="2"/>
    </format>
    <format dxfId="441">
      <pivotArea field="16" type="button" dataOnly="0" labelOnly="1" outline="0" axis="axisPage" fieldPosition="3"/>
    </format>
    <format dxfId="440">
      <pivotArea field="16" type="button" dataOnly="0" labelOnly="1" outline="0" axis="axisPage" fieldPosition="3"/>
    </format>
    <format dxfId="439">
      <pivotArea outline="0" collapsedLevelsAreSubtotals="1" fieldPosition="0"/>
    </format>
    <format dxfId="438">
      <pivotArea field="-2" type="button" dataOnly="0" labelOnly="1" outline="0" axis="axisCol" fieldPosition="0"/>
    </format>
    <format dxfId="437">
      <pivotArea type="topRight" dataOnly="0" labelOnly="1" outline="0" fieldPosition="0"/>
    </format>
    <format dxfId="436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435">
      <pivotArea outline="0" collapsedLevelsAreSubtotals="1" fieldPosition="0"/>
    </format>
    <format dxfId="434">
      <pivotArea field="-2" type="button" dataOnly="0" labelOnly="1" outline="0" axis="axisCol" fieldPosition="0"/>
    </format>
    <format dxfId="433">
      <pivotArea type="topRight" dataOnly="0" labelOnly="1" outline="0" fieldPosition="0"/>
    </format>
    <format dxfId="432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43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3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29">
      <pivotArea outline="0" fieldPosition="0">
        <references count="1">
          <reference field="4294967294" count="1">
            <x v="8"/>
          </reference>
        </references>
      </pivotArea>
    </format>
    <format dxfId="42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2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26">
      <pivotArea outline="0" fieldPosition="0">
        <references count="1">
          <reference field="4294967294" count="1">
            <x v="7"/>
          </reference>
        </references>
      </pivotArea>
    </format>
    <format dxfId="42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42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423">
      <pivotArea outline="0" fieldPosition="0">
        <references count="1">
          <reference field="4294967294" count="1">
            <x v="12"/>
          </reference>
        </references>
      </pivotArea>
    </format>
    <format dxfId="42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2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20">
      <pivotArea outline="0" fieldPosition="0">
        <references count="1">
          <reference field="4294967294" count="1">
            <x v="11"/>
          </reference>
        </references>
      </pivotArea>
    </format>
    <format dxfId="419">
      <pivotArea outline="0" fieldPosition="0">
        <references count="1">
          <reference field="4294967294" count="1">
            <x v="14"/>
          </reference>
        </references>
      </pivotArea>
    </format>
    <format dxfId="41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17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16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415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414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413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412">
      <pivotArea outline="0" fieldPosition="0">
        <references count="1">
          <reference field="4294967294" count="1">
            <x v="20"/>
          </reference>
        </references>
      </pivotArea>
    </format>
    <format dxfId="411">
      <pivotArea dataOnly="0" outline="0" fieldPosition="0">
        <references count="1">
          <reference field="4294967294" count="11">
            <x v="0"/>
            <x v="1"/>
            <x v="4"/>
            <x v="5"/>
            <x v="7"/>
            <x v="8"/>
            <x v="11"/>
            <x v="12"/>
            <x v="14"/>
            <x v="17"/>
            <x v="20"/>
          </reference>
        </references>
      </pivotArea>
    </format>
    <format dxfId="41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0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08">
      <pivotArea outline="0" fieldPosition="0">
        <references count="1">
          <reference field="4294967294" count="1">
            <x v="6"/>
          </reference>
        </references>
      </pivotArea>
    </format>
    <format dxfId="407">
      <pivotArea field="11" type="button" dataOnly="0" labelOnly="1" outline="0" axis="axisRow" fieldPosition="2"/>
    </format>
    <format dxfId="406">
      <pivotArea field="0" type="button" dataOnly="0" labelOnly="1" outline="0" axis="axisPage" fieldPosition="2"/>
    </format>
    <format dxfId="405">
      <pivotArea field="16" type="button" dataOnly="0" labelOnly="1" outline="0" axis="axisPage" fieldPosition="3"/>
    </format>
    <format dxfId="404">
      <pivotArea field="12" type="button" dataOnly="0" labelOnly="1" outline="0" axis="axisRow" fieldPosition="3"/>
    </format>
    <format dxfId="403">
      <pivotArea dataOnly="0" labelOnly="1" outline="0" fieldPosition="0">
        <references count="1">
          <reference field="4294967294" count="12">
            <x v="0"/>
            <x v="1"/>
            <x v="4"/>
            <x v="5"/>
            <x v="6"/>
            <x v="7"/>
            <x v="8"/>
            <x v="11"/>
            <x v="12"/>
            <x v="14"/>
            <x v="17"/>
            <x v="20"/>
          </reference>
        </references>
      </pivotArea>
    </format>
    <format dxfId="402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401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400">
      <pivotArea dataOnly="0" outline="0" fieldPosition="0">
        <references count="1">
          <reference field="4294967294" count="2">
            <x v="7"/>
            <x v="8"/>
          </reference>
        </references>
      </pivotArea>
    </format>
    <format dxfId="399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39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9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95">
      <pivotArea dataOnly="0" outline="0" fieldPosition="0">
        <references count="1">
          <reference field="4294967294" count="2">
            <x v="13"/>
            <x v="14"/>
          </reference>
        </references>
      </pivotArea>
    </format>
    <format dxfId="394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93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92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91">
      <pivotArea dataOnly="0" outline="0" fieldPosition="0">
        <references count="1">
          <reference field="4294967294" count="2">
            <x v="16"/>
            <x v="17"/>
          </reference>
        </references>
      </pivotArea>
    </format>
    <format dxfId="390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89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88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87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386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385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384">
      <pivotArea outline="0" fieldPosition="0">
        <references count="1">
          <reference field="4294967294" count="1">
            <x v="9"/>
          </reference>
        </references>
      </pivotArea>
    </format>
    <format dxfId="383">
      <pivotArea outline="0" fieldPosition="0">
        <references count="1">
          <reference field="4294967294" count="1">
            <x v="10"/>
          </reference>
        </references>
      </pivotArea>
    </format>
    <format dxfId="382">
      <pivotArea outline="0" fieldPosition="0">
        <references count="1">
          <reference field="4294967294" count="1">
            <x v="15"/>
          </reference>
        </references>
      </pivotArea>
    </format>
    <format dxfId="381">
      <pivotArea outline="0" fieldPosition="0">
        <references count="1">
          <reference field="4294967294" count="1">
            <x v="18"/>
          </reference>
        </references>
      </pivotArea>
    </format>
    <format dxfId="380">
      <pivotArea dataOnly="0" outline="0" fieldPosition="0">
        <references count="1">
          <reference field="4294967294" count="15">
            <x v="0"/>
            <x v="1"/>
            <x v="4"/>
            <x v="5"/>
            <x v="6"/>
            <x v="7"/>
            <x v="8"/>
            <x v="11"/>
            <x v="12"/>
            <x v="13"/>
            <x v="14"/>
            <x v="16"/>
            <x v="17"/>
            <x v="19"/>
            <x v="20"/>
          </reference>
        </references>
      </pivotArea>
    </format>
    <format dxfId="379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78">
      <pivotArea dataOnly="0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377">
      <pivotArea dataOnly="0" outline="0" fieldPosition="0">
        <references count="1">
          <reference field="4294967294" count="1">
            <x v="10"/>
          </reference>
        </references>
      </pivotArea>
    </format>
    <format dxfId="376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375">
      <pivotArea dataOnly="0" outline="0" fieldPosition="0">
        <references count="1">
          <reference field="4294967294" count="3">
            <x v="13"/>
            <x v="14"/>
            <x v="15"/>
          </reference>
        </references>
      </pivotArea>
    </format>
    <format dxfId="374">
      <pivotArea dataOnly="0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373">
      <pivotArea dataOnly="0" outline="0" fieldPosition="0">
        <references count="1">
          <reference field="4294967294" count="2">
            <x v="19"/>
            <x v="20"/>
          </reference>
        </references>
      </pivotArea>
    </format>
    <format dxfId="3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69">
      <pivotArea outline="0" fieldPosition="0">
        <references count="1">
          <reference field="4294967294" count="1">
            <x v="3"/>
          </reference>
        </references>
      </pivotArea>
    </format>
    <format dxfId="368">
      <pivotArea dataOnly="0" outline="0" fieldPosition="0">
        <references count="1">
          <reference field="4294967294" count="20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4">
      <pivotArea outline="0" fieldPosition="0">
        <references count="1">
          <reference field="4294967294" count="1">
            <x v="2"/>
          </reference>
        </references>
      </pivotArea>
    </format>
    <format dxfId="363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2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361">
      <pivotArea dataOnly="0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360">
      <pivotArea dataOnly="0" outline="0" fieldPosition="0">
        <references count="1">
          <reference field="4294967294" count="1">
            <x v="10"/>
          </reference>
        </references>
      </pivotArea>
    </format>
    <format dxfId="359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358">
      <pivotArea dataOnly="0" outline="0" fieldPosition="0">
        <references count="1">
          <reference field="4294967294" count="3">
            <x v="13"/>
            <x v="14"/>
            <x v="15"/>
          </reference>
        </references>
      </pivotArea>
    </format>
    <format dxfId="357">
      <pivotArea dataOnly="0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356">
      <pivotArea dataOnly="0" outline="0" fieldPosition="0">
        <references count="1">
          <reference field="4294967294" count="2">
            <x v="19"/>
            <x v="20"/>
          </reference>
        </references>
      </pivotArea>
    </format>
    <format dxfId="355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354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353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352">
      <pivotArea dataOnly="0" outline="0" fieldPosition="0">
        <references count="1">
          <reference field="4294967294" count="2">
            <x v="21"/>
            <x v="22"/>
          </reference>
        </references>
      </pivotArea>
    </format>
    <format dxfId="351">
      <pivotArea dataOnly="0" outline="0" fieldPosition="0">
        <references count="1">
          <reference field="4294967294" count="1">
            <x v="25"/>
          </reference>
        </references>
      </pivotArea>
    </format>
    <format dxfId="350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46">
      <pivotArea dataOnly="0" outline="0" fieldPosition="0">
        <references count="1">
          <reference field="4294967294" count="1">
            <x v="29"/>
          </reference>
        </references>
      </pivotArea>
    </format>
    <format dxfId="345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344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343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342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341">
      <pivotArea dataOnly="0" outline="0" fieldPosition="0">
        <references count="1">
          <reference field="4294967294" count="2">
            <x v="28"/>
            <x v="29"/>
          </reference>
        </references>
      </pivotArea>
    </format>
    <format dxfId="340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39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38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37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336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335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334">
      <pivotArea dataOnly="0" outline="0" fieldPosition="0">
        <references count="1">
          <reference field="4294967294" count="2">
            <x v="30"/>
            <x v="31"/>
          </reference>
        </references>
      </pivotArea>
    </format>
    <format dxfId="333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332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331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330">
      <pivotArea dataOnly="0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329">
      <pivotArea dataOnly="0" labelOnly="1" outline="0" fieldPosition="0">
        <references count="1">
          <reference field="4294967294" count="2">
            <x v="23"/>
            <x v="24"/>
          </reference>
        </references>
      </pivotArea>
    </format>
    <format dxfId="328">
      <pivotArea outline="0" fieldPosition="0">
        <references count="1">
          <reference field="4294967294" count="2" selected="0">
            <x v="26"/>
            <x v="27"/>
          </reference>
        </references>
      </pivotArea>
    </format>
    <format dxfId="327">
      <pivotArea dataOnly="0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326">
      <pivotArea dataOnly="0" outline="0" fieldPosition="0">
        <references count="1">
          <reference field="4294967294" count="1">
            <x v="2"/>
          </reference>
        </references>
      </pivotArea>
    </format>
    <format dxfId="325">
      <pivotArea dataOnly="0" outline="0" fieldPosition="0">
        <references count="1">
          <reference field="4294967294" count="1">
            <x v="12"/>
          </reference>
        </references>
      </pivotArea>
    </format>
    <format dxfId="324">
      <pivotArea dataOnly="0" outline="0" fieldPosition="0">
        <references count="1">
          <reference field="4294967294" count="2">
            <x v="6"/>
            <x v="9"/>
          </reference>
        </references>
      </pivotArea>
    </format>
    <format dxfId="323">
      <pivotArea dataOnly="0" outline="0" fieldPosition="0">
        <references count="1">
          <reference field="4294967294" count="1">
            <x v="20"/>
          </reference>
        </references>
      </pivotArea>
    </format>
    <format dxfId="322">
      <pivotArea dataOnly="0" outline="0" fieldPosition="0">
        <references count="1">
          <reference field="4294967294" count="1">
            <x v="15"/>
          </reference>
        </references>
      </pivotArea>
    </format>
    <format dxfId="321">
      <pivotArea dataOnly="0" outline="0" fieldPosition="0">
        <references count="1">
          <reference field="4294967294" count="1">
            <x v="18"/>
          </reference>
        </references>
      </pivotArea>
    </format>
    <format dxfId="320">
      <pivotArea dataOnly="0" outline="0" fieldPosition="0">
        <references count="1">
          <reference field="4294967294" count="1">
            <x v="10"/>
          </reference>
        </references>
      </pivotArea>
    </format>
  </formats>
  <pivotHierarchies count="1574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3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/>
    <pivotHierarchy/>
    <pivotHierarchy multipleItemSelectionAllowed="1"/>
    <pivotHierarchy/>
    <pivotHierarchy multipleItemSelectionAllowed="1"/>
    <pivotHierarchy multipleItemSelectionAllowed="1">
      <members count="1" level="1">
        <member name="[Calendar].[MerchYear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4" level="1">
        <member name="[Material].[H_MainGroup].[MainGroupDesc].&amp;[Pike]"/>
        <member name="[Material].[H_MainGroup].[MainGroupDesc].&amp;[Banyo]"/>
        <member name="[Material].[H_MainGroup].[MainGroupDesc].&amp;[Havlu]"/>
        <member name="[Material].[H_MainGroup].[MainGroupDesc].&amp;[Salon]"/>
        <member name="[Material].[H_MainGroup].[MainGroupDesc].&amp;[Yatak]"/>
        <member name="[Material].[H_MainGroup].[MainGroupDesc].&amp;[Bornoz]"/>
        <member name="[Material].[H_MainGroup].[MainGroupDesc].&amp;[Mutfak]"/>
        <member name="[Material].[H_MainGroup].[MainGroupDesc].&amp;[Yastık]"/>
        <member name="[Material].[H_MainGroup].[MainGroupDesc].&amp;[Yorgan]"/>
        <member name="[Material].[H_MainGroup].[MainGroupDesc].&amp;[Mobilya]"/>
        <member name="[Material].[H_MainGroup].[MainGroupDesc].&amp;[Pişirme]"/>
        <member name="[Material].[H_MainGroup].[MainGroupDesc].&amp;[Aksesuar]"/>
        <member name="[Material].[H_MainGroup].[MainGroupDesc].&amp;[Kozmetik]"/>
        <member name="[Material].[H_MainGroup].[MainGroupDesc].&amp;[Nevresim]"/>
        <member name="[Material].[H_MainGroup].[MainGroupDesc].&amp;[Battaniye]"/>
        <member name="[Material].[H_MainGroup].[MainGroupDesc].&amp;[Ev Giysisi]"/>
        <member name="[Material].[H_MainGroup].[MainGroupDesc].&amp;[Hazır Perde]"/>
        <member name="[Material].[H_MainGroup].[MainGroupDesc].&amp;[Masa Örtüsü]"/>
        <member name="[Material].[H_MainGroup].[MainGroupDesc].&amp;[Bebe - Çocuk]"/>
        <member name="[Material].[H_MainGroup].[MainGroupDesc].&amp;[Halı - Kilim]"/>
        <member name="[Material].[H_MainGroup].[MainGroupDesc].&amp;[Yatak Örtüsü]"/>
        <member name="[Material].[H_MainGroup].[MainGroupDesc].&amp;[Mobilya Satış]"/>
        <member name="[Material].[H_MainGroup].[MainGroupDesc].&amp;[White Collection]"/>
        <member name="[Material].[H_MainGroup].[MainGroupDesc].&amp;[Küçük Elektrikli Ev Aletleri]"/>
      </members>
    </pivotHierarchy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Channel].[DistrubitionChannelDesc].&amp;[Perakende Satış]"/>
      </members>
    </pivotHierarchy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HM Taslak" showRowHeaders="1" showColHeaders="1" showRowStripes="0" showColStripes="0" showLastColumn="1"/>
  <rowHierarchiesUsage count="4">
    <rowHierarchyUsage hierarchyUsage="53"/>
    <rowHierarchyUsage hierarchyUsage="126"/>
    <rowHierarchyUsage hierarchyUsage="76"/>
    <rowHierarchyUsage hierarchyUsage="1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E8805-9F3D-4D30-AFFF-C162ECFBFBB9}" name="PivotTable1" cacheId="268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3:AF641" firstHeaderRow="1" firstDataRow="2" firstDataCol="2" rowPageCount="10" colPageCount="1"/>
  <pivotFields count="48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2">
        <item s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>
      <items count="6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627">
    <i>
      <x v="14"/>
      <x v="461"/>
    </i>
    <i r="1">
      <x v="463"/>
    </i>
    <i r="1">
      <x v="452"/>
    </i>
    <i r="1">
      <x v="449"/>
    </i>
    <i r="1">
      <x v="453"/>
    </i>
    <i r="1">
      <x v="459"/>
    </i>
    <i r="1">
      <x v="469"/>
    </i>
    <i r="1">
      <x v="460"/>
    </i>
    <i r="1">
      <x v="458"/>
    </i>
    <i r="1">
      <x v="455"/>
    </i>
    <i r="1">
      <x v="451"/>
    </i>
    <i r="1">
      <x v="454"/>
    </i>
    <i r="1">
      <x v="465"/>
    </i>
    <i r="1">
      <x v="466"/>
    </i>
    <i r="1">
      <x v="456"/>
    </i>
    <i r="1">
      <x v="450"/>
    </i>
    <i r="1">
      <x v="467"/>
    </i>
    <i r="1">
      <x v="468"/>
    </i>
    <i r="1">
      <x v="457"/>
    </i>
    <i r="1">
      <x v="464"/>
    </i>
    <i r="1">
      <x v="462"/>
    </i>
    <i t="default">
      <x v="14"/>
    </i>
    <i>
      <x v="15"/>
      <x v="536"/>
    </i>
    <i r="1">
      <x v="530"/>
    </i>
    <i r="1">
      <x v="498"/>
    </i>
    <i r="1">
      <x v="488"/>
    </i>
    <i r="1">
      <x v="520"/>
    </i>
    <i r="1">
      <x v="484"/>
    </i>
    <i r="1">
      <x v="522"/>
    </i>
    <i r="1">
      <x v="490"/>
    </i>
    <i r="1">
      <x v="470"/>
    </i>
    <i r="1">
      <x v="516"/>
    </i>
    <i r="1">
      <x v="475"/>
    </i>
    <i r="1">
      <x v="541"/>
    </i>
    <i r="1">
      <x v="485"/>
    </i>
    <i r="1">
      <x v="507"/>
    </i>
    <i r="1">
      <x v="533"/>
    </i>
    <i r="1">
      <x v="506"/>
    </i>
    <i r="1">
      <x v="480"/>
    </i>
    <i r="1">
      <x v="496"/>
    </i>
    <i r="1">
      <x v="525"/>
    </i>
    <i r="1">
      <x v="521"/>
    </i>
    <i r="1">
      <x v="523"/>
    </i>
    <i r="1">
      <x v="504"/>
    </i>
    <i r="1">
      <x v="502"/>
    </i>
    <i r="1">
      <x v="479"/>
    </i>
    <i r="1">
      <x v="500"/>
    </i>
    <i r="1">
      <x v="499"/>
    </i>
    <i r="1">
      <x v="537"/>
    </i>
    <i r="1">
      <x v="505"/>
    </i>
    <i r="1">
      <x v="508"/>
    </i>
    <i r="1">
      <x v="483"/>
    </i>
    <i r="1">
      <x v="531"/>
    </i>
    <i r="1">
      <x v="529"/>
    </i>
    <i r="1">
      <x v="534"/>
    </i>
    <i r="1">
      <x v="473"/>
    </i>
    <i r="1">
      <x v="540"/>
    </i>
    <i r="1">
      <x v="493"/>
    </i>
    <i r="1">
      <x v="477"/>
    </i>
    <i r="1">
      <x v="532"/>
    </i>
    <i r="1">
      <x v="528"/>
    </i>
    <i r="1">
      <x v="478"/>
    </i>
    <i r="1">
      <x v="472"/>
    </i>
    <i r="1">
      <x v="481"/>
    </i>
    <i r="1">
      <x v="524"/>
    </i>
    <i r="1">
      <x v="526"/>
    </i>
    <i r="1">
      <x v="509"/>
    </i>
    <i r="1">
      <x v="482"/>
    </i>
    <i r="1">
      <x v="510"/>
    </i>
    <i r="1">
      <x v="503"/>
    </i>
    <i r="1">
      <x v="511"/>
    </i>
    <i r="1">
      <x v="538"/>
    </i>
    <i r="1">
      <x v="539"/>
    </i>
    <i r="1">
      <x v="476"/>
    </i>
    <i r="1">
      <x v="494"/>
    </i>
    <i r="1">
      <x v="474"/>
    </i>
    <i r="1">
      <x v="486"/>
    </i>
    <i r="1">
      <x v="527"/>
    </i>
    <i r="1">
      <x v="515"/>
    </i>
    <i r="1">
      <x v="489"/>
    </i>
    <i r="1">
      <x v="495"/>
    </i>
    <i r="1">
      <x v="501"/>
    </i>
    <i r="1">
      <x v="517"/>
    </i>
    <i r="1">
      <x v="471"/>
    </i>
    <i r="1">
      <x v="518"/>
    </i>
    <i r="1">
      <x v="535"/>
    </i>
    <i r="1">
      <x v="519"/>
    </i>
    <i r="1">
      <x v="491"/>
    </i>
    <i r="1">
      <x v="487"/>
    </i>
    <i r="1">
      <x v="492"/>
    </i>
    <i r="1">
      <x v="497"/>
    </i>
    <i r="1">
      <x v="512"/>
    </i>
    <i r="1">
      <x v="542"/>
    </i>
    <i r="1">
      <x v="513"/>
    </i>
    <i r="1">
      <x v="514"/>
    </i>
    <i t="default">
      <x v="15"/>
    </i>
    <i>
      <x v="10"/>
      <x v="325"/>
    </i>
    <i r="1">
      <x v="324"/>
    </i>
    <i r="1">
      <x v="323"/>
    </i>
    <i r="1">
      <x v="316"/>
    </i>
    <i r="1">
      <x v="320"/>
    </i>
    <i r="1">
      <x v="314"/>
    </i>
    <i r="1">
      <x v="321"/>
    </i>
    <i r="1">
      <x v="317"/>
    </i>
    <i r="1">
      <x v="318"/>
    </i>
    <i r="1">
      <x v="315"/>
    </i>
    <i r="1">
      <x v="322"/>
    </i>
    <i r="1">
      <x v="319"/>
    </i>
    <i t="default">
      <x v="10"/>
    </i>
    <i>
      <x v="12"/>
      <x v="348"/>
    </i>
    <i r="1">
      <x v="349"/>
    </i>
    <i r="1">
      <x v="346"/>
    </i>
    <i r="1">
      <x v="333"/>
    </i>
    <i r="1">
      <x v="342"/>
    </i>
    <i r="1">
      <x v="336"/>
    </i>
    <i r="1">
      <x v="332"/>
    </i>
    <i r="1">
      <x v="347"/>
    </i>
    <i r="1">
      <x v="344"/>
    </i>
    <i r="1">
      <x v="331"/>
    </i>
    <i r="1">
      <x v="334"/>
    </i>
    <i r="1">
      <x v="341"/>
    </i>
    <i r="1">
      <x v="351"/>
    </i>
    <i r="1">
      <x v="343"/>
    </i>
    <i r="1">
      <x v="337"/>
    </i>
    <i r="1">
      <x v="335"/>
    </i>
    <i r="1">
      <x v="345"/>
    </i>
    <i r="1">
      <x v="338"/>
    </i>
    <i r="1">
      <x v="350"/>
    </i>
    <i r="1">
      <x v="339"/>
    </i>
    <i r="1">
      <x v="340"/>
    </i>
    <i t="default">
      <x v="12"/>
    </i>
    <i>
      <x/>
      <x v="23"/>
    </i>
    <i r="1">
      <x v="108"/>
    </i>
    <i r="1">
      <x v="8"/>
    </i>
    <i r="1">
      <x v="28"/>
    </i>
    <i r="1">
      <x v="34"/>
    </i>
    <i r="1">
      <x v="102"/>
    </i>
    <i r="1">
      <x v="93"/>
    </i>
    <i r="1">
      <x v="21"/>
    </i>
    <i r="1">
      <x/>
    </i>
    <i r="1">
      <x v="30"/>
    </i>
    <i r="1">
      <x v="85"/>
    </i>
    <i r="1">
      <x v="69"/>
    </i>
    <i r="1">
      <x v="88"/>
    </i>
    <i r="1">
      <x v="96"/>
    </i>
    <i r="1">
      <x v="29"/>
    </i>
    <i r="1">
      <x v="37"/>
    </i>
    <i r="1">
      <x v="36"/>
    </i>
    <i r="1">
      <x v="79"/>
    </i>
    <i r="1">
      <x v="16"/>
    </i>
    <i r="1">
      <x v="38"/>
    </i>
    <i r="1">
      <x v="31"/>
    </i>
    <i r="1">
      <x v="9"/>
    </i>
    <i r="1">
      <x v="4"/>
    </i>
    <i r="1">
      <x v="7"/>
    </i>
    <i r="1">
      <x v="50"/>
    </i>
    <i r="1">
      <x v="75"/>
    </i>
    <i r="1">
      <x v="64"/>
    </i>
    <i r="1">
      <x v="44"/>
    </i>
    <i r="1">
      <x v="94"/>
    </i>
    <i r="1">
      <x v="73"/>
    </i>
    <i r="1">
      <x v="58"/>
    </i>
    <i r="1">
      <x v="74"/>
    </i>
    <i r="1">
      <x v="76"/>
    </i>
    <i r="1">
      <x v="52"/>
    </i>
    <i r="1">
      <x v="59"/>
    </i>
    <i r="1">
      <x v="42"/>
    </i>
    <i r="1">
      <x v="90"/>
    </i>
    <i r="1">
      <x v="1"/>
    </i>
    <i r="1">
      <x v="57"/>
    </i>
    <i r="1">
      <x v="82"/>
    </i>
    <i r="1">
      <x v="6"/>
    </i>
    <i r="1">
      <x v="103"/>
    </i>
    <i r="1">
      <x v="109"/>
    </i>
    <i r="1">
      <x v="32"/>
    </i>
    <i r="1">
      <x v="86"/>
    </i>
    <i r="1">
      <x v="53"/>
    </i>
    <i r="1">
      <x v="17"/>
    </i>
    <i r="1">
      <x v="63"/>
    </i>
    <i r="1">
      <x v="54"/>
    </i>
    <i r="1">
      <x v="62"/>
    </i>
    <i r="1">
      <x v="45"/>
    </i>
    <i r="1">
      <x v="39"/>
    </i>
    <i r="1">
      <x v="98"/>
    </i>
    <i r="1">
      <x v="65"/>
    </i>
    <i r="1">
      <x v="12"/>
    </i>
    <i r="1">
      <x v="110"/>
    </i>
    <i r="1">
      <x v="26"/>
    </i>
    <i r="1">
      <x v="20"/>
    </i>
    <i r="1">
      <x v="106"/>
    </i>
    <i r="1">
      <x v="2"/>
    </i>
    <i r="1">
      <x v="5"/>
    </i>
    <i r="1">
      <x v="84"/>
    </i>
    <i r="1">
      <x v="35"/>
    </i>
    <i r="1">
      <x v="92"/>
    </i>
    <i r="1">
      <x v="112"/>
    </i>
    <i r="1">
      <x v="11"/>
    </i>
    <i r="1">
      <x v="61"/>
    </i>
    <i r="1">
      <x v="27"/>
    </i>
    <i r="1">
      <x v="14"/>
    </i>
    <i r="1">
      <x v="3"/>
    </i>
    <i r="1">
      <x v="15"/>
    </i>
    <i r="1">
      <x v="46"/>
    </i>
    <i r="1">
      <x v="10"/>
    </i>
    <i r="1">
      <x v="48"/>
    </i>
    <i r="1">
      <x v="113"/>
    </i>
    <i r="1">
      <x v="100"/>
    </i>
    <i r="1">
      <x v="111"/>
    </i>
    <i r="1">
      <x v="104"/>
    </i>
    <i r="1">
      <x v="67"/>
    </i>
    <i r="1">
      <x v="13"/>
    </i>
    <i r="1">
      <x v="68"/>
    </i>
    <i r="1">
      <x v="83"/>
    </i>
    <i r="1">
      <x v="25"/>
    </i>
    <i r="1">
      <x v="19"/>
    </i>
    <i r="1">
      <x v="70"/>
    </i>
    <i r="1">
      <x v="87"/>
    </i>
    <i r="1">
      <x v="71"/>
    </i>
    <i r="1">
      <x v="89"/>
    </i>
    <i r="1">
      <x v="72"/>
    </i>
    <i r="1">
      <x v="91"/>
    </i>
    <i r="1">
      <x v="40"/>
    </i>
    <i r="1">
      <x v="47"/>
    </i>
    <i r="1">
      <x v="41"/>
    </i>
    <i r="1">
      <x v="95"/>
    </i>
    <i r="1">
      <x v="97"/>
    </i>
    <i r="1">
      <x v="33"/>
    </i>
    <i r="1">
      <x v="49"/>
    </i>
    <i r="1">
      <x v="99"/>
    </i>
    <i r="1">
      <x v="43"/>
    </i>
    <i r="1">
      <x v="101"/>
    </i>
    <i r="1">
      <x v="77"/>
    </i>
    <i r="1">
      <x v="51"/>
    </i>
    <i r="1">
      <x v="78"/>
    </i>
    <i r="1">
      <x v="105"/>
    </i>
    <i r="1">
      <x v="18"/>
    </i>
    <i r="1">
      <x v="55"/>
    </i>
    <i r="1">
      <x v="107"/>
    </i>
    <i r="1">
      <x v="80"/>
    </i>
    <i r="1">
      <x v="24"/>
    </i>
    <i r="1">
      <x v="81"/>
    </i>
    <i r="1">
      <x v="22"/>
    </i>
    <i r="1">
      <x v="66"/>
    </i>
    <i r="1">
      <x v="60"/>
    </i>
    <i r="1">
      <x v="56"/>
    </i>
    <i t="default">
      <x/>
    </i>
    <i>
      <x v="9"/>
      <x v="260"/>
    </i>
    <i r="1">
      <x v="299"/>
    </i>
    <i r="1">
      <x v="311"/>
    </i>
    <i r="1">
      <x v="289"/>
    </i>
    <i r="1">
      <x v="310"/>
    </i>
    <i r="1">
      <x v="303"/>
    </i>
    <i r="1">
      <x v="279"/>
    </i>
    <i r="1">
      <x v="266"/>
    </i>
    <i r="1">
      <x v="282"/>
    </i>
    <i r="1">
      <x v="265"/>
    </i>
    <i r="1">
      <x v="264"/>
    </i>
    <i r="1">
      <x v="288"/>
    </i>
    <i r="1">
      <x v="273"/>
    </i>
    <i r="1">
      <x v="312"/>
    </i>
    <i r="1">
      <x v="262"/>
    </i>
    <i r="1">
      <x v="287"/>
    </i>
    <i r="1">
      <x v="304"/>
    </i>
    <i r="1">
      <x v="270"/>
    </i>
    <i r="1">
      <x v="307"/>
    </i>
    <i r="1">
      <x v="290"/>
    </i>
    <i r="1">
      <x v="291"/>
    </i>
    <i r="1">
      <x v="256"/>
    </i>
    <i r="1">
      <x v="281"/>
    </i>
    <i r="1">
      <x v="274"/>
    </i>
    <i r="1">
      <x v="297"/>
    </i>
    <i r="1">
      <x v="306"/>
    </i>
    <i r="1">
      <x v="277"/>
    </i>
    <i r="1">
      <x v="296"/>
    </i>
    <i r="1">
      <x v="300"/>
    </i>
    <i r="1">
      <x v="276"/>
    </i>
    <i r="1">
      <x v="259"/>
    </i>
    <i r="1">
      <x v="295"/>
    </i>
    <i r="1">
      <x v="255"/>
    </i>
    <i r="1">
      <x v="285"/>
    </i>
    <i r="1">
      <x v="267"/>
    </i>
    <i r="1">
      <x v="286"/>
    </i>
    <i r="1">
      <x v="301"/>
    </i>
    <i r="1">
      <x v="263"/>
    </i>
    <i r="1">
      <x v="305"/>
    </i>
    <i r="1">
      <x v="268"/>
    </i>
    <i r="1">
      <x v="275"/>
    </i>
    <i r="1">
      <x v="258"/>
    </i>
    <i r="1">
      <x v="298"/>
    </i>
    <i r="1">
      <x v="271"/>
    </i>
    <i r="1">
      <x v="313"/>
    </i>
    <i r="1">
      <x v="257"/>
    </i>
    <i r="1">
      <x v="302"/>
    </i>
    <i r="1">
      <x v="280"/>
    </i>
    <i r="1">
      <x v="272"/>
    </i>
    <i r="1">
      <x v="309"/>
    </i>
    <i r="1">
      <x v="284"/>
    </i>
    <i r="1">
      <x v="278"/>
    </i>
    <i r="1">
      <x v="308"/>
    </i>
    <i r="1">
      <x v="269"/>
    </i>
    <i r="1">
      <x v="261"/>
    </i>
    <i r="1">
      <x v="293"/>
    </i>
    <i r="1">
      <x v="294"/>
    </i>
    <i r="1">
      <x v="292"/>
    </i>
    <i r="1">
      <x v="254"/>
    </i>
    <i r="1">
      <x v="283"/>
    </i>
    <i t="default">
      <x v="9"/>
    </i>
    <i>
      <x v="16"/>
      <x v="556"/>
    </i>
    <i r="1">
      <x v="549"/>
    </i>
    <i r="1">
      <x v="546"/>
    </i>
    <i r="1">
      <x v="543"/>
    </i>
    <i r="1">
      <x v="545"/>
    </i>
    <i r="1">
      <x v="553"/>
    </i>
    <i r="1">
      <x v="544"/>
    </i>
    <i r="1">
      <x v="554"/>
    </i>
    <i r="1">
      <x v="552"/>
    </i>
    <i r="1">
      <x v="547"/>
    </i>
    <i r="1">
      <x v="555"/>
    </i>
    <i r="1">
      <x v="548"/>
    </i>
    <i r="1">
      <x v="551"/>
    </i>
    <i r="1">
      <x v="550"/>
    </i>
    <i t="default">
      <x v="16"/>
    </i>
    <i>
      <x v="8"/>
      <x v="222"/>
    </i>
    <i r="1">
      <x v="233"/>
    </i>
    <i r="1">
      <x v="240"/>
    </i>
    <i r="1">
      <x v="236"/>
    </i>
    <i r="1">
      <x v="232"/>
    </i>
    <i r="1">
      <x v="242"/>
    </i>
    <i r="1">
      <x v="241"/>
    </i>
    <i r="1">
      <x v="226"/>
    </i>
    <i r="1">
      <x v="219"/>
    </i>
    <i r="1">
      <x v="229"/>
    </i>
    <i r="1">
      <x v="218"/>
    </i>
    <i r="1">
      <x v="231"/>
    </i>
    <i r="1">
      <x v="250"/>
    </i>
    <i r="1">
      <x v="249"/>
    </i>
    <i r="1">
      <x v="245"/>
    </i>
    <i r="1">
      <x v="253"/>
    </i>
    <i r="1">
      <x v="252"/>
    </i>
    <i r="1">
      <x v="225"/>
    </i>
    <i r="1">
      <x v="234"/>
    </i>
    <i r="1">
      <x v="227"/>
    </i>
    <i r="1">
      <x v="220"/>
    </i>
    <i r="1">
      <x v="246"/>
    </i>
    <i r="1">
      <x v="238"/>
    </i>
    <i r="1">
      <x v="248"/>
    </i>
    <i r="1">
      <x v="230"/>
    </i>
    <i r="1">
      <x v="239"/>
    </i>
    <i r="1">
      <x v="223"/>
    </i>
    <i r="1">
      <x v="247"/>
    </i>
    <i r="1">
      <x v="228"/>
    </i>
    <i r="1">
      <x v="237"/>
    </i>
    <i r="1">
      <x v="243"/>
    </i>
    <i r="1">
      <x v="251"/>
    </i>
    <i r="1">
      <x v="244"/>
    </i>
    <i r="1">
      <x v="224"/>
    </i>
    <i r="1">
      <x v="221"/>
    </i>
    <i r="1">
      <x v="235"/>
    </i>
    <i t="default">
      <x v="8"/>
    </i>
    <i>
      <x v="7"/>
      <x v="194"/>
    </i>
    <i r="1">
      <x v="215"/>
    </i>
    <i r="1">
      <x v="209"/>
    </i>
    <i r="1">
      <x v="205"/>
    </i>
    <i r="1">
      <x v="203"/>
    </i>
    <i r="1">
      <x v="201"/>
    </i>
    <i r="1">
      <x v="213"/>
    </i>
    <i r="1">
      <x v="204"/>
    </i>
    <i r="1">
      <x v="200"/>
    </i>
    <i r="1">
      <x v="214"/>
    </i>
    <i r="1">
      <x v="195"/>
    </i>
    <i r="1">
      <x v="197"/>
    </i>
    <i r="1">
      <x v="198"/>
    </i>
    <i r="1">
      <x v="196"/>
    </i>
    <i r="1">
      <x v="212"/>
    </i>
    <i r="1">
      <x v="217"/>
    </i>
    <i r="1">
      <x v="199"/>
    </i>
    <i r="1">
      <x v="193"/>
    </i>
    <i r="1">
      <x v="210"/>
    </i>
    <i r="1">
      <x v="211"/>
    </i>
    <i r="1">
      <x v="208"/>
    </i>
    <i r="1">
      <x v="202"/>
    </i>
    <i r="1">
      <x v="216"/>
    </i>
    <i r="1">
      <x v="206"/>
    </i>
    <i r="1">
      <x v="207"/>
    </i>
    <i t="default">
      <x v="7"/>
    </i>
    <i>
      <x v="3"/>
      <x v="126"/>
    </i>
    <i r="1">
      <x v="128"/>
    </i>
    <i r="1">
      <x v="127"/>
    </i>
    <i r="1">
      <x v="122"/>
    </i>
    <i r="1">
      <x v="125"/>
    </i>
    <i r="1">
      <x v="124"/>
    </i>
    <i r="1">
      <x v="123"/>
    </i>
    <i r="1">
      <x v="121"/>
    </i>
    <i t="default">
      <x v="3"/>
    </i>
    <i>
      <x v="6"/>
      <x v="191"/>
    </i>
    <i r="1">
      <x v="179"/>
    </i>
    <i r="1">
      <x v="169"/>
    </i>
    <i r="1">
      <x v="183"/>
    </i>
    <i r="1">
      <x v="168"/>
    </i>
    <i r="1">
      <x v="188"/>
    </i>
    <i r="1">
      <x v="181"/>
    </i>
    <i r="1">
      <x v="177"/>
    </i>
    <i r="1">
      <x v="180"/>
    </i>
    <i r="1">
      <x v="189"/>
    </i>
    <i r="1">
      <x v="192"/>
    </i>
    <i r="1">
      <x v="170"/>
    </i>
    <i r="1">
      <x v="184"/>
    </i>
    <i r="1">
      <x v="190"/>
    </i>
    <i r="1">
      <x v="171"/>
    </i>
    <i r="1">
      <x v="182"/>
    </i>
    <i r="1">
      <x v="178"/>
    </i>
    <i r="1">
      <x v="175"/>
    </i>
    <i r="1">
      <x v="187"/>
    </i>
    <i r="1">
      <x v="174"/>
    </i>
    <i r="1">
      <x v="172"/>
    </i>
    <i r="1">
      <x v="176"/>
    </i>
    <i r="1">
      <x v="185"/>
    </i>
    <i r="1">
      <x v="173"/>
    </i>
    <i r="1">
      <x v="186"/>
    </i>
    <i t="default">
      <x v="6"/>
    </i>
    <i>
      <x v="18"/>
      <x v="570"/>
    </i>
    <i r="1">
      <x v="572"/>
    </i>
    <i r="1">
      <x v="571"/>
    </i>
    <i r="1">
      <x v="568"/>
    </i>
    <i r="1">
      <x v="567"/>
    </i>
    <i r="1">
      <x v="569"/>
    </i>
    <i t="default">
      <x v="18"/>
    </i>
    <i>
      <x v="20"/>
      <x v="604"/>
    </i>
    <i r="1">
      <x v="596"/>
    </i>
    <i r="1">
      <x v="601"/>
    </i>
    <i r="1">
      <x v="600"/>
    </i>
    <i r="1">
      <x v="598"/>
    </i>
    <i r="1">
      <x v="597"/>
    </i>
    <i r="1">
      <x v="599"/>
    </i>
    <i r="1">
      <x v="603"/>
    </i>
    <i r="1">
      <x v="602"/>
    </i>
    <i t="default">
      <x v="20"/>
    </i>
    <i>
      <x v="17"/>
      <x v="565"/>
    </i>
    <i r="1">
      <x v="557"/>
    </i>
    <i r="1">
      <x v="564"/>
    </i>
    <i r="1">
      <x v="558"/>
    </i>
    <i r="1">
      <x v="563"/>
    </i>
    <i r="1">
      <x v="559"/>
    </i>
    <i r="1">
      <x v="560"/>
    </i>
    <i r="1">
      <x v="566"/>
    </i>
    <i r="1">
      <x v="562"/>
    </i>
    <i r="1">
      <x v="561"/>
    </i>
    <i t="default">
      <x v="17"/>
    </i>
    <i>
      <x v="2"/>
      <x v="117"/>
    </i>
    <i r="1">
      <x v="120"/>
    </i>
    <i r="1">
      <x v="118"/>
    </i>
    <i r="1">
      <x v="119"/>
    </i>
    <i t="default">
      <x v="2"/>
    </i>
    <i>
      <x v="13"/>
      <x v="408"/>
    </i>
    <i r="1">
      <x v="412"/>
    </i>
    <i r="1">
      <x v="431"/>
    </i>
    <i r="1">
      <x v="445"/>
    </i>
    <i r="1">
      <x v="392"/>
    </i>
    <i r="1">
      <x v="427"/>
    </i>
    <i r="1">
      <x v="374"/>
    </i>
    <i r="1">
      <x v="398"/>
    </i>
    <i r="1">
      <x v="401"/>
    </i>
    <i r="1">
      <x v="426"/>
    </i>
    <i r="1">
      <x v="421"/>
    </i>
    <i r="1">
      <x v="434"/>
    </i>
    <i r="1">
      <x v="430"/>
    </i>
    <i r="1">
      <x v="388"/>
    </i>
    <i r="1">
      <x v="371"/>
    </i>
    <i r="1">
      <x v="448"/>
    </i>
    <i r="1">
      <x v="417"/>
    </i>
    <i r="1">
      <x v="418"/>
    </i>
    <i r="1">
      <x v="384"/>
    </i>
    <i r="1">
      <x v="440"/>
    </i>
    <i r="1">
      <x v="354"/>
    </i>
    <i r="1">
      <x v="429"/>
    </i>
    <i r="1">
      <x v="402"/>
    </i>
    <i r="1">
      <x v="385"/>
    </i>
    <i r="1">
      <x v="419"/>
    </i>
    <i r="1">
      <x v="413"/>
    </i>
    <i r="1">
      <x v="409"/>
    </i>
    <i r="1">
      <x v="360"/>
    </i>
    <i r="1">
      <x v="391"/>
    </i>
    <i r="1">
      <x v="444"/>
    </i>
    <i r="1">
      <x v="423"/>
    </i>
    <i r="1">
      <x v="411"/>
    </i>
    <i r="1">
      <x v="435"/>
    </i>
    <i r="1">
      <x v="433"/>
    </i>
    <i r="1">
      <x v="370"/>
    </i>
    <i r="1">
      <x v="378"/>
    </i>
    <i r="1">
      <x v="366"/>
    </i>
    <i r="1">
      <x v="362"/>
    </i>
    <i r="1">
      <x v="355"/>
    </i>
    <i r="1">
      <x v="414"/>
    </i>
    <i r="1">
      <x v="389"/>
    </i>
    <i r="1">
      <x v="422"/>
    </i>
    <i r="1">
      <x v="390"/>
    </i>
    <i r="1">
      <x v="364"/>
    </i>
    <i r="1">
      <x v="372"/>
    </i>
    <i r="1">
      <x v="438"/>
    </i>
    <i r="1">
      <x v="356"/>
    </i>
    <i r="1">
      <x v="416"/>
    </i>
    <i r="1">
      <x v="393"/>
    </i>
    <i r="1">
      <x v="420"/>
    </i>
    <i r="1">
      <x v="394"/>
    </i>
    <i r="1">
      <x v="424"/>
    </i>
    <i r="1">
      <x v="395"/>
    </i>
    <i r="1">
      <x v="428"/>
    </i>
    <i r="1">
      <x v="396"/>
    </i>
    <i r="1">
      <x v="432"/>
    </i>
    <i r="1">
      <x v="397"/>
    </i>
    <i r="1">
      <x v="436"/>
    </i>
    <i r="1">
      <x v="357"/>
    </i>
    <i r="1">
      <x v="381"/>
    </i>
    <i r="1">
      <x v="447"/>
    </i>
    <i r="1">
      <x v="415"/>
    </i>
    <i r="1">
      <x v="352"/>
    </i>
    <i r="1">
      <x v="377"/>
    </i>
    <i r="1">
      <x v="358"/>
    </i>
    <i r="1">
      <x v="379"/>
    </i>
    <i r="1">
      <x v="373"/>
    </i>
    <i r="1">
      <x v="361"/>
    </i>
    <i r="1">
      <x v="403"/>
    </i>
    <i r="1">
      <x v="383"/>
    </i>
    <i r="1">
      <x v="404"/>
    </i>
    <i r="1">
      <x v="425"/>
    </i>
    <i r="1">
      <x v="443"/>
    </i>
    <i r="1">
      <x v="363"/>
    </i>
    <i r="1">
      <x v="367"/>
    </i>
    <i r="1">
      <x v="380"/>
    </i>
    <i r="1">
      <x v="368"/>
    </i>
    <i r="1">
      <x v="365"/>
    </i>
    <i r="1">
      <x v="359"/>
    </i>
    <i r="1">
      <x v="353"/>
    </i>
    <i r="1">
      <x v="369"/>
    </i>
    <i r="1">
      <x v="386"/>
    </i>
    <i r="1">
      <x v="410"/>
    </i>
    <i r="1">
      <x v="437"/>
    </i>
    <i r="1">
      <x v="442"/>
    </i>
    <i r="1">
      <x v="439"/>
    </i>
    <i r="1">
      <x v="441"/>
    </i>
    <i r="1">
      <x v="387"/>
    </i>
    <i r="1">
      <x v="376"/>
    </i>
    <i r="1">
      <x v="382"/>
    </i>
    <i r="1">
      <x v="375"/>
    </i>
    <i r="1">
      <x v="405"/>
    </i>
    <i r="1">
      <x v="446"/>
    </i>
    <i r="1">
      <x v="406"/>
    </i>
    <i r="1">
      <x v="407"/>
    </i>
    <i r="1">
      <x v="399"/>
    </i>
    <i r="1">
      <x v="400"/>
    </i>
    <i t="default">
      <x v="13"/>
    </i>
    <i>
      <x v="1"/>
      <x v="115"/>
    </i>
    <i r="1">
      <x v="114"/>
    </i>
    <i r="1">
      <x v="116"/>
    </i>
    <i t="default">
      <x v="1"/>
    </i>
    <i>
      <x v="5"/>
      <x v="167"/>
    </i>
    <i r="1">
      <x v="166"/>
    </i>
    <i r="1">
      <x v="163"/>
    </i>
    <i r="1">
      <x v="162"/>
    </i>
    <i r="1">
      <x v="161"/>
    </i>
    <i r="1">
      <x v="156"/>
    </i>
    <i r="1">
      <x v="158"/>
    </i>
    <i r="1">
      <x v="160"/>
    </i>
    <i r="1">
      <x v="159"/>
    </i>
    <i r="1">
      <x v="165"/>
    </i>
    <i r="1">
      <x v="157"/>
    </i>
    <i r="1">
      <x v="164"/>
    </i>
    <i t="default">
      <x v="5"/>
    </i>
    <i>
      <x v="4"/>
      <x v="152"/>
    </i>
    <i r="1">
      <x v="134"/>
    </i>
    <i r="1">
      <x v="139"/>
    </i>
    <i r="1">
      <x v="137"/>
    </i>
    <i r="1">
      <x v="153"/>
    </i>
    <i r="1">
      <x v="132"/>
    </i>
    <i r="1">
      <x v="154"/>
    </i>
    <i r="1">
      <x v="150"/>
    </i>
    <i r="1">
      <x v="145"/>
    </i>
    <i r="1">
      <x v="140"/>
    </i>
    <i r="1">
      <x v="133"/>
    </i>
    <i r="1">
      <x v="130"/>
    </i>
    <i r="1">
      <x v="143"/>
    </i>
    <i r="1">
      <x v="131"/>
    </i>
    <i r="1">
      <x v="142"/>
    </i>
    <i r="1">
      <x v="144"/>
    </i>
    <i r="1">
      <x v="148"/>
    </i>
    <i r="1">
      <x v="146"/>
    </i>
    <i r="1">
      <x v="129"/>
    </i>
    <i r="1">
      <x v="151"/>
    </i>
    <i r="1">
      <x v="135"/>
    </i>
    <i r="1">
      <x v="141"/>
    </i>
    <i r="1">
      <x v="147"/>
    </i>
    <i r="1">
      <x v="138"/>
    </i>
    <i r="1">
      <x v="136"/>
    </i>
    <i r="1">
      <x v="155"/>
    </i>
    <i r="1">
      <x v="149"/>
    </i>
    <i t="default">
      <x v="4"/>
    </i>
    <i>
      <x v="11"/>
      <x v="328"/>
    </i>
    <i r="1">
      <x v="330"/>
    </i>
    <i r="1">
      <x v="326"/>
    </i>
    <i r="1">
      <x v="329"/>
    </i>
    <i r="1">
      <x v="327"/>
    </i>
    <i t="default">
      <x v="11"/>
    </i>
    <i>
      <x v="19"/>
      <x v="574"/>
    </i>
    <i r="1">
      <x v="579"/>
    </i>
    <i r="1">
      <x v="576"/>
    </i>
    <i r="1">
      <x v="589"/>
    </i>
    <i r="1">
      <x v="582"/>
    </i>
    <i r="1">
      <x v="591"/>
    </i>
    <i r="1">
      <x v="587"/>
    </i>
    <i r="1">
      <x v="578"/>
    </i>
    <i r="1">
      <x v="575"/>
    </i>
    <i r="1">
      <x v="577"/>
    </i>
    <i r="1">
      <x v="580"/>
    </i>
    <i r="1">
      <x v="586"/>
    </i>
    <i r="1">
      <x v="581"/>
    </i>
    <i r="1">
      <x v="588"/>
    </i>
    <i r="1">
      <x v="593"/>
    </i>
    <i r="1">
      <x v="590"/>
    </i>
    <i r="1">
      <x v="594"/>
    </i>
    <i r="1">
      <x v="592"/>
    </i>
    <i r="1">
      <x v="573"/>
    </i>
    <i r="1">
      <x v="585"/>
    </i>
    <i r="1">
      <x v="595"/>
    </i>
    <i r="1">
      <x v="583"/>
    </i>
    <i r="1">
      <x v="584"/>
    </i>
    <i t="default">
      <x v="19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pageFields count="10">
    <pageField fld="37" hier="102" name="[Material].[MerchProduct].&amp;[Merch]" cap="Merch"/>
    <pageField fld="13" hier="16" name="[Calendar].[MerchYearMonth].[All]" cap="All"/>
    <pageField fld="33" hier="144" name="[SalesChannel].[H_SalesChannel].[SalesOrgType].&amp;[İştirak].&amp;[TÜRKİYE]" cap="TÜRKİYE"/>
    <pageField fld="9" hier="167" name="[Store].[LocationCountry].[All]" cap="All"/>
    <pageField fld="0" hier="150" name="[SalesChannel].[SalesOrgType].&amp;[İştirak]" cap="İştirak"/>
    <pageField fld="1" hier="142" name="[SalesChannel].[DistrubitionChannelDesc].&amp;[Perakende Satış]" cap="Perakende Satış"/>
    <pageField fld="5" hier="6" name="[Calendar].[H_Merch].[MerchYear].&amp;[2026]" cap="2026"/>
    <pageField fld="32" hier="82" name="[Material].[MaterialDesc].[All]" cap="All"/>
    <pageField fld="43" hier="11" name="[Calendar].[LastNWeeks].[All]" cap="All"/>
    <pageField fld="44" hier="9" name="[Calendar].[LastNDays].&amp;[1]" cap="1"/>
  </pageFields>
  <dataFields count="30">
    <dataField fld="12" baseField="0" baseItem="0"/>
    <dataField fld="14" baseField="0" baseItem="0"/>
    <dataField fld="2" baseField="0" baseItem="0"/>
    <dataField fld="15" baseField="0" baseItem="0" numFmtId="3"/>
    <dataField fld="3" baseField="0" baseItem="0" numFmtId="3"/>
    <dataField fld="16" baseField="0" baseItem="0" numFmtId="3"/>
    <dataField fld="26" baseField="0" baseItem="0"/>
    <dataField fld="27" baseField="0" baseItem="0"/>
    <dataField fld="4" baseField="0" baseItem="0"/>
    <dataField fld="17" baseField="0" baseItem="0"/>
    <dataField fld="22" baseField="0" baseItem="0"/>
    <dataField fld="23" baseField="0" baseItem="0"/>
    <dataField fld="18" baseField="0" baseItem="0"/>
    <dataField fld="19" baseField="0" baseItem="0"/>
    <dataField fld="24" baseField="0" baseItem="0"/>
    <dataField fld="25" baseField="0" baseItem="0"/>
    <dataField fld="20" baseField="0" baseItem="0"/>
    <dataField fld="21" baseField="0" baseItem="0"/>
    <dataField fld="28" baseField="0" baseItem="0"/>
    <dataField fld="29" baseField="0" baseItem="0"/>
    <dataField fld="30" baseField="0" baseItem="0"/>
    <dataField fld="31" baseField="0" baseItem="0"/>
    <dataField fld="38" baseField="0" baseItem="0"/>
    <dataField fld="39" baseField="0" baseItem="0"/>
    <dataField fld="40" baseField="0" baseItem="0"/>
    <dataField fld="41" baseField="0" baseItem="0"/>
    <dataField fld="42" baseField="0" baseItem="0"/>
    <dataField fld="45" baseField="0" baseItem="0"/>
    <dataField fld="46" baseField="0" baseItem="0"/>
    <dataField fld="47" baseField="0" baseItem="0"/>
  </dataFields>
  <formats count="44">
    <format dxfId="505">
      <pivotArea field="5" type="button" dataOnly="0" labelOnly="1" outline="0" axis="axisPage" fieldPosition="6"/>
    </format>
    <format dxfId="504">
      <pivotArea field="6" type="button" dataOnly="0" labelOnly="1" outline="0"/>
    </format>
    <format dxfId="503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502">
      <pivotArea field="5" type="button" dataOnly="0" labelOnly="1" outline="0" axis="axisPage" fieldPosition="6"/>
    </format>
    <format dxfId="501">
      <pivotArea field="6" type="button" dataOnly="0" labelOnly="1" outline="0"/>
    </format>
    <format dxfId="500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499">
      <pivotArea field="5" type="button" dataOnly="0" labelOnly="1" outline="0" axis="axisPage" fieldPosition="6"/>
    </format>
    <format dxfId="498">
      <pivotArea field="6" type="button" dataOnly="0" labelOnly="1" outline="0"/>
    </format>
    <format dxfId="497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496">
      <pivotArea outline="0" fieldPosition="0">
        <references count="1">
          <reference field="4294967294" count="1" selected="0">
            <x v="4"/>
          </reference>
        </references>
      </pivotArea>
    </format>
    <format dxfId="4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2">
      <pivotArea dataOnly="0" outline="0" fieldPosition="0">
        <references count="1">
          <reference field="4294967294" count="1">
            <x v="2"/>
          </reference>
        </references>
      </pivotArea>
    </format>
    <format dxfId="491">
      <pivotArea dataOnly="0" outline="0" fieldPosition="0">
        <references count="1">
          <reference field="13" count="0" defaultSubtotal="1"/>
        </references>
      </pivotArea>
    </format>
    <format dxfId="490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489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488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487">
      <pivotArea field="13" type="button" dataOnly="0" labelOnly="1" outline="0" axis="axisPage" fieldPosition="1"/>
    </format>
    <format dxfId="486">
      <pivotArea field="13" type="button" dataOnly="0" labelOnly="1" outline="0" axis="axisPage" fieldPosition="1"/>
    </format>
    <format dxfId="485">
      <pivotArea field="13" type="button" dataOnly="0" labelOnly="1" outline="0" axis="axisPage" fieldPosition="1"/>
    </format>
    <format dxfId="484">
      <pivotArea outline="0" fieldPosition="0">
        <references count="1">
          <reference field="4294967294" count="1" selected="0">
            <x v="3"/>
          </reference>
        </references>
      </pivotArea>
    </format>
    <format dxfId="483">
      <pivotArea outline="0" fieldPosition="0">
        <references count="1">
          <reference field="4294967294" count="1" selected="0">
            <x v="5"/>
          </reference>
        </references>
      </pivotArea>
    </format>
    <format dxfId="482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481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480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47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7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7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7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73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472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471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470">
      <pivotArea dataOnly="0" outline="0" fieldPosition="0">
        <references count="1">
          <reference field="4294967294" count="1">
            <x v="4"/>
          </reference>
        </references>
      </pivotArea>
    </format>
    <format dxfId="469">
      <pivotArea dataOnly="0" outline="0" fieldPosition="0">
        <references count="1">
          <reference field="10" count="0" defaultSubtotal="1"/>
        </references>
      </pivotArea>
    </format>
    <format dxfId="46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467">
      <pivotArea dataOnly="0" labelOnly="1" outline="0" fieldPosition="0">
        <references count="1">
          <reference field="4294967294" count="4">
            <x v="18"/>
            <x v="19"/>
            <x v="20"/>
            <x v="21"/>
          </reference>
        </references>
      </pivotArea>
    </format>
    <format dxfId="466">
      <pivotArea dataOnly="0" outline="0" fieldPosition="0">
        <references count="1">
          <reference field="4294967294" count="2">
            <x v="6"/>
            <x v="7"/>
          </reference>
        </references>
      </pivotArea>
    </format>
    <format dxfId="465">
      <pivotArea dataOnly="0" labelOnly="1" outline="0" fieldPosition="0">
        <references count="1">
          <reference field="4294967294" count="5">
            <x v="22"/>
            <x v="23"/>
            <x v="24"/>
            <x v="25"/>
            <x v="26"/>
          </reference>
        </references>
      </pivotArea>
    </format>
    <format dxfId="464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463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462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</formats>
  <pivotHierarchies count="1574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6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/>
    <pivotHierarchy/>
    <pivotHierarchy multipleItemSelectionAllowed="1"/>
    <pivotHierarchy/>
    <pivotHierarchy multipleItemSelectionAllowed="1"/>
    <pivotHierarchy multipleItemSelectionAllowed="1">
      <members count="1" level="1">
        <member name="[Calendar].[MerchYear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7DCC6-0D18-46CD-8344-5C9009763927}" name="PivotTable1" cacheId="272" applyNumberFormats="0" applyBorderFormats="0" applyFontFormats="0" applyPatternFormats="0" applyAlignmentFormats="0" applyWidthHeightFormats="1" dataCaption="Değerler" updatedVersion="8" minRefreshableVersion="3" subtotalHiddenItems="1" rowGrandTotals="0" itemPrintTitles="1" createdVersion="8" indent="0" compact="0" compactData="0" gridDropZones="1" multipleFieldFilters="0" chartFormat="2" fieldListSortAscending="1">
  <location ref="A13:M30" firstHeaderRow="1" firstDataRow="2" firstDataCol="3" rowPageCount="8" colPageCount="1"/>
  <pivotFields count="29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3">
    <field x="12"/>
    <field x="24"/>
    <field x="23"/>
  </rowFields>
  <rowItems count="16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t="default">
      <x/>
    </i>
    <i>
      <x v="1"/>
      <x v="7"/>
      <x/>
    </i>
    <i r="1">
      <x v="8"/>
      <x v="1"/>
    </i>
    <i r="1">
      <x v="9"/>
      <x v="2"/>
    </i>
    <i r="1">
      <x v="10"/>
      <x v="3"/>
    </i>
    <i r="1">
      <x v="11"/>
      <x v="4"/>
    </i>
    <i r="1">
      <x v="12"/>
      <x v="5"/>
    </i>
    <i r="1">
      <x v="13"/>
      <x v="6"/>
    </i>
    <i t="default">
      <x v="1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8">
    <pageField fld="27" hier="140" name="[SalesChannel].[CountryName].&amp;[TÜRKİYE]" cap="TÜRKİYE"/>
    <pageField fld="1" hier="142" name="[SalesChannel].[DistrubitionChannelDesc].&amp;[Perakende Satış]" cap="Perakende Satış"/>
    <pageField fld="0" hier="150" name="[SalesChannel].[SalesOrgType].&amp;[İştirak]" cap="İştirak"/>
    <pageField fld="26" hier="102" name="[Material].[MerchProduct].&amp;[Merch]" cap="Merch"/>
    <pageField fld="13" hier="70" name="[Material].[H_MainGroup].[All]" cap="All"/>
    <pageField fld="11" hier="167" name="[Store].[LocationCountry].[All]" cap="All"/>
    <pageField fld="7" hier="6" name="[Calendar].[H_Merch].[All]" cap="All"/>
    <pageField fld="22" hier="9" name="[Calendar].[LastNDays].&amp;[0]" cap="0"/>
  </pageFields>
  <dataFields count="10">
    <dataField fld="15" baseField="0" baseItem="0"/>
    <dataField fld="16" baseField="0" baseItem="0"/>
    <dataField fld="17" baseField="0" baseItem="0"/>
    <dataField fld="2" baseField="0" baseItem="0"/>
    <dataField fld="3" baseField="0" baseItem="0" numFmtId="3"/>
    <dataField fld="4" baseField="0" baseItem="0" numFmtId="3"/>
    <dataField fld="5" baseField="0" baseItem="0"/>
    <dataField fld="6" baseField="0" baseItem="0"/>
    <dataField fld="18" baseField="0" baseItem="0"/>
    <dataField fld="25" baseField="0" baseItem="0"/>
  </dataFields>
  <formats count="25">
    <format dxfId="206">
      <pivotArea field="7" type="button" dataOnly="0" labelOnly="1" outline="0" axis="axisPage" fieldPosition="6"/>
    </format>
    <format dxfId="205">
      <pivotArea field="8" type="button" dataOnly="0" labelOnly="1" outline="0"/>
    </format>
    <format dxfId="204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203">
      <pivotArea field="7" type="button" dataOnly="0" labelOnly="1" outline="0" axis="axisPage" fieldPosition="6"/>
    </format>
    <format dxfId="202">
      <pivotArea field="8" type="button" dataOnly="0" labelOnly="1" outline="0"/>
    </format>
    <format dxfId="201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200">
      <pivotArea field="7" type="button" dataOnly="0" labelOnly="1" outline="0" axis="axisPage" fieldPosition="6"/>
    </format>
    <format dxfId="199">
      <pivotArea field="8" type="button" dataOnly="0" labelOnly="1" outline="0"/>
    </format>
    <format dxfId="198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197">
      <pivotArea outline="0" fieldPosition="0">
        <references count="1">
          <reference field="4294967294" count="1" selected="0">
            <x v="4"/>
          </reference>
        </references>
      </pivotArea>
    </format>
    <format dxfId="196">
      <pivotArea outline="0" fieldPosition="0">
        <references count="1">
          <reference field="4294967294" count="1" selected="0">
            <x v="5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3">
      <pivotArea dataOnly="0" outline="0" fieldPosition="0">
        <references count="1">
          <reference field="4294967294" count="1">
            <x v="3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Hierarchies count="1574"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>
      <members count="15" level="1">
        <member name="[Calendar].[LastNDays].&amp;[0]"/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  <member name="[Calendar].[LastNDays].&amp;[8]"/>
        <member name="[Calendar].[LastNDays].&amp;[9]"/>
        <member name="[Calendar].[LastNDays].&amp;[10]"/>
        <member name="[Calendar].[LastNDays].&amp;[11]"/>
        <member name="[Calendar].[LastNDays].&amp;[12]"/>
        <member name="[Calendar].[LastNDays].&amp;[13]"/>
        <member name="[Calendar].[LastNDays].&amp;[14]"/>
      </members>
    </pivotHierarchy>
    <pivotHierarchy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D4FCF-855D-4E19-AB85-04516E293851}" name="PivotTable3" cacheId="278" applyNumberFormats="0" applyBorderFormats="0" applyFontFormats="0" applyPatternFormats="0" applyAlignmentFormats="0" applyWidthHeightFormats="1" dataCaption="Değerler" updatedVersion="8" minRefreshableVersion="3" subtotalHiddenItems="1" colGrandTotals="0" itemPrintTitles="1" mergeItem="1" createdVersion="8" indent="0" compact="0" compactData="0" gridDropZones="1" multipleFieldFilters="0" chartFormat="2" fieldListSortAscending="1">
  <location ref="A183:O209" firstHeaderRow="1" firstDataRow="3" firstDataCol="3" rowPageCount="5" colPageCount="1"/>
  <pivotFields count="17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>
      <items count="7">
        <item c="1" x="0"/>
        <item c="1" x="1"/>
        <item c="1" x="2" d="1"/>
        <item c="1" x="3"/>
        <item c="1" x="4"/>
        <item c="1" x="5"/>
        <item t="default"/>
      </items>
    </pivotField>
    <pivotField axis="axisRow" compact="0" outline="0" subtotalTop="0" showAll="0" dataSourceSort="1">
      <items count="13">
        <item c="1" x="0"/>
        <item c="1" x="1"/>
        <item c="1" x="2"/>
        <item c="1" x="3" d="1"/>
        <item c="1" x="4"/>
        <item c="1" x="5"/>
        <item c="1" x="6"/>
        <item c="1" x="7"/>
        <item c="1" x="8"/>
        <item c="1" x="9"/>
        <item c="1" x="10"/>
        <item c="1" x="11"/>
        <item t="default"/>
      </items>
    </pivotField>
    <pivotField axis="axisRow" compact="0" outline="0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>
      <items count="19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  <item s="1" c="1" x="10"/>
        <item s="1" c="1" x="11"/>
        <item s="1" c="1" x="12"/>
        <item s="1" c="1" x="13"/>
        <item s="1" c="1" x="14"/>
        <item s="1" c="1" x="15"/>
        <item s="1" c="1" x="16"/>
        <item s="1" c="1" x="17"/>
        <item s="1" c="1" x="18"/>
      </items>
    </pivotField>
    <pivotField axis="axisPage" compact="0" outline="0" subtotalTop="0" showAll="0" dataSourceSort="1" defaultSubtotal="0"/>
    <pivotField dataField="1" compact="0" outline="0" subtotalTop="0" showAll="0" defaultSubtotal="0"/>
    <pivotField axis="axisPage" compact="0" allDrilled="1" outline="0" subtotalTop="0" showAll="0" dataSourceSort="1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t="default"/>
      </items>
    </pivotField>
    <pivotField dataField="1" compact="0" outline="0" subtotalTop="0" showAll="0" defaultSubtotal="0"/>
  </pivotFields>
  <rowFields count="3">
    <field x="6"/>
    <field x="7"/>
    <field x="8"/>
  </rowFields>
  <rowItems count="24">
    <i>
      <x/>
    </i>
    <i>
      <x v="1"/>
    </i>
    <i>
      <x v="2"/>
      <x/>
    </i>
    <i r="1">
      <x v="1"/>
    </i>
    <i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pageFields count="5">
    <pageField fld="11" hier="14" name="[Calendar].[MerchWeek].[All]" cap="All"/>
    <pageField fld="12" hier="70" name="[Material].[H_MainGroup].[All]" cap="All"/>
    <pageField fld="10" hier="167" name="[Store].[LocationCountry].&amp;[TR]" cap="TR"/>
    <pageField fld="0" hier="150" name="[SalesChannel].[SalesOrgType].&amp;[İştirak]" cap="İştirak"/>
    <pageField fld="15" hier="76" name="[Material].[MainGroupDesc].[All]" cap="All"/>
  </pageFields>
  <dataFields count="6">
    <dataField name="TY Avg Store Stock Unit" fld="4" baseField="0" baseItem="0"/>
    <dataField name="TY Sales Unit" fld="2" baseField="0" baseItem="0"/>
    <dataField name="TY Sales Value LC" fld="3" baseField="0" baseItem="0"/>
    <dataField fld="16" baseField="12" baseItem="0" numFmtId="3"/>
    <dataField fld="5" baseField="0" baseItem="0"/>
    <dataField fld="14" baseField="0" baseItem="0"/>
  </dataFields>
  <formats count="51">
    <format dxfId="257">
      <pivotArea field="6" type="button" dataOnly="0" labelOnly="1" outline="0" axis="axisRow" fieldPosition="0"/>
    </format>
    <format dxfId="256">
      <pivotArea field="7" type="button" dataOnly="0" labelOnly="1" outline="0" axis="axisRow" fieldPosition="1"/>
    </format>
    <format dxfId="25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4">
      <pivotArea field="6" type="button" dataOnly="0" labelOnly="1" outline="0" axis="axisRow" fieldPosition="0"/>
    </format>
    <format dxfId="253">
      <pivotArea field="7" type="button" dataOnly="0" labelOnly="1" outline="0" axis="axisRow" fieldPosition="1"/>
    </format>
    <format dxfId="25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1">
      <pivotArea field="6" type="button" dataOnly="0" labelOnly="1" outline="0" axis="axisRow" fieldPosition="0"/>
    </format>
    <format dxfId="250">
      <pivotArea field="7" type="button" dataOnly="0" labelOnly="1" outline="0" axis="axisRow" fieldPosition="1"/>
    </format>
    <format dxfId="24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5">
      <pivotArea dataOnly="0" outline="0" fieldPosition="0">
        <references count="1">
          <reference field="15" count="0" defaultSubtotal="1"/>
        </references>
      </pivotArea>
    </format>
    <format dxfId="244">
      <pivotArea field="11" type="button" dataOnly="0" labelOnly="1" outline="0" axis="axisPage" fieldPosition="0"/>
    </format>
    <format dxfId="243">
      <pivotArea field="11" type="button" dataOnly="0" labelOnly="1" outline="0" axis="axisPage" fieldPosition="0"/>
    </format>
    <format dxfId="242">
      <pivotArea field="11" type="button" dataOnly="0" labelOnly="1" outline="0" axis="axisPage" fieldPosition="0"/>
    </format>
    <format dxfId="241">
      <pivotArea field="15" type="button" dataOnly="0" labelOnly="1" outline="0" axis="axisPage" fieldPosition="4"/>
    </format>
    <format dxfId="240">
      <pivotArea field="15" type="button" dataOnly="0" labelOnly="1" outline="0" axis="axisPage" fieldPosition="4"/>
    </format>
    <format dxfId="239">
      <pivotArea field="15" type="button" dataOnly="0" labelOnly="1" outline="0" axis="axisPage" fieldPosition="4"/>
    </format>
    <format dxfId="238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237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236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235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234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233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232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231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229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228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227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226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0"/>
          </reference>
        </references>
      </pivotArea>
    </format>
    <format dxfId="225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2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2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2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2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2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18">
      <pivotArea dataOnly="0" outline="0" fieldPosition="0">
        <references count="1">
          <reference field="1" count="1">
            <x v="1"/>
          </reference>
        </references>
      </pivotArea>
    </format>
    <format dxfId="217">
      <pivotArea dataOnly="0" labelOnly="1" outline="0" fieldPosition="0">
        <references count="2">
          <reference field="4294967294" count="5">
            <x v="0"/>
            <x v="1"/>
            <x v="2"/>
            <x v="4"/>
            <x v="5"/>
          </reference>
          <reference field="1" count="1" selected="0">
            <x v="1"/>
          </reference>
        </references>
      </pivotArea>
    </format>
    <format dxfId="216">
      <pivotArea dataOnly="0" outline="0" fieldPosition="0">
        <references count="1">
          <reference field="1" count="1">
            <x v="0"/>
          </reference>
        </references>
      </pivotArea>
    </format>
    <format dxfId="215">
      <pivotArea dataOnly="0" labelOnly="1" outline="0" fieldPosition="0">
        <references count="2">
          <reference field="4294967294" count="5">
            <x v="0"/>
            <x v="1"/>
            <x v="2"/>
            <x v="4"/>
            <x v="5"/>
          </reference>
          <reference field="1" count="1" selected="0">
            <x v="0"/>
          </reference>
        </references>
      </pivotArea>
    </format>
    <format dxfId="214">
      <pivotArea field="12" type="button" dataOnly="0" labelOnly="1" outline="0" axis="axisPage" fieldPosition="1"/>
    </format>
    <format dxfId="213">
      <pivotArea field="12" type="button" dataOnly="0" labelOnly="1" outline="0" axis="axisPage" fieldPosition="1"/>
    </format>
    <format dxfId="212">
      <pivotArea dataOnly="0" labelOnly="1" outline="0" fieldPosition="0">
        <references count="1">
          <reference field="12" count="0"/>
        </references>
      </pivotArea>
    </format>
    <format dxfId="211">
      <pivotArea field="12" type="button" dataOnly="0" labelOnly="1" outline="0" axis="axisPage" fieldPosition="1"/>
    </format>
    <format dxfId="210">
      <pivotArea dataOnly="0" grandRow="1" outline="0" fieldPosition="0"/>
    </format>
    <format dxfId="209">
      <pivotArea outline="0" fieldPosition="0">
        <references count="1">
          <reference field="4294967294" count="1">
            <x v="3"/>
          </reference>
        </references>
      </pivotArea>
    </format>
    <format dxfId="208">
      <pivotArea dataOnly="0" outline="0" fieldPosition="0">
        <references count="1">
          <reference field="7" count="0" defaultSubtotal="1"/>
        </references>
      </pivotArea>
    </format>
    <format dxfId="207">
      <pivotArea dataOnly="0" outline="0" fieldPosition="0">
        <references count="1">
          <reference field="6" count="0" defaultSubtotal="1"/>
        </references>
      </pivotArea>
    </format>
  </formats>
  <pivotHierarchies count="157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4" level="1">
        <member name=""/>
        <member name=""/>
        <member name=""/>
        <member name=""/>
        <member name="[Material].[H_MainGroup].[MainGroupDesc].&amp;[Yatak]"/>
        <member name=""/>
        <member name=""/>
        <member name=""/>
        <member name=""/>
        <member name="[Material].[H_MainGroup].[MainGroupDesc].&amp;[Mobilya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Material].[H_MainGroup].[MainGroupDesc].&amp;[White Collection]"/>
        <member name="[Material].[H_MainGroup].[MainGroupDesc].&amp;[Küçük Elektrikli Ev Aletleri]"/>
      </members>
    </pivotHierarchy>
    <pivotHierarchy/>
    <pivotHierarchy/>
    <pivotHierarchy/>
    <pivotHierarchy/>
    <pivotHierarchy/>
    <pivotHierarchy multipleItemSelectionAllowed="1">
      <members count="32" level="1">
        <member name=""/>
        <member name="[Material].[MainGroupDesc].&amp;[#NA]"/>
        <member name="[Material].[MainGroupDesc].&amp;[EBA]"/>
        <member name="[Material].[MainGroupDesc].&amp;[Cafe]"/>
        <member name=""/>
        <member name=""/>
        <member name=""/>
        <member name=""/>
        <member name="[Material].[MainGroupDesc].&amp;[Yatak]"/>
        <member name=""/>
        <member name=""/>
        <member name=""/>
        <member name=""/>
        <member name="[Material].[MainGroupDesc].&amp;[Mobilya]"/>
        <member name=""/>
        <member name=""/>
        <member name=""/>
        <member name=""/>
        <member name="[Material].[MainGroupDesc].&amp;[Planlama]"/>
        <member name=""/>
        <member name="[Material].[MainGroupDesc].&amp;[Pazarlama]"/>
        <member name=""/>
        <member name="[Material].[MainGroupDesc].&amp;[Yarı Mamul]"/>
        <member name="[Material].[MainGroupDesc].&amp;[Entegrasyon]"/>
        <member name=""/>
        <member name=""/>
        <member name=""/>
        <member name=""/>
        <member name=""/>
        <member name="[Material].[MainGroupDesc].&amp;[Bilgi Sistemleri]"/>
        <member name="[Material].[MainGroupDesc].&amp;[İnsan Kaynakları]"/>
        <member name="[Material].[MainGroupDesc].&amp;[Mağaza Yatırım ve Proj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tore].[LocationCountry].&amp;[TR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Avg Store Stock Unit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Sales Unit %"/>
    <pivotHierarchy dragToRow="0" dragToCol="0" dragToPage="0" dragToData="1"/>
    <pivotHierarchy dragToRow="0" dragToCol="0" dragToPage="0" dragToData="1" caption="TY Sales Value LC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14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8471-CC6A-41D6-A56D-C3652BAE30EF}" name="PivotTable2" cacheId="275" applyNumberFormats="0" applyBorderFormats="0" applyFontFormats="0" applyPatternFormats="0" applyAlignmentFormats="0" applyWidthHeightFormats="1" dataCaption="Değerler" updatedVersion="8" minRefreshableVersion="3" subtotalHiddenItems="1" colGrandTotals="0" itemPrintTitles="1" mergeItem="1" createdVersion="8" indent="0" compact="0" compactData="0" gridDropZones="1" multipleFieldFilters="0" chartFormat="2" fieldListSortAscending="1">
  <location ref="A63:AA87" firstHeaderRow="1" firstDataRow="3" firstDataCol="1" rowPageCount="6" colPageCount="1"/>
  <pivotFields count="25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>
      <items count="23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x="21"/>
        <item x="22"/>
      </items>
    </pivotField>
    <pivotField axis="axisRow" compact="0" outline="0" subtotalTop="0" showAll="0" sortType="descending" defaultSubtotal="0">
      <autoSortScope>
        <pivotArea dataOnly="0" outline="0" fieldPosition="0">
          <references count="2">
            <reference field="4294967294" count="1" selected="0">
              <x v="6"/>
            </reference>
            <reference field="1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AttributeDrillState="1">
      <items count="1"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1"/>
    <field x="-2"/>
  </colFields>
  <colItems count="26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</colItems>
  <pageFields count="6">
    <pageField fld="20" hier="102" name="[Material].[MerchProduct].&amp;[Merch]" cap="Merch"/>
    <pageField fld="19" hier="140" name="[SalesChannel].[CountryName].&amp;[TÜRKİYE]" cap="TÜRKİYE"/>
    <pageField fld="0" hier="150" name="[SalesChannel].[SalesOrgType].&amp;[İştirak]" cap="İştirak"/>
    <pageField fld="6" hier="6" name="[Calendar].[H_Merch].[MerchYearMonthName].&amp;[2025-Mart]" cap="2025-Mart"/>
    <pageField fld="10" hier="14" name="[Calendar].[MerchWeek].[All]" cap="All"/>
    <pageField fld="14" hier="76" name="[Material].[MainGroupDesc].[All]" cap="All"/>
  </pageFields>
  <dataFields count="13">
    <dataField name="TY Avg Store Stock Unit %" fld="4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Sales Unit %" fld="2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Sales Value LC %" fld="3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Gross Profit LC2" fld="15" showDataAs="percentOfCol" baseField="0" baseItem="0" numFmtId="10">
      <extLst>
        <ext xmlns:x14="http://schemas.microsoft.com/office/spreadsheetml/2009/9/main" uri="{E15A36E0-9728-4e99-A89B-3F7291B0FE68}">
          <x14:dataField sourceField="15" uniqueName="[__Xl2].[Measures].[TY Gross Profit LC]"/>
        </ext>
      </extLst>
    </dataField>
    <dataField name="TY Avg Store Stock Unit" fld="21" baseField="0" baseItem="0">
      <extLst>
        <ext xmlns:x14="http://schemas.microsoft.com/office/spreadsheetml/2009/9/main" uri="{E15A36E0-9728-4e99-A89B-3F7291B0FE68}">
          <x14:dataField sourceField="4" uniqueName="[__Xl2].[Measures].[TY Avg Store Stock Unit]"/>
        </ext>
      </extLst>
    </dataField>
    <dataField name="TY Sales Unit" fld="22" baseField="0" baseItem="0">
      <extLst>
        <ext xmlns:x14="http://schemas.microsoft.com/office/spreadsheetml/2009/9/main" uri="{E15A36E0-9728-4e99-A89B-3F7291B0FE68}">
          <x14:dataField sourceField="2" uniqueName="[__Xl2].[Measures].[TY Sales Unit]"/>
        </ext>
      </extLst>
    </dataField>
    <dataField name="TY Sales Value LC" fld="23" baseField="0" baseItem="0">
      <extLst>
        <ext xmlns:x14="http://schemas.microsoft.com/office/spreadsheetml/2009/9/main" uri="{E15A36E0-9728-4e99-A89B-3F7291B0FE68}">
          <x14:dataField sourceField="3" uniqueName="[__Xl2].[Measures].[TY Sales Value LC]"/>
        </ext>
      </extLst>
    </dataField>
    <dataField fld="24" baseField="11" baseItem="0" numFmtId="3">
      <extLst>
        <ext xmlns:x14="http://schemas.microsoft.com/office/spreadsheetml/2009/9/main" uri="{E15A36E0-9728-4e99-A89B-3F7291B0FE68}">
          <x14:dataField sourceField="15"/>
        </ext>
      </extLst>
    </dataField>
    <dataField fld="5" baseField="0" baseItem="0"/>
    <dataField fld="13" baseField="0" baseItem="0"/>
    <dataField fld="16" baseField="0" baseItem="0"/>
    <dataField fld="17" baseField="0" baseItem="0"/>
    <dataField fld="18" baseField="0" baseItem="0"/>
  </dataFields>
  <formats count="62">
    <format dxfId="319">
      <pivotArea field="6" type="button" dataOnly="0" labelOnly="1" outline="0" axis="axisPage" fieldPosition="3"/>
    </format>
    <format dxfId="318">
      <pivotArea field="7" type="button" dataOnly="0" labelOnly="1" outline="0"/>
    </format>
    <format dxfId="317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316">
      <pivotArea field="6" type="button" dataOnly="0" labelOnly="1" outline="0" axis="axisPage" fieldPosition="3"/>
    </format>
    <format dxfId="315">
      <pivotArea field="7" type="button" dataOnly="0" labelOnly="1" outline="0"/>
    </format>
    <format dxfId="314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313">
      <pivotArea field="6" type="button" dataOnly="0" labelOnly="1" outline="0" axis="axisPage" fieldPosition="3"/>
    </format>
    <format dxfId="312">
      <pivotArea field="7" type="button" dataOnly="0" labelOnly="1" outline="0"/>
    </format>
    <format dxfId="311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310">
      <pivotArea outline="0" fieldPosition="0">
        <references count="1">
          <reference field="4294967294" count="1" selected="0">
            <x v="2"/>
          </reference>
        </references>
      </pivotArea>
    </format>
    <format dxfId="30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0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06">
      <pivotArea dataOnly="0" outline="0" fieldPosition="0">
        <references count="1">
          <reference field="4294967294" count="1">
            <x v="1"/>
          </reference>
        </references>
      </pivotArea>
    </format>
    <format dxfId="305">
      <pivotArea dataOnly="0" outline="0" fieldPosition="0">
        <references count="1">
          <reference field="14" count="0" defaultSubtotal="1"/>
        </references>
      </pivotArea>
    </format>
    <format dxfId="304">
      <pivotArea field="10" type="button" dataOnly="0" labelOnly="1" outline="0" axis="axisPage" fieldPosition="4"/>
    </format>
    <format dxfId="303">
      <pivotArea field="10" type="button" dataOnly="0" labelOnly="1" outline="0" axis="axisPage" fieldPosition="4"/>
    </format>
    <format dxfId="302">
      <pivotArea field="10" type="button" dataOnly="0" labelOnly="1" outline="0" axis="axisPage" fieldPosition="4"/>
    </format>
    <format dxfId="301">
      <pivotArea field="14" type="button" dataOnly="0" labelOnly="1" outline="0" axis="axisPage" fieldPosition="5"/>
    </format>
    <format dxfId="300">
      <pivotArea field="14" type="button" dataOnly="0" labelOnly="1" outline="0" axis="axisPage" fieldPosition="5"/>
    </format>
    <format dxfId="299">
      <pivotArea field="14" type="button" dataOnly="0" labelOnly="1" outline="0" axis="axisPage" fieldPosition="5"/>
    </format>
    <format dxfId="298">
      <pivotArea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format>
    <format dxfId="297">
      <pivotArea outline="0" fieldPosition="0">
        <references count="1">
          <reference field="4294967294" count="1">
            <x v="2"/>
          </reference>
        </references>
      </pivotArea>
    </format>
    <format dxfId="296">
      <pivotArea outline="0" fieldPosition="0">
        <references count="1">
          <reference field="4294967294" count="1">
            <x v="0"/>
          </reference>
        </references>
      </pivotArea>
    </format>
    <format dxfId="295">
      <pivotArea outline="0" fieldPosition="0">
        <references count="1">
          <reference field="4294967294" count="1">
            <x v="1"/>
          </reference>
        </references>
      </pivotArea>
    </format>
    <format dxfId="294">
      <pivotArea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291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290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289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288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287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286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285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284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283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282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281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0"/>
          </reference>
        </references>
      </pivotArea>
    </format>
    <format dxfId="280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279">
      <pivotArea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4" count="0" selected="0"/>
        </references>
      </pivotArea>
    </format>
    <format dxfId="278">
      <pivotArea outline="0" fieldPosition="0">
        <references count="3">
          <reference field="4294967294" count="1" selected="0">
            <x v="1"/>
          </reference>
          <reference field="10" count="1" selected="0">
            <x v="1"/>
          </reference>
          <reference field="14" count="0" selected="0"/>
        </references>
      </pivotArea>
    </format>
    <format dxfId="277">
      <pivotArea outline="0" fieldPosition="0">
        <references count="3">
          <reference field="4294967294" count="1" selected="0">
            <x v="2"/>
          </reference>
          <reference field="10" count="1" selected="0">
            <x v="0"/>
          </reference>
          <reference field="14" count="0" selected="0"/>
        </references>
      </pivotArea>
    </format>
    <format dxfId="276">
      <pivotArea outline="0" fieldPosition="0">
        <references count="3">
          <reference field="4294967294" count="1" selected="0">
            <x v="1"/>
          </reference>
          <reference field="10" count="1" selected="0">
            <x v="0"/>
          </reference>
          <reference field="14" count="0" selected="0"/>
        </references>
      </pivotArea>
    </format>
    <format dxfId="275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273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272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271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270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269">
      <pivotArea dataOnly="0" outline="0" fieldPosition="0">
        <references count="1">
          <reference field="1" count="1">
            <x v="1"/>
          </reference>
        </references>
      </pivotArea>
    </format>
    <format dxfId="268">
      <pivotArea dataOnly="0" labelOnly="1" outline="0" fieldPosition="0">
        <references count="2">
          <reference field="4294967294" count="8">
            <x v="0"/>
            <x v="1"/>
            <x v="2"/>
            <x v="4"/>
            <x v="5"/>
            <x v="6"/>
            <x v="8"/>
            <x v="9"/>
          </reference>
          <reference field="1" count="1" selected="0">
            <x v="1"/>
          </reference>
        </references>
      </pivotArea>
    </format>
    <format dxfId="267">
      <pivotArea dataOnly="0" outline="0" fieldPosition="0">
        <references count="1">
          <reference field="1" count="1">
            <x v="0"/>
          </reference>
        </references>
      </pivotArea>
    </format>
    <format dxfId="266">
      <pivotArea dataOnly="0" labelOnly="1" outline="0" fieldPosition="0">
        <references count="2">
          <reference field="4294967294" count="8">
            <x v="0"/>
            <x v="1"/>
            <x v="2"/>
            <x v="4"/>
            <x v="5"/>
            <x v="6"/>
            <x v="8"/>
            <x v="9"/>
          </reference>
          <reference field="1" count="1" selected="0">
            <x v="0"/>
          </reference>
        </references>
      </pivotArea>
    </format>
    <format dxfId="265">
      <pivotArea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0"/>
          </reference>
        </references>
      </pivotArea>
    </format>
    <format dxfId="264">
      <pivotArea field="11" type="button" dataOnly="0" labelOnly="1" outline="0" axis="axisRow" fieldPosition="0"/>
    </format>
    <format dxfId="263">
      <pivotArea field="11" type="button" dataOnly="0" labelOnly="1" outline="0" axis="axisRow" fieldPosition="0"/>
    </format>
    <format dxfId="262">
      <pivotArea dataOnly="0" labelOnly="1" outline="0" fieldPosition="0">
        <references count="1">
          <reference field="11" count="0"/>
        </references>
      </pivotArea>
    </format>
    <format dxfId="261">
      <pivotArea field="11" type="button" dataOnly="0" labelOnly="1" outline="0" axis="axisRow" fieldPosition="0"/>
    </format>
    <format dxfId="260">
      <pivotArea dataOnly="0" grandRow="1" outline="0" fieldPosition="0"/>
    </format>
    <format dxfId="259">
      <pivotArea outline="0" fieldPosition="0">
        <references count="1">
          <reference field="4294967294" count="1">
            <x v="3"/>
          </reference>
        </references>
      </pivotArea>
    </format>
    <format dxfId="258">
      <pivotArea outline="0" fieldPosition="0">
        <references count="1">
          <reference field="4294967294" count="1">
            <x v="7"/>
          </reference>
        </references>
      </pivotArea>
    </format>
  </formats>
  <conditionalFormats count="7"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24">
      <pivotAreas count="1">
        <pivotArea outline="0" fieldPosition="0">
          <references count="1">
            <reference field="4294967294" count="1">
              <x v="3"/>
            </reference>
          </references>
        </pivotArea>
      </pivotAreas>
    </conditionalFormat>
  </conditionalFormats>
  <pivotHierarchies count="157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Avg Store Stock Unit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Sales Unit %"/>
    <pivotHierarchy dragToRow="0" dragToCol="0" dragToPage="0" dragToData="1"/>
    <pivotHierarchy dragToRow="0" dragToCol="0" dragToPage="0" dragToData="1" caption="TY Sales Value LC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2">
    <colHierarchyUsage hierarchyUsage="14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SalesChannel3" xr10:uid="{058DA068-76D2-4857-8211-391F1BDB8BAA}" sourceName="[SalesChannel].[H_SalesChannel]">
  <pivotTables>
    <pivotTable tabId="1" name="PivotTable1"/>
  </pivotTables>
  <data>
    <olap pivotCacheId="855490630">
      <levels count="4">
        <level uniqueName="[SalesChannel].[H_SalesChannel].[(All)]" sourceCaption="(All)" count="0"/>
        <level uniqueName="[SalesChannel].[H_SalesChannel].[SalesOrgType]" sourceCaption="SalesOrgType" count="0"/>
        <level uniqueName="[SalesChannel].[H_SalesChannel].[CountryName]" sourceCaption="CountryName" count="36">
          <ranges>
            <range startItem="0">
              <i n="[SalesChannel].[H_SalesChannel].[SalesOrgType].&amp;[İştirak].&amp;[BULGARİSTAN]" c="BULGARİSTAN">
                <p n="[SalesChannel].[H_SalesChannel].[SalesOrgType].&amp;[İştirak]"/>
              </i>
              <i n="[SalesChannel].[H_SalesChannel].[SalesOrgType].&amp;[İştirak].&amp;[BAHREYN]" c="BAHREYN">
                <p n="[SalesChannel].[H_SalesChannel].[SalesOrgType].&amp;[İştirak]"/>
              </i>
              <i n="[SalesChannel].[H_SalesChannel].[SalesOrgType].&amp;[İştirak].&amp;[YUNANİSTAN  ]" c="YUNANİSTAN  ">
                <p n="[SalesChannel].[H_SalesChannel].[SalesOrgType].&amp;[İştirak]"/>
              </i>
              <i n="[SalesChannel].[H_SalesChannel].[SalesOrgType].&amp;[İştirak].&amp;[IRAK]" c="IRAK">
                <p n="[SalesChannel].[H_SalesChannel].[SalesOrgType].&amp;[İştirak]"/>
              </i>
              <i n="[SalesChannel].[H_SalesChannel].[SalesOrgType].&amp;[İştirak].&amp;[İRAN ]" c="İRAN ">
                <p n="[SalesChannel].[H_SalesChannel].[SalesOrgType].&amp;[İştirak]"/>
              </i>
              <i n="[SalesChannel].[H_SalesChannel].[SalesOrgType].&amp;[İştirak].&amp;[ÜRDÜN]" c="ÜRDÜN">
                <p n="[SalesChannel].[H_SalesChannel].[SalesOrgType].&amp;[İştirak]"/>
              </i>
              <i n="[SalesChannel].[H_SalesChannel].[SalesOrgType].&amp;[İştirak].&amp;[KAZAKİSTAN]" c="KAZAKİSTAN">
                <p n="[SalesChannel].[H_SalesChannel].[SalesOrgType].&amp;[İştirak]"/>
              </i>
              <i n="[SalesChannel].[H_SalesChannel].[SalesOrgType].&amp;[İştirak].&amp;[FAS]" c="FAS">
                <p n="[SalesChannel].[H_SalesChannel].[SalesOrgType].&amp;[İştirak]"/>
              </i>
              <i n="[SalesChannel].[H_SalesChannel].[SalesOrgType].&amp;[İştirak].&amp;[HOLLANDA  ]" c="HOLLANDA  ">
                <p n="[SalesChannel].[H_SalesChannel].[SalesOrgType].&amp;[İştirak]"/>
              </i>
              <i n="[SalesChannel].[H_SalesChannel].[SalesOrgType].&amp;[İştirak].&amp;[POLONYA]" c="POLONYA">
                <p n="[SalesChannel].[H_SalesChannel].[SalesOrgType].&amp;[İştirak]"/>
              </i>
              <i n="[SalesChannel].[H_SalesChannel].[SalesOrgType].&amp;[İştirak].&amp;[ROMANYA]" c="ROMANYA">
                <p n="[SalesChannel].[H_SalesChannel].[SalesOrgType].&amp;[İştirak]"/>
              </i>
              <i n="[SalesChannel].[H_SalesChannel].[SalesOrgType].&amp;[İştirak].&amp;[SIRBİSTAN]" c="SIRBİSTAN">
                <p n="[SalesChannel].[H_SalesChannel].[SalesOrgType].&amp;[İştirak]"/>
              </i>
              <i n="[SalesChannel].[H_SalesChannel].[SalesOrgType].&amp;[İştirak].&amp;[SUUDİ ARABİSTAN]" c="SUUDİ ARABİSTAN">
                <p n="[SalesChannel].[H_SalesChannel].[SalesOrgType].&amp;[İştirak]"/>
              </i>
              <i n="[SalesChannel].[H_SalesChannel].[SalesOrgType].&amp;[İştirak].&amp;[TÜRKİYE]" c="TÜRKİYE">
                <p n="[SalesChannel].[H_SalesChannel].[SalesOrgType].&amp;[İştirak]"/>
              </i>
              <i n="[SalesChannel].[H_SalesChannel].[SalesOrgType].&amp;[İştirak].&amp;[UKRAYNA]" c="UKRAYNA">
                <p n="[SalesChannel].[H_SalesChannel].[SalesOrgType].&amp;[İştirak]"/>
              </i>
              <i n="[SalesChannel].[H_SalesChannel].[SalesOrgType].&amp;[Franchise].&amp;[BİRLEŞİK ARAP EMİRLİKLERİ]" c="BİRLEŞİK ARAP EMİRLİKLERİ">
                <p n="[SalesChannel].[H_SalesChannel].[SalesOrgType].&amp;[Franchise]"/>
              </i>
              <i n="[SalesChannel].[H_SalesChannel].[SalesOrgType].&amp;[Franchise].&amp;[AZERBAYCAN]" c="AZERBAYCAN">
                <p n="[SalesChannel].[H_SalesChannel].[SalesOrgType].&amp;[Franchise]"/>
              </i>
              <i n="[SalesChannel].[H_SalesChannel].[SalesOrgType].&amp;[Franchise].&amp;[BOSNA HERSEK]" c="BOSNA HERSEK">
                <p n="[SalesChannel].[H_SalesChannel].[SalesOrgType].&amp;[Franchise]"/>
              </i>
              <i n="[SalesChannel].[H_SalesChannel].[SalesOrgType].&amp;[Franchise].&amp;[BELÇİKA]" c="BELÇİKA">
                <p n="[SalesChannel].[H_SalesChannel].[SalesOrgType].&amp;[Franchise]"/>
              </i>
              <i n="[SalesChannel].[H_SalesChannel].[SalesOrgType].&amp;[Franchise].&amp;[KONGO DEM. CUM]" c="KONGO DEM. CUM">
                <p n="[SalesChannel].[H_SalesChannel].[SalesOrgType].&amp;[Franchise]"/>
              </i>
              <i n="[SalesChannel].[H_SalesChannel].[SalesOrgType].&amp;[Franchise].&amp;[İSVİÇRE  ]" c="İSVİÇRE  ">
                <p n="[SalesChannel].[H_SalesChannel].[SalesOrgType].&amp;[Franchise]"/>
              </i>
              <i n="[SalesChannel].[H_SalesChannel].[SalesOrgType].&amp;[Franchise].&amp;[KIBRIS]" c="KIBRIS">
                <p n="[SalesChannel].[H_SalesChannel].[SalesOrgType].&amp;[Franchise]"/>
              </i>
              <i n="[SalesChannel].[H_SalesChannel].[SalesOrgType].&amp;[Franchise].&amp;[ALMANYA  ]" c="ALMANYA  ">
                <p n="[SalesChannel].[H_SalesChannel].[SalesOrgType].&amp;[Franchise]"/>
              </i>
              <i n="[SalesChannel].[H_SalesChannel].[SalesOrgType].&amp;[Franchise].&amp;[GABON  ]" c="GABON  ">
                <p n="[SalesChannel].[H_SalesChannel].[SalesOrgType].&amp;[Franchise]"/>
              </i>
              <i n="[SalesChannel].[H_SalesChannel].[SalesOrgType].&amp;[Franchise].&amp;[GÜRCİSTAN  ]" c="GÜRCİSTAN  ">
                <p n="[SalesChannel].[H_SalesChannel].[SalesOrgType].&amp;[Franchise]"/>
              </i>
              <i n="[SalesChannel].[H_SalesChannel].[SalesOrgType].&amp;[Franchise].&amp;[IRAK]" c="IRAK">
                <p n="[SalesChannel].[H_SalesChannel].[SalesOrgType].&amp;[Franchise]"/>
              </i>
              <i n="[SalesChannel].[H_SalesChannel].[SalesOrgType].&amp;[Franchise].&amp;[KIRGIZİSTAN]" c="KIRGIZİSTAN">
                <p n="[SalesChannel].[H_SalesChannel].[SalesOrgType].&amp;[Franchise]"/>
              </i>
              <i n="[SalesChannel].[H_SalesChannel].[SalesOrgType].&amp;[Franchise].&amp;[KUVEYT]" c="KUVEYT">
                <p n="[SalesChannel].[H_SalesChannel].[SalesOrgType].&amp;[Franchise]"/>
              </i>
              <i n="[SalesChannel].[H_SalesChannel].[SalesOrgType].&amp;[Franchise].&amp;[LİBYA]" c="LİBYA">
                <p n="[SalesChannel].[H_SalesChannel].[SalesOrgType].&amp;[Franchise]"/>
              </i>
              <i n="[SalesChannel].[H_SalesChannel].[SalesOrgType].&amp;[Franchise].&amp;[MOĞOLİSTAN]" c="MOĞOLİSTAN">
                <p n="[SalesChannel].[H_SalesChannel].[SalesOrgType].&amp;[Franchise]"/>
              </i>
              <i n="[SalesChannel].[H_SalesChannel].[SalesOrgType].&amp;[Franchise].&amp;[KATAR]" c="KATAR">
                <p n="[SalesChannel].[H_SalesChannel].[SalesOrgType].&amp;[Franchise]"/>
              </i>
              <i n="[SalesChannel].[H_SalesChannel].[SalesOrgType].&amp;[Franchise].&amp;[TÜRKMENİSTAN  ]" c="TÜRKMENİSTAN  ">
                <p n="[SalesChannel].[H_SalesChannel].[SalesOrgType].&amp;[Franchise]"/>
              </i>
              <i n="[SalesChannel].[H_SalesChannel].[SalesOrgType].&amp;[Franchise].&amp;[ÖZBEKİSTAN]" c="ÖZBEKİSTAN">
                <p n="[SalesChannel].[H_SalesChannel].[SalesOrgType].&amp;[Franchise]"/>
              </i>
              <i n="[SalesChannel].[H_SalesChannel].[SalesOrgType].&amp;[Franchise].&amp;[KOSOVA]" c="KOSOVA">
                <p n="[SalesChannel].[H_SalesChannel].[SalesOrgType].&amp;[Franchise]"/>
              </i>
              <i n="[SalesChannel].[H_SalesChannel].[SalesOrgType].&amp;[#NA].&amp;[#NA]" c="#NA" nd="1">
                <p n="[SalesChannel].[H_SalesChannel].[SalesOrgType].&amp;[#NA]"/>
              </i>
              <i n="[SalesChannel].[H_SalesChannel].[SalesOrgType].&amp;.&amp;" c="" nd="1">
                <p n="[SalesChannel].[H_SalesChannel].[SalesOrgType].&amp;"/>
              </i>
            </range>
          </ranges>
        </level>
        <level uniqueName="[SalesChannel].[H_SalesChannel].[DistrubitionChannelDesc]" sourceCaption="DistrubitionChannelDesc" count="0"/>
      </levels>
      <selections count="1">
        <selection n="[SalesChannel].[H_SalesChannel].[SalesOrgType].&amp;[İştirak].&amp;[TÜRKİYE]">
          <p n="[SalesChannel].[H_SalesChannel].[SalesOrgType].&amp;[İştirak]"/>
        </selection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lesChannel].[H_SalesChannel].[CountryName]" count="2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istrubitionChannelDesc3" xr10:uid="{27F58A4E-919C-4E45-A962-D012809B3100}" sourceName="[SalesChannel].[DistrubitionChannelDesc]">
  <pivotTables>
    <pivotTable tabId="1" name="PivotTable1"/>
  </pivotTables>
  <data>
    <olap pivotCacheId="855490630">
      <levels count="2">
        <level uniqueName="[SalesChannel].[DistrubitionChannelDesc].[(All)]" sourceCaption="(All)" count="0"/>
        <level uniqueName="[SalesChannel].[DistrubitionChannelDesc].[DistrubitionChannelDesc]" sourceCaption="DistrubitionChannelDesc" count="5">
          <ranges>
            <range startItem="0">
              <i n="[SalesChannel].[DistrubitionChannelDesc].&amp;[E - Ticaret]" c="E - Ticaret"/>
              <i n="[SalesChannel].[DistrubitionChannelDesc].&amp;[Perakende Satış]" c="Perakende Satış"/>
              <i n="[SalesChannel].[DistrubitionChannelDesc].&amp;[Toptan Satış]" c="Toptan Satış"/>
              <i n="[SalesChannel].[DistrubitionChannelDesc].&amp;[#NA]" c="#NA" nd="1"/>
              <i n="[SalesChannel].[DistrubitionChannelDesc].&amp;" c="" nd="1"/>
            </range>
          </ranges>
        </level>
      </levels>
      <selections count="1">
        <selection n="[SalesChannel].[DistrubitionChannelDesc].&amp;[Perakende Satış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lesChannel].[DistrubitionChannelDesc].[DistrubitionChannelDesc]" count="2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Month4" xr10:uid="{6B413A51-FF62-4969-B617-2DCE8193D6CD}" sourceName="[Calendar].[MerchMonth]">
  <pivotTables>
    <pivotTable tabId="1" name="PivotTable1"/>
  </pivotTables>
  <data>
    <olap pivotCacheId="855490630">
      <levels count="2">
        <level uniqueName="[Calendar].[MerchMonth].[(All)]" sourceCaption="(All)" count="0"/>
        <level uniqueName="[Calendar].[MerchMonth].[MerchMonth]" sourceCaption="MerchMonth" count="13">
          <ranges>
            <range startItem="0">
              <i n="[Calendar].[MerchMonth].&amp;[3]" c="3"/>
              <i n="[Calendar].[MerchMonth].&amp;[1]" c="1" nd="1"/>
              <i n="[Calendar].[MerchMonth].&amp;[2]" c="2" nd="1"/>
              <i n="[Calendar].[MerchMonth].&amp;[4]" c="4" nd="1"/>
              <i n="[Calendar].[MerchMonth].&amp;[5]" c="5" nd="1"/>
              <i n="[Calendar].[MerchMonth].&amp;[6]" c="6" nd="1"/>
              <i n="[Calendar].[MerchMonth].&amp;[7]" c="7" nd="1"/>
              <i n="[Calendar].[MerchMonth].&amp;[8]" c="8" nd="1"/>
              <i n="[Calendar].[MerchMonth].&amp;[9]" c="9" nd="1"/>
              <i n="[Calendar].[MerchMonth].&amp;[10]" c="10" nd="1"/>
              <i n="[Calendar].[MerchMonth].&amp;[11]" c="11" nd="1"/>
              <i n="[Calendar].[MerchMonth].&amp;[12]" c="12" nd="1"/>
              <i n="[Calendar].[MerchMonth].&amp;" c="" nd="1"/>
            </range>
          </ranges>
        </level>
      </levels>
      <selections count="1">
        <selection n="[Calendar].[MerchMonth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Month].[MerchMonth]" count="12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Week4" xr10:uid="{6932076E-1D80-478B-8350-E8D848BF3F7B}" sourceName="[Calendar].[MerchWeek]">
  <pivotTables>
    <pivotTable tabId="1" name="PivotTable1"/>
  </pivotTables>
  <data>
    <olap pivotCacheId="855490630">
      <levels count="2">
        <level uniqueName="[Calendar].[MerchWeek].[(All)]" sourceCaption="(All)" count="0"/>
        <level uniqueName="[Calendar].[MerchWeek].[MerchWeek]" sourceCaption="MerchWeek" count="54">
          <ranges>
            <range startItem="0">
              <i n="[Calendar].[MerchWeek].&amp;[10]" c="10"/>
              <i n="[Calendar].[MerchWeek].&amp;[1]" c="1" nd="1"/>
              <i n="[Calendar].[MerchWeek].&amp;[2]" c="2" nd="1"/>
              <i n="[Calendar].[MerchWeek].&amp;[3]" c="3" nd="1"/>
              <i n="[Calendar].[MerchWeek].&amp;[4]" c="4" nd="1"/>
              <i n="[Calendar].[MerchWeek].&amp;[5]" c="5" nd="1"/>
              <i n="[Calendar].[MerchWeek].&amp;[6]" c="6" nd="1"/>
              <i n="[Calendar].[MerchWeek].&amp;[7]" c="7" nd="1"/>
              <i n="[Calendar].[MerchWeek].&amp;[8]" c="8" nd="1"/>
              <i n="[Calendar].[MerchWeek].&amp;[9]" c="9" nd="1"/>
              <i n="[Calendar].[MerchWeek].&amp;[11]" c="11" nd="1"/>
              <i n="[Calendar].[MerchWeek].&amp;[12]" c="12" nd="1"/>
              <i n="[Calendar].[MerchWeek].&amp;[13]" c="13" nd="1"/>
              <i n="[Calendar].[MerchWeek].&amp;[14]" c="14" nd="1"/>
              <i n="[Calendar].[MerchWeek].&amp;[15]" c="15" nd="1"/>
              <i n="[Calendar].[MerchWeek].&amp;[16]" c="16" nd="1"/>
              <i n="[Calendar].[MerchWeek].&amp;[17]" c="17" nd="1"/>
              <i n="[Calendar].[MerchWeek].&amp;[18]" c="18" nd="1"/>
              <i n="[Calendar].[MerchWeek].&amp;[19]" c="19" nd="1"/>
              <i n="[Calendar].[MerchWeek].&amp;[20]" c="20" nd="1"/>
              <i n="[Calendar].[MerchWeek].&amp;[21]" c="21" nd="1"/>
              <i n="[Calendar].[MerchWeek].&amp;[22]" c="22" nd="1"/>
              <i n="[Calendar].[MerchWeek].&amp;[23]" c="23" nd="1"/>
              <i n="[Calendar].[MerchWeek].&amp;[24]" c="24" nd="1"/>
              <i n="[Calendar].[MerchWeek].&amp;[25]" c="25" nd="1"/>
              <i n="[Calendar].[MerchWeek].&amp;[26]" c="26" nd="1"/>
              <i n="[Calendar].[MerchWeek].&amp;[27]" c="27" nd="1"/>
              <i n="[Calendar].[MerchWeek].&amp;[28]" c="28" nd="1"/>
              <i n="[Calendar].[MerchWeek].&amp;[29]" c="29" nd="1"/>
              <i n="[Calendar].[MerchWeek].&amp;[30]" c="30" nd="1"/>
              <i n="[Calendar].[MerchWeek].&amp;[31]" c="31" nd="1"/>
              <i n="[Calendar].[MerchWeek].&amp;[32]" c="32" nd="1"/>
              <i n="[Calendar].[MerchWeek].&amp;[33]" c="33" nd="1"/>
              <i n="[Calendar].[MerchWeek].&amp;[34]" c="34" nd="1"/>
              <i n="[Calendar].[MerchWeek].&amp;[35]" c="35" nd="1"/>
              <i n="[Calendar].[MerchWeek].&amp;[36]" c="36" nd="1"/>
              <i n="[Calendar].[MerchWeek].&amp;[37]" c="37" nd="1"/>
              <i n="[Calendar].[MerchWeek].&amp;[38]" c="38" nd="1"/>
              <i n="[Calendar].[MerchWeek].&amp;[39]" c="39" nd="1"/>
              <i n="[Calendar].[MerchWeek].&amp;[40]" c="40" nd="1"/>
              <i n="[Calendar].[MerchWeek].&amp;[41]" c="41" nd="1"/>
              <i n="[Calendar].[MerchWeek].&amp;[42]" c="42" nd="1"/>
              <i n="[Calendar].[MerchWeek].&amp;[43]" c="43" nd="1"/>
              <i n="[Calendar].[MerchWeek].&amp;[44]" c="44" nd="1"/>
              <i n="[Calendar].[MerchWeek].&amp;[45]" c="45" nd="1"/>
              <i n="[Calendar].[MerchWeek].&amp;[46]" c="46" nd="1"/>
              <i n="[Calendar].[MerchWeek].&amp;[47]" c="47" nd="1"/>
              <i n="[Calendar].[MerchWeek].&amp;[48]" c="48" nd="1"/>
              <i n="[Calendar].[MerchWeek].&amp;[49]" c="49" nd="1"/>
              <i n="[Calendar].[MerchWeek].&amp;[50]" c="50" nd="1"/>
              <i n="[Calendar].[MerchWeek].&amp;[51]" c="51" nd="1"/>
              <i n="[Calendar].[MerchWeek].&amp;[52]" c="52" nd="1"/>
              <i n="[Calendar].[MerchWeek].&amp;[53]" c="53" nd="1"/>
              <i n="[Calendar].[MerchWeek].&amp;" c="" nd="1"/>
            </range>
          </ranges>
        </level>
      </levels>
      <selections count="1">
        <selection n="[Calendar].[MerchWeek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Week].[MerchWeek]" count="53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Year3" xr10:uid="{912BA79D-6948-4704-8AB0-CE745440DA35}" sourceName="[Calendar].[MerchYear]">
  <pivotTables>
    <pivotTable tabId="1" name="PivotTable1"/>
  </pivotTables>
  <data>
    <olap pivotCacheId="855490630">
      <levels count="2">
        <level uniqueName="[Calendar].[MerchYear].[(All)]" sourceCaption="(All)" count="0"/>
        <level uniqueName="[Calendar].[MerchYear].[MerchYear]" sourceCaption="MerchYear" count="9">
          <ranges>
            <range startItem="0">
              <i n="[Calendar].[MerchYear].&amp;[2026]" c="2026"/>
              <i n="[Calendar].[MerchYear].&amp;[2021]" c="2021" nd="1"/>
              <i n="[Calendar].[MerchYear].&amp;[2022]" c="2022" nd="1"/>
              <i n="[Calendar].[MerchYear].&amp;[2023]" c="2023" nd="1"/>
              <i n="[Calendar].[MerchYear].&amp;[2024]" c="2024" nd="1"/>
              <i n="[Calendar].[MerchYear].&amp;[2025]" c="2025" nd="1"/>
              <i n="[Calendar].[MerchYear].&amp;[2027]" c="2027" nd="1"/>
              <i n="[Calendar].[MerchYear].&amp;[2028]" c="2028" nd="1"/>
              <i n="[Calendar].[MerchYear].&amp;" c="" nd="1"/>
            </range>
          </ranges>
        </level>
      </levels>
      <selections count="1">
        <selection n="[Calendar].[MerchYear].&amp;[2026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Year].[MerchYear]" count="8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inGroupDesc3" xr10:uid="{6EBC5F0D-BF0F-4E60-9925-13ABDA29DD9D}" sourceName="[Material].[MainGroupDesc]">
  <pivotTables>
    <pivotTable tabId="1" name="PivotTable1"/>
  </pivotTables>
  <data>
    <olap pivotCacheId="855490630">
      <levels count="2">
        <level uniqueName="[Material].[MainGroupDesc].[(All)]" sourceCaption="(All)" count="0"/>
        <level uniqueName="[Material].[MainGroupDesc].[MainGroupDesc]" sourceCaption="MainGroupDesc" count="39">
          <ranges>
            <range startItem="0">
              <i n="[Material].[MainGroupDesc].&amp;[Aksesuar]" c="Aksesuar"/>
              <i n="[Material].[MainGroupDesc].&amp;[Banyo]" c="Banyo"/>
              <i n="[Material].[MainGroupDesc].&amp;[Battaniye]" c="Battaniye"/>
              <i n="[Material].[MainGroupDesc].&amp;[Çarşaf]" c="Çarşaf"/>
              <i n="[Material].[MainGroupDesc].&amp;[Dünya Markaları]" c="Dünya Markaları"/>
              <i n="[Material].[MainGroupDesc].&amp;[Halı - Kilim]" c="Halı - Kilim"/>
              <i n="[Material].[MainGroupDesc].&amp;[Havlu]" c="Havlu"/>
              <i n="[Material].[MainGroupDesc].&amp;[KEA]" c="KEA"/>
              <i n="[Material].[MainGroupDesc].&amp;[Kozmetik]" c="Kozmetik"/>
              <i n="[Material].[MainGroupDesc].&amp;[Mutfak]" c="Mutfak"/>
              <i n="[Material].[MainGroupDesc].&amp;[Nevresim]" c="Nevresim"/>
              <i n="[Material].[MainGroupDesc].&amp;[Pike]" c="Pike"/>
              <i n="[Material].[MainGroupDesc].&amp;[Pişirme]" c="Pişirme"/>
              <i n="[Material].[MainGroupDesc].&amp;[Salon]" c="Salon"/>
              <i n="[Material].[MainGroupDesc].&amp;[Sofra]" c="Sofra"/>
              <i n="[Material].[MainGroupDesc].&amp;[Sofra İçecek]" c="Sofra İçecek"/>
              <i n="[Material].[MainGroupDesc].&amp;[Sofra Sunum]" c="Sofra Sunum"/>
              <i n="[Material].[MainGroupDesc].&amp;[Sofra Takımları]" c="Sofra Takımları"/>
              <i n="[Material].[MainGroupDesc].&amp;[White Collection]" c="White Collection"/>
              <i n="[Material].[MainGroupDesc].&amp;[Yastık]" c="Yastık"/>
              <i n="[Material].[MainGroupDesc].&amp;[Yatak Örtüsü]" c="Yatak Örtüsü"/>
              <i n="[Material].[MainGroupDesc].&amp;[YEDEK PARÇA]" c="YEDEK PARÇA"/>
              <i n="[Material].[MainGroupDesc].&amp;[Yorgan]" c="Yorgan"/>
              <i n="[Material].[MainGroupDesc].&amp;[#NA]" c="#NA" nd="1"/>
              <i n="[Material].[MainGroupDesc].&amp;[Bilgi Sistemleri]" c="Bilgi Sistemleri" nd="1"/>
              <i n="[Material].[MainGroupDesc].&amp;[Cafe]" c="Cafe" nd="1"/>
              <i n="[Material].[MainGroupDesc].&amp;[EBA]" c="EBA" nd="1"/>
              <i n="[Material].[MainGroupDesc].&amp;[Entegrasyon]" c="Entegrasyon" nd="1"/>
              <i n="[Material].[MainGroupDesc].&amp;[Ev Giysisi]" c="Ev Giysisi" nd="1"/>
              <i n="[Material].[MainGroupDesc].&amp;[İnsan Kaynakları]" c="İnsan Kaynakları" nd="1"/>
              <i n="[Material].[MainGroupDesc].&amp;[Küçük Elektrikli Ev Aletleri]" c="Küçük Elektrikli Ev Aletleri" nd="1"/>
              <i n="[Material].[MainGroupDesc].&amp;[Mağaza Yatırım ve Proje]" c="Mağaza Yatırım ve Proje" nd="1"/>
              <i n="[Material].[MainGroupDesc].&amp;[Mobilya]" c="Mobilya" nd="1"/>
              <i n="[Material].[MainGroupDesc].&amp;[Mobilya Satış]" c="Mobilya Satış" nd="1"/>
              <i n="[Material].[MainGroupDesc].&amp;[Pazarlama]" c="Pazarlama" nd="1"/>
              <i n="[Material].[MainGroupDesc].&amp;[Planlama]" c="Planlama" nd="1"/>
              <i n="[Material].[MainGroupDesc].&amp;[Yarı Mamul]" c="Yarı Mamul" nd="1"/>
              <i n="[Material].[MainGroupDesc].&amp;[Yatak]" c="Yatak" nd="1"/>
              <i n="[Material].[MainGroupDesc].&amp;" c="" nd="1"/>
            </range>
          </ranges>
        </level>
      </levels>
      <selections count="1">
        <selection n="[Material].[MainGroupDesc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Material].[MainGroupDesc].[MainGroupDesc]" count="16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Merch" xr10:uid="{5D11EBD5-ABBA-4BF0-8240-733DC63A5389}" sourceName="[Calendar].[H_Merch]">
  <pivotTables>
    <pivotTable tabId="3" name="PivotTable1"/>
  </pivotTables>
  <data>
    <olap pivotCacheId="817217146">
      <levels count="5">
        <level uniqueName="[Calendar].[H_Merch].[(All)]" sourceCaption="(All)" count="0"/>
        <level uniqueName="[Calendar].[H_Merch].[MerchYear]" sourceCaption="MerchYear" count="0"/>
        <level uniqueName="[Calendar].[H_Merch].[MerchYearMonthName]" sourceCaption="MerchYearMonthName" count="0"/>
        <level uniqueName="[Calendar].[H_Merch].[MerchYearWeek]" sourceCaption="MerchYearWeek" count="0"/>
        <level uniqueName="[Calendar].[H_Merch].[Date]" sourceCaption="Date" count="2558">
          <ranges>
            <range startItem="0">
              <i n="[Calendar].[H_Merch].[Date].&amp;[2026-02-23T00:00:00]" c="23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4T00:00:00]" c="24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5T00:00:00]" c="25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6T00:00:00]" c="26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7T00:00:00]" c="27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8T00:00:00]" c="28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3-01T00:00:00]" c="1.03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3-02T00:00:00]" c="2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6-03-03T00:00:00]" c="3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6-03-04T00:00:00]" c="4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6-03-05T00:00:00]" c="5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6-03-06T00:00:00]" c="6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6-03-07T00:00:00]" c="7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6-03-08T00:00:00]" c="8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0-12-31T00:00:00]" c="31.12.2020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1T00:00:00]" c="1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2T00:00:00]" c="2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3T00:00:00]" c="3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4T00:00:00]" c="4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5T00:00:00]" c="5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6T00:00:00]" c="6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7T00:00:00]" c="7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8T00:00:00]" c="8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9T00:00:00]" c="9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10T00:00:00]" c="10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11T00:00:00]" c="11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2T00:00:00]" c="12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3T00:00:00]" c="13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4T00:00:00]" c="14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5T00:00:00]" c="15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6T00:00:00]" c="16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7T00:00:00]" c="17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8T00:00:00]" c="18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19T00:00:00]" c="19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0T00:00:00]" c="20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1T00:00:00]" c="21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2T00:00:00]" c="22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3T00:00:00]" c="23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4T00:00:00]" c="24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5T00:00:00]" c="25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6T00:00:00]" c="26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7T00:00:00]" c="27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8T00:00:00]" c="28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9T00:00:00]" c="29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30T00:00:00]" c="30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31T00:00:00]" c="31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2-01T00:00:00]" c="1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2T00:00:00]" c="2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3T00:00:00]" c="3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4T00:00:00]" c="4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5T00:00:00]" c="5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6T00:00:00]" c="6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7T00:00:00]" c="7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8T00:00:00]" c="8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09T00:00:00]" c="9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0T00:00:00]" c="10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1T00:00:00]" c="11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2T00:00:00]" c="12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3T00:00:00]" c="13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4T00:00:00]" c="14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5T00:00:00]" c="15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6T00:00:00]" c="16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7T00:00:00]" c="17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8T00:00:00]" c="18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9T00:00:00]" c="19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0T00:00:00]" c="20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1T00:00:00]" c="21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2T00:00:00]" c="22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3T00:00:00]" c="23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4T00:00:00]" c="24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5T00:00:00]" c="25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6T00:00:00]" c="26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7T00:00:00]" c="27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8T00:00:00]" c="28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3-01T00:00:00]" c="1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2T00:00:00]" c="2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3T00:00:00]" c="3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4T00:00:00]" c="4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5T00:00:00]" c="5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6T00:00:00]" c="6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7T00:00:00]" c="7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8T00:00:00]" c="8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09T00:00:00]" c="9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0T00:00:00]" c="10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1T00:00:00]" c="11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2T00:00:00]" c="12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3T00:00:00]" c="13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4T00:00:00]" c="14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5T00:00:00]" c="15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6T00:00:00]" c="16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7T00:00:00]" c="17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8T00:00:00]" c="18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9T00:00:00]" c="19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0T00:00:00]" c="20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1T00:00:00]" c="21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2T00:00:00]" c="22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3T00:00:00]" c="23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4T00:00:00]" c="24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5T00:00:00]" c="25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6T00:00:00]" c="26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7T00:00:00]" c="27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8T00:00:00]" c="28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9T00:00:00]" c="29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3-30T00:00:00]" c="30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3-31T00:00:00]" c="31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1T00:00:00]" c="1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2T00:00:00]" c="2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3T00:00:00]" c="3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4T00:00:00]" c="4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5T00:00:00]" c="5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6T00:00:00]" c="6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7T00:00:00]" c="7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8T00:00:00]" c="8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9T00:00:00]" c="9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0T00:00:00]" c="10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1T00:00:00]" c="11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2T00:00:00]" c="12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3T00:00:00]" c="13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4T00:00:00]" c="14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5T00:00:00]" c="15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6T00:00:00]" c="16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7T00:00:00]" c="17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8T00:00:00]" c="18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9T00:00:00]" c="19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0T00:00:00]" c="20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1T00:00:00]" c="21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2T00:00:00]" c="22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3T00:00:00]" c="23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4T00:00:00]" c="24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5T00:00:00]" c="25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6T00:00:00]" c="26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7T00:00:00]" c="27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8T00:00:00]" c="28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9T00:00:00]" c="29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30T00:00:00]" c="30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1T00:00:00]" c="1.05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2T00:00:00]" c="2.05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3T00:00:00]" c="3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4T00:00:00]" c="4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5T00:00:00]" c="5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6T00:00:00]" c="6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7T00:00:00]" c="7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8T00:00:00]" c="8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9T00:00:00]" c="9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10T00:00:00]" c="10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1T00:00:00]" c="11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2T00:00:00]" c="12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3T00:00:00]" c="13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4T00:00:00]" c="14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5T00:00:00]" c="15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6T00:00:00]" c="16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7T00:00:00]" c="17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18T00:00:00]" c="18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19T00:00:00]" c="19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0T00:00:00]" c="20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1T00:00:00]" c="21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2T00:00:00]" c="22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3T00:00:00]" c="23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4T00:00:00]" c="24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5T00:00:00]" c="25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6T00:00:00]" c="26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7T00:00:00]" c="27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8T00:00:00]" c="28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9T00:00:00]" c="29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30T00:00:00]" c="30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31T00:00:00]" c="31.05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1T00:00:00]" c="1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2T00:00:00]" c="2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3T00:00:00]" c="3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4T00:00:00]" c="4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5T00:00:00]" c="5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6T00:00:00]" c="6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7T00:00:00]" c="7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08T00:00:00]" c="8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09T00:00:00]" c="9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0T00:00:00]" c="10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1T00:00:00]" c="11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2T00:00:00]" c="12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3T00:00:00]" c="13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4T00:00:00]" c="14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5T00:00:00]" c="15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6T00:00:00]" c="16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7T00:00:00]" c="17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8T00:00:00]" c="18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9T00:00:00]" c="19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20T00:00:00]" c="20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21T00:00:00]" c="21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2T00:00:00]" c="22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3T00:00:00]" c="23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4T00:00:00]" c="24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5T00:00:00]" c="25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6T00:00:00]" c="26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7T00:00:00]" c="27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8T00:00:00]" c="28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6-29T00:00:00]" c="29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6-30T00:00:00]" c="30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1T00:00:00]" c="1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2T00:00:00]" c="2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3T00:00:00]" c="3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4T00:00:00]" c="4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5T00:00:00]" c="5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6T00:00:00]" c="6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7T00:00:00]" c="7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8T00:00:00]" c="8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9T00:00:00]" c="9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0T00:00:00]" c="10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1T00:00:00]" c="11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2T00:00:00]" c="12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3T00:00:00]" c="13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4T00:00:00]" c="14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5T00:00:00]" c="15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6T00:00:00]" c="16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7T00:00:00]" c="17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8T00:00:00]" c="18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9T00:00:00]" c="19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0T00:00:00]" c="20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1T00:00:00]" c="21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2T00:00:00]" c="22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3T00:00:00]" c="23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4T00:00:00]" c="24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5T00:00:00]" c="25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6T00:00:00]" c="26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7T00:00:00]" c="27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8T00:00:00]" c="28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9T00:00:00]" c="29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30T00:00:00]" c="30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31T00:00:00]" c="31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8-01T00:00:00]" c="1.08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8-02T00:00:00]" c="2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3T00:00:00]" c="3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4T00:00:00]" c="4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5T00:00:00]" c="5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6T00:00:00]" c="6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7T00:00:00]" c="7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8T00:00:00]" c="8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9T00:00:00]" c="9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0T00:00:00]" c="10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1T00:00:00]" c="11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2T00:00:00]" c="12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3T00:00:00]" c="13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4T00:00:00]" c="14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5T00:00:00]" c="15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6T00:00:00]" c="16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7T00:00:00]" c="17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8T00:00:00]" c="18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9T00:00:00]" c="19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0T00:00:00]" c="20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1T00:00:00]" c="21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2T00:00:00]" c="22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3T00:00:00]" c="23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4T00:00:00]" c="24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5T00:00:00]" c="25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6T00:00:00]" c="26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7T00:00:00]" c="27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8T00:00:00]" c="28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9T00:00:00]" c="29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30T00:00:00]" c="30.08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8-31T00:00:00]" c="31.08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1T00:00:00]" c="1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2T00:00:00]" c="2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3T00:00:00]" c="3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4T00:00:00]" c="4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5T00:00:00]" c="5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6T00:00:00]" c="6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7T00:00:00]" c="7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8T00:00:00]" c="8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9T00:00:00]" c="9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0T00:00:00]" c="10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1T00:00:00]" c="11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2T00:00:00]" c="12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3T00:00:00]" c="13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4T00:00:00]" c="14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5T00:00:00]" c="15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6T00:00:00]" c="16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7T00:00:00]" c="17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8T00:00:00]" c="18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9T00:00:00]" c="19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20T00:00:00]" c="20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1T00:00:00]" c="21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2T00:00:00]" c="22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3T00:00:00]" c="23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4T00:00:00]" c="24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5T00:00:00]" c="25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6T00:00:00]" c="26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7T00:00:00]" c="27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28T00:00:00]" c="28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29T00:00:00]" c="29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30T00:00:00]" c="30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1T00:00:00]" c="1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2T00:00:00]" c="2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3T00:00:00]" c="3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4T00:00:00]" c="4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5T00:00:00]" c="5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6T00:00:00]" c="6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7T00:00:00]" c="7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8T00:00:00]" c="8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9T00:00:00]" c="9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10T00:00:00]" c="10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11T00:00:00]" c="11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2T00:00:00]" c="12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3T00:00:00]" c="13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4T00:00:00]" c="14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5T00:00:00]" c="15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6T00:00:00]" c="16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7T00:00:00]" c="17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8T00:00:00]" c="18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19T00:00:00]" c="19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0T00:00:00]" c="20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1T00:00:00]" c="21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2T00:00:00]" c="22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3T00:00:00]" c="23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4T00:00:00]" c="24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5T00:00:00]" c="25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6T00:00:00]" c="26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7T00:00:00]" c="27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8T00:00:00]" c="28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9T00:00:00]" c="29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30T00:00:00]" c="30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31T00:00:00]" c="31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1-01T00:00:00]" c="1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2T00:00:00]" c="2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3T00:00:00]" c="3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4T00:00:00]" c="4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5T00:00:00]" c="5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6T00:00:00]" c="6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7T00:00:00]" c="7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8T00:00:00]" c="8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09T00:00:00]" c="9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0T00:00:00]" c="10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1T00:00:00]" c="11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2T00:00:00]" c="12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3T00:00:00]" c="13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4T00:00:00]" c="14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5T00:00:00]" c="15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6T00:00:00]" c="16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7T00:00:00]" c="17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8T00:00:00]" c="18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9T00:00:00]" c="19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0T00:00:00]" c="20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1T00:00:00]" c="21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2T00:00:00]" c="22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3T00:00:00]" c="23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4T00:00:00]" c="24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5T00:00:00]" c="25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6T00:00:00]" c="26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7T00:00:00]" c="27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8T00:00:00]" c="28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9T00:00:00]" c="29.11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1-30T00:00:00]" c="30.11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1T00:00:00]" c="1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2T00:00:00]" c="2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3T00:00:00]" c="3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4T00:00:00]" c="4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5T00:00:00]" c="5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6T00:00:00]" c="6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7T00:00:00]" c="7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8T00:00:00]" c="8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9T00:00:00]" c="9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0T00:00:00]" c="10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1T00:00:00]" c="11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2T00:00:00]" c="12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3T00:00:00]" c="13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4T00:00:00]" c="14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5T00:00:00]" c="15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6T00:00:00]" c="16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7T00:00:00]" c="17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8T00:00:00]" c="18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9T00:00:00]" c="19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20T00:00:00]" c="20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1T00:00:00]" c="21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2T00:00:00]" c="22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3T00:00:00]" c="23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4T00:00:00]" c="24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5T00:00:00]" c="25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6T00:00:00]" c="26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7T00:00:00]" c="27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28T00:00:00]" c="28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29T00:00:00]" c="29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30T00:00:00]" c="30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31T00:00:00]" c="31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1T00:00:00]" c="1.01.2022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2T00:00:00]" c="2.01.2022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3T00:00:00]" c="3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4T00:00:00]" c="4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5T00:00:00]" c="5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6T00:00:00]" c="6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7T00:00:00]" c="7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8T00:00:00]" c="8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9T00:00:00]" c="9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10T00:00:00]" c="10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1T00:00:00]" c="11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2T00:00:00]" c="12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3T00:00:00]" c="13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4T00:00:00]" c="14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5T00:00:00]" c="15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6T00:00:00]" c="16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7T00:00:00]" c="17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18T00:00:00]" c="18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19T00:00:00]" c="19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0T00:00:00]" c="20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1T00:00:00]" c="21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2T00:00:00]" c="22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3T00:00:00]" c="23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4T00:00:00]" c="24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5T00:00:00]" c="25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6T00:00:00]" c="26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7T00:00:00]" c="27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8T00:00:00]" c="28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9T00:00:00]" c="29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30T00:00:00]" c="30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31T00:00:00]" c="31.01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1T00:00:00]" c="1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2T00:00:00]" c="2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3T00:00:00]" c="3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4T00:00:00]" c="4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5T00:00:00]" c="5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6T00:00:00]" c="6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7T00:00:00]" c="7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08T00:00:00]" c="8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09T00:00:00]" c="9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0T00:00:00]" c="10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1T00:00:00]" c="11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2T00:00:00]" c="12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3T00:00:00]" c="13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4T00:00:00]" c="14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5T00:00:00]" c="15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6T00:00:00]" c="16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7T00:00:00]" c="17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8T00:00:00]" c="18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9T00:00:00]" c="19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20T00:00:00]" c="20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21T00:00:00]" c="21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2T00:00:00]" c="22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3T00:00:00]" c="23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4T00:00:00]" c="24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5T00:00:00]" c="25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6T00:00:00]" c="26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7T00:00:00]" c="27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8T00:00:00]" c="28.02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1T00:00:00]" c="1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2T00:00:00]" c="2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3T00:00:00]" c="3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4T00:00:00]" c="4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5T00:00:00]" c="5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6T00:00:00]" c="6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7T00:00:00]" c="7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08T00:00:00]" c="8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09T00:00:00]" c="9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0T00:00:00]" c="10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1T00:00:00]" c="11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2T00:00:00]" c="12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3T00:00:00]" c="13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4T00:00:00]" c="14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5T00:00:00]" c="15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6T00:00:00]" c="16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7T00:00:00]" c="17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8T00:00:00]" c="18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9T00:00:00]" c="19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20T00:00:00]" c="20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21T00:00:00]" c="21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2T00:00:00]" c="22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3T00:00:00]" c="23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4T00:00:00]" c="24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5T00:00:00]" c="25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6T00:00:00]" c="26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7T00:00:00]" c="27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8T00:00:00]" c="28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29T00:00:00]" c="29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30T00:00:00]" c="30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31T00:00:00]" c="31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1T00:00:00]" c="1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2T00:00:00]" c="2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3T00:00:00]" c="3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4T00:00:00]" c="4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5T00:00:00]" c="5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6T00:00:00]" c="6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7T00:00:00]" c="7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8T00:00:00]" c="8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9T00:00:00]" c="9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10T00:00:00]" c="10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11T00:00:00]" c="11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2T00:00:00]" c="12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3T00:00:00]" c="13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4T00:00:00]" c="14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5T00:00:00]" c="15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6T00:00:00]" c="16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7T00:00:00]" c="17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8T00:00:00]" c="18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19T00:00:00]" c="19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0T00:00:00]" c="20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1T00:00:00]" c="21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2T00:00:00]" c="22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3T00:00:00]" c="23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4T00:00:00]" c="24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5T00:00:00]" c="25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6T00:00:00]" c="26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7T00:00:00]" c="27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8T00:00:00]" c="28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9T00:00:00]" c="29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30T00:00:00]" c="30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5-01T00:00:00]" c="1.05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5-02T00:00:00]" c="2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3T00:00:00]" c="3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4T00:00:00]" c="4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5T00:00:00]" c="5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6T00:00:00]" c="6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7T00:00:00]" c="7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8T00:00:00]" c="8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9T00:00:00]" c="9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0T00:00:00]" c="10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1T00:00:00]" c="11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2T00:00:00]" c="12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3T00:00:00]" c="13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4T00:00:00]" c="14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5T00:00:00]" c="15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6T00:00:00]" c="16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7T00:00:00]" c="17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8T00:00:00]" c="18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9T00:00:00]" c="19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0T00:00:00]" c="20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1T00:00:00]" c="21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2T00:00:00]" c="22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3T00:00:00]" c="23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4T00:00:00]" c="24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5T00:00:00]" c="25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6T00:00:00]" c="26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7T00:00:00]" c="27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8T00:00:00]" c="28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9T00:00:00]" c="29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30T00:00:00]" c="30.05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5-31T00:00:00]" c="31.05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1T00:00:00]" c="1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2T00:00:00]" c="2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3T00:00:00]" c="3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4T00:00:00]" c="4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5T00:00:00]" c="5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6T00:00:00]" c="6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7T00:00:00]" c="7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8T00:00:00]" c="8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9T00:00:00]" c="9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0T00:00:00]" c="10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1T00:00:00]" c="11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2T00:00:00]" c="12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3T00:00:00]" c="13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4T00:00:00]" c="14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5T00:00:00]" c="15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6T00:00:00]" c="16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7T00:00:00]" c="17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8T00:00:00]" c="18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9T00:00:00]" c="19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20T00:00:00]" c="20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1T00:00:00]" c="21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2T00:00:00]" c="22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3T00:00:00]" c="23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4T00:00:00]" c="24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5T00:00:00]" c="25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6T00:00:00]" c="26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7T00:00:00]" c="27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28T00:00:00]" c="28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29T00:00:00]" c="29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30T00:00:00]" c="30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1T00:00:00]" c="1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2T00:00:00]" c="2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3T00:00:00]" c="3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4T00:00:00]" c="4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5T00:00:00]" c="5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6T00:00:00]" c="6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7T00:00:00]" c="7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8T00:00:00]" c="8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9T00:00:00]" c="9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10T00:00:00]" c="10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11T00:00:00]" c="11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2T00:00:00]" c="12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3T00:00:00]" c="13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4T00:00:00]" c="14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5T00:00:00]" c="15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6T00:00:00]" c="16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7T00:00:00]" c="17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8T00:00:00]" c="18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19T00:00:00]" c="19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0T00:00:00]" c="20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1T00:00:00]" c="21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2T00:00:00]" c="22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3T00:00:00]" c="23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4T00:00:00]" c="24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5T00:00:00]" c="25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6T00:00:00]" c="26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7T00:00:00]" c="27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8T00:00:00]" c="28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9T00:00:00]" c="29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30T00:00:00]" c="30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31T00:00:00]" c="31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8-01T00:00:00]" c="1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2T00:00:00]" c="2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3T00:00:00]" c="3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4T00:00:00]" c="4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5T00:00:00]" c="5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6T00:00:00]" c="6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7T00:00:00]" c="7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8T00:00:00]" c="8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09T00:00:00]" c="9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0T00:00:00]" c="10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1T00:00:00]" c="11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2T00:00:00]" c="12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3T00:00:00]" c="13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4T00:00:00]" c="14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5T00:00:00]" c="15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6T00:00:00]" c="16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7T00:00:00]" c="17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8T00:00:00]" c="18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9T00:00:00]" c="19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0T00:00:00]" c="20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1T00:00:00]" c="21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2T00:00:00]" c="22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3T00:00:00]" c="23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4T00:00:00]" c="24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5T00:00:00]" c="25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6T00:00:00]" c="26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7T00:00:00]" c="27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8T00:00:00]" c="28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9T00:00:00]" c="29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8-30T00:00:00]" c="30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8-31T00:00:00]" c="31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1T00:00:00]" c="1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2T00:00:00]" c="2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3T00:00:00]" c="3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4T00:00:00]" c="4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5T00:00:00]" c="5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6T00:00:00]" c="6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7T00:00:00]" c="7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8T00:00:00]" c="8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9T00:00:00]" c="9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0T00:00:00]" c="10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1T00:00:00]" c="11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2T00:00:00]" c="12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3T00:00:00]" c="13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4T00:00:00]" c="14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5T00:00:00]" c="15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6T00:00:00]" c="16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7T00:00:00]" c="17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8T00:00:00]" c="18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9T00:00:00]" c="19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0T00:00:00]" c="20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1T00:00:00]" c="21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2T00:00:00]" c="22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3T00:00:00]" c="23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4T00:00:00]" c="24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5T00:00:00]" c="25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6T00:00:00]" c="26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7T00:00:00]" c="27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8T00:00:00]" c="28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9T00:00:00]" c="29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30T00:00:00]" c="30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1T00:00:00]" c="1.10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2T00:00:00]" c="2.10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3T00:00:00]" c="3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4T00:00:00]" c="4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5T00:00:00]" c="5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6T00:00:00]" c="6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7T00:00:00]" c="7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8T00:00:00]" c="8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9T00:00:00]" c="9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10T00:00:00]" c="10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1T00:00:00]" c="11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2T00:00:00]" c="12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3T00:00:00]" c="13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4T00:00:00]" c="14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5T00:00:00]" c="15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6T00:00:00]" c="16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7T00:00:00]" c="17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18T00:00:00]" c="18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19T00:00:00]" c="19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0T00:00:00]" c="20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1T00:00:00]" c="21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2T00:00:00]" c="22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3T00:00:00]" c="23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4T00:00:00]" c="24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5T00:00:00]" c="25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6T00:00:00]" c="26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7T00:00:00]" c="27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8T00:00:00]" c="28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9T00:00:00]" c="29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30T00:00:00]" c="30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31T00:00:00]" c="31.10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1T00:00:00]" c="1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2T00:00:00]" c="2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3T00:00:00]" c="3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4T00:00:00]" c="4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5T00:00:00]" c="5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6T00:00:00]" c="6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7T00:00:00]" c="7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08T00:00:00]" c="8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09T00:00:00]" c="9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0T00:00:00]" c="10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1T00:00:00]" c="11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2T00:00:00]" c="12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3T00:00:00]" c="13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4T00:00:00]" c="14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5T00:00:00]" c="15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6T00:00:00]" c="16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7T00:00:00]" c="17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8T00:00:00]" c="18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9T00:00:00]" c="19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20T00:00:00]" c="20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21T00:00:00]" c="21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2T00:00:00]" c="22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3T00:00:00]" c="23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4T00:00:00]" c="24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5T00:00:00]" c="25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6T00:00:00]" c="26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7T00:00:00]" c="27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8T00:00:00]" c="28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1-29T00:00:00]" c="29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1-30T00:00:00]" c="30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1T00:00:00]" c="1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2T00:00:00]" c="2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3T00:00:00]" c="3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4T00:00:00]" c="4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5T00:00:00]" c="5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6T00:00:00]" c="6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7T00:00:00]" c="7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8T00:00:00]" c="8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9T00:00:00]" c="9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0T00:00:00]" c="10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1T00:00:00]" c="11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2T00:00:00]" c="12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3T00:00:00]" c="13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4T00:00:00]" c="14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5T00:00:00]" c="15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6T00:00:00]" c="16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7T00:00:00]" c="17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8T00:00:00]" c="18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9T00:00:00]" c="19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0T00:00:00]" c="20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1T00:00:00]" c="21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2T00:00:00]" c="22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3T00:00:00]" c="23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4T00:00:00]" c="24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5T00:00:00]" c="25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6T00:00:00]" c="26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7T00:00:00]" c="27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8T00:00:00]" c="28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9T00:00:00]" c="29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30T00:00:00]" c="30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31T00:00:00]" c="31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3-01-01T00:00:00]" c="1.01.2023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3-01-02T00:00:00]" c="2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3T00:00:00]" c="3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4T00:00:00]" c="4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5T00:00:00]" c="5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6T00:00:00]" c="6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7T00:00:00]" c="7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8T00:00:00]" c="8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9T00:00:00]" c="9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0T00:00:00]" c="10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1T00:00:00]" c="11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2T00:00:00]" c="12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3T00:00:00]" c="13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4T00:00:00]" c="14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5T00:00:00]" c="15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6T00:00:00]" c="16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7T00:00:00]" c="17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8T00:00:00]" c="18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9T00:00:00]" c="19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0T00:00:00]" c="20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1T00:00:00]" c="21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2T00:00:00]" c="22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3T00:00:00]" c="23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4T00:00:00]" c="24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5T00:00:00]" c="25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6T00:00:00]" c="26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7T00:00:00]" c="27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8T00:00:00]" c="28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9T00:00:00]" c="29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30T00:00:00]" c="30.01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1-31T00:00:00]" c="31.01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1T00:00:00]" c="1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2T00:00:00]" c="2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3T00:00:00]" c="3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4T00:00:00]" c="4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5T00:00:00]" c="5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6T00:00:00]" c="6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7T00:00:00]" c="7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8T00:00:00]" c="8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9T00:00:00]" c="9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0T00:00:00]" c="10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1T00:00:00]" c="11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2T00:00:00]" c="12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3T00:00:00]" c="13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4T00:00:00]" c="14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5T00:00:00]" c="15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6T00:00:00]" c="16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7T00:00:00]" c="17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8T00:00:00]" c="18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9T00:00:00]" c="19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20T00:00:00]" c="20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1T00:00:00]" c="21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2T00:00:00]" c="22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3T00:00:00]" c="23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4T00:00:00]" c="24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5T00:00:00]" c="25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6T00:00:00]" c="26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7T00:00:00]" c="27.02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2-28T00:00:00]" c="28.02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1T00:00:00]" c="1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2T00:00:00]" c="2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3T00:00:00]" c="3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4T00:00:00]" c="4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5T00:00:00]" c="5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6T00:00:00]" c="6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7T00:00:00]" c="7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8T00:00:00]" c="8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9T00:00:00]" c="9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0T00:00:00]" c="10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1T00:00:00]" c="11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2T00:00:00]" c="12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3T00:00:00]" c="13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4T00:00:00]" c="14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5T00:00:00]" c="15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6T00:00:00]" c="16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7T00:00:00]" c="17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8T00:00:00]" c="18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9T00:00:00]" c="19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20T00:00:00]" c="20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1T00:00:00]" c="21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2T00:00:00]" c="22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3T00:00:00]" c="23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4T00:00:00]" c="24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5T00:00:00]" c="25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6T00:00:00]" c="26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7T00:00:00]" c="27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28T00:00:00]" c="28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29T00:00:00]" c="29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30T00:00:00]" c="30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31T00:00:00]" c="31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1T00:00:00]" c="1.04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2T00:00:00]" c="2.04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3T00:00:00]" c="3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4T00:00:00]" c="4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5T00:00:00]" c="5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6T00:00:00]" c="6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7T00:00:00]" c="7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8T00:00:00]" c="8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9T00:00:00]" c="9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10T00:00:00]" c="10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1T00:00:00]" c="11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2T00:00:00]" c="12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3T00:00:00]" c="13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4T00:00:00]" c="14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5T00:00:00]" c="15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6T00:00:00]" c="16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7T00:00:00]" c="17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18T00:00:00]" c="18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19T00:00:00]" c="19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0T00:00:00]" c="20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1T00:00:00]" c="21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2T00:00:00]" c="22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3T00:00:00]" c="23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4T00:00:00]" c="24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5T00:00:00]" c="25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6T00:00:00]" c="26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7T00:00:00]" c="27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8T00:00:00]" c="28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9T00:00:00]" c="29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30T00:00:00]" c="30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5-01T00:00:00]" c="1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2T00:00:00]" c="2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3T00:00:00]" c="3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4T00:00:00]" c="4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5T00:00:00]" c="5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6T00:00:00]" c="6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7T00:00:00]" c="7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8T00:00:00]" c="8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09T00:00:00]" c="9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0T00:00:00]" c="10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1T00:00:00]" c="11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2T00:00:00]" c="12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3T00:00:00]" c="13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4T00:00:00]" c="14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5T00:00:00]" c="15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6T00:00:00]" c="16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7T00:00:00]" c="17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8T00:00:00]" c="18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9T00:00:00]" c="19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0T00:00:00]" c="20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1T00:00:00]" c="21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2T00:00:00]" c="22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3T00:00:00]" c="23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4T00:00:00]" c="24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5T00:00:00]" c="25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6T00:00:00]" c="26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7T00:00:00]" c="27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8T00:00:00]" c="28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9T00:00:00]" c="29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5-30T00:00:00]" c="30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5-31T00:00:00]" c="31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1T00:00:00]" c="1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2T00:00:00]" c="2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3T00:00:00]" c="3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4T00:00:00]" c="4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5T00:00:00]" c="5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6T00:00:00]" c="6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7T00:00:00]" c="7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8T00:00:00]" c="8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9T00:00:00]" c="9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0T00:00:00]" c="10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1T00:00:00]" c="11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2T00:00:00]" c="12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3T00:00:00]" c="13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4T00:00:00]" c="14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5T00:00:00]" c="15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6T00:00:00]" c="16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7T00:00:00]" c="17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8T00:00:00]" c="18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9T00:00:00]" c="19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0T00:00:00]" c="20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1T00:00:00]" c="21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2T00:00:00]" c="22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3T00:00:00]" c="23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4T00:00:00]" c="24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5T00:00:00]" c="25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6T00:00:00]" c="26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7T00:00:00]" c="27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8T00:00:00]" c="28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9T00:00:00]" c="29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30T00:00:00]" c="30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1T00:00:00]" c="1.07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2T00:00:00]" c="2.07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3T00:00:00]" c="3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4T00:00:00]" c="4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5T00:00:00]" c="5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6T00:00:00]" c="6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7T00:00:00]" c="7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8T00:00:00]" c="8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9T00:00:00]" c="9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10T00:00:00]" c="10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1T00:00:00]" c="11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2T00:00:00]" c="12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3T00:00:00]" c="13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4T00:00:00]" c="14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5T00:00:00]" c="15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6T00:00:00]" c="16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7T00:00:00]" c="17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18T00:00:00]" c="18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19T00:00:00]" c="19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0T00:00:00]" c="20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1T00:00:00]" c="21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2T00:00:00]" c="22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3T00:00:00]" c="23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4T00:00:00]" c="24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5T00:00:00]" c="25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6T00:00:00]" c="26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7T00:00:00]" c="27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8T00:00:00]" c="28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9T00:00:00]" c="29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30T00:00:00]" c="30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31T00:00:00]" c="31.07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1T00:00:00]" c="1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2T00:00:00]" c="2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3T00:00:00]" c="3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4T00:00:00]" c="4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5T00:00:00]" c="5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6T00:00:00]" c="6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7T00:00:00]" c="7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08T00:00:00]" c="8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09T00:00:00]" c="9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0T00:00:00]" c="10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1T00:00:00]" c="11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2T00:00:00]" c="12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3T00:00:00]" c="13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4T00:00:00]" c="14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5T00:00:00]" c="15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6T00:00:00]" c="16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7T00:00:00]" c="17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8T00:00:00]" c="18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9T00:00:00]" c="19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20T00:00:00]" c="20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21T00:00:00]" c="21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2T00:00:00]" c="22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3T00:00:00]" c="23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4T00:00:00]" c="24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5T00:00:00]" c="25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6T00:00:00]" c="26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7T00:00:00]" c="27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8T00:00:00]" c="28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29T00:00:00]" c="29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30T00:00:00]" c="30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31T00:00:00]" c="31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1T00:00:00]" c="1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2T00:00:00]" c="2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3T00:00:00]" c="3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4T00:00:00]" c="4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5T00:00:00]" c="5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6T00:00:00]" c="6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7T00:00:00]" c="7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8T00:00:00]" c="8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9T00:00:00]" c="9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10T00:00:00]" c="10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11T00:00:00]" c="11.09.2023" nd="1">
                <p n="[Calendar].[H_Merch].[MerchYearWeek].&amp;[202338]"/>
                <p n="[Calendar].[H_Merch].[MerchYearMonthName].&amp;[2023-Eylül]"/>
                <p n="[Calendar].[H_Merch].[MerchYear].&amp;[2023]"/>
              </i>
              <i n="[Calendar].[H_Merch].[Date].&amp;[2023-09-12T00:00:00]" c="12.09.2023" nd="1">
                <p n="[Calendar].[H_Merch].[MerchYearWeek].&amp;[202338]"/>
                <p n="[Calendar].[H_Merch].[MerchYearMonthName].&amp;[2023-Eylül]"/>
                <p n="[Calendar].[H_Merch].[MerchYear].&amp;[2023]"/>
              </i>
            </range>
          </ranges>
        </level>
      </levels>
      <selections count="1">
        <selection n="[Calendar].[H_Merch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MainGroup1" xr10:uid="{A959C683-A497-47AC-8E5C-C6EDC29A2288}" sourceName="[Material].[H_MainGroup]">
  <pivotTables>
    <pivotTable tabId="3" name="PivotTable1"/>
  </pivotTables>
  <data>
    <olap pivotCacheId="817217146">
      <levels count="3">
        <level uniqueName="[Material].[H_MainGroup].[(All)]" sourceCaption="(All)" count="0"/>
        <level uniqueName="[Material].[H_MainGroup].[MainGroupDesc]" sourceCaption="MainGroupDesc" count="39">
          <ranges>
            <range startItem="0">
              <i n="[Material].[H_MainGroup].[MainGroupDesc].&amp;[Aksesuar]" c="Aksesuar"/>
              <i n="[Material].[H_MainGroup].[MainGroupDesc].&amp;[Banyo]" c="Banyo"/>
              <i n="[Material].[H_MainGroup].[MainGroupDesc].&amp;[Battaniye]" c="Battaniye"/>
              <i n="[Material].[H_MainGroup].[MainGroupDesc].&amp;[Çarşaf]" c="Çarşaf"/>
              <i n="[Material].[H_MainGroup].[MainGroupDesc].&amp;[Dünya Markaları]" c="Dünya Markaları"/>
              <i n="[Material].[H_MainGroup].[MainGroupDesc].&amp;[Halı - Kilim]" c="Halı - Kilim"/>
              <i n="[Material].[H_MainGroup].[MainGroupDesc].&amp;[Havlu]" c="Havlu"/>
              <i n="[Material].[H_MainGroup].[MainGroupDesc].&amp;[KEA]" c="KEA"/>
              <i n="[Material].[H_MainGroup].[MainGroupDesc].&amp;[Kozmetik]" c="Kozmetik"/>
              <i n="[Material].[H_MainGroup].[MainGroupDesc].&amp;[Mutfak]" c="Mutfak"/>
              <i n="[Material].[H_MainGroup].[MainGroupDesc].&amp;[Nevresim]" c="Nevresim"/>
              <i n="[Material].[H_MainGroup].[MainGroupDesc].&amp;[Pike]" c="Pike"/>
              <i n="[Material].[H_MainGroup].[MainGroupDesc].&amp;[Pişirme]" c="Pişirme"/>
              <i n="[Material].[H_MainGroup].[MainGroupDesc].&amp;[Salon]" c="Salon"/>
              <i n="[Material].[H_MainGroup].[MainGroupDesc].&amp;[Sofra İçecek]" c="Sofra İçecek"/>
              <i n="[Material].[H_MainGroup].[MainGroupDesc].&amp;[Sofra Sunum]" c="Sofra Sunum"/>
              <i n="[Material].[H_MainGroup].[MainGroupDesc].&amp;[Sofra Takımları]" c="Sofra Takımları"/>
              <i n="[Material].[H_MainGroup].[MainGroupDesc].&amp;[Yastık]" c="Yastık"/>
              <i n="[Material].[H_MainGroup].[MainGroupDesc].&amp;[Yatak Örtüsü]" c="Yatak Örtüsü"/>
              <i n="[Material].[H_MainGroup].[MainGroupDesc].&amp;[YEDEK PARÇA]" c="YEDEK PARÇA"/>
              <i n="[Material].[H_MainGroup].[MainGroupDesc].&amp;[Yorgan]" c="Yorgan"/>
              <i n="[Material].[H_MainGroup].[MainGroupDesc].&amp;[#NA]" c="#NA" nd="1"/>
              <i n="[Material].[H_MainGroup].[MainGroupDesc].&amp;[Bilgi Sistemleri]" c="Bilgi Sistemleri" nd="1"/>
              <i n="[Material].[H_MainGroup].[MainGroupDesc].&amp;[Cafe]" c="Cafe" nd="1"/>
              <i n="[Material].[H_MainGroup].[MainGroupDesc].&amp;[EBA]" c="EBA" nd="1"/>
              <i n="[Material].[H_MainGroup].[MainGroupDesc].&amp;[Entegrasyon]" c="Entegrasyon" nd="1"/>
              <i n="[Material].[H_MainGroup].[MainGroupDesc].&amp;[Ev Giysisi]" c="Ev Giysisi" nd="1"/>
              <i n="[Material].[H_MainGroup].[MainGroupDesc].&amp;[İnsan Kaynakları]" c="İnsan Kaynakları" nd="1"/>
              <i n="[Material].[H_MainGroup].[MainGroupDesc].&amp;[Küçük Elektrikli Ev Aletleri]" c="Küçük Elektrikli Ev Aletleri" nd="1"/>
              <i n="[Material].[H_MainGroup].[MainGroupDesc].&amp;[Mağaza Yatırım ve Proje]" c="Mağaza Yatırım ve Proje" nd="1"/>
              <i n="[Material].[H_MainGroup].[MainGroupDesc].&amp;[Mobilya]" c="Mobilya" nd="1"/>
              <i n="[Material].[H_MainGroup].[MainGroupDesc].&amp;[Mobilya Satış]" c="Mobilya Satış" nd="1"/>
              <i n="[Material].[H_MainGroup].[MainGroupDesc].&amp;[Pazarlama]" c="Pazarlama" nd="1"/>
              <i n="[Material].[H_MainGroup].[MainGroupDesc].&amp;[Planlama]" c="Planlama" nd="1"/>
              <i n="[Material].[H_MainGroup].[MainGroupDesc].&amp;[Sofra]" c="Sofra" nd="1"/>
              <i n="[Material].[H_MainGroup].[MainGroupDesc].&amp;[White Collection]" c="White Collection" nd="1"/>
              <i n="[Material].[H_MainGroup].[MainGroupDesc].&amp;[Yarı Mamul]" c="Yarı Mamul" nd="1"/>
              <i n="[Material].[H_MainGroup].[MainGroupDesc].&amp;[Yatak]" c="Yatak" nd="1"/>
              <i n="[Material].[H_MainGroup].[MainGroupDesc].&amp;" c="" nd="1"/>
            </range>
          </ranges>
        </level>
        <level uniqueName="[Material].[H_MainGroup].[SubGroupDesc]" sourceCaption="SubGroupDesc" count="1244">
          <ranges>
            <range startItem="0">
              <i n="[Material].[H_MainGroup].[MainGroupDesc].&amp;[Aksesuar].&amp;[Abajur]" c="Abajur">
                <p n="[Material].[H_MainGroup].[MainGroupDesc].&amp;[Aksesuar]"/>
              </i>
              <i n="[Material].[H_MainGroup].[MainGroupDesc].&amp;[Aksesuar].&amp;[Alışveriş Çantası]" c="Alışveriş Çantası">
                <p n="[Material].[H_MainGroup].[MainGroupDesc].&amp;[Aksesuar]"/>
              </i>
              <i n="[Material].[H_MainGroup].[MainGroupDesc].&amp;[Aksesuar].&amp;[Askı]" c="Askı">
                <p n="[Material].[H_MainGroup].[MainGroupDesc].&amp;[Aksesuar]"/>
              </i>
              <i n="[Material].[H_MainGroup].[MainGroupDesc].&amp;[Aksesuar].&amp;[Askılı Aksesuar]" c="Askılı Aksesuar">
                <p n="[Material].[H_MainGroup].[MainGroupDesc].&amp;[Aksesuar]"/>
              </i>
              <i n="[Material].[H_MainGroup].[MainGroupDesc].&amp;[Aksesuar].&amp;[Ayakkabı Rampası]" c="Ayakkabı Rampası">
                <p n="[Material].[H_MainGroup].[MainGroupDesc].&amp;[Aksesuar]"/>
              </i>
              <i n="[Material].[H_MainGroup].[MainGroupDesc].&amp;[Aksesuar].&amp;[Ayakkabı Saklama Kts]" c="Ayakkabı Saklama Kts">
                <p n="[Material].[H_MainGroup].[MainGroupDesc].&amp;[Aksesuar]"/>
              </i>
              <i n="[Material].[H_MainGroup].[MainGroupDesc].&amp;[Aksesuar].&amp;[Ayna]" c="Ayna">
                <p n="[Material].[H_MainGroup].[MainGroupDesc].&amp;[Aksesuar]"/>
              </i>
              <i n="[Material].[H_MainGroup].[MainGroupDesc].&amp;[Aksesuar].&amp;[Banyo Seti]" c="Banyo Seti">
                <p n="[Material].[H_MainGroup].[MainGroupDesc].&amp;[Aksesuar]"/>
              </i>
              <i n="[Material].[H_MainGroup].[MainGroupDesc].&amp;[Aksesuar].&amp;[Banyo Sıvı Sabunluk]" c="Banyo Sıvı Sabunluk">
                <p n="[Material].[H_MainGroup].[MainGroupDesc].&amp;[Aksesuar]"/>
              </i>
              <i n="[Material].[H_MainGroup].[MainGroupDesc].&amp;[Aksesuar].&amp;[Bebe Hurç]" c="Bebe Hurç">
                <p n="[Material].[H_MainGroup].[MainGroupDesc].&amp;[Aksesuar]"/>
              </i>
              <i n="[Material].[H_MainGroup].[MainGroupDesc].&amp;[Aksesuar].&amp;[Bebe Mama Önlüğü]" c="Bebe Mama Önlüğü">
                <p n="[Material].[H_MainGroup].[MainGroupDesc].&amp;[Aksesuar]"/>
              </i>
              <i n="[Material].[H_MainGroup].[MainGroupDesc].&amp;[Aksesuar].&amp;[Bebek Sepeti]" c="Bebek Sepeti">
                <p n="[Material].[H_MainGroup].[MainGroupDesc].&amp;[Aksesuar]"/>
              </i>
              <i n="[Material].[H_MainGroup].[MainGroupDesc].&amp;[Aksesuar].&amp;[Bereket Fili]" c="Bereket Fili">
                <p n="[Material].[H_MainGroup].[MainGroupDesc].&amp;[Aksesuar]"/>
              </i>
              <i n="[Material].[H_MainGroup].[MainGroupDesc].&amp;[Aksesuar].&amp;[Bereket Kuşu]" c="Bereket Kuşu">
                <p n="[Material].[H_MainGroup].[MainGroupDesc].&amp;[Aksesuar]"/>
              </i>
              <i n="[Material].[H_MainGroup].[MainGroupDesc].&amp;[Aksesuar].&amp;[Biblo]" c="Biblo">
                <p n="[Material].[H_MainGroup].[MainGroupDesc].&amp;[Aksesuar]"/>
              </i>
              <i n="[Material].[H_MainGroup].[MainGroupDesc].&amp;[Aksesuar].&amp;[Bileklik]" c="Bileklik">
                <p n="[Material].[H_MainGroup].[MainGroupDesc].&amp;[Aksesuar]"/>
              </i>
              <i n="[Material].[H_MainGroup].[MainGroupDesc].&amp;[Aksesuar].&amp;[Büyüteç]" c="Büyüteç">
                <p n="[Material].[H_MainGroup].[MainGroupDesc].&amp;[Aksesuar]"/>
              </i>
              <i n="[Material].[H_MainGroup].[MainGroupDesc].&amp;[Aksesuar].&amp;[Cam Sileceği]" c="Cam Sileceği">
                <p n="[Material].[H_MainGroup].[MainGroupDesc].&amp;[Aksesuar]"/>
              </i>
              <i n="[Material].[H_MainGroup].[MainGroupDesc].&amp;[Aksesuar].&amp;[Çamaşır Sepeti]" c="Çamaşır Sepeti">
                <p n="[Material].[H_MainGroup].[MainGroupDesc].&amp;[Aksesuar]"/>
              </i>
              <i n="[Material].[H_MainGroup].[MainGroupDesc].&amp;[Aksesuar].&amp;[Canlı Çiçek]" c="Canlı Çiçek">
                <p n="[Material].[H_MainGroup].[MainGroupDesc].&amp;[Aksesuar]"/>
              </i>
              <i n="[Material].[H_MainGroup].[MainGroupDesc].&amp;[Aksesuar].&amp;[Çerçeve]" c="Çerçeve">
                <p n="[Material].[H_MainGroup].[MainGroupDesc].&amp;[Aksesuar]"/>
              </i>
              <i n="[Material].[H_MainGroup].[MainGroupDesc].&amp;[Aksesuar].&amp;[Çocuk Duvar Kağıdı]" c="Çocuk Duvar Kağıdı">
                <p n="[Material].[H_MainGroup].[MainGroupDesc].&amp;[Aksesuar]"/>
              </i>
              <i n="[Material].[H_MainGroup].[MainGroupDesc].&amp;[Aksesuar].&amp;[Çocuk Duvar Saati]" c="Çocuk Duvar Saati">
                <p n="[Material].[H_MainGroup].[MainGroupDesc].&amp;[Aksesuar]"/>
              </i>
              <i n="[Material].[H_MainGroup].[MainGroupDesc].&amp;[Aksesuar].&amp;[Çocuk Maske]" c="Çocuk Maske">
                <p n="[Material].[H_MainGroup].[MainGroupDesc].&amp;[Aksesuar]"/>
              </i>
              <i n="[Material].[H_MainGroup].[MainGroupDesc].&amp;[Aksesuar].&amp;[Cüzdan]" c="Cüzdan">
                <p n="[Material].[H_MainGroup].[MainGroupDesc].&amp;[Aksesuar]"/>
              </i>
              <i n="[Material].[H_MainGroup].[MainGroupDesc].&amp;[Aksesuar].&amp;[Dekoratif]" c="Dekoratif">
                <p n="[Material].[H_MainGroup].[MainGroupDesc].&amp;[Aksesuar]"/>
              </i>
              <i n="[Material].[H_MainGroup].[MainGroupDesc].&amp;[Aksesuar].&amp;[Dekoratif Aydınlatma]" c="Dekoratif Aydınlatma">
                <p n="[Material].[H_MainGroup].[MainGroupDesc].&amp;[Aksesuar]"/>
              </i>
              <i n="[Material].[H_MainGroup].[MainGroupDesc].&amp;[Aksesuar].&amp;[Dekoratif Kutu]" c="Dekoratif Kutu">
                <p n="[Material].[H_MainGroup].[MainGroupDesc].&amp;[Aksesuar]"/>
              </i>
              <i n="[Material].[H_MainGroup].[MainGroupDesc].&amp;[Aksesuar].&amp;[Dekoratif Obje]" c="Dekoratif Obje">
                <p n="[Material].[H_MainGroup].[MainGroupDesc].&amp;[Aksesuar]"/>
              </i>
              <i n="[Material].[H_MainGroup].[MainGroupDesc].&amp;[Aksesuar].&amp;[Dekoratif Peçetelik]" c="Dekoratif Peçetelik">
                <p n="[Material].[H_MainGroup].[MainGroupDesc].&amp;[Aksesuar]"/>
              </i>
              <i n="[Material].[H_MainGroup].[MainGroupDesc].&amp;[Aksesuar].&amp;[Dekoratif Raf]" c="Dekoratif Raf">
                <p n="[Material].[H_MainGroup].[MainGroupDesc].&amp;[Aksesuar]"/>
              </i>
              <i n="[Material].[H_MainGroup].[MainGroupDesc].&amp;[Aksesuar].&amp;[Dekoratif Tepsi]" c="Dekoratif Tepsi">
                <p n="[Material].[H_MainGroup].[MainGroupDesc].&amp;[Aksesuar]"/>
              </i>
              <i n="[Material].[H_MainGroup].[MainGroupDesc].&amp;[Aksesuar].&amp;[Diş Fırçalık]" c="Diş Fırçalık">
                <p n="[Material].[H_MainGroup].[MainGroupDesc].&amp;[Aksesuar]"/>
              </i>
              <i n="[Material].[H_MainGroup].[MainGroupDesc].&amp;[Aksesuar].&amp;[Duş Kaydırmaz]" c="Duş Kaydırmaz">
                <p n="[Material].[H_MainGroup].[MainGroupDesc].&amp;[Aksesuar]"/>
              </i>
              <i n="[Material].[H_MainGroup].[MainGroupDesc].&amp;[Aksesuar].&amp;[Duvar Aksesuarı]" c="Duvar Aksesuarı">
                <p n="[Material].[H_MainGroup].[MainGroupDesc].&amp;[Aksesuar]"/>
              </i>
              <i n="[Material].[H_MainGroup].[MainGroupDesc].&amp;[Aksesuar].&amp;[Duvar Saati]" c="Duvar Saati">
                <p n="[Material].[H_MainGroup].[MainGroupDesc].&amp;[Aksesuar]"/>
              </i>
              <i n="[Material].[H_MainGroup].[MainGroupDesc].&amp;[Aksesuar].&amp;[Duvar Süsü]" c="Duvar Süsü">
                <p n="[Material].[H_MainGroup].[MainGroupDesc].&amp;[Aksesuar]"/>
              </i>
              <i n="[Material].[H_MainGroup].[MainGroupDesc].&amp;[Aksesuar].&amp;[El Aynası]" c="El Aynası">
                <p n="[Material].[H_MainGroup].[MainGroupDesc].&amp;[Aksesuar]"/>
              </i>
              <i n="[Material].[H_MainGroup].[MainGroupDesc].&amp;[Aksesuar].&amp;[Elbise Askısı]" c="Elbise Askısı">
                <p n="[Material].[H_MainGroup].[MainGroupDesc].&amp;[Aksesuar]"/>
              </i>
              <i n="[Material].[H_MainGroup].[MainGroupDesc].&amp;[Aksesuar].&amp;[Elbise Kılıfı]" c="Elbise Kılıfı">
                <p n="[Material].[H_MainGroup].[MainGroupDesc].&amp;[Aksesuar]"/>
              </i>
              <i n="[Material].[H_MainGroup].[MainGroupDesc].&amp;[Aksesuar].&amp;[Etamin]" c="Etamin">
                <p n="[Material].[H_MainGroup].[MainGroupDesc].&amp;[Aksesuar]"/>
              </i>
              <i n="[Material].[H_MainGroup].[MainGroupDesc].&amp;[Aksesuar].&amp;[Fener]" c="Fener">
                <p n="[Material].[H_MainGroup].[MainGroupDesc].&amp;[Aksesuar]"/>
              </i>
              <i n="[Material].[H_MainGroup].[MainGroupDesc].&amp;[Aksesuar].&amp;[Fırçalı Faraş]" c="Fırçalı Faraş">
                <p n="[Material].[H_MainGroup].[MainGroupDesc].&amp;[Aksesuar]"/>
              </i>
              <i n="[Material].[H_MainGroup].[MainGroupDesc].&amp;[Aksesuar].&amp;[Hamak]" c="Hamak">
                <p n="[Material].[H_MainGroup].[MainGroupDesc].&amp;[Aksesuar]"/>
              </i>
              <i n="[Material].[H_MainGroup].[MainGroupDesc].&amp;[Aksesuar].&amp;[Hobi Kumaşı]" c="Hobi Kumaşı">
                <p n="[Material].[H_MainGroup].[MainGroupDesc].&amp;[Aksesuar]"/>
              </i>
              <i n="[Material].[H_MainGroup].[MainGroupDesc].&amp;[Aksesuar].&amp;[Hurç]" c="Hurç">
                <p n="[Material].[H_MainGroup].[MainGroupDesc].&amp;[Aksesuar]"/>
              </i>
              <i n="[Material].[H_MainGroup].[MainGroupDesc].&amp;[Aksesuar].&amp;[Kalemlik]" c="Kalemlik">
                <p n="[Material].[H_MainGroup].[MainGroupDesc].&amp;[Aksesuar]"/>
              </i>
              <i n="[Material].[H_MainGroup].[MainGroupDesc].&amp;[Aksesuar].&amp;[Kandil]" c="Kandil">
                <p n="[Material].[H_MainGroup].[MainGroupDesc].&amp;[Aksesuar]"/>
              </i>
              <i n="[Material].[H_MainGroup].[MainGroupDesc].&amp;[Aksesuar].&amp;[Kandil Fitili]" c="Kandil Fitili">
                <p n="[Material].[H_MainGroup].[MainGroupDesc].&amp;[Aksesuar]"/>
              </i>
              <i n="[Material].[H_MainGroup].[MainGroupDesc].&amp;[Aksesuar].&amp;[Kandil Yağı]" c="Kandil Yağı">
                <p n="[Material].[H_MainGroup].[MainGroupDesc].&amp;[Aksesuar]"/>
              </i>
              <i n="[Material].[H_MainGroup].[MainGroupDesc].&amp;[Aksesuar].&amp;[Kapı Numarası]" c="Kapı Numarası">
                <p n="[Material].[H_MainGroup].[MainGroupDesc].&amp;[Aksesuar]"/>
              </i>
              <i n="[Material].[H_MainGroup].[MainGroupDesc].&amp;[Aksesuar].&amp;[Kapı Önü Ağırlığı]" c="Kapı Önü Ağırlığı">
                <p n="[Material].[H_MainGroup].[MainGroupDesc].&amp;[Aksesuar]"/>
              </i>
              <i n="[Material].[H_MainGroup].[MainGroupDesc].&amp;[Aksesuar].&amp;[Kapı Süsü]" c="Kapı Süsü">
                <p n="[Material].[H_MainGroup].[MainGroupDesc].&amp;[Aksesuar]"/>
              </i>
              <i n="[Material].[H_MainGroup].[MainGroupDesc].&amp;[Aksesuar].&amp;[Kar Küresi]" c="Kar Küresi">
                <p n="[Material].[H_MainGroup].[MainGroupDesc].&amp;[Aksesuar]"/>
              </i>
              <i n="[Material].[H_MainGroup].[MainGroupDesc].&amp;[Aksesuar].&amp;[Katlanır Tabure]" c="Katlanır Tabure">
                <p n="[Material].[H_MainGroup].[MainGroupDesc].&amp;[Aksesuar]"/>
              </i>
              <i n="[Material].[H_MainGroup].[MainGroupDesc].&amp;[Aksesuar].&amp;[Keyif Tepsisi]" c="Keyif Tepsisi">
                <p n="[Material].[H_MainGroup].[MainGroupDesc].&amp;[Aksesuar]"/>
              </i>
              <i n="[Material].[H_MainGroup].[MainGroupDesc].&amp;[Aksesuar].&amp;[Kitap Ayracı]" c="Kitap Ayracı">
                <p n="[Material].[H_MainGroup].[MainGroupDesc].&amp;[Aksesuar]"/>
              </i>
              <i n="[Material].[H_MainGroup].[MainGroupDesc].&amp;[Aksesuar].&amp;[Kitap Tutucu]" c="Kitap Tutucu">
                <p n="[Material].[H_MainGroup].[MainGroupDesc].&amp;[Aksesuar]"/>
              </i>
              <i n="[Material].[H_MainGroup].[MainGroupDesc].&amp;[Aksesuar].&amp;[Küllük]" c="Küllük">
                <p n="[Material].[H_MainGroup].[MainGroupDesc].&amp;[Aksesuar]"/>
              </i>
              <i n="[Material].[H_MainGroup].[MainGroupDesc].&amp;[Aksesuar].&amp;[Kum Saati]" c="Kum Saati">
                <p n="[Material].[H_MainGroup].[MainGroupDesc].&amp;[Aksesuar]"/>
              </i>
              <i n="[Material].[H_MainGroup].[MainGroupDesc].&amp;[Aksesuar].&amp;[Kumbara]" c="Kumbara">
                <p n="[Material].[H_MainGroup].[MainGroupDesc].&amp;[Aksesuar]"/>
              </i>
              <i n="[Material].[H_MainGroup].[MainGroupDesc].&amp;[Aksesuar].&amp;[Kurdele]" c="Kurdele">
                <p n="[Material].[H_MainGroup].[MainGroupDesc].&amp;[Aksesuar]"/>
              </i>
              <i n="[Material].[H_MainGroup].[MainGroupDesc].&amp;[Aksesuar].&amp;[Lambader]" c="Lambader">
                <p n="[Material].[H_MainGroup].[MainGroupDesc].&amp;[Aksesuar]"/>
              </i>
              <i n="[Material].[H_MainGroup].[MainGroupDesc].&amp;[Aksesuar].&amp;[Magnet]" c="Magnet">
                <p n="[Material].[H_MainGroup].[MainGroupDesc].&amp;[Aksesuar]"/>
              </i>
              <i n="[Material].[H_MainGroup].[MainGroupDesc].&amp;[Aksesuar].&amp;[Masa Saati]" c="Masa Saati">
                <p n="[Material].[H_MainGroup].[MainGroupDesc].&amp;[Aksesuar]"/>
              </i>
              <i n="[Material].[H_MainGroup].[MainGroupDesc].&amp;[Aksesuar].&amp;[Maske]" c="Maske">
                <p n="[Material].[H_MainGroup].[MainGroupDesc].&amp;[Aksesuar]"/>
              </i>
              <i n="[Material].[H_MainGroup].[MainGroupDesc].&amp;[Aksesuar].&amp;[Maske Kutusu]" c="Maske Kutusu">
                <p n="[Material].[H_MainGroup].[MainGroupDesc].&amp;[Aksesuar]"/>
              </i>
              <i n="[Material].[H_MainGroup].[MainGroupDesc].&amp;[Aksesuar].&amp;[Mop]" c="Mop">
                <p n="[Material].[H_MainGroup].[MainGroupDesc].&amp;[Aksesuar]"/>
              </i>
              <i n="[Material].[H_MainGroup].[MainGroupDesc].&amp;[Aksesuar].&amp;[Mum]" c="Mum">
                <p n="[Material].[H_MainGroup].[MainGroupDesc].&amp;[Aksesuar]"/>
              </i>
              <i n="[Material].[H_MainGroup].[MainGroupDesc].&amp;[Aksesuar].&amp;[Mum Bakım Seti]" c="Mum Bakım Seti">
                <p n="[Material].[H_MainGroup].[MainGroupDesc].&amp;[Aksesuar]"/>
              </i>
              <i n="[Material].[H_MainGroup].[MainGroupDesc].&amp;[Aksesuar].&amp;[Mum Söndürme Aleti]" c="Mum Söndürme Aleti">
                <p n="[Material].[H_MainGroup].[MainGroupDesc].&amp;[Aksesuar]"/>
              </i>
              <i n="[Material].[H_MainGroup].[MainGroupDesc].&amp;[Aksesuar].&amp;[Müzik Kutusu]" c="Müzik Kutusu">
                <p n="[Material].[H_MainGroup].[MainGroupDesc].&amp;[Aksesuar]"/>
              </i>
              <i n="[Material].[H_MainGroup].[MainGroupDesc].&amp;[Aksesuar].&amp;[Not Defteri]" c="Not Defteri">
                <p n="[Material].[H_MainGroup].[MainGroupDesc].&amp;[Aksesuar]"/>
              </i>
              <i n="[Material].[H_MainGroup].[MainGroupDesc].&amp;[Aksesuar].&amp;[Not Panosu]" c="Not Panosu">
                <p n="[Material].[H_MainGroup].[MainGroupDesc].&amp;[Aksesuar]"/>
              </i>
              <i n="[Material].[H_MainGroup].[MainGroupDesc].&amp;[Aksesuar].&amp;[Organizer]" c="Organizer">
                <p n="[Material].[H_MainGroup].[MainGroupDesc].&amp;[Aksesuar]"/>
              </i>
              <i n="[Material].[H_MainGroup].[MainGroupDesc].&amp;[Aksesuar].&amp;[Oyuncak Sepeti]" c="Oyuncak Sepeti">
                <p n="[Material].[H_MainGroup].[MainGroupDesc].&amp;[Aksesuar]"/>
              </i>
              <i n="[Material].[H_MainGroup].[MainGroupDesc].&amp;[Aksesuar].&amp;[Oyuncak Top]" c="Oyuncak Top">
                <p n="[Material].[H_MainGroup].[MainGroupDesc].&amp;[Aksesuar]"/>
              </i>
              <i n="[Material].[H_MainGroup].[MainGroupDesc].&amp;[Aksesuar].&amp;[Sabunluk]" c="Sabunluk">
                <p n="[Material].[H_MainGroup].[MainGroupDesc].&amp;[Aksesuar]"/>
              </i>
              <i n="[Material].[H_MainGroup].[MainGroupDesc].&amp;[Aksesuar].&amp;[Saç Bandı]" c="Saç Bandı">
                <p n="[Material].[H_MainGroup].[MainGroupDesc].&amp;[Aksesuar]"/>
              </i>
              <i n="[Material].[H_MainGroup].[MainGroupDesc].&amp;[Aksesuar].&amp;[Saç Tokası]" c="Saç Tokası">
                <p n="[Material].[H_MainGroup].[MainGroupDesc].&amp;[Aksesuar]"/>
              </i>
              <i n="[Material].[H_MainGroup].[MainGroupDesc].&amp;[Aksesuar].&amp;[Saklama Kutusu]" c="Saklama Kutusu">
                <p n="[Material].[H_MainGroup].[MainGroupDesc].&amp;[Aksesuar]"/>
              </i>
              <i n="[Material].[H_MainGroup].[MainGroupDesc].&amp;[Aksesuar].&amp;[Saksı]" c="Saksı">
                <p n="[Material].[H_MainGroup].[MainGroupDesc].&amp;[Aksesuar]"/>
              </i>
              <i n="[Material].[H_MainGroup].[MainGroupDesc].&amp;[Aksesuar].&amp;[Salıncak]" c="Salıncak">
                <p n="[Material].[H_MainGroup].[MainGroupDesc].&amp;[Aksesuar]"/>
              </i>
              <i n="[Material].[H_MainGroup].[MainGroupDesc].&amp;[Aksesuar].&amp;[Şamdan]" c="Şamdan">
                <p n="[Material].[H_MainGroup].[MainGroupDesc].&amp;[Aksesuar]"/>
              </i>
              <i n="[Material].[H_MainGroup].[MainGroupDesc].&amp;[Aksesuar].&amp;[Sandalye]" c="Sandalye">
                <p n="[Material].[H_MainGroup].[MainGroupDesc].&amp;[Aksesuar]"/>
              </i>
              <i n="[Material].[H_MainGroup].[MainGroupDesc].&amp;[Aksesuar].&amp;[Sehpa.]" c="Sehpa.">
                <p n="[Material].[H_MainGroup].[MainGroupDesc].&amp;[Aksesuar]"/>
              </i>
              <i n="[Material].[H_MainGroup].[MainGroupDesc].&amp;[Aksesuar].&amp;[Şemsiye]" c="Şemsiye">
                <p n="[Material].[H_MainGroup].[MainGroupDesc].&amp;[Aksesuar]"/>
              </i>
              <i n="[Material].[H_MainGroup].[MainGroupDesc].&amp;[Aksesuar].&amp;[Şemsiyelik]" c="Şemsiyelik">
                <p n="[Material].[H_MainGroup].[MainGroupDesc].&amp;[Aksesuar]"/>
              </i>
              <i n="[Material].[H_MainGroup].[MainGroupDesc].&amp;[Aksesuar].&amp;[Sepet]" c="Sepet">
                <p n="[Material].[H_MainGroup].[MainGroupDesc].&amp;[Aksesuar]"/>
              </i>
              <i n="[Material].[H_MainGroup].[MainGroupDesc].&amp;[Aksesuar].&amp;[Şezlong]" c="Şezlong">
                <p n="[Material].[H_MainGroup].[MainGroupDesc].&amp;[Aksesuar]"/>
              </i>
              <i n="[Material].[H_MainGroup].[MainGroupDesc].&amp;[Aksesuar].&amp;[Showroom Hibe]" c="Showroom Hibe">
                <p n="[Material].[H_MainGroup].[MainGroupDesc].&amp;[Aksesuar]"/>
              </i>
              <i n="[Material].[H_MainGroup].[MainGroupDesc].&amp;[Aksesuar].&amp;[Sıcak Su Torbası]" c="Sıcak Su Torbası">
                <p n="[Material].[H_MainGroup].[MainGroupDesc].&amp;[Aksesuar]"/>
              </i>
              <i n="[Material].[H_MainGroup].[MainGroupDesc].&amp;[Aksesuar].&amp;[Süpürgelik]" c="Süpürgelik">
                <p n="[Material].[H_MainGroup].[MainGroupDesc].&amp;[Aksesuar]"/>
              </i>
              <i n="[Material].[H_MainGroup].[MainGroupDesc].&amp;[Aksesuar].&amp;[Tablo]" c="Tablo">
                <p n="[Material].[H_MainGroup].[MainGroupDesc].&amp;[Aksesuar]"/>
              </i>
              <i n="[Material].[H_MainGroup].[MainGroupDesc].&amp;[Aksesuar].&amp;[Taç]" c="Taç">
                <p n="[Material].[H_MainGroup].[MainGroupDesc].&amp;[Aksesuar]"/>
              </i>
              <i n="[Material].[H_MainGroup].[MainGroupDesc].&amp;[Aksesuar].&amp;[Takılık]" c="Takılık">
                <p n="[Material].[H_MainGroup].[MainGroupDesc].&amp;[Aksesuar]"/>
              </i>
              <i n="[Material].[H_MainGroup].[MainGroupDesc].&amp;[Aksesuar].&amp;[Tavla]" c="Tavla">
                <p n="[Material].[H_MainGroup].[MainGroupDesc].&amp;[Aksesuar]"/>
              </i>
              <i n="[Material].[H_MainGroup].[MainGroupDesc].&amp;[Aksesuar].&amp;[Tek Dal Yapay Çiçek]" c="Tek Dal Yapay Çiçek">
                <p n="[Material].[H_MainGroup].[MainGroupDesc].&amp;[Aksesuar]"/>
              </i>
              <i n="[Material].[H_MainGroup].[MainGroupDesc].&amp;[Aksesuar].&amp;[Temizlik Fırçası]" c="Temizlik Fırçası">
                <p n="[Material].[H_MainGroup].[MainGroupDesc].&amp;[Aksesuar]"/>
              </i>
              <i n="[Material].[H_MainGroup].[MainGroupDesc].&amp;[Aksesuar].&amp;[Tütsülük]" c="Tütsülük">
                <p n="[Material].[H_MainGroup].[MainGroupDesc].&amp;[Aksesuar]"/>
              </i>
              <i n="[Material].[H_MainGroup].[MainGroupDesc].&amp;[Aksesuar].&amp;[Uyku Gözlüğü]" c="Uyku Gözlüğü">
                <p n="[Material].[H_MainGroup].[MainGroupDesc].&amp;[Aksesuar]"/>
              </i>
              <i n="[Material].[H_MainGroup].[MainGroupDesc].&amp;[Aksesuar].&amp;[Vakumlu Poşet]" c="Vakumlu Poşet">
                <p n="[Material].[H_MainGroup].[MainGroupDesc].&amp;[Aksesuar]"/>
              </i>
              <i n="[Material].[H_MainGroup].[MainGroupDesc].&amp;[Aksesuar].&amp;[Vazo]" c="Vazo">
                <p n="[Material].[H_MainGroup].[MainGroupDesc].&amp;[Aksesuar]"/>
              </i>
              <i n="[Material].[H_MainGroup].[MainGroupDesc].&amp;[Aksesuar].&amp;[Vazolu Yapay Çiçek]" c="Vazolu Yapay Çiçek">
                <p n="[Material].[H_MainGroup].[MainGroupDesc].&amp;[Aksesuar]"/>
              </i>
              <i n="[Material].[H_MainGroup].[MainGroupDesc].&amp;[Aksesuar].&amp;[Yapay Ağaç]" c="Yapay Ağaç">
                <p n="[Material].[H_MainGroup].[MainGroupDesc].&amp;[Aksesuar]"/>
              </i>
              <i n="[Material].[H_MainGroup].[MainGroupDesc].&amp;[Aksesuar].&amp;[Yapay Çiçek]" c="Yapay Çiçek">
                <p n="[Material].[H_MainGroup].[MainGroupDesc].&amp;[Aksesuar]"/>
              </i>
              <i n="[Material].[H_MainGroup].[MainGroupDesc].&amp;[Aksesuar].&amp;[Yılbaşı Aksesuar]" c="Yılbaşı Aksesuar">
                <p n="[Material].[H_MainGroup].[MainGroupDesc].&amp;[Aksesuar]"/>
              </i>
              <i n="[Material].[H_MainGroup].[MainGroupDesc].&amp;[Banyo].&amp;[Banyo Paspası]" c="Banyo Paspası">
                <p n="[Material].[H_MainGroup].[MainGroupDesc].&amp;[Banyo]"/>
              </i>
              <i n="[Material].[H_MainGroup].[MainGroupDesc].&amp;[Banyo].&amp;[Banyo Paspası Seti]" c="Banyo Paspası Seti">
                <p n="[Material].[H_MainGroup].[MainGroupDesc].&amp;[Banyo]"/>
              </i>
              <i n="[Material].[H_MainGroup].[MainGroupDesc].&amp;[Banyo].&amp;[Klozet Seti]" c="Klozet Seti">
                <p n="[Material].[H_MainGroup].[MainGroupDesc].&amp;[Banyo]"/>
              </i>
              <i n="[Material].[H_MainGroup].[MainGroupDesc].&amp;[Battaniye].&amp;[Battaniye]" c="Battaniye">
                <p n="[Material].[H_MainGroup].[MainGroupDesc].&amp;[Battaniye]"/>
              </i>
              <i n="[Material].[H_MainGroup].[MainGroupDesc].&amp;[Battaniye].&amp;[Bebe Battaniye]" c="Bebe Battaniye">
                <p n="[Material].[H_MainGroup].[MainGroupDesc].&amp;[Battaniye]"/>
              </i>
              <i n="[Material].[H_MainGroup].[MainGroupDesc].&amp;[Battaniye].&amp;[Çocuk Battaniye]" c="Çocuk Battaniye">
                <p n="[Material].[H_MainGroup].[MainGroupDesc].&amp;[Battaniye]"/>
              </i>
              <i n="[Material].[H_MainGroup].[MainGroupDesc].&amp;[Battaniye].&amp;[TV Battaniye]" c="TV Battaniye">
                <p n="[Material].[H_MainGroup].[MainGroupDesc].&amp;[Battaniye]"/>
              </i>
              <i n="[Material].[H_MainGroup].[MainGroupDesc].&amp;[Çarşaf].&amp;[Bebe Çarşaf Takımı]" c="Bebe Çarşaf Takımı">
                <p n="[Material].[H_MainGroup].[MainGroupDesc].&amp;[Çarşaf]"/>
              </i>
              <i n="[Material].[H_MainGroup].[MainGroupDesc].&amp;[Çarşaf].&amp;[Bebe Las. Çarşaf Tkm]" c="Bebe Las. Çarşaf Tkm">
                <p n="[Material].[H_MainGroup].[MainGroupDesc].&amp;[Çarşaf]"/>
              </i>
              <i n="[Material].[H_MainGroup].[MainGroupDesc].&amp;[Çarşaf].&amp;[Bebe Lastikli Çarşaf]" c="Bebe Lastikli Çarşaf">
                <p n="[Material].[H_MainGroup].[MainGroupDesc].&amp;[Çarşaf]"/>
              </i>
              <i n="[Material].[H_MainGroup].[MainGroupDesc].&amp;[Çarşaf].&amp;[Çarşaf]" c="Çarşaf">
                <p n="[Material].[H_MainGroup].[MainGroupDesc].&amp;[Çarşaf]"/>
              </i>
              <i n="[Material].[H_MainGroup].[MainGroupDesc].&amp;[Çarşaf].&amp;[Çocuk Las.Çarşaf Tkm]" c="Çocuk Las.Çarşaf Tkm">
                <p n="[Material].[H_MainGroup].[MainGroupDesc].&amp;[Çarşaf]"/>
              </i>
              <i n="[Material].[H_MainGroup].[MainGroupDesc].&amp;[Çarşaf].&amp;[Lastikli Çarşaf]" c="Lastikli Çarşaf">
                <p n="[Material].[H_MainGroup].[MainGroupDesc].&amp;[Çarşaf]"/>
              </i>
              <i n="[Material].[H_MainGroup].[MainGroupDesc].&amp;[Çarşaf].&amp;[Lastikli Çarşaf Tkm]" c="Lastikli Çarşaf Tkm">
                <p n="[Material].[H_MainGroup].[MainGroupDesc].&amp;[Çarşaf]"/>
              </i>
              <i n="[Material].[H_MainGroup].[MainGroupDesc].&amp;[Çarşaf].&amp;[Yastık Kılıfı]" c="Yastık Kılıfı">
                <p n="[Material].[H_MainGroup].[MainGroupDesc].&amp;[Çarşaf]"/>
              </i>
              <i n="[Material].[H_MainGroup].[MainGroupDesc].&amp;[Dünya Markaları].&amp;[DM Bardak]" c="DM Bardak">
                <p n="[Material].[H_MainGroup].[MainGroupDesc].&amp;[Dünya Markaları]"/>
              </i>
              <i n="[Material].[H_MainGroup].[MainGroupDesc].&amp;[Dünya Markaları].&amp;[DM Bıçak]" c="DM Bıçak">
                <p n="[Material].[H_MainGroup].[MainGroupDesc].&amp;[Dünya Markaları]"/>
              </i>
              <i n="[Material].[H_MainGroup].[MainGroupDesc].&amp;[Dünya Markaları].&amp;[DM Bıçak Seti]" c="DM Bıçak Seti">
                <p n="[Material].[H_MainGroup].[MainGroupDesc].&amp;[Dünya Markaları]"/>
              </i>
              <i n="[Material].[H_MainGroup].[MainGroupDesc].&amp;[Dünya Markaları].&amp;[DM Buhar Kazanlı Ütü]" c="DM Buhar Kazanlı Ütü">
                <p n="[Material].[H_MainGroup].[MainGroupDesc].&amp;[Dünya Markaları]"/>
              </i>
              <i n="[Material].[H_MainGroup].[MainGroupDesc].&amp;[Dünya Markaları].&amp;[DM Buharlı Düzleştir]" c="DM Buharlı Düzleştir">
                <p n="[Material].[H_MainGroup].[MainGroupDesc].&amp;[Dünya Markaları]"/>
              </i>
              <i n="[Material].[H_MainGroup].[MainGroupDesc].&amp;[Dünya Markaları].&amp;[DM Buharlı Ütü]" c="DM Buharlı Ütü">
                <p n="[Material].[H_MainGroup].[MainGroupDesc].&amp;[Dünya Markaları]"/>
              </i>
              <i n="[Material].[H_MainGroup].[MainGroupDesc].&amp;[Dünya Markaları].&amp;[DM Değirmen]" c="DM Değirmen">
                <p n="[Material].[H_MainGroup].[MainGroupDesc].&amp;[Dünya Markaları]"/>
              </i>
              <i n="[Material].[H_MainGroup].[MainGroupDesc].&amp;[Dünya Markaları].&amp;[DM Doğrayıcı]" c="DM Doğrayıcı">
                <p n="[Material].[H_MainGroup].[MainGroupDesc].&amp;[Dünya Markaları]"/>
              </i>
              <i n="[Material].[H_MainGroup].[MainGroupDesc].&amp;[Dünya Markaları].&amp;[DM Doğrayıcılar]" c="DM Doğrayıcılar">
                <p n="[Material].[H_MainGroup].[MainGroupDesc].&amp;[Dünya Markaları]"/>
              </i>
              <i n="[Material].[H_MainGroup].[MainGroupDesc].&amp;[Dünya Markaları].&amp;[DM Ekmek Kızartma M.]" c="DM Ekmek Kızartma M.">
                <p n="[Material].[H_MainGroup].[MainGroupDesc].&amp;[Dünya Markaları]"/>
              </i>
              <i n="[Material].[H_MainGroup].[MainGroupDesc].&amp;[Dünya Markaları].&amp;[DM Espresso Makinesi]" c="DM Espresso Makinesi">
                <p n="[Material].[H_MainGroup].[MainGroupDesc].&amp;[Dünya Markaları]"/>
              </i>
              <i n="[Material].[H_MainGroup].[MainGroupDesc].&amp;[Dünya Markaları].&amp;[DM Filtre Kahve M.]" c="DM Filtre Kahve M.">
                <p n="[Material].[H_MainGroup].[MainGroupDesc].&amp;[Dünya Markaları]"/>
              </i>
              <i n="[Material].[H_MainGroup].[MainGroupDesc].&amp;[Dünya Markaları].&amp;[DM Izgara Ve Tost M.]" c="DM Izgara Ve Tost M.">
                <p n="[Material].[H_MainGroup].[MainGroupDesc].&amp;[Dünya Markaları]"/>
              </i>
              <i n="[Material].[H_MainGroup].[MainGroupDesc].&amp;[Dünya Markaları].&amp;[DM Sahan]" c="DM Sahan">
                <p n="[Material].[H_MainGroup].[MainGroupDesc].&amp;[Dünya Markaları]"/>
              </i>
              <i n="[Material].[H_MainGroup].[MainGroupDesc].&amp;[Dünya Markaları].&amp;[DM Saklama Kabı]" c="DM Saklama Kabı">
                <p n="[Material].[H_MainGroup].[MainGroupDesc].&amp;[Dünya Markaları]"/>
              </i>
              <i n="[Material].[H_MainGroup].[MainGroupDesc].&amp;[Dünya Markaları].&amp;[DM Saklama Termosu]" c="DM Saklama Termosu">
                <p n="[Material].[H_MainGroup].[MainGroupDesc].&amp;[Dünya Markaları]"/>
              </i>
              <i n="[Material].[H_MainGroup].[MainGroupDesc].&amp;[Dünya Markaları].&amp;[DM Şarjlı Dikey Süpü]" c="DM Şarjlı Dikey Süpü">
                <p n="[Material].[H_MainGroup].[MainGroupDesc].&amp;[Dünya Markaları]"/>
              </i>
              <i n="[Material].[H_MainGroup].[MainGroupDesc].&amp;[Dünya Markaları].&amp;[DM Soyacak]" c="DM Soyacak">
                <p n="[Material].[H_MainGroup].[MainGroupDesc].&amp;[Dünya Markaları]"/>
              </i>
              <i n="[Material].[H_MainGroup].[MainGroupDesc].&amp;[Dünya Markaları].&amp;[DM Stand Mikseri]" c="DM Stand Mikseri">
                <p n="[Material].[H_MainGroup].[MainGroupDesc].&amp;[Dünya Markaları]"/>
              </i>
              <i n="[Material].[H_MainGroup].[MainGroupDesc].&amp;[Dünya Markaları].&amp;[DM Su Isıtıcı]" c="DM Su Isıtıcı">
                <p n="[Material].[H_MainGroup].[MainGroupDesc].&amp;[Dünya Markaları]"/>
              </i>
              <i n="[Material].[H_MainGroup].[MainGroupDesc].&amp;[Dünya Markaları].&amp;[DM Sürahi Blender]" c="DM Sürahi Blender">
                <p n="[Material].[H_MainGroup].[MainGroupDesc].&amp;[Dünya Markaları]"/>
              </i>
              <i n="[Material].[H_MainGroup].[MainGroupDesc].&amp;[Dünya Markaları].&amp;[DM Tava]" c="DM Tava">
                <p n="[Material].[H_MainGroup].[MainGroupDesc].&amp;[Dünya Markaları]"/>
              </i>
              <i n="[Material].[H_MainGroup].[MainGroupDesc].&amp;[Dünya Markaları].&amp;[DM Tava Seti]" c="DM Tava Seti">
                <p n="[Material].[H_MainGroup].[MainGroupDesc].&amp;[Dünya Markaları]"/>
              </i>
              <i n="[Material].[H_MainGroup].[MainGroupDesc].&amp;[Dünya Markaları].&amp;[DM Tencere]" c="DM Tencere">
                <p n="[Material].[H_MainGroup].[MainGroupDesc].&amp;[Dünya Markaları]"/>
              </i>
              <i n="[Material].[H_MainGroup].[MainGroupDesc].&amp;[Dünya Markaları].&amp;[DM Tencere Seti]" c="DM Tencere Seti">
                <p n="[Material].[H_MainGroup].[MainGroupDesc].&amp;[Dünya Markaları]"/>
              </i>
              <i n="[Material].[H_MainGroup].[MainGroupDesc].&amp;[Dünya Markaları].&amp;[DM Torbasız Süpürge]" c="DM Torbasız Süpürge">
                <p n="[Material].[H_MainGroup].[MainGroupDesc].&amp;[Dünya Markaları]"/>
              </i>
              <i n="[Material].[H_MainGroup].[MainGroupDesc].&amp;[Dünya Markaları].&amp;[DMNarenciye Sıkacağı]" c="DMNarenciye Sıkacağı">
                <p n="[Material].[H_MainGroup].[MainGroupDesc].&amp;[Dünya Markaları]"/>
              </i>
              <i n="[Material].[H_MainGroup].[MainGroupDesc].&amp;[Halı - Kilim].&amp;[Bebek Halısı]" c="Bebek Halısı">
                <p n="[Material].[H_MainGroup].[MainGroupDesc].&amp;[Halı - Kilim]"/>
              </i>
              <i n="[Material].[H_MainGroup].[MainGroupDesc].&amp;[Halı - Kilim].&amp;[Çocuk Halısı]" c="Çocuk Halısı">
                <p n="[Material].[H_MainGroup].[MainGroupDesc].&amp;[Halı - Kilim]"/>
              </i>
              <i n="[Material].[H_MainGroup].[MainGroupDesc].&amp;[Halı - Kilim].&amp;[Dekoratif Halı]" c="Dekoratif Halı">
                <p n="[Material].[H_MainGroup].[MainGroupDesc].&amp;[Halı - Kilim]"/>
              </i>
              <i n="[Material].[H_MainGroup].[MainGroupDesc].&amp;[Halı - Kilim].&amp;[Dış Mekan Kilim]" c="Dış Mekan Kilim">
                <p n="[Material].[H_MainGroup].[MainGroupDesc].&amp;[Halı - Kilim]"/>
              </i>
              <i n="[Material].[H_MainGroup].[MainGroupDesc].&amp;[Halı - Kilim].&amp;[Dokuma Halı]" c="Dokuma Halı">
                <p n="[Material].[H_MainGroup].[MainGroupDesc].&amp;[Halı - Kilim]"/>
              </i>
              <i n="[Material].[H_MainGroup].[MainGroupDesc].&amp;[Halı - Kilim].&amp;[Halı]" c="Halı">
                <p n="[Material].[H_MainGroup].[MainGroupDesc].&amp;[Halı - Kilim]"/>
              </i>
              <i n="[Material].[H_MainGroup].[MainGroupDesc].&amp;[Halı - Kilim].&amp;[Kapı Önü Paspası]" c="Kapı Önü Paspası">
                <p n="[Material].[H_MainGroup].[MainGroupDesc].&amp;[Halı - Kilim]"/>
              </i>
              <i n="[Material].[H_MainGroup].[MainGroupDesc].&amp;[Halı - Kilim].&amp;[Kilim]" c="Kilim">
                <p n="[Material].[H_MainGroup].[MainGroupDesc].&amp;[Halı - Kilim]"/>
              </i>
              <i n="[Material].[H_MainGroup].[MainGroupDesc].&amp;[Halı - Kilim].&amp;[Makine Halısı]" c="Makine Halısı">
                <p n="[Material].[H_MainGroup].[MainGroupDesc].&amp;[Halı - Kilim]"/>
              </i>
              <i n="[Material].[H_MainGroup].[MainGroupDesc].&amp;[Halı - Kilim].&amp;[Mutfak Paspası]" c="Mutfak Paspası">
                <p n="[Material].[H_MainGroup].[MainGroupDesc].&amp;[Halı - Kilim]"/>
              </i>
              <i n="[Material].[H_MainGroup].[MainGroupDesc].&amp;[Halı - Kilim].&amp;[Peluş Halı]" c="Peluş Halı">
                <p n="[Material].[H_MainGroup].[MainGroupDesc].&amp;[Halı - Kilim]"/>
              </i>
              <i n="[Material].[H_MainGroup].[MainGroupDesc].&amp;[Halı - Kilim].&amp;[Post]" c="Post">
                <p n="[Material].[H_MainGroup].[MainGroupDesc].&amp;[Halı - Kilim]"/>
              </i>
              <i n="[Material].[H_MainGroup].[MainGroupDesc].&amp;[Havlu].&amp;[Ayak Havlusu]" c="Ayak Havlusu">
                <p n="[Material].[H_MainGroup].[MainGroupDesc].&amp;[Havlu]"/>
              </i>
              <i n="[Material].[H_MainGroup].[MainGroupDesc].&amp;[Havlu].&amp;[Banyo Havlusu]" c="Banyo Havlusu">
                <p n="[Material].[H_MainGroup].[MainGroupDesc].&amp;[Havlu]"/>
              </i>
              <i n="[Material].[H_MainGroup].[MainGroupDesc].&amp;[Havlu].&amp;[Banyo Havlusu Takımı]" c="Banyo Havlusu Takımı">
                <p n="[Material].[H_MainGroup].[MainGroupDesc].&amp;[Havlu]"/>
              </i>
              <i n="[Material].[H_MainGroup].[MainGroupDesc].&amp;[Havlu].&amp;[Banyo Terliği]" c="Banyo Terliği">
                <p n="[Material].[H_MainGroup].[MainGroupDesc].&amp;[Havlu]"/>
              </i>
              <i n="[Material].[H_MainGroup].[MainGroupDesc].&amp;[Havlu].&amp;[Bebe Ağız Silme Bezi]" c="Bebe Ağız Silme Bezi">
                <p n="[Material].[H_MainGroup].[MainGroupDesc].&amp;[Havlu]"/>
              </i>
              <i n="[Material].[H_MainGroup].[MainGroupDesc].&amp;[Havlu].&amp;[Bebe Banyo Havlu Set]" c="Bebe Banyo Havlu Set">
                <p n="[Material].[H_MainGroup].[MainGroupDesc].&amp;[Havlu]"/>
              </i>
              <i n="[Material].[H_MainGroup].[MainGroupDesc].&amp;[Havlu].&amp;[Bebe Banyo Havlusu]" c="Bebe Banyo Havlusu">
                <p n="[Material].[H_MainGroup].[MainGroupDesc].&amp;[Havlu]"/>
              </i>
              <i n="[Material].[H_MainGroup].[MainGroupDesc].&amp;[Havlu].&amp;[Bebe Bornoz]" c="Bebe Bornoz">
                <p n="[Material].[H_MainGroup].[MainGroupDesc].&amp;[Havlu]"/>
              </i>
              <i n="[Material].[H_MainGroup].[MainGroupDesc].&amp;[Havlu].&amp;[Bebe El Havlusu]" c="Bebe El Havlusu">
                <p n="[Material].[H_MainGroup].[MainGroupDesc].&amp;[Havlu]"/>
              </i>
              <i n="[Material].[H_MainGroup].[MainGroupDesc].&amp;[Havlu].&amp;[Bebe Havlu]" c="Bebe Havlu">
                <p n="[Material].[H_MainGroup].[MainGroupDesc].&amp;[Havlu]"/>
              </i>
              <i n="[Material].[H_MainGroup].[MainGroupDesc].&amp;[Havlu].&amp;[Bebek Ter Havlusu]" c="Bebek Ter Havlusu">
                <p n="[Material].[H_MainGroup].[MainGroupDesc].&amp;[Havlu]"/>
              </i>
              <i n="[Material].[H_MainGroup].[MainGroupDesc].&amp;[Havlu].&amp;[Bornoz]" c="Bornoz">
                <p n="[Material].[H_MainGroup].[MainGroupDesc].&amp;[Havlu]"/>
              </i>
              <i n="[Material].[H_MainGroup].[MainGroupDesc].&amp;[Havlu].&amp;[Bornoz Seti]" c="Bornoz Seti">
                <p n="[Material].[H_MainGroup].[MainGroupDesc].&amp;[Havlu]"/>
              </i>
              <i n="[Material].[H_MainGroup].[MainGroupDesc].&amp;[Havlu].&amp;[Çocuk Bornoz]" c="Çocuk Bornoz">
                <p n="[Material].[H_MainGroup].[MainGroupDesc].&amp;[Havlu]"/>
              </i>
              <i n="[Material].[H_MainGroup].[MainGroupDesc].&amp;[Havlu].&amp;[Çocuk Plaj Havlusu]" c="Çocuk Plaj Havlusu">
                <p n="[Material].[H_MainGroup].[MainGroupDesc].&amp;[Havlu]"/>
              </i>
              <i n="[Material].[H_MainGroup].[MainGroupDesc].&amp;[Havlu].&amp;[El Havlusu]" c="El Havlusu">
                <p n="[Material].[H_MainGroup].[MainGroupDesc].&amp;[Havlu]"/>
              </i>
              <i n="[Material].[H_MainGroup].[MainGroupDesc].&amp;[Havlu].&amp;[El Havlusu Seti]" c="El Havlusu Seti">
                <p n="[Material].[H_MainGroup].[MainGroupDesc].&amp;[Havlu]"/>
              </i>
              <i n="[Material].[H_MainGroup].[MainGroupDesc].&amp;[Havlu].&amp;[Havlu Seti]" c="Havlu Seti">
                <p n="[Material].[H_MainGroup].[MainGroupDesc].&amp;[Havlu]"/>
              </i>
              <i n="[Material].[H_MainGroup].[MainGroupDesc].&amp;[Havlu].&amp;[Hediyelik Havlu]" c="Hediyelik Havlu">
                <p n="[Material].[H_MainGroup].[MainGroupDesc].&amp;[Havlu]"/>
              </i>
              <i n="[Material].[H_MainGroup].[MainGroupDesc].&amp;[Havlu].&amp;[Kutulu Havlu]" c="Kutulu Havlu">
                <p n="[Material].[H_MainGroup].[MainGroupDesc].&amp;[Havlu]"/>
              </i>
              <i n="[Material].[H_MainGroup].[MainGroupDesc].&amp;[Havlu].&amp;[Peştamal]" c="Peştamal">
                <p n="[Material].[H_MainGroup].[MainGroupDesc].&amp;[Havlu]"/>
              </i>
              <i n="[Material].[H_MainGroup].[MainGroupDesc].&amp;[Havlu].&amp;[Plaj Havlusu]" c="Plaj Havlusu">
                <p n="[Material].[H_MainGroup].[MainGroupDesc].&amp;[Havlu]"/>
              </i>
              <i n="[Material].[H_MainGroup].[MainGroupDesc].&amp;[Havlu].&amp;[Saç Bonesi]" c="Saç Bonesi">
                <p n="[Material].[H_MainGroup].[MainGroupDesc].&amp;[Havlu]"/>
              </i>
              <i n="[Material].[H_MainGroup].[MainGroupDesc].&amp;[Havlu].&amp;[Yüz Havlusu]" c="Yüz Havlusu">
                <p n="[Material].[H_MainGroup].[MainGroupDesc].&amp;[Havlu]"/>
              </i>
              <i n="[Material].[H_MainGroup].[MainGroupDesc].&amp;[Havlu].&amp;[Yüz Havlusu Seti]" c="Yüz Havlusu Seti">
                <p n="[Material].[H_MainGroup].[MainGroupDesc].&amp;[Havlu]"/>
              </i>
              <i n="[Material].[H_MainGroup].[MainGroupDesc].&amp;[KEA].&amp;[Airfryer]" c="Airfryer">
                <p n="[Material].[H_MainGroup].[MainGroupDesc].&amp;[KEA]"/>
              </i>
              <i n="[Material].[H_MainGroup].[MainGroupDesc].&amp;[KEA].&amp;[Çay Makinesi]" c="Çay Makinesi">
                <p n="[Material].[H_MainGroup].[MainGroupDesc].&amp;[KEA]"/>
              </i>
              <i n="[Material].[H_MainGroup].[MainGroupDesc].&amp;[KEA].&amp;[Doğrayıcı]" c="Doğrayıcı">
                <p n="[Material].[H_MainGroup].[MainGroupDesc].&amp;[KEA]"/>
              </i>
              <i n="[Material].[H_MainGroup].[MainGroupDesc].&amp;[KEA].&amp;[Ekmek Kızartma M.]" c="Ekmek Kızartma M.">
                <p n="[Material].[H_MainGroup].[MainGroupDesc].&amp;[KEA]"/>
              </i>
              <i n="[Material].[H_MainGroup].[MainGroupDesc].&amp;[KEA].&amp;[El Blenderı]" c="El Blenderı">
                <p n="[Material].[H_MainGroup].[MainGroupDesc].&amp;[KEA]"/>
              </i>
              <i n="[Material].[H_MainGroup].[MainGroupDesc].&amp;[KEA].&amp;[El Mikseri]" c="El Mikseri">
                <p n="[Material].[H_MainGroup].[MainGroupDesc].&amp;[KEA]"/>
              </i>
              <i n="[Material].[H_MainGroup].[MainGroupDesc].&amp;[KEA].&amp;[Espresso Makinesi]" c="Espresso Makinesi">
                <p n="[Material].[H_MainGroup].[MainGroupDesc].&amp;[KEA]"/>
              </i>
              <i n="[Material].[H_MainGroup].[MainGroupDesc].&amp;[KEA].&amp;[Filtre Kahve M.]" c="Filtre Kahve M.">
                <p n="[Material].[H_MainGroup].[MainGroupDesc].&amp;[KEA]"/>
              </i>
              <i n="[Material].[H_MainGroup].[MainGroupDesc].&amp;[KEA].&amp;[Izgara Ve Tost M.]" c="Izgara Ve Tost M.">
                <p n="[Material].[H_MainGroup].[MainGroupDesc].&amp;[KEA]"/>
              </i>
              <i n="[Material].[H_MainGroup].[MainGroupDesc].&amp;[KEA].&amp;[Kablolu Dikey Süpürg]" c="Kablolu Dikey Süpürg">
                <p n="[Material].[H_MainGroup].[MainGroupDesc].&amp;[KEA]"/>
              </i>
              <i n="[Material].[H_MainGroup].[MainGroupDesc].&amp;[KEA].&amp;[Kişisel Blender]" c="Kişisel Blender">
                <p n="[Material].[H_MainGroup].[MainGroupDesc].&amp;[KEA]"/>
              </i>
              <i n="[Material].[H_MainGroup].[MainGroupDesc].&amp;[KEA].&amp;[Mini Blender Seti]" c="Mini Blender Seti">
                <p n="[Material].[H_MainGroup].[MainGroupDesc].&amp;[KEA]"/>
              </i>
              <i n="[Material].[H_MainGroup].[MainGroupDesc].&amp;[KEA].&amp;[Multi Blender Seti]" c="Multi Blender Seti">
                <p n="[Material].[H_MainGroup].[MainGroupDesc].&amp;[KEA]"/>
              </i>
              <i n="[Material].[H_MainGroup].[MainGroupDesc].&amp;[KEA].&amp;[Saç Kurutma Makinesi]" c="Saç Kurutma Makinesi">
                <p n="[Material].[H_MainGroup].[MainGroupDesc].&amp;[KEA]"/>
              </i>
              <i n="[Material].[H_MainGroup].[MainGroupDesc].&amp;[KEA].&amp;[Şarjlı Dikey Süpürge]" c="Şarjlı Dikey Süpürge">
                <p n="[Material].[H_MainGroup].[MainGroupDesc].&amp;[KEA]"/>
              </i>
              <i n="[Material].[H_MainGroup].[MainGroupDesc].&amp;[KEA].&amp;[Stand Mikseri]" c="Stand Mikseri">
                <p n="[Material].[H_MainGroup].[MainGroupDesc].&amp;[KEA]"/>
              </i>
              <i n="[Material].[H_MainGroup].[MainGroupDesc].&amp;[KEA].&amp;[Su Arıtma Filtresi]" c="Su Arıtma Filtresi">
                <p n="[Material].[H_MainGroup].[MainGroupDesc].&amp;[KEA]"/>
              </i>
              <i n="[Material].[H_MainGroup].[MainGroupDesc].&amp;[KEA].&amp;[Su Arıtma Sürahisi]" c="Su Arıtma Sürahisi">
                <p n="[Material].[H_MainGroup].[MainGroupDesc].&amp;[KEA]"/>
              </i>
              <i n="[Material].[H_MainGroup].[MainGroupDesc].&amp;[KEA].&amp;[Su Isıtıcı]" c="Su Isıtıcı">
                <p n="[Material].[H_MainGroup].[MainGroupDesc].&amp;[KEA]"/>
              </i>
              <i n="[Material].[H_MainGroup].[MainGroupDesc].&amp;[KEA].&amp;[Sürahi Blender]" c="Sürahi Blender">
                <p n="[Material].[H_MainGroup].[MainGroupDesc].&amp;[KEA]"/>
              </i>
              <i n="[Material].[H_MainGroup].[MainGroupDesc].&amp;[KEA].&amp;[Tost Makinesi]" c="Tost Makinesi">
                <p n="[Material].[H_MainGroup].[MainGroupDesc].&amp;[KEA]"/>
              </i>
              <i n="[Material].[H_MainGroup].[MainGroupDesc].&amp;[KEA].&amp;[Türk Kahve M.]" c="Türk Kahve M.">
                <p n="[Material].[H_MainGroup].[MainGroupDesc].&amp;[KEA]"/>
              </i>
              <i n="[Material].[H_MainGroup].[MainGroupDesc].&amp;[KEA].&amp;[Ütüleme Sistemleri]" c="Ütüleme Sistemleri">
                <p n="[Material].[H_MainGroup].[MainGroupDesc].&amp;[KEA]"/>
              </i>
              <i n="[Material].[H_MainGroup].[MainGroupDesc].&amp;[KEA].&amp;[Waffle Makinesi]" c="Waffle Makinesi">
                <p n="[Material].[H_MainGroup].[MainGroupDesc].&amp;[KEA]"/>
              </i>
              <i n="[Material].[H_MainGroup].[MainGroupDesc].&amp;[Kozmetik].&amp;[Aromaterapi Set]" c="Aromaterapi Set">
                <p n="[Material].[H_MainGroup].[MainGroupDesc].&amp;[Kozmetik]"/>
              </i>
              <i n="[Material].[H_MainGroup].[MainGroupDesc].&amp;[Kozmetik].&amp;[Body Mist]" c="Body Mist">
                <p n="[Material].[H_MainGroup].[MainGroupDesc].&amp;[Kozmetik]"/>
              </i>
              <i n="[Material].[H_MainGroup].[MainGroupDesc].&amp;[Kozmetik].&amp;[Çamaşır Kokusu]" c="Çamaşır Kokusu">
                <p n="[Material].[H_MainGroup].[MainGroupDesc].&amp;[Kozmetik]"/>
              </i>
              <i n="[Material].[H_MainGroup].[MainGroupDesc].&amp;[Kozmetik].&amp;[Çok Amaçlı Kutu]" c="Çok Amaçlı Kutu">
                <p n="[Material].[H_MainGroup].[MainGroupDesc].&amp;[Kozmetik]"/>
              </i>
              <i n="[Material].[H_MainGroup].[MainGroupDesc].&amp;[Kozmetik].&amp;[Çubuklu Oda Kokusu]" c="Çubuklu Oda Kokusu">
                <p n="[Material].[H_MainGroup].[MainGroupDesc].&amp;[Kozmetik]"/>
              </i>
              <i n="[Material].[H_MainGroup].[MainGroupDesc].&amp;[Kozmetik].&amp;[Dezenfektan]" c="Dezenfektan">
                <p n="[Material].[H_MainGroup].[MainGroupDesc].&amp;[Kozmetik]"/>
              </i>
              <i n="[Material].[H_MainGroup].[MainGroupDesc].&amp;[Kozmetik].&amp;[Dolap İçi Koku]" c="Dolap İçi Koku">
                <p n="[Material].[H_MainGroup].[MainGroupDesc].&amp;[Kozmetik]"/>
              </i>
              <i n="[Material].[H_MainGroup].[MainGroupDesc].&amp;[Kozmetik].&amp;[Duş Jeli]" c="Duş Jeli">
                <p n="[Material].[H_MainGroup].[MainGroupDesc].&amp;[Kozmetik]"/>
              </i>
              <i n="[Material].[H_MainGroup].[MainGroupDesc].&amp;[Kozmetik].&amp;[El Kremi]" c="El Kremi">
                <p n="[Material].[H_MainGroup].[MainGroupDesc].&amp;[Kozmetik]"/>
              </i>
              <i n="[Material].[H_MainGroup].[MainGroupDesc].&amp;[Kozmetik].&amp;[Esansiyel Koku Yağı]" c="Esansiyel Koku Yağı">
                <p n="[Material].[H_MainGroup].[MainGroupDesc].&amp;[Kozmetik]"/>
              </i>
              <i n="[Material].[H_MainGroup].[MainGroupDesc].&amp;[Kozmetik].&amp;[Güneş Kremi]" c="Güneş Kremi">
                <p n="[Material].[H_MainGroup].[MainGroupDesc].&amp;[Kozmetik]"/>
              </i>
              <i n="[Material].[H_MainGroup].[MainGroupDesc].&amp;[Kozmetik].&amp;[Katı Sabun]" c="Katı Sabun">
                <p n="[Material].[H_MainGroup].[MainGroupDesc].&amp;[Kozmetik]"/>
              </i>
              <i n="[Material].[H_MainGroup].[MainGroupDesc].&amp;[Kozmetik].&amp;[Katı Sabun Set]" c="Katı Sabun Set">
                <p n="[Material].[H_MainGroup].[MainGroupDesc].&amp;[Kozmetik]"/>
              </i>
              <i n="[Material].[H_MainGroup].[MainGroupDesc].&amp;[Kozmetik].&amp;[Koku Barı]" c="Koku Barı">
                <p n="[Material].[H_MainGroup].[MainGroupDesc].&amp;[Kozmetik]"/>
              </i>
              <i n="[Material].[H_MainGroup].[MainGroupDesc].&amp;[Kozmetik].&amp;[Kokulu Kese]" c="Kokulu Kese">
                <p n="[Material].[H_MainGroup].[MainGroupDesc].&amp;[Kozmetik]"/>
              </i>
              <i n="[Material].[H_MainGroup].[MainGroupDesc].&amp;[Kozmetik].&amp;[Kokulu Mum]" c="Kokulu Mum">
                <p n="[Material].[H_MainGroup].[MainGroupDesc].&amp;[Kozmetik]"/>
              </i>
              <i n="[Material].[H_MainGroup].[MainGroupDesc].&amp;[Kozmetik].&amp;[Kokulu Set]" c="Kokulu Set">
                <p n="[Material].[H_MainGroup].[MainGroupDesc].&amp;[Kozmetik]"/>
              </i>
              <i n="[Material].[H_MainGroup].[MainGroupDesc].&amp;[Kozmetik].&amp;[Kokulu Taş]" c="Kokulu Taş">
                <p n="[Material].[H_MainGroup].[MainGroupDesc].&amp;[Kozmetik]"/>
              </i>
              <i n="[Material].[H_MainGroup].[MainGroupDesc].&amp;[Kozmetik].&amp;[Kolonya]" c="Kolonya">
                <p n="[Material].[H_MainGroup].[MainGroupDesc].&amp;[Kozmetik]"/>
              </i>
              <i n="[Material].[H_MainGroup].[MainGroupDesc].&amp;[Kozmetik].&amp;[Kolonyalı Mendil]" c="Kolonyalı Mendil">
                <p n="[Material].[H_MainGroup].[MainGroupDesc].&amp;[Kozmetik]"/>
              </i>
              <i n="[Material].[H_MainGroup].[MainGroupDesc].&amp;[Kozmetik].&amp;[Makyaj Çantası]" c="Makyaj Çantası">
                <p n="[Material].[H_MainGroup].[MainGroupDesc].&amp;[Kozmetik]"/>
              </i>
              <i n="[Material].[H_MainGroup].[MainGroupDesc].&amp;[Kozmetik].&amp;[Nemlendirici Jel]" c="Nemlendirici Jel">
                <p n="[Material].[H_MainGroup].[MainGroupDesc].&amp;[Kozmetik]"/>
              </i>
              <i n="[Material].[H_MainGroup].[MainGroupDesc].&amp;[Kozmetik].&amp;[Oda Spreyi]" c="Oda Spreyi">
                <p n="[Material].[H_MainGroup].[MainGroupDesc].&amp;[Kozmetik]"/>
              </i>
              <i n="[Material].[H_MainGroup].[MainGroupDesc].&amp;[Kozmetik].&amp;[Oto Kokusu]" c="Oto Kokusu">
                <p n="[Material].[H_MainGroup].[MainGroupDesc].&amp;[Kozmetik]"/>
              </i>
              <i n="[Material].[H_MainGroup].[MainGroupDesc].&amp;[Kozmetik].&amp;[Parfüm]" c="Parfüm">
                <p n="[Material].[H_MainGroup].[MainGroupDesc].&amp;[Kozmetik]"/>
              </i>
              <i n="[Material].[H_MainGroup].[MainGroupDesc].&amp;[Kozmetik].&amp;[Pudra Ponponu]" c="Pudra Ponponu">
                <p n="[Material].[H_MainGroup].[MainGroupDesc].&amp;[Kozmetik]"/>
              </i>
              <i n="[Material].[H_MainGroup].[MainGroupDesc].&amp;[Kozmetik].&amp;[Sabun]" c="Sabun">
                <p n="[Material].[H_MainGroup].[MainGroupDesc].&amp;[Kozmetik]"/>
              </i>
              <i n="[Material].[H_MainGroup].[MainGroupDesc].&amp;[Kozmetik].&amp;[Sıvı Sabun]" c="Sıvı Sabun">
                <p n="[Material].[H_MainGroup].[MainGroupDesc].&amp;[Kozmetik]"/>
              </i>
              <i n="[Material].[H_MainGroup].[MainGroupDesc].&amp;[Kozmetik].&amp;[Sprey Kolonya]" c="Sprey Kolonya">
                <p n="[Material].[H_MainGroup].[MainGroupDesc].&amp;[Kozmetik]"/>
              </i>
              <i n="[Material].[H_MainGroup].[MainGroupDesc].&amp;[Kozmetik].&amp;[Su Torbası]" c="Su Torbası">
                <p n="[Material].[H_MainGroup].[MainGroupDesc].&amp;[Kozmetik]"/>
              </i>
              <i n="[Material].[H_MainGroup].[MainGroupDesc].&amp;[Kozmetik].&amp;[TEALIGHT MUM]" c="TEALIGHT MUM">
                <p n="[Material].[H_MainGroup].[MainGroupDesc].&amp;[Kozmetik]"/>
              </i>
              <i n="[Material].[H_MainGroup].[MainGroupDesc].&amp;[Kozmetik].&amp;[Tütsü]" c="Tütsü">
                <p n="[Material].[H_MainGroup].[MainGroupDesc].&amp;[Kozmetik]"/>
              </i>
              <i n="[Material].[H_MainGroup].[MainGroupDesc].&amp;[Kozmetik].&amp;[Vücut Losyonu]" c="Vücut Losyonu">
                <p n="[Material].[H_MainGroup].[MainGroupDesc].&amp;[Kozmetik]"/>
              </i>
              <i n="[Material].[H_MainGroup].[MainGroupDesc].&amp;[Kozmetik].&amp;[WHT Oda Spreyi]" c="WHT Oda Spreyi">
                <p n="[Material].[H_MainGroup].[MainGroupDesc].&amp;[Kozmetik]"/>
              </i>
              <i n="[Material].[H_MainGroup].[MainGroupDesc].&amp;[Kozmetik].&amp;[Yüz &amp; Vücut Spreyi]" c="Yüz &amp; Vücut Spreyi">
                <p n="[Material].[H_MainGroup].[MainGroupDesc].&amp;[Kozmetik]"/>
              </i>
              <i n="[Material].[H_MainGroup].[MainGroupDesc].&amp;[Kozmetik].&amp;[Yüz Maskesi]" c="Yüz Maskesi">
                <p n="[Material].[H_MainGroup].[MainGroupDesc].&amp;[Kozmetik]"/>
              </i>
              <i n="[Material].[H_MainGroup].[MainGroupDesc].&amp;[Mutfak].&amp;[Açacak]" c="Açacak">
                <p n="[Material].[H_MainGroup].[MainGroupDesc].&amp;[Mutfak]"/>
              </i>
              <i n="[Material].[H_MainGroup].[MainGroupDesc].&amp;[Mutfak].&amp;[Baharatlık]" c="Baharatlık">
                <p n="[Material].[H_MainGroup].[MainGroupDesc].&amp;[Mutfak]"/>
              </i>
              <i n="[Material].[H_MainGroup].[MainGroupDesc].&amp;[Mutfak].&amp;[Bal Kavanozu]" c="Bal Kavanozu">
                <p n="[Material].[H_MainGroup].[MainGroupDesc].&amp;[Mutfak]"/>
              </i>
              <i n="[Material].[H_MainGroup].[MainGroupDesc].&amp;[Mutfak].&amp;[Bardak Altı]" c="Bardak Altı">
                <p n="[Material].[H_MainGroup].[MainGroupDesc].&amp;[Mutfak]"/>
              </i>
              <i n="[Material].[H_MainGroup].[MainGroupDesc].&amp;[Mutfak].&amp;[Bulaşık Seti]" c="Bulaşık Seti">
                <p n="[Material].[H_MainGroup].[MainGroupDesc].&amp;[Mutfak]"/>
              </i>
              <i n="[Material].[H_MainGroup].[MainGroupDesc].&amp;[Mutfak].&amp;[Çatal Bıçaklık]" c="Çatal Bıçaklık">
                <p n="[Material].[H_MainGroup].[MainGroupDesc].&amp;[Mutfak]"/>
              </i>
              <i n="[Material].[H_MainGroup].[MainGroupDesc].&amp;[Mutfak].&amp;[Çaydanlık]" c="Çaydanlık">
                <p n="[Material].[H_MainGroup].[MainGroupDesc].&amp;[Mutfak]"/>
              </i>
              <i n="[Material].[H_MainGroup].[MainGroupDesc].&amp;[Mutfak].&amp;[Çekmece Düzenleyici]" c="Çekmece Düzenleyici">
                <p n="[Material].[H_MainGroup].[MainGroupDesc].&amp;[Mutfak]"/>
              </i>
              <i n="[Material].[H_MainGroup].[MainGroupDesc].&amp;[Mutfak].&amp;[Çocuk Suluk]" c="Çocuk Suluk">
                <p n="[Material].[H_MainGroup].[MainGroupDesc].&amp;[Mutfak]"/>
              </i>
              <i n="[Material].[H_MainGroup].[MainGroupDesc].&amp;[Mutfak].&amp;[Coffee Maker]" c="Coffee Maker">
                <p n="[Material].[H_MainGroup].[MainGroupDesc].&amp;[Mutfak]"/>
              </i>
              <i n="[Material].[H_MainGroup].[MainGroupDesc].&amp;[Mutfak].&amp;[Değirmen]" c="Değirmen">
                <p n="[Material].[H_MainGroup].[MainGroupDesc].&amp;[Mutfak]"/>
              </i>
              <i n="[Material].[H_MainGroup].[MainGroupDesc].&amp;[Mutfak].&amp;[Demleme Ürünleri]" c="Demleme Ürünleri">
                <p n="[Material].[H_MainGroup].[MainGroupDesc].&amp;[Mutfak]"/>
              </i>
              <i n="[Material].[H_MainGroup].[MainGroupDesc].&amp;[Mutfak].&amp;[Doğrayıcılar]" c="Doğrayıcılar">
                <p n="[Material].[H_MainGroup].[MainGroupDesc].&amp;[Mutfak]"/>
              </i>
              <i n="[Material].[H_MainGroup].[MainGroupDesc].&amp;[Mutfak].&amp;[Düzenleyici Set]" c="Düzenleyici Set">
                <p n="[Material].[H_MainGroup].[MainGroupDesc].&amp;[Mutfak]"/>
              </i>
              <i n="[Material].[H_MainGroup].[MainGroupDesc].&amp;[Mutfak].&amp;[Ekmek Kutusu]" c="Ekmek Kutusu">
                <p n="[Material].[H_MainGroup].[MainGroupDesc].&amp;[Mutfak]"/>
              </i>
              <i n="[Material].[H_MainGroup].[MainGroupDesc].&amp;[Mutfak].&amp;[El Rondosu]" c="El Rondosu">
                <p n="[Material].[H_MainGroup].[MainGroupDesc].&amp;[Mutfak]"/>
              </i>
              <i n="[Material].[H_MainGroup].[MainGroupDesc].&amp;[Mutfak].&amp;[Fondü Seti]" c="Fondü Seti">
                <p n="[Material].[H_MainGroup].[MainGroupDesc].&amp;[Mutfak]"/>
              </i>
              <i n="[Material].[H_MainGroup].[MainGroupDesc].&amp;[Mutfak].&amp;[Hamur ruleti]" c="Hamur ruleti">
                <p n="[Material].[H_MainGroup].[MainGroupDesc].&amp;[Mutfak]"/>
              </i>
              <i n="[Material].[H_MainGroup].[MainGroupDesc].&amp;[Mutfak].&amp;[Havan]" c="Havan">
                <p n="[Material].[H_MainGroup].[MainGroupDesc].&amp;[Mutfak]"/>
              </i>
              <i n="[Material].[H_MainGroup].[MainGroupDesc].&amp;[Mutfak].&amp;[Hazırlık Seti]" c="Hazırlık Seti">
                <p n="[Material].[H_MainGroup].[MainGroupDesc].&amp;[Mutfak]"/>
              </i>
              <i n="[Material].[H_MainGroup].[MainGroupDesc].&amp;[Mutfak].&amp;[Huni]" c="Huni">
                <p n="[Material].[H_MainGroup].[MainGroupDesc].&amp;[Mutfak]"/>
              </i>
              <i n="[Material].[H_MainGroup].[MainGroupDesc].&amp;[Mutfak].&amp;[İbrik]" c="İbrik">
                <p n="[Material].[H_MainGroup].[MainGroupDesc].&amp;[Mutfak]"/>
              </i>
              <i n="[Material].[H_MainGroup].[MainGroupDesc].&amp;[Mutfak].&amp;[Isıtıcı]" c="Isıtıcı">
                <p n="[Material].[H_MainGroup].[MainGroupDesc].&amp;[Mutfak]"/>
              </i>
              <i n="[Material].[H_MainGroup].[MainGroupDesc].&amp;[Mutfak].&amp;[Kağıt Havluluk]" c="Kağıt Havluluk">
                <p n="[Material].[H_MainGroup].[MainGroupDesc].&amp;[Mutfak]"/>
              </i>
              <i n="[Material].[H_MainGroup].[MainGroupDesc].&amp;[Mutfak].&amp;[Kahve Ölçü Kaşığı]" c="Kahve Ölçü Kaşığı">
                <p n="[Material].[H_MainGroup].[MainGroupDesc].&amp;[Mutfak]"/>
              </i>
              <i n="[Material].[H_MainGroup].[MainGroupDesc].&amp;[Mutfak].&amp;[Kavanoz]" c="Kavanoz">
                <p n="[Material].[H_MainGroup].[MainGroupDesc].&amp;[Mutfak]"/>
              </i>
              <i n="[Material].[H_MainGroup].[MainGroupDesc].&amp;[Mutfak].&amp;[Kavanoz Kapağı]" c="Kavanoz Kapağı">
                <p n="[Material].[H_MainGroup].[MainGroupDesc].&amp;[Mutfak]"/>
              </i>
              <i n="[Material].[H_MainGroup].[MainGroupDesc].&amp;[Mutfak].&amp;[Kepçe]" c="Kepçe">
                <p n="[Material].[H_MainGroup].[MainGroupDesc].&amp;[Mutfak]"/>
              </i>
              <i n="[Material].[H_MainGroup].[MainGroupDesc].&amp;[Mutfak].&amp;[Kesme Tahtası]" c="Kesme Tahtası">
                <p n="[Material].[H_MainGroup].[MainGroupDesc].&amp;[Mutfak]"/>
              </i>
              <i n="[Material].[H_MainGroup].[MainGroupDesc].&amp;[Mutfak].&amp;[Kettle]" c="Kettle">
                <p n="[Material].[H_MainGroup].[MainGroupDesc].&amp;[Mutfak]"/>
              </i>
              <i n="[Material].[H_MainGroup].[MainGroupDesc].&amp;[Mutfak].&amp;[Krep Tava]" c="Krep Tava">
                <p n="[Material].[H_MainGroup].[MainGroupDesc].&amp;[Mutfak]"/>
              </i>
              <i n="[Material].[H_MainGroup].[MainGroupDesc].&amp;[Mutfak].&amp;[Kurabiye Kutusu]" c="Kurabiye Kutusu">
                <p n="[Material].[H_MainGroup].[MainGroupDesc].&amp;[Mutfak]"/>
              </i>
              <i n="[Material].[H_MainGroup].[MainGroupDesc].&amp;[Mutfak].&amp;[Matara]" c="Matara">
                <p n="[Material].[H_MainGroup].[MainGroupDesc].&amp;[Mutfak]"/>
              </i>
              <i n="[Material].[H_MainGroup].[MainGroupDesc].&amp;[Mutfak].&amp;[Merdane]" c="Merdane">
                <p n="[Material].[H_MainGroup].[MainGroupDesc].&amp;[Mutfak]"/>
              </i>
              <i n="[Material].[H_MainGroup].[MainGroupDesc].&amp;[Mutfak].&amp;[Moka Pot]" c="Moka Pot">
                <p n="[Material].[H_MainGroup].[MainGroupDesc].&amp;[Mutfak]"/>
              </i>
              <i n="[Material].[H_MainGroup].[MainGroupDesc].&amp;[Mutfak].&amp;[Mutfak Gereci]" c="Mutfak Gereci">
                <p n="[Material].[H_MainGroup].[MainGroupDesc].&amp;[Mutfak]"/>
              </i>
              <i n="[Material].[H_MainGroup].[MainGroupDesc].&amp;[Mutfak].&amp;[Ölçü Kabı]" c="Ölçü Kabı">
                <p n="[Material].[H_MainGroup].[MainGroupDesc].&amp;[Mutfak]"/>
              </i>
              <i n="[Material].[H_MainGroup].[MainGroupDesc].&amp;[Mutfak].&amp;[Ölçü Kaşığı]" c="Ölçü Kaşığı">
                <p n="[Material].[H_MainGroup].[MainGroupDesc].&amp;[Mutfak]"/>
              </i>
              <i n="[Material].[H_MainGroup].[MainGroupDesc].&amp;[Mutfak].&amp;[Perforated Spatula]" c="Perforated Spatula">
                <p n="[Material].[H_MainGroup].[MainGroupDesc].&amp;[Mutfak]"/>
              </i>
              <i n="[Material].[H_MainGroup].[MainGroupDesc].&amp;[Mutfak].&amp;[Piknik Sepeti]" c="Piknik Sepeti">
                <p n="[Material].[H_MainGroup].[MainGroupDesc].&amp;[Mutfak]"/>
              </i>
              <i n="[Material].[H_MainGroup].[MainGroupDesc].&amp;[Mutfak].&amp;[Piknik Seti]" c="Piknik Seti">
                <p n="[Material].[H_MainGroup].[MainGroupDesc].&amp;[Mutfak]"/>
              </i>
              <i n="[Material].[H_MainGroup].[MainGroupDesc].&amp;[Mutfak].&amp;[Pipet]" c="Pipet">
                <p n="[Material].[H_MainGroup].[MainGroupDesc].&amp;[Mutfak]"/>
              </i>
              <i n="[Material].[H_MainGroup].[MainGroupDesc].&amp;[Mutfak].&amp;[Pizza Kesici]" c="Pizza Kesici">
                <p n="[Material].[H_MainGroup].[MainGroupDesc].&amp;[Mutfak]"/>
              </i>
              <i n="[Material].[H_MainGroup].[MainGroupDesc].&amp;[Mutfak].&amp;[Poşet Klipsi]" c="Poşet Klipsi">
                <p n="[Material].[H_MainGroup].[MainGroupDesc].&amp;[Mutfak]"/>
              </i>
              <i n="[Material].[H_MainGroup].[MainGroupDesc].&amp;[Mutfak].&amp;[Poşet Torbalığı]" c="Poşet Torbalığı">
                <p n="[Material].[H_MainGroup].[MainGroupDesc].&amp;[Mutfak]"/>
              </i>
              <i n="[Material].[H_MainGroup].[MainGroupDesc].&amp;[Mutfak].&amp;[Saklama Kabı]" c="Saklama Kabı">
                <p n="[Material].[H_MainGroup].[MainGroupDesc].&amp;[Mutfak]"/>
              </i>
              <i n="[Material].[H_MainGroup].[MainGroupDesc].&amp;[Mutfak].&amp;[Saklama Kabı Seti]" c="Saklama Kabı Seti">
                <p n="[Material].[H_MainGroup].[MainGroupDesc].&amp;[Mutfak]"/>
              </i>
              <i n="[Material].[H_MainGroup].[MainGroupDesc].&amp;[Mutfak].&amp;[Salata Seti]" c="Salata Seti">
                <p n="[Material].[H_MainGroup].[MainGroupDesc].&amp;[Mutfak]"/>
              </i>
              <i n="[Material].[H_MainGroup].[MainGroupDesc].&amp;[Mutfak].&amp;[Satır]" c="Satır">
                <p n="[Material].[H_MainGroup].[MainGroupDesc].&amp;[Mutfak]"/>
              </i>
              <i n="[Material].[H_MainGroup].[MainGroupDesc].&amp;[Mutfak].&amp;[Servis Gereçleri]" c="Servis Gereçleri">
                <p n="[Material].[H_MainGroup].[MainGroupDesc].&amp;[Mutfak]"/>
              </i>
              <i n="[Material].[H_MainGroup].[MainGroupDesc].&amp;[Mutfak].&amp;[Servis Kaşığı]" c="Servis Kaşığı">
                <p n="[Material].[H_MainGroup].[MainGroupDesc].&amp;[Mutfak]"/>
              </i>
              <i n="[Material].[H_MainGroup].[MainGroupDesc].&amp;[Mutfak].&amp;[Shaker]" c="Shaker">
                <p n="[Material].[H_MainGroup].[MainGroupDesc].&amp;[Mutfak]"/>
              </i>
              <i n="[Material].[H_MainGroup].[MainGroupDesc].&amp;[Mutfak].&amp;[Şişe Tıpası]" c="Şişe Tıpası">
                <p n="[Material].[H_MainGroup].[MainGroupDesc].&amp;[Mutfak]"/>
              </i>
              <i n="[Material].[H_MainGroup].[MainGroupDesc].&amp;[Mutfak].&amp;[Spagetti Kaşığı]" c="Spagetti Kaşığı">
                <p n="[Material].[H_MainGroup].[MainGroupDesc].&amp;[Mutfak]"/>
              </i>
              <i n="[Material].[H_MainGroup].[MainGroupDesc].&amp;[Mutfak].&amp;[Sufle Kabı]" c="Sufle Kabı">
                <p n="[Material].[H_MainGroup].[MainGroupDesc].&amp;[Mutfak]"/>
              </i>
              <i n="[Material].[H_MainGroup].[MainGroupDesc].&amp;[Mutfak].&amp;[Süt Potu]" c="Süt Potu">
                <p n="[Material].[H_MainGroup].[MainGroupDesc].&amp;[Mutfak]"/>
              </i>
              <i n="[Material].[H_MainGroup].[MainGroupDesc].&amp;[Mutfak].&amp;[Termos]" c="Termos">
                <p n="[Material].[H_MainGroup].[MainGroupDesc].&amp;[Mutfak]"/>
              </i>
              <i n="[Material].[H_MainGroup].[MainGroupDesc].&amp;[Mutfak].&amp;[Yemek Hazırlama]" c="Yemek Hazırlama">
                <p n="[Material].[H_MainGroup].[MainGroupDesc].&amp;[Mutfak]"/>
              </i>
              <i n="[Material].[H_MainGroup].[MainGroupDesc].&amp;[Mutfak].&amp;[Yumurta Fırçası]" c="Yumurta Fırçası">
                <p n="[Material].[H_MainGroup].[MainGroupDesc].&amp;[Mutfak]"/>
              </i>
              <i n="[Material].[H_MainGroup].[MainGroupDesc].&amp;[Mutfak].&amp;[Yumurtalık]" c="Yumurtalık">
                <p n="[Material].[H_MainGroup].[MainGroupDesc].&amp;[Mutfak]"/>
              </i>
              <i n="[Material].[H_MainGroup].[MainGroupDesc].&amp;[Nevresim].&amp;[Bebe Nevresim]" c="Bebe Nevresim">
                <p n="[Material].[H_MainGroup].[MainGroupDesc].&amp;[Nevresim]"/>
              </i>
              <i n="[Material].[H_MainGroup].[MainGroupDesc].&amp;[Nevresim].&amp;[Bebe Nevresim Seti]" c="Bebe Nevresim Seti">
                <p n="[Material].[H_MainGroup].[MainGroupDesc].&amp;[Nevresim]"/>
              </i>
              <i n="[Material].[H_MainGroup].[MainGroupDesc].&amp;[Nevresim].&amp;[Bebe Nevresim Takımı]" c="Bebe Nevresim Takımı">
                <p n="[Material].[H_MainGroup].[MainGroupDesc].&amp;[Nevresim]"/>
              </i>
              <i n="[Material].[H_MainGroup].[MainGroupDesc].&amp;[Nevresim].&amp;[Bebe Yastık Kılıfı]" c="Bebe Yastık Kılıfı">
                <p n="[Material].[H_MainGroup].[MainGroupDesc].&amp;[Nevresim]"/>
              </i>
              <i n="[Material].[H_MainGroup].[MainGroupDesc].&amp;[Nevresim].&amp;[Cibinlik]" c="Cibinlik">
                <p n="[Material].[H_MainGroup].[MainGroupDesc].&amp;[Nevresim]"/>
              </i>
              <i n="[Material].[H_MainGroup].[MainGroupDesc].&amp;[Nevresim].&amp;[Çocuk Nevresim Seti]" c="Çocuk Nevresim Seti">
                <p n="[Material].[H_MainGroup].[MainGroupDesc].&amp;[Nevresim]"/>
              </i>
              <i n="[Material].[H_MainGroup].[MainGroupDesc].&amp;[Nevresim].&amp;[Çocuk Nevresim Takım]" c="Çocuk Nevresim Takım">
                <p n="[Material].[H_MainGroup].[MainGroupDesc].&amp;[Nevresim]"/>
              </i>
              <i n="[Material].[H_MainGroup].[MainGroupDesc].&amp;[Nevresim].&amp;[Düz Çarşaf NVR TK]" c="Düz Çarşaf NVR TK">
                <p n="[Material].[H_MainGroup].[MainGroupDesc].&amp;[Nevresim]"/>
              </i>
              <i n="[Material].[H_MainGroup].[MainGroupDesc].&amp;[Nevresim].&amp;[Nevr. ve Yastık Klf]" c="Nevr. ve Yastık Klf">
                <p n="[Material].[H_MainGroup].[MainGroupDesc].&amp;[Nevresim]"/>
              </i>
              <i n="[Material].[H_MainGroup].[MainGroupDesc].&amp;[Nevresim].&amp;[Nevresim]" c="Nevresim">
                <p n="[Material].[H_MainGroup].[MainGroupDesc].&amp;[Nevresim]"/>
              </i>
              <i n="[Material].[H_MainGroup].[MainGroupDesc].&amp;[Nevresim].&amp;[Nevresim Seti]" c="Nevresim Seti">
                <p n="[Material].[H_MainGroup].[MainGroupDesc].&amp;[Nevresim]"/>
              </i>
              <i n="[Material].[H_MainGroup].[MainGroupDesc].&amp;[Nevresim].&amp;[Nevresim Takımı]" c="Nevresim Takımı">
                <p n="[Material].[H_MainGroup].[MainGroupDesc].&amp;[Nevresim]"/>
              </i>
              <i n="[Material].[H_MainGroup].[MainGroupDesc].&amp;[Pike].&amp;[Bebe Pike]" c="Bebe Pike">
                <p n="[Material].[H_MainGroup].[MainGroupDesc].&amp;[Pike]"/>
              </i>
              <i n="[Material].[H_MainGroup].[MainGroupDesc].&amp;[Pike].&amp;[Çocuk Pike Takımı]" c="Çocuk Pike Takımı">
                <p n="[Material].[H_MainGroup].[MainGroupDesc].&amp;[Pike]"/>
              </i>
              <i n="[Material].[H_MainGroup].[MainGroupDesc].&amp;[Pike].&amp;[Pike]" c="Pike">
                <p n="[Material].[H_MainGroup].[MainGroupDesc].&amp;[Pike]"/>
              </i>
              <i n="[Material].[H_MainGroup].[MainGroupDesc].&amp;[Pike].&amp;[Pike Seti]" c="Pike Seti">
                <p n="[Material].[H_MainGroup].[MainGroupDesc].&amp;[Pike]"/>
              </i>
              <i n="[Material].[H_MainGroup].[MainGroupDesc].&amp;[Pike].&amp;[Pike Takımı]" c="Pike Takımı">
                <p n="[Material].[H_MainGroup].[MainGroupDesc].&amp;[Pike]"/>
              </i>
              <i n="[Material].[H_MainGroup].[MainGroupDesc].&amp;[Pişirme].&amp;[Bakraç]" c="Bakraç">
                <p n="[Material].[H_MainGroup].[MainGroupDesc].&amp;[Pişirme]"/>
              </i>
              <i n="[Material].[H_MainGroup].[MainGroupDesc].&amp;[Pişirme].&amp;[Düdüklü Tencere Seti]" c="Düdüklü Tencere Seti">
                <p n="[Material].[H_MainGroup].[MainGroupDesc].&amp;[Pişirme]"/>
              </i>
              <i n="[Material].[H_MainGroup].[MainGroupDesc].&amp;[Pişirme].&amp;[Fırın Kabı]" c="Fırın Kabı">
                <p n="[Material].[H_MainGroup].[MainGroupDesc].&amp;[Pişirme]"/>
              </i>
              <i n="[Material].[H_MainGroup].[MainGroupDesc].&amp;[Pişirme].&amp;[Fırın Tencere]" c="Fırın Tencere">
                <p n="[Material].[H_MainGroup].[MainGroupDesc].&amp;[Pişirme]"/>
              </i>
              <i n="[Material].[H_MainGroup].[MainGroupDesc].&amp;[Pişirme].&amp;[Kek Kalıbı]" c="Kek Kalıbı">
                <p n="[Material].[H_MainGroup].[MainGroupDesc].&amp;[Pişirme]"/>
              </i>
              <i n="[Material].[H_MainGroup].[MainGroupDesc].&amp;[Pişirme].&amp;[Kek Kalıp Set]" c="Kek Kalıp Set">
                <p n="[Material].[H_MainGroup].[MainGroupDesc].&amp;[Pişirme]"/>
              </i>
              <i n="[Material].[H_MainGroup].[MainGroupDesc].&amp;[Pişirme].&amp;[Pişirme Seti]" c="Pişirme Seti">
                <p n="[Material].[H_MainGroup].[MainGroupDesc].&amp;[Pişirme]"/>
              </i>
              <i n="[Material].[H_MainGroup].[MainGroupDesc].&amp;[Pişirme].&amp;[Pişir-Sakla Set]" c="Pişir-Sakla Set">
                <p n="[Material].[H_MainGroup].[MainGroupDesc].&amp;[Pişirme]"/>
              </i>
              <i n="[Material].[H_MainGroup].[MainGroupDesc].&amp;[Pişirme].&amp;[Sahan]" c="Sahan">
                <p n="[Material].[H_MainGroup].[MainGroupDesc].&amp;[Pişirme]"/>
              </i>
              <i n="[Material].[H_MainGroup].[MainGroupDesc].&amp;[Pişirme].&amp;[Sahan Seti]" c="Sahan Seti">
                <p n="[Material].[H_MainGroup].[MainGroupDesc].&amp;[Pişirme]"/>
              </i>
              <i n="[Material].[H_MainGroup].[MainGroupDesc].&amp;[Pişirme].&amp;[Sos Tenceresi]" c="Sos Tenceresi">
                <p n="[Material].[H_MainGroup].[MainGroupDesc].&amp;[Pişirme]"/>
              </i>
              <i n="[Material].[H_MainGroup].[MainGroupDesc].&amp;[Pişirme].&amp;[Tart Kalıbı]" c="Tart Kalıbı">
                <p n="[Material].[H_MainGroup].[MainGroupDesc].&amp;[Pişirme]"/>
              </i>
              <i n="[Material].[H_MainGroup].[MainGroupDesc].&amp;[Pişirme].&amp;[Tava]" c="Tava">
                <p n="[Material].[H_MainGroup].[MainGroupDesc].&amp;[Pişirme]"/>
              </i>
              <i n="[Material].[H_MainGroup].[MainGroupDesc].&amp;[Pişirme].&amp;[Tava Seti]" c="Tava Seti">
                <p n="[Material].[H_MainGroup].[MainGroupDesc].&amp;[Pişirme]"/>
              </i>
              <i n="[Material].[H_MainGroup].[MainGroupDesc].&amp;[Pişirme].&amp;[Tencere]" c="Tencere">
                <p n="[Material].[H_MainGroup].[MainGroupDesc].&amp;[Pişirme]"/>
              </i>
              <i n="[Material].[H_MainGroup].[MainGroupDesc].&amp;[Pişirme].&amp;[Tencere Seti]" c="Tencere Seti">
                <p n="[Material].[H_MainGroup].[MainGroupDesc].&amp;[Pişirme]"/>
              </i>
              <i n="[Material].[H_MainGroup].[MainGroupDesc].&amp;[Pişirme].&amp;[Tencere-Tava Seti]" c="Tencere-Tava Seti">
                <p n="[Material].[H_MainGroup].[MainGroupDesc].&amp;[Pişirme]"/>
              </i>
              <i n="[Material].[H_MainGroup].[MainGroupDesc].&amp;[Pişirme].&amp;[Wok Tava]" c="Wok Tava">
                <p n="[Material].[H_MainGroup].[MainGroupDesc].&amp;[Pişirme]"/>
              </i>
              <i n="[Material].[H_MainGroup].[MainGroupDesc].&amp;[Salon].&amp;[Atlet]" c="Atlet">
                <p n="[Material].[H_MainGroup].[MainGroupDesc].&amp;[Salon]"/>
              </i>
              <i n="[Material].[H_MainGroup].[MainGroupDesc].&amp;[Salon].&amp;[Ayaklı Tepsi]" c="Ayaklı Tepsi">
                <p n="[Material].[H_MainGroup].[MainGroupDesc].&amp;[Salon]"/>
              </i>
              <i n="[Material].[H_MainGroup].[MainGroupDesc].&amp;[Salon].&amp;[Babet Çorap]" c="Babet Çorap">
                <p n="[Material].[H_MainGroup].[MainGroupDesc].&amp;[Salon]"/>
              </i>
              <i n="[Material].[H_MainGroup].[MainGroupDesc].&amp;[Salon].&amp;[Bebe Alt Açma Yedek]" c="Bebe Alt Açma Yedek">
                <p n="[Material].[H_MainGroup].[MainGroupDesc].&amp;[Salon]"/>
              </i>
              <i n="[Material].[H_MainGroup].[MainGroupDesc].&amp;[Salon].&amp;[Bebe Body]" c="Bebe Body">
                <p n="[Material].[H_MainGroup].[MainGroupDesc].&amp;[Salon]"/>
              </i>
              <i n="[Material].[H_MainGroup].[MainGroupDesc].&amp;[Salon].&amp;[Bebe Çorap]" c="Bebe Çorap">
                <p n="[Material].[H_MainGroup].[MainGroupDesc].&amp;[Salon]"/>
              </i>
              <i n="[Material].[H_MainGroup].[MainGroupDesc].&amp;[Salon].&amp;[Bebe Hediyelik Set]" c="Bebe Hediyelik Set">
                <p n="[Material].[H_MainGroup].[MainGroupDesc].&amp;[Salon]"/>
              </i>
              <i n="[Material].[H_MainGroup].[MainGroupDesc].&amp;[Salon].&amp;[Bebe Müslin Set]" c="Bebe Müslin Set">
                <p n="[Material].[H_MainGroup].[MainGroupDesc].&amp;[Salon]"/>
              </i>
              <i n="[Material].[H_MainGroup].[MainGroupDesc].&amp;[Salon].&amp;[Bebe Önlük]" c="Bebe Önlük">
                <p n="[Material].[H_MainGroup].[MainGroupDesc].&amp;[Salon]"/>
              </i>
              <i n="[Material].[H_MainGroup].[MainGroupDesc].&amp;[Salon].&amp;[Bebe Örtü]" c="Bebe Örtü">
                <p n="[Material].[H_MainGroup].[MainGroupDesc].&amp;[Salon]"/>
              </i>
              <i n="[Material].[H_MainGroup].[MainGroupDesc].&amp;[Salon].&amp;[Bebe Pijama Takımı]" c="Bebe Pijama Takımı">
                <p n="[Material].[H_MainGroup].[MainGroupDesc].&amp;[Salon]"/>
              </i>
              <i n="[Material].[H_MainGroup].[MainGroupDesc].&amp;[Salon].&amp;[Bebe Puset Örtüsü]" c="Bebe Puset Örtüsü">
                <p n="[Material].[H_MainGroup].[MainGroupDesc].&amp;[Salon]"/>
              </i>
              <i n="[Material].[H_MainGroup].[MainGroupDesc].&amp;[Salon].&amp;[Bebe Sandalyesi]" c="Bebe Sandalyesi">
                <p n="[Material].[H_MainGroup].[MainGroupDesc].&amp;[Salon]"/>
              </i>
              <i n="[Material].[H_MainGroup].[MainGroupDesc].&amp;[Salon].&amp;[Bebe Tulum]" c="Bebe Tulum">
                <p n="[Material].[H_MainGroup].[MainGroupDesc].&amp;[Salon]"/>
              </i>
              <i n="[Material].[H_MainGroup].[MainGroupDesc].&amp;[Salon].&amp;[Bebe Uyku Tulumu]" c="Bebe Uyku Tulumu">
                <p n="[Material].[H_MainGroup].[MainGroupDesc].&amp;[Salon]"/>
              </i>
              <i n="[Material].[H_MainGroup].[MainGroupDesc].&amp;[Salon].&amp;[Berjer]" c="Berjer">
                <p n="[Material].[H_MainGroup].[MainGroupDesc].&amp;[Salon]"/>
              </i>
              <i n="[Material].[H_MainGroup].[MainGroupDesc].&amp;[Salon].&amp;[Bluz]" c="Bluz">
                <p n="[Material].[H_MainGroup].[MainGroupDesc].&amp;[Salon]"/>
              </i>
              <i n="[Material].[H_MainGroup].[MainGroupDesc].&amp;[Salon].&amp;[Boxer]" c="Boxer">
                <p n="[Material].[H_MainGroup].[MainGroupDesc].&amp;[Salon]"/>
              </i>
              <i n="[Material].[H_MainGroup].[MainGroupDesc].&amp;[Salon].&amp;[Braçol]" c="Braçol">
                <p n="[Material].[H_MainGroup].[MainGroupDesc].&amp;[Salon]"/>
              </i>
              <i n="[Material].[H_MainGroup].[MainGroupDesc].&amp;[Salon].&amp;[Büyük Kırlent]" c="Büyük Kırlent">
                <p n="[Material].[H_MainGroup].[MainGroupDesc].&amp;[Salon]"/>
              </i>
              <i n="[Material].[H_MainGroup].[MainGroupDesc].&amp;[Salon].&amp;[Çanta.]" c="Çanta.">
                <p n="[Material].[H_MainGroup].[MainGroupDesc].&amp;[Salon]"/>
              </i>
              <i n="[Material].[H_MainGroup].[MainGroupDesc].&amp;[Salon].&amp;[Çocuk Atlet]" c="Çocuk Atlet">
                <p n="[Material].[H_MainGroup].[MainGroupDesc].&amp;[Salon]"/>
              </i>
              <i n="[Material].[H_MainGroup].[MainGroupDesc].&amp;[Salon].&amp;[Çocuk Boxer]" c="Çocuk Boxer">
                <p n="[Material].[H_MainGroup].[MainGroupDesc].&amp;[Salon]"/>
              </i>
              <i n="[Material].[H_MainGroup].[MainGroupDesc].&amp;[Salon].&amp;[Çocuk Çanta]" c="Çocuk Çanta">
                <p n="[Material].[H_MainGroup].[MainGroupDesc].&amp;[Salon]"/>
              </i>
              <i n="[Material].[H_MainGroup].[MainGroupDesc].&amp;[Salon].&amp;[Çocuk Çarşaf]" c="Çocuk Çarşaf">
                <p n="[Material].[H_MainGroup].[MainGroupDesc].&amp;[Salon]"/>
              </i>
              <i n="[Material].[H_MainGroup].[MainGroupDesc].&amp;[Salon].&amp;[Çocuk Çorap]" c="Çocuk Çorap">
                <p n="[Material].[H_MainGroup].[MainGroupDesc].&amp;[Salon]"/>
              </i>
              <i n="[Material].[H_MainGroup].[MainGroupDesc].&amp;[Salon].&amp;[Çocuk Ev Ayakkabısı]" c="Çocuk Ev Ayakkabısı">
                <p n="[Material].[H_MainGroup].[MainGroupDesc].&amp;[Salon]"/>
              </i>
              <i n="[Material].[H_MainGroup].[MainGroupDesc].&amp;[Salon].&amp;[Çocuk Panço]" c="Çocuk Panço">
                <p n="[Material].[H_MainGroup].[MainGroupDesc].&amp;[Salon]"/>
              </i>
              <i n="[Material].[H_MainGroup].[MainGroupDesc].&amp;[Salon].&amp;[Çocuk Pijama Takımı]" c="Çocuk Pijama Takımı">
                <p n="[Material].[H_MainGroup].[MainGroupDesc].&amp;[Salon]"/>
              </i>
              <i n="[Material].[H_MainGroup].[MainGroupDesc].&amp;[Salon].&amp;[Çocuk Terliği]" c="Çocuk Terliği">
                <p n="[Material].[H_MainGroup].[MainGroupDesc].&amp;[Salon]"/>
              </i>
              <i n="[Material].[H_MainGroup].[MainGroupDesc].&amp;[Salon].&amp;[Çocuk Üst]" c="Çocuk Üst">
                <p n="[Material].[H_MainGroup].[MainGroupDesc].&amp;[Salon]"/>
              </i>
              <i n="[Material].[H_MainGroup].[MainGroupDesc].&amp;[Salon].&amp;[Çorap]" c="Çorap">
                <p n="[Material].[H_MainGroup].[MainGroupDesc].&amp;[Salon]"/>
              </i>
              <i n="[Material].[H_MainGroup].[MainGroupDesc].&amp;[Salon].&amp;[Dekoratif Koltuk]" c="Dekoratif Koltuk">
                <p n="[Material].[H_MainGroup].[MainGroupDesc].&amp;[Salon]"/>
              </i>
              <i n="[Material].[H_MainGroup].[MainGroupDesc].&amp;[Salon].&amp;[Dekoratif Minder]" c="Dekoratif Minder">
                <p n="[Material].[H_MainGroup].[MainGroupDesc].&amp;[Salon]"/>
              </i>
              <i n="[Material].[H_MainGroup].[MainGroupDesc].&amp;[Salon].&amp;[Dekoratif Puf]" c="Dekoratif Puf">
                <p n="[Material].[H_MainGroup].[MainGroupDesc].&amp;[Salon]"/>
              </i>
              <i n="[Material].[H_MainGroup].[MainGroupDesc].&amp;[Salon].&amp;[Deniz Şortu]" c="Deniz Şortu">
                <p n="[Material].[H_MainGroup].[MainGroupDesc].&amp;[Salon]"/>
              </i>
              <i n="[Material].[H_MainGroup].[MainGroupDesc].&amp;[Salon].&amp;[Diğer]" c="Diğer">
                <p n="[Material].[H_MainGroup].[MainGroupDesc].&amp;[Salon]"/>
              </i>
              <i n="[Material].[H_MainGroup].[MainGroupDesc].&amp;[Salon].&amp;[Dolgulu Kırlent]" c="Dolgulu Kırlent">
                <p n="[Material].[H_MainGroup].[MainGroupDesc].&amp;[Salon]"/>
              </i>
              <i n="[Material].[H_MainGroup].[MainGroupDesc].&amp;[Salon].&amp;[Duvar Kağıdı]" c="Duvar Kağıdı">
                <p n="[Material].[H_MainGroup].[MainGroupDesc].&amp;[Salon]"/>
              </i>
              <i n="[Material].[H_MainGroup].[MainGroupDesc].&amp;[Salon].&amp;[Düzenleyici]" c="Düzenleyici">
                <p n="[Material].[H_MainGroup].[MainGroupDesc].&amp;[Salon]"/>
              </i>
              <i n="[Material].[H_MainGroup].[MainGroupDesc].&amp;[Salon].&amp;[Eldiven]" c="Eldiven">
                <p n="[Material].[H_MainGroup].[MainGroupDesc].&amp;[Salon]"/>
              </i>
              <i n="[Material].[H_MainGroup].[MainGroupDesc].&amp;[Salon].&amp;[Ev Terliği]" c="Ev Terliği">
                <p n="[Material].[H_MainGroup].[MainGroupDesc].&amp;[Salon]"/>
              </i>
              <i n="[Material].[H_MainGroup].[MainGroupDesc].&amp;[Salon].&amp;[Evcil Hayvan Yatağı]" c="Evcil Hayvan Yatağı">
                <p n="[Material].[H_MainGroup].[MainGroupDesc].&amp;[Salon]"/>
              </i>
              <i n="[Material].[H_MainGroup].[MainGroupDesc].&amp;[Salon].&amp;[Fanila]" c="Fanila">
                <p n="[Material].[H_MainGroup].[MainGroupDesc].&amp;[Salon]"/>
              </i>
              <i n="[Material].[H_MainGroup].[MainGroupDesc].&amp;[Salon].&amp;[Fon Perde]" c="Fon Perde">
                <p n="[Material].[H_MainGroup].[MainGroupDesc].&amp;[Salon]"/>
              </i>
              <i n="[Material].[H_MainGroup].[MainGroupDesc].&amp;[Salon].&amp;[Gecelik]" c="Gecelik">
                <p n="[Material].[H_MainGroup].[MainGroupDesc].&amp;[Salon]"/>
              </i>
              <i n="[Material].[H_MainGroup].[MainGroupDesc].&amp;[Salon].&amp;[Hasır Çanta]" c="Hasır Çanta">
                <p n="[Material].[H_MainGroup].[MainGroupDesc].&amp;[Salon]"/>
              </i>
              <i n="[Material].[H_MainGroup].[MainGroupDesc].&amp;[Salon].&amp;[İç Çamaşır Takımı]" c="İç Çamaşır Takımı">
                <p n="[Material].[H_MainGroup].[MainGroupDesc].&amp;[Salon]"/>
              </i>
              <i n="[Material].[H_MainGroup].[MainGroupDesc].&amp;[Salon].&amp;[İçlik]" c="İçlik">
                <p n="[Material].[H_MainGroup].[MainGroupDesc].&amp;[Salon]"/>
              </i>
              <i n="[Material].[H_MainGroup].[MainGroupDesc].&amp;[Salon].&amp;[Kapri Takım]" c="Kapri Takım">
                <p n="[Material].[H_MainGroup].[MainGroupDesc].&amp;[Salon]"/>
              </i>
              <i n="[Material].[H_MainGroup].[MainGroupDesc].&amp;[Salon].&amp;[Kartela Kumaşı]" c="Kartela Kumaşı">
                <p n="[Material].[H_MainGroup].[MainGroupDesc].&amp;[Salon]"/>
              </i>
              <i n="[Material].[H_MainGroup].[MainGroupDesc].&amp;[Salon].&amp;[Kırlent]" c="Kırlent">
                <p n="[Material].[H_MainGroup].[MainGroupDesc].&amp;[Salon]"/>
              </i>
              <i n="[Material].[H_MainGroup].[MainGroupDesc].&amp;[Salon].&amp;[Kısa Gecelik]" c="Kısa Gecelik">
                <p n="[Material].[H_MainGroup].[MainGroupDesc].&amp;[Salon]"/>
              </i>
              <i n="[Material].[H_MainGroup].[MainGroupDesc].&amp;[Salon].&amp;[Koltuk Örtüsü]" c="Koltuk Örtüsü">
                <p n="[Material].[H_MainGroup].[MainGroupDesc].&amp;[Salon]"/>
              </i>
              <i n="[Material].[H_MainGroup].[MainGroupDesc].&amp;[Salon].&amp;[Koltuk Şalı]" c="Koltuk Şalı">
                <p n="[Material].[H_MainGroup].[MainGroupDesc].&amp;[Salon]"/>
              </i>
              <i n="[Material].[H_MainGroup].[MainGroupDesc].&amp;[Salon].&amp;[Külot]" c="Külot">
                <p n="[Material].[H_MainGroup].[MainGroupDesc].&amp;[Salon]"/>
              </i>
              <i n="[Material].[H_MainGroup].[MainGroupDesc].&amp;[Salon].&amp;[Omuz Şalı]" c="Omuz Şalı">
                <p n="[Material].[H_MainGroup].[MainGroupDesc].&amp;[Salon]"/>
              </i>
              <i n="[Material].[H_MainGroup].[MainGroupDesc].&amp;[Salon].&amp;[Panço]" c="Panço">
                <p n="[Material].[H_MainGroup].[MainGroupDesc].&amp;[Salon]"/>
              </i>
              <i n="[Material].[H_MainGroup].[MainGroupDesc].&amp;[Salon].&amp;[Panduf Ev Babeti]" c="Panduf Ev Babeti">
                <p n="[Material].[H_MainGroup].[MainGroupDesc].&amp;[Salon]"/>
              </i>
              <i n="[Material].[H_MainGroup].[MainGroupDesc].&amp;[Salon].&amp;[Panduf Ev Botu]" c="Panduf Ev Botu">
                <p n="[Material].[H_MainGroup].[MainGroupDesc].&amp;[Salon]"/>
              </i>
              <i n="[Material].[H_MainGroup].[MainGroupDesc].&amp;[Salon].&amp;[Patik Çorap]" c="Patik Çorap">
                <p n="[Material].[H_MainGroup].[MainGroupDesc].&amp;[Salon]"/>
              </i>
              <i n="[Material].[H_MainGroup].[MainGroupDesc].&amp;[Salon].&amp;[Peluş Çorap]" c="Peluş Çorap">
                <p n="[Material].[H_MainGroup].[MainGroupDesc].&amp;[Salon]"/>
              </i>
              <i n="[Material].[H_MainGroup].[MainGroupDesc].&amp;[Salon].&amp;[Pijama Takımı]" c="Pijama Takımı">
                <p n="[Material].[H_MainGroup].[MainGroupDesc].&amp;[Salon]"/>
              </i>
              <i n="[Material].[H_MainGroup].[MainGroupDesc].&amp;[Salon].&amp;[Pijama Üst]" c="Pijama Üst">
                <p n="[Material].[H_MainGroup].[MainGroupDesc].&amp;[Salon]"/>
              </i>
              <i n="[Material].[H_MainGroup].[MainGroupDesc].&amp;[Salon].&amp;[Plaj Çantası.]" c="Plaj Çantası.">
                <p n="[Material].[H_MainGroup].[MainGroupDesc].&amp;[Salon]"/>
              </i>
              <i n="[Material].[H_MainGroup].[MainGroupDesc].&amp;[Salon].&amp;[Plaj Elbisesi]" c="Plaj Elbisesi">
                <p n="[Material].[H_MainGroup].[MainGroupDesc].&amp;[Salon]"/>
              </i>
              <i n="[Material].[H_MainGroup].[MainGroupDesc].&amp;[Salon].&amp;[Plaj Pantolonu]" c="Plaj Pantolonu">
                <p n="[Material].[H_MainGroup].[MainGroupDesc].&amp;[Salon]"/>
              </i>
              <i n="[Material].[H_MainGroup].[MainGroupDesc].&amp;[Salon].&amp;[Plaj Terliği]" c="Plaj Terliği">
                <p n="[Material].[H_MainGroup].[MainGroupDesc].&amp;[Salon]"/>
              </i>
              <i n="[Material].[H_MainGroup].[MainGroupDesc].&amp;[Salon].&amp;[Puf.]" c="Puf.">
                <p n="[Material].[H_MainGroup].[MainGroupDesc].&amp;[Salon]"/>
              </i>
              <i n="[Material].[H_MainGroup].[MainGroupDesc].&amp;[Salon].&amp;[Puset]" c="Puset">
                <p n="[Material].[H_MainGroup].[MainGroupDesc].&amp;[Salon]"/>
              </i>
              <i n="[Material].[H_MainGroup].[MainGroupDesc].&amp;[Salon].&amp;[Sabahlık]" c="Sabahlık">
                <p n="[Material].[H_MainGroup].[MainGroupDesc].&amp;[Salon]"/>
              </i>
              <i n="[Material].[H_MainGroup].[MainGroupDesc].&amp;[Salon].&amp;[Sallanan Koltuk]" c="Sallanan Koltuk">
                <p n="[Material].[H_MainGroup].[MainGroupDesc].&amp;[Salon]"/>
              </i>
              <i n="[Material].[H_MainGroup].[MainGroupDesc].&amp;[Salon].&amp;[Sandalye Minderi]" c="Sandalye Minderi">
                <p n="[Material].[H_MainGroup].[MainGroupDesc].&amp;[Salon]"/>
              </i>
              <i n="[Material].[H_MainGroup].[MainGroupDesc].&amp;[Salon].&amp;[Sneaker Çorap]" c="Sneaker Çorap">
                <p n="[Material].[H_MainGroup].[MainGroupDesc].&amp;[Salon]"/>
              </i>
              <i n="[Material].[H_MainGroup].[MainGroupDesc].&amp;[Salon].&amp;[Sokak Terliği]" c="Sokak Terliği">
                <p n="[Material].[H_MainGroup].[MainGroupDesc].&amp;[Salon]"/>
              </i>
              <i n="[Material].[H_MainGroup].[MainGroupDesc].&amp;[Salon].&amp;[Soket Çorap]" c="Soket Çorap">
                <p n="[Material].[H_MainGroup].[MainGroupDesc].&amp;[Salon]"/>
              </i>
              <i n="[Material].[H_MainGroup].[MainGroupDesc].&amp;[Salon].&amp;[Şort]" c="Şort">
                <p n="[Material].[H_MainGroup].[MainGroupDesc].&amp;[Salon]"/>
              </i>
              <i n="[Material].[H_MainGroup].[MainGroupDesc].&amp;[Salon].&amp;[Şort Takım]" c="Şort Takım">
                <p n="[Material].[H_MainGroup].[MainGroupDesc].&amp;[Salon]"/>
              </i>
              <i n="[Material].[H_MainGroup].[MainGroupDesc].&amp;[Salon].&amp;[Spor Tshirt]" c="Spor Tshirt">
                <p n="[Material].[H_MainGroup].[MainGroupDesc].&amp;[Salon]"/>
              </i>
              <i n="[Material].[H_MainGroup].[MainGroupDesc].&amp;[Salon].&amp;[Stor Perde]" c="Stor Perde">
                <p n="[Material].[H_MainGroup].[MainGroupDesc].&amp;[Salon]"/>
              </i>
              <i n="[Material].[H_MainGroup].[MainGroupDesc].&amp;[Salon].&amp;[Sütyen]" c="Sütyen">
                <p n="[Material].[H_MainGroup].[MainGroupDesc].&amp;[Salon]"/>
              </i>
              <i n="[Material].[H_MainGroup].[MainGroupDesc].&amp;[Salon].&amp;[Tek Alt]" c="Tek Alt">
                <p n="[Material].[H_MainGroup].[MainGroupDesc].&amp;[Salon]"/>
              </i>
              <i n="[Material].[H_MainGroup].[MainGroupDesc].&amp;[Salon].&amp;[Tek Uzun Alt]" c="Tek Uzun Alt">
                <p n="[Material].[H_MainGroup].[MainGroupDesc].&amp;[Salon]"/>
              </i>
              <i n="[Material].[H_MainGroup].[MainGroupDesc].&amp;[Salon].&amp;[Ten Çorap]" c="Ten Çorap">
                <p n="[Material].[H_MainGroup].[MainGroupDesc].&amp;[Salon]"/>
              </i>
              <i n="[Material].[H_MainGroup].[MainGroupDesc].&amp;[Salon].&amp;[Tül Perde]" c="Tül Perde">
                <p n="[Material].[H_MainGroup].[MainGroupDesc].&amp;[Salon]"/>
              </i>
              <i n="[Material].[H_MainGroup].[MainGroupDesc].&amp;[Salon].&amp;[Uzun Gecelik]" c="Uzun Gecelik">
                <p n="[Material].[H_MainGroup].[MainGroupDesc].&amp;[Salon]"/>
              </i>
              <i n="[Material].[H_MainGroup].[MainGroupDesc].&amp;[Salon].&amp;[Yaslanma Minderi]" c="Yaslanma Minderi">
                <p n="[Material].[H_MainGroup].[MainGroupDesc].&amp;[Salon]"/>
              </i>
              <i n="[Material].[H_MainGroup].[MainGroupDesc].&amp;[Salon].&amp;[Yer Minderi]" c="Yer Minderi">
                <p n="[Material].[H_MainGroup].[MainGroupDesc].&amp;[Salon]"/>
              </i>
              <i n="[Material].[H_MainGroup].[MainGroupDesc].&amp;[Sofra İçecek].&amp;[Bardak]" c="Bardak">
                <p n="[Material].[H_MainGroup].[MainGroupDesc].&amp;[Sofra İçecek]"/>
              </i>
              <i n="[Material].[H_MainGroup].[MainGroupDesc].&amp;[Sofra İçecek].&amp;[Bira Bardağı]" c="Bira Bardağı">
                <p n="[Material].[H_MainGroup].[MainGroupDesc].&amp;[Sofra İçecek]"/>
              </i>
              <i n="[Material].[H_MainGroup].[MainGroupDesc].&amp;[Sofra İçecek].&amp;[Çay Bardağı]" c="Çay Bardağı">
                <p n="[Material].[H_MainGroup].[MainGroupDesc].&amp;[Sofra İçecek]"/>
              </i>
              <i n="[Material].[H_MainGroup].[MainGroupDesc].&amp;[Sofra İçecek].&amp;[Çay Fincanı]" c="Çay Fincanı">
                <p n="[Material].[H_MainGroup].[MainGroupDesc].&amp;[Sofra İçecek]"/>
              </i>
              <i n="[Material].[H_MainGroup].[MainGroupDesc].&amp;[Sofra İçecek].&amp;[Çay Seti]" c="Çay Seti">
                <p n="[Material].[H_MainGroup].[MainGroupDesc].&amp;[Sofra İçecek]"/>
              </i>
              <i n="[Material].[H_MainGroup].[MainGroupDesc].&amp;[Sofra İçecek].&amp;[Çay Takımı]" c="Çay Takımı">
                <p n="[Material].[H_MainGroup].[MainGroupDesc].&amp;[Sofra İçecek]"/>
              </i>
              <i n="[Material].[H_MainGroup].[MainGroupDesc].&amp;[Sofra İçecek].&amp;[Çay-Kahve Takımı]" c="Çay-Kahve Takımı">
                <p n="[Material].[H_MainGroup].[MainGroupDesc].&amp;[Sofra İçecek]"/>
              </i>
              <i n="[Material].[H_MainGroup].[MainGroupDesc].&amp;[Sofra İçecek].&amp;[Detoks Bardağı]" c="Detoks Bardağı">
                <p n="[Material].[H_MainGroup].[MainGroupDesc].&amp;[Sofra İçecek]"/>
              </i>
              <i n="[Material].[H_MainGroup].[MainGroupDesc].&amp;[Sofra İçecek].&amp;[Fincan]" c="Fincan">
                <p n="[Material].[H_MainGroup].[MainGroupDesc].&amp;[Sofra İçecek]"/>
              </i>
              <i n="[Material].[H_MainGroup].[MainGroupDesc].&amp;[Sofra İçecek].&amp;[Kadeh]" c="Kadeh">
                <p n="[Material].[H_MainGroup].[MainGroupDesc].&amp;[Sofra İçecek]"/>
              </i>
              <i n="[Material].[H_MainGroup].[MainGroupDesc].&amp;[Sofra İçecek].&amp;[Kahve Fincan Takımı]" c="Kahve Fincan Takımı">
                <p n="[Material].[H_MainGroup].[MainGroupDesc].&amp;[Sofra İçecek]"/>
              </i>
              <i n="[Material].[H_MainGroup].[MainGroupDesc].&amp;[Sofra İçecek].&amp;[Kahve Fincanı]" c="Kahve Fincanı">
                <p n="[Material].[H_MainGroup].[MainGroupDesc].&amp;[Sofra İçecek]"/>
              </i>
              <i n="[Material].[H_MainGroup].[MainGroupDesc].&amp;[Sofra İçecek].&amp;[Kupa]" c="Kupa">
                <p n="[Material].[H_MainGroup].[MainGroupDesc].&amp;[Sofra İçecek]"/>
              </i>
              <i n="[Material].[H_MainGroup].[MainGroupDesc].&amp;[Sofra İçecek].&amp;[Meşrubat Bardağı]" c="Meşrubat Bardağı">
                <p n="[Material].[H_MainGroup].[MainGroupDesc].&amp;[Sofra İçecek]"/>
              </i>
              <i n="[Material].[H_MainGroup].[MainGroupDesc].&amp;[Sofra İçecek].&amp;[Mug]" c="Mug">
                <p n="[Material].[H_MainGroup].[MainGroupDesc].&amp;[Sofra İçecek]"/>
              </i>
              <i n="[Material].[H_MainGroup].[MainGroupDesc].&amp;[Sofra İçecek].&amp;[Pipetli Bardak]" c="Pipetli Bardak">
                <p n="[Material].[H_MainGroup].[MainGroupDesc].&amp;[Sofra İçecek]"/>
              </i>
              <i n="[Material].[H_MainGroup].[MainGroupDesc].&amp;[Sofra İçecek].&amp;[Şarap Kadehi]" c="Şarap Kadehi">
                <p n="[Material].[H_MainGroup].[MainGroupDesc].&amp;[Sofra İçecek]"/>
              </i>
              <i n="[Material].[H_MainGroup].[MainGroupDesc].&amp;[Sofra İçecek].&amp;[Su Bardağı]" c="Su Bardağı">
                <p n="[Material].[H_MainGroup].[MainGroupDesc].&amp;[Sofra İçecek]"/>
              </i>
              <i n="[Material].[H_MainGroup].[MainGroupDesc].&amp;[Sofra Sunum].&amp;[Amerikan Servis]" c="Amerikan Servis">
                <p n="[Material].[H_MainGroup].[MainGroupDesc].&amp;[Sofra Sunum]"/>
              </i>
              <i n="[Material].[H_MainGroup].[MainGroupDesc].&amp;[Sofra Sunum].&amp;[Başucu Sürahi]" c="Başucu Sürahi">
                <p n="[Material].[H_MainGroup].[MainGroupDesc].&amp;[Sofra Sunum]"/>
              </i>
              <i n="[Material].[H_MainGroup].[MainGroupDesc].&amp;[Sofra Sunum].&amp;[Bebe Mama Takımı]" c="Bebe Mama Takımı">
                <p n="[Material].[H_MainGroup].[MainGroupDesc].&amp;[Sofra Sunum]"/>
              </i>
              <i n="[Material].[H_MainGroup].[MainGroupDesc].&amp;[Sofra Sunum].&amp;[Buz Kovası]" c="Buz Kovası">
                <p n="[Material].[H_MainGroup].[MainGroupDesc].&amp;[Sofra Sunum]"/>
              </i>
              <i n="[Material].[H_MainGroup].[MainGroupDesc].&amp;[Sofra Sunum].&amp;[Çerezlik]" c="Çerezlik">
                <p n="[Material].[H_MainGroup].[MainGroupDesc].&amp;[Sofra Sunum]"/>
              </i>
              <i n="[Material].[H_MainGroup].[MainGroupDesc].&amp;[Sofra Sunum].&amp;[Çocuk Fırın Eldiveni]" c="Çocuk Fırın Eldiveni">
                <p n="[Material].[H_MainGroup].[MainGroupDesc].&amp;[Sofra Sunum]"/>
              </i>
              <i n="[Material].[H_MainGroup].[MainGroupDesc].&amp;[Sofra Sunum].&amp;[Çocuk Önlüğü]" c="Çocuk Önlüğü">
                <p n="[Material].[H_MainGroup].[MainGroupDesc].&amp;[Sofra Sunum]"/>
              </i>
              <i n="[Material].[H_MainGroup].[MainGroupDesc].&amp;[Sofra Sunum].&amp;[Çorba Kasesi]" c="Çorba Kasesi">
                <p n="[Material].[H_MainGroup].[MainGroupDesc].&amp;[Sofra Sunum]"/>
              </i>
              <i n="[Material].[H_MainGroup].[MainGroupDesc].&amp;[Sofra Sunum].&amp;[Çukur Tabak]" c="Çukur Tabak">
                <p n="[Material].[H_MainGroup].[MainGroupDesc].&amp;[Sofra Sunum]"/>
              </i>
              <i n="[Material].[H_MainGroup].[MainGroupDesc].&amp;[Sofra Sunum].&amp;[Cup]" c="Cup">
                <p n="[Material].[H_MainGroup].[MainGroupDesc].&amp;[Sofra Sunum]"/>
              </i>
              <i n="[Material].[H_MainGroup].[MainGroupDesc].&amp;[Sofra Sunum].&amp;[Damacana Kılıfı]" c="Damacana Kılıfı">
                <p n="[Material].[H_MainGroup].[MainGroupDesc].&amp;[Sofra Sunum]"/>
              </i>
              <i n="[Material].[H_MainGroup].[MainGroupDesc].&amp;[Sofra Sunum].&amp;[Dekoratif Şekerlik]" c="Dekoratif Şekerlik">
                <p n="[Material].[H_MainGroup].[MainGroupDesc].&amp;[Sofra Sunum]"/>
              </i>
              <i n="[Material].[H_MainGroup].[MainGroupDesc].&amp;[Sofra Sunum].&amp;[Dizüstü Tepsi]" c="Dizüstü Tepsi">
                <p n="[Material].[H_MainGroup].[MainGroupDesc].&amp;[Sofra Sunum]"/>
              </i>
              <i n="[Material].[H_MainGroup].[MainGroupDesc].&amp;[Sofra Sunum].&amp;[Kağıt Peçete]" c="Kağıt Peçete">
                <p n="[Material].[H_MainGroup].[MainGroupDesc].&amp;[Sofra Sunum]"/>
              </i>
              <i n="[Material].[H_MainGroup].[MainGroupDesc].&amp;[Sofra Sunum].&amp;[Kahvaltılık]" c="Kahvaltılık">
                <p n="[Material].[H_MainGroup].[MainGroupDesc].&amp;[Sofra Sunum]"/>
              </i>
              <i n="[Material].[H_MainGroup].[MainGroupDesc].&amp;[Sofra Sunum].&amp;[Karaf]" c="Karaf">
                <p n="[Material].[H_MainGroup].[MainGroupDesc].&amp;[Sofra Sunum]"/>
              </i>
              <i n="[Material].[H_MainGroup].[MainGroupDesc].&amp;[Sofra Sunum].&amp;[Karaf Seti]" c="Karaf Seti">
                <p n="[Material].[H_MainGroup].[MainGroupDesc].&amp;[Sofra Sunum]"/>
              </i>
              <i n="[Material].[H_MainGroup].[MainGroupDesc].&amp;[Sofra Sunum].&amp;[Kase]" c="Kase">
                <p n="[Material].[H_MainGroup].[MainGroupDesc].&amp;[Sofra Sunum]"/>
              </i>
              <i n="[Material].[H_MainGroup].[MainGroupDesc].&amp;[Sofra Sunum].&amp;[Katlı Servis]" c="Katlı Servis">
                <p n="[Material].[H_MainGroup].[MainGroupDesc].&amp;[Sofra Sunum]"/>
              </i>
              <i n="[Material].[H_MainGroup].[MainGroupDesc].&amp;[Sofra Sunum].&amp;[Kayık Tabak]" c="Kayık Tabak">
                <p n="[Material].[H_MainGroup].[MainGroupDesc].&amp;[Sofra Sunum]"/>
              </i>
              <i n="[Material].[H_MainGroup].[MainGroupDesc].&amp;[Sofra Sunum].&amp;[Kek Fanus]" c="Kek Fanus">
                <p n="[Material].[H_MainGroup].[MainGroupDesc].&amp;[Sofra Sunum]"/>
              </i>
              <i n="[Material].[H_MainGroup].[MainGroupDesc].&amp;[Sofra Sunum].&amp;[Kek Standı]" c="Kek Standı">
                <p n="[Material].[H_MainGroup].[MainGroupDesc].&amp;[Sofra Sunum]"/>
              </i>
              <i n="[Material].[H_MainGroup].[MainGroupDesc].&amp;[Sofra Sunum].&amp;[Kokteyl Peçetesi]" c="Kokteyl Peçetesi">
                <p n="[Material].[H_MainGroup].[MainGroupDesc].&amp;[Sofra Sunum]"/>
              </i>
              <i n="[Material].[H_MainGroup].[MainGroupDesc].&amp;[Sofra Sunum].&amp;[Kokteyl Seti]" c="Kokteyl Seti">
                <p n="[Material].[H_MainGroup].[MainGroupDesc].&amp;[Sofra Sunum]"/>
              </i>
              <i n="[Material].[H_MainGroup].[MainGroupDesc].&amp;[Sofra Sunum].&amp;[Kurabiyelik]" c="Kurabiyelik">
                <p n="[Material].[H_MainGroup].[MainGroupDesc].&amp;[Sofra Sunum]"/>
              </i>
              <i n="[Material].[H_MainGroup].[MainGroupDesc].&amp;[Sofra Sunum].&amp;[Kurulama Bezi]" c="Kurulama Bezi">
                <p n="[Material].[H_MainGroup].[MainGroupDesc].&amp;[Sofra Sunum]"/>
              </i>
              <i n="[Material].[H_MainGroup].[MainGroupDesc].&amp;[Sofra Sunum].&amp;[Masa Örtüsü]" c="Masa Örtüsü">
                <p n="[Material].[H_MainGroup].[MainGroupDesc].&amp;[Sofra Sunum]"/>
              </i>
              <i n="[Material].[H_MainGroup].[MainGroupDesc].&amp;[Sofra Sunum].&amp;[Meşrubatlık]" c="Meşrubatlık">
                <p n="[Material].[H_MainGroup].[MainGroupDesc].&amp;[Sofra Sunum]"/>
              </i>
              <i n="[Material].[H_MainGroup].[MainGroupDesc].&amp;[Sofra Sunum].&amp;[Misafir Peçetesi]" c="Misafir Peçetesi">
                <p n="[Material].[H_MainGroup].[MainGroupDesc].&amp;[Sofra Sunum]"/>
              </i>
              <i n="[Material].[H_MainGroup].[MainGroupDesc].&amp;[Sofra Sunum].&amp;[Mutfak Bezi]" c="Mutfak Bezi">
                <p n="[Material].[H_MainGroup].[MainGroupDesc].&amp;[Sofra Sunum]"/>
              </i>
              <i n="[Material].[H_MainGroup].[MainGroupDesc].&amp;[Sofra Sunum].&amp;[Mutfak Masa Örtüsü]" c="Mutfak Masa Örtüsü">
                <p n="[Material].[H_MainGroup].[MainGroupDesc].&amp;[Sofra Sunum]"/>
              </i>
              <i n="[Material].[H_MainGroup].[MainGroupDesc].&amp;[Sofra Sunum].&amp;[Mutfak Minderi]" c="Mutfak Minderi">
                <p n="[Material].[H_MainGroup].[MainGroupDesc].&amp;[Sofra Sunum]"/>
              </i>
              <i n="[Material].[H_MainGroup].[MainGroupDesc].&amp;[Sofra Sunum].&amp;[Mutfak Önlüğü]" c="Mutfak Önlüğü">
                <p n="[Material].[H_MainGroup].[MainGroupDesc].&amp;[Sofra Sunum]"/>
              </i>
              <i n="[Material].[H_MainGroup].[MainGroupDesc].&amp;[Sofra Sunum].&amp;[Mutfak Runnerı]" c="Mutfak Runnerı">
                <p n="[Material].[H_MainGroup].[MainGroupDesc].&amp;[Sofra Sunum]"/>
              </i>
              <i n="[Material].[H_MainGroup].[MainGroupDesc].&amp;[Sofra Sunum].&amp;[Mutfak Seti]" c="Mutfak Seti">
                <p n="[Material].[H_MainGroup].[MainGroupDesc].&amp;[Sofra Sunum]"/>
              </i>
              <i n="[Material].[H_MainGroup].[MainGroupDesc].&amp;[Sofra Sunum].&amp;[Pasta Tabağı]" c="Pasta Tabağı">
                <p n="[Material].[H_MainGroup].[MainGroupDesc].&amp;[Sofra Sunum]"/>
              </i>
              <i n="[Material].[H_MainGroup].[MainGroupDesc].&amp;[Sofra Sunum].&amp;[Peçete Halkası]" c="Peçete Halkası">
                <p n="[Material].[H_MainGroup].[MainGroupDesc].&amp;[Sofra Sunum]"/>
              </i>
              <i n="[Material].[H_MainGroup].[MainGroupDesc].&amp;[Sofra Sunum].&amp;[Peçete Yüzüğü]" c="Peçete Yüzüğü">
                <p n="[Material].[H_MainGroup].[MainGroupDesc].&amp;[Sofra Sunum]"/>
              </i>
              <i n="[Material].[H_MainGroup].[MainGroupDesc].&amp;[Sofra Sunum].&amp;[Peynir Tahtası]" c="Peynir Tahtası">
                <p n="[Material].[H_MainGroup].[MainGroupDesc].&amp;[Sofra Sunum]"/>
              </i>
              <i n="[Material].[H_MainGroup].[MainGroupDesc].&amp;[Sofra Sunum].&amp;[Piknik Çantası]" c="Piknik Çantası">
                <p n="[Material].[H_MainGroup].[MainGroupDesc].&amp;[Sofra Sunum]"/>
              </i>
              <i n="[Material].[H_MainGroup].[MainGroupDesc].&amp;[Sofra Sunum].&amp;[Reçellik]" c="Reçellik">
                <p n="[Material].[H_MainGroup].[MainGroupDesc].&amp;[Sofra Sunum]"/>
              </i>
              <i n="[Material].[H_MainGroup].[MainGroupDesc].&amp;[Sofra Sunum].&amp;[Runner]" c="Runner">
                <p n="[Material].[H_MainGroup].[MainGroupDesc].&amp;[Sofra Sunum]"/>
              </i>
              <i n="[Material].[H_MainGroup].[MainGroupDesc].&amp;[Sofra Sunum].&amp;[Salata Kasesi]" c="Salata Kasesi">
                <p n="[Material].[H_MainGroup].[MainGroupDesc].&amp;[Sofra Sunum]"/>
              </i>
              <i n="[Material].[H_MainGroup].[MainGroupDesc].&amp;[Sofra Sunum].&amp;[Sehpa Örtüsü]" c="Sehpa Örtüsü">
                <p n="[Material].[H_MainGroup].[MainGroupDesc].&amp;[Sofra Sunum]"/>
              </i>
              <i n="[Material].[H_MainGroup].[MainGroupDesc].&amp;[Sofra Sunum].&amp;[Şekerlik]" c="Şekerlik">
                <p n="[Material].[H_MainGroup].[MainGroupDesc].&amp;[Sofra Sunum]"/>
              </i>
              <i n="[Material].[H_MainGroup].[MainGroupDesc].&amp;[Sofra Sunum].&amp;[Servis Standı]" c="Servis Standı">
                <p n="[Material].[H_MainGroup].[MainGroupDesc].&amp;[Sofra Sunum]"/>
              </i>
              <i n="[Material].[H_MainGroup].[MainGroupDesc].&amp;[Sofra Sunum].&amp;[Servis Tabağı]" c="Servis Tabağı">
                <p n="[Material].[H_MainGroup].[MainGroupDesc].&amp;[Sofra Sunum]"/>
              </i>
              <i n="[Material].[H_MainGroup].[MainGroupDesc].&amp;[Sofra Sunum].&amp;[Servis Tamamlayıcı]" c="Servis Tamamlayıcı">
                <p n="[Material].[H_MainGroup].[MainGroupDesc].&amp;[Sofra Sunum]"/>
              </i>
              <i n="[Material].[H_MainGroup].[MainGroupDesc].&amp;[Sofra Sunum].&amp;[Şişe]" c="Şişe">
                <p n="[Material].[H_MainGroup].[MainGroupDesc].&amp;[Sofra Sunum]"/>
              </i>
              <i n="[Material].[H_MainGroup].[MainGroupDesc].&amp;[Sofra Sunum].&amp;[Sosluk]" c="Sosluk">
                <p n="[Material].[H_MainGroup].[MainGroupDesc].&amp;[Sofra Sunum]"/>
              </i>
              <i n="[Material].[H_MainGroup].[MainGroupDesc].&amp;[Sofra Sunum].&amp;[Su Takımı]" c="Su Takımı">
                <p n="[Material].[H_MainGroup].[MainGroupDesc].&amp;[Sofra Sunum]"/>
              </i>
              <i n="[Material].[H_MainGroup].[MainGroupDesc].&amp;[Sofra Sunum].&amp;[Sunum Kasesi]" c="Sunum Kasesi">
                <p n="[Material].[H_MainGroup].[MainGroupDesc].&amp;[Sofra Sunum]"/>
              </i>
              <i n="[Material].[H_MainGroup].[MainGroupDesc].&amp;[Sofra Sunum].&amp;[Sunum Seti]" c="Sunum Seti">
                <p n="[Material].[H_MainGroup].[MainGroupDesc].&amp;[Sofra Sunum]"/>
              </i>
              <i n="[Material].[H_MainGroup].[MainGroupDesc].&amp;[Sofra Sunum].&amp;[Sunum Tabağı]" c="Sunum Tabağı">
                <p n="[Material].[H_MainGroup].[MainGroupDesc].&amp;[Sofra Sunum]"/>
              </i>
              <i n="[Material].[H_MainGroup].[MainGroupDesc].&amp;[Sofra Sunum].&amp;[Sunum Tahtası]" c="Sunum Tahtası">
                <p n="[Material].[H_MainGroup].[MainGroupDesc].&amp;[Sofra Sunum]"/>
              </i>
              <i n="[Material].[H_MainGroup].[MainGroupDesc].&amp;[Sofra Sunum].&amp;[Sunumluk]" c="Sunumluk">
                <p n="[Material].[H_MainGroup].[MainGroupDesc].&amp;[Sofra Sunum]"/>
              </i>
              <i n="[Material].[H_MainGroup].[MainGroupDesc].&amp;[Sofra Sunum].&amp;[Supla]" c="Supla">
                <p n="[Material].[H_MainGroup].[MainGroupDesc].&amp;[Sofra Sunum]"/>
              </i>
              <i n="[Material].[H_MainGroup].[MainGroupDesc].&amp;[Sofra Sunum].&amp;[Supla Altı]" c="Supla Altı">
                <p n="[Material].[H_MainGroup].[MainGroupDesc].&amp;[Sofra Sunum]"/>
              </i>
              <i n="[Material].[H_MainGroup].[MainGroupDesc].&amp;[Sofra Sunum].&amp;[Sürahi]" c="Sürahi">
                <p n="[Material].[H_MainGroup].[MainGroupDesc].&amp;[Sofra Sunum]"/>
              </i>
              <i n="[Material].[H_MainGroup].[MainGroupDesc].&amp;[Sofra Sunum].&amp;[Tabak]" c="Tabak">
                <p n="[Material].[H_MainGroup].[MainGroupDesc].&amp;[Sofra Sunum]"/>
              </i>
              <i n="[Material].[H_MainGroup].[MainGroupDesc].&amp;[Sofra Sunum].&amp;[Tatlı Tabağı]" c="Tatlı Tabağı">
                <p n="[Material].[H_MainGroup].[MainGroupDesc].&amp;[Sofra Sunum]"/>
              </i>
              <i n="[Material].[H_MainGroup].[MainGroupDesc].&amp;[Sofra Sunum].&amp;[Tepsi]" c="Tepsi">
                <p n="[Material].[H_MainGroup].[MainGroupDesc].&amp;[Sofra Sunum]"/>
              </i>
              <i n="[Material].[H_MainGroup].[MainGroupDesc].&amp;[Sofra Sunum].&amp;[Tereyağlık]" c="Tereyağlık">
                <p n="[Material].[H_MainGroup].[MainGroupDesc].&amp;[Sofra Sunum]"/>
              </i>
              <i n="[Material].[H_MainGroup].[MainGroupDesc].&amp;[Sofra Sunum].&amp;[Tuzluk]" c="Tuzluk">
                <p n="[Material].[H_MainGroup].[MainGroupDesc].&amp;[Sofra Sunum]"/>
              </i>
              <i n="[Material].[H_MainGroup].[MainGroupDesc].&amp;[Sofra Sunum].&amp;[Tuzluk - Biberlik]" c="Tuzluk - Biberlik">
                <p n="[Material].[H_MainGroup].[MainGroupDesc].&amp;[Sofra Sunum]"/>
              </i>
              <i n="[Material].[H_MainGroup].[MainGroupDesc].&amp;[Sofra Sunum].&amp;[Yağdanlık]" c="Yağdanlık">
                <p n="[Material].[H_MainGroup].[MainGroupDesc].&amp;[Sofra Sunum]"/>
              </i>
              <i n="[Material].[H_MainGroup].[MainGroupDesc].&amp;[Sofra Sunum].&amp;[Yağ-Sirke-Tuz-Bbr]" c="Yağ-Sirke-Tuz-Bbr">
                <p n="[Material].[H_MainGroup].[MainGroupDesc].&amp;[Sofra Sunum]"/>
              </i>
              <i n="[Material].[H_MainGroup].[MainGroupDesc].&amp;[Sofra Takımları].&amp;[Çatal Kaşık Bıçak Tk]" c="Çatal Kaşık Bıçak Tk">
                <p n="[Material].[H_MainGroup].[MainGroupDesc].&amp;[Sofra Takımları]"/>
              </i>
              <i n="[Material].[H_MainGroup].[MainGroupDesc].&amp;[Sofra Takımları].&amp;[Çay Kaşığı]" c="Çay Kaşığı">
                <p n="[Material].[H_MainGroup].[MainGroupDesc].&amp;[Sofra Takımları]"/>
              </i>
              <i n="[Material].[H_MainGroup].[MainGroupDesc].&amp;[Sofra Takımları].&amp;[Çay Tabağı]" c="Çay Tabağı">
                <p n="[Material].[H_MainGroup].[MainGroupDesc].&amp;[Sofra Takımları]"/>
              </i>
              <i n="[Material].[H_MainGroup].[MainGroupDesc].&amp;[Sofra Takımları].&amp;[Kahvaltı Takımı]" c="Kahvaltı Takımı">
                <p n="[Material].[H_MainGroup].[MainGroupDesc].&amp;[Sofra Takımları]"/>
              </i>
              <i n="[Material].[H_MainGroup].[MainGroupDesc].&amp;[Sofra Takımları].&amp;[Kokteyl Çatalı]" c="Kokteyl Çatalı">
                <p n="[Material].[H_MainGroup].[MainGroupDesc].&amp;[Sofra Takımları]"/>
              </i>
              <i n="[Material].[H_MainGroup].[MainGroupDesc].&amp;[Sofra Takımları].&amp;[Kokteyl Karıştırıcı]" c="Kokteyl Karıştırıcı">
                <p n="[Material].[H_MainGroup].[MainGroupDesc].&amp;[Sofra Takımları]"/>
              </i>
              <i n="[Material].[H_MainGroup].[MainGroupDesc].&amp;[Sofra Takımları].&amp;[Pasta Seti]" c="Pasta Seti">
                <p n="[Material].[H_MainGroup].[MainGroupDesc].&amp;[Sofra Takımları]"/>
              </i>
              <i n="[Material].[H_MainGroup].[MainGroupDesc].&amp;[Sofra Takımları].&amp;[Tatlı Bıçağı]" c="Tatlı Bıçağı">
                <p n="[Material].[H_MainGroup].[MainGroupDesc].&amp;[Sofra Takımları]"/>
              </i>
              <i n="[Material].[H_MainGroup].[MainGroupDesc].&amp;[Sofra Takımları].&amp;[Tatlı Çatalı]" c="Tatlı Çatalı">
                <p n="[Material].[H_MainGroup].[MainGroupDesc].&amp;[Sofra Takımları]"/>
              </i>
              <i n="[Material].[H_MainGroup].[MainGroupDesc].&amp;[Sofra Takımları].&amp;[Tatlı Kaşığı]" c="Tatlı Kaşığı">
                <p n="[Material].[H_MainGroup].[MainGroupDesc].&amp;[Sofra Takımları]"/>
              </i>
              <i n="[Material].[H_MainGroup].[MainGroupDesc].&amp;[Sofra Takımları].&amp;[Yemek Bıçağı]" c="Yemek Bıçağı">
                <p n="[Material].[H_MainGroup].[MainGroupDesc].&amp;[Sofra Takımları]"/>
              </i>
              <i n="[Material].[H_MainGroup].[MainGroupDesc].&amp;[Sofra Takımları].&amp;[Yemek Çatalı]" c="Yemek Çatalı">
                <p n="[Material].[H_MainGroup].[MainGroupDesc].&amp;[Sofra Takımları]"/>
              </i>
              <i n="[Material].[H_MainGroup].[MainGroupDesc].&amp;[Sofra Takımları].&amp;[Yemek Kaşığı]" c="Yemek Kaşığı">
                <p n="[Material].[H_MainGroup].[MainGroupDesc].&amp;[Sofra Takımları]"/>
              </i>
              <i n="[Material].[H_MainGroup].[MainGroupDesc].&amp;[Sofra Takımları].&amp;[Yemek Takımı]" c="Yemek Takımı">
                <p n="[Material].[H_MainGroup].[MainGroupDesc].&amp;[Sofra Takımları]"/>
              </i>
              <i n="[Material].[H_MainGroup].[MainGroupDesc].&amp;[Yastık].&amp;[Alez Yastık Kılıfı]" c="Alez Yastık Kılıfı">
                <p n="[Material].[H_MainGroup].[MainGroupDesc].&amp;[Yastık]"/>
              </i>
              <i n="[Material].[H_MainGroup].[MainGroupDesc].&amp;[Yastık].&amp;[Bebe Yastık]" c="Bebe Yastık">
                <p n="[Material].[H_MainGroup].[MainGroupDesc].&amp;[Yastık]"/>
              </i>
              <i n="[Material].[H_MainGroup].[MainGroupDesc].&amp;[Yastık].&amp;[Bel Yastığı]" c="Bel Yastığı">
                <p n="[Material].[H_MainGroup].[MainGroupDesc].&amp;[Yastık]"/>
              </i>
              <i n="[Material].[H_MainGroup].[MainGroupDesc].&amp;[Yastık].&amp;[Çocuk Yastık Kılıfı]" c="Çocuk Yastık Kılıfı">
                <p n="[Material].[H_MainGroup].[MainGroupDesc].&amp;[Yastık]"/>
              </i>
              <i n="[Material].[H_MainGroup].[MainGroupDesc].&amp;[Yastık].&amp;[Destekli Yastık]" c="Destekli Yastık">
                <p n="[Material].[H_MainGroup].[MainGroupDesc].&amp;[Yastık]"/>
              </i>
              <i n="[Material].[H_MainGroup].[MainGroupDesc].&amp;[Yastık].&amp;[Kırlent Yastık]" c="Kırlent Yastık">
                <p n="[Material].[H_MainGroup].[MainGroupDesc].&amp;[Yastık]"/>
              </i>
              <i n="[Material].[H_MainGroup].[MainGroupDesc].&amp;[Yastık].&amp;[Yastık]" c="Yastık">
                <p n="[Material].[H_MainGroup].[MainGroupDesc].&amp;[Yastık]"/>
              </i>
              <i n="[Material].[H_MainGroup].[MainGroupDesc].&amp;[Yastık].&amp;[Yastık Alezi]" c="Yastık Alezi">
                <p n="[Material].[H_MainGroup].[MainGroupDesc].&amp;[Yastık]"/>
              </i>
              <i n="[Material].[H_MainGroup].[MainGroupDesc].&amp;[Yatak Örtüsü].&amp;[Bebe Yatak K. Koruma]" c="Bebe Yatak K. Koruma">
                <p n="[Material].[H_MainGroup].[MainGroupDesc].&amp;[Yatak Örtüsü]"/>
              </i>
              <i n="[Material].[H_MainGroup].[MainGroupDesc].&amp;[Yatak Örtüsü].&amp;[Bebe Yatak Koruma]" c="Bebe Yatak Koruma">
                <p n="[Material].[H_MainGroup].[MainGroupDesc].&amp;[Yatak Örtüsü]"/>
              </i>
              <i n="[Material].[H_MainGroup].[MainGroupDesc].&amp;[Yatak Örtüsü].&amp;[Çocuk Yatak Örtü Tkm]" c="Çocuk Yatak Örtü Tkm">
                <p n="[Material].[H_MainGroup].[MainGroupDesc].&amp;[Yatak Örtüsü]"/>
              </i>
              <i n="[Material].[H_MainGroup].[MainGroupDesc].&amp;[Yatak Örtüsü].&amp;[Çok Amaçlı Örtü]" c="Çok Amaçlı Örtü">
                <p n="[Material].[H_MainGroup].[MainGroupDesc].&amp;[Yatak Örtüsü]"/>
              </i>
              <i n="[Material].[H_MainGroup].[MainGroupDesc].&amp;[Yatak Örtüsü].&amp;[Yatak Örtüsü]" c="Yatak Örtüsü">
                <p n="[Material].[H_MainGroup].[MainGroupDesc].&amp;[Yatak Örtüsü]"/>
              </i>
              <i n="[Material].[H_MainGroup].[MainGroupDesc].&amp;[Yatak Örtüsü].&amp;[Yatak Örtüsü Takımı]" c="Yatak Örtüsü Takımı">
                <p n="[Material].[H_MainGroup].[MainGroupDesc].&amp;[Yatak Örtüsü]"/>
              </i>
              <i n="[Material].[H_MainGroup].[MainGroupDesc].&amp;[YEDEK PARÇA].&amp;[Airfryer YP]" c="Airfryer YP">
                <p n="[Material].[H_MainGroup].[MainGroupDesc].&amp;[YEDEK PARÇA]"/>
              </i>
              <i n="[Material].[H_MainGroup].[MainGroupDesc].&amp;[YEDEK PARÇA].&amp;[Çay Makinesi YP]" c="Çay Makinesi YP">
                <p n="[Material].[H_MainGroup].[MainGroupDesc].&amp;[YEDEK PARÇA]"/>
              </i>
              <i n="[Material].[H_MainGroup].[MainGroupDesc].&amp;[YEDEK PARÇA].&amp;[Doğrayıcı YP]" c="Doğrayıcı YP">
                <p n="[Material].[H_MainGroup].[MainGroupDesc].&amp;[YEDEK PARÇA]"/>
              </i>
              <i n="[Material].[H_MainGroup].[MainGroupDesc].&amp;[YEDEK PARÇA].&amp;[El Blen.Multi Set YP]" c="El Blen.Multi Set YP">
                <p n="[Material].[H_MainGroup].[MainGroupDesc].&amp;[YEDEK PARÇA]"/>
              </i>
              <i n="[Material].[H_MainGroup].[MainGroupDesc].&amp;[YEDEK PARÇA].&amp;[El Mikseri YP]" c="El Mikseri YP">
                <p n="[Material].[H_MainGroup].[MainGroupDesc].&amp;[YEDEK PARÇA]"/>
              </i>
              <i n="[Material].[H_MainGroup].[MainGroupDesc].&amp;[YEDEK PARÇA].&amp;[Elektrikli Süpürge Y]" c="Elektrikli Süpürge Y">
                <p n="[Material].[H_MainGroup].[MainGroupDesc].&amp;[YEDEK PARÇA]"/>
              </i>
              <i n="[Material].[H_MainGroup].[MainGroupDesc].&amp;[YEDEK PARÇA].&amp;[Filtre Kahve M.YP]" c="Filtre Kahve M.YP">
                <p n="[Material].[H_MainGroup].[MainGroupDesc].&amp;[YEDEK PARÇA]"/>
              </i>
              <i n="[Material].[H_MainGroup].[MainGroupDesc].&amp;[YEDEK PARÇA].&amp;[Izgara ve Tost M. YP]" c="Izgara ve Tost M. YP">
                <p n="[Material].[H_MainGroup].[MainGroupDesc].&amp;[YEDEK PARÇA]"/>
              </i>
              <i n="[Material].[H_MainGroup].[MainGroupDesc].&amp;[YEDEK PARÇA].&amp;[KEA YP]" c="KEA YP">
                <p n="[Material].[H_MainGroup].[MainGroupDesc].&amp;[YEDEK PARÇA]"/>
              </i>
              <i n="[Material].[H_MainGroup].[MainGroupDesc].&amp;[YEDEK PARÇA].&amp;[Kişisel Blender YP]" c="Kişisel Blender YP">
                <p n="[Material].[H_MainGroup].[MainGroupDesc].&amp;[YEDEK PARÇA]"/>
              </i>
              <i n="[Material].[H_MainGroup].[MainGroupDesc].&amp;[YEDEK PARÇA].&amp;[Kozmetik YP]" c="Kozmetik YP">
                <p n="[Material].[H_MainGroup].[MainGroupDesc].&amp;[YEDEK PARÇA]"/>
              </i>
              <i n="[Material].[H_MainGroup].[MainGroupDesc].&amp;[YEDEK PARÇA].&amp;[Mutfak YP]" c="Mutfak YP">
                <p n="[Material].[H_MainGroup].[MainGroupDesc].&amp;[YEDEK PARÇA]"/>
              </i>
              <i n="[Material].[H_MainGroup].[MainGroupDesc].&amp;[YEDEK PARÇA].&amp;[Pişirme YP]" c="Pişirme YP">
                <p n="[Material].[H_MainGroup].[MainGroupDesc].&amp;[YEDEK PARÇA]"/>
              </i>
              <i n="[Material].[H_MainGroup].[MainGroupDesc].&amp;[YEDEK PARÇA].&amp;[Saç Kurutma YP]" c="Saç Kurutma YP">
                <p n="[Material].[H_MainGroup].[MainGroupDesc].&amp;[YEDEK PARÇA]"/>
              </i>
              <i n="[Material].[H_MainGroup].[MainGroupDesc].&amp;[YEDEK PARÇA].&amp;[Sarf YP]" c="Sarf YP">
                <p n="[Material].[H_MainGroup].[MainGroupDesc].&amp;[YEDEK PARÇA]"/>
              </i>
              <i n="[Material].[H_MainGroup].[MainGroupDesc].&amp;[YEDEK PARÇA].&amp;[Şarjlı Süpürge YP.]" c="Şarjlı Süpürge YP.">
                <p n="[Material].[H_MainGroup].[MainGroupDesc].&amp;[YEDEK PARÇA]"/>
              </i>
              <i n="[Material].[H_MainGroup].[MainGroupDesc].&amp;[YEDEK PARÇA].&amp;[Sofra YP]" c="Sofra YP">
                <p n="[Material].[H_MainGroup].[MainGroupDesc].&amp;[YEDEK PARÇA]"/>
              </i>
              <i n="[Material].[H_MainGroup].[MainGroupDesc].&amp;[YEDEK PARÇA].&amp;[SSH YP]" c="SSH YP">
                <p n="[Material].[H_MainGroup].[MainGroupDesc].&amp;[YEDEK PARÇA]"/>
              </i>
              <i n="[Material].[H_MainGroup].[MainGroupDesc].&amp;[YEDEK PARÇA].&amp;[Stand Mikser YP]" c="Stand Mikser YP">
                <p n="[Material].[H_MainGroup].[MainGroupDesc].&amp;[YEDEK PARÇA]"/>
              </i>
              <i n="[Material].[H_MainGroup].[MainGroupDesc].&amp;[YEDEK PARÇA].&amp;[Su Isıtıcısı YP.]" c="Su Isıtıcısı YP.">
                <p n="[Material].[H_MainGroup].[MainGroupDesc].&amp;[YEDEK PARÇA]"/>
              </i>
              <i n="[Material].[H_MainGroup].[MainGroupDesc].&amp;[YEDEK PARÇA].&amp;[Sürahi Blender YP]" c="Sürahi Blender YP">
                <p n="[Material].[H_MainGroup].[MainGroupDesc].&amp;[YEDEK PARÇA]"/>
              </i>
              <i n="[Material].[H_MainGroup].[MainGroupDesc].&amp;[YEDEK PARÇA].&amp;[Türk Kahve M. YP]" c="Türk Kahve M. YP">
                <p n="[Material].[H_MainGroup].[MainGroupDesc].&amp;[YEDEK PARÇA]"/>
              </i>
              <i n="[Material].[H_MainGroup].[MainGroupDesc].&amp;[YEDEK PARÇA].&amp;[Waffle Makinesi YP]" c="Waffle Makinesi YP">
                <p n="[Material].[H_MainGroup].[MainGroupDesc].&amp;[YEDEK PARÇA]"/>
              </i>
              <i n="[Material].[H_MainGroup].[MainGroupDesc].&amp;[Yorgan].&amp;[Alez]" c="Alez">
                <p n="[Material].[H_MainGroup].[MainGroupDesc].&amp;[Yorgan]"/>
              </i>
              <i n="[Material].[H_MainGroup].[MainGroupDesc].&amp;[Yorgan].&amp;[Bebe Alez]" c="Bebe Alez">
                <p n="[Material].[H_MainGroup].[MainGroupDesc].&amp;[Yorgan]"/>
              </i>
              <i n="[Material].[H_MainGroup].[MainGroupDesc].&amp;[Yorgan].&amp;[Bebe Yorgan]" c="Bebe Yorgan">
                <p n="[Material].[H_MainGroup].[MainGroupDesc].&amp;[Yorgan]"/>
              </i>
              <i n="[Material].[H_MainGroup].[MainGroupDesc].&amp;[Yorgan].&amp;[Bebe Yorgan Set]" c="Bebe Yorgan Set">
                <p n="[Material].[H_MainGroup].[MainGroupDesc].&amp;[Yorgan]"/>
              </i>
              <i n="[Material].[H_MainGroup].[MainGroupDesc].&amp;[Yorgan].&amp;[Uyku Seti]" c="Uyku Seti">
                <p n="[Material].[H_MainGroup].[MainGroupDesc].&amp;[Yorgan]"/>
              </i>
              <i n="[Material].[H_MainGroup].[MainGroupDesc].&amp;[Yorgan].&amp;[Yastık ve Yorgan Tk]" c="Yastık ve Yorgan Tk">
                <p n="[Material].[H_MainGroup].[MainGroupDesc].&amp;[Yorgan]"/>
              </i>
              <i n="[Material].[H_MainGroup].[MainGroupDesc].&amp;[Yorgan].&amp;[Yatak Eteği]" c="Yatak Eteği">
                <p n="[Material].[H_MainGroup].[MainGroupDesc].&amp;[Yorgan]"/>
              </i>
              <i n="[Material].[H_MainGroup].[MainGroupDesc].&amp;[Yorgan].&amp;[Yatak Pedi.]" c="Yatak Pedi.">
                <p n="[Material].[H_MainGroup].[MainGroupDesc].&amp;[Yorgan]"/>
              </i>
              <i n="[Material].[H_MainGroup].[MainGroupDesc].&amp;[Yorgan].&amp;[Yorgan]" c="Yorgan">
                <p n="[Material].[H_MainGroup].[MainGroupDesc].&amp;[Yorgan]"/>
              </i>
              <i n="[Material].[H_MainGroup].[MainGroupDesc].&amp;[#NA].&amp;[#NA]" c="#NA" nd="1">
                <p n="[Material].[H_MainGroup].[MainGroupDesc].&amp;[#NA]"/>
              </i>
              <i n="[Material].[H_MainGroup].[MainGroupDesc].&amp;[Aksesuar].&amp;[#NA]" c="#NA" nd="1">
                <p n="[Material].[H_MainGroup].[MainGroupDesc].&amp;[Aksesuar]"/>
              </i>
              <i n="[Material].[H_MainGroup].[MainGroupDesc].&amp;[Aksesuar].&amp;[Alışveriş Arabası]" c="Alışveriş Arabası" nd="1">
                <p n="[Material].[H_MainGroup].[MainGroupDesc].&amp;[Aksesuar]"/>
              </i>
              <i n="[Material].[H_MainGroup].[MainGroupDesc].&amp;[Aksesuar].&amp;[Alışveriş Defteri]" c="Alışveriş Defteri" nd="1">
                <p n="[Material].[H_MainGroup].[MainGroupDesc].&amp;[Aksesuar]"/>
              </i>
              <i n="[Material].[H_MainGroup].[MainGroupDesc].&amp;[Aksesuar].&amp;[Alışveriş Tablosu]" c="Alışveriş Tablosu" nd="1">
                <p n="[Material].[H_MainGroup].[MainGroupDesc].&amp;[Aksesuar]"/>
              </i>
              <i n="[Material].[H_MainGroup].[MainGroupDesc].&amp;[Aksesuar].&amp;[Anahtarlık]" c="Anahtarlık" nd="1">
                <p n="[Material].[H_MainGroup].[MainGroupDesc].&amp;[Aksesuar]"/>
              </i>
              <i n="[Material].[H_MainGroup].[MainGroupDesc].&amp;[Aksesuar].&amp;[Araba Güneşliği]" c="Araba Güneşliği" nd="1">
                <p n="[Material].[H_MainGroup].[MainGroupDesc].&amp;[Aksesuar]"/>
              </i>
              <i n="[Material].[H_MainGroup].[MainGroupDesc].&amp;[Aksesuar].&amp;[Araç İçi Organizer]" c="Araç İçi Organizer" nd="1">
                <p n="[Material].[H_MainGroup].[MainGroupDesc].&amp;[Aksesuar]"/>
              </i>
              <i n="[Material].[H_MainGroup].[MainGroupDesc].&amp;[Aksesuar].&amp;[Armut Hamak]" c="Armut Hamak" nd="1">
                <p n="[Material].[H_MainGroup].[MainGroupDesc].&amp;[Aksesuar]"/>
              </i>
              <i n="[Material].[H_MainGroup].[MainGroupDesc].&amp;[Aksesuar].&amp;[Ataş Raptiye]" c="Ataş Raptiye" nd="1">
                <p n="[Material].[H_MainGroup].[MainGroupDesc].&amp;[Aksesuar]"/>
              </i>
              <i n="[Material].[H_MainGroup].[MainGroupDesc].&amp;[Aksesuar].&amp;[Atlama İpi]" c="Atlama İpi" nd="1">
                <p n="[Material].[H_MainGroup].[MainGroupDesc].&amp;[Aksesuar]"/>
              </i>
              <i n="[Material].[H_MainGroup].[MainGroupDesc].&amp;[Aksesuar].&amp;[Ayakkabı Çekeceği]" c="Ayakkabı Çekeceği" nd="1">
                <p n="[Material].[H_MainGroup].[MainGroupDesc].&amp;[Aksesuar]"/>
              </i>
              <i n="[Material].[H_MainGroup].[MainGroupDesc].&amp;[Aksesuar].&amp;[Ayakkabı Tabanlık]" c="Ayakkabı Tabanlık" nd="1">
                <p n="[Material].[H_MainGroup].[MainGroupDesc].&amp;[Aksesuar]"/>
              </i>
              <i n="[Material].[H_MainGroup].[MainGroupDesc].&amp;[Aksesuar].&amp;[Ayakkabı Torbası]" c="Ayakkabı Torbası" nd="1">
                <p n="[Material].[H_MainGroup].[MainGroupDesc].&amp;[Aksesuar]"/>
              </i>
              <i n="[Material].[H_MainGroup].[MainGroupDesc].&amp;[Aksesuar].&amp;[Ayakkabılık]" c="Ayakkabılık" nd="1">
                <p n="[Material].[H_MainGroup].[MainGroupDesc].&amp;[Aksesuar]"/>
              </i>
              <i n="[Material].[H_MainGroup].[MainGroupDesc].&amp;[Aksesuar].&amp;[Ayıcık]" c="Ayıcık" nd="1">
                <p n="[Material].[H_MainGroup].[MainGroupDesc].&amp;[Aksesuar]"/>
              </i>
              <i n="[Material].[H_MainGroup].[MainGroupDesc].&amp;[Aksesuar].&amp;[Ayna Set]" c="Ayna Set" nd="1">
                <p n="[Material].[H_MainGroup].[MainGroupDesc].&amp;[Aksesuar]"/>
              </i>
              <i n="[Material].[H_MainGroup].[MainGroupDesc].&amp;[Aksesuar].&amp;[Bahçe Malzemeleri]" c="Bahçe Malzemeleri" nd="1">
                <p n="[Material].[H_MainGroup].[MainGroupDesc].&amp;[Aksesuar]"/>
              </i>
              <i n="[Material].[H_MainGroup].[MainGroupDesc].&amp;[Aksesuar].&amp;[Balkon Kurutmalığı]" c="Balkon Kurutmalığı" nd="1">
                <p n="[Material].[H_MainGroup].[MainGroupDesc].&amp;[Aksesuar]"/>
              </i>
              <i n="[Material].[H_MainGroup].[MainGroupDesc].&amp;[Aksesuar].&amp;[Bant]" c="Bant" nd="1">
                <p n="[Material].[H_MainGroup].[MainGroupDesc].&amp;[Aksesuar]"/>
              </i>
              <i n="[Material].[H_MainGroup].[MainGroupDesc].&amp;[Aksesuar].&amp;[Banyo Çöp Kovası]" c="Banyo Çöp Kovası" nd="1">
                <p n="[Material].[H_MainGroup].[MainGroupDesc].&amp;[Aksesuar]"/>
              </i>
              <i n="[Material].[H_MainGroup].[MainGroupDesc].&amp;[Aksesuar].&amp;[Banyo Perdesi]" c="Banyo Perdesi" nd="1">
                <p n="[Material].[H_MainGroup].[MainGroupDesc].&amp;[Aksesuar]"/>
              </i>
              <i n="[Material].[H_MainGroup].[MainGroupDesc].&amp;[Aksesuar].&amp;[Banyo Rafı]" c="Banyo Rafı" nd="1">
                <p n="[Material].[H_MainGroup].[MainGroupDesc].&amp;[Aksesuar]"/>
              </i>
              <i n="[Material].[H_MainGroup].[MainGroupDesc].&amp;[Aksesuar].&amp;[Barbekü Koruma Örtü]" c="Barbekü Koruma Örtü" nd="1">
                <p n="[Material].[H_MainGroup].[MainGroupDesc].&amp;[Aksesuar]"/>
              </i>
              <i n="[Material].[H_MainGroup].[MainGroupDesc].&amp;[Aksesuar].&amp;[Bardak Tutacağı]" c="Bardak Tutacağı" nd="1">
                <p n="[Material].[H_MainGroup].[MainGroupDesc].&amp;[Aksesuar]"/>
              </i>
              <i n="[Material].[H_MainGroup].[MainGroupDesc].&amp;[Aksesuar].&amp;[Basketbol Seti]" c="Basketbol Seti" nd="1">
                <p n="[Material].[H_MainGroup].[MainGroupDesc].&amp;[Aksesuar]"/>
              </i>
              <i n="[Material].[H_MainGroup].[MainGroupDesc].&amp;[Aksesuar].&amp;[Bebe Boy Ölçer]" c="Bebe Boy Ölçer" nd="1">
                <p n="[Material].[H_MainGroup].[MainGroupDesc].&amp;[Aksesuar]"/>
              </i>
              <i n="[Material].[H_MainGroup].[MainGroupDesc].&amp;[Aksesuar].&amp;[Bebe Elbise Askısı]" c="Bebe Elbise Askısı" nd="1">
                <p n="[Material].[H_MainGroup].[MainGroupDesc].&amp;[Aksesuar]"/>
              </i>
              <i n="[Material].[H_MainGroup].[MainGroupDesc].&amp;[Aksesuar].&amp;[Bebe Flatör]" c="Bebe Flatör" nd="1">
                <p n="[Material].[H_MainGroup].[MainGroupDesc].&amp;[Aksesuar]"/>
              </i>
              <i n="[Material].[H_MainGroup].[MainGroupDesc].&amp;[Aksesuar].&amp;[Bebe Küvet]" c="Bebe Küvet" nd="1">
                <p n="[Material].[H_MainGroup].[MainGroupDesc].&amp;[Aksesuar]"/>
              </i>
              <i n="[Material].[H_MainGroup].[MainGroupDesc].&amp;[Aksesuar].&amp;[Bebe Lamba]" c="Bebe Lamba" nd="1">
                <p n="[Material].[H_MainGroup].[MainGroupDesc].&amp;[Aksesuar]"/>
              </i>
              <i n="[Material].[H_MainGroup].[MainGroupDesc].&amp;[Aksesuar].&amp;[Bebe Lazımlık]" c="Bebe Lazımlık" nd="1">
                <p n="[Material].[H_MainGroup].[MainGroupDesc].&amp;[Aksesuar]"/>
              </i>
              <i n="[Material].[H_MainGroup].[MainGroupDesc].&amp;[Aksesuar].&amp;[Bebe salıncak]" c="Bebe salıncak" nd="1">
                <p n="[Material].[H_MainGroup].[MainGroupDesc].&amp;[Aksesuar]"/>
              </i>
              <i n="[Material].[H_MainGroup].[MainGroupDesc].&amp;[Aksesuar].&amp;[Bebe Yıkama Aparatı]" c="Bebe Yıkama Aparatı" nd="1">
                <p n="[Material].[H_MainGroup].[MainGroupDesc].&amp;[Aksesuar]"/>
              </i>
              <i n="[Material].[H_MainGroup].[MainGroupDesc].&amp;[Aksesuar].&amp;[Beşik Hamak]" c="Beşik Hamak" nd="1">
                <p n="[Material].[H_MainGroup].[MainGroupDesc].&amp;[Aksesuar]"/>
              </i>
              <i n="[Material].[H_MainGroup].[MainGroupDesc].&amp;[Aksesuar].&amp;[Beslenme Çantası]" c="Beslenme Çantası" nd="1">
                <p n="[Material].[H_MainGroup].[MainGroupDesc].&amp;[Aksesuar]"/>
              </i>
              <i n="[Material].[H_MainGroup].[MainGroupDesc].&amp;[Aksesuar].&amp;[Biberon Fırçası]" c="Biberon Fırçası" nd="1">
                <p n="[Material].[H_MainGroup].[MainGroupDesc].&amp;[Aksesuar]"/>
              </i>
              <i n="[Material].[H_MainGroup].[MainGroupDesc].&amp;[Aksesuar].&amp;[Biberon Isıtıcı]" c="Biberon Isıtıcı" nd="1">
                <p n="[Material].[H_MainGroup].[MainGroupDesc].&amp;[Aksesuar]"/>
              </i>
              <i n="[Material].[H_MainGroup].[MainGroupDesc].&amp;[Aksesuar].&amp;[Bisiklet Koruma Örtü]" c="Bisiklet Koruma Örtü" nd="1">
                <p n="[Material].[H_MainGroup].[MainGroupDesc].&amp;[Aksesuar]"/>
              </i>
              <i n="[Material].[H_MainGroup].[MainGroupDesc].&amp;[Aksesuar].&amp;[Boya]" c="Boya" nd="1">
                <p n="[Material].[H_MainGroup].[MainGroupDesc].&amp;[Aksesuar]"/>
              </i>
              <i n="[Material].[H_MainGroup].[MainGroupDesc].&amp;[Aksesuar].&amp;[Boya Fırçası]" c="Boya Fırçası" nd="1">
                <p n="[Material].[H_MainGroup].[MainGroupDesc].&amp;[Aksesuar]"/>
              </i>
              <i n="[Material].[H_MainGroup].[MainGroupDesc].&amp;[Aksesuar].&amp;[Boyama Kitabı]" c="Boyama Kitabı" nd="1">
                <p n="[Material].[H_MainGroup].[MainGroupDesc].&amp;[Aksesuar]"/>
              </i>
              <i n="[Material].[H_MainGroup].[MainGroupDesc].&amp;[Aksesuar].&amp;[Boyunluk]" c="Boyunluk" nd="1">
                <p n="[Material].[H_MainGroup].[MainGroupDesc].&amp;[Aksesuar]"/>
              </i>
              <i n="[Material].[H_MainGroup].[MainGroupDesc].&amp;[Aksesuar].&amp;[Bulaşık Fırçası]" c="Bulaşık Fırçası" nd="1">
                <p n="[Material].[H_MainGroup].[MainGroupDesc].&amp;[Aksesuar]"/>
              </i>
              <i n="[Material].[H_MainGroup].[MainGroupDesc].&amp;[Aksesuar].&amp;[Cam Bezi]" c="Cam Bezi" nd="1">
                <p n="[Material].[H_MainGroup].[MainGroupDesc].&amp;[Aksesuar]"/>
              </i>
              <i n="[Material].[H_MainGroup].[MainGroupDesc].&amp;[Aksesuar].&amp;[Çamaşır Torbası]" c="Çamaşır Torbası" nd="1">
                <p n="[Material].[H_MainGroup].[MainGroupDesc].&amp;[Aksesuar]"/>
              </i>
              <i n="[Material].[H_MainGroup].[MainGroupDesc].&amp;[Aksesuar].&amp;[Çanta Askı Aparatı]" c="Çanta Askı Aparatı" nd="1">
                <p n="[Material].[H_MainGroup].[MainGroupDesc].&amp;[Aksesuar]"/>
              </i>
              <i n="[Material].[H_MainGroup].[MainGroupDesc].&amp;[Aksesuar].&amp;[Çizim Seti]" c="Çizim Seti" nd="1">
                <p n="[Material].[H_MainGroup].[MainGroupDesc].&amp;[Aksesuar]"/>
              </i>
              <i n="[Material].[H_MainGroup].[MainGroupDesc].&amp;[Aksesuar].&amp;[Çocuk Kova Seti]" c="Çocuk Kova Seti" nd="1">
                <p n="[Material].[H_MainGroup].[MainGroupDesc].&amp;[Aksesuar]"/>
              </i>
              <i n="[Material].[H_MainGroup].[MainGroupDesc].&amp;[Aksesuar].&amp;[Çocuk Sıcak Su Tor.]" c="Çocuk Sıcak Su Tor." nd="1">
                <p n="[Material].[H_MainGroup].[MainGroupDesc].&amp;[Aksesuar]"/>
              </i>
              <i n="[Material].[H_MainGroup].[MainGroupDesc].&amp;[Aksesuar].&amp;[Çocuk Yemek Seti]" c="Çocuk Yemek Seti" nd="1">
                <p n="[Material].[H_MainGroup].[MainGroupDesc].&amp;[Aksesuar]"/>
              </i>
              <i n="[Material].[H_MainGroup].[MainGroupDesc].&amp;[Aksesuar].&amp;[Dambıl]" c="Dambıl" nd="1">
                <p n="[Material].[H_MainGroup].[MainGroupDesc].&amp;[Aksesuar]"/>
              </i>
              <i n="[Material].[H_MainGroup].[MainGroupDesc].&amp;[Aksesuar].&amp;[Dekoratif Set]" c="Dekoratif Set" nd="1">
                <p n="[Material].[H_MainGroup].[MainGroupDesc].&amp;[Aksesuar]"/>
              </i>
              <i n="[Material].[H_MainGroup].[MainGroupDesc].&amp;[Aksesuar].&amp;[Dekoratif Zil]" c="Dekoratif Zil" nd="1">
                <p n="[Material].[H_MainGroup].[MainGroupDesc].&amp;[Aksesuar]"/>
              </i>
              <i n="[Material].[H_MainGroup].[MainGroupDesc].&amp;[Aksesuar].&amp;[Delgeç]" c="Delgeç" nd="1">
                <p n="[Material].[H_MainGroup].[MainGroupDesc].&amp;[Aksesuar]"/>
              </i>
              <i n="[Material].[H_MainGroup].[MainGroupDesc].&amp;[Aksesuar].&amp;[Deniz Simidi]" c="Deniz Simidi" nd="1">
                <p n="[Material].[H_MainGroup].[MainGroupDesc].&amp;[Aksesuar]"/>
              </i>
              <i n="[Material].[H_MainGroup].[MainGroupDesc].&amp;[Aksesuar].&amp;[Deniz Topu]" c="Deniz Topu" nd="1">
                <p n="[Material].[H_MainGroup].[MainGroupDesc].&amp;[Aksesuar]"/>
              </i>
              <i n="[Material].[H_MainGroup].[MainGroupDesc].&amp;[Aksesuar].&amp;[Deterjan Kutusu]" c="Deterjan Kutusu" nd="1">
                <p n="[Material].[H_MainGroup].[MainGroupDesc].&amp;[Aksesuar]"/>
              </i>
              <i n="[Material].[H_MainGroup].[MainGroupDesc].&amp;[Aksesuar].&amp;[Dikiş Kitabı]" c="Dikiş Kitabı" nd="1">
                <p n="[Material].[H_MainGroup].[MainGroupDesc].&amp;[Aksesuar]"/>
              </i>
              <i n="[Material].[H_MainGroup].[MainGroupDesc].&amp;[Aksesuar].&amp;[Dikiş Kutusu]" c="Dikiş Kutusu" nd="1">
                <p n="[Material].[H_MainGroup].[MainGroupDesc].&amp;[Aksesuar]"/>
              </i>
              <i n="[Material].[H_MainGroup].[MainGroupDesc].&amp;[Aksesuar].&amp;[Dikiş Seti]" c="Dikiş Seti" nd="1">
                <p n="[Material].[H_MainGroup].[MainGroupDesc].&amp;[Aksesuar]"/>
              </i>
              <i n="[Material].[H_MainGroup].[MainGroupDesc].&amp;[Aksesuar].&amp;[Dolap Kulbu]" c="Dolap Kulbu" nd="1">
                <p n="[Material].[H_MainGroup].[MainGroupDesc].&amp;[Aksesuar]"/>
              </i>
              <i n="[Material].[H_MainGroup].[MainGroupDesc].&amp;[Aksesuar].&amp;[Dosya]" c="Dosya" nd="1">
                <p n="[Material].[H_MainGroup].[MainGroupDesc].&amp;[Aksesuar]"/>
              </i>
              <i n="[Material].[H_MainGroup].[MainGroupDesc].&amp;[Aksesuar].&amp;[Egzersiz Bandı]" c="Egzersiz Bandı" nd="1">
                <p n="[Material].[H_MainGroup].[MainGroupDesc].&amp;[Aksesuar]"/>
              </i>
              <i n="[Material].[H_MainGroup].[MainGroupDesc].&amp;[Aksesuar].&amp;[Egzersiz Bilekliği]" c="Egzersiz Bilekliği" nd="1">
                <p n="[Material].[H_MainGroup].[MainGroupDesc].&amp;[Aksesuar]"/>
              </i>
              <i n="[Material].[H_MainGroup].[MainGroupDesc].&amp;[Aksesuar].&amp;[Egzersiz Eldiveni]" c="Egzersiz Eldiveni" nd="1">
                <p n="[Material].[H_MainGroup].[MainGroupDesc].&amp;[Aksesuar]"/>
              </i>
              <i n="[Material].[H_MainGroup].[MainGroupDesc].&amp;[Aksesuar].&amp;[Emzik]" c="Emzik" nd="1">
                <p n="[Material].[H_MainGroup].[MainGroupDesc].&amp;[Aksesuar]"/>
              </i>
              <i n="[Material].[H_MainGroup].[MainGroupDesc].&amp;[Aksesuar].&amp;[Evcil Hayvan Ürünler]" c="Evcil Hayvan Ürünler" nd="1">
                <p n="[Material].[H_MainGroup].[MainGroupDesc].&amp;[Aksesuar]"/>
              </i>
              <i n="[Material].[H_MainGroup].[MainGroupDesc].&amp;[Aksesuar].&amp;[Foto Albüm]" c="Foto Albüm" nd="1">
                <p n="[Material].[H_MainGroup].[MainGroupDesc].&amp;[Aksesuar]"/>
              </i>
              <i n="[Material].[H_MainGroup].[MainGroupDesc].&amp;[Aksesuar].&amp;[Futbol Kalesi]" c="Futbol Kalesi" nd="1">
                <p n="[Material].[H_MainGroup].[MainGroupDesc].&amp;[Aksesuar]"/>
              </i>
              <i n="[Material].[H_MainGroup].[MainGroupDesc].&amp;[Aksesuar].&amp;[Gazetelik]" c="Gazetelik" nd="1">
                <p n="[Material].[H_MainGroup].[MainGroupDesc].&amp;[Aksesuar]"/>
              </i>
              <i n="[Material].[H_MainGroup].[MainGroupDesc].&amp;[Aksesuar].&amp;[Gözlük Kabı]" c="Gözlük Kabı" nd="1">
                <p n="[Material].[H_MainGroup].[MainGroupDesc].&amp;[Aksesuar]"/>
              </i>
              <i n="[Material].[H_MainGroup].[MainGroupDesc].&amp;[Aksesuar].&amp;[Güvenlik]" c="Güvenlik" nd="1">
                <p n="[Material].[H_MainGroup].[MainGroupDesc].&amp;[Aksesuar]"/>
              </i>
              <i n="[Material].[H_MainGroup].[MainGroupDesc].&amp;[Aksesuar].&amp;[Gymball]" c="Gymball" nd="1">
                <p n="[Material].[H_MainGroup].[MainGroupDesc].&amp;[Aksesuar]"/>
              </i>
              <i n="[Material].[H_MainGroup].[MainGroupDesc].&amp;[Aksesuar].&amp;[Hacıyatmaz]" c="Hacıyatmaz" nd="1">
                <p n="[Material].[H_MainGroup].[MainGroupDesc].&amp;[Aksesuar]"/>
              </i>
              <i n="[Material].[H_MainGroup].[MainGroupDesc].&amp;[Aksesuar].&amp;[Halat Oyuncak]" c="Halat Oyuncak" nd="1">
                <p n="[Material].[H_MainGroup].[MainGroupDesc].&amp;[Aksesuar]"/>
              </i>
              <i n="[Material].[H_MainGroup].[MainGroupDesc].&amp;[Aksesuar].&amp;[Halhal]" c="Halhal" nd="1">
                <p n="[Material].[H_MainGroup].[MainGroupDesc].&amp;[Aksesuar]"/>
              </i>
              <i n="[Material].[H_MainGroup].[MainGroupDesc].&amp;[Aksesuar].&amp;[Havluluk]" c="Havluluk" nd="1">
                <p n="[Material].[H_MainGroup].[MainGroupDesc].&amp;[Aksesuar]"/>
              </i>
              <i n="[Material].[H_MainGroup].[MainGroupDesc].&amp;[Aksesuar].&amp;[Hediye Torbası]" c="Hediye Torbası" nd="1">
                <p n="[Material].[H_MainGroup].[MainGroupDesc].&amp;[Aksesuar]"/>
              </i>
              <i n="[Material].[H_MainGroup].[MainGroupDesc].&amp;[Aksesuar].&amp;[Hesap Makinesi]" c="Hesap Makinesi" nd="1">
                <p n="[Material].[H_MainGroup].[MainGroupDesc].&amp;[Aksesuar]"/>
              </i>
              <i n="[Material].[H_MainGroup].[MainGroupDesc].&amp;[Aksesuar].&amp;[Hoparlör]" c="Hoparlör" nd="1">
                <p n="[Material].[H_MainGroup].[MainGroupDesc].&amp;[Aksesuar]"/>
              </i>
              <i n="[Material].[H_MainGroup].[MainGroupDesc].&amp;[Aksesuar].&amp;[İğnelik]" c="İğnelik" nd="1">
                <p n="[Material].[H_MainGroup].[MainGroupDesc].&amp;[Aksesuar]"/>
              </i>
              <i n="[Material].[H_MainGroup].[MainGroupDesc].&amp;[Aksesuar].&amp;[İkinci Kalite]" c="İkinci Kalite" nd="1">
                <p n="[Material].[H_MainGroup].[MainGroupDesc].&amp;[Aksesuar]"/>
              </i>
              <i n="[Material].[H_MainGroup].[MainGroupDesc].&amp;[Aksesuar].&amp;[İplik Seti]" c="İplik Seti" nd="1">
                <p n="[Material].[H_MainGroup].[MainGroupDesc].&amp;[Aksesuar]"/>
              </i>
              <i n="[Material].[H_MainGroup].[MainGroupDesc].&amp;[Aksesuar].&amp;[Kağıt Ağırlığı]" c="Kağıt Ağırlığı" nd="1">
                <p n="[Material].[H_MainGroup].[MainGroupDesc].&amp;[Aksesuar]"/>
              </i>
              <i n="[Material].[H_MainGroup].[MainGroupDesc].&amp;[Aksesuar].&amp;[Kalem]" c="Kalem" nd="1">
                <p n="[Material].[H_MainGroup].[MainGroupDesc].&amp;[Aksesuar]"/>
              </i>
              <i n="[Material].[H_MainGroup].[MainGroupDesc].&amp;[Aksesuar].&amp;[Kapı Kulbu]" c="Kapı Kulbu" nd="1">
                <p n="[Material].[H_MainGroup].[MainGroupDesc].&amp;[Aksesuar]"/>
              </i>
              <i n="[Material].[H_MainGroup].[MainGroupDesc].&amp;[Aksesuar].&amp;[Kartlık]" c="Kartlık" nd="1">
                <p n="[Material].[H_MainGroup].[MainGroupDesc].&amp;[Aksesuar]"/>
              </i>
              <i n="[Material].[H_MainGroup].[MainGroupDesc].&amp;[Aksesuar].&amp;[Kartvizitlik]" c="Kartvizitlik" nd="1">
                <p n="[Material].[H_MainGroup].[MainGroupDesc].&amp;[Aksesuar]"/>
              </i>
              <i n="[Material].[H_MainGroup].[MainGroupDesc].&amp;[Aksesuar].&amp;[Kedi Oyuncağı]" c="Kedi Oyuncağı" nd="1">
                <p n="[Material].[H_MainGroup].[MainGroupDesc].&amp;[Aksesuar]"/>
              </i>
              <i n="[Material].[H_MainGroup].[MainGroupDesc].&amp;[Aksesuar].&amp;[Kedi Paspası]" c="Kedi Paspası" nd="1">
                <p n="[Material].[H_MainGroup].[MainGroupDesc].&amp;[Aksesuar]"/>
              </i>
              <i n="[Material].[H_MainGroup].[MainGroupDesc].&amp;[Aksesuar].&amp;[Kedi Tüneli]" c="Kedi Tüneli" nd="1">
                <p n="[Material].[H_MainGroup].[MainGroupDesc].&amp;[Aksesuar]"/>
              </i>
              <i n="[Material].[H_MainGroup].[MainGroupDesc].&amp;[Aksesuar].&amp;[Kemer Askısı]" c="Kemer Askısı" nd="1">
                <p n="[Material].[H_MainGroup].[MainGroupDesc].&amp;[Aksesuar]"/>
              </i>
              <i n="[Material].[H_MainGroup].[MainGroupDesc].&amp;[Aksesuar].&amp;[Kettlebell Ağırlık]" c="Kettlebell Ağırlık" nd="1">
                <p n="[Material].[H_MainGroup].[MainGroupDesc].&amp;[Aksesuar]"/>
              </i>
              <i n="[Material].[H_MainGroup].[MainGroupDesc].&amp;[Aksesuar].&amp;[Kickboard]" c="Kickboard" nd="1">
                <p n="[Material].[H_MainGroup].[MainGroupDesc].&amp;[Aksesuar]"/>
              </i>
              <i n="[Material].[H_MainGroup].[MainGroupDesc].&amp;[Aksesuar].&amp;[Kırtasiye Seti]" c="Kırtasiye Seti" nd="1">
                <p n="[Material].[H_MainGroup].[MainGroupDesc].&amp;[Aksesuar]"/>
              </i>
              <i n="[Material].[H_MainGroup].[MainGroupDesc].&amp;[Aksesuar].&amp;[Kitap]" c="Kitap" nd="1">
                <p n="[Material].[H_MainGroup].[MainGroupDesc].&amp;[Aksesuar]"/>
              </i>
              <i n="[Material].[H_MainGroup].[MainGroupDesc].&amp;[Aksesuar].&amp;[Klasör]" c="Klasör" nd="1">
                <p n="[Material].[H_MainGroup].[MainGroupDesc].&amp;[Aksesuar]"/>
              </i>
              <i n="[Material].[H_MainGroup].[MainGroupDesc].&amp;[Aksesuar].&amp;[Kokulu Mum Seti]" c="Kokulu Mum Seti" nd="1">
                <p n="[Material].[H_MainGroup].[MainGroupDesc].&amp;[Aksesuar]"/>
              </i>
              <i n="[Material].[H_MainGroup].[MainGroupDesc].&amp;[Aksesuar].&amp;[Kol Bandı]" c="Kol Bandı" nd="1">
                <p n="[Material].[H_MainGroup].[MainGroupDesc].&amp;[Aksesuar]"/>
              </i>
              <i n="[Material].[H_MainGroup].[MainGroupDesc].&amp;[Aksesuar].&amp;[Kol Saati]" c="Kol Saati" nd="1">
                <p n="[Material].[H_MainGroup].[MainGroupDesc].&amp;[Aksesuar]"/>
              </i>
              <i n="[Material].[H_MainGroup].[MainGroupDesc].&amp;[Aksesuar].&amp;[Kolluk]" c="Kolluk" nd="1">
                <p n="[Material].[H_MainGroup].[MainGroupDesc].&amp;[Aksesuar]"/>
              </i>
              <i n="[Material].[H_MainGroup].[MainGroupDesc].&amp;[Aksesuar].&amp;[Kolye]" c="Kolye" nd="1">
                <p n="[Material].[H_MainGroup].[MainGroupDesc].&amp;[Aksesuar]"/>
              </i>
              <i n="[Material].[H_MainGroup].[MainGroupDesc].&amp;[Aksesuar].&amp;[Koşu Takımı ]" c="Koşu Takımı " nd="1">
                <p n="[Material].[H_MainGroup].[MainGroupDesc].&amp;[Aksesuar]"/>
              </i>
              <i n="[Material].[H_MainGroup].[MainGroupDesc].&amp;[Aksesuar].&amp;[Kravat Askısı]" c="Kravat Askısı" nd="1">
                <p n="[Material].[H_MainGroup].[MainGroupDesc].&amp;[Aksesuar]"/>
              </i>
              <i n="[Material].[H_MainGroup].[MainGroupDesc].&amp;[Aksesuar].&amp;[Kulak Koruyucu]" c="Kulak Koruyucu" nd="1">
                <p n="[Material].[H_MainGroup].[MainGroupDesc].&amp;[Aksesuar]"/>
              </i>
              <i n="[Material].[H_MainGroup].[MainGroupDesc].&amp;[Aksesuar].&amp;[Kulaklık]" c="Kulaklık" nd="1">
                <p n="[Material].[H_MainGroup].[MainGroupDesc].&amp;[Aksesuar]"/>
              </i>
              <i n="[Material].[H_MainGroup].[MainGroupDesc].&amp;[Aksesuar].&amp;[Kurutmalık]" c="Kurutmalık" nd="1">
                <p n="[Material].[H_MainGroup].[MainGroupDesc].&amp;[Aksesuar]"/>
              </i>
              <i n="[Material].[H_MainGroup].[MainGroupDesc].&amp;[Aksesuar].&amp;[Kuş Kafesi]" c="Kuş Kafesi" nd="1">
                <p n="[Material].[H_MainGroup].[MainGroupDesc].&amp;[Aksesuar]"/>
              </i>
              <i n="[Material].[H_MainGroup].[MainGroupDesc].&amp;[Aksesuar].&amp;[Küvet Fırçası]" c="Küvet Fırçası" nd="1">
                <p n="[Material].[H_MainGroup].[MainGroupDesc].&amp;[Aksesuar]"/>
              </i>
              <i n="[Material].[H_MainGroup].[MainGroupDesc].&amp;[Aksesuar].&amp;[Lamba]" c="Lamba" nd="1">
                <p n="[Material].[H_MainGroup].[MainGroupDesc].&amp;[Aksesuar]"/>
              </i>
              <i n="[Material].[H_MainGroup].[MainGroupDesc].&amp;[Aksesuar].&amp;[Laptop Altlığı]" c="Laptop Altlığı" nd="1">
                <p n="[Material].[H_MainGroup].[MainGroupDesc].&amp;[Aksesuar]"/>
              </i>
              <i n="[Material].[H_MainGroup].[MainGroupDesc].&amp;[Aksesuar].&amp;[Lavabo Fırçası]" c="Lavabo Fırçası" nd="1">
                <p n="[Material].[H_MainGroup].[MainGroupDesc].&amp;[Aksesuar]"/>
              </i>
              <i n="[Material].[H_MainGroup].[MainGroupDesc].&amp;[Aksesuar].&amp;[Lens Kabı]" c="Lens Kabı" nd="1">
                <p n="[Material].[H_MainGroup].[MainGroupDesc].&amp;[Aksesuar]"/>
              </i>
              <i n="[Material].[H_MainGroup].[MainGroupDesc].&amp;[Aksesuar].&amp;[Magazinlik]" c="Magazinlik" nd="1">
                <p n="[Material].[H_MainGroup].[MainGroupDesc].&amp;[Aksesuar]"/>
              </i>
              <i n="[Material].[H_MainGroup].[MainGroupDesc].&amp;[Aksesuar].&amp;[Makas]" c="Makas" nd="1">
                <p n="[Material].[H_MainGroup].[MainGroupDesc].&amp;[Aksesuar]"/>
              </i>
              <i n="[Material].[H_MainGroup].[MainGroupDesc].&amp;[Aksesuar].&amp;[Makyaj Kutusu]" c="Makyaj Kutusu" nd="1">
                <p n="[Material].[H_MainGroup].[MainGroupDesc].&amp;[Aksesuar]"/>
              </i>
              <i n="[Material].[H_MainGroup].[MainGroupDesc].&amp;[Aksesuar].&amp;[Makyaj Organizer]" c="Makyaj Organizer" nd="1">
                <p n="[Material].[H_MainGroup].[MainGroupDesc].&amp;[Aksesuar]"/>
              </i>
              <i n="[Material].[H_MainGroup].[MainGroupDesc].&amp;[Aksesuar].&amp;[Mama Kabı]" c="Mama Kabı" nd="1">
                <p n="[Material].[H_MainGroup].[MainGroupDesc].&amp;[Aksesuar]"/>
              </i>
              <i n="[Material].[H_MainGroup].[MainGroupDesc].&amp;[Aksesuar].&amp;[Mandal]" c="Mandal" nd="1">
                <p n="[Material].[H_MainGroup].[MainGroupDesc].&amp;[Aksesuar]"/>
              </i>
              <i n="[Material].[H_MainGroup].[MainGroupDesc].&amp;[Aksesuar].&amp;[Mandallık]" c="Mandallık" nd="1">
                <p n="[Material].[H_MainGroup].[MainGroupDesc].&amp;[Aksesuar]"/>
              </i>
              <i n="[Material].[H_MainGroup].[MainGroupDesc].&amp;[Aksesuar].&amp;[Mantar Pano]" c="Mantar Pano" nd="1">
                <p n="[Material].[H_MainGroup].[MainGroupDesc].&amp;[Aksesuar]"/>
              </i>
              <i n="[Material].[H_MainGroup].[MainGroupDesc].&amp;[Aksesuar].&amp;[Market Arabası]" c="Market Arabası" nd="1">
                <p n="[Material].[H_MainGroup].[MainGroupDesc].&amp;[Aksesuar]"/>
              </i>
              <i n="[Material].[H_MainGroup].[MainGroupDesc].&amp;[Aksesuar].&amp;[Masa Aynası]" c="Masa Aynası" nd="1">
                <p n="[Material].[H_MainGroup].[MainGroupDesc].&amp;[Aksesuar]"/>
              </i>
              <i n="[Material].[H_MainGroup].[MainGroupDesc].&amp;[Aksesuar].&amp;[Masa Gırgırı]" c="Masa Gırgırı" nd="1">
                <p n="[Material].[H_MainGroup].[MainGroupDesc].&amp;[Aksesuar]"/>
              </i>
              <i n="[Material].[H_MainGroup].[MainGroupDesc].&amp;[Aksesuar].&amp;[Masaüstü Şömine]" c="Masaüstü Şömine" nd="1">
                <p n="[Material].[H_MainGroup].[MainGroupDesc].&amp;[Aksesuar]"/>
              </i>
              <i n="[Material].[H_MainGroup].[MainGroupDesc].&amp;[Aksesuar].&amp;[Mendil]" c="Mendil" nd="1">
                <p n="[Material].[H_MainGroup].[MainGroupDesc].&amp;[Aksesuar]"/>
              </i>
              <i n="[Material].[H_MainGroup].[MainGroupDesc].&amp;[Aksesuar].&amp;[Mezura]" c="Mezura" nd="1">
                <p n="[Material].[H_MainGroup].[MainGroupDesc].&amp;[Aksesuar]"/>
              </i>
              <i n="[Material].[H_MainGroup].[MainGroupDesc].&amp;[Aksesuar].&amp;[Mobilya Koruma Örtü]" c="Mobilya Koruma Örtü" nd="1">
                <p n="[Material].[H_MainGroup].[MainGroupDesc].&amp;[Aksesuar]"/>
              </i>
              <i n="[Material].[H_MainGroup].[MainGroupDesc].&amp;[Aksesuar].&amp;[Mouse]" c="Mouse" nd="1">
                <p n="[Material].[H_MainGroup].[MainGroupDesc].&amp;[Aksesuar]"/>
              </i>
              <i n="[Material].[H_MainGroup].[MainGroupDesc].&amp;[Aksesuar].&amp;[Mouse Pad]" c="Mouse Pad" nd="1">
                <p n="[Material].[H_MainGroup].[MainGroupDesc].&amp;[Aksesuar]"/>
              </i>
              <i n="[Material].[H_MainGroup].[MainGroupDesc].&amp;[Aksesuar].&amp;[Ofis Masa Seti]" c="Ofis Masa Seti" nd="1">
                <p n="[Material].[H_MainGroup].[MainGroupDesc].&amp;[Aksesuar]"/>
              </i>
              <i n="[Material].[H_MainGroup].[MainGroupDesc].&amp;[Aksesuar].&amp;[Örgü Kutusu]" c="Örgü Kutusu" nd="1">
                <p n="[Material].[H_MainGroup].[MainGroupDesc].&amp;[Aksesuar]"/>
              </i>
              <i n="[Material].[H_MainGroup].[MainGroupDesc].&amp;[Aksesuar].&amp;[Oyun Evi]" c="Oyun Evi" nd="1">
                <p n="[Material].[H_MainGroup].[MainGroupDesc].&amp;[Aksesuar]"/>
              </i>
              <i n="[Material].[H_MainGroup].[MainGroupDesc].&amp;[Aksesuar].&amp;[Oyun Hamuru]" c="Oyun Hamuru" nd="1">
                <p n="[Material].[H_MainGroup].[MainGroupDesc].&amp;[Aksesuar]"/>
              </i>
              <i n="[Material].[H_MainGroup].[MainGroupDesc].&amp;[Aksesuar].&amp;[Oyun Matı]" c="Oyun Matı" nd="1">
                <p n="[Material].[H_MainGroup].[MainGroupDesc].&amp;[Aksesuar]"/>
              </i>
              <i n="[Material].[H_MainGroup].[MainGroupDesc].&amp;[Aksesuar].&amp;[Oyun Pedi]" c="Oyun Pedi" nd="1">
                <p n="[Material].[H_MainGroup].[MainGroupDesc].&amp;[Aksesuar]"/>
              </i>
              <i n="[Material].[H_MainGroup].[MainGroupDesc].&amp;[Aksesuar].&amp;[Oyun Yer Karosu]" c="Oyun Yer Karosu" nd="1">
                <p n="[Material].[H_MainGroup].[MainGroupDesc].&amp;[Aksesuar]"/>
              </i>
              <i n="[Material].[H_MainGroup].[MainGroupDesc].&amp;[Aksesuar].&amp;[Oyuncak]" c="Oyuncak" nd="1">
                <p n="[Material].[H_MainGroup].[MainGroupDesc].&amp;[Aksesuar]"/>
              </i>
              <i n="[Material].[H_MainGroup].[MainGroupDesc].&amp;[Aksesuar].&amp;[Pamukluk]" c="Pamukluk" nd="1">
                <p n="[Material].[H_MainGroup].[MainGroupDesc].&amp;[Aksesuar]"/>
              </i>
              <i n="[Material].[H_MainGroup].[MainGroupDesc].&amp;[Aksesuar].&amp;[Pantolon Askısı]" c="Pantolon Askısı" nd="1">
                <p n="[Material].[H_MainGroup].[MainGroupDesc].&amp;[Aksesuar]"/>
              </i>
              <i n="[Material].[H_MainGroup].[MainGroupDesc].&amp;[Aksesuar].&amp;[Parfüm Şişesi]" c="Parfüm Şişesi" nd="1">
                <p n="[Material].[H_MainGroup].[MainGroupDesc].&amp;[Aksesuar]"/>
              </i>
              <i n="[Material].[H_MainGroup].[MainGroupDesc].&amp;[Aksesuar].&amp;[Peçete Kutusu]" c="Peçete Kutusu" nd="1">
                <p n="[Material].[H_MainGroup].[MainGroupDesc].&amp;[Aksesuar]"/>
              </i>
              <i n="[Material].[H_MainGroup].[MainGroupDesc].&amp;[Aksesuar].&amp;[Pet Yatağı]" c="Pet Yatağı" nd="1">
                <p n="[Material].[H_MainGroup].[MainGroupDesc].&amp;[Aksesuar]"/>
              </i>
              <i n="[Material].[H_MainGroup].[MainGroupDesc].&amp;[Aksesuar].&amp;[Piknik Şiltesi]" c="Piknik Şiltesi" nd="1">
                <p n="[Material].[H_MainGroup].[MainGroupDesc].&amp;[Aksesuar]"/>
              </i>
              <i n="[Material].[H_MainGroup].[MainGroupDesc].&amp;[Aksesuar].&amp;[Pilates Topu]" c="Pilates Topu" nd="1">
                <p n="[Material].[H_MainGroup].[MainGroupDesc].&amp;[Aksesuar]"/>
              </i>
              <i n="[Material].[H_MainGroup].[MainGroupDesc].&amp;[Aksesuar].&amp;[Pin]" c="Pin" nd="1">
                <p n="[Material].[H_MainGroup].[MainGroupDesc].&amp;[Aksesuar]"/>
              </i>
              <i n="[Material].[H_MainGroup].[MainGroupDesc].&amp;[Aksesuar].&amp;[Pipetli Matara]" c="Pipetli Matara" nd="1">
                <p n="[Material].[H_MainGroup].[MainGroupDesc].&amp;[Aksesuar]"/>
              </i>
              <i n="[Material].[H_MainGroup].[MainGroupDesc].&amp;[Aksesuar].&amp;[Planlayıcı]" c="Planlayıcı" nd="1">
                <p n="[Material].[H_MainGroup].[MainGroupDesc].&amp;[Aksesuar]"/>
              </i>
              <i n="[Material].[H_MainGroup].[MainGroupDesc].&amp;[Aksesuar].&amp;[Plates Band]" c="Plates Band" nd="1">
                <p n="[Material].[H_MainGroup].[MainGroupDesc].&amp;[Aksesuar]"/>
              </i>
              <i n="[Material].[H_MainGroup].[MainGroupDesc].&amp;[Aksesuar].&amp;[Plates Çemberi]" c="Plates Çemberi" nd="1">
                <p n="[Material].[H_MainGroup].[MainGroupDesc].&amp;[Aksesuar]"/>
              </i>
              <i n="[Material].[H_MainGroup].[MainGroupDesc].&amp;[Aksesuar].&amp;[Puzzle]" c="Puzzle" nd="1">
                <p n="[Material].[H_MainGroup].[MainGroupDesc].&amp;[Aksesuar]"/>
              </i>
              <i n="[Material].[H_MainGroup].[MainGroupDesc].&amp;[Aksesuar].&amp;[Radyo]" c="Radyo" nd="1">
                <p n="[Material].[H_MainGroup].[MainGroupDesc].&amp;[Aksesuar]"/>
              </i>
              <i n="[Material].[H_MainGroup].[MainGroupDesc].&amp;[Aksesuar].&amp;[Rahatlama Yastığı]" c="Rahatlama Yastığı" nd="1">
                <p n="[Material].[H_MainGroup].[MainGroupDesc].&amp;[Aksesuar]"/>
              </i>
              <i n="[Material].[H_MainGroup].[MainGroupDesc].&amp;[Aksesuar].&amp;[Reçme]" c="Reçme" nd="1">
                <p n="[Material].[H_MainGroup].[MainGroupDesc].&amp;[Aksesuar]"/>
              </i>
              <i n="[Material].[H_MainGroup].[MainGroupDesc].&amp;[Aksesuar].&amp;[Rüya Kovucu]" c="Rüya Kovucu" nd="1">
                <p n="[Material].[H_MainGroup].[MainGroupDesc].&amp;[Aksesuar]"/>
              </i>
              <i n="[Material].[H_MainGroup].[MainGroupDesc].&amp;[Aksesuar].&amp;[Saç Aksesuarı]" c="Saç Aksesuarı" nd="1">
                <p n="[Material].[H_MainGroup].[MainGroupDesc].&amp;[Aksesuar]"/>
              </i>
              <i n="[Material].[H_MainGroup].[MainGroupDesc].&amp;[Aksesuar].&amp;[Saç Halkası]" c="Saç Halkası" nd="1">
                <p n="[Material].[H_MainGroup].[MainGroupDesc].&amp;[Aksesuar]"/>
              </i>
              <i n="[Material].[H_MainGroup].[MainGroupDesc].&amp;[Aksesuar].&amp;[Saç Kurut.Mak.Tutucu]" c="Saç Kurut.Mak.Tutucu" nd="1">
                <p n="[Material].[H_MainGroup].[MainGroupDesc].&amp;[Aksesuar]"/>
              </i>
              <i n="[Material].[H_MainGroup].[MainGroupDesc].&amp;[Aksesuar].&amp;[Saksılık]" c="Saksılık" nd="1">
                <p n="[Material].[H_MainGroup].[MainGroupDesc].&amp;[Aksesuar]"/>
              </i>
              <i n="[Material].[H_MainGroup].[MainGroupDesc].&amp;[Aksesuar].&amp;[Şal Askısı]" c="Şal Askısı" nd="1">
                <p n="[Material].[H_MainGroup].[MainGroupDesc].&amp;[Aksesuar]"/>
              </i>
              <i n="[Material].[H_MainGroup].[MainGroupDesc].&amp;[Aksesuar].&amp;[Şaraplık]" c="Şaraplık" nd="1">
                <p n="[Material].[H_MainGroup].[MainGroupDesc].&amp;[Aksesuar]"/>
              </i>
              <i n="[Material].[H_MainGroup].[MainGroupDesc].&amp;[Aksesuar].&amp;[Sekreterlik]" c="Sekreterlik" nd="1">
                <p n="[Material].[H_MainGroup].[MainGroupDesc].&amp;[Aksesuar]"/>
              </i>
              <i n="[Material].[H_MainGroup].[MainGroupDesc].&amp;[Aksesuar].&amp;[Seyahat Su Kabı]" c="Seyahat Su Kabı" nd="1">
                <p n="[Material].[H_MainGroup].[MainGroupDesc].&amp;[Aksesuar]"/>
              </i>
              <i n="[Material].[H_MainGroup].[MainGroupDesc].&amp;[Aksesuar].&amp;[Silgi]" c="Silgi" nd="1">
                <p n="[Material].[H_MainGroup].[MainGroupDesc].&amp;[Aksesuar]"/>
              </i>
              <i n="[Material].[H_MainGroup].[MainGroupDesc].&amp;[Aksesuar].&amp;[Şişe Fırçası]" c="Şişe Fırçası" nd="1">
                <p n="[Material].[H_MainGroup].[MainGroupDesc].&amp;[Aksesuar]"/>
              </i>
              <i n="[Material].[H_MainGroup].[MainGroupDesc].&amp;[Aksesuar].&amp;[Şişme Deniz Yatağı]" c="Şişme Deniz Yatağı" nd="1">
                <p n="[Material].[H_MainGroup].[MainGroupDesc].&amp;[Aksesuar]"/>
              </i>
              <i n="[Material].[H_MainGroup].[MainGroupDesc].&amp;[Aksesuar].&amp;[Şişme Havuz]" c="Şişme Havuz" nd="1">
                <p n="[Material].[H_MainGroup].[MainGroupDesc].&amp;[Aksesuar]"/>
              </i>
              <i n="[Material].[H_MainGroup].[MainGroupDesc].&amp;[Aksesuar].&amp;[Şişme Koltuk]" c="Şişme Koltuk" nd="1">
                <p n="[Material].[H_MainGroup].[MainGroupDesc].&amp;[Aksesuar]"/>
              </i>
              <i n="[Material].[H_MainGroup].[MainGroupDesc].&amp;[Aksesuar].&amp;[Şişme Yelek]" c="Şişme Yelek" nd="1">
                <p n="[Material].[H_MainGroup].[MainGroupDesc].&amp;[Aksesuar]"/>
              </i>
              <i n="[Material].[H_MainGroup].[MainGroupDesc].&amp;[Aksesuar].&amp;[Soğuk Tutma Matı]" c="Soğuk Tutma Matı" nd="1">
                <p n="[Material].[H_MainGroup].[MainGroupDesc].&amp;[Aksesuar]"/>
              </i>
              <i n="[Material].[H_MainGroup].[MainGroupDesc].&amp;[Aksesuar].&amp;[Sulak]" c="Sulak" nd="1">
                <p n="[Material].[H_MainGroup].[MainGroupDesc].&amp;[Aksesuar]"/>
              </i>
              <i n="[Material].[H_MainGroup].[MainGroupDesc].&amp;[Aksesuar].&amp;[Süpürge]" c="Süpürge" nd="1">
                <p n="[Material].[H_MainGroup].[MainGroupDesc].&amp;[Aksesuar]"/>
              </i>
              <i n="[Material].[H_MainGroup].[MainGroupDesc].&amp;[Aksesuar].&amp;[Tahterevalli]" c="Tahterevalli" nd="1">
                <p n="[Material].[H_MainGroup].[MainGroupDesc].&amp;[Aksesuar]"/>
              </i>
              <i n="[Material].[H_MainGroup].[MainGroupDesc].&amp;[Aksesuar].&amp;[Tarak]" c="Tarak" nd="1">
                <p n="[Material].[H_MainGroup].[MainGroupDesc].&amp;[Aksesuar]"/>
              </i>
              <i n="[Material].[H_MainGroup].[MainGroupDesc].&amp;[Aksesuar].&amp;[Taşınabilir Şarj]" c="Taşınabilir Şarj" nd="1">
                <p n="[Material].[H_MainGroup].[MainGroupDesc].&amp;[Aksesuar]"/>
              </i>
              <i n="[Material].[H_MainGroup].[MainGroupDesc].&amp;[Aksesuar].&amp;[Tasma]" c="Tasma" nd="1">
                <p n="[Material].[H_MainGroup].[MainGroupDesc].&amp;[Aksesuar]"/>
              </i>
              <i n="[Material].[H_MainGroup].[MainGroupDesc].&amp;[Aksesuar].&amp;[Tasma Kayışı]" c="Tasma Kayışı" nd="1">
                <p n="[Material].[H_MainGroup].[MainGroupDesc].&amp;[Aksesuar]"/>
              </i>
              <i n="[Material].[H_MainGroup].[MainGroupDesc].&amp;[Aksesuar].&amp;[Tasma Süsü]" c="Tasma Süsü" nd="1">
                <p n="[Material].[H_MainGroup].[MainGroupDesc].&amp;[Aksesuar]"/>
              </i>
              <i n="[Material].[H_MainGroup].[MainGroupDesc].&amp;[Aksesuar].&amp;[Telefon Kılıfı]" c="Telefon Kılıfı" nd="1">
                <p n="[Material].[H_MainGroup].[MainGroupDesc].&amp;[Aksesuar]"/>
              </i>
              <i n="[Material].[H_MainGroup].[MainGroupDesc].&amp;[Aksesuar].&amp;[Temizlik Bezi]" c="Temizlik Bezi" nd="1">
                <p n="[Material].[H_MainGroup].[MainGroupDesc].&amp;[Aksesuar]"/>
              </i>
              <i n="[Material].[H_MainGroup].[MainGroupDesc].&amp;[Aksesuar].&amp;[Temizlik Kovası]" c="Temizlik Kovası" nd="1">
                <p n="[Material].[H_MainGroup].[MainGroupDesc].&amp;[Aksesuar]"/>
              </i>
              <i n="[Material].[H_MainGroup].[MainGroupDesc].&amp;[Aksesuar].&amp;[Tencere Korumalık]" c="Tencere Korumalık" nd="1">
                <p n="[Material].[H_MainGroup].[MainGroupDesc].&amp;[Aksesuar]"/>
              </i>
              <i n="[Material].[H_MainGroup].[MainGroupDesc].&amp;[Aksesuar].&amp;[Terlik Organizer]" c="Terlik Organizer" nd="1">
                <p n="[Material].[H_MainGroup].[MainGroupDesc].&amp;[Aksesuar]"/>
              </i>
              <i n="[Material].[H_MainGroup].[MainGroupDesc].&amp;[Aksesuar].&amp;[Toz Alıcı]" c="Toz Alıcı" nd="1">
                <p n="[Material].[H_MainGroup].[MainGroupDesc].&amp;[Aksesuar]"/>
              </i>
              <i n="[Material].[H_MainGroup].[MainGroupDesc].&amp;[Aksesuar].&amp;[Tuvalet Eğitim Pedi]" c="Tuvalet Eğitim Pedi" nd="1">
                <p n="[Material].[H_MainGroup].[MainGroupDesc].&amp;[Aksesuar]"/>
              </i>
              <i n="[Material].[H_MainGroup].[MainGroupDesc].&amp;[Aksesuar].&amp;[Tuvalet Fırçalığı]" c="Tuvalet Fırçalığı" nd="1">
                <p n="[Material].[H_MainGroup].[MainGroupDesc].&amp;[Aksesuar]"/>
              </i>
              <i n="[Material].[H_MainGroup].[MainGroupDesc].&amp;[Aksesuar].&amp;[Tuvalet Kağıtlığı]" c="Tuvalet Kağıtlığı" nd="1">
                <p n="[Material].[H_MainGroup].[MainGroupDesc].&amp;[Aksesuar]"/>
              </i>
              <i n="[Material].[H_MainGroup].[MainGroupDesc].&amp;[Aksesuar].&amp;[Tüy Toplama Eldiveni]" c="Tüy Toplama Eldiveni" nd="1">
                <p n="[Material].[H_MainGroup].[MainGroupDesc].&amp;[Aksesuar]"/>
              </i>
              <i n="[Material].[H_MainGroup].[MainGroupDesc].&amp;[Aksesuar].&amp;[Tüy Toplayıcı]" c="Tüy Toplayıcı" nd="1">
                <p n="[Material].[H_MainGroup].[MainGroupDesc].&amp;[Aksesuar]"/>
              </i>
              <i n="[Material].[H_MainGroup].[MainGroupDesc].&amp;[Aksesuar].&amp;[USB Memory]" c="USB Memory" nd="1">
                <p n="[Material].[H_MainGroup].[MainGroupDesc].&amp;[Aksesuar]"/>
              </i>
              <i n="[Material].[H_MainGroup].[MainGroupDesc].&amp;[Aksesuar].&amp;[Ütü Masası]" c="Ütü Masası" nd="1">
                <p n="[Material].[H_MainGroup].[MainGroupDesc].&amp;[Aksesuar]"/>
              </i>
              <i n="[Material].[H_MainGroup].[MainGroupDesc].&amp;[Aksesuar].&amp;[Ütü Masası Kılıfı]" c="Ütü Masası Kılıfı" nd="1">
                <p n="[Material].[H_MainGroup].[MainGroupDesc].&amp;[Aksesuar]"/>
              </i>
              <i n="[Material].[H_MainGroup].[MainGroupDesc].&amp;[Aksesuar].&amp;[Ütülük]" c="Ütülük" nd="1">
                <p n="[Material].[H_MainGroup].[MainGroupDesc].&amp;[Aksesuar]"/>
              </i>
              <i n="[Material].[H_MainGroup].[MainGroupDesc].&amp;[Aksesuar].&amp;[Valiz]" c="Valiz" nd="1">
                <p n="[Material].[H_MainGroup].[MainGroupDesc].&amp;[Aksesuar]"/>
              </i>
              <i n="[Material].[H_MainGroup].[MainGroupDesc].&amp;[Aksesuar].&amp;[Valiz Kemeri]" c="Valiz Kemeri" nd="1">
                <p n="[Material].[H_MainGroup].[MainGroupDesc].&amp;[Aksesuar]"/>
              </i>
              <i n="[Material].[H_MainGroup].[MainGroupDesc].&amp;[Aksesuar].&amp;[Yapay Şömine]" c="Yapay Şömine" nd="1">
                <p n="[Material].[H_MainGroup].[MainGroupDesc].&amp;[Aksesuar]"/>
              </i>
              <i n="[Material].[H_MainGroup].[MainGroupDesc].&amp;[Aksesuar].&amp;[Yemlik]" c="Yemlik" nd="1">
                <p n="[Material].[H_MainGroup].[MainGroupDesc].&amp;[Aksesuar]"/>
              </i>
              <i n="[Material].[H_MainGroup].[MainGroupDesc].&amp;[Aksesuar].&amp;[Yer Fırçası]" c="Yer Fırçası" nd="1">
                <p n="[Material].[H_MainGroup].[MainGroupDesc].&amp;[Aksesuar]"/>
              </i>
              <i n="[Material].[H_MainGroup].[MainGroupDesc].&amp;[Aksesuar].&amp;[Yer Karosu]" c="Yer Karosu" nd="1">
                <p n="[Material].[H_MainGroup].[MainGroupDesc].&amp;[Aksesuar]"/>
              </i>
              <i n="[Material].[H_MainGroup].[MainGroupDesc].&amp;[Aksesuar].&amp;[Yıkama Filesi]" c="Yıkama Filesi" nd="1">
                <p n="[Material].[H_MainGroup].[MainGroupDesc].&amp;[Aksesuar]"/>
              </i>
              <i n="[Material].[H_MainGroup].[MainGroupDesc].&amp;[Aksesuar].&amp;[Yıkama Seti]" c="Yıkama Seti" nd="1">
                <p n="[Material].[H_MainGroup].[MainGroupDesc].&amp;[Aksesuar]"/>
              </i>
              <i n="[Material].[H_MainGroup].[MainGroupDesc].&amp;[Aksesuar].&amp;[Yıkama Torbası]" c="Yıkama Torbası" nd="1">
                <p n="[Material].[H_MainGroup].[MainGroupDesc].&amp;[Aksesuar]"/>
              </i>
              <i n="[Material].[H_MainGroup].[MainGroupDesc].&amp;[Aksesuar].&amp;[Yoga Mat]" c="Yoga Mat" nd="1">
                <p n="[Material].[H_MainGroup].[MainGroupDesc].&amp;[Aksesuar]"/>
              </i>
              <i n="[Material].[H_MainGroup].[MainGroupDesc].&amp;[Aksesuar].&amp;[Zeka Kartı]" c="Zeka Kartı" nd="1">
                <p n="[Material].[H_MainGroup].[MainGroupDesc].&amp;[Aksesuar]"/>
              </i>
              <i n="[Material].[H_MainGroup].[MainGroupDesc].&amp;[Aksesuar].&amp;[Zımba]" c="Zımba" nd="1">
                <p n="[Material].[H_MainGroup].[MainGroupDesc].&amp;[Aksesuar]"/>
              </i>
              <i n="[Material].[H_MainGroup].[MainGroupDesc].&amp;[Aksesuar].&amp;[Кüp]" c="Кüp" nd="1">
                <p n="[Material].[H_MainGroup].[MainGroupDesc].&amp;[Aksesuar]"/>
              </i>
              <i n="[Material].[H_MainGroup].[MainGroupDesc].&amp;[Banyo].&amp;[#NA]" c="#NA" nd="1">
                <p n="[Material].[H_MainGroup].[MainGroupDesc].&amp;[Banyo]"/>
              </i>
              <i n="[Material].[H_MainGroup].[MainGroupDesc].&amp;[Banyo].&amp;[Banyo Kesesi]" c="Banyo Kesesi" nd="1">
                <p n="[Material].[H_MainGroup].[MainGroupDesc].&amp;[Banyo]"/>
              </i>
              <i n="[Material].[H_MainGroup].[MainGroupDesc].&amp;[Banyo].&amp;[Dekoratif Küvet]" c="Dekoratif Küvet" nd="1">
                <p n="[Material].[H_MainGroup].[MainGroupDesc].&amp;[Banyo]"/>
              </i>
              <i n="[Material].[H_MainGroup].[MainGroupDesc].&amp;[Banyo].&amp;[Kağıt Mendil]" c="Kağıt Mendil" nd="1">
                <p n="[Material].[H_MainGroup].[MainGroupDesc].&amp;[Banyo]"/>
              </i>
              <i n="[Material].[H_MainGroup].[MainGroupDesc].&amp;[Banyo].&amp;[Kulak Çubukluğu]" c="Kulak Çubukluğu" nd="1">
                <p n="[Material].[H_MainGroup].[MainGroupDesc].&amp;[Banyo]"/>
              </i>
              <i n="[Material].[H_MainGroup].[MainGroupDesc].&amp;[Battaniye].&amp;[#NA]" c="#NA" nd="1">
                <p n="[Material].[H_MainGroup].[MainGroupDesc].&amp;[Battaniye]"/>
              </i>
              <i n="[Material].[H_MainGroup].[MainGroupDesc].&amp;[Battaniye].&amp;[Bebe Battaniye Seti]" c="Bebe Battaniye Seti" nd="1">
                <p n="[Material].[H_MainGroup].[MainGroupDesc].&amp;[Battaniye]"/>
              </i>
              <i n="[Material].[H_MainGroup].[MainGroupDesc].&amp;[Bilgi Sistemleri].&amp;[#NA]" c="#NA" nd="1">
                <p n="[Material].[H_MainGroup].[MainGroupDesc].&amp;[Bilgi Sistemleri]"/>
              </i>
              <i n="[Material].[H_MainGroup].[MainGroupDesc].&amp;[Bilgi Sistemleri].&amp;[BT Sarf Malzemeleri]" c="BT Sarf Malzemeleri" nd="1">
                <p n="[Material].[H_MainGroup].[MainGroupDesc].&amp;[Bilgi Sistemleri]"/>
              </i>
              <i n="[Material].[H_MainGroup].[MainGroupDesc].&amp;[Bilgi Sistemleri].&amp;[Danışmanlık]" c="Danışmanlık" nd="1">
                <p n="[Material].[H_MainGroup].[MainGroupDesc].&amp;[Bilgi Sistemleri]"/>
              </i>
              <i n="[Material].[H_MainGroup].[MainGroupDesc].&amp;[Bilgi Sistemleri].&amp;[Hizmet/Bakım]" c="Hizmet/Bakım" nd="1">
                <p n="[Material].[H_MainGroup].[MainGroupDesc].&amp;[Bilgi Sistemleri]"/>
              </i>
              <i n="[Material].[H_MainGroup].[MainGroupDesc].&amp;[Bilgi Sistemleri].&amp;[Kamera]" c="Kamera" nd="1">
                <p n="[Material].[H_MainGroup].[MainGroupDesc].&amp;[Bilgi Sistemleri]"/>
              </i>
              <i n="[Material].[H_MainGroup].[MainGroupDesc].&amp;[Bilgi Sistemleri].&amp;[Lisans]" c="Lisans" nd="1">
                <p n="[Material].[H_MainGroup].[MainGroupDesc].&amp;[Bilgi Sistemleri]"/>
              </i>
              <i n="[Material].[H_MainGroup].[MainGroupDesc].&amp;[Cafe].&amp;[#NA]" c="#NA" nd="1">
                <p n="[Material].[H_MainGroup].[MainGroupDesc].&amp;[Cafe]"/>
              </i>
              <i n="[Material].[H_MainGroup].[MainGroupDesc].&amp;[Cafe].&amp;[Çikolata Kaplı Badem]" c="Çikolata Kaplı Badem" nd="1">
                <p n="[Material].[H_MainGroup].[MainGroupDesc].&amp;[Cafe]"/>
              </i>
              <i n="[Material].[H_MainGroup].[MainGroupDesc].&amp;[Cafe].&amp;[Gıda]" c="Gıda" nd="1">
                <p n="[Material].[H_MainGroup].[MainGroupDesc].&amp;[Cafe]"/>
              </i>
              <i n="[Material].[H_MainGroup].[MainGroupDesc].&amp;[Çarşaf].&amp;[#NA]" c="#NA" nd="1">
                <p n="[Material].[H_MainGroup].[MainGroupDesc].&amp;[Çarşaf]"/>
              </i>
              <i n="[Material].[H_MainGroup].[MainGroupDesc].&amp;[Çarşaf].&amp;[Çarşaf Takımı]" c="Çarşaf Takımı" nd="1">
                <p n="[Material].[H_MainGroup].[MainGroupDesc].&amp;[Çarşaf]"/>
              </i>
              <i n="[Material].[H_MainGroup].[MainGroupDesc].&amp;[Dünya Markaları].&amp;[#NA]" c="#NA" nd="1">
                <p n="[Material].[H_MainGroup].[MainGroupDesc].&amp;[Dünya Markaları]"/>
              </i>
              <i n="[Material].[H_MainGroup].[MainGroupDesc].&amp;[Dünya Markaları].&amp;[DM Fırın Kabı]" c="DM Fırın Kabı" nd="1">
                <p n="[Material].[H_MainGroup].[MainGroupDesc].&amp;[Dünya Markaları]"/>
              </i>
              <i n="[Material].[H_MainGroup].[MainGroupDesc].&amp;[Dünya Markaları].&amp;[DM Rende]" c="DM Rende" nd="1">
                <p n="[Material].[H_MainGroup].[MainGroupDesc].&amp;[Dünya Markaları]"/>
              </i>
              <i n="[Material].[H_MainGroup].[MainGroupDesc].&amp;[EBA].&amp;[#NA]" c="#NA" nd="1">
                <p n="[Material].[H_MainGroup].[MainGroupDesc].&amp;[EBA]"/>
              </i>
              <i n="[Material].[H_MainGroup].[MainGroupDesc].&amp;[EBA].&amp;[Hizmet/İdari]" c="Hizmet/İdari" nd="1">
                <p n="[Material].[H_MainGroup].[MainGroupDesc].&amp;[EBA]"/>
              </i>
              <i n="[Material].[H_MainGroup].[MainGroupDesc].&amp;[EBA].&amp;[Numuneler]" c="Numuneler" nd="1">
                <p n="[Material].[H_MainGroup].[MainGroupDesc].&amp;[EBA]"/>
              </i>
              <i n="[Material].[H_MainGroup].[MainGroupDesc].&amp;[Entegrasyon].&amp;[#NA]" c="#NA" nd="1">
                <p n="[Material].[H_MainGroup].[MainGroupDesc].&amp;[Entegrasyon]"/>
              </i>
              <i n="[Material].[H_MainGroup].[MainGroupDesc].&amp;[Entegrasyon].&amp;[Bulaşık Deterjanı]" c="Bulaşık Deterjanı" nd="1">
                <p n="[Material].[H_MainGroup].[MainGroupDesc].&amp;[Entegrasyon]"/>
              </i>
              <i n="[Material].[H_MainGroup].[MainGroupDesc].&amp;[Entegrasyon].&amp;[Entegrasyon MG]" c="Entegrasyon MG" nd="1">
                <p n="[Material].[H_MainGroup].[MainGroupDesc].&amp;[Entegrasyon]"/>
              </i>
              <i n="[Material].[H_MainGroup].[MainGroupDesc].&amp;[Ev Giysisi].&amp;[Eşofman Takımı]" c="Eşofman Takımı" nd="1">
                <p n="[Material].[H_MainGroup].[MainGroupDesc].&amp;[Ev Giysisi]"/>
              </i>
              <i n="[Material].[H_MainGroup].[MainGroupDesc].&amp;[Halı - Kilim].&amp;[#NA]" c="#NA" nd="1">
                <p n="[Material].[H_MainGroup].[MainGroupDesc].&amp;[Halı - Kilim]"/>
              </i>
              <i n="[Material].[H_MainGroup].[MainGroupDesc].&amp;[Halı - Kilim].&amp;[Bukle Kilim]" c="Bukle Kilim" nd="1">
                <p n="[Material].[H_MainGroup].[MainGroupDesc].&amp;[Halı - Kilim]"/>
              </i>
              <i n="[Material].[H_MainGroup].[MainGroupDesc].&amp;[Halı - Kilim].&amp;[Dekoratif Jüt Kilim]" c="Dekoratif Jüt Kilim" nd="1">
                <p n="[Material].[H_MainGroup].[MainGroupDesc].&amp;[Halı - Kilim]"/>
              </i>
              <i n="[Material].[H_MainGroup].[MainGroupDesc].&amp;[Halı - Kilim].&amp;[Dokuma Kilim]" c="Dokuma Kilim" nd="1">
                <p n="[Material].[H_MainGroup].[MainGroupDesc].&amp;[Halı - Kilim]"/>
              </i>
              <i n="[Material].[H_MainGroup].[MainGroupDesc].&amp;[Halı - Kilim].&amp;[Halı Tabanı]" c="Halı Tabanı" nd="1">
                <p n="[Material].[H_MainGroup].[MainGroupDesc].&amp;[Halı - Kilim]"/>
              </i>
              <i n="[Material].[H_MainGroup].[MainGroupDesc].&amp;[Havlu].&amp;[#NA]" c="#NA" nd="1">
                <p n="[Material].[H_MainGroup].[MainGroupDesc].&amp;[Havlu]"/>
              </i>
              <i n="[Material].[H_MainGroup].[MainGroupDesc].&amp;[Havlu].&amp;[Banyo Bonesi]" c="Banyo Bonesi" nd="1">
                <p n="[Material].[H_MainGroup].[MainGroupDesc].&amp;[Havlu]"/>
              </i>
              <i n="[Material].[H_MainGroup].[MainGroupDesc].&amp;[Havlu].&amp;[Peştamal Set]" c="Peştamal Set" nd="1">
                <p n="[Material].[H_MainGroup].[MainGroupDesc].&amp;[Havlu]"/>
              </i>
              <i n="[Material].[H_MainGroup].[MainGroupDesc].&amp;[Havlu].&amp;[Spor Havlusu]" c="Spor Havlusu" nd="1">
                <p n="[Material].[H_MainGroup].[MainGroupDesc].&amp;[Havlu]"/>
              </i>
              <i n="[Material].[H_MainGroup].[MainGroupDesc].&amp;[Havlu].&amp;[Vaftiz Havlusu]" c="Vaftiz Havlusu" nd="1">
                <p n="[Material].[H_MainGroup].[MainGroupDesc].&amp;[Havlu]"/>
              </i>
              <i n="[Material].[H_MainGroup].[MainGroupDesc].&amp;[İnsan Kaynakları].&amp;[#NA]" c="#NA" nd="1">
                <p n="[Material].[H_MainGroup].[MainGroupDesc].&amp;[İnsan Kaynakları]"/>
              </i>
              <i n="[Material].[H_MainGroup].[MainGroupDesc].&amp;[İnsan Kaynakları].&amp;[IK Ofis - Kırtasiye]" c="IK Ofis - Kırtasiye" nd="1">
                <p n="[Material].[H_MainGroup].[MainGroupDesc].&amp;[İnsan Kaynakları]"/>
              </i>
              <i n="[Material].[H_MainGroup].[MainGroupDesc].&amp;[KEA].&amp;[#NA]" c="#NA" nd="1">
                <p n="[Material].[H_MainGroup].[MainGroupDesc].&amp;[KEA]"/>
              </i>
              <i n="[Material].[H_MainGroup].[MainGroupDesc].&amp;[KEA].&amp;[Buharlı Düzleştirici]" c="Buharlı Düzleştirici" nd="1">
                <p n="[Material].[H_MainGroup].[MainGroupDesc].&amp;[KEA]"/>
              </i>
              <i n="[Material].[H_MainGroup].[MainGroupDesc].&amp;[KEA].&amp;[Buharlı El Ütüsü]" c="Buharlı El Ütüsü" nd="1">
                <p n="[Material].[H_MainGroup].[MainGroupDesc].&amp;[KEA]"/>
              </i>
              <i n="[Material].[H_MainGroup].[MainGroupDesc].&amp;[KEA].&amp;[Buharlı Temizleyici]" c="Buharlı Temizleyici" nd="1">
                <p n="[Material].[H_MainGroup].[MainGroupDesc].&amp;[KEA]"/>
              </i>
              <i n="[Material].[H_MainGroup].[MainGroupDesc].&amp;[KEA].&amp;[Derin Yağ Fritözü]" c="Derin Yağ Fritözü" nd="1">
                <p n="[Material].[H_MainGroup].[MainGroupDesc].&amp;[KEA]"/>
              </i>
              <i n="[Material].[H_MainGroup].[MainGroupDesc].&amp;[KEA].&amp;[Düzleştirici]" c="Düzleştirici" nd="1">
                <p n="[Material].[H_MainGroup].[MainGroupDesc].&amp;[KEA]"/>
              </i>
              <i n="[Material].[H_MainGroup].[MainGroupDesc].&amp;[KEA].&amp;[Düzleştirme Tarağı]" c="Düzleştirme Tarağı" nd="1">
                <p n="[Material].[H_MainGroup].[MainGroupDesc].&amp;[KEA]"/>
              </i>
              <i n="[Material].[H_MainGroup].[MainGroupDesc].&amp;[KEA].&amp;[Elektirikli Diş Fırç]" c="Elektirikli Diş Fırç" nd="1">
                <p n="[Material].[H_MainGroup].[MainGroupDesc].&amp;[KEA]"/>
              </i>
              <i n="[Material].[H_MainGroup].[MainGroupDesc].&amp;[KEA].&amp;[Erkek Tıraş Makinesi]" c="Erkek Tıraş Makinesi" nd="1">
                <p n="[Material].[H_MainGroup].[MainGroupDesc].&amp;[KEA]"/>
              </i>
              <i n="[Material].[H_MainGroup].[MainGroupDesc].&amp;[KEA].&amp;[Halı ve Koltuk Yıkam]" c="Halı ve Koltuk Yıkam" nd="1">
                <p n="[Material].[H_MainGroup].[MainGroupDesc].&amp;[KEA]"/>
              </i>
              <i n="[Material].[H_MainGroup].[MainGroupDesc].&amp;[KEA].&amp;[Islak Kuru Süpürge]" c="Islak Kuru Süpürge" nd="1">
                <p n="[Material].[H_MainGroup].[MainGroupDesc].&amp;[KEA]"/>
              </i>
              <i n="[Material].[H_MainGroup].[MainGroupDesc].&amp;[KEA].&amp;[Kadın Tıraş Makinesi]" c="Kadın Tıraş Makinesi" nd="1">
                <p n="[Material].[H_MainGroup].[MainGroupDesc].&amp;[KEA]"/>
              </i>
              <i n="[Material].[H_MainGroup].[MainGroupDesc].&amp;[KEA].&amp;[Katı Meyve Sıkacağı]" c="Katı Meyve Sıkacağı" nd="1">
                <p n="[Material].[H_MainGroup].[MainGroupDesc].&amp;[KEA]"/>
              </i>
              <i n="[Material].[H_MainGroup].[MainGroupDesc].&amp;[KEA].&amp;[Kıyma Makinesi]" c="Kıyma Makinesi" nd="1">
                <p n="[Material].[H_MainGroup].[MainGroupDesc].&amp;[KEA]"/>
              </i>
              <i n="[Material].[H_MainGroup].[MainGroupDesc].&amp;[KEA].&amp;[Krep Makinesi]" c="Krep Makinesi" nd="1">
                <p n="[Material].[H_MainGroup].[MainGroupDesc].&amp;[KEA]"/>
              </i>
              <i n="[Material].[H_MainGroup].[MainGroupDesc].&amp;[KEA].&amp;[Mutfak Robotu]" c="Mutfak Robotu" nd="1">
                <p n="[Material].[H_MainGroup].[MainGroupDesc].&amp;[KEA]"/>
              </i>
              <i n="[Material].[H_MainGroup].[MainGroupDesc].&amp;[KEA].&amp;[Narenciye Sıkacağı]" c="Narenciye Sıkacağı" nd="1">
                <p n="[Material].[H_MainGroup].[MainGroupDesc].&amp;[KEA]"/>
              </i>
              <i n="[Material].[H_MainGroup].[MainGroupDesc].&amp;[KEA].&amp;[Oyun Konsolları]" c="Oyun Konsolları" nd="1">
                <p n="[Material].[H_MainGroup].[MainGroupDesc].&amp;[KEA]"/>
              </i>
              <i n="[Material].[H_MainGroup].[MainGroupDesc].&amp;[KEA].&amp;[Robot Süpürge]" c="Robot Süpürge" nd="1">
                <p n="[Material].[H_MainGroup].[MainGroupDesc].&amp;[KEA]"/>
              </i>
              <i n="[Material].[H_MainGroup].[MainGroupDesc].&amp;[KEA].&amp;[Saç Düzleştirici]" c="Saç Düzleştirici" nd="1">
                <p n="[Material].[H_MainGroup].[MainGroupDesc].&amp;[KEA]"/>
              </i>
              <i n="[Material].[H_MainGroup].[MainGroupDesc].&amp;[KEA].&amp;[Saç Maşası]" c="Saç Maşası" nd="1">
                <p n="[Material].[H_MainGroup].[MainGroupDesc].&amp;[KEA]"/>
              </i>
              <i n="[Material].[H_MainGroup].[MainGroupDesc].&amp;[KEA].&amp;[Saç Şekillendirici]" c="Saç Şekillendirici" nd="1">
                <p n="[Material].[H_MainGroup].[MainGroupDesc].&amp;[KEA]"/>
              </i>
              <i n="[Material].[H_MainGroup].[MainGroupDesc].&amp;[KEA].&amp;[Sandviç Mono]" c="Sandviç Mono" nd="1">
                <p n="[Material].[H_MainGroup].[MainGroupDesc].&amp;[KEA]"/>
              </i>
              <i n="[Material].[H_MainGroup].[MainGroupDesc].&amp;[KEA].&amp;[Seyahat Ütüsü]" c="Seyahat Ütüsü" nd="1">
                <p n="[Material].[H_MainGroup].[MainGroupDesc].&amp;[KEA]"/>
              </i>
              <i n="[Material].[H_MainGroup].[MainGroupDesc].&amp;[KEA].&amp;[Silindir Süpürge]" c="Silindir Süpürge" nd="1">
                <p n="[Material].[H_MainGroup].[MainGroupDesc].&amp;[KEA]"/>
              </i>
              <i n="[Material].[H_MainGroup].[MainGroupDesc].&amp;[KEA].&amp;[Slow Juicer]" c="Slow Juicer" nd="1">
                <p n="[Material].[H_MainGroup].[MainGroupDesc].&amp;[KEA]"/>
              </i>
              <i n="[Material].[H_MainGroup].[MainGroupDesc].&amp;[KEA].&amp;[Toz Torbasız Süpürge]" c="Toz Torbasız Süpürge" nd="1">
                <p n="[Material].[H_MainGroup].[MainGroupDesc].&amp;[KEA]"/>
              </i>
              <i n="[Material].[H_MainGroup].[MainGroupDesc].&amp;[Kozmetik].&amp;[#NA]" c="#NA" nd="1">
                <p n="[Material].[H_MainGroup].[MainGroupDesc].&amp;[Kozmetik]"/>
              </i>
              <i n="[Material].[H_MainGroup].[MainGroupDesc].&amp;[Kozmetik].&amp;[Allık]" c="Allık" nd="1">
                <p n="[Material].[H_MainGroup].[MainGroupDesc].&amp;[Kozmetik]"/>
              </i>
              <i n="[Material].[H_MainGroup].[MainGroupDesc].&amp;[Kozmetik].&amp;[Askılı Koku]" c="Askılı Koku" nd="1">
                <p n="[Material].[H_MainGroup].[MainGroupDesc].&amp;[Kozmetik]"/>
              </i>
              <i n="[Material].[H_MainGroup].[MainGroupDesc].&amp;[Kozmetik].&amp;[Ayak Bakım Kremi]" c="Ayak Bakım Kremi" nd="1">
                <p n="[Material].[H_MainGroup].[MainGroupDesc].&amp;[Kozmetik]"/>
              </i>
              <i n="[Material].[H_MainGroup].[MainGroupDesc].&amp;[Kozmetik].&amp;[Ayak Peelingi]" c="Ayak Peelingi" nd="1">
                <p n="[Material].[H_MainGroup].[MainGroupDesc].&amp;[Kozmetik]"/>
              </i>
              <i n="[Material].[H_MainGroup].[MainGroupDesc].&amp;[Kozmetik].&amp;[Aydınlatıcı]" c="Aydınlatıcı" nd="1">
                <p n="[Material].[H_MainGroup].[MainGroupDesc].&amp;[Kozmetik]"/>
              </i>
              <i n="[Material].[H_MainGroup].[MainGroupDesc].&amp;[Kozmetik].&amp;[Bakım Seti]" c="Bakım Seti" nd="1">
                <p n="[Material].[H_MainGroup].[MainGroupDesc].&amp;[Kozmetik]"/>
              </i>
              <i n="[Material].[H_MainGroup].[MainGroupDesc].&amp;[Kozmetik].&amp;[Banyo Tuzu]" c="Banyo Tuzu" nd="1">
                <p n="[Material].[H_MainGroup].[MainGroupDesc].&amp;[Kozmetik]"/>
              </i>
              <i n="[Material].[H_MainGroup].[MainGroupDesc].&amp;[Kozmetik].&amp;[Bebe Bakım Seti]" c="Bebe Bakım Seti" nd="1">
                <p n="[Material].[H_MainGroup].[MainGroupDesc].&amp;[Kozmetik]"/>
              </i>
              <i n="[Material].[H_MainGroup].[MainGroupDesc].&amp;[Kozmetik].&amp;[Bebek Yağı]" c="Bebek Yağı" nd="1">
                <p n="[Material].[H_MainGroup].[MainGroupDesc].&amp;[Kozmetik]"/>
              </i>
              <i n="[Material].[H_MainGroup].[MainGroupDesc].&amp;[Kozmetik].&amp;[Bigudi]" c="Bigudi" nd="1">
                <p n="[Material].[H_MainGroup].[MainGroupDesc].&amp;[Kozmetik]"/>
              </i>
              <i n="[Material].[H_MainGroup].[MainGroupDesc].&amp;[Kozmetik].&amp;[Body Mist&amp;Losyon Set]" c="Body Mist&amp;Losyon Set" nd="1">
                <p n="[Material].[H_MainGroup].[MainGroupDesc].&amp;[Kozmetik]"/>
              </i>
              <i n="[Material].[H_MainGroup].[MainGroupDesc].&amp;[Kozmetik].&amp;[Body Polish]" c="Body Polish" nd="1">
                <p n="[Material].[H_MainGroup].[MainGroupDesc].&amp;[Kozmetik]"/>
              </i>
              <i n="[Material].[H_MainGroup].[MainGroupDesc].&amp;[Kozmetik].&amp;[Bronzlaştırıcı]" c="Bronzlaştırıcı" nd="1">
                <p n="[Material].[H_MainGroup].[MainGroupDesc].&amp;[Kozmetik]"/>
              </i>
              <i n="[Material].[H_MainGroup].[MainGroupDesc].&amp;[Kozmetik].&amp;[Buklet Set]" c="Buklet Set" nd="1">
                <p n="[Material].[H_MainGroup].[MainGroupDesc].&amp;[Kozmetik]"/>
              </i>
              <i n="[Material].[H_MainGroup].[MainGroupDesc].&amp;[Kozmetik].&amp;[Çamaşır Spreyi]" c="Çamaşır Spreyi" nd="1">
                <p n="[Material].[H_MainGroup].[MainGroupDesc].&amp;[Kozmetik]"/>
              </i>
              <i n="[Material].[H_MainGroup].[MainGroupDesc].&amp;[Kozmetik].&amp;[Çamaşır Yumuşatıcısı]" c="Çamaşır Yumuşatıcısı" nd="1">
                <p n="[Material].[H_MainGroup].[MainGroupDesc].&amp;[Kozmetik]"/>
              </i>
              <i n="[Material].[H_MainGroup].[MainGroupDesc].&amp;[Kozmetik].&amp;[Cilt Temizleme Fırça]" c="Cilt Temizleme Fırça" nd="1">
                <p n="[Material].[H_MainGroup].[MainGroupDesc].&amp;[Kozmetik]"/>
              </i>
              <i n="[Material].[H_MainGroup].[MainGroupDesc].&amp;[Kozmetik].&amp;[Cımbız]" c="Cımbız" nd="1">
                <p n="[Material].[H_MainGroup].[MainGroupDesc].&amp;[Kozmetik]"/>
              </i>
              <i n="[Material].[H_MainGroup].[MainGroupDesc].&amp;[Kozmetik].&amp;[Deodorant]" c="Deodorant" nd="1">
                <p n="[Material].[H_MainGroup].[MainGroupDesc].&amp;[Kozmetik]"/>
              </i>
              <i n="[Material].[H_MainGroup].[MainGroupDesc].&amp;[Kozmetik].&amp;[Deterjan]" c="Deterjan" nd="1">
                <p n="[Material].[H_MainGroup].[MainGroupDesc].&amp;[Kozmetik]"/>
              </i>
              <i n="[Material].[H_MainGroup].[MainGroupDesc].&amp;[Kozmetik].&amp;[Diş Fırçası]" c="Diş Fırçası" nd="1">
                <p n="[Material].[H_MainGroup].[MainGroupDesc].&amp;[Kozmetik]"/>
              </i>
              <i n="[Material].[H_MainGroup].[MainGroupDesc].&amp;[Kozmetik].&amp;[Diş Fırçası Kabı]" c="Diş Fırçası Kabı" nd="1">
                <p n="[Material].[H_MainGroup].[MainGroupDesc].&amp;[Kozmetik]"/>
              </i>
              <i n="[Material].[H_MainGroup].[MainGroupDesc].&amp;[Kozmetik].&amp;[Duş Lifi]" c="Duş Lifi" nd="1">
                <p n="[Material].[H_MainGroup].[MainGroupDesc].&amp;[Kozmetik]"/>
              </i>
              <i n="[Material].[H_MainGroup].[MainGroupDesc].&amp;[Kozmetik].&amp;[El Temizleme Jeli]" c="El Temizleme Jeli" nd="1">
                <p n="[Material].[H_MainGroup].[MainGroupDesc].&amp;[Kozmetik]"/>
              </i>
              <i n="[Material].[H_MainGroup].[MainGroupDesc].&amp;[Kozmetik].&amp;[El Vücut Bakım Kremi]" c="El Vücut Bakım Kremi" nd="1">
                <p n="[Material].[H_MainGroup].[MainGroupDesc].&amp;[Kozmetik]"/>
              </i>
              <i n="[Material].[H_MainGroup].[MainGroupDesc].&amp;[Kozmetik].&amp;[Eyeliner]" c="Eyeliner" nd="1">
                <p n="[Material].[H_MainGroup].[MainGroupDesc].&amp;[Kozmetik]"/>
              </i>
              <i n="[Material].[H_MainGroup].[MainGroupDesc].&amp;[Kozmetik].&amp;[Göz Farı]" c="Göz Farı" nd="1">
                <p n="[Material].[H_MainGroup].[MainGroupDesc].&amp;[Kozmetik]"/>
              </i>
              <i n="[Material].[H_MainGroup].[MainGroupDesc].&amp;[Kozmetik].&amp;[Gül Suyu]" c="Gül Suyu" nd="1">
                <p n="[Material].[H_MainGroup].[MainGroupDesc].&amp;[Kozmetik]"/>
              </i>
              <i n="[Material].[H_MainGroup].[MainGroupDesc].&amp;[Kozmetik].&amp;[Güneş Sonrası Jel]" c="Güneş Sonrası Jel" nd="1">
                <p n="[Material].[H_MainGroup].[MainGroupDesc].&amp;[Kozmetik]"/>
              </i>
              <i n="[Material].[H_MainGroup].[MainGroupDesc].&amp;[Kozmetik].&amp;[Hediyelik Set]" c="Hediyelik Set" nd="1">
                <p n="[Material].[H_MainGroup].[MainGroupDesc].&amp;[Kozmetik]"/>
              </i>
              <i n="[Material].[H_MainGroup].[MainGroupDesc].&amp;[Kozmetik].&amp;[Islak Mendil]" c="Islak Mendil" nd="1">
                <p n="[Material].[H_MainGroup].[MainGroupDesc].&amp;[Kozmetik]"/>
              </i>
              <i n="[Material].[H_MainGroup].[MainGroupDesc].&amp;[Kozmetik].&amp;[Kirpik Kıvırıcı]" c="Kirpik Kıvırıcı" nd="1">
                <p n="[Material].[H_MainGroup].[MainGroupDesc].&amp;[Kozmetik]"/>
              </i>
              <i n="[Material].[H_MainGroup].[MainGroupDesc].&amp;[Kozmetik].&amp;[Lip Balm]" c="Lip Balm" nd="1">
                <p n="[Material].[H_MainGroup].[MainGroupDesc].&amp;[Kozmetik]"/>
              </i>
              <i n="[Material].[H_MainGroup].[MainGroupDesc].&amp;[Kozmetik].&amp;[Makyaj Aynası]" c="Makyaj Aynası" nd="1">
                <p n="[Material].[H_MainGroup].[MainGroupDesc].&amp;[Kozmetik]"/>
              </i>
              <i n="[Material].[H_MainGroup].[MainGroupDesc].&amp;[Kozmetik].&amp;[Makyaj Fırçası]" c="Makyaj Fırçası" nd="1">
                <p n="[Material].[H_MainGroup].[MainGroupDesc].&amp;[Kozmetik]"/>
              </i>
              <i n="[Material].[H_MainGroup].[MainGroupDesc].&amp;[Kozmetik].&amp;[Makyaj Süngeri]" c="Makyaj Süngeri" nd="1">
                <p n="[Material].[H_MainGroup].[MainGroupDesc].&amp;[Kozmetik]"/>
              </i>
              <i n="[Material].[H_MainGroup].[MainGroupDesc].&amp;[Kozmetik].&amp;[Makyaj Temizleme Men]" c="Makyaj Temizleme Men" nd="1">
                <p n="[Material].[H_MainGroup].[MainGroupDesc].&amp;[Kozmetik]"/>
              </i>
              <i n="[Material].[H_MainGroup].[MainGroupDesc].&amp;[Kozmetik].&amp;[Manikür Seti]" c="Manikür Seti" nd="1">
                <p n="[Material].[H_MainGroup].[MainGroupDesc].&amp;[Kozmetik]"/>
              </i>
              <i n="[Material].[H_MainGroup].[MainGroupDesc].&amp;[Kozmetik].&amp;[Maskara]" c="Maskara" nd="1">
                <p n="[Material].[H_MainGroup].[MainGroupDesc].&amp;[Kozmetik]"/>
              </i>
              <i n="[Material].[H_MainGroup].[MainGroupDesc].&amp;[Kozmetik].&amp;[Micellar Su]" c="Micellar Su" nd="1">
                <p n="[Material].[H_MainGroup].[MainGroupDesc].&amp;[Kozmetik]"/>
              </i>
              <i n="[Material].[H_MainGroup].[MainGroupDesc].&amp;[Kozmetik].&amp;[Parfüm&amp;El Kremi Set]" c="Parfüm&amp;El Kremi Set" nd="1">
                <p n="[Material].[H_MainGroup].[MainGroupDesc].&amp;[Kozmetik]"/>
              </i>
              <i n="[Material].[H_MainGroup].[MainGroupDesc].&amp;[Kozmetik].&amp;[Ponza Taşı]" c="Ponza Taşı" nd="1">
                <p n="[Material].[H_MainGroup].[MainGroupDesc].&amp;[Kozmetik]"/>
              </i>
              <i n="[Material].[H_MainGroup].[MainGroupDesc].&amp;[Kozmetik].&amp;[Refil]" c="Refil" nd="1">
                <p n="[Material].[H_MainGroup].[MainGroupDesc].&amp;[Kozmetik]"/>
              </i>
              <i n="[Material].[H_MainGroup].[MainGroupDesc].&amp;[Kozmetik].&amp;[Saç Fırçası]" c="Saç Fırçası" nd="1">
                <p n="[Material].[H_MainGroup].[MainGroupDesc].&amp;[Kozmetik]"/>
              </i>
              <i n="[Material].[H_MainGroup].[MainGroupDesc].&amp;[Kozmetik].&amp;[Şampuan]" c="Şampuan" nd="1">
                <p n="[Material].[H_MainGroup].[MainGroupDesc].&amp;[Kozmetik]"/>
              </i>
              <i n="[Material].[H_MainGroup].[MainGroupDesc].&amp;[Kozmetik].&amp;[Seyahat Seti]" c="Seyahat Seti" nd="1">
                <p n="[Material].[H_MainGroup].[MainGroupDesc].&amp;[Kozmetik]"/>
              </i>
              <i n="[Material].[H_MainGroup].[MainGroupDesc].&amp;[Kozmetik].&amp;[Sıvı Saç Kremi]" c="Sıvı Saç Kremi" nd="1">
                <p n="[Material].[H_MainGroup].[MainGroupDesc].&amp;[Kozmetik]"/>
              </i>
              <i n="[Material].[H_MainGroup].[MainGroupDesc].&amp;[Kozmetik].&amp;[Sugar Scrub]" c="Sugar Scrub" nd="1">
                <p n="[Material].[H_MainGroup].[MainGroupDesc].&amp;[Kozmetik]"/>
              </i>
              <i n="[Material].[H_MainGroup].[MainGroupDesc].&amp;[Kozmetik].&amp;[Tonik]" c="Tonik" nd="1">
                <p n="[Material].[H_MainGroup].[MainGroupDesc].&amp;[Kozmetik]"/>
              </i>
              <i n="[Material].[H_MainGroup].[MainGroupDesc].&amp;[Kozmetik].&amp;[Törpü]" c="Törpü" nd="1">
                <p n="[Material].[H_MainGroup].[MainGroupDesc].&amp;[Kozmetik]"/>
              </i>
              <i n="[Material].[H_MainGroup].[MainGroupDesc].&amp;[Kozmetik].&amp;[WHT Kokulu Çubuk]" c="WHT Kokulu Çubuk" nd="1">
                <p n="[Material].[H_MainGroup].[MainGroupDesc].&amp;[Kozmetik]"/>
              </i>
              <i n="[Material].[H_MainGroup].[MainGroupDesc].&amp;[Kozmetik].&amp;[WHT Kokulu Mum]" c="WHT Kokulu Mum" nd="1">
                <p n="[Material].[H_MainGroup].[MainGroupDesc].&amp;[Kozmetik]"/>
              </i>
              <i n="[Material].[H_MainGroup].[MainGroupDesc].&amp;[Kozmetik].&amp;[Yüz Temizleme Jeli]" c="Yüz Temizleme Jeli" nd="1">
                <p n="[Material].[H_MainGroup].[MainGroupDesc].&amp;[Kozmetik]"/>
              </i>
              <i n="[Material].[H_MainGroup].[MainGroupDesc].&amp;[Küçük Elektrikli Ev Aletleri].&amp;[#NA]" c="#NA" nd="1">
                <p n="[Material].[H_MainGroup].[MainGroupDesc].&amp;[Küçük Elektrikli Ev Aletleri]"/>
              </i>
              <i n="[Material].[H_MainGroup].[MainGroupDesc].&amp;[Küçük Elektrikli Ev Aletleri].&amp;[Baskül]" c="Baskül" nd="1">
                <p n="[Material].[H_MainGroup].[MainGroupDesc].&amp;[Küçük Elektrikli Ev Aletleri]"/>
              </i>
              <i n="[Material].[H_MainGroup].[MainGroupDesc].&amp;[Küçük Elektrikli Ev Aletleri].&amp;[Blender Set]" c="Blender Set" nd="1">
                <p n="[Material].[H_MainGroup].[MainGroupDesc].&amp;[Küçük Elektrikli Ev Aletleri]"/>
              </i>
              <i n="[Material].[H_MainGroup].[MainGroupDesc].&amp;[Küçük Elektrikli Ev Aletleri].&amp;[Buharlı Pişirici]" c="Buharlı Pişirici" nd="1">
                <p n="[Material].[H_MainGroup].[MainGroupDesc].&amp;[Küçük Elektrikli Ev Aletleri]"/>
              </i>
              <i n="[Material].[H_MainGroup].[MainGroupDesc].&amp;[Küçük Elektrikli Ev Aletleri].&amp;[Çaycı]" c="Çaycı" nd="1">
                <p n="[Material].[H_MainGroup].[MainGroupDesc].&amp;[Küçük Elektrikli Ev Aletleri]"/>
              </i>
              <i n="[Material].[H_MainGroup].[MainGroupDesc].&amp;[Küçük Elektrikli Ev Aletleri].&amp;[Dik Süpürge]" c="Dik Süpürge" nd="1">
                <p n="[Material].[H_MainGroup].[MainGroupDesc].&amp;[Küçük Elektrikli Ev Aletleri]"/>
              </i>
              <i n="[Material].[H_MainGroup].[MainGroupDesc].&amp;[Küçük Elektrikli Ev Aletleri].&amp;[Dikiş Makinesi]" c="Dikiş Makinesi" nd="1">
                <p n="[Material].[H_MainGroup].[MainGroupDesc].&amp;[Küçük Elektrikli Ev Aletleri]"/>
              </i>
              <i n="[Material].[H_MainGroup].[MainGroupDesc].&amp;[Küçük Elektrikli Ev Aletleri].&amp;[Ekmek Kızrtma Makine]" c="Ekmek Kızrtma Makine" nd="1">
                <p n="[Material].[H_MainGroup].[MainGroupDesc].&amp;[Küçük Elektrikli Ev Aletleri]"/>
              </i>
              <i n="[Material].[H_MainGroup].[MainGroupDesc].&amp;[Küçük Elektrikli Ev Aletleri].&amp;[El Mikseri]" c="El Mikseri" nd="1">
                <p n="[Material].[H_MainGroup].[MainGroupDesc].&amp;[Küçük Elektrikli Ev Aletleri]"/>
              </i>
              <i n="[Material].[H_MainGroup].[MainGroupDesc].&amp;[Küçük Elektrikli Ev Aletleri].&amp;[Erkek Bakım Kiti]" c="Erkek Bakım Kiti" nd="1">
                <p n="[Material].[H_MainGroup].[MainGroupDesc].&amp;[Küçük Elektrikli Ev Aletleri]"/>
              </i>
              <i n="[Material].[H_MainGroup].[MainGroupDesc].&amp;[Küçük Elektrikli Ev Aletleri].&amp;[Filtre Kahve Makines]" c="Filtre Kahve Makines" nd="1">
                <p n="[Material].[H_MainGroup].[MainGroupDesc].&amp;[Küçük Elektrikli Ev Aletleri]"/>
              </i>
              <i n="[Material].[H_MainGroup].[MainGroupDesc].&amp;[Küçük Elektrikli Ev Aletleri].&amp;[Mutfak Tartısı]" c="Mutfak Tartısı" nd="1">
                <p n="[Material].[H_MainGroup].[MainGroupDesc].&amp;[Küçük Elektrikli Ev Aletleri]"/>
              </i>
              <i n="[Material].[H_MainGroup].[MainGroupDesc].&amp;[Küçük Elektrikli Ev Aletleri].&amp;[Rondo]" c="Rondo" nd="1">
                <p n="[Material].[H_MainGroup].[MainGroupDesc].&amp;[Küçük Elektrikli Ev Aletleri]"/>
              </i>
              <i n="[Material].[H_MainGroup].[MainGroupDesc].&amp;[Küçük Elektrikli Ev Aletleri].&amp;[Saç Düzleştiricisi]" c="Saç Düzleştiricisi" nd="1">
                <p n="[Material].[H_MainGroup].[MainGroupDesc].&amp;[Küçük Elektrikli Ev Aletleri]"/>
              </i>
              <i n="[Material].[H_MainGroup].[MainGroupDesc].&amp;[Küçük Elektrikli Ev Aletleri].&amp;[Saç Kurutma Makinesi]" c="Saç Kurutma Makinesi" nd="1">
                <p n="[Material].[H_MainGroup].[MainGroupDesc].&amp;[Küçük Elektrikli Ev Aletleri]"/>
              </i>
              <i n="[Material].[H_MainGroup].[MainGroupDesc].&amp;[Küçük Elektrikli Ev Aletleri].&amp;[Salon Pro System]" c="Salon Pro System" nd="1">
                <p n="[Material].[H_MainGroup].[MainGroupDesc].&amp;[Küçük Elektrikli Ev Aletleri]"/>
              </i>
              <i n="[Material].[H_MainGroup].[MainGroupDesc].&amp;[Küçük Elektrikli Ev Aletleri].&amp;[Satinskin Pro System]" c="Satinskin Pro System" nd="1">
                <p n="[Material].[H_MainGroup].[MainGroupDesc].&amp;[Küçük Elektrikli Ev Aletleri]"/>
              </i>
              <i n="[Material].[H_MainGroup].[MainGroupDesc].&amp;[Küçük Elektrikli Ev Aletleri].&amp;[Tost Makinesi]" c="Tost Makinesi" nd="1">
                <p n="[Material].[H_MainGroup].[MainGroupDesc].&amp;[Küçük Elektrikli Ev Aletleri]"/>
              </i>
              <i n="[Material].[H_MainGroup].[MainGroupDesc].&amp;[Küçük Elektrikli Ev Aletleri].&amp;[Toz Torbasız Kuru Va]" c="Toz Torbasız Kuru Va" nd="1">
                <p n="[Material].[H_MainGroup].[MainGroupDesc].&amp;[Küçük Elektrikli Ev Aletleri]"/>
              </i>
              <i n="[Material].[H_MainGroup].[MainGroupDesc].&amp;[Küçük Elektrikli Ev Aletleri].&amp;[Türk Kahvesi Makines]" c="Türk Kahvesi Makines" nd="1">
                <p n="[Material].[H_MainGroup].[MainGroupDesc].&amp;[Küçük Elektrikli Ev Aletleri]"/>
              </i>
              <i n="[Material].[H_MainGroup].[MainGroupDesc].&amp;[Küçük Elektrikli Ev Aletleri].&amp;[Ütü]" c="Ütü" nd="1">
                <p n="[Material].[H_MainGroup].[MainGroupDesc].&amp;[Küçük Elektrikli Ev Aletleri]"/>
              </i>
              <i n="[Material].[H_MainGroup].[MainGroupDesc].&amp;[Küçük Elektrikli Ev Aletleri].&amp;[Yumurta Pişirici]" c="Yumurta Pişirici" nd="1">
                <p n="[Material].[H_MainGroup].[MainGroupDesc].&amp;[Küçük Elektrikli Ev Aletleri]"/>
              </i>
              <i n="[Material].[H_MainGroup].[MainGroupDesc].&amp;[Mağaza Yatırım ve Proje].&amp;[#NA]" c="#NA" nd="1">
                <p n="[Material].[H_MainGroup].[MainGroupDesc].&amp;[Mağaza Yatırım ve Proje]"/>
              </i>
              <i n="[Material].[H_MainGroup].[MainGroupDesc].&amp;[Mağaza Yatırım ve Proje].&amp;[Görsel Unsurlar]" c="Görsel Unsurlar" nd="1">
                <p n="[Material].[H_MainGroup].[MainGroupDesc].&amp;[Mağaza Yatırım ve Proje]"/>
              </i>
              <i n="[Material].[H_MainGroup].[MainGroupDesc].&amp;[Mağaza Yatırım ve Proje].&amp;[Mağaza Duran Varlığı]" c="Mağaza Duran Varlığı" nd="1">
                <p n="[Material].[H_MainGroup].[MainGroupDesc].&amp;[Mağaza Yatırım ve Proje]"/>
              </i>
              <i n="[Material].[H_MainGroup].[MainGroupDesc].&amp;[Mobilya].&amp;[#NA]" c="#NA" nd="1">
                <p n="[Material].[H_MainGroup].[MainGroupDesc].&amp;[Mobilya]"/>
              </i>
              <i n="[Material].[H_MainGroup].[MainGroupDesc].&amp;[Mobilya].&amp;[Ayaklı Askılık]" c="Ayaklı Askılık" nd="1">
                <p n="[Material].[H_MainGroup].[MainGroupDesc].&amp;[Mobilya]"/>
              </i>
              <i n="[Material].[H_MainGroup].[MainGroupDesc].&amp;[Mobilya].&amp;[Mağaza Ünite]" c="Mağaza Ünite" nd="1">
                <p n="[Material].[H_MainGroup].[MainGroupDesc].&amp;[Mobilya]"/>
              </i>
              <i n="[Material].[H_MainGroup].[MainGroupDesc].&amp;[Mobilya Satış].&amp;[#NA]" c="#NA" nd="1">
                <p n="[Material].[H_MainGroup].[MainGroupDesc].&amp;[Mobilya Satış]"/>
              </i>
              <i n="[Material].[H_MainGroup].[MainGroupDesc].&amp;[Mobilya Satış].&amp;[Abajur Ayağı]" c="Abajur Ayağı" nd="1">
                <p n="[Material].[H_MainGroup].[MainGroupDesc].&amp;[Mobilya Satış]"/>
              </i>
              <i n="[Material].[H_MainGroup].[MainGroupDesc].&amp;[Mobilya Satış].&amp;[Abajur Şapkası]" c="Abajur Şapkası" nd="1">
                <p n="[Material].[H_MainGroup].[MainGroupDesc].&amp;[Mobilya Satış]"/>
              </i>
              <i n="[Material].[H_MainGroup].[MainGroupDesc].&amp;[Mobilya Satış].&amp;[Anahtarlık Ünitesi]" c="Anahtarlık Ünitesi" nd="1">
                <p n="[Material].[H_MainGroup].[MainGroupDesc].&amp;[Mobilya Satış]"/>
              </i>
              <i n="[Material].[H_MainGroup].[MainGroupDesc].&amp;[Mobilya Satış].&amp;[Bench]" c="Bench" nd="1">
                <p n="[Material].[H_MainGroup].[MainGroupDesc].&amp;[Mobilya Satış]"/>
              </i>
              <i n="[Material].[H_MainGroup].[MainGroupDesc].&amp;[Mobilya Satış].&amp;[Çalışma Masası]" c="Çalışma Masası" nd="1">
                <p n="[Material].[H_MainGroup].[MainGroupDesc].&amp;[Mobilya Satış]"/>
              </i>
              <i n="[Material].[H_MainGroup].[MainGroupDesc].&amp;[Mobilya Satış].&amp;[Çiçeklik]" c="Çiçeklik" nd="1">
                <p n="[Material].[H_MainGroup].[MainGroupDesc].&amp;[Mobilya Satış]"/>
              </i>
              <i n="[Material].[H_MainGroup].[MainGroupDesc].&amp;[Mobilya Satış].&amp;[Dilsiz Uşak]" c="Dilsiz Uşak" nd="1">
                <p n="[Material].[H_MainGroup].[MainGroupDesc].&amp;[Mobilya Satış]"/>
              </i>
              <i n="[Material].[H_MainGroup].[MainGroupDesc].&amp;[Mobilya Satış].&amp;[Divan]" c="Divan" nd="1">
                <p n="[Material].[H_MainGroup].[MainGroupDesc].&amp;[Mobilya Satış]"/>
              </i>
              <i n="[Material].[H_MainGroup].[MainGroupDesc].&amp;[Mobilya Satış].&amp;[Dolap]" c="Dolap" nd="1">
                <p n="[Material].[H_MainGroup].[MainGroupDesc].&amp;[Mobilya Satış]"/>
              </i>
              <i n="[Material].[H_MainGroup].[MainGroupDesc].&amp;[Mobilya Satış].&amp;[Dresuar]" c="Dresuar" nd="1">
                <p n="[Material].[H_MainGroup].[MainGroupDesc].&amp;[Mobilya Satış]"/>
              </i>
              <i n="[Material].[H_MainGroup].[MainGroupDesc].&amp;[Mobilya Satış].&amp;[Duvar Dolabı]" c="Duvar Dolabı" nd="1">
                <p n="[Material].[H_MainGroup].[MainGroupDesc].&amp;[Mobilya Satış]"/>
              </i>
              <i n="[Material].[H_MainGroup].[MainGroupDesc].&amp;[Mobilya Satış].&amp;[Ecza Dolabı]" c="Ecza Dolabı" nd="1">
                <p n="[Material].[H_MainGroup].[MainGroupDesc].&amp;[Mobilya Satış]"/>
              </i>
              <i n="[Material].[H_MainGroup].[MainGroupDesc].&amp;[Mobilya Satış].&amp;[Komidin]" c="Komidin" nd="1">
                <p n="[Material].[H_MainGroup].[MainGroupDesc].&amp;[Mobilya Satış]"/>
              </i>
              <i n="[Material].[H_MainGroup].[MainGroupDesc].&amp;[Mobilya Satış].&amp;[Makyaj Masası]" c="Makyaj Masası" nd="1">
                <p n="[Material].[H_MainGroup].[MainGroupDesc].&amp;[Mobilya Satış]"/>
              </i>
              <i n="[Material].[H_MainGroup].[MainGroupDesc].&amp;[Mobilya Satış].&amp;[Manken]" c="Manken" nd="1">
                <p n="[Material].[H_MainGroup].[MainGroupDesc].&amp;[Mobilya Satış]"/>
              </i>
              <i n="[Material].[H_MainGroup].[MainGroupDesc].&amp;[Mobilya Satış].&amp;[Masa]" c="Masa" nd="1">
                <p n="[Material].[H_MainGroup].[MainGroupDesc].&amp;[Mobilya Satış]"/>
              </i>
              <i n="[Material].[H_MainGroup].[MainGroupDesc].&amp;[Mobilya Satış].&amp;[Mobilya]" c="Mobilya" nd="1">
                <p n="[Material].[H_MainGroup].[MainGroupDesc].&amp;[Mobilya Satış]"/>
              </i>
              <i n="[Material].[H_MainGroup].[MainGroupDesc].&amp;[Mobilya Satış].&amp;[Oyuncak Kutusu]" c="Oyuncak Kutusu" nd="1">
                <p n="[Material].[H_MainGroup].[MainGroupDesc].&amp;[Mobilya Satış]"/>
              </i>
              <i n="[Material].[H_MainGroup].[MainGroupDesc].&amp;[Mobilya Satış].&amp;[Raf]" c="Raf" nd="1">
                <p n="[Material].[H_MainGroup].[MainGroupDesc].&amp;[Mobilya Satış]"/>
              </i>
              <i n="[Material].[H_MainGroup].[MainGroupDesc].&amp;[Mobilya Satış].&amp;[Servis Arabası]" c="Servis Arabası" nd="1">
                <p n="[Material].[H_MainGroup].[MainGroupDesc].&amp;[Mobilya Satış]"/>
              </i>
              <i n="[Material].[H_MainGroup].[MainGroupDesc].&amp;[Mobilya Satış].&amp;[Tabure]" c="Tabure" nd="1">
                <p n="[Material].[H_MainGroup].[MainGroupDesc].&amp;[Mobilya Satış]"/>
              </i>
              <i n="[Material].[H_MainGroup].[MainGroupDesc].&amp;[Mobilya Satış].&amp;[Takı Dolabı]" c="Takı Dolabı" nd="1">
                <p n="[Material].[H_MainGroup].[MainGroupDesc].&amp;[Mobilya Satış]"/>
              </i>
              <i n="[Material].[H_MainGroup].[MainGroupDesc].&amp;[Mutfak].&amp;[#NA]" c="#NA" nd="1">
                <p n="[Material].[H_MainGroup].[MainGroupDesc].&amp;[Mutfak]"/>
              </i>
              <i n="[Material].[H_MainGroup].[MainGroupDesc].&amp;[Mutfak].&amp;[Bakliyat Torbası]" c="Bakliyat Torbası" nd="1">
                <p n="[Material].[H_MainGroup].[MainGroupDesc].&amp;[Mutfak]"/>
              </i>
              <i n="[Material].[H_MainGroup].[MainGroupDesc].&amp;[Mutfak].&amp;[Barbekü]" c="Barbekü" nd="1">
                <p n="[Material].[H_MainGroup].[MainGroupDesc].&amp;[Mutfak]"/>
              </i>
              <i n="[Material].[H_MainGroup].[MainGroupDesc].&amp;[Mutfak].&amp;[Bardak Kapağı]" c="Bardak Kapağı" nd="1">
                <p n="[Material].[H_MainGroup].[MainGroupDesc].&amp;[Mutfak]"/>
              </i>
              <i n="[Material].[H_MainGroup].[MainGroupDesc].&amp;[Mutfak].&amp;[Bisküvi Kutusu]" c="Bisküvi Kutusu" nd="1">
                <p n="[Material].[H_MainGroup].[MainGroupDesc].&amp;[Mutfak]"/>
              </i>
              <i n="[Material].[H_MainGroup].[MainGroupDesc].&amp;[Mutfak].&amp;[Çay Kutusu]" c="Çay Kutusu" nd="1">
                <p n="[Material].[H_MainGroup].[MainGroupDesc].&amp;[Mutfak]"/>
              </i>
              <i n="[Material].[H_MainGroup].[MainGroupDesc].&amp;[Mutfak].&amp;[Çay Saklama Kabı]" c="Çay Saklama Kabı" nd="1">
                <p n="[Material].[H_MainGroup].[MainGroupDesc].&amp;[Mutfak]"/>
              </i>
              <i n="[Material].[H_MainGroup].[MainGroupDesc].&amp;[Mutfak].&amp;[Çaydanlık Sck Tutma]" c="Çaydanlık Sck Tutma" nd="1">
                <p n="[Material].[H_MainGroup].[MainGroupDesc].&amp;[Mutfak]"/>
              </i>
              <i n="[Material].[H_MainGroup].[MainGroupDesc].&amp;[Mutfak].&amp;[Çeyiz Seti]" c="Çeyiz Seti" nd="1">
                <p n="[Material].[H_MainGroup].[MainGroupDesc].&amp;[Mutfak]"/>
              </i>
              <i n="[Material].[H_MainGroup].[MainGroupDesc].&amp;[Mutfak].&amp;[Cezve]" c="Cezve" nd="1">
                <p n="[Material].[H_MainGroup].[MainGroupDesc].&amp;[Mutfak]"/>
              </i>
              <i n="[Material].[H_MainGroup].[MainGroupDesc].&amp;[Mutfak].&amp;[Çikolata Kalıbı]" c="Çikolata Kalıbı" nd="1">
                <p n="[Material].[H_MainGroup].[MainGroupDesc].&amp;[Mutfak]"/>
              </i>
              <i n="[Material].[H_MainGroup].[MainGroupDesc].&amp;[Mutfak].&amp;[Cupcake Kağıdı]" c="Cupcake Kağıdı" nd="1">
                <p n="[Material].[H_MainGroup].[MainGroupDesc].&amp;[Mutfak]"/>
              </i>
              <i n="[Material].[H_MainGroup].[MainGroupDesc].&amp;[Mutfak].&amp;[Cupcake Set]" c="Cupcake Set" nd="1">
                <p n="[Material].[H_MainGroup].[MainGroupDesc].&amp;[Mutfak]"/>
              </i>
              <i n="[Material].[H_MainGroup].[MainGroupDesc].&amp;[Mutfak].&amp;[Demlik]" c="Demlik" nd="1">
                <p n="[Material].[H_MainGroup].[MainGroupDesc].&amp;[Mutfak]"/>
              </i>
              <i n="[Material].[H_MainGroup].[MainGroupDesc].&amp;[Mutfak].&amp;[Dondurma Kaşığı]" c="Dondurma Kaşığı" nd="1">
                <p n="[Material].[H_MainGroup].[MainGroupDesc].&amp;[Mutfak]"/>
              </i>
              <i n="[Material].[H_MainGroup].[MainGroupDesc].&amp;[Mutfak].&amp;[Ekmek Torbası]" c="Ekmek Torbası" nd="1">
                <p n="[Material].[H_MainGroup].[MainGroupDesc].&amp;[Mutfak]"/>
              </i>
              <i n="[Material].[H_MainGroup].[MainGroupDesc].&amp;[Mutfak].&amp;[Fındık Ceviz Kırcağı]" c="Fındık Ceviz Kırcağı" nd="1">
                <p n="[Material].[H_MainGroup].[MainGroupDesc].&amp;[Mutfak]"/>
              </i>
              <i n="[Material].[H_MainGroup].[MainGroupDesc].&amp;[Mutfak].&amp;[Karıştır-Sakla Set]" c="Karıştır-Sakla Set" nd="1">
                <p n="[Material].[H_MainGroup].[MainGroupDesc].&amp;[Mutfak]"/>
              </i>
              <i n="[Material].[H_MainGroup].[MainGroupDesc].&amp;[Mutfak].&amp;[Kavanoz Örtüsü]" c="Kavanoz Örtüsü" nd="1">
                <p n="[Material].[H_MainGroup].[MainGroupDesc].&amp;[Mutfak]"/>
              </i>
              <i n="[Material].[H_MainGroup].[MainGroupDesc].&amp;[Mutfak].&amp;[Kavanoz Seti]" c="Kavanoz Seti" nd="1">
                <p n="[Material].[H_MainGroup].[MainGroupDesc].&amp;[Mutfak]"/>
              </i>
              <i n="[Material].[H_MainGroup].[MainGroupDesc].&amp;[Mutfak].&amp;[Kavun Oyucu]" c="Kavun Oyucu" nd="1">
                <p n="[Material].[H_MainGroup].[MainGroupDesc].&amp;[Mutfak]"/>
              </i>
              <i n="[Material].[H_MainGroup].[MainGroupDesc].&amp;[Mutfak].&amp;[Kek Spatula Seti]" c="Kek Spatula Seti" nd="1">
                <p n="[Material].[H_MainGroup].[MainGroupDesc].&amp;[Mutfak]"/>
              </i>
              <i n="[Material].[H_MainGroup].[MainGroupDesc].&amp;[Mutfak].&amp;[Kek Spatulası]" c="Kek Spatulası" nd="1">
                <p n="[Material].[H_MainGroup].[MainGroupDesc].&amp;[Mutfak]"/>
              </i>
              <i n="[Material].[H_MainGroup].[MainGroupDesc].&amp;[Mutfak].&amp;[Kestane Çizici]" c="Kestane Çizici" nd="1">
                <p n="[Material].[H_MainGroup].[MainGroupDesc].&amp;[Mutfak]"/>
              </i>
              <i n="[Material].[H_MainGroup].[MainGroupDesc].&amp;[Mutfak].&amp;[Kova]" c="Kova" nd="1">
                <p n="[Material].[H_MainGroup].[MainGroupDesc].&amp;[Mutfak]"/>
              </i>
              <i n="[Material].[H_MainGroup].[MainGroupDesc].&amp;[Mutfak].&amp;[Krema Pompası]" c="Krema Pompası" nd="1">
                <p n="[Material].[H_MainGroup].[MainGroupDesc].&amp;[Mutfak]"/>
              </i>
              <i n="[Material].[H_MainGroup].[MainGroupDesc].&amp;[Mutfak].&amp;[Kupalık]" c="Kupalık" nd="1">
                <p n="[Material].[H_MainGroup].[MainGroupDesc].&amp;[Mutfak]"/>
              </i>
              <i n="[Material].[H_MainGroup].[MainGroupDesc].&amp;[Mutfak].&amp;[Kurabiye Kalıbı]" c="Kurabiye Kalıbı" nd="1">
                <p n="[Material].[H_MainGroup].[MainGroupDesc].&amp;[Mutfak]"/>
              </i>
              <i n="[Material].[H_MainGroup].[MainGroupDesc].&amp;[Mutfak].&amp;[Meşrubat Bardağı Set]" c="Meşrubat Bardağı Set" nd="1">
                <p n="[Material].[H_MainGroup].[MainGroupDesc].&amp;[Mutfak]"/>
              </i>
              <i n="[Material].[H_MainGroup].[MainGroupDesc].&amp;[Mutfak].&amp;[Mikser Kabı]" c="Mikser Kabı" nd="1">
                <p n="[Material].[H_MainGroup].[MainGroupDesc].&amp;[Mutfak]"/>
              </i>
              <i n="[Material].[H_MainGroup].[MainGroupDesc].&amp;[Mutfak].&amp;[Mısır Kovası]" c="Mısır Kovası" nd="1">
                <p n="[Material].[H_MainGroup].[MainGroupDesc].&amp;[Mutfak]"/>
              </i>
              <i n="[Material].[H_MainGroup].[MainGroupDesc].&amp;[Mutfak].&amp;[Mısır Patlatma]" c="Mısır Patlatma" nd="1">
                <p n="[Material].[H_MainGroup].[MainGroupDesc].&amp;[Mutfak]"/>
              </i>
              <i n="[Material].[H_MainGroup].[MainGroupDesc].&amp;[Mutfak].&amp;[Muffin Oyacağı]" c="Muffin Oyacağı" nd="1">
                <p n="[Material].[H_MainGroup].[MainGroupDesc].&amp;[Mutfak]"/>
              </i>
              <i n="[Material].[H_MainGroup].[MainGroupDesc].&amp;[Mutfak].&amp;[Mutfak Çöp Kutusu]" c="Mutfak Çöp Kutusu" nd="1">
                <p n="[Material].[H_MainGroup].[MainGroupDesc].&amp;[Mutfak]"/>
              </i>
              <i n="[Material].[H_MainGroup].[MainGroupDesc].&amp;[Mutfak].&amp;[Mutfak Saklama Kutu]" c="Mutfak Saklama Kutu" nd="1">
                <p n="[Material].[H_MainGroup].[MainGroupDesc].&amp;[Mutfak]"/>
              </i>
              <i n="[Material].[H_MainGroup].[MainGroupDesc].&amp;[Mutfak].&amp;[Mutfak Sepeti]" c="Mutfak Sepeti" nd="1">
                <p n="[Material].[H_MainGroup].[MainGroupDesc].&amp;[Mutfak]"/>
              </i>
              <i n="[Material].[H_MainGroup].[MainGroupDesc].&amp;[Mutfak].&amp;[Mutfak Sıvı Sabunluk]" c="Mutfak Sıvı Sabunluk" nd="1">
                <p n="[Material].[H_MainGroup].[MainGroupDesc].&amp;[Mutfak]"/>
              </i>
              <i n="[Material].[H_MainGroup].[MainGroupDesc].&amp;[Mutfak].&amp;[Nar Ayık-Narency Sık]" c="Nar Ayık-Narency Sık" nd="1">
                <p n="[Material].[H_MainGroup].[MainGroupDesc].&amp;[Mutfak]"/>
              </i>
              <i n="[Material].[H_MainGroup].[MainGroupDesc].&amp;[Mutfak].&amp;[Oto Termos]" c="Oto Termos" nd="1">
                <p n="[Material].[H_MainGroup].[MainGroupDesc].&amp;[Mutfak]"/>
              </i>
              <i n="[Material].[H_MainGroup].[MainGroupDesc].&amp;[Mutfak].&amp;[Pasta - Börek Kabı]" c="Pasta - Börek Kabı" nd="1">
                <p n="[Material].[H_MainGroup].[MainGroupDesc].&amp;[Mutfak]"/>
              </i>
              <i n="[Material].[H_MainGroup].[MainGroupDesc].&amp;[Mutfak].&amp;[Pasta Mumluğu]" c="Pasta Mumluğu" nd="1">
                <p n="[Material].[H_MainGroup].[MainGroupDesc].&amp;[Mutfak]"/>
              </i>
              <i n="[Material].[H_MainGroup].[MainGroupDesc].&amp;[Mutfak].&amp;[Patates Dilimleyici]" c="Patates Dilimleyici" nd="1">
                <p n="[Material].[H_MainGroup].[MainGroupDesc].&amp;[Mutfak]"/>
              </i>
              <i n="[Material].[H_MainGroup].[MainGroupDesc].&amp;[Mutfak].&amp;[Pilav Ve Tatlı Kalıp]" c="Pilav Ve Tatlı Kalıp" nd="1">
                <p n="[Material].[H_MainGroup].[MainGroupDesc].&amp;[Mutfak]"/>
              </i>
              <i n="[Material].[H_MainGroup].[MainGroupDesc].&amp;[Mutfak].&amp;[Salata Kurutucu]" c="Salata Kurutucu" nd="1">
                <p n="[Material].[H_MainGroup].[MainGroupDesc].&amp;[Mutfak]"/>
              </i>
              <i n="[Material].[H_MainGroup].[MainGroupDesc].&amp;[Mutfak].&amp;[Salata Maşası]" c="Salata Maşası" nd="1">
                <p n="[Material].[H_MainGroup].[MainGroupDesc].&amp;[Mutfak]"/>
              </i>
              <i n="[Material].[H_MainGroup].[MainGroupDesc].&amp;[Mutfak].&amp;[Salata Servisi]" c="Salata Servisi" nd="1">
                <p n="[Material].[H_MainGroup].[MainGroupDesc].&amp;[Mutfak]"/>
              </i>
              <i n="[Material].[H_MainGroup].[MainGroupDesc].&amp;[Mutfak].&amp;[Sarmsk Ez-Çekrdk Çık]" c="Sarmsk Ez-Çekrdk Çık" nd="1">
                <p n="[Material].[H_MainGroup].[MainGroupDesc].&amp;[Mutfak]"/>
              </i>
            </range>
          </ranges>
        </level>
      </levels>
      <selections count="1">
        <selection n="[Material].[H_MainGroup].[All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Month2" xr10:uid="{677F5EE1-EE74-475D-B323-C96DC8869A0A}" sourceName="[Calendar].[MerchMonth]">
  <pivotTables>
    <pivotTable tabId="3" name="PivotTable1"/>
  </pivotTables>
  <data>
    <olap pivotCacheId="817217146">
      <levels count="2">
        <level uniqueName="[Calendar].[MerchMonth].[(All)]" sourceCaption="(All)" count="0"/>
        <level uniqueName="[Calendar].[MerchMonth].[MerchMonth]" sourceCaption="MerchMonth" count="13">
          <ranges>
            <range startItem="0">
              <i n="[Calendar].[MerchMonth].&amp;[2]" c="2"/>
              <i n="[Calendar].[MerchMonth].&amp;[3]" c="3"/>
              <i n="[Calendar].[MerchMonth].&amp;[1]" c="1" nd="1"/>
              <i n="[Calendar].[MerchMonth].&amp;[4]" c="4" nd="1"/>
              <i n="[Calendar].[MerchMonth].&amp;[5]" c="5" nd="1"/>
              <i n="[Calendar].[MerchMonth].&amp;[6]" c="6" nd="1"/>
              <i n="[Calendar].[MerchMonth].&amp;[7]" c="7" nd="1"/>
              <i n="[Calendar].[MerchMonth].&amp;[8]" c="8" nd="1"/>
              <i n="[Calendar].[MerchMonth].&amp;[9]" c="9" nd="1"/>
              <i n="[Calendar].[MerchMonth].&amp;[10]" c="10" nd="1"/>
              <i n="[Calendar].[MerchMonth].&amp;[11]" c="11" nd="1"/>
              <i n="[Calendar].[MerchMonth].&amp;[12]" c="12" nd="1"/>
              <i n="[Calendar].[MerchMonth].&amp;" c="" nd="1"/>
            </range>
          </ranges>
        </level>
      </levels>
      <selections count="1">
        <selection n="[Calendar].[MerchMonth].[All]"/>
      </selections>
    </olap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Week2" xr10:uid="{5BEABC0D-4FA4-4176-B021-52C90B46F480}" sourceName="[Calendar].[MerchWeek]">
  <pivotTables>
    <pivotTable tabId="3" name="PivotTable1"/>
  </pivotTables>
  <data>
    <olap pivotCacheId="817217146">
      <levels count="2">
        <level uniqueName="[Calendar].[MerchWeek].[(All)]" sourceCaption="(All)" count="0"/>
        <level uniqueName="[Calendar].[MerchWeek].[MerchWeek]" sourceCaption="MerchWeek" count="54">
          <ranges>
            <range startItem="0">
              <i n="[Calendar].[MerchWeek].&amp;[9]" c="9"/>
              <i n="[Calendar].[MerchWeek].&amp;[10]" c="10"/>
              <i n="[Calendar].[MerchWeek].&amp;[1]" c="1" nd="1"/>
              <i n="[Calendar].[MerchWeek].&amp;[2]" c="2" nd="1"/>
              <i n="[Calendar].[MerchWeek].&amp;[3]" c="3" nd="1"/>
              <i n="[Calendar].[MerchWeek].&amp;[4]" c="4" nd="1"/>
              <i n="[Calendar].[MerchWeek].&amp;[5]" c="5" nd="1"/>
              <i n="[Calendar].[MerchWeek].&amp;[6]" c="6" nd="1"/>
              <i n="[Calendar].[MerchWeek].&amp;[7]" c="7" nd="1"/>
              <i n="[Calendar].[MerchWeek].&amp;[8]" c="8" nd="1"/>
              <i n="[Calendar].[MerchWeek].&amp;[11]" c="11" nd="1"/>
              <i n="[Calendar].[MerchWeek].&amp;[12]" c="12" nd="1"/>
              <i n="[Calendar].[MerchWeek].&amp;[13]" c="13" nd="1"/>
              <i n="[Calendar].[MerchWeek].&amp;[14]" c="14" nd="1"/>
              <i n="[Calendar].[MerchWeek].&amp;[15]" c="15" nd="1"/>
              <i n="[Calendar].[MerchWeek].&amp;[16]" c="16" nd="1"/>
              <i n="[Calendar].[MerchWeek].&amp;[17]" c="17" nd="1"/>
              <i n="[Calendar].[MerchWeek].&amp;[18]" c="18" nd="1"/>
              <i n="[Calendar].[MerchWeek].&amp;[19]" c="19" nd="1"/>
              <i n="[Calendar].[MerchWeek].&amp;[20]" c="20" nd="1"/>
              <i n="[Calendar].[MerchWeek].&amp;[21]" c="21" nd="1"/>
              <i n="[Calendar].[MerchWeek].&amp;[22]" c="22" nd="1"/>
              <i n="[Calendar].[MerchWeek].&amp;[23]" c="23" nd="1"/>
              <i n="[Calendar].[MerchWeek].&amp;[24]" c="24" nd="1"/>
              <i n="[Calendar].[MerchWeek].&amp;[25]" c="25" nd="1"/>
              <i n="[Calendar].[MerchWeek].&amp;[26]" c="26" nd="1"/>
              <i n="[Calendar].[MerchWeek].&amp;[27]" c="27" nd="1"/>
              <i n="[Calendar].[MerchWeek].&amp;[28]" c="28" nd="1"/>
              <i n="[Calendar].[MerchWeek].&amp;[29]" c="29" nd="1"/>
              <i n="[Calendar].[MerchWeek].&amp;[30]" c="30" nd="1"/>
              <i n="[Calendar].[MerchWeek].&amp;[31]" c="31" nd="1"/>
              <i n="[Calendar].[MerchWeek].&amp;[32]" c="32" nd="1"/>
              <i n="[Calendar].[MerchWeek].&amp;[33]" c="33" nd="1"/>
              <i n="[Calendar].[MerchWeek].&amp;[34]" c="34" nd="1"/>
              <i n="[Calendar].[MerchWeek].&amp;[35]" c="35" nd="1"/>
              <i n="[Calendar].[MerchWeek].&amp;[36]" c="36" nd="1"/>
              <i n="[Calendar].[MerchWeek].&amp;[37]" c="37" nd="1"/>
              <i n="[Calendar].[MerchWeek].&amp;[38]" c="38" nd="1"/>
              <i n="[Calendar].[MerchWeek].&amp;[39]" c="39" nd="1"/>
              <i n="[Calendar].[MerchWeek].&amp;[40]" c="40" nd="1"/>
              <i n="[Calendar].[MerchWeek].&amp;[41]" c="41" nd="1"/>
              <i n="[Calendar].[MerchWeek].&amp;[42]" c="42" nd="1"/>
              <i n="[Calendar].[MerchWeek].&amp;[43]" c="43" nd="1"/>
              <i n="[Calendar].[MerchWeek].&amp;[44]" c="44" nd="1"/>
              <i n="[Calendar].[MerchWeek].&amp;[45]" c="45" nd="1"/>
              <i n="[Calendar].[MerchWeek].&amp;[46]" c="46" nd="1"/>
              <i n="[Calendar].[MerchWeek].&amp;[47]" c="47" nd="1"/>
              <i n="[Calendar].[MerchWeek].&amp;[48]" c="48" nd="1"/>
              <i n="[Calendar].[MerchWeek].&amp;[49]" c="49" nd="1"/>
              <i n="[Calendar].[MerchWeek].&amp;[50]" c="50" nd="1"/>
              <i n="[Calendar].[MerchWeek].&amp;[51]" c="51" nd="1"/>
              <i n="[Calendar].[MerchWeek].&amp;[52]" c="52" nd="1"/>
              <i n="[Calendar].[MerchWeek].&amp;[53]" c="53" nd="1"/>
              <i n="[Calendar].[MerchWeek].&amp;" c="" nd="1"/>
            </range>
          </ranges>
        </level>
      </levels>
      <selections count="1">
        <selection n="[Calendar].[MerchWeek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Name 4" xr10:uid="{8D78972F-46D3-4391-94D2-6C1BC687DC3D}" cache="Dilimleyici_H_SalesChannel3" caption="Ülke" columnCount="4" level="2" style="EHM Dilimleyici Taslak" lockedPosition="1" rowHeight="180000"/>
  <slicer name="DistrubitionChannelDesc 3" xr10:uid="{1C575998-698B-445B-80EB-9BE9CFB65698}" cache="Dilimleyici_DistrubitionChannelDesc3" caption="Satış Kanalı" level="1" style="EHM Dilimleyici Taslak" lockedPosition="1" rowHeight="241300"/>
  <slicer name="MerchMonth 4" xr10:uid="{D76434C7-8CE7-436D-8E8F-EFE2923F4C64}" cache="Dilimleyici_MerchMonth4" caption="MerchMonth" columnCount="4" level="1" style="EHM Dilimleyici Taslak" lockedPosition="1" rowHeight="241300"/>
  <slicer name="MerchWeek 4" xr10:uid="{A4766B06-A15D-4406-A378-4FFFA2A8862A}" cache="Dilimleyici_MerchWeek4" caption="MerchWeek" columnCount="6" level="1" style="EHM Dilimleyici Taslak" lockedPosition="1" rowHeight="241300"/>
  <slicer name="MerchYear 3" xr10:uid="{829FE3FE-9509-40EF-B0BD-02140FE937A2}" cache="Dilimleyici_MerchYear3" caption="MerchYear" columnCount="2" level="1" style="EHM Dilimleyici Taslak" lockedPosition="1" rowHeight="241300"/>
  <slicer name="MainGroupDesc 5" xr10:uid="{41EBAEED-CCA7-45F9-A517-D64BFD179FFC}" cache="Dilimleyici_MainGroupDesc3" caption="Ana Gruplar" columnCount="8" level="1" style="EHM Dilimleyici Taslak" lockedPosition="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1" xr10:uid="{CAF533B1-A9DB-49E4-97A2-F8F0FDA9AC0E}" cache="Dilimleyici_H_Merch" caption="Date" columnCount="3" level="4" style="SlicerStyleLight4" rowHeight="241300"/>
  <slicer name="MainGroupDesc 3" xr10:uid="{65CE1DDF-577E-4ACD-8DA9-876BA702ACA1}" cache="Dilimleyici_H_MainGroup1" caption="MainGroupDesc" columnCount="3" level="1" style="SlicerStyleLight4" rowHeight="241300"/>
  <slicer name="SubGroupDesc 3" xr10:uid="{A6C65887-6CAA-4F41-8374-06CDEC78B7DA}" cache="Dilimleyici_H_MainGroup1" caption="SubGroupDesc" columnCount="3" level="2" style="SlicerStyleLight4" rowHeight="241300"/>
  <slicer name="MerchMonth 2" xr10:uid="{B39A8302-AA3E-4A99-A50F-2E725E88CD21}" cache="Dilimleyici_MerchMonth2" caption="MerchMonth" columnCount="2" level="1" style="SlicerStyleLight4" rowHeight="241300"/>
  <slicer name="MerchWeek 2" xr10:uid="{7B6F59E0-F35E-403D-AE32-9D642721B26B}" cache="Dilimleyici_MerchWeek2" caption="MerchWeek" columnCount="4" level="1" style="SlicerStyleLight4" rowHeight="241300"/>
</slicer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microsoft.com/office/2007/relationships/slicer" Target="../slicers/slicer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2.xml"/><Relationship Id="rId5" Type="http://schemas.openxmlformats.org/officeDocument/2006/relationships/customProperty" Target="../customProperty3.bin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55C7-DA5B-4621-ACC0-5ABA0D125CF8}">
  <sheetPr>
    <tabColor theme="3"/>
  </sheetPr>
  <dimension ref="A1:AW73"/>
  <sheetViews>
    <sheetView showGridLines="0" zoomScale="70" zoomScaleNormal="70" workbookViewId="0">
      <pane xSplit="4" ySplit="15" topLeftCell="E16" activePane="bottomRight" state="frozen"/>
      <selection activeCell="A21" sqref="A21:S25"/>
      <selection pane="topRight" activeCell="A21" sqref="A21:S25"/>
      <selection pane="bottomLeft" activeCell="A21" sqref="A21:S25"/>
      <selection pane="bottomRight" activeCell="AF10" sqref="AF10"/>
    </sheetView>
  </sheetViews>
  <sheetFormatPr defaultColWidth="22.5703125" defaultRowHeight="15" outlineLevelRow="1" outlineLevelCol="1" x14ac:dyDescent="0.25"/>
  <cols>
    <col min="1" max="1" width="18.5703125" customWidth="1"/>
    <col min="2" max="2" width="18.28515625" customWidth="1"/>
    <col min="3" max="3" width="11.5703125" customWidth="1" outlineLevel="1"/>
    <col min="4" max="4" width="15.42578125" customWidth="1" outlineLevel="1"/>
    <col min="5" max="5" width="12.5703125" customWidth="1"/>
    <col min="6" max="6" width="12.5703125" hidden="1" customWidth="1" outlineLevel="1"/>
    <col min="7" max="8" width="12.5703125" style="1" hidden="1" customWidth="1" outlineLevel="1"/>
    <col min="9" max="9" width="12.5703125" style="1" customWidth="1" collapsed="1"/>
    <col min="10" max="11" width="12.5703125" style="1" hidden="1" customWidth="1" outlineLevel="1"/>
    <col min="12" max="12" width="12.5703125" style="1" customWidth="1" collapsed="1"/>
    <col min="13" max="15" width="12.5703125" style="1" customWidth="1"/>
    <col min="16" max="17" width="12.5703125" style="1" hidden="1" customWidth="1" outlineLevel="1"/>
    <col min="18" max="18" width="12.5703125" style="1" customWidth="1" collapsed="1"/>
    <col min="19" max="20" width="12.5703125" style="1" hidden="1" customWidth="1" outlineLevel="1"/>
    <col min="21" max="21" width="12.42578125" style="1" customWidth="1" collapsed="1"/>
    <col min="22" max="22" width="13" style="1" customWidth="1"/>
    <col min="23" max="23" width="12" style="1" customWidth="1"/>
    <col min="24" max="24" width="10.42578125" style="1" hidden="1" customWidth="1" outlineLevel="1"/>
    <col min="25" max="25" width="11.5703125" style="1" hidden="1" customWidth="1" outlineLevel="1"/>
    <col min="26" max="26" width="12.28515625" style="1" hidden="1" customWidth="1" outlineLevel="1" collapsed="1"/>
    <col min="27" max="28" width="13.5703125" hidden="1" customWidth="1" outlineLevel="1"/>
    <col min="29" max="29" width="13" hidden="1" customWidth="1" outlineLevel="1" collapsed="1"/>
    <col min="30" max="30" width="13" hidden="1" customWidth="1" outlineLevel="1"/>
    <col min="31" max="31" width="13" customWidth="1" collapsed="1"/>
    <col min="32" max="32" width="13" customWidth="1"/>
    <col min="33" max="34" width="11.85546875" customWidth="1" outlineLevel="1"/>
    <col min="35" max="35" width="13.7109375" customWidth="1" outlineLevel="1" collapsed="1"/>
    <col min="36" max="36" width="13.7109375" customWidth="1" outlineLevel="1"/>
    <col min="37" max="47" width="12.42578125" customWidth="1" outlineLevel="1"/>
    <col min="48" max="48" width="14.42578125" bestFit="1" customWidth="1"/>
    <col min="49" max="49" width="12.42578125" customWidth="1"/>
  </cols>
  <sheetData>
    <row r="1" spans="1:49" outlineLevel="1" x14ac:dyDescent="0.25"/>
    <row r="2" spans="1:49" outlineLevel="1" x14ac:dyDescent="0.25"/>
    <row r="3" spans="1:49" outlineLevel="1" x14ac:dyDescent="0.25"/>
    <row r="4" spans="1:49" outlineLevel="1" x14ac:dyDescent="0.25"/>
    <row r="5" spans="1:49" outlineLevel="1" x14ac:dyDescent="0.25"/>
    <row r="6" spans="1:49" outlineLevel="1" x14ac:dyDescent="0.25"/>
    <row r="7" spans="1:49" outlineLevel="1" x14ac:dyDescent="0.25"/>
    <row r="8" spans="1:49" x14ac:dyDescent="0.25">
      <c r="A8" s="125" t="s">
        <v>0</v>
      </c>
      <c r="B8" t="s" vm="1">
        <v>1</v>
      </c>
    </row>
    <row r="9" spans="1:49" x14ac:dyDescent="0.25">
      <c r="A9" s="125" t="s">
        <v>2</v>
      </c>
      <c r="B9" t="s" vm="2">
        <v>3</v>
      </c>
    </row>
    <row r="10" spans="1:49" ht="30" x14ac:dyDescent="0.25">
      <c r="A10" s="126" t="s">
        <v>4</v>
      </c>
      <c r="B10" t="s" vm="3">
        <v>5</v>
      </c>
    </row>
    <row r="11" spans="1:49" x14ac:dyDescent="0.25">
      <c r="A11" s="126" t="s">
        <v>6</v>
      </c>
      <c r="B11" t="s" vm="4">
        <v>3</v>
      </c>
    </row>
    <row r="12" spans="1:49" x14ac:dyDescent="0.25">
      <c r="A12" s="125" t="s">
        <v>7</v>
      </c>
      <c r="B12" t="s" vm="5">
        <v>8</v>
      </c>
    </row>
    <row r="13" spans="1:49" ht="32.1" customHeight="1" x14ac:dyDescent="0.25">
      <c r="C13" s="139" t="s">
        <v>9</v>
      </c>
      <c r="D13" s="140"/>
      <c r="E13" s="140"/>
      <c r="F13" s="141"/>
      <c r="G13" s="146" t="s">
        <v>10</v>
      </c>
      <c r="H13" s="146"/>
      <c r="I13" s="146"/>
      <c r="J13" s="146" t="s">
        <v>11</v>
      </c>
      <c r="K13" s="146"/>
      <c r="L13" s="146"/>
      <c r="M13" s="3" t="s">
        <v>12</v>
      </c>
      <c r="N13" s="142" t="s">
        <v>13</v>
      </c>
      <c r="O13" s="143"/>
      <c r="P13" s="146" t="s">
        <v>14</v>
      </c>
      <c r="Q13" s="146"/>
      <c r="R13" s="146"/>
      <c r="S13" s="145" t="s">
        <v>15</v>
      </c>
      <c r="T13" s="145"/>
      <c r="U13" s="145"/>
      <c r="V13" s="142" t="s">
        <v>16</v>
      </c>
      <c r="W13" s="143"/>
      <c r="X13" s="139" t="s">
        <v>17</v>
      </c>
      <c r="Y13" s="141"/>
      <c r="Z13" s="144" t="s">
        <v>18</v>
      </c>
      <c r="AA13" s="144"/>
      <c r="AB13" s="3" t="s">
        <v>19</v>
      </c>
      <c r="AC13" s="139" t="s">
        <v>20</v>
      </c>
      <c r="AD13" s="141"/>
      <c r="AE13" s="139" t="s">
        <v>21</v>
      </c>
      <c r="AF13" s="140"/>
      <c r="AG13" s="139" t="s">
        <v>22</v>
      </c>
      <c r="AH13" s="140"/>
      <c r="AI13" s="139" t="s">
        <v>23</v>
      </c>
      <c r="AJ13" s="140"/>
      <c r="AK13" s="141"/>
    </row>
    <row r="14" spans="1:49" x14ac:dyDescent="0.25">
      <c r="E14" s="136" t="s">
        <v>24</v>
      </c>
      <c r="F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9" s="12" customFormat="1" ht="60" x14ac:dyDescent="0.25">
      <c r="A15" s="125" t="s">
        <v>25</v>
      </c>
      <c r="B15" s="125" t="s">
        <v>26</v>
      </c>
      <c r="C15" s="126" t="s">
        <v>27</v>
      </c>
      <c r="D15" s="126" t="s">
        <v>28</v>
      </c>
      <c r="E15" s="4" t="s">
        <v>29</v>
      </c>
      <c r="F15" s="5" t="s">
        <v>30</v>
      </c>
      <c r="G15" s="6" t="s">
        <v>31</v>
      </c>
      <c r="H15" s="7" t="s">
        <v>32</v>
      </c>
      <c r="I15" s="5" t="s">
        <v>33</v>
      </c>
      <c r="J15" s="8" t="s">
        <v>34</v>
      </c>
      <c r="K15" s="9" t="s">
        <v>35</v>
      </c>
      <c r="L15" s="5" t="s">
        <v>36</v>
      </c>
      <c r="M15" s="5" t="s">
        <v>37</v>
      </c>
      <c r="N15" s="9" t="s">
        <v>38</v>
      </c>
      <c r="O15" s="9" t="s">
        <v>39</v>
      </c>
      <c r="P15" s="5" t="s">
        <v>40</v>
      </c>
      <c r="Q15" s="9" t="s">
        <v>41</v>
      </c>
      <c r="R15" s="5" t="s">
        <v>42</v>
      </c>
      <c r="S15" s="5" t="s">
        <v>43</v>
      </c>
      <c r="T15" s="9" t="s">
        <v>44</v>
      </c>
      <c r="U15" s="5" t="s">
        <v>45</v>
      </c>
      <c r="V15" s="5" t="s">
        <v>46</v>
      </c>
      <c r="W15" s="9" t="s">
        <v>47</v>
      </c>
      <c r="X15" s="5" t="s">
        <v>48</v>
      </c>
      <c r="Y15" s="6" t="s">
        <v>49</v>
      </c>
      <c r="Z15" s="4" t="s">
        <v>50</v>
      </c>
      <c r="AA15" s="7" t="s">
        <v>51</v>
      </c>
      <c r="AB15" s="2" t="s">
        <v>52</v>
      </c>
      <c r="AC15" s="2" t="s">
        <v>53</v>
      </c>
      <c r="AD15" s="7" t="s">
        <v>54</v>
      </c>
      <c r="AE15" s="5" t="s">
        <v>55</v>
      </c>
      <c r="AF15" s="7" t="s">
        <v>56</v>
      </c>
      <c r="AG15" s="5" t="s">
        <v>57</v>
      </c>
      <c r="AH15" s="7" t="s">
        <v>58</v>
      </c>
      <c r="AI15" s="5" t="s">
        <v>59</v>
      </c>
      <c r="AJ15" s="7" t="s">
        <v>60</v>
      </c>
      <c r="AK15" s="8" t="s">
        <v>61</v>
      </c>
      <c r="AL15" s="8" t="s">
        <v>62</v>
      </c>
      <c r="AM15" s="10" t="s">
        <v>63</v>
      </c>
      <c r="AN15"/>
      <c r="AO15"/>
      <c r="AP15"/>
      <c r="AQ15"/>
      <c r="AR15"/>
      <c r="AS15"/>
      <c r="AT15"/>
      <c r="AU15"/>
      <c r="AV15" s="11" t="s">
        <v>64</v>
      </c>
      <c r="AW15" s="11" t="s">
        <v>65</v>
      </c>
    </row>
    <row r="16" spans="1:49" x14ac:dyDescent="0.25">
      <c r="A16" t="s">
        <v>69</v>
      </c>
      <c r="B16" t="s">
        <v>70</v>
      </c>
      <c r="C16" t="s">
        <v>197</v>
      </c>
      <c r="E16" s="13">
        <v>909069.71428571432</v>
      </c>
      <c r="F16" s="14">
        <v>674543.85714285716</v>
      </c>
      <c r="G16" s="15">
        <v>-0.27735056623034415</v>
      </c>
      <c r="H16" s="16">
        <v>-0.16263857176694663</v>
      </c>
      <c r="I16" s="14">
        <v>47489</v>
      </c>
      <c r="J16" s="17">
        <v>59227</v>
      </c>
      <c r="K16" s="18">
        <v>0.21011181536776946</v>
      </c>
      <c r="L16" s="14">
        <v>9502914.0300026387</v>
      </c>
      <c r="M16" s="14">
        <v>17055689.100005485</v>
      </c>
      <c r="N16" s="18">
        <v>0.74064878602295403</v>
      </c>
      <c r="O16" s="18">
        <v>1.1537083971160569</v>
      </c>
      <c r="P16" s="19">
        <v>0.47498043397550654</v>
      </c>
      <c r="Q16" s="18">
        <v>0.58787972043897507</v>
      </c>
      <c r="R16" s="20">
        <v>105.06045189412403</v>
      </c>
      <c r="S16" s="20">
        <v>118.67890252756659</v>
      </c>
      <c r="T16" s="18">
        <v>0.12961256081379013</v>
      </c>
      <c r="U16" s="20">
        <v>200.10768872797149</v>
      </c>
      <c r="V16" s="20">
        <v>287.97151805773524</v>
      </c>
      <c r="W16" s="18">
        <v>0.43841979221890948</v>
      </c>
      <c r="X16" s="21">
        <v>19.142742830670564</v>
      </c>
      <c r="Y16" s="22">
        <v>11.389127545593347</v>
      </c>
      <c r="Z16" s="23">
        <v>5.1767843630878788E-2</v>
      </c>
      <c r="AA16" s="24">
        <v>8.780303811655156E-2</v>
      </c>
      <c r="AB16" s="25">
        <v>4.7712037298327022E-2</v>
      </c>
      <c r="AC16" s="25">
        <v>0.12410050052645522</v>
      </c>
      <c r="AD16" s="26">
        <v>0.84142434959558121</v>
      </c>
      <c r="AE16" s="27">
        <v>1.9052864253487378</v>
      </c>
      <c r="AF16" s="28">
        <v>2.4264760789378346</v>
      </c>
      <c r="AG16" s="14">
        <v>22226</v>
      </c>
      <c r="AH16" s="29">
        <v>27238</v>
      </c>
      <c r="AI16" s="14">
        <v>911043</v>
      </c>
      <c r="AJ16" s="29">
        <v>838076</v>
      </c>
      <c r="AK16" s="17">
        <v>54390.131099999991</v>
      </c>
      <c r="AL16" s="17">
        <v>12149305.362400003</v>
      </c>
      <c r="AM16" s="30">
        <v>6107480.5288999993</v>
      </c>
      <c r="AV16" s="31">
        <f>K16</f>
        <v>0.21011181536776946</v>
      </c>
      <c r="AW16" s="31">
        <f>IF(K16&gt;(J16*(1+$L$38)),K16,(J16*(1+$L$38)))</f>
        <v>297543389038.77136</v>
      </c>
    </row>
    <row r="17" spans="1:49" x14ac:dyDescent="0.25">
      <c r="C17" t="s">
        <v>73</v>
      </c>
      <c r="E17" s="32">
        <v>4</v>
      </c>
      <c r="F17" s="157"/>
      <c r="G17" s="164"/>
      <c r="H17" s="33"/>
      <c r="I17" s="157"/>
      <c r="J17" s="156"/>
      <c r="K17" s="34"/>
      <c r="L17" s="157"/>
      <c r="M17" s="157"/>
      <c r="N17" s="34"/>
      <c r="O17" s="34"/>
      <c r="P17" s="158"/>
      <c r="Q17" s="34"/>
      <c r="R17" s="159"/>
      <c r="S17" s="159"/>
      <c r="T17" s="34"/>
      <c r="U17" s="159"/>
      <c r="V17" s="159"/>
      <c r="W17" s="34"/>
      <c r="X17" s="162"/>
      <c r="Y17" s="165"/>
      <c r="Z17" s="35"/>
      <c r="AA17" s="36"/>
      <c r="AB17" s="25"/>
      <c r="AC17" s="25"/>
      <c r="AD17" s="37"/>
      <c r="AE17" s="163">
        <v>1</v>
      </c>
      <c r="AF17" s="38">
        <v>1</v>
      </c>
      <c r="AG17" s="157"/>
      <c r="AH17" s="39"/>
      <c r="AI17" s="157">
        <v>911043</v>
      </c>
      <c r="AJ17" s="39">
        <v>838076</v>
      </c>
      <c r="AK17" s="156"/>
      <c r="AL17" s="156"/>
      <c r="AM17" s="40"/>
      <c r="AV17" s="31">
        <f t="shared" ref="AV17:AV37" si="0">K17</f>
        <v>0</v>
      </c>
      <c r="AW17" s="31">
        <f t="shared" ref="AW17:AW37" si="1">IF(K17&gt;(J17*(1+$L$38)),K17,(J17*(1+$L$38)))</f>
        <v>0</v>
      </c>
    </row>
    <row r="18" spans="1:49" x14ac:dyDescent="0.25">
      <c r="C18" t="s">
        <v>71</v>
      </c>
      <c r="E18" s="32"/>
      <c r="F18" s="157"/>
      <c r="G18" s="164"/>
      <c r="H18" s="33"/>
      <c r="I18" s="157"/>
      <c r="J18" s="156"/>
      <c r="K18" s="34"/>
      <c r="L18" s="157"/>
      <c r="M18" s="157"/>
      <c r="N18" s="34"/>
      <c r="O18" s="34"/>
      <c r="P18" s="158"/>
      <c r="Q18" s="34"/>
      <c r="R18" s="159"/>
      <c r="S18" s="159"/>
      <c r="T18" s="34"/>
      <c r="U18" s="159"/>
      <c r="V18" s="159"/>
      <c r="W18" s="34"/>
      <c r="X18" s="162"/>
      <c r="Y18" s="165"/>
      <c r="Z18" s="35"/>
      <c r="AA18" s="36"/>
      <c r="AB18" s="25"/>
      <c r="AC18" s="25"/>
      <c r="AD18" s="37"/>
      <c r="AE18" s="163">
        <v>1</v>
      </c>
      <c r="AF18" s="38">
        <v>1</v>
      </c>
      <c r="AG18" s="157"/>
      <c r="AH18" s="39"/>
      <c r="AI18" s="157">
        <v>911043</v>
      </c>
      <c r="AJ18" s="39">
        <v>838076</v>
      </c>
      <c r="AK18" s="156"/>
      <c r="AL18" s="156"/>
      <c r="AM18" s="40"/>
      <c r="AV18" s="31">
        <f t="shared" si="0"/>
        <v>0</v>
      </c>
      <c r="AW18" s="31">
        <f t="shared" si="1"/>
        <v>0</v>
      </c>
    </row>
    <row r="19" spans="1:49" x14ac:dyDescent="0.25">
      <c r="B19" t="s">
        <v>72</v>
      </c>
      <c r="C19" t="s">
        <v>73</v>
      </c>
      <c r="E19" s="32">
        <v>63990.571428571428</v>
      </c>
      <c r="F19" s="157">
        <v>79919.428571428565</v>
      </c>
      <c r="G19" s="164">
        <v>0.21561212142860331</v>
      </c>
      <c r="H19" s="33">
        <v>0.30824550832644948</v>
      </c>
      <c r="I19" s="157">
        <v>5441</v>
      </c>
      <c r="J19" s="156">
        <v>6675</v>
      </c>
      <c r="K19" s="34">
        <v>0.19040617533541626</v>
      </c>
      <c r="L19" s="157">
        <v>7485587.9600001853</v>
      </c>
      <c r="M19" s="157">
        <v>10215771.720000813</v>
      </c>
      <c r="N19" s="34">
        <v>0.32370160673398152</v>
      </c>
      <c r="O19" s="34">
        <v>0.57069336930106185</v>
      </c>
      <c r="P19" s="158">
        <v>0.38499046239249723</v>
      </c>
      <c r="Q19" s="34">
        <v>0.45656566119906178</v>
      </c>
      <c r="R19" s="159">
        <v>846.11431538320232</v>
      </c>
      <c r="S19" s="159">
        <v>831.70054681647412</v>
      </c>
      <c r="T19" s="34">
        <v>-1.7909181170235766E-2</v>
      </c>
      <c r="U19" s="159">
        <v>1375.7742988421587</v>
      </c>
      <c r="V19" s="159">
        <v>1530.4526921349532</v>
      </c>
      <c r="W19" s="34">
        <v>0.11197474791409512</v>
      </c>
      <c r="X19" s="162">
        <v>11.760810775330166</v>
      </c>
      <c r="Y19" s="165">
        <v>11.97294810058855</v>
      </c>
      <c r="Z19" s="35">
        <v>8.3580464772700272E-2</v>
      </c>
      <c r="AA19" s="36">
        <v>8.352161820118835E-2</v>
      </c>
      <c r="AB19" s="25">
        <v>5.6289463431665548E-2</v>
      </c>
      <c r="AC19" s="25">
        <v>6.8865422656413058E-2</v>
      </c>
      <c r="AD19" s="37">
        <v>0.81784136414152608</v>
      </c>
      <c r="AE19" s="163">
        <v>1.626185683230319</v>
      </c>
      <c r="AF19" s="38">
        <v>1.8401487145741509</v>
      </c>
      <c r="AG19" s="157">
        <v>3759</v>
      </c>
      <c r="AH19" s="39">
        <v>5359</v>
      </c>
      <c r="AI19" s="157">
        <v>911043</v>
      </c>
      <c r="AJ19" s="39">
        <v>838076</v>
      </c>
      <c r="AK19" s="156">
        <v>5213.3594000000012</v>
      </c>
      <c r="AL19" s="156">
        <v>7998934.6716999989</v>
      </c>
      <c r="AM19" s="40">
        <v>3489919.3680000007</v>
      </c>
      <c r="AV19" s="31">
        <f t="shared" si="0"/>
        <v>0.19040617533541626</v>
      </c>
      <c r="AW19" s="31">
        <f t="shared" si="1"/>
        <v>33533728229.250153</v>
      </c>
    </row>
    <row r="20" spans="1:49" x14ac:dyDescent="0.25">
      <c r="B20" t="s">
        <v>74</v>
      </c>
      <c r="C20" t="s">
        <v>196</v>
      </c>
      <c r="E20" s="32">
        <v>664501</v>
      </c>
      <c r="F20" s="157">
        <v>447297.28571428574</v>
      </c>
      <c r="G20" s="164">
        <v>-0.34540225350622922</v>
      </c>
      <c r="H20" s="33">
        <v>-0.23437101987085063</v>
      </c>
      <c r="I20" s="157">
        <v>41205</v>
      </c>
      <c r="J20" s="156">
        <v>43495</v>
      </c>
      <c r="K20" s="34">
        <v>2.7715083120980477E-2</v>
      </c>
      <c r="L20" s="157">
        <v>10654052.350003893</v>
      </c>
      <c r="M20" s="157">
        <v>17406981.780006472</v>
      </c>
      <c r="N20" s="34">
        <v>0.59020786302033978</v>
      </c>
      <c r="O20" s="34">
        <v>0.93967805471223231</v>
      </c>
      <c r="P20" s="158">
        <v>0.4734216356654366</v>
      </c>
      <c r="Q20" s="34">
        <v>0.57764307316935759</v>
      </c>
      <c r="R20" s="159">
        <v>136.15322072563671</v>
      </c>
      <c r="S20" s="159">
        <v>169.02998804461475</v>
      </c>
      <c r="T20" s="34">
        <v>0.24160461144090273</v>
      </c>
      <c r="U20" s="159">
        <v>258.56212474223742</v>
      </c>
      <c r="V20" s="159">
        <v>400.2065014370956</v>
      </c>
      <c r="W20" s="34">
        <v>0.54732365919080683</v>
      </c>
      <c r="X20" s="162">
        <v>16.126707923795657</v>
      </c>
      <c r="Y20" s="165">
        <v>10.28387827829143</v>
      </c>
      <c r="Z20" s="35">
        <v>6.137868974074924E-2</v>
      </c>
      <c r="AA20" s="36">
        <v>9.7239579557347758E-2</v>
      </c>
      <c r="AB20" s="25">
        <v>5.6661790672404184E-2</v>
      </c>
      <c r="AC20" s="25">
        <v>0.14484389273950346</v>
      </c>
      <c r="AD20" s="37">
        <v>0.82639608683122889</v>
      </c>
      <c r="AE20" s="163">
        <v>1.8992312068859161</v>
      </c>
      <c r="AF20" s="38">
        <v>2.3676656791306327</v>
      </c>
      <c r="AG20" s="157">
        <v>24136</v>
      </c>
      <c r="AH20" s="39">
        <v>26869</v>
      </c>
      <c r="AI20" s="157">
        <v>911043</v>
      </c>
      <c r="AJ20" s="39">
        <v>838076</v>
      </c>
      <c r="AK20" s="156">
        <v>39325.5743</v>
      </c>
      <c r="AL20" s="156">
        <v>12882578.178699998</v>
      </c>
      <c r="AM20" s="40">
        <v>6493207.7287999988</v>
      </c>
      <c r="AV20" s="31">
        <f t="shared" si="0"/>
        <v>2.7715083120980477E-2</v>
      </c>
      <c r="AW20" s="31">
        <f t="shared" si="1"/>
        <v>218509289787.45099</v>
      </c>
    </row>
    <row r="21" spans="1:49" x14ac:dyDescent="0.25">
      <c r="B21" t="s">
        <v>75</v>
      </c>
      <c r="C21" t="s">
        <v>76</v>
      </c>
      <c r="E21" s="32">
        <v>176018.57142857142</v>
      </c>
      <c r="F21" s="157">
        <v>181954.28571428571</v>
      </c>
      <c r="G21" s="164">
        <v>5.3168091029356379E-3</v>
      </c>
      <c r="H21" s="33">
        <v>0.1183789555866368</v>
      </c>
      <c r="I21" s="157">
        <v>13651</v>
      </c>
      <c r="J21" s="156">
        <v>15756</v>
      </c>
      <c r="K21" s="34">
        <v>0.12336092593949166</v>
      </c>
      <c r="L21" s="157">
        <v>8131117.7600009926</v>
      </c>
      <c r="M21" s="157">
        <v>12981143.070001937</v>
      </c>
      <c r="N21" s="34">
        <v>0.55367719579064323</v>
      </c>
      <c r="O21" s="34">
        <v>0.7170864286628913</v>
      </c>
      <c r="P21" s="158">
        <v>0.43892384606179435</v>
      </c>
      <c r="Q21" s="34">
        <v>0.48482922467327166</v>
      </c>
      <c r="R21" s="159">
        <v>334.2008849168555</v>
      </c>
      <c r="S21" s="159">
        <v>424.44183422188911</v>
      </c>
      <c r="T21" s="34">
        <v>0.26926607107253009</v>
      </c>
      <c r="U21" s="159">
        <v>595.6426459600757</v>
      </c>
      <c r="V21" s="159">
        <v>823.88569878153953</v>
      </c>
      <c r="W21" s="34">
        <v>0.38306145417268134</v>
      </c>
      <c r="X21" s="162">
        <v>12.894188808773821</v>
      </c>
      <c r="Y21" s="165">
        <v>11.548253726471549</v>
      </c>
      <c r="Z21" s="35">
        <v>7.70895909017629E-2</v>
      </c>
      <c r="AA21" s="36">
        <v>8.6593178820425859E-2</v>
      </c>
      <c r="AB21" s="25">
        <v>5.3586867904901553E-2</v>
      </c>
      <c r="AC21" s="25">
        <v>8.2622301057380401E-2</v>
      </c>
      <c r="AD21" s="37">
        <v>0.80624982440618254</v>
      </c>
      <c r="AE21" s="163">
        <v>1.7829809973949595</v>
      </c>
      <c r="AF21" s="38">
        <v>1.9411038977624195</v>
      </c>
      <c r="AG21" s="157">
        <v>10383</v>
      </c>
      <c r="AH21" s="39">
        <v>11488</v>
      </c>
      <c r="AI21" s="157">
        <v>911043</v>
      </c>
      <c r="AJ21" s="39">
        <v>838076</v>
      </c>
      <c r="AK21" s="156">
        <v>12322.021500000001</v>
      </c>
      <c r="AL21" s="156">
        <v>9240097.8855999988</v>
      </c>
      <c r="AM21" s="40">
        <v>4177974.6230000001</v>
      </c>
      <c r="AV21" s="31">
        <f t="shared" si="0"/>
        <v>0.12336092593949166</v>
      </c>
      <c r="AW21" s="31">
        <f t="shared" si="1"/>
        <v>79154669959.560364</v>
      </c>
    </row>
    <row r="22" spans="1:49" x14ac:dyDescent="0.25">
      <c r="C22" t="s">
        <v>77</v>
      </c>
      <c r="E22" s="32">
        <v>739722.57142857148</v>
      </c>
      <c r="F22" s="157">
        <v>366140.85714285716</v>
      </c>
      <c r="G22" s="164">
        <v>-0.51819272785279735</v>
      </c>
      <c r="H22" s="33">
        <v>-0.14126113671700746</v>
      </c>
      <c r="I22" s="157">
        <v>33655</v>
      </c>
      <c r="J22" s="156">
        <v>34203</v>
      </c>
      <c r="K22" s="34">
        <v>-1.5450898826325998E-2</v>
      </c>
      <c r="L22" s="157">
        <v>5965399.6700010737</v>
      </c>
      <c r="M22" s="157">
        <v>10779761.880003879</v>
      </c>
      <c r="N22" s="34">
        <v>0.75183534182243039</v>
      </c>
      <c r="O22" s="34">
        <v>1.1344611122659876</v>
      </c>
      <c r="P22" s="158">
        <v>0.4259245231762725</v>
      </c>
      <c r="Q22" s="34">
        <v>0.51847865678472771</v>
      </c>
      <c r="R22" s="159">
        <v>101.75574684296458</v>
      </c>
      <c r="S22" s="159">
        <v>151.76111510686948</v>
      </c>
      <c r="T22" s="34">
        <v>0.49099047731423884</v>
      </c>
      <c r="U22" s="159">
        <v>177.2515129995862</v>
      </c>
      <c r="V22" s="159">
        <v>315.17006929228074</v>
      </c>
      <c r="W22" s="34">
        <v>0.77932755180425239</v>
      </c>
      <c r="X22" s="162">
        <v>21.979574251331794</v>
      </c>
      <c r="Y22" s="165">
        <v>10.704933986575949</v>
      </c>
      <c r="Z22" s="35">
        <v>4.5187558553074353E-2</v>
      </c>
      <c r="AA22" s="36">
        <v>9.3414868438610271E-2</v>
      </c>
      <c r="AB22" s="25">
        <v>3.5164762482236343E-2</v>
      </c>
      <c r="AC22" s="25">
        <v>8.8180806013463467E-2</v>
      </c>
      <c r="AD22" s="37">
        <v>0.80695914886195286</v>
      </c>
      <c r="AE22" s="163">
        <v>1.7414539020200521</v>
      </c>
      <c r="AF22" s="38">
        <v>2.0767511432051582</v>
      </c>
      <c r="AG22" s="157">
        <v>18885</v>
      </c>
      <c r="AH22" s="39">
        <v>21310</v>
      </c>
      <c r="AI22" s="157">
        <v>911043</v>
      </c>
      <c r="AJ22" s="39">
        <v>838076</v>
      </c>
      <c r="AK22" s="156">
        <v>25907.954700000002</v>
      </c>
      <c r="AL22" s="156">
        <v>8836621.962199999</v>
      </c>
      <c r="AM22" s="40">
        <v>4107461.1535999998</v>
      </c>
      <c r="AV22" s="31">
        <f t="shared" si="0"/>
        <v>-1.5450898826325998E-2</v>
      </c>
      <c r="AW22" s="31">
        <f t="shared" si="1"/>
        <v>171828330580.53079</v>
      </c>
    </row>
    <row r="23" spans="1:49" x14ac:dyDescent="0.25">
      <c r="C23" t="s">
        <v>195</v>
      </c>
      <c r="E23" s="32">
        <v>7</v>
      </c>
      <c r="F23" s="157">
        <v>11797.285714285714</v>
      </c>
      <c r="G23" s="164">
        <v>1535.8163265306123</v>
      </c>
      <c r="H23" s="33">
        <v>31337.810698828143</v>
      </c>
      <c r="I23" s="157"/>
      <c r="J23" s="156">
        <v>743</v>
      </c>
      <c r="K23" s="34"/>
      <c r="L23" s="157"/>
      <c r="M23" s="157">
        <v>1378180.7499999956</v>
      </c>
      <c r="N23" s="34"/>
      <c r="O23" s="34"/>
      <c r="P23" s="158"/>
      <c r="Q23" s="34">
        <v>0.20742185667590884</v>
      </c>
      <c r="R23" s="159"/>
      <c r="S23" s="159">
        <v>1470.1425841184387</v>
      </c>
      <c r="T23" s="34"/>
      <c r="U23" s="159"/>
      <c r="V23" s="159">
        <v>1854.8866083445432</v>
      </c>
      <c r="W23" s="34"/>
      <c r="X23" s="162"/>
      <c r="Y23" s="165">
        <v>15.877908094597192</v>
      </c>
      <c r="Z23" s="35"/>
      <c r="AA23" s="36">
        <v>6.2980588755282702E-2</v>
      </c>
      <c r="AB23" s="25"/>
      <c r="AC23" s="25">
        <v>8.2134981288914458E-3</v>
      </c>
      <c r="AD23" s="37">
        <v>0.15773847787225584</v>
      </c>
      <c r="AE23" s="163">
        <v>1</v>
      </c>
      <c r="AF23" s="38">
        <v>1.2617052443636367</v>
      </c>
      <c r="AG23" s="157"/>
      <c r="AH23" s="39">
        <v>575</v>
      </c>
      <c r="AI23" s="157">
        <v>911043</v>
      </c>
      <c r="AJ23" s="39">
        <v>838076</v>
      </c>
      <c r="AK23" s="156"/>
      <c r="AL23" s="156"/>
      <c r="AM23" s="40"/>
      <c r="AV23" s="31">
        <f t="shared" si="0"/>
        <v>0</v>
      </c>
      <c r="AW23" s="31">
        <f t="shared" si="1"/>
        <v>3732668175.930017</v>
      </c>
    </row>
    <row r="24" spans="1:49" x14ac:dyDescent="0.25">
      <c r="A24" t="s">
        <v>78</v>
      </c>
      <c r="E24" s="32">
        <v>2553313.4285714286</v>
      </c>
      <c r="F24" s="157">
        <v>1761653</v>
      </c>
      <c r="G24" s="164">
        <v>-0.32878465930599754</v>
      </c>
      <c r="H24" s="33">
        <v>3.0081569242825568E-2</v>
      </c>
      <c r="I24" s="157">
        <v>141441</v>
      </c>
      <c r="J24" s="156">
        <v>160099</v>
      </c>
      <c r="K24" s="34">
        <v>9.9101392099886221E-2</v>
      </c>
      <c r="L24" s="157">
        <v>41739071.769977599</v>
      </c>
      <c r="M24" s="157">
        <v>69817528.299987108</v>
      </c>
      <c r="N24" s="34">
        <v>0.62532602914225643</v>
      </c>
      <c r="O24" s="34">
        <v>0.93338181804331866</v>
      </c>
      <c r="P24" s="158">
        <v>0.44440826768260783</v>
      </c>
      <c r="Q24" s="34">
        <v>0.52872776305366775</v>
      </c>
      <c r="R24" s="159">
        <v>163.95446292094806</v>
      </c>
      <c r="S24" s="159">
        <v>205.51697849454891</v>
      </c>
      <c r="T24" s="34">
        <v>0.2545862589520711</v>
      </c>
      <c r="U24" s="159">
        <v>295.09881696239137</v>
      </c>
      <c r="V24" s="159">
        <v>436.08972135982805</v>
      </c>
      <c r="W24" s="34">
        <v>0.47877715452347203</v>
      </c>
      <c r="X24" s="162">
        <v>18.05214491251779</v>
      </c>
      <c r="Y24" s="165">
        <v>11.003522820254966</v>
      </c>
      <c r="Z24" s="35">
        <v>5.4908836484807919E-2</v>
      </c>
      <c r="AA24" s="36">
        <v>9.0879986013136529E-2</v>
      </c>
      <c r="AB24" s="25">
        <v>4.9627146648865049E-2</v>
      </c>
      <c r="AC24" s="25">
        <v>9.4096746907658707E-2</v>
      </c>
      <c r="AD24" s="37">
        <v>0.82023544912183366</v>
      </c>
      <c r="AE24" s="163">
        <v>1.8003961272460156</v>
      </c>
      <c r="AF24" s="38">
        <v>2.1219157879522585</v>
      </c>
      <c r="AG24" s="157">
        <v>65704</v>
      </c>
      <c r="AH24" s="39">
        <v>75789</v>
      </c>
      <c r="AI24" s="157">
        <v>911043</v>
      </c>
      <c r="AJ24" s="39">
        <v>838076</v>
      </c>
      <c r="AK24" s="156">
        <v>137159.04100000014</v>
      </c>
      <c r="AL24" s="156">
        <v>51107538.06059996</v>
      </c>
      <c r="AM24" s="40">
        <v>24376043.402300008</v>
      </c>
      <c r="AV24" s="31">
        <f t="shared" si="0"/>
        <v>9.9101392099886221E-2</v>
      </c>
      <c r="AW24" s="31">
        <f t="shared" si="1"/>
        <v>804302075771.49365</v>
      </c>
    </row>
    <row r="25" spans="1:49" x14ac:dyDescent="0.25">
      <c r="A25" t="s">
        <v>66</v>
      </c>
      <c r="B25" t="s">
        <v>68</v>
      </c>
      <c r="C25" t="s">
        <v>66</v>
      </c>
      <c r="E25" s="32">
        <v>80147.428571428565</v>
      </c>
      <c r="F25" s="157">
        <v>71677.571428571435</v>
      </c>
      <c r="G25" s="164">
        <v>-0.12995337164368514</v>
      </c>
      <c r="H25" s="33">
        <v>-1.5891141845667756E-2</v>
      </c>
      <c r="I25" s="157">
        <v>5744</v>
      </c>
      <c r="J25" s="156">
        <v>4275</v>
      </c>
      <c r="K25" s="34">
        <v>-0.27472144846796653</v>
      </c>
      <c r="L25" s="157">
        <v>9073762.1100007743</v>
      </c>
      <c r="M25" s="157">
        <v>8075879.8300004583</v>
      </c>
      <c r="N25" s="34">
        <v>-0.13260612912412273</v>
      </c>
      <c r="O25" s="34">
        <v>-0.12054977678244749</v>
      </c>
      <c r="P25" s="158">
        <v>0.34191982469777676</v>
      </c>
      <c r="Q25" s="34">
        <v>0.34630735831545006</v>
      </c>
      <c r="R25" s="159">
        <v>1039.5652785515285</v>
      </c>
      <c r="S25" s="159">
        <v>1234.8873029239705</v>
      </c>
      <c r="T25" s="34">
        <v>0.18730897221669962</v>
      </c>
      <c r="U25" s="159">
        <v>1579.693960654731</v>
      </c>
      <c r="V25" s="159">
        <v>1889.0946970761306</v>
      </c>
      <c r="W25" s="34">
        <v>0.19594584597000453</v>
      </c>
      <c r="X25" s="162">
        <v>13.953243135694388</v>
      </c>
      <c r="Y25" s="165">
        <v>16.766683375104428</v>
      </c>
      <c r="Z25" s="35">
        <v>7.1042193192069572E-2</v>
      </c>
      <c r="AA25" s="36">
        <v>5.9642087682339362E-2</v>
      </c>
      <c r="AB25" s="25">
        <v>3.6088254591693722E-2</v>
      </c>
      <c r="AC25" s="25">
        <v>3.2440665466454133E-2</v>
      </c>
      <c r="AD25" s="37">
        <v>0.27422621349736426</v>
      </c>
      <c r="AE25" s="163">
        <v>1.5189017910615148</v>
      </c>
      <c r="AF25" s="38">
        <v>1.5297709293820787</v>
      </c>
      <c r="AG25" s="157">
        <v>5254</v>
      </c>
      <c r="AH25" s="39">
        <v>3871</v>
      </c>
      <c r="AI25" s="157">
        <v>911043</v>
      </c>
      <c r="AJ25" s="39">
        <v>838076</v>
      </c>
      <c r="AK25" s="156">
        <v>5434.9082999999982</v>
      </c>
      <c r="AL25" s="156">
        <v>10500196.374200001</v>
      </c>
      <c r="AM25" s="40">
        <v>4144432.9715999993</v>
      </c>
      <c r="AV25" s="31">
        <f t="shared" si="0"/>
        <v>-0.27472144846796653</v>
      </c>
      <c r="AW25" s="31">
        <f t="shared" si="1"/>
        <v>21476657405.250099</v>
      </c>
    </row>
    <row r="26" spans="1:49" x14ac:dyDescent="0.25">
      <c r="C26" t="s">
        <v>67</v>
      </c>
      <c r="E26" s="32">
        <v>1791.2857142857142</v>
      </c>
      <c r="F26" s="157">
        <v>1927</v>
      </c>
      <c r="G26" s="164">
        <v>4.7132945210941912E-2</v>
      </c>
      <c r="H26" s="33">
        <v>0.21678170191817658</v>
      </c>
      <c r="I26" s="157">
        <v>6</v>
      </c>
      <c r="J26" s="156">
        <v>15</v>
      </c>
      <c r="K26" s="34">
        <v>1.5</v>
      </c>
      <c r="L26" s="157">
        <v>3233.2700000000004</v>
      </c>
      <c r="M26" s="157">
        <v>3604.8</v>
      </c>
      <c r="N26" s="34">
        <v>0.11490843635081505</v>
      </c>
      <c r="O26" s="34">
        <v>0.3944892063943064</v>
      </c>
      <c r="P26" s="158">
        <v>0.45718112004255756</v>
      </c>
      <c r="Q26" s="34">
        <v>0.57182645361739903</v>
      </c>
      <c r="R26" s="159">
        <v>292.51333333333338</v>
      </c>
      <c r="S26" s="159">
        <v>102.89866666666667</v>
      </c>
      <c r="T26" s="34">
        <v>-0.64822572190441463</v>
      </c>
      <c r="U26" s="159">
        <v>538.87833333333344</v>
      </c>
      <c r="V26" s="159">
        <v>240.32000000000002</v>
      </c>
      <c r="W26" s="34">
        <v>-0.55403662545967403</v>
      </c>
      <c r="X26" s="162">
        <v>298.54761904761904</v>
      </c>
      <c r="Y26" s="165">
        <v>128.46666666666667</v>
      </c>
      <c r="Z26" s="35">
        <v>3.3047446691321109E-3</v>
      </c>
      <c r="AA26" s="36">
        <v>7.7841203943954333E-3</v>
      </c>
      <c r="AB26" s="25">
        <v>1.1223831468984048E-2</v>
      </c>
      <c r="AC26" s="25">
        <v>1.2616475246395972E-2</v>
      </c>
      <c r="AD26" s="37">
        <v>1.8508867357921081E-5</v>
      </c>
      <c r="AE26" s="163">
        <v>1.8422351117897759</v>
      </c>
      <c r="AF26" s="38">
        <v>2.3355015938010211</v>
      </c>
      <c r="AG26" s="157">
        <v>6</v>
      </c>
      <c r="AH26" s="39">
        <v>12</v>
      </c>
      <c r="AI26" s="157">
        <v>911043</v>
      </c>
      <c r="AJ26" s="39">
        <v>838076</v>
      </c>
      <c r="AK26" s="156"/>
      <c r="AL26" s="156"/>
      <c r="AM26" s="40"/>
      <c r="AV26" s="31">
        <f t="shared" si="0"/>
        <v>1.5</v>
      </c>
      <c r="AW26" s="31">
        <f t="shared" si="1"/>
        <v>75356692.650000349</v>
      </c>
    </row>
    <row r="27" spans="1:49" x14ac:dyDescent="0.25">
      <c r="A27" t="s">
        <v>813</v>
      </c>
      <c r="E27" s="32">
        <v>81938.71428571429</v>
      </c>
      <c r="F27" s="157">
        <v>73604.571428571435</v>
      </c>
      <c r="G27" s="164">
        <v>-0.12608203692306619</v>
      </c>
      <c r="H27" s="33">
        <v>-1.5533493445968105E-2</v>
      </c>
      <c r="I27" s="157">
        <v>5750</v>
      </c>
      <c r="J27" s="156">
        <v>4290</v>
      </c>
      <c r="K27" s="34">
        <v>-0.27286956521739125</v>
      </c>
      <c r="L27" s="157">
        <v>9076995.3800006863</v>
      </c>
      <c r="M27" s="157">
        <v>8079484.6300002309</v>
      </c>
      <c r="N27" s="34">
        <v>-0.13251796322940679</v>
      </c>
      <c r="O27" s="34">
        <v>-0.1203045026096532</v>
      </c>
      <c r="P27" s="158">
        <v>0.34196088133301111</v>
      </c>
      <c r="Q27" s="34">
        <v>0.34640797750984481</v>
      </c>
      <c r="R27" s="159">
        <v>1038.7857460869534</v>
      </c>
      <c r="S27" s="159">
        <v>1230.9293006992946</v>
      </c>
      <c r="T27" s="34">
        <v>0.18429248636142925</v>
      </c>
      <c r="U27" s="159">
        <v>1578.6078921740325</v>
      </c>
      <c r="V27" s="159">
        <v>1883.3297505828043</v>
      </c>
      <c r="W27" s="34">
        <v>0.19302121775434378</v>
      </c>
      <c r="X27" s="162">
        <v>14.250211180124225</v>
      </c>
      <c r="Y27" s="165">
        <v>17.157242757242759</v>
      </c>
      <c r="Z27" s="35">
        <v>6.9591836390868009E-2</v>
      </c>
      <c r="AA27" s="36">
        <v>5.8284423327743612E-2</v>
      </c>
      <c r="AB27" s="25">
        <v>3.6051117348341738E-2</v>
      </c>
      <c r="AC27" s="25">
        <v>3.2403166547968092E-2</v>
      </c>
      <c r="AD27" s="37">
        <v>0.27413740804676395</v>
      </c>
      <c r="AE27" s="163">
        <v>1.5189944385193384</v>
      </c>
      <c r="AF27" s="38">
        <v>1.5300064345798567</v>
      </c>
      <c r="AG27" s="157">
        <v>5260</v>
      </c>
      <c r="AH27" s="39">
        <v>3883</v>
      </c>
      <c r="AI27" s="157">
        <v>911043</v>
      </c>
      <c r="AJ27" s="39">
        <v>838076</v>
      </c>
      <c r="AK27" s="156">
        <v>5434.9082999999982</v>
      </c>
      <c r="AL27" s="156">
        <v>10500196.374200001</v>
      </c>
      <c r="AM27" s="40">
        <v>4144432.9715999993</v>
      </c>
      <c r="AV27" s="31">
        <f t="shared" si="0"/>
        <v>-0.27286956521739125</v>
      </c>
      <c r="AW27" s="31">
        <f t="shared" si="1"/>
        <v>21552014097.900101</v>
      </c>
    </row>
    <row r="28" spans="1:49" x14ac:dyDescent="0.25">
      <c r="A28" t="s">
        <v>79</v>
      </c>
      <c r="B28" t="s">
        <v>80</v>
      </c>
      <c r="C28" t="s">
        <v>81</v>
      </c>
      <c r="E28" s="32">
        <v>560002.42857142852</v>
      </c>
      <c r="F28" s="157">
        <v>457056</v>
      </c>
      <c r="G28" s="164">
        <v>-0.20725879505114386</v>
      </c>
      <c r="H28" s="33">
        <v>2.0915784673269711E-2</v>
      </c>
      <c r="I28" s="157">
        <v>29228</v>
      </c>
      <c r="J28" s="156">
        <v>29779</v>
      </c>
      <c r="K28" s="34">
        <v>-1.4301354865197791E-2</v>
      </c>
      <c r="L28" s="157">
        <v>6354469.6700016744</v>
      </c>
      <c r="M28" s="157">
        <v>12184005.470003955</v>
      </c>
      <c r="N28" s="34">
        <v>0.84984431910911917</v>
      </c>
      <c r="O28" s="34">
        <v>1.2120550501428635</v>
      </c>
      <c r="P28" s="158">
        <v>0.52969073499422448</v>
      </c>
      <c r="Q28" s="34">
        <v>0.63369153346264073</v>
      </c>
      <c r="R28" s="159">
        <v>102.25010127275148</v>
      </c>
      <c r="S28" s="159">
        <v>149.87421874475118</v>
      </c>
      <c r="T28" s="34">
        <v>0.46282101245880725</v>
      </c>
      <c r="U28" s="159">
        <v>217.41034863834935</v>
      </c>
      <c r="V28" s="159">
        <v>409.14756942825329</v>
      </c>
      <c r="W28" s="34">
        <v>0.87668343488099043</v>
      </c>
      <c r="X28" s="162">
        <v>19.159792957829087</v>
      </c>
      <c r="Y28" s="165">
        <v>15.348265556264481</v>
      </c>
      <c r="Z28" s="35">
        <v>5.1805693377327773E-2</v>
      </c>
      <c r="AA28" s="36">
        <v>6.5153941748932298E-2</v>
      </c>
      <c r="AB28" s="25">
        <v>5.1497360799511775E-2</v>
      </c>
      <c r="AC28" s="25">
        <v>0.11311568201991787</v>
      </c>
      <c r="AD28" s="37">
        <v>0.82087292237366882</v>
      </c>
      <c r="AE28" s="163">
        <v>2.1273183152927966</v>
      </c>
      <c r="AF28" s="38">
        <v>2.7299396310786923</v>
      </c>
      <c r="AG28" s="157">
        <v>16105</v>
      </c>
      <c r="AH28" s="39">
        <v>16904</v>
      </c>
      <c r="AI28" s="157">
        <v>911043</v>
      </c>
      <c r="AJ28" s="39">
        <v>838076</v>
      </c>
      <c r="AK28" s="156">
        <v>28738.671100000014</v>
      </c>
      <c r="AL28" s="156">
        <v>9098918.3932000007</v>
      </c>
      <c r="AM28" s="40">
        <v>4928852.3937999997</v>
      </c>
      <c r="AV28" s="31">
        <f t="shared" si="0"/>
        <v>-1.4301354865197791E-2</v>
      </c>
      <c r="AW28" s="31">
        <f t="shared" si="1"/>
        <v>149603130028.29068</v>
      </c>
    </row>
    <row r="29" spans="1:49" x14ac:dyDescent="0.25">
      <c r="B29" t="s">
        <v>82</v>
      </c>
      <c r="C29" t="s">
        <v>83</v>
      </c>
      <c r="E29" s="32">
        <v>545539</v>
      </c>
      <c r="F29" s="157">
        <v>350145.71428571426</v>
      </c>
      <c r="G29" s="164">
        <v>-0.37871379105278058</v>
      </c>
      <c r="H29" s="33">
        <v>-0.25336902764303193</v>
      </c>
      <c r="I29" s="157">
        <v>34566</v>
      </c>
      <c r="J29" s="156">
        <v>34507</v>
      </c>
      <c r="K29" s="34">
        <v>-3.5786611120754541E-2</v>
      </c>
      <c r="L29" s="157">
        <v>5344963.1300004544</v>
      </c>
      <c r="M29" s="157">
        <v>8281963.2600026</v>
      </c>
      <c r="N29" s="34">
        <v>0.49601822791277317</v>
      </c>
      <c r="O29" s="34">
        <v>1.0107432410858408</v>
      </c>
      <c r="P29" s="158">
        <v>0.46834599025574059</v>
      </c>
      <c r="Q29" s="34">
        <v>0.62950001060509053</v>
      </c>
      <c r="R29" s="159">
        <v>82.210006364634864</v>
      </c>
      <c r="S29" s="159">
        <v>88.923038803720786</v>
      </c>
      <c r="T29" s="34">
        <v>8.12807455376372E-2</v>
      </c>
      <c r="U29" s="159">
        <v>154.63065237517949</v>
      </c>
      <c r="V29" s="159">
        <v>240.00820876931058</v>
      </c>
      <c r="W29" s="34">
        <v>0.5515426825297165</v>
      </c>
      <c r="X29" s="162">
        <v>15.782531967829659</v>
      </c>
      <c r="Y29" s="165">
        <v>10.147092308392914</v>
      </c>
      <c r="Z29" s="35">
        <v>6.2853046005123023E-2</v>
      </c>
      <c r="AA29" s="36">
        <v>9.855039942554529E-2</v>
      </c>
      <c r="AB29" s="25">
        <v>5.4442837977633045E-2</v>
      </c>
      <c r="AC29" s="25">
        <v>0.14755940549136445</v>
      </c>
      <c r="AD29" s="37">
        <v>0.88823171472959406</v>
      </c>
      <c r="AE29" s="163">
        <v>1.882890242625981</v>
      </c>
      <c r="AF29" s="38">
        <v>2.6990554078913007</v>
      </c>
      <c r="AG29" s="157">
        <v>19421</v>
      </c>
      <c r="AH29" s="39">
        <v>15890</v>
      </c>
      <c r="AI29" s="157">
        <v>911043</v>
      </c>
      <c r="AJ29" s="39">
        <v>838076</v>
      </c>
      <c r="AK29" s="156">
        <v>39050.812199999986</v>
      </c>
      <c r="AL29" s="156">
        <v>7305108.2341000009</v>
      </c>
      <c r="AM29" s="40">
        <v>3568297.023</v>
      </c>
      <c r="AV29" s="31">
        <f t="shared" si="0"/>
        <v>-3.5786611120754541E-2</v>
      </c>
      <c r="AW29" s="31">
        <f t="shared" si="1"/>
        <v>173355559551.5708</v>
      </c>
    </row>
    <row r="30" spans="1:49" x14ac:dyDescent="0.25">
      <c r="C30" t="s">
        <v>85</v>
      </c>
      <c r="E30" s="32">
        <v>176077.57142857142</v>
      </c>
      <c r="F30" s="157">
        <v>101574.07142857143</v>
      </c>
      <c r="G30" s="164">
        <v>-0.48486989906234501</v>
      </c>
      <c r="H30" s="33">
        <v>-0.2374484108111713</v>
      </c>
      <c r="I30" s="157">
        <v>8256</v>
      </c>
      <c r="J30" s="156">
        <v>6763</v>
      </c>
      <c r="K30" s="34">
        <v>-0.33466569767441856</v>
      </c>
      <c r="L30" s="157">
        <v>1621721.6400000486</v>
      </c>
      <c r="M30" s="157">
        <v>2734704.7599999774</v>
      </c>
      <c r="N30" s="34">
        <v>0.60744288397108015</v>
      </c>
      <c r="O30" s="34">
        <v>1.5111215170559795</v>
      </c>
      <c r="P30" s="158">
        <v>0.3778248035217916</v>
      </c>
      <c r="Q30" s="34">
        <v>0.57215634860707421</v>
      </c>
      <c r="R30" s="159">
        <v>122.21353924418514</v>
      </c>
      <c r="S30" s="159">
        <v>173.00400266154151</v>
      </c>
      <c r="T30" s="34">
        <v>0.59118668775310335</v>
      </c>
      <c r="U30" s="159">
        <v>196.42946220930821</v>
      </c>
      <c r="V30" s="159">
        <v>404.36267336980296</v>
      </c>
      <c r="W30" s="34">
        <v>1.4159927999390565</v>
      </c>
      <c r="X30" s="162">
        <v>21.327225221483943</v>
      </c>
      <c r="Y30" s="165">
        <v>15.019084936946834</v>
      </c>
      <c r="Z30" s="35">
        <v>4.7126932519408138E-2</v>
      </c>
      <c r="AA30" s="36">
        <v>6.6581952508971282E-2</v>
      </c>
      <c r="AB30" s="25">
        <v>2.7830390575218845E-2</v>
      </c>
      <c r="AC30" s="25">
        <v>8.637643983623193E-2</v>
      </c>
      <c r="AD30" s="37">
        <v>0.83271458258021791</v>
      </c>
      <c r="AE30" s="163">
        <v>1.6108992894509058</v>
      </c>
      <c r="AF30" s="38">
        <v>2.3373024158341749</v>
      </c>
      <c r="AG30" s="157">
        <v>3852</v>
      </c>
      <c r="AH30" s="39">
        <v>3142</v>
      </c>
      <c r="AI30" s="157">
        <v>911043</v>
      </c>
      <c r="AJ30" s="39">
        <v>838076</v>
      </c>
      <c r="AK30" s="156">
        <v>3811.1390000000001</v>
      </c>
      <c r="AL30" s="156">
        <v>1513776.0343000002</v>
      </c>
      <c r="AM30" s="40">
        <v>697286.8960999999</v>
      </c>
      <c r="AV30" s="31">
        <f t="shared" si="0"/>
        <v>-0.33466569767441856</v>
      </c>
      <c r="AW30" s="31">
        <f t="shared" si="1"/>
        <v>33975820826.130157</v>
      </c>
    </row>
    <row r="31" spans="1:49" x14ac:dyDescent="0.25">
      <c r="C31" t="s">
        <v>84</v>
      </c>
      <c r="E31" s="32">
        <v>34213</v>
      </c>
      <c r="F31" s="157">
        <v>23432.571428571428</v>
      </c>
      <c r="G31" s="164">
        <v>-0.32346518240768962</v>
      </c>
      <c r="H31" s="33">
        <v>-4.7701520122528041E-2</v>
      </c>
      <c r="I31" s="157">
        <v>1977</v>
      </c>
      <c r="J31" s="156">
        <v>1272</v>
      </c>
      <c r="K31" s="34">
        <v>-0.37430450177035912</v>
      </c>
      <c r="L31" s="157">
        <v>1553499.0000000042</v>
      </c>
      <c r="M31" s="157">
        <v>1800345.7199999907</v>
      </c>
      <c r="N31" s="34">
        <v>0.12601860702838463</v>
      </c>
      <c r="O31" s="34">
        <v>0.5220472870419417</v>
      </c>
      <c r="P31" s="158">
        <v>0.46994697775795585</v>
      </c>
      <c r="Q31" s="34">
        <v>0.63512869628173252</v>
      </c>
      <c r="R31" s="159">
        <v>416.50826504805036</v>
      </c>
      <c r="S31" s="159">
        <v>516.42648584905635</v>
      </c>
      <c r="T31" s="34">
        <v>0.23845882054986545</v>
      </c>
      <c r="U31" s="159">
        <v>785.78603945371992</v>
      </c>
      <c r="V31" s="159">
        <v>1415.3661320754643</v>
      </c>
      <c r="W31" s="34">
        <v>0.79962715124908379</v>
      </c>
      <c r="X31" s="162">
        <v>17.3055134041477</v>
      </c>
      <c r="Y31" s="165">
        <v>18.421832884097036</v>
      </c>
      <c r="Z31" s="35">
        <v>5.6216529509608933E-2</v>
      </c>
      <c r="AA31" s="36">
        <v>5.428341502670276E-2</v>
      </c>
      <c r="AB31" s="25">
        <v>5.1039327823602598E-2</v>
      </c>
      <c r="AC31" s="25">
        <v>8.5163723126243165E-2</v>
      </c>
      <c r="AD31" s="37">
        <v>0.80655539068658932</v>
      </c>
      <c r="AE31" s="163">
        <v>1.8861720457265911</v>
      </c>
      <c r="AF31" s="38">
        <v>2.7406923751179462</v>
      </c>
      <c r="AG31" s="157">
        <v>1512</v>
      </c>
      <c r="AH31" s="39">
        <v>1029</v>
      </c>
      <c r="AI31" s="157">
        <v>911043</v>
      </c>
      <c r="AJ31" s="39">
        <v>838076</v>
      </c>
      <c r="AK31" s="156">
        <v>1816.3283999999999</v>
      </c>
      <c r="AL31" s="156">
        <v>1735180.3684</v>
      </c>
      <c r="AM31" s="40">
        <v>862037.7163999998</v>
      </c>
      <c r="AV31" s="31">
        <f t="shared" si="0"/>
        <v>-0.37430450177035912</v>
      </c>
      <c r="AW31" s="31">
        <f t="shared" si="1"/>
        <v>6390247536.7200289</v>
      </c>
    </row>
    <row r="32" spans="1:49" x14ac:dyDescent="0.25">
      <c r="A32" t="s">
        <v>86</v>
      </c>
      <c r="E32" s="32">
        <v>1315832</v>
      </c>
      <c r="F32" s="157">
        <v>932208.35714285716</v>
      </c>
      <c r="G32" s="164">
        <v>-0.31851330564996139</v>
      </c>
      <c r="H32" s="33">
        <v>-0.11000957397682454</v>
      </c>
      <c r="I32" s="157">
        <v>74027</v>
      </c>
      <c r="J32" s="156">
        <v>72321</v>
      </c>
      <c r="K32" s="34">
        <v>-6.9677279911383727E-2</v>
      </c>
      <c r="L32" s="157">
        <v>14874653.440005902</v>
      </c>
      <c r="M32" s="157">
        <v>25001019.210000541</v>
      </c>
      <c r="N32" s="34">
        <v>0.62067880621434912</v>
      </c>
      <c r="O32" s="34">
        <v>1.0977391080318561</v>
      </c>
      <c r="P32" s="158">
        <v>0.48485059561851568</v>
      </c>
      <c r="Q32" s="34">
        <v>0.62567557180802857</v>
      </c>
      <c r="R32" s="159">
        <v>103.51181136612368</v>
      </c>
      <c r="S32" s="159">
        <v>129.40214073367278</v>
      </c>
      <c r="T32" s="34">
        <v>0.25943079252651424</v>
      </c>
      <c r="U32" s="159">
        <v>200.93551596047257</v>
      </c>
      <c r="V32" s="159">
        <v>345.69515368980711</v>
      </c>
      <c r="W32" s="34">
        <v>0.74206086900680424</v>
      </c>
      <c r="X32" s="162">
        <v>17.775028030313266</v>
      </c>
      <c r="Y32" s="165">
        <v>12.889870952321694</v>
      </c>
      <c r="Z32" s="35">
        <v>5.5873937855196239E-2</v>
      </c>
      <c r="AA32" s="36">
        <v>7.7580295698762014E-2</v>
      </c>
      <c r="AB32" s="25">
        <v>4.8822440892544339E-2</v>
      </c>
      <c r="AC32" s="25">
        <v>0.11575966402241476</v>
      </c>
      <c r="AD32" s="37">
        <v>0.85098261427185018</v>
      </c>
      <c r="AE32" s="163">
        <v>1.9430972864211513</v>
      </c>
      <c r="AF32" s="38">
        <v>2.6714794031212739</v>
      </c>
      <c r="AG32" s="157">
        <v>37179</v>
      </c>
      <c r="AH32" s="39">
        <v>33640</v>
      </c>
      <c r="AI32" s="157">
        <v>911043</v>
      </c>
      <c r="AJ32" s="39">
        <v>838076</v>
      </c>
      <c r="AK32" s="156">
        <v>73416.950700000001</v>
      </c>
      <c r="AL32" s="156">
        <v>19652983.029999986</v>
      </c>
      <c r="AM32" s="40">
        <v>10056474.029299999</v>
      </c>
      <c r="AV32" s="31">
        <f t="shared" si="0"/>
        <v>-6.9677279911383727E-2</v>
      </c>
      <c r="AW32" s="31">
        <f t="shared" si="1"/>
        <v>363324757942.71167</v>
      </c>
    </row>
    <row r="33" spans="1:49" x14ac:dyDescent="0.25">
      <c r="A33" t="s">
        <v>87</v>
      </c>
      <c r="B33" t="s">
        <v>88</v>
      </c>
      <c r="C33" t="s">
        <v>89</v>
      </c>
      <c r="E33" s="32">
        <v>184009.28571428571</v>
      </c>
      <c r="F33" s="157">
        <v>193564</v>
      </c>
      <c r="G33" s="164">
        <v>5.8708217364806803E-3</v>
      </c>
      <c r="H33" s="33">
        <v>-0.10406250262359729</v>
      </c>
      <c r="I33" s="157">
        <v>14196</v>
      </c>
      <c r="J33" s="156">
        <v>14772</v>
      </c>
      <c r="K33" s="34">
        <v>1.2468300929839415E-2</v>
      </c>
      <c r="L33" s="157">
        <v>12049622.429999726</v>
      </c>
      <c r="M33" s="157">
        <v>14234599.46999971</v>
      </c>
      <c r="N33" s="34">
        <v>0.14676440280793379</v>
      </c>
      <c r="O33" s="34">
        <v>0.29078038559039743</v>
      </c>
      <c r="P33" s="158">
        <v>0.4251862869366182</v>
      </c>
      <c r="Q33" s="34">
        <v>0.47765752835755138</v>
      </c>
      <c r="R33" s="159">
        <v>487.90421315863284</v>
      </c>
      <c r="S33" s="159">
        <v>503.33982331437431</v>
      </c>
      <c r="T33" s="34">
        <v>2.7426375127278302E-2</v>
      </c>
      <c r="U33" s="159">
        <v>848.80405959423263</v>
      </c>
      <c r="V33" s="159">
        <v>963.62032696992355</v>
      </c>
      <c r="W33" s="34">
        <v>0.1326422780394787</v>
      </c>
      <c r="X33" s="162">
        <v>12.962051684579157</v>
      </c>
      <c r="Y33" s="165">
        <v>13.103438938532358</v>
      </c>
      <c r="Z33" s="35">
        <v>7.6614831586987509E-2</v>
      </c>
      <c r="AA33" s="36">
        <v>7.6315843855262341E-2</v>
      </c>
      <c r="AB33" s="25">
        <v>4.7460749183785053E-2</v>
      </c>
      <c r="AC33" s="25">
        <v>6.6896155355105791E-2</v>
      </c>
      <c r="AD33" s="37">
        <v>0.82067597514759527</v>
      </c>
      <c r="AE33" s="163">
        <v>1.7410534395576409</v>
      </c>
      <c r="AF33" s="38">
        <v>1.9144527858429923</v>
      </c>
      <c r="AG33" s="157">
        <v>10037</v>
      </c>
      <c r="AH33" s="39">
        <v>11007</v>
      </c>
      <c r="AI33" s="157">
        <v>911043</v>
      </c>
      <c r="AJ33" s="39">
        <v>838076</v>
      </c>
      <c r="AK33" s="156">
        <v>14721.286800000002</v>
      </c>
      <c r="AL33" s="156">
        <v>13642161.561600002</v>
      </c>
      <c r="AM33" s="40">
        <v>5935303.9013</v>
      </c>
      <c r="AV33" s="31">
        <f t="shared" si="0"/>
        <v>1.2468300929839415E-2</v>
      </c>
      <c r="AW33" s="31">
        <f t="shared" si="1"/>
        <v>74211270921.720337</v>
      </c>
    </row>
    <row r="34" spans="1:49" x14ac:dyDescent="0.25">
      <c r="C34" t="s">
        <v>90</v>
      </c>
      <c r="E34" s="32">
        <v>352622.71428571426</v>
      </c>
      <c r="F34" s="157">
        <v>237648.57142857142</v>
      </c>
      <c r="G34" s="164">
        <v>-0.34786957650811734</v>
      </c>
      <c r="H34" s="33">
        <v>-0.42014423298304726</v>
      </c>
      <c r="I34" s="157">
        <v>25650</v>
      </c>
      <c r="J34" s="156">
        <v>18577</v>
      </c>
      <c r="K34" s="34">
        <v>-0.29282651072124755</v>
      </c>
      <c r="L34" s="157">
        <v>6688886.5000006538</v>
      </c>
      <c r="M34" s="157">
        <v>6909912.5599997044</v>
      </c>
      <c r="N34" s="34">
        <v>8.647454251027753E-3</v>
      </c>
      <c r="O34" s="34">
        <v>0.44476607788295208</v>
      </c>
      <c r="P34" s="158">
        <v>0.3989670433188508</v>
      </c>
      <c r="Q34" s="34">
        <v>0.57099525149415942</v>
      </c>
      <c r="R34" s="159">
        <v>156.73455087719364</v>
      </c>
      <c r="S34" s="159">
        <v>159.57287506055994</v>
      </c>
      <c r="T34" s="34">
        <v>1.6937047425688023E-2</v>
      </c>
      <c r="U34" s="159">
        <v>260.77530214427497</v>
      </c>
      <c r="V34" s="159">
        <v>371.96062658124049</v>
      </c>
      <c r="W34" s="34">
        <v>0.42630835225419617</v>
      </c>
      <c r="X34" s="162">
        <v>13.74747424115845</v>
      </c>
      <c r="Y34" s="165">
        <v>12.792623751336137</v>
      </c>
      <c r="Z34" s="35">
        <v>7.131989252683793E-2</v>
      </c>
      <c r="AA34" s="36">
        <v>7.817004700818736E-2</v>
      </c>
      <c r="AB34" s="25">
        <v>4.160972721352281E-2</v>
      </c>
      <c r="AC34" s="25">
        <v>0.10425334595044995</v>
      </c>
      <c r="AD34" s="37">
        <v>0.8194609599351349</v>
      </c>
      <c r="AE34" s="163">
        <v>1.6635863211838955</v>
      </c>
      <c r="AF34" s="38">
        <v>2.330976529940171</v>
      </c>
      <c r="AG34" s="157">
        <v>13028</v>
      </c>
      <c r="AH34" s="39">
        <v>10192</v>
      </c>
      <c r="AI34" s="157">
        <v>911043</v>
      </c>
      <c r="AJ34" s="39">
        <v>838076</v>
      </c>
      <c r="AK34" s="156">
        <v>29850.355199999998</v>
      </c>
      <c r="AL34" s="156">
        <v>9653422.0735999998</v>
      </c>
      <c r="AM34" s="40">
        <v>4549643.4408</v>
      </c>
      <c r="AV34" s="31">
        <f t="shared" si="0"/>
        <v>-0.29282651072124755</v>
      </c>
      <c r="AW34" s="31">
        <f t="shared" si="1"/>
        <v>93326751957.270432</v>
      </c>
    </row>
    <row r="35" spans="1:49" x14ac:dyDescent="0.25">
      <c r="C35" t="s">
        <v>91</v>
      </c>
      <c r="E35" s="32">
        <v>63076.285714285717</v>
      </c>
      <c r="F35" s="157">
        <v>60016.714285714283</v>
      </c>
      <c r="G35" s="164">
        <v>-8.1325560432492283E-2</v>
      </c>
      <c r="H35" s="33">
        <v>-0.22945466925007507</v>
      </c>
      <c r="I35" s="157">
        <v>4031</v>
      </c>
      <c r="J35" s="156">
        <v>5993</v>
      </c>
      <c r="K35" s="34">
        <v>0.44728355246837004</v>
      </c>
      <c r="L35" s="157">
        <v>2662140.0099999765</v>
      </c>
      <c r="M35" s="157">
        <v>4190585.8099999921</v>
      </c>
      <c r="N35" s="34">
        <v>0.53209053043007914</v>
      </c>
      <c r="O35" s="34">
        <v>0.90168600525981368</v>
      </c>
      <c r="P35" s="158">
        <v>0.37782300563522314</v>
      </c>
      <c r="Q35" s="34">
        <v>0.46667476068220648</v>
      </c>
      <c r="R35" s="159">
        <v>410.89612255023627</v>
      </c>
      <c r="S35" s="159">
        <v>372.92594360086696</v>
      </c>
      <c r="T35" s="34">
        <v>-9.6479679767208837E-2</v>
      </c>
      <c r="U35" s="159">
        <v>660.41677251301826</v>
      </c>
      <c r="V35" s="159">
        <v>699.24675621558356</v>
      </c>
      <c r="W35" s="34">
        <v>5.8597347988284199E-2</v>
      </c>
      <c r="X35" s="162">
        <v>15.647800971045823</v>
      </c>
      <c r="Y35" s="165">
        <v>10.014469261757764</v>
      </c>
      <c r="Z35" s="35">
        <v>6.3558951200728145E-2</v>
      </c>
      <c r="AA35" s="36">
        <v>9.9855516439468064E-2</v>
      </c>
      <c r="AB35" s="25">
        <v>3.3825861014222088E-2</v>
      </c>
      <c r="AC35" s="25">
        <v>8.3174094824901387E-2</v>
      </c>
      <c r="AD35" s="37">
        <v>0.83014030435510666</v>
      </c>
      <c r="AE35" s="163">
        <v>1.6046284676960427</v>
      </c>
      <c r="AF35" s="38">
        <v>1.8750284559552377</v>
      </c>
      <c r="AG35" s="157">
        <v>3071</v>
      </c>
      <c r="AH35" s="39">
        <v>4009</v>
      </c>
      <c r="AI35" s="157">
        <v>911043</v>
      </c>
      <c r="AJ35" s="39">
        <v>838076</v>
      </c>
      <c r="AK35" s="156">
        <v>4877.2584000000006</v>
      </c>
      <c r="AL35" s="156">
        <v>3160391.1097999997</v>
      </c>
      <c r="AM35" s="40">
        <v>1572015.6500999997</v>
      </c>
      <c r="AV35" s="31">
        <f t="shared" si="0"/>
        <v>0.44728355246837004</v>
      </c>
      <c r="AW35" s="31">
        <f t="shared" si="1"/>
        <v>30107510603.430138</v>
      </c>
    </row>
    <row r="36" spans="1:49" x14ac:dyDescent="0.25">
      <c r="C36" t="s">
        <v>92</v>
      </c>
      <c r="E36" s="32">
        <v>97585.142857142855</v>
      </c>
      <c r="F36" s="157">
        <v>73462</v>
      </c>
      <c r="G36" s="164">
        <v>-0.27405372012132989</v>
      </c>
      <c r="H36" s="33">
        <v>-8.7326098567729882E-2</v>
      </c>
      <c r="I36" s="157">
        <v>8601</v>
      </c>
      <c r="J36" s="156">
        <v>7666</v>
      </c>
      <c r="K36" s="34">
        <v>-0.13649575630740607</v>
      </c>
      <c r="L36" s="157">
        <v>2787441.0599999456</v>
      </c>
      <c r="M36" s="157">
        <v>3994886.25999997</v>
      </c>
      <c r="N36" s="34">
        <v>0.395365730172623</v>
      </c>
      <c r="O36" s="34">
        <v>0.8383930707369327</v>
      </c>
      <c r="P36" s="158">
        <v>0.48981262405597636</v>
      </c>
      <c r="Q36" s="34">
        <v>0.64344191866929257</v>
      </c>
      <c r="R36" s="159">
        <v>165.34324380885943</v>
      </c>
      <c r="S36" s="159">
        <v>185.80863292460148</v>
      </c>
      <c r="T36" s="34">
        <v>0.12336570133704527</v>
      </c>
      <c r="U36" s="159">
        <v>324.08336937564769</v>
      </c>
      <c r="V36" s="159">
        <v>521.11743542916383</v>
      </c>
      <c r="W36" s="34">
        <v>0.61593384209165625</v>
      </c>
      <c r="X36" s="162">
        <v>11.345790356603052</v>
      </c>
      <c r="Y36" s="165">
        <v>9.5828332898512922</v>
      </c>
      <c r="Z36" s="35">
        <v>8.7183011360261992E-2</v>
      </c>
      <c r="AA36" s="36">
        <v>0.10435327107892516</v>
      </c>
      <c r="AB36" s="25">
        <v>9.2905380834719484E-2</v>
      </c>
      <c r="AC36" s="25">
        <v>0.18643825220730473</v>
      </c>
      <c r="AD36" s="37">
        <v>0.80657087023172613</v>
      </c>
      <c r="AE36" s="163">
        <v>1.9622599276619741</v>
      </c>
      <c r="AF36" s="38">
        <v>2.8045921614450817</v>
      </c>
      <c r="AG36" s="157">
        <v>4421</v>
      </c>
      <c r="AH36" s="39">
        <v>4661</v>
      </c>
      <c r="AI36" s="157">
        <v>911043</v>
      </c>
      <c r="AJ36" s="39">
        <v>838076</v>
      </c>
      <c r="AK36" s="156">
        <v>10423.839599999999</v>
      </c>
      <c r="AL36" s="156">
        <v>4185384.4949999992</v>
      </c>
      <c r="AM36" s="40">
        <v>2289677.2743999991</v>
      </c>
      <c r="AV36" s="31">
        <f t="shared" si="0"/>
        <v>-0.13649575630740607</v>
      </c>
      <c r="AW36" s="31">
        <f t="shared" si="1"/>
        <v>38512293723.660179</v>
      </c>
    </row>
    <row r="37" spans="1:49" x14ac:dyDescent="0.25">
      <c r="B37" t="s">
        <v>93</v>
      </c>
      <c r="C37" t="s">
        <v>94</v>
      </c>
      <c r="E37" s="32">
        <v>573406.42857142852</v>
      </c>
      <c r="F37" s="157">
        <v>424448</v>
      </c>
      <c r="G37" s="164">
        <v>-0.28112371055683505</v>
      </c>
      <c r="H37" s="33">
        <v>-0.44834411304229571</v>
      </c>
      <c r="I37" s="157">
        <v>29789</v>
      </c>
      <c r="J37" s="156">
        <v>35675</v>
      </c>
      <c r="K37" s="34">
        <v>0.15512437476921015</v>
      </c>
      <c r="L37" s="157">
        <v>5767557.8100004345</v>
      </c>
      <c r="M37" s="157">
        <v>6589524.3699995996</v>
      </c>
      <c r="N37" s="34">
        <v>0.10488288456344597</v>
      </c>
      <c r="O37" s="34">
        <v>0.28129295446897551</v>
      </c>
      <c r="P37" s="158">
        <v>0.44340666608771734</v>
      </c>
      <c r="Q37" s="34">
        <v>0.51324078493388936</v>
      </c>
      <c r="R37" s="159">
        <v>107.76408170801187</v>
      </c>
      <c r="S37" s="159">
        <v>89.909228030834257</v>
      </c>
      <c r="T37" s="34">
        <v>-0.16515753169766079</v>
      </c>
      <c r="U37" s="159">
        <v>193.61367652490634</v>
      </c>
      <c r="V37" s="159">
        <v>184.70986320951926</v>
      </c>
      <c r="W37" s="34">
        <v>-4.3494442073220285E-2</v>
      </c>
      <c r="X37" s="162">
        <v>19.2489317725143</v>
      </c>
      <c r="Y37" s="165">
        <v>11.897631394533988</v>
      </c>
      <c r="Z37" s="35">
        <v>5.1560382208824022E-2</v>
      </c>
      <c r="AA37" s="36">
        <v>8.4050343033775635E-2</v>
      </c>
      <c r="AB37" s="25">
        <v>3.5778651754140307E-2</v>
      </c>
      <c r="AC37" s="25">
        <v>8.3836111946243061E-2</v>
      </c>
      <c r="AD37" s="37">
        <v>0.83618672400406779</v>
      </c>
      <c r="AE37" s="163">
        <v>1.7978531535654718</v>
      </c>
      <c r="AF37" s="38">
        <v>2.0544038387936467</v>
      </c>
      <c r="AG37" s="157">
        <v>11575</v>
      </c>
      <c r="AH37" s="39">
        <v>12569</v>
      </c>
      <c r="AI37" s="157">
        <v>911043</v>
      </c>
      <c r="AJ37" s="39">
        <v>838076</v>
      </c>
      <c r="AK37" s="156">
        <v>37369.561200000011</v>
      </c>
      <c r="AL37" s="156">
        <v>6903057.067400001</v>
      </c>
      <c r="AM37" s="40">
        <v>3326929.0184000013</v>
      </c>
      <c r="AV37" s="31">
        <f t="shared" si="0"/>
        <v>0.15512437476921015</v>
      </c>
      <c r="AW37" s="31">
        <f t="shared" si="1"/>
        <v>179223334019.25082</v>
      </c>
    </row>
    <row r="38" spans="1:49" x14ac:dyDescent="0.25">
      <c r="C38" t="s">
        <v>98</v>
      </c>
      <c r="E38" s="32">
        <v>118523.85714285714</v>
      </c>
      <c r="F38" s="157">
        <v>74425.71428571429</v>
      </c>
      <c r="G38" s="164">
        <v>-0.39156794231902681</v>
      </c>
      <c r="H38" s="33">
        <v>-0.37222878171341323</v>
      </c>
      <c r="I38" s="157">
        <v>7269</v>
      </c>
      <c r="J38" s="156">
        <v>7034</v>
      </c>
      <c r="K38" s="34">
        <v>-5.5303342963268665E-2</v>
      </c>
      <c r="L38" s="157">
        <v>5023778.5100000231</v>
      </c>
      <c r="M38" s="157">
        <v>5396483.1999996938</v>
      </c>
      <c r="N38" s="34">
        <v>4.8541218430367961E-2</v>
      </c>
      <c r="O38" s="34">
        <v>7.8572271624358425E-2</v>
      </c>
      <c r="P38" s="158">
        <v>0.59283881127952431</v>
      </c>
      <c r="Q38" s="34">
        <v>0.60945188155128693</v>
      </c>
      <c r="R38" s="159">
        <v>281.39876599256979</v>
      </c>
      <c r="S38" s="159">
        <v>299.62842763718658</v>
      </c>
      <c r="T38" s="34">
        <v>6.3637839216994507E-2</v>
      </c>
      <c r="U38" s="159">
        <v>691.12374604485115</v>
      </c>
      <c r="V38" s="159">
        <v>767.1997725333656</v>
      </c>
      <c r="W38" s="34">
        <v>0.109923710029175</v>
      </c>
      <c r="X38" s="162">
        <v>16.305386867912663</v>
      </c>
      <c r="Y38" s="165">
        <v>10.580852187334985</v>
      </c>
      <c r="Z38" s="35">
        <v>6.0403746546657776E-2</v>
      </c>
      <c r="AA38" s="36">
        <v>9.4510345886598332E-2</v>
      </c>
      <c r="AB38" s="25">
        <v>7.9066514375154565E-2</v>
      </c>
      <c r="AC38" s="25">
        <v>0.13607118609151342</v>
      </c>
      <c r="AD38" s="37">
        <v>0.80253173019036195</v>
      </c>
      <c r="AE38" s="163">
        <v>2.4563473300452277</v>
      </c>
      <c r="AF38" s="38">
        <v>2.5605039501203497</v>
      </c>
      <c r="AG38" s="157">
        <v>5409</v>
      </c>
      <c r="AH38" s="39">
        <v>5451</v>
      </c>
      <c r="AI38" s="157">
        <v>911043</v>
      </c>
      <c r="AJ38" s="39">
        <v>838076</v>
      </c>
      <c r="AK38" s="156">
        <v>8411.1392000000014</v>
      </c>
      <c r="AL38" s="156">
        <v>5374106.282300001</v>
      </c>
      <c r="AM38" s="40">
        <v>2966413.2233000002</v>
      </c>
      <c r="AV38" s="31">
        <f>SUM(AV16:AV37)</f>
        <v>0.94447199514851254</v>
      </c>
      <c r="AW38" s="31">
        <f>SUM(AW16:AW37)</f>
        <v>2793738856849.543</v>
      </c>
    </row>
    <row r="39" spans="1:49" x14ac:dyDescent="0.25">
      <c r="C39" t="s">
        <v>100</v>
      </c>
      <c r="E39" s="32">
        <v>60709.571428571428</v>
      </c>
      <c r="F39" s="157">
        <v>32819</v>
      </c>
      <c r="G39" s="164">
        <v>-0.47809829939736492</v>
      </c>
      <c r="H39" s="33">
        <v>-0.46805282871322607</v>
      </c>
      <c r="I39" s="157">
        <v>6996</v>
      </c>
      <c r="J39" s="156">
        <v>8750</v>
      </c>
      <c r="K39" s="34">
        <v>0.14851343624928526</v>
      </c>
      <c r="L39" s="157">
        <v>2757796.2400000035</v>
      </c>
      <c r="M39" s="157">
        <v>3307256.1999999923</v>
      </c>
      <c r="N39" s="34">
        <v>0.14614730564720246</v>
      </c>
      <c r="O39" s="34">
        <v>-0.43309412305360362</v>
      </c>
      <c r="P39" s="158">
        <v>0.25140372952281681</v>
      </c>
      <c r="Q39" s="34">
        <v>0.1147126672557173</v>
      </c>
      <c r="R39" s="159">
        <v>295.09376500857655</v>
      </c>
      <c r="S39" s="159">
        <v>334.61394514285541</v>
      </c>
      <c r="T39" s="34">
        <v>0.16731416297645829</v>
      </c>
      <c r="U39" s="159">
        <v>394.19614636935444</v>
      </c>
      <c r="V39" s="159">
        <v>377.97213714285624</v>
      </c>
      <c r="W39" s="34">
        <v>-2.0601679766237835E-3</v>
      </c>
      <c r="X39" s="162">
        <v>8.6777546353018042</v>
      </c>
      <c r="Y39" s="165">
        <v>3.7507428571428569</v>
      </c>
      <c r="Z39" s="35">
        <v>0.11123641261786173</v>
      </c>
      <c r="AA39" s="36">
        <v>0.26661385173222829</v>
      </c>
      <c r="AB39" s="25">
        <v>3.8174737250724108E-2</v>
      </c>
      <c r="AC39" s="25">
        <v>3.9573703242568085E-2</v>
      </c>
      <c r="AD39" s="37">
        <v>0.89732156607193869</v>
      </c>
      <c r="AE39" s="163">
        <v>1.3352786451819938</v>
      </c>
      <c r="AF39" s="38">
        <v>1.1295767633996547</v>
      </c>
      <c r="AG39" s="157">
        <v>5344</v>
      </c>
      <c r="AH39" s="39">
        <v>4987</v>
      </c>
      <c r="AI39" s="157">
        <v>911043</v>
      </c>
      <c r="AJ39" s="39">
        <v>838076</v>
      </c>
      <c r="AK39" s="156">
        <v>6824.3519000000015</v>
      </c>
      <c r="AL39" s="156">
        <v>3045379.8932999996</v>
      </c>
      <c r="AM39" s="40">
        <v>1104049.7028000001</v>
      </c>
    </row>
    <row r="40" spans="1:49" x14ac:dyDescent="0.25">
      <c r="C40" t="s">
        <v>95</v>
      </c>
      <c r="E40" s="32">
        <v>64729.285714285717</v>
      </c>
      <c r="F40" s="157">
        <v>42194.857142857145</v>
      </c>
      <c r="G40" s="164">
        <v>-0.37066684322618371</v>
      </c>
      <c r="H40" s="33">
        <v>-0.65154440439464045</v>
      </c>
      <c r="I40" s="157">
        <v>2864</v>
      </c>
      <c r="J40" s="156">
        <v>4812</v>
      </c>
      <c r="K40" s="34">
        <v>0.6225558659217878</v>
      </c>
      <c r="L40" s="157">
        <v>1565991.0400000024</v>
      </c>
      <c r="M40" s="157">
        <v>2042097.399999894</v>
      </c>
      <c r="N40" s="34">
        <v>0.25966824816564738</v>
      </c>
      <c r="O40" s="34">
        <v>0.63740016794030652</v>
      </c>
      <c r="P40" s="158">
        <v>0.4809021704236553</v>
      </c>
      <c r="Q40" s="34">
        <v>0.62428679944451648</v>
      </c>
      <c r="R40" s="159">
        <v>283.83468924581143</v>
      </c>
      <c r="S40" s="159">
        <v>159.44367206982369</v>
      </c>
      <c r="T40" s="34">
        <v>-0.4393227481715738</v>
      </c>
      <c r="U40" s="159">
        <v>546.78458100558737</v>
      </c>
      <c r="V40" s="159">
        <v>424.37601828759227</v>
      </c>
      <c r="W40" s="34">
        <v>-0.22365184791340342</v>
      </c>
      <c r="X40" s="162">
        <v>22.601007581803671</v>
      </c>
      <c r="Y40" s="165">
        <v>8.7686735542097143</v>
      </c>
      <c r="Z40" s="35">
        <v>4.3929360767096581E-2</v>
      </c>
      <c r="AA40" s="36">
        <v>0.11404233420457469</v>
      </c>
      <c r="AB40" s="25">
        <v>3.779300990793915E-2</v>
      </c>
      <c r="AC40" s="25">
        <v>0.17766740714871862</v>
      </c>
      <c r="AD40" s="37">
        <v>0.80166681652342542</v>
      </c>
      <c r="AE40" s="163">
        <v>1.9299016074838244</v>
      </c>
      <c r="AF40" s="38">
        <v>2.6616046455688074</v>
      </c>
      <c r="AG40" s="157">
        <v>2410</v>
      </c>
      <c r="AH40" s="39">
        <v>4121</v>
      </c>
      <c r="AI40" s="157">
        <v>911043</v>
      </c>
      <c r="AJ40" s="39">
        <v>838076</v>
      </c>
      <c r="AK40" s="156">
        <v>6829.8478999999988</v>
      </c>
      <c r="AL40" s="156">
        <v>2523371.4222999997</v>
      </c>
      <c r="AM40" s="40">
        <v>1186511.1301999998</v>
      </c>
    </row>
    <row r="41" spans="1:49" x14ac:dyDescent="0.25">
      <c r="C41" t="s">
        <v>99</v>
      </c>
      <c r="E41" s="32">
        <v>73135.428571428565</v>
      </c>
      <c r="F41" s="157">
        <v>10713.285714285714</v>
      </c>
      <c r="G41" s="164">
        <v>-0.86868197551313808</v>
      </c>
      <c r="H41" s="33">
        <v>-0.84607651720493426</v>
      </c>
      <c r="I41" s="157">
        <v>1053</v>
      </c>
      <c r="J41" s="156">
        <v>816</v>
      </c>
      <c r="K41" s="34">
        <v>-0.24596391263057926</v>
      </c>
      <c r="L41" s="157">
        <v>683416.01999999711</v>
      </c>
      <c r="M41" s="157">
        <v>471110.36000000051</v>
      </c>
      <c r="N41" s="34">
        <v>-0.33405846997850153</v>
      </c>
      <c r="O41" s="34">
        <v>-0.4474397242327709</v>
      </c>
      <c r="P41" s="158">
        <v>0.50882149353185913</v>
      </c>
      <c r="Q41" s="34">
        <v>0.42147321914126595</v>
      </c>
      <c r="R41" s="159">
        <v>318.78372269705568</v>
      </c>
      <c r="S41" s="159">
        <v>334.00730392156817</v>
      </c>
      <c r="T41" s="34">
        <v>3.8936224148372833E-2</v>
      </c>
      <c r="U41" s="159">
        <v>649.01806267805989</v>
      </c>
      <c r="V41" s="159">
        <v>577.34112745098105</v>
      </c>
      <c r="W41" s="34">
        <v>-0.11683069129390677</v>
      </c>
      <c r="X41" s="162">
        <v>69.454348121014789</v>
      </c>
      <c r="Y41" s="165">
        <v>13.129026610644257</v>
      </c>
      <c r="Z41" s="35">
        <v>1.432098385620563E-2</v>
      </c>
      <c r="AA41" s="36">
        <v>7.6167108930166816E-2</v>
      </c>
      <c r="AB41" s="25">
        <v>1.677407741158626E-2</v>
      </c>
      <c r="AC41" s="25">
        <v>5.5070019834061915E-2</v>
      </c>
      <c r="AD41" s="37">
        <v>0.80229701649981955</v>
      </c>
      <c r="AE41" s="163">
        <v>2.0364264769520815</v>
      </c>
      <c r="AF41" s="38">
        <v>1.7285284503435672</v>
      </c>
      <c r="AG41" s="157">
        <v>792</v>
      </c>
      <c r="AH41" s="39">
        <v>636</v>
      </c>
      <c r="AI41" s="157">
        <v>911043</v>
      </c>
      <c r="AJ41" s="39">
        <v>838076</v>
      </c>
      <c r="AK41" s="156">
        <v>3101.9802999999993</v>
      </c>
      <c r="AL41" s="156">
        <v>1962754.7170000002</v>
      </c>
      <c r="AM41" s="40">
        <v>914021.97179999994</v>
      </c>
    </row>
    <row r="42" spans="1:49" x14ac:dyDescent="0.25">
      <c r="C42" t="s">
        <v>97</v>
      </c>
      <c r="E42" s="32"/>
      <c r="F42" s="157"/>
      <c r="G42" s="164"/>
      <c r="H42" s="33"/>
      <c r="I42" s="157"/>
      <c r="J42" s="156"/>
      <c r="K42" s="34"/>
      <c r="L42" s="157"/>
      <c r="M42" s="157"/>
      <c r="N42" s="34"/>
      <c r="O42" s="34"/>
      <c r="P42" s="158"/>
      <c r="Q42" s="34"/>
      <c r="R42" s="159"/>
      <c r="S42" s="159"/>
      <c r="T42" s="34"/>
      <c r="U42" s="159"/>
      <c r="V42" s="159"/>
      <c r="W42" s="34"/>
      <c r="X42" s="162"/>
      <c r="Y42" s="165"/>
      <c r="Z42" s="35"/>
      <c r="AA42" s="36"/>
      <c r="AB42" s="25"/>
      <c r="AC42" s="25"/>
      <c r="AD42" s="37"/>
      <c r="AE42" s="163">
        <v>1</v>
      </c>
      <c r="AF42" s="38">
        <v>1</v>
      </c>
      <c r="AG42" s="157"/>
      <c r="AH42" s="39"/>
      <c r="AI42" s="157">
        <v>911043</v>
      </c>
      <c r="AJ42" s="39">
        <v>838076</v>
      </c>
      <c r="AK42" s="156"/>
      <c r="AL42" s="156"/>
      <c r="AM42" s="40"/>
    </row>
    <row r="43" spans="1:49" x14ac:dyDescent="0.25">
      <c r="A43" t="s">
        <v>101</v>
      </c>
      <c r="E43" s="32">
        <v>1587798</v>
      </c>
      <c r="F43" s="157">
        <v>1149292.142857143</v>
      </c>
      <c r="G43" s="164">
        <v>-0.30080499624547419</v>
      </c>
      <c r="H43" s="33">
        <v>-0.34113566560777386</v>
      </c>
      <c r="I43" s="157">
        <v>100449</v>
      </c>
      <c r="J43" s="156">
        <v>104095</v>
      </c>
      <c r="K43" s="34">
        <v>7.6655815388892989E-4</v>
      </c>
      <c r="L43" s="157">
        <v>39986629.619989969</v>
      </c>
      <c r="M43" s="157">
        <v>47136455.629996821</v>
      </c>
      <c r="N43" s="34">
        <v>0.14442366998391742</v>
      </c>
      <c r="O43" s="34">
        <v>0.32617944948654709</v>
      </c>
      <c r="P43" s="158">
        <v>0.43746950383748234</v>
      </c>
      <c r="Q43" s="34">
        <v>0.50480285337479802</v>
      </c>
      <c r="R43" s="159">
        <v>223.93153341496458</v>
      </c>
      <c r="S43" s="159">
        <v>224.23592228252897</v>
      </c>
      <c r="T43" s="34">
        <v>2.3072541112394429E-3</v>
      </c>
      <c r="U43" s="159">
        <v>398.07892184083437</v>
      </c>
      <c r="V43" s="159">
        <v>452.8215152504618</v>
      </c>
      <c r="W43" s="34">
        <v>0.1435470746494889</v>
      </c>
      <c r="X43" s="162">
        <v>15.80700654063256</v>
      </c>
      <c r="Y43" s="165">
        <v>11.040800642270455</v>
      </c>
      <c r="Z43" s="35">
        <v>6.2500991275555084E-2</v>
      </c>
      <c r="AA43" s="36">
        <v>9.0573141604552862E-2</v>
      </c>
      <c r="AB43" s="25">
        <v>4.5495829030331086E-2</v>
      </c>
      <c r="AC43" s="25">
        <v>9.093590526437606E-2</v>
      </c>
      <c r="AD43" s="37">
        <v>0.82885613713389228</v>
      </c>
      <c r="AE43" s="163">
        <v>1.7780153070389582</v>
      </c>
      <c r="AF43" s="38">
        <v>2.0193977425254963</v>
      </c>
      <c r="AG43" s="157">
        <v>44232</v>
      </c>
      <c r="AH43" s="39">
        <v>45374</v>
      </c>
      <c r="AI43" s="157">
        <v>911043</v>
      </c>
      <c r="AJ43" s="39">
        <v>838076</v>
      </c>
      <c r="AK43" s="156">
        <v>122409.62049999995</v>
      </c>
      <c r="AL43" s="156">
        <v>50450028.622300006</v>
      </c>
      <c r="AM43" s="40">
        <v>23844565.313100006</v>
      </c>
    </row>
    <row r="44" spans="1:49" x14ac:dyDescent="0.25">
      <c r="A44" t="s">
        <v>102</v>
      </c>
      <c r="E44" s="41">
        <v>5538882.1428571427</v>
      </c>
      <c r="F44" s="42">
        <v>3916758.0714285714</v>
      </c>
      <c r="G44" s="43">
        <v>-0.31532515263845784</v>
      </c>
      <c r="H44" s="44">
        <v>-0.1385808841213142</v>
      </c>
      <c r="I44" s="42">
        <v>321667</v>
      </c>
      <c r="J44" s="45">
        <v>340805</v>
      </c>
      <c r="K44" s="46">
        <v>2.2902566940345093E-2</v>
      </c>
      <c r="L44" s="42">
        <v>105677350.20999964</v>
      </c>
      <c r="M44" s="42">
        <v>150034487.76999986</v>
      </c>
      <c r="N44" s="46">
        <v>0.37761224075643196</v>
      </c>
      <c r="O44" s="46">
        <v>0.65927588109561031</v>
      </c>
      <c r="P44" s="47">
        <v>0.43867566160466759</v>
      </c>
      <c r="Q44" s="46">
        <v>0.5275480921515594</v>
      </c>
      <c r="R44" s="48">
        <v>184.41204316886675</v>
      </c>
      <c r="S44" s="48">
        <v>207.99014096037297</v>
      </c>
      <c r="T44" s="46">
        <v>0.13157576922125003</v>
      </c>
      <c r="U44" s="48">
        <v>328.53028196861862</v>
      </c>
      <c r="V44" s="48">
        <v>440.23558272325812</v>
      </c>
      <c r="W44" s="46">
        <v>0.34676780104001215</v>
      </c>
      <c r="X44" s="49">
        <v>17.219304880068961</v>
      </c>
      <c r="Y44" s="50">
        <v>11.4926661035741</v>
      </c>
      <c r="Z44" s="51">
        <v>5.7529509402441087E-2</v>
      </c>
      <c r="AA44" s="52">
        <v>8.7012011920281088E-2</v>
      </c>
      <c r="AB44" s="25">
        <v>4.6729344039730995E-2</v>
      </c>
      <c r="AC44" s="25">
        <v>9.0408997358870799E-2</v>
      </c>
      <c r="AD44" s="53">
        <v>0.82196118742604907</v>
      </c>
      <c r="AE44" s="54">
        <v>1.7819493295618565</v>
      </c>
      <c r="AF44" s="55">
        <v>2.1166175506709846</v>
      </c>
      <c r="AG44" s="42">
        <v>122468</v>
      </c>
      <c r="AH44" s="56">
        <v>128870</v>
      </c>
      <c r="AI44" s="42">
        <v>911043</v>
      </c>
      <c r="AJ44" s="56">
        <v>838076</v>
      </c>
      <c r="AK44" s="45">
        <v>338420.52050000004</v>
      </c>
      <c r="AL44" s="45">
        <v>131710746.0871</v>
      </c>
      <c r="AM44" s="57">
        <v>62421515.716300011</v>
      </c>
    </row>
    <row r="45" spans="1:49" x14ac:dyDescent="0.25"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49" x14ac:dyDescent="0.25"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49" x14ac:dyDescent="0.25"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49" x14ac:dyDescent="0.25"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3">
    <mergeCell ref="S13:U13"/>
    <mergeCell ref="C13:F13"/>
    <mergeCell ref="G13:I13"/>
    <mergeCell ref="J13:L13"/>
    <mergeCell ref="N13:O13"/>
    <mergeCell ref="P13:R13"/>
    <mergeCell ref="AI13:AK13"/>
    <mergeCell ref="V13:W13"/>
    <mergeCell ref="X13:Y13"/>
    <mergeCell ref="Z13:AA13"/>
    <mergeCell ref="AC13:AD13"/>
    <mergeCell ref="AE13:AF13"/>
    <mergeCell ref="AG13:AH13"/>
  </mergeCells>
  <pageMargins left="0.7" right="0.7" top="0.75" bottom="0.75" header="0.3" footer="0.3"/>
  <pageSetup paperSize="9" orientation="portrait" r:id="rId2"/>
  <customProperties>
    <customPr name="_pios_id" r:id="rId3"/>
  </customPropertie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CC1E-9254-4FD1-BE71-F689907B013F}">
  <sheetPr>
    <tabColor rgb="FFFF0000"/>
  </sheetPr>
  <dimension ref="A2:AF641"/>
  <sheetViews>
    <sheetView showGridLines="0" zoomScale="70" zoomScaleNormal="70" workbookViewId="0">
      <pane ySplit="14" topLeftCell="A129" activePane="bottomLeft" state="frozen"/>
      <selection pane="bottomLeft" activeCell="I9" sqref="I9"/>
    </sheetView>
  </sheetViews>
  <sheetFormatPr defaultColWidth="22.5703125" defaultRowHeight="15" x14ac:dyDescent="0.25"/>
  <cols>
    <col min="1" max="1" width="26.85546875" customWidth="1"/>
    <col min="2" max="2" width="24.42578125" bestFit="1" customWidth="1"/>
    <col min="3" max="3" width="10.5703125" customWidth="1"/>
    <col min="4" max="4" width="11.5703125" customWidth="1"/>
    <col min="5" max="6" width="9" bestFit="1" customWidth="1"/>
    <col min="7" max="8" width="11.5703125" bestFit="1" customWidth="1"/>
    <col min="9" max="10" width="11.85546875" bestFit="1" customWidth="1"/>
    <col min="11" max="11" width="10.85546875" customWidth="1"/>
    <col min="12" max="12" width="9.5703125" bestFit="1" customWidth="1"/>
    <col min="13" max="13" width="9.42578125" bestFit="1" customWidth="1"/>
    <col min="14" max="14" width="8" bestFit="1" customWidth="1"/>
    <col min="15" max="16" width="8.28515625" bestFit="1" customWidth="1"/>
    <col min="17" max="17" width="12.5703125" customWidth="1"/>
    <col min="18" max="18" width="8.7109375" bestFit="1" customWidth="1"/>
    <col min="19" max="21" width="9.42578125" bestFit="1" customWidth="1"/>
    <col min="22" max="22" width="8.140625" bestFit="1" customWidth="1"/>
    <col min="23" max="24" width="9.140625" bestFit="1" customWidth="1"/>
    <col min="25" max="25" width="10.28515625" bestFit="1" customWidth="1"/>
    <col min="26" max="26" width="9.85546875" bestFit="1" customWidth="1"/>
    <col min="27" max="27" width="8.140625" bestFit="1" customWidth="1"/>
    <col min="28" max="28" width="8.28515625" customWidth="1"/>
    <col min="29" max="29" width="8.7109375" customWidth="1"/>
    <col min="30" max="32" width="14.140625" customWidth="1"/>
  </cols>
  <sheetData>
    <row r="2" spans="1:32" x14ac:dyDescent="0.25">
      <c r="A2" s="125" t="s">
        <v>0</v>
      </c>
      <c r="B2" t="s" vm="6">
        <v>1</v>
      </c>
    </row>
    <row r="3" spans="1:32" x14ac:dyDescent="0.25">
      <c r="A3" s="126" t="s">
        <v>103</v>
      </c>
      <c r="B3" t="s" vm="7">
        <v>3</v>
      </c>
    </row>
    <row r="4" spans="1:32" x14ac:dyDescent="0.25">
      <c r="A4" s="125" t="s">
        <v>797</v>
      </c>
      <c r="B4" t="s" vm="28">
        <v>134</v>
      </c>
    </row>
    <row r="5" spans="1:32" x14ac:dyDescent="0.25">
      <c r="A5" s="125" t="s">
        <v>104</v>
      </c>
      <c r="B5" t="s" vm="8">
        <v>3</v>
      </c>
    </row>
    <row r="6" spans="1:32" x14ac:dyDescent="0.25">
      <c r="A6" s="125" t="s">
        <v>105</v>
      </c>
      <c r="B6" t="s" vm="9">
        <v>106</v>
      </c>
    </row>
    <row r="7" spans="1:32" x14ac:dyDescent="0.25">
      <c r="A7" s="125" t="s">
        <v>4</v>
      </c>
      <c r="B7" t="s" vm="29">
        <v>5</v>
      </c>
    </row>
    <row r="8" spans="1:32" x14ac:dyDescent="0.25">
      <c r="A8" s="126" t="s">
        <v>107</v>
      </c>
      <c r="B8" t="s" vm="27">
        <v>194</v>
      </c>
    </row>
    <row r="9" spans="1:32" x14ac:dyDescent="0.25">
      <c r="A9" s="125" t="s">
        <v>108</v>
      </c>
      <c r="B9" t="s" vm="10">
        <v>3</v>
      </c>
    </row>
    <row r="10" spans="1:32" x14ac:dyDescent="0.25">
      <c r="A10" s="125" t="s">
        <v>723</v>
      </c>
      <c r="B10" t="s" vm="25">
        <v>3</v>
      </c>
    </row>
    <row r="11" spans="1:32" x14ac:dyDescent="0.25">
      <c r="A11" s="125" t="s">
        <v>7</v>
      </c>
      <c r="B11" t="s" vm="26">
        <v>8</v>
      </c>
    </row>
    <row r="12" spans="1:32" x14ac:dyDescent="0.25">
      <c r="C12" s="58" t="s">
        <v>109</v>
      </c>
      <c r="D12" s="59"/>
      <c r="E12" s="60" t="s">
        <v>110</v>
      </c>
      <c r="F12" s="61"/>
      <c r="G12" s="58" t="s">
        <v>111</v>
      </c>
      <c r="H12" s="59"/>
      <c r="I12" s="60" t="s">
        <v>112</v>
      </c>
      <c r="J12" s="61"/>
      <c r="K12" s="58" t="s">
        <v>113</v>
      </c>
      <c r="L12" s="59"/>
      <c r="M12" s="60" t="s">
        <v>114</v>
      </c>
      <c r="N12" s="61"/>
      <c r="O12" s="58" t="s">
        <v>115</v>
      </c>
      <c r="P12" s="59"/>
      <c r="Q12" s="60" t="s">
        <v>116</v>
      </c>
      <c r="R12" s="61"/>
      <c r="S12" s="58" t="s">
        <v>117</v>
      </c>
      <c r="T12" s="59"/>
      <c r="U12" s="60" t="s">
        <v>118</v>
      </c>
      <c r="V12" s="62"/>
      <c r="W12" s="62"/>
      <c r="X12" s="61"/>
      <c r="Y12" s="137" t="s">
        <v>798</v>
      </c>
      <c r="Z12" s="138"/>
      <c r="AA12" s="138"/>
      <c r="AB12" s="138"/>
      <c r="AC12" s="138"/>
    </row>
    <row r="13" spans="1:32" x14ac:dyDescent="0.25">
      <c r="C13" s="125" t="s">
        <v>24</v>
      </c>
    </row>
    <row r="14" spans="1:32" ht="90" x14ac:dyDescent="0.25">
      <c r="A14" s="125" t="s">
        <v>119</v>
      </c>
      <c r="B14" s="125" t="s">
        <v>203</v>
      </c>
      <c r="C14" s="2" t="s">
        <v>58</v>
      </c>
      <c r="D14" s="2" t="s">
        <v>57</v>
      </c>
      <c r="E14" s="63" t="s">
        <v>34</v>
      </c>
      <c r="F14" s="2" t="s">
        <v>33</v>
      </c>
      <c r="G14" s="64" t="s">
        <v>120</v>
      </c>
      <c r="H14" s="2" t="s">
        <v>121</v>
      </c>
      <c r="I14" s="63" t="s">
        <v>122</v>
      </c>
      <c r="J14" s="63" t="s">
        <v>123</v>
      </c>
      <c r="K14" s="2" t="s">
        <v>30</v>
      </c>
      <c r="L14" s="2" t="s">
        <v>29</v>
      </c>
      <c r="M14" s="2" t="s">
        <v>124</v>
      </c>
      <c r="N14" s="2" t="s">
        <v>125</v>
      </c>
      <c r="O14" s="2" t="s">
        <v>126</v>
      </c>
      <c r="P14" s="2" t="s">
        <v>127</v>
      </c>
      <c r="Q14" s="2" t="s">
        <v>128</v>
      </c>
      <c r="R14" s="2" t="s">
        <v>129</v>
      </c>
      <c r="S14" s="2" t="s">
        <v>130</v>
      </c>
      <c r="T14" s="2" t="s">
        <v>131</v>
      </c>
      <c r="U14" s="2" t="s">
        <v>31</v>
      </c>
      <c r="V14" s="2" t="s">
        <v>35</v>
      </c>
      <c r="W14" s="2" t="s">
        <v>132</v>
      </c>
      <c r="X14" s="2" t="s">
        <v>133</v>
      </c>
      <c r="Y14" s="2" t="s">
        <v>198</v>
      </c>
      <c r="Z14" s="2" t="s">
        <v>199</v>
      </c>
      <c r="AA14" s="2" t="s">
        <v>200</v>
      </c>
      <c r="AB14" s="2" t="s">
        <v>201</v>
      </c>
      <c r="AC14" s="2" t="s">
        <v>202</v>
      </c>
      <c r="AD14" s="135" t="s">
        <v>799</v>
      </c>
      <c r="AE14" s="135" t="s">
        <v>801</v>
      </c>
      <c r="AF14" s="135" t="s">
        <v>802</v>
      </c>
    </row>
    <row r="15" spans="1:32" x14ac:dyDescent="0.25">
      <c r="A15" t="s">
        <v>196</v>
      </c>
      <c r="B15" t="s">
        <v>204</v>
      </c>
      <c r="C15" s="31">
        <v>14354</v>
      </c>
      <c r="D15" s="31">
        <v>10943</v>
      </c>
      <c r="E15" s="65">
        <v>20113</v>
      </c>
      <c r="F15" s="31">
        <v>15141</v>
      </c>
      <c r="G15" s="66">
        <v>9185312.7500027195</v>
      </c>
      <c r="H15" s="31">
        <v>4884777.0100009646</v>
      </c>
      <c r="I15" s="65">
        <v>5478203.0800002431</v>
      </c>
      <c r="J15" s="65">
        <v>2508288.1900011487</v>
      </c>
      <c r="K15" s="31">
        <v>192421.28571428571</v>
      </c>
      <c r="L15" s="31">
        <v>170901.71428571429</v>
      </c>
      <c r="M15" s="67">
        <v>9.5670106753982846</v>
      </c>
      <c r="N15" s="67">
        <v>11.433402926612963</v>
      </c>
      <c r="O15" s="68">
        <v>456.68536518683038</v>
      </c>
      <c r="P15" s="68">
        <v>322.61918037124133</v>
      </c>
      <c r="Q15" s="69">
        <v>0.59640898781575202</v>
      </c>
      <c r="R15" s="69">
        <v>0.5027792510255723</v>
      </c>
      <c r="S15" s="31">
        <v>55091.571428571428</v>
      </c>
      <c r="T15" s="31">
        <v>74405</v>
      </c>
      <c r="U15" s="69">
        <v>9.4433559138418666E-2</v>
      </c>
      <c r="V15" s="69">
        <v>0.29403606102635238</v>
      </c>
      <c r="W15" s="69">
        <v>0.83322542700895452</v>
      </c>
      <c r="X15" s="69">
        <v>1.1738343635106716</v>
      </c>
      <c r="Y15" s="69">
        <v>-7.532088189472208E-2</v>
      </c>
      <c r="Z15" s="69">
        <v>-7.0336182477761855E-2</v>
      </c>
      <c r="AA15" s="69">
        <v>0.39228852277447035</v>
      </c>
      <c r="AB15" s="69">
        <v>0.35267121312421401</v>
      </c>
      <c r="AC15" s="69">
        <v>-2.8454813066554285E-2</v>
      </c>
      <c r="AD15" s="133">
        <v>9.4702260987153494E-2</v>
      </c>
      <c r="AE15" s="133">
        <v>0.42763522417525818</v>
      </c>
      <c r="AF15" s="133">
        <v>0.6599010354150644</v>
      </c>
    </row>
    <row r="16" spans="1:32" x14ac:dyDescent="0.25">
      <c r="A16" t="s">
        <v>196</v>
      </c>
      <c r="B16" t="s">
        <v>205</v>
      </c>
      <c r="C16" s="31">
        <v>7362</v>
      </c>
      <c r="D16" s="31">
        <v>4913</v>
      </c>
      <c r="E16" s="65">
        <v>11656</v>
      </c>
      <c r="F16" s="31">
        <v>8388</v>
      </c>
      <c r="G16" s="66">
        <v>3434008.2700001015</v>
      </c>
      <c r="H16" s="31">
        <v>1496658.4399999394</v>
      </c>
      <c r="I16" s="65">
        <v>2110737.5000000009</v>
      </c>
      <c r="J16" s="65">
        <v>724178.82999994</v>
      </c>
      <c r="K16" s="31">
        <v>129539.85714285714</v>
      </c>
      <c r="L16" s="31">
        <v>144388.14285714287</v>
      </c>
      <c r="M16" s="67">
        <v>11.113577311501128</v>
      </c>
      <c r="N16" s="67">
        <v>17.278057696107489</v>
      </c>
      <c r="O16" s="68">
        <v>294.61292638985083</v>
      </c>
      <c r="P16" s="68">
        <v>178.42852169765609</v>
      </c>
      <c r="Q16" s="69">
        <v>0.61465708118400619</v>
      </c>
      <c r="R16" s="69">
        <v>0.46928057062347361</v>
      </c>
      <c r="S16" s="31">
        <v>43799.428571428572</v>
      </c>
      <c r="T16" s="31">
        <v>69742.857142857145</v>
      </c>
      <c r="U16" s="69">
        <v>-0.12416927784928922</v>
      </c>
      <c r="V16" s="69">
        <v>0.35610395803528849</v>
      </c>
      <c r="W16" s="69">
        <v>1.2374829957864151</v>
      </c>
      <c r="X16" s="69">
        <v>1.9306944911124622</v>
      </c>
      <c r="Y16" s="69">
        <v>7.9903652016850568E-3</v>
      </c>
      <c r="Z16" s="69">
        <v>3.9625775022142928E-3</v>
      </c>
      <c r="AA16" s="69">
        <v>0.23148441627047012</v>
      </c>
      <c r="AB16" s="69">
        <v>0.23087442779087164</v>
      </c>
      <c r="AC16" s="69">
        <v>-4.9532781051842001E-4</v>
      </c>
      <c r="AD16" s="133">
        <v>6.1877804265911725E-2</v>
      </c>
      <c r="AE16" s="133">
        <v>0.39336723189044775</v>
      </c>
      <c r="AF16" s="133">
        <v>0.70404560722844245</v>
      </c>
    </row>
    <row r="17" spans="1:32" x14ac:dyDescent="0.25">
      <c r="A17" t="s">
        <v>196</v>
      </c>
      <c r="B17" t="s">
        <v>207</v>
      </c>
      <c r="C17" s="31">
        <v>2717</v>
      </c>
      <c r="D17" s="31">
        <v>1862</v>
      </c>
      <c r="E17" s="65">
        <v>3138</v>
      </c>
      <c r="F17" s="31">
        <v>2342</v>
      </c>
      <c r="G17" s="66">
        <v>2118433.610000045</v>
      </c>
      <c r="H17" s="31">
        <v>1096294.5999999857</v>
      </c>
      <c r="I17" s="65">
        <v>1231297.5900000138</v>
      </c>
      <c r="J17" s="65">
        <v>563294.72999998752</v>
      </c>
      <c r="K17" s="31">
        <v>21062.857142857141</v>
      </c>
      <c r="L17" s="31">
        <v>30861.571428571428</v>
      </c>
      <c r="M17" s="67">
        <v>6.7121915687881266</v>
      </c>
      <c r="N17" s="67">
        <v>13.354377104377104</v>
      </c>
      <c r="O17" s="68">
        <v>675.09037922244897</v>
      </c>
      <c r="P17" s="68">
        <v>468.10187873611687</v>
      </c>
      <c r="Q17" s="69">
        <v>0.58123019960960098</v>
      </c>
      <c r="R17" s="69">
        <v>0.50729153067919952</v>
      </c>
      <c r="S17" s="31">
        <v>18522</v>
      </c>
      <c r="T17" s="31">
        <v>2882.4285714285716</v>
      </c>
      <c r="U17" s="69">
        <v>-0.33647485777504149</v>
      </c>
      <c r="V17" s="69">
        <v>0.30230572160546543</v>
      </c>
      <c r="W17" s="69">
        <v>0.87615009688094547</v>
      </c>
      <c r="X17" s="69">
        <v>1.1475858068282516</v>
      </c>
      <c r="Y17" s="69">
        <v>4.3444345421967734E-2</v>
      </c>
      <c r="Z17" s="69">
        <v>2.1710658526613358E-2</v>
      </c>
      <c r="AA17" s="69">
        <v>0.58805668016194335</v>
      </c>
      <c r="AB17" s="69">
        <v>0.65025117867152926</v>
      </c>
      <c r="AC17" s="69">
        <v>3.9163903459191074E-2</v>
      </c>
      <c r="AD17" s="133">
        <v>0.75124370113134331</v>
      </c>
      <c r="AE17" s="133">
        <v>0.5981932672535123</v>
      </c>
      <c r="AF17" s="133">
        <v>0.82921433582179715</v>
      </c>
    </row>
    <row r="18" spans="1:32" x14ac:dyDescent="0.25">
      <c r="A18" t="s">
        <v>196</v>
      </c>
      <c r="B18" t="s">
        <v>206</v>
      </c>
      <c r="C18" s="31">
        <v>2778</v>
      </c>
      <c r="D18" s="31">
        <v>5836</v>
      </c>
      <c r="E18" s="65">
        <v>6232</v>
      </c>
      <c r="F18" s="31">
        <v>11715</v>
      </c>
      <c r="G18" s="66">
        <v>1692135.3099999651</v>
      </c>
      <c r="H18" s="31">
        <v>2065707.4799999541</v>
      </c>
      <c r="I18" s="65">
        <v>824872.86000000429</v>
      </c>
      <c r="J18" s="65">
        <v>887920.55999997468</v>
      </c>
      <c r="K18" s="31">
        <v>73684.571428571435</v>
      </c>
      <c r="L18" s="31">
        <v>223927</v>
      </c>
      <c r="M18" s="67">
        <v>11.823583348615442</v>
      </c>
      <c r="N18" s="67">
        <v>19.308629732732769</v>
      </c>
      <c r="O18" s="68">
        <v>271.52363767650274</v>
      </c>
      <c r="P18" s="68">
        <v>176.33013060178865</v>
      </c>
      <c r="Q18" s="69">
        <v>0.48747452708141958</v>
      </c>
      <c r="R18" s="69">
        <v>0.42187322941709976</v>
      </c>
      <c r="S18" s="31">
        <v>18657.714285714286</v>
      </c>
      <c r="T18" s="31">
        <v>124398.57142857143</v>
      </c>
      <c r="U18" s="69">
        <v>-0.68048834792461066</v>
      </c>
      <c r="V18" s="69">
        <v>-0.48151941954758859</v>
      </c>
      <c r="W18" s="69">
        <v>-0.20502216025281383</v>
      </c>
      <c r="X18" s="69">
        <v>-8.4116164080120459E-2</v>
      </c>
      <c r="Y18" s="69">
        <v>-5.9062200096882678E-2</v>
      </c>
      <c r="Z18" s="69">
        <v>-5.9960779453682611E-2</v>
      </c>
      <c r="AA18" s="69">
        <v>0.19295558958652381</v>
      </c>
      <c r="AB18" s="69">
        <v>0.12842830635579205</v>
      </c>
      <c r="AC18" s="69">
        <v>-5.4090264376980501E-2</v>
      </c>
      <c r="AD18" s="133">
        <v>6.2722071524981285E-2</v>
      </c>
      <c r="AE18" s="133">
        <v>0.24664409240019533</v>
      </c>
      <c r="AF18" s="133">
        <v>0.25508669661178612</v>
      </c>
    </row>
    <row r="19" spans="1:32" x14ac:dyDescent="0.25">
      <c r="A19" t="s">
        <v>196</v>
      </c>
      <c r="B19" t="s">
        <v>209</v>
      </c>
      <c r="C19" s="31">
        <v>886</v>
      </c>
      <c r="D19" s="31">
        <v>1235</v>
      </c>
      <c r="E19" s="65">
        <v>1121</v>
      </c>
      <c r="F19" s="31">
        <v>1507</v>
      </c>
      <c r="G19" s="66">
        <v>649649.86999999161</v>
      </c>
      <c r="H19" s="31">
        <v>554172.14000000013</v>
      </c>
      <c r="I19" s="65">
        <v>309905.56000000023</v>
      </c>
      <c r="J19" s="65">
        <v>259391.17999999988</v>
      </c>
      <c r="K19" s="31">
        <v>12185.571428571429</v>
      </c>
      <c r="L19" s="31">
        <v>29388.857142857141</v>
      </c>
      <c r="M19" s="67">
        <v>10.87026889257041</v>
      </c>
      <c r="N19" s="67">
        <v>19.930107026523967</v>
      </c>
      <c r="O19" s="68">
        <v>579.52709188224048</v>
      </c>
      <c r="P19" s="68">
        <v>367.73201061712018</v>
      </c>
      <c r="Q19" s="69">
        <v>0.4770347448849705</v>
      </c>
      <c r="R19" s="69">
        <v>0.46154450854923695</v>
      </c>
      <c r="S19" s="31">
        <v>4789.8571428571431</v>
      </c>
      <c r="T19" s="31">
        <v>2331</v>
      </c>
      <c r="U19" s="69">
        <v>-0.59594015224429087</v>
      </c>
      <c r="V19" s="69">
        <v>-0.27073656270736568</v>
      </c>
      <c r="W19" s="69">
        <v>0.13544758854169858</v>
      </c>
      <c r="X19" s="69">
        <v>0.16707932013141003</v>
      </c>
      <c r="Y19" s="69">
        <v>-1.0746356951081504E-2</v>
      </c>
      <c r="Z19" s="69">
        <v>-4.393682959907641E-2</v>
      </c>
      <c r="AA19" s="69">
        <v>0.4730617608409986</v>
      </c>
      <c r="AB19" s="69">
        <v>0.388186071545223</v>
      </c>
      <c r="AC19" s="69">
        <v>-5.7618554463947702E-2</v>
      </c>
      <c r="AD19" s="133">
        <v>-1.9537958356164922E-2</v>
      </c>
      <c r="AE19" s="133">
        <v>-0.25849008345045399</v>
      </c>
      <c r="AF19" s="133">
        <v>-0.28335979786783905</v>
      </c>
    </row>
    <row r="20" spans="1:32" x14ac:dyDescent="0.25">
      <c r="A20" t="s">
        <v>196</v>
      </c>
      <c r="B20" t="s">
        <v>208</v>
      </c>
      <c r="C20" s="31">
        <v>535</v>
      </c>
      <c r="D20" s="31">
        <v>1215</v>
      </c>
      <c r="E20" s="65">
        <v>1167</v>
      </c>
      <c r="F20" s="31">
        <v>2095</v>
      </c>
      <c r="G20" s="66">
        <v>314737.96000000078</v>
      </c>
      <c r="H20" s="31">
        <v>554455.88999999664</v>
      </c>
      <c r="I20" s="65">
        <v>98954.390000000058</v>
      </c>
      <c r="J20" s="65">
        <v>207462.01999999606</v>
      </c>
      <c r="K20" s="31">
        <v>17868.857142857141</v>
      </c>
      <c r="L20" s="31">
        <v>64360.428571428572</v>
      </c>
      <c r="M20" s="67">
        <v>15.311788468600806</v>
      </c>
      <c r="N20" s="67">
        <v>30.969725197950631</v>
      </c>
      <c r="O20" s="68">
        <v>269.69833761782417</v>
      </c>
      <c r="P20" s="68">
        <v>264.65674940333969</v>
      </c>
      <c r="Q20" s="69">
        <v>0.31440246356048002</v>
      </c>
      <c r="R20" s="69">
        <v>0.36513151532133387</v>
      </c>
      <c r="S20" s="31">
        <v>6120.2857142857147</v>
      </c>
      <c r="T20" s="31">
        <v>12194.714285714286</v>
      </c>
      <c r="U20" s="69">
        <v>-0.7293545501561518</v>
      </c>
      <c r="V20" s="69">
        <v>-0.4515513126491647</v>
      </c>
      <c r="W20" s="69">
        <v>-0.44329172876132183</v>
      </c>
      <c r="X20" s="69">
        <v>-0.52259559606731298</v>
      </c>
      <c r="Y20" s="69">
        <v>-6.2691714204279991E-2</v>
      </c>
      <c r="Z20" s="69">
        <v>-6.2845583277141071E-2</v>
      </c>
      <c r="AA20" s="69">
        <v>0.24148936170212765</v>
      </c>
      <c r="AB20" s="69">
        <v>0.13357263105591621</v>
      </c>
      <c r="AC20" s="69">
        <v>-8.6925215773297926E-2</v>
      </c>
      <c r="AD20" s="133">
        <v>-7.9627354420231042E-3</v>
      </c>
      <c r="AE20" s="133">
        <v>-0.25964183387882683</v>
      </c>
      <c r="AF20" s="133">
        <v>-0.48307990257126898</v>
      </c>
    </row>
    <row r="21" spans="1:32" x14ac:dyDescent="0.25">
      <c r="A21" t="s">
        <v>196</v>
      </c>
      <c r="B21" t="s">
        <v>213</v>
      </c>
      <c r="C21" s="31">
        <v>23</v>
      </c>
      <c r="D21" s="31"/>
      <c r="E21" s="65">
        <v>47</v>
      </c>
      <c r="F21" s="31"/>
      <c r="G21" s="66">
        <v>5662.5300000000007</v>
      </c>
      <c r="H21" s="31"/>
      <c r="I21" s="65">
        <v>-56.90999999999994</v>
      </c>
      <c r="J21" s="65"/>
      <c r="K21" s="31">
        <v>110.85714285714286</v>
      </c>
      <c r="L21" s="31">
        <v>59.571428571428569</v>
      </c>
      <c r="M21" s="67">
        <v>2.358662613981763</v>
      </c>
      <c r="N21" s="67"/>
      <c r="O21" s="68">
        <v>120.47936170212768</v>
      </c>
      <c r="P21" s="68"/>
      <c r="Q21" s="69">
        <v>-1.0050277879322483E-2</v>
      </c>
      <c r="R21" s="69"/>
      <c r="S21" s="31">
        <v>33</v>
      </c>
      <c r="T21" s="31">
        <v>19.714285714285715</v>
      </c>
      <c r="U21" s="69">
        <v>-0.74820143884892087</v>
      </c>
      <c r="V21" s="69"/>
      <c r="W21" s="69"/>
      <c r="X21" s="69"/>
      <c r="Y21" s="69">
        <v>-0.15582257605323491</v>
      </c>
      <c r="Z21" s="69">
        <v>-0.15283842794759828</v>
      </c>
      <c r="AA21" s="69">
        <v>5.7142857142857144</v>
      </c>
      <c r="AB21" s="69">
        <v>2.9305382986846218</v>
      </c>
      <c r="AC21" s="69">
        <v>-0.41460067891931163</v>
      </c>
      <c r="AD21" s="133"/>
      <c r="AE21" s="133"/>
      <c r="AF21" s="133"/>
    </row>
    <row r="22" spans="1:32" x14ac:dyDescent="0.25">
      <c r="A22" t="s">
        <v>196</v>
      </c>
      <c r="B22" t="s">
        <v>731</v>
      </c>
      <c r="C22" s="31">
        <v>7</v>
      </c>
      <c r="D22" s="31"/>
      <c r="E22" s="65">
        <v>8</v>
      </c>
      <c r="F22" s="31"/>
      <c r="G22" s="66">
        <v>3687.43</v>
      </c>
      <c r="H22" s="31"/>
      <c r="I22" s="65">
        <v>721.68000000000006</v>
      </c>
      <c r="J22" s="65"/>
      <c r="K22" s="31">
        <v>191.42857142857142</v>
      </c>
      <c r="L22" s="31"/>
      <c r="M22" s="67">
        <v>23.928571428571427</v>
      </c>
      <c r="N22" s="67"/>
      <c r="O22" s="68">
        <v>460.92874999999998</v>
      </c>
      <c r="P22" s="68"/>
      <c r="Q22" s="69">
        <v>0.19571354574866509</v>
      </c>
      <c r="R22" s="69"/>
      <c r="S22" s="31"/>
      <c r="T22" s="31"/>
      <c r="U22" s="69"/>
      <c r="V22" s="69"/>
      <c r="W22" s="69"/>
      <c r="X22" s="69"/>
      <c r="Y22" s="69">
        <v>-6.1620515579573931E-2</v>
      </c>
      <c r="Z22" s="69">
        <v>-5.633802816901412E-2</v>
      </c>
      <c r="AA22" s="69">
        <v>-0.4285714285714286</v>
      </c>
      <c r="AB22" s="69">
        <v>-0.44825052819324995</v>
      </c>
      <c r="AC22" s="69">
        <v>-3.4438424338187446E-2</v>
      </c>
      <c r="AD22" s="133"/>
      <c r="AE22" s="133"/>
      <c r="AF22" s="133"/>
    </row>
    <row r="23" spans="1:32" x14ac:dyDescent="0.25">
      <c r="A23" t="s">
        <v>196</v>
      </c>
      <c r="B23" t="s">
        <v>732</v>
      </c>
      <c r="C23" s="31">
        <v>4</v>
      </c>
      <c r="D23" s="31"/>
      <c r="E23" s="65">
        <v>5</v>
      </c>
      <c r="F23" s="31"/>
      <c r="G23" s="66">
        <v>1174.95</v>
      </c>
      <c r="H23" s="31"/>
      <c r="I23" s="65">
        <v>105.5</v>
      </c>
      <c r="J23" s="65"/>
      <c r="K23" s="31">
        <v>25</v>
      </c>
      <c r="L23" s="31"/>
      <c r="M23" s="67">
        <v>5</v>
      </c>
      <c r="N23" s="67"/>
      <c r="O23" s="68">
        <v>234.99</v>
      </c>
      <c r="P23" s="68"/>
      <c r="Q23" s="69">
        <v>8.9791054938508016E-2</v>
      </c>
      <c r="R23" s="69"/>
      <c r="S23" s="31"/>
      <c r="T23" s="31"/>
      <c r="U23" s="69"/>
      <c r="V23" s="69"/>
      <c r="W23" s="69"/>
      <c r="X23" s="69"/>
      <c r="Y23" s="69">
        <v>-0.12060301507537674</v>
      </c>
      <c r="Z23" s="69">
        <v>-0.12060301507537685</v>
      </c>
      <c r="AA23" s="69">
        <v>1.5</v>
      </c>
      <c r="AB23" s="69">
        <v>1.3499939997599903</v>
      </c>
      <c r="AC23" s="69">
        <v>-6.0002400096003883E-2</v>
      </c>
      <c r="AD23" s="133"/>
      <c r="AE23" s="133"/>
      <c r="AF23" s="133"/>
    </row>
    <row r="24" spans="1:32" x14ac:dyDescent="0.25">
      <c r="A24" t="s">
        <v>196</v>
      </c>
      <c r="B24" t="s">
        <v>211</v>
      </c>
      <c r="C24" s="31">
        <v>2</v>
      </c>
      <c r="D24" s="31"/>
      <c r="E24" s="65">
        <v>2</v>
      </c>
      <c r="F24" s="31"/>
      <c r="G24" s="66">
        <v>770.82</v>
      </c>
      <c r="H24" s="31"/>
      <c r="I24" s="65">
        <v>-222.03</v>
      </c>
      <c r="J24" s="65"/>
      <c r="K24" s="31">
        <v>10.142857142857142</v>
      </c>
      <c r="L24" s="31">
        <v>76.142857142857139</v>
      </c>
      <c r="M24" s="67">
        <v>5.0714285714285712</v>
      </c>
      <c r="N24" s="67"/>
      <c r="O24" s="68">
        <v>385.41</v>
      </c>
      <c r="P24" s="68"/>
      <c r="Q24" s="69">
        <v>-0.28804390129991436</v>
      </c>
      <c r="R24" s="69"/>
      <c r="S24" s="31">
        <v>6</v>
      </c>
      <c r="T24" s="31">
        <v>11</v>
      </c>
      <c r="U24" s="69">
        <v>-0.86679174484052535</v>
      </c>
      <c r="V24" s="69"/>
      <c r="W24" s="69"/>
      <c r="X24" s="69"/>
      <c r="Y24" s="69">
        <v>-0.12560670217977921</v>
      </c>
      <c r="Z24" s="69">
        <v>-0.13414634146341464</v>
      </c>
      <c r="AA24" s="69">
        <v>1</v>
      </c>
      <c r="AB24" s="69">
        <v>0.81373679380691311</v>
      </c>
      <c r="AC24" s="69">
        <v>-9.3131603096543447E-2</v>
      </c>
      <c r="AD24" s="133"/>
      <c r="AE24" s="133"/>
      <c r="AF24" s="133"/>
    </row>
    <row r="25" spans="1:32" x14ac:dyDescent="0.25">
      <c r="A25" t="s">
        <v>196</v>
      </c>
      <c r="B25" t="s">
        <v>733</v>
      </c>
      <c r="C25" s="31">
        <v>2</v>
      </c>
      <c r="D25" s="31"/>
      <c r="E25" s="65">
        <v>2</v>
      </c>
      <c r="F25" s="31"/>
      <c r="G25" s="66">
        <v>583.32000000000005</v>
      </c>
      <c r="H25" s="31"/>
      <c r="I25" s="65">
        <v>180</v>
      </c>
      <c r="J25" s="65"/>
      <c r="K25" s="31">
        <v>13.714285714285714</v>
      </c>
      <c r="L25" s="31"/>
      <c r="M25" s="67">
        <v>6.8571428571428568</v>
      </c>
      <c r="N25" s="67"/>
      <c r="O25" s="68">
        <v>291.66000000000003</v>
      </c>
      <c r="P25" s="68"/>
      <c r="Q25" s="69">
        <v>0.30857848179386954</v>
      </c>
      <c r="R25" s="69"/>
      <c r="S25" s="31"/>
      <c r="T25" s="31"/>
      <c r="U25" s="69"/>
      <c r="V25" s="69"/>
      <c r="W25" s="69"/>
      <c r="X25" s="69"/>
      <c r="Y25" s="69">
        <v>-8.8211407205579184E-2</v>
      </c>
      <c r="Z25" s="69">
        <v>-8.5714285714285743E-2</v>
      </c>
      <c r="AA25" s="69"/>
      <c r="AB25" s="69"/>
      <c r="AC25" s="69"/>
      <c r="AD25" s="133"/>
      <c r="AE25" s="133"/>
      <c r="AF25" s="133"/>
    </row>
    <row r="26" spans="1:32" x14ac:dyDescent="0.25">
      <c r="A26" t="s">
        <v>196</v>
      </c>
      <c r="B26" t="s">
        <v>212</v>
      </c>
      <c r="C26" s="31">
        <v>1</v>
      </c>
      <c r="D26" s="31">
        <v>2</v>
      </c>
      <c r="E26" s="65">
        <v>1</v>
      </c>
      <c r="F26" s="31">
        <v>2</v>
      </c>
      <c r="G26" s="66">
        <v>499.99</v>
      </c>
      <c r="H26" s="31">
        <v>713.99</v>
      </c>
      <c r="I26" s="65">
        <v>219.99</v>
      </c>
      <c r="J26" s="65">
        <v>177.96000000000004</v>
      </c>
      <c r="K26" s="31">
        <v>115.14285714285714</v>
      </c>
      <c r="L26" s="31">
        <v>81.714285714285708</v>
      </c>
      <c r="M26" s="67">
        <v>115.14285714285714</v>
      </c>
      <c r="N26" s="67">
        <v>40.857142857142854</v>
      </c>
      <c r="O26" s="68">
        <v>499.99</v>
      </c>
      <c r="P26" s="68">
        <v>356.995</v>
      </c>
      <c r="Q26" s="69">
        <v>0.43998879977599553</v>
      </c>
      <c r="R26" s="69">
        <v>0.24924718833597115</v>
      </c>
      <c r="S26" s="31">
        <v>2</v>
      </c>
      <c r="T26" s="31">
        <v>14.571428571428571</v>
      </c>
      <c r="U26" s="69">
        <v>-0.12937062937062938</v>
      </c>
      <c r="V26" s="69">
        <v>-0.5</v>
      </c>
      <c r="W26" s="69">
        <v>-0.29972408577150944</v>
      </c>
      <c r="X26" s="69">
        <v>0.23617666891436251</v>
      </c>
      <c r="Y26" s="69">
        <v>-1.1139829032564053E-2</v>
      </c>
      <c r="Z26" s="69">
        <v>-1.2254901960784381E-2</v>
      </c>
      <c r="AA26" s="69">
        <v>0</v>
      </c>
      <c r="AB26" s="69">
        <v>0</v>
      </c>
      <c r="AC26" s="69">
        <v>0</v>
      </c>
      <c r="AD26" s="133"/>
      <c r="AE26" s="133"/>
      <c r="AF26" s="133"/>
    </row>
    <row r="27" spans="1:32" x14ac:dyDescent="0.25">
      <c r="A27" t="s">
        <v>196</v>
      </c>
      <c r="B27" t="s">
        <v>210</v>
      </c>
      <c r="C27" s="31">
        <v>1</v>
      </c>
      <c r="D27" s="31">
        <v>10</v>
      </c>
      <c r="E27" s="65">
        <v>3</v>
      </c>
      <c r="F27" s="31">
        <v>15</v>
      </c>
      <c r="G27" s="66">
        <v>324.97000000000003</v>
      </c>
      <c r="H27" s="31">
        <v>1272.8</v>
      </c>
      <c r="I27" s="65">
        <v>103.24</v>
      </c>
      <c r="J27" s="65">
        <v>320.36999999999989</v>
      </c>
      <c r="K27" s="31">
        <v>53</v>
      </c>
      <c r="L27" s="31">
        <v>427.14285714285717</v>
      </c>
      <c r="M27" s="67">
        <v>17.666666666666668</v>
      </c>
      <c r="N27" s="67">
        <v>28.542857142857144</v>
      </c>
      <c r="O27" s="68">
        <v>108.32333333333334</v>
      </c>
      <c r="P27" s="68">
        <v>84.853333333333325</v>
      </c>
      <c r="Q27" s="69">
        <v>0.31769086377204048</v>
      </c>
      <c r="R27" s="69">
        <v>0.25170490257699552</v>
      </c>
      <c r="S27" s="31">
        <v>272.14285714285717</v>
      </c>
      <c r="T27" s="31">
        <v>77.571428571428569</v>
      </c>
      <c r="U27" s="69">
        <v>-0.87591973244147159</v>
      </c>
      <c r="V27" s="69">
        <v>-0.8</v>
      </c>
      <c r="W27" s="69">
        <v>-0.74468101822752986</v>
      </c>
      <c r="X27" s="69">
        <v>-0.67774760433249037</v>
      </c>
      <c r="Y27" s="69">
        <v>-7.4864643861013991E-2</v>
      </c>
      <c r="Z27" s="69">
        <v>-7.7114427860696555E-2</v>
      </c>
      <c r="AA27" s="69">
        <v>0.5</v>
      </c>
      <c r="AB27" s="69">
        <v>0.69555462798706058</v>
      </c>
      <c r="AC27" s="69">
        <v>0.13036975199137357</v>
      </c>
      <c r="AD27" s="133"/>
      <c r="AE27" s="133"/>
      <c r="AF27" s="133"/>
    </row>
    <row r="28" spans="1:32" x14ac:dyDescent="0.25">
      <c r="A28" t="s">
        <v>196</v>
      </c>
      <c r="B28" t="s">
        <v>216</v>
      </c>
      <c r="C28" s="31"/>
      <c r="D28" s="31"/>
      <c r="E28" s="65"/>
      <c r="F28" s="31"/>
      <c r="G28" s="66"/>
      <c r="H28" s="31"/>
      <c r="I28" s="65"/>
      <c r="J28" s="65"/>
      <c r="K28" s="31">
        <v>0</v>
      </c>
      <c r="L28" s="31">
        <v>2.4285714285714284</v>
      </c>
      <c r="M28" s="67"/>
      <c r="N28" s="67"/>
      <c r="O28" s="68"/>
      <c r="P28" s="68"/>
      <c r="Q28" s="69"/>
      <c r="R28" s="69"/>
      <c r="S28" s="31">
        <v>3</v>
      </c>
      <c r="T28" s="31"/>
      <c r="U28" s="69"/>
      <c r="V28" s="69"/>
      <c r="W28" s="69"/>
      <c r="X28" s="69"/>
      <c r="Y28" s="69"/>
      <c r="Z28" s="69"/>
      <c r="AA28" s="69"/>
      <c r="AB28" s="69"/>
      <c r="AC28" s="69"/>
      <c r="AD28" s="133"/>
      <c r="AE28" s="133"/>
      <c r="AF28" s="133"/>
    </row>
    <row r="29" spans="1:32" x14ac:dyDescent="0.25">
      <c r="A29" t="s">
        <v>196</v>
      </c>
      <c r="B29" t="s">
        <v>220</v>
      </c>
      <c r="C29" s="31"/>
      <c r="D29" s="31"/>
      <c r="E29" s="65"/>
      <c r="F29" s="31"/>
      <c r="G29" s="66"/>
      <c r="H29" s="31"/>
      <c r="I29" s="65"/>
      <c r="J29" s="65"/>
      <c r="K29" s="31"/>
      <c r="L29" s="31"/>
      <c r="M29" s="67"/>
      <c r="N29" s="67"/>
      <c r="O29" s="68"/>
      <c r="P29" s="68"/>
      <c r="Q29" s="69"/>
      <c r="R29" s="69"/>
      <c r="S29" s="31">
        <v>31</v>
      </c>
      <c r="T29" s="31">
        <v>1</v>
      </c>
      <c r="U29" s="69"/>
      <c r="V29" s="69"/>
      <c r="W29" s="69"/>
      <c r="X29" s="69"/>
      <c r="Y29" s="69"/>
      <c r="Z29" s="69"/>
      <c r="AA29" s="69"/>
      <c r="AB29" s="69"/>
      <c r="AC29" s="69"/>
      <c r="AD29" s="133"/>
      <c r="AE29" s="133"/>
      <c r="AF29" s="133"/>
    </row>
    <row r="30" spans="1:32" x14ac:dyDescent="0.25">
      <c r="A30" t="s">
        <v>196</v>
      </c>
      <c r="B30" t="s">
        <v>218</v>
      </c>
      <c r="C30" s="31"/>
      <c r="D30" s="31"/>
      <c r="E30" s="65"/>
      <c r="F30" s="31"/>
      <c r="G30" s="66"/>
      <c r="H30" s="31"/>
      <c r="I30" s="65"/>
      <c r="J30" s="65"/>
      <c r="K30" s="31">
        <v>13</v>
      </c>
      <c r="L30" s="31">
        <v>2.4285714285714284</v>
      </c>
      <c r="M30" s="67"/>
      <c r="N30" s="67"/>
      <c r="O30" s="68"/>
      <c r="P30" s="68"/>
      <c r="Q30" s="69"/>
      <c r="R30" s="69"/>
      <c r="S30" s="31">
        <v>6.7142857142857144</v>
      </c>
      <c r="T30" s="31">
        <v>1</v>
      </c>
      <c r="U30" s="69">
        <v>4.3529411764705888</v>
      </c>
      <c r="V30" s="69"/>
      <c r="W30" s="69"/>
      <c r="X30" s="69"/>
      <c r="Y30" s="69">
        <v>5.6306306306306286E-2</v>
      </c>
      <c r="Z30" s="69">
        <v>5.8139534883720811E-2</v>
      </c>
      <c r="AA30" s="69"/>
      <c r="AB30" s="69"/>
      <c r="AC30" s="69"/>
      <c r="AD30" s="133"/>
      <c r="AE30" s="133"/>
      <c r="AF30" s="133"/>
    </row>
    <row r="31" spans="1:32" x14ac:dyDescent="0.25">
      <c r="A31" t="s">
        <v>196</v>
      </c>
      <c r="B31" t="s">
        <v>214</v>
      </c>
      <c r="C31" s="31"/>
      <c r="D31" s="31"/>
      <c r="E31" s="65"/>
      <c r="F31" s="31"/>
      <c r="G31" s="66"/>
      <c r="H31" s="31"/>
      <c r="I31" s="65"/>
      <c r="J31" s="65"/>
      <c r="K31" s="31">
        <v>0</v>
      </c>
      <c r="L31" s="31">
        <v>20</v>
      </c>
      <c r="M31" s="67"/>
      <c r="N31" s="67"/>
      <c r="O31" s="68"/>
      <c r="P31" s="68"/>
      <c r="Q31" s="69"/>
      <c r="R31" s="69"/>
      <c r="S31" s="31">
        <v>6</v>
      </c>
      <c r="T31" s="31">
        <v>2</v>
      </c>
      <c r="U31" s="69"/>
      <c r="V31" s="69"/>
      <c r="W31" s="69"/>
      <c r="X31" s="69"/>
      <c r="Y31" s="69">
        <v>-0.64985180337965276</v>
      </c>
      <c r="Z31" s="69">
        <v>-1</v>
      </c>
      <c r="AA31" s="69"/>
      <c r="AB31" s="69"/>
      <c r="AC31" s="69"/>
      <c r="AD31" s="133"/>
      <c r="AE31" s="133"/>
      <c r="AF31" s="133"/>
    </row>
    <row r="32" spans="1:32" x14ac:dyDescent="0.25">
      <c r="A32" t="s">
        <v>196</v>
      </c>
      <c r="B32" t="s">
        <v>217</v>
      </c>
      <c r="C32" s="31"/>
      <c r="D32" s="31"/>
      <c r="E32" s="65"/>
      <c r="F32" s="31"/>
      <c r="G32" s="66"/>
      <c r="H32" s="31"/>
      <c r="I32" s="65"/>
      <c r="J32" s="65"/>
      <c r="K32" s="31">
        <v>2</v>
      </c>
      <c r="L32" s="31">
        <v>1</v>
      </c>
      <c r="M32" s="67"/>
      <c r="N32" s="67"/>
      <c r="O32" s="68"/>
      <c r="P32" s="68"/>
      <c r="Q32" s="69"/>
      <c r="R32" s="69"/>
      <c r="S32" s="31"/>
      <c r="T32" s="31"/>
      <c r="U32" s="69"/>
      <c r="V32" s="69"/>
      <c r="W32" s="69"/>
      <c r="X32" s="69"/>
      <c r="Y32" s="69">
        <v>0</v>
      </c>
      <c r="Z32" s="69">
        <v>0</v>
      </c>
      <c r="AA32" s="69"/>
      <c r="AB32" s="69"/>
      <c r="AC32" s="69"/>
      <c r="AD32" s="133"/>
      <c r="AE32" s="133"/>
      <c r="AF32" s="133"/>
    </row>
    <row r="33" spans="1:32" x14ac:dyDescent="0.25">
      <c r="A33" t="s">
        <v>196</v>
      </c>
      <c r="B33" t="s">
        <v>219</v>
      </c>
      <c r="C33" s="31"/>
      <c r="D33" s="31"/>
      <c r="E33" s="65"/>
      <c r="F33" s="31"/>
      <c r="G33" s="66"/>
      <c r="H33" s="31"/>
      <c r="I33" s="65"/>
      <c r="J33" s="65"/>
      <c r="K33" s="31"/>
      <c r="L33" s="31">
        <v>2</v>
      </c>
      <c r="M33" s="67"/>
      <c r="N33" s="67"/>
      <c r="O33" s="68"/>
      <c r="P33" s="68"/>
      <c r="Q33" s="69"/>
      <c r="R33" s="69"/>
      <c r="S33" s="31"/>
      <c r="T33" s="31"/>
      <c r="U33" s="69"/>
      <c r="V33" s="69"/>
      <c r="W33" s="69"/>
      <c r="X33" s="69"/>
      <c r="Y33" s="69"/>
      <c r="Z33" s="69"/>
      <c r="AA33" s="69"/>
      <c r="AB33" s="69"/>
      <c r="AC33" s="69"/>
      <c r="AD33" s="133"/>
      <c r="AE33" s="133"/>
      <c r="AF33" s="133"/>
    </row>
    <row r="34" spans="1:32" x14ac:dyDescent="0.25">
      <c r="A34" t="s">
        <v>196</v>
      </c>
      <c r="B34" t="s">
        <v>215</v>
      </c>
      <c r="C34" s="31"/>
      <c r="D34" s="31"/>
      <c r="E34" s="65"/>
      <c r="F34" s="31"/>
      <c r="G34" s="66"/>
      <c r="H34" s="31"/>
      <c r="I34" s="65"/>
      <c r="J34" s="65"/>
      <c r="K34" s="31"/>
      <c r="L34" s="31">
        <v>-1</v>
      </c>
      <c r="M34" s="67"/>
      <c r="N34" s="67"/>
      <c r="O34" s="68"/>
      <c r="P34" s="68"/>
      <c r="Q34" s="69"/>
      <c r="R34" s="69"/>
      <c r="S34" s="31"/>
      <c r="T34" s="31"/>
      <c r="U34" s="69"/>
      <c r="V34" s="69"/>
      <c r="W34" s="69"/>
      <c r="X34" s="69"/>
      <c r="Y34" s="69"/>
      <c r="Z34" s="69"/>
      <c r="AA34" s="69"/>
      <c r="AB34" s="69"/>
      <c r="AC34" s="69"/>
      <c r="AD34" s="133"/>
      <c r="AE34" s="133"/>
      <c r="AF34" s="133"/>
    </row>
    <row r="35" spans="1:32" x14ac:dyDescent="0.25">
      <c r="A35" t="s">
        <v>196</v>
      </c>
      <c r="B35" t="s">
        <v>221</v>
      </c>
      <c r="C35" s="31"/>
      <c r="D35" s="31"/>
      <c r="E35" s="65"/>
      <c r="F35" s="31"/>
      <c r="G35" s="66"/>
      <c r="H35" s="31"/>
      <c r="I35" s="65"/>
      <c r="J35" s="65"/>
      <c r="K35" s="31"/>
      <c r="L35" s="31">
        <v>1.8571428571428572</v>
      </c>
      <c r="M35" s="67"/>
      <c r="N35" s="67"/>
      <c r="O35" s="68"/>
      <c r="P35" s="68"/>
      <c r="Q35" s="69"/>
      <c r="R35" s="69"/>
      <c r="S35" s="31"/>
      <c r="T35" s="31">
        <v>1</v>
      </c>
      <c r="U35" s="69"/>
      <c r="V35" s="69"/>
      <c r="W35" s="69"/>
      <c r="X35" s="69"/>
      <c r="Y35" s="69"/>
      <c r="Z35" s="69"/>
      <c r="AA35" s="69"/>
      <c r="AB35" s="69"/>
      <c r="AC35" s="69"/>
      <c r="AD35" s="133"/>
      <c r="AE35" s="133"/>
      <c r="AF35" s="133"/>
    </row>
    <row r="36" spans="1:32" x14ac:dyDescent="0.25">
      <c r="A36" s="129" t="s">
        <v>805</v>
      </c>
      <c r="B36" s="129"/>
      <c r="C36" s="120">
        <v>26869</v>
      </c>
      <c r="D36" s="120">
        <v>24136</v>
      </c>
      <c r="E36" s="119">
        <v>43495</v>
      </c>
      <c r="F36" s="120">
        <v>41205</v>
      </c>
      <c r="G36" s="120">
        <v>17406981.78000202</v>
      </c>
      <c r="H36" s="120">
        <v>10654052.350002991</v>
      </c>
      <c r="I36" s="119">
        <v>10055022.450000402</v>
      </c>
      <c r="J36" s="119">
        <v>5151033.8400028916</v>
      </c>
      <c r="K36" s="120">
        <v>447297.28571428574</v>
      </c>
      <c r="L36" s="120">
        <v>664501</v>
      </c>
      <c r="M36" s="131">
        <v>10.28387827829143</v>
      </c>
      <c r="N36" s="131">
        <v>16.292299562336556</v>
      </c>
      <c r="O36" s="130">
        <v>400.20650143699322</v>
      </c>
      <c r="P36" s="130">
        <v>258.56212474221553</v>
      </c>
      <c r="Q36" s="132">
        <v>0.57764307316918639</v>
      </c>
      <c r="R36" s="132">
        <v>0.47347116223949937</v>
      </c>
      <c r="S36" s="120">
        <v>147332.85714285713</v>
      </c>
      <c r="T36" s="120">
        <v>286082.42857142858</v>
      </c>
      <c r="U36" s="132">
        <v>-0.34540225350622922</v>
      </c>
      <c r="V36" s="132">
        <v>2.7715083120980477E-2</v>
      </c>
      <c r="W36" s="132">
        <v>0.59020786302009887</v>
      </c>
      <c r="X36" s="132">
        <v>0.93967805471178578</v>
      </c>
      <c r="Y36" s="132">
        <v>-4.3138643890138995E-2</v>
      </c>
      <c r="Z36" s="132">
        <v>-4.3004685824212574E-2</v>
      </c>
      <c r="AA36" s="132">
        <v>0.32449221961691888</v>
      </c>
      <c r="AB36" s="132">
        <v>0.32685044266075836</v>
      </c>
      <c r="AC36" s="132">
        <v>1.7804733081190349E-3</v>
      </c>
      <c r="AD36" s="134">
        <v>0.10602326283128177</v>
      </c>
      <c r="AE36" s="134">
        <v>0.35120327146802433</v>
      </c>
      <c r="AF36" s="134">
        <v>0.54854470547791268</v>
      </c>
    </row>
    <row r="37" spans="1:32" x14ac:dyDescent="0.25">
      <c r="A37" t="s">
        <v>197</v>
      </c>
      <c r="B37" t="s">
        <v>252</v>
      </c>
      <c r="C37" s="31">
        <v>4194</v>
      </c>
      <c r="D37" s="31">
        <v>1875</v>
      </c>
      <c r="E37" s="65">
        <v>5650</v>
      </c>
      <c r="F37" s="31">
        <v>2423</v>
      </c>
      <c r="G37" s="66">
        <v>2645444.0799999107</v>
      </c>
      <c r="H37" s="31">
        <v>560916.62999999314</v>
      </c>
      <c r="I37" s="65">
        <v>1620170.8300000017</v>
      </c>
      <c r="J37" s="65">
        <v>219571.23999999312</v>
      </c>
      <c r="K37" s="31">
        <v>57103.571428571428</v>
      </c>
      <c r="L37" s="31">
        <v>58839.571428571428</v>
      </c>
      <c r="M37" s="67">
        <v>10.106826801517068</v>
      </c>
      <c r="N37" s="67">
        <v>24.341218925421011</v>
      </c>
      <c r="O37" s="68">
        <v>468.22019115042667</v>
      </c>
      <c r="P37" s="68">
        <v>231.49675196037686</v>
      </c>
      <c r="Q37" s="69">
        <v>0.61243813174839679</v>
      </c>
      <c r="R37" s="69">
        <v>0.38149114851537669</v>
      </c>
      <c r="S37" s="31">
        <v>20598.857142857141</v>
      </c>
      <c r="T37" s="31">
        <v>32490.428571428572</v>
      </c>
      <c r="U37" s="69">
        <v>-5.6198816637005655E-2</v>
      </c>
      <c r="V37" s="69">
        <v>1.2690879075526209</v>
      </c>
      <c r="W37" s="69">
        <v>3.5859562409478842</v>
      </c>
      <c r="X37" s="69">
        <v>6.3486349667486426</v>
      </c>
      <c r="Y37" s="69">
        <v>-6.0593804816110097E-2</v>
      </c>
      <c r="Z37" s="69">
        <v>-4.6339240554648997E-2</v>
      </c>
      <c r="AA37" s="69">
        <v>0.17536925317245688</v>
      </c>
      <c r="AB37" s="69">
        <v>0.13966901287491251</v>
      </c>
      <c r="AC37" s="69">
        <v>-3.0373638072618725E-2</v>
      </c>
      <c r="AD37" s="133">
        <v>0.33084437953797319</v>
      </c>
      <c r="AE37" s="133">
        <v>0.92201212169765223</v>
      </c>
      <c r="AF37" s="133">
        <v>1.397510079543747</v>
      </c>
    </row>
    <row r="38" spans="1:32" x14ac:dyDescent="0.25">
      <c r="A38" t="s">
        <v>197</v>
      </c>
      <c r="B38" t="s">
        <v>251</v>
      </c>
      <c r="C38" s="31">
        <v>3501</v>
      </c>
      <c r="D38" s="31">
        <v>1938</v>
      </c>
      <c r="E38" s="65">
        <v>4929</v>
      </c>
      <c r="F38" s="31">
        <v>2686</v>
      </c>
      <c r="G38" s="66">
        <v>2424177.1199999205</v>
      </c>
      <c r="H38" s="31">
        <v>993341.89999999537</v>
      </c>
      <c r="I38" s="65">
        <v>1523120.8299999824</v>
      </c>
      <c r="J38" s="65">
        <v>573580.64999999304</v>
      </c>
      <c r="K38" s="31">
        <v>58567.142857142855</v>
      </c>
      <c r="L38" s="31">
        <v>35491.428571428572</v>
      </c>
      <c r="M38" s="67">
        <v>11.882155174912326</v>
      </c>
      <c r="N38" s="67">
        <v>13.17378127086865</v>
      </c>
      <c r="O38" s="68">
        <v>491.81925745585727</v>
      </c>
      <c r="P38" s="68">
        <v>369.82200297840484</v>
      </c>
      <c r="Q38" s="69">
        <v>0.62830426763537495</v>
      </c>
      <c r="R38" s="69">
        <v>0.55874695210350844</v>
      </c>
      <c r="S38" s="31">
        <v>16169</v>
      </c>
      <c r="T38" s="31">
        <v>9458.8571428571431</v>
      </c>
      <c r="U38" s="69">
        <v>0.61335936242151012</v>
      </c>
      <c r="V38" s="69">
        <v>0.78816083395383463</v>
      </c>
      <c r="W38" s="69">
        <v>1.3746365576645316</v>
      </c>
      <c r="X38" s="69">
        <v>1.6745908966472882</v>
      </c>
      <c r="Y38" s="69">
        <v>-7.1520655241760989E-2</v>
      </c>
      <c r="Z38" s="69">
        <v>-7.0497705548401179E-2</v>
      </c>
      <c r="AA38" s="69">
        <v>0.16607523066004259</v>
      </c>
      <c r="AB38" s="69">
        <v>0.11516033474608611</v>
      </c>
      <c r="AC38" s="69">
        <v>-4.3663474341305353E-2</v>
      </c>
      <c r="AD38" s="133">
        <v>-0.16247023872231933</v>
      </c>
      <c r="AE38" s="133">
        <v>0.16159492801812475</v>
      </c>
      <c r="AF38" s="133">
        <v>0.42387525513533758</v>
      </c>
    </row>
    <row r="39" spans="1:32" x14ac:dyDescent="0.25">
      <c r="A39" t="s">
        <v>197</v>
      </c>
      <c r="B39" t="s">
        <v>250</v>
      </c>
      <c r="C39" s="31">
        <v>2120</v>
      </c>
      <c r="D39" s="31">
        <v>2172</v>
      </c>
      <c r="E39" s="65">
        <v>2417</v>
      </c>
      <c r="F39" s="31">
        <v>2443</v>
      </c>
      <c r="G39" s="66">
        <v>2116594.2200000281</v>
      </c>
      <c r="H39" s="31">
        <v>1369825.8799999703</v>
      </c>
      <c r="I39" s="65">
        <v>1160108.1799999983</v>
      </c>
      <c r="J39" s="65">
        <v>481684.25999996508</v>
      </c>
      <c r="K39" s="31">
        <v>20341</v>
      </c>
      <c r="L39" s="31">
        <v>43688</v>
      </c>
      <c r="M39" s="67">
        <v>8.4158047165908147</v>
      </c>
      <c r="N39" s="67">
        <v>18.170166379804932</v>
      </c>
      <c r="O39" s="68">
        <v>875.71130326852631</v>
      </c>
      <c r="P39" s="68">
        <v>560.71464592712664</v>
      </c>
      <c r="Q39" s="69">
        <v>0.54810136446464586</v>
      </c>
      <c r="R39" s="69">
        <v>0.34566245712292826</v>
      </c>
      <c r="S39" s="31">
        <v>11987.142857142857</v>
      </c>
      <c r="T39" s="31">
        <v>13771.428571428571</v>
      </c>
      <c r="U39" s="69">
        <v>-0.54920605854500748</v>
      </c>
      <c r="V39" s="69">
        <v>-3.6839950880065531E-2</v>
      </c>
      <c r="W39" s="69">
        <v>0.50019692283815531</v>
      </c>
      <c r="X39" s="69">
        <v>1.3762734094521685</v>
      </c>
      <c r="Y39" s="69">
        <v>-7.2150232867949082E-2</v>
      </c>
      <c r="Z39" s="69">
        <v>-7.2862472896332076E-2</v>
      </c>
      <c r="AA39" s="69">
        <v>0.25689027561102451</v>
      </c>
      <c r="AB39" s="69">
        <v>0.19659369560290108</v>
      </c>
      <c r="AC39" s="69">
        <v>-4.7972827205470137E-2</v>
      </c>
      <c r="AD39" s="133">
        <v>0.87614974329660722</v>
      </c>
      <c r="AE39" s="133">
        <v>1.2464451719531555</v>
      </c>
      <c r="AF39" s="133">
        <v>1.5790479400393402</v>
      </c>
    </row>
    <row r="40" spans="1:32" x14ac:dyDescent="0.25">
      <c r="A40" t="s">
        <v>197</v>
      </c>
      <c r="B40" t="s">
        <v>254</v>
      </c>
      <c r="C40" s="31">
        <v>1779</v>
      </c>
      <c r="D40" s="31">
        <v>2540</v>
      </c>
      <c r="E40" s="65">
        <v>5263</v>
      </c>
      <c r="F40" s="31">
        <v>5983</v>
      </c>
      <c r="G40" s="66">
        <v>1464168.6799999676</v>
      </c>
      <c r="H40" s="31">
        <v>1125166.7499999732</v>
      </c>
      <c r="I40" s="65">
        <v>895265.12999998697</v>
      </c>
      <c r="J40" s="65">
        <v>653979.70999997272</v>
      </c>
      <c r="K40" s="31">
        <v>47580.571428571428</v>
      </c>
      <c r="L40" s="31">
        <v>73494.857142857145</v>
      </c>
      <c r="M40" s="67">
        <v>9.0405797888222352</v>
      </c>
      <c r="N40" s="67">
        <v>12.365697525547615</v>
      </c>
      <c r="O40" s="68">
        <v>278.20039521185021</v>
      </c>
      <c r="P40" s="68">
        <v>188.0606301186651</v>
      </c>
      <c r="Q40" s="69">
        <v>0.6114494472044073</v>
      </c>
      <c r="R40" s="69">
        <v>0.57112020809819819</v>
      </c>
      <c r="S40" s="31">
        <v>8894.4285714285706</v>
      </c>
      <c r="T40" s="31">
        <v>21420</v>
      </c>
      <c r="U40" s="69">
        <v>-0.36901707408098527</v>
      </c>
      <c r="V40" s="69">
        <v>-0.15627611566103961</v>
      </c>
      <c r="W40" s="69">
        <v>0.25175119154561165</v>
      </c>
      <c r="X40" s="69">
        <v>0.33923964666010598</v>
      </c>
      <c r="Y40" s="69">
        <v>2.9747442352754838E-2</v>
      </c>
      <c r="Z40" s="69">
        <v>1.4158957900698432E-2</v>
      </c>
      <c r="AA40" s="69">
        <v>0.37630753138075312</v>
      </c>
      <c r="AB40" s="69">
        <v>0.24429199431050641</v>
      </c>
      <c r="AC40" s="69">
        <v>-9.5920086216344957E-2</v>
      </c>
      <c r="AD40" s="133">
        <v>8.0672579103399523E-3</v>
      </c>
      <c r="AE40" s="133">
        <v>4.8758595854369376E-2</v>
      </c>
      <c r="AF40" s="133">
        <v>0.18460630951537488</v>
      </c>
    </row>
    <row r="41" spans="1:32" x14ac:dyDescent="0.25">
      <c r="A41" t="s">
        <v>197</v>
      </c>
      <c r="B41" t="s">
        <v>255</v>
      </c>
      <c r="C41" s="31">
        <v>1293</v>
      </c>
      <c r="D41" s="31">
        <v>660</v>
      </c>
      <c r="E41" s="65">
        <v>1430</v>
      </c>
      <c r="F41" s="31">
        <v>717</v>
      </c>
      <c r="G41" s="66">
        <v>1044267.229999984</v>
      </c>
      <c r="H41" s="31">
        <v>337231.16999999864</v>
      </c>
      <c r="I41" s="65">
        <v>568656.63000000059</v>
      </c>
      <c r="J41" s="65">
        <v>162457.28999999867</v>
      </c>
      <c r="K41" s="31">
        <v>21555.142857142859</v>
      </c>
      <c r="L41" s="31">
        <v>17522.285714285714</v>
      </c>
      <c r="M41" s="67">
        <v>15.073526473526474</v>
      </c>
      <c r="N41" s="67">
        <v>24.494801694262613</v>
      </c>
      <c r="O41" s="68">
        <v>730.25680419579305</v>
      </c>
      <c r="P41" s="68">
        <v>470.33635983263412</v>
      </c>
      <c r="Q41" s="69">
        <v>0.54455087133205293</v>
      </c>
      <c r="R41" s="69">
        <v>0.46768636623711995</v>
      </c>
      <c r="S41" s="31">
        <v>6525.7142857142853</v>
      </c>
      <c r="T41" s="31">
        <v>9958.8571428571431</v>
      </c>
      <c r="U41" s="69">
        <v>0.20191429689538221</v>
      </c>
      <c r="V41" s="69">
        <v>0.93305439330543938</v>
      </c>
      <c r="W41" s="69">
        <v>2.0021778829044532</v>
      </c>
      <c r="X41" s="69">
        <v>2.5055796531819632</v>
      </c>
      <c r="Y41" s="69">
        <v>-4.8585549738871747E-2</v>
      </c>
      <c r="Z41" s="69">
        <v>-5.3299954197802757E-2</v>
      </c>
      <c r="AA41" s="69">
        <v>0.29061371841155226</v>
      </c>
      <c r="AB41" s="69">
        <v>0.10190448160502763</v>
      </c>
      <c r="AC41" s="69">
        <v>-0.14621666739974071</v>
      </c>
      <c r="AD41" s="133">
        <v>-4.357729380262166E-2</v>
      </c>
      <c r="AE41" s="133">
        <v>0.15281954316907467</v>
      </c>
      <c r="AF41" s="133">
        <v>0.28216258148580903</v>
      </c>
    </row>
    <row r="42" spans="1:32" x14ac:dyDescent="0.25">
      <c r="A42" t="s">
        <v>197</v>
      </c>
      <c r="B42" t="s">
        <v>267</v>
      </c>
      <c r="C42" s="31">
        <v>4923</v>
      </c>
      <c r="D42" s="31">
        <v>1922</v>
      </c>
      <c r="E42" s="65">
        <v>12361</v>
      </c>
      <c r="F42" s="31">
        <v>3248</v>
      </c>
      <c r="G42" s="66">
        <v>958174.77999992564</v>
      </c>
      <c r="H42" s="31">
        <v>219766.10999999958</v>
      </c>
      <c r="I42" s="65">
        <v>699663.63999997324</v>
      </c>
      <c r="J42" s="65">
        <v>153274.86999999906</v>
      </c>
      <c r="K42" s="31">
        <v>103120.14285714286</v>
      </c>
      <c r="L42" s="31">
        <v>44939.142857142855</v>
      </c>
      <c r="M42" s="67">
        <v>8.3423786794873269</v>
      </c>
      <c r="N42" s="67">
        <v>14.089491466689768</v>
      </c>
      <c r="O42" s="68">
        <v>77.515959873790607</v>
      </c>
      <c r="P42" s="68">
        <v>67.661979679802826</v>
      </c>
      <c r="Q42" s="69">
        <v>0.73020460839099477</v>
      </c>
      <c r="R42" s="69">
        <v>0.68751463394810142</v>
      </c>
      <c r="S42" s="31">
        <v>4763.1428571428569</v>
      </c>
      <c r="T42" s="31">
        <v>88695.428571428565</v>
      </c>
      <c r="U42" s="69">
        <v>1.2561050817931552</v>
      </c>
      <c r="V42" s="69">
        <v>2.6945812807881775</v>
      </c>
      <c r="W42" s="69">
        <v>3.238176850834436</v>
      </c>
      <c r="X42" s="69">
        <v>3.5040408981752806</v>
      </c>
      <c r="Y42" s="69">
        <v>-7.644482156549981E-2</v>
      </c>
      <c r="Z42" s="69">
        <v>-7.8555745615154771E-2</v>
      </c>
      <c r="AA42" s="69">
        <v>0.13414074685750976</v>
      </c>
      <c r="AB42" s="69">
        <v>0.13559514633233505</v>
      </c>
      <c r="AC42" s="69">
        <v>1.2823800563159793E-3</v>
      </c>
      <c r="AD42" s="133">
        <v>0.51263783148945341</v>
      </c>
      <c r="AE42" s="133">
        <v>1.669909741461894</v>
      </c>
      <c r="AF42" s="133">
        <v>2.6079173633445678</v>
      </c>
    </row>
    <row r="43" spans="1:32" x14ac:dyDescent="0.25">
      <c r="A43" t="s">
        <v>197</v>
      </c>
      <c r="B43" t="s">
        <v>260</v>
      </c>
      <c r="C43" s="31">
        <v>2934</v>
      </c>
      <c r="D43" s="31">
        <v>1841</v>
      </c>
      <c r="E43" s="65">
        <v>3704</v>
      </c>
      <c r="F43" s="31">
        <v>2628</v>
      </c>
      <c r="G43" s="66">
        <v>817225.74999998894</v>
      </c>
      <c r="H43" s="31">
        <v>286293.57999999804</v>
      </c>
      <c r="I43" s="65">
        <v>476884.88000000024</v>
      </c>
      <c r="J43" s="65">
        <v>129112.04999999874</v>
      </c>
      <c r="K43" s="31">
        <v>40895.714285714283</v>
      </c>
      <c r="L43" s="31">
        <v>61745.428571428572</v>
      </c>
      <c r="M43" s="67">
        <v>11.040959580376427</v>
      </c>
      <c r="N43" s="67">
        <v>23.634168110463591</v>
      </c>
      <c r="O43" s="68">
        <v>220.63330183585015</v>
      </c>
      <c r="P43" s="68">
        <v>108.93971841704644</v>
      </c>
      <c r="Q43" s="69">
        <v>0.58354118185826465</v>
      </c>
      <c r="R43" s="69">
        <v>0.43835679551229612</v>
      </c>
      <c r="S43" s="31">
        <v>24164.571428571428</v>
      </c>
      <c r="T43" s="31">
        <v>8237.4285714285706</v>
      </c>
      <c r="U43" s="69">
        <v>-0.35469832353118103</v>
      </c>
      <c r="V43" s="69">
        <v>0.36757990867579915</v>
      </c>
      <c r="W43" s="69">
        <v>1.7551027864473854</v>
      </c>
      <c r="X43" s="69">
        <v>2.6423617813930127</v>
      </c>
      <c r="Y43" s="69">
        <v>-2.847750863571108E-2</v>
      </c>
      <c r="Z43" s="69">
        <v>-4.5298863109590415E-2</v>
      </c>
      <c r="AA43" s="69">
        <v>0.23755429335115275</v>
      </c>
      <c r="AB43" s="69">
        <v>0.15022776452267039</v>
      </c>
      <c r="AC43" s="69">
        <v>-7.0563796107896204E-2</v>
      </c>
      <c r="AD43" s="133">
        <v>-0.15456549128521138</v>
      </c>
      <c r="AE43" s="133">
        <v>0.4817687126282052</v>
      </c>
      <c r="AF43" s="133">
        <v>0.80382834644771728</v>
      </c>
    </row>
    <row r="44" spans="1:32" x14ac:dyDescent="0.25">
      <c r="A44" t="s">
        <v>197</v>
      </c>
      <c r="B44" t="s">
        <v>259</v>
      </c>
      <c r="C44" s="31">
        <v>700</v>
      </c>
      <c r="D44" s="31">
        <v>1373</v>
      </c>
      <c r="E44" s="65">
        <v>1650</v>
      </c>
      <c r="F44" s="31">
        <v>3223</v>
      </c>
      <c r="G44" s="66">
        <v>651356.36999999778</v>
      </c>
      <c r="H44" s="31">
        <v>735738.71999999241</v>
      </c>
      <c r="I44" s="65">
        <v>397852.7900000005</v>
      </c>
      <c r="J44" s="65">
        <v>393856.05999999057</v>
      </c>
      <c r="K44" s="31">
        <v>23023.714285714286</v>
      </c>
      <c r="L44" s="31">
        <v>37915.142857142855</v>
      </c>
      <c r="M44" s="67">
        <v>13.953766233766235</v>
      </c>
      <c r="N44" s="67">
        <v>11.998999477988514</v>
      </c>
      <c r="O44" s="68">
        <v>394.76143636363503</v>
      </c>
      <c r="P44" s="68">
        <v>228.27760471610065</v>
      </c>
      <c r="Q44" s="69">
        <v>0.61080663109198097</v>
      </c>
      <c r="R44" s="69">
        <v>0.52553463937188993</v>
      </c>
      <c r="S44" s="31">
        <v>1513.8571428571429</v>
      </c>
      <c r="T44" s="31">
        <v>8569.5714285714294</v>
      </c>
      <c r="U44" s="69">
        <v>-0.40676171601244882</v>
      </c>
      <c r="V44" s="69">
        <v>-0.5063605336642879</v>
      </c>
      <c r="W44" s="69">
        <v>-0.15693208317212837</v>
      </c>
      <c r="X44" s="69">
        <v>-2.3037551177633064E-2</v>
      </c>
      <c r="Y44" s="69">
        <v>-6.4618139515065676E-2</v>
      </c>
      <c r="Z44" s="69">
        <v>-5.8450321608216282E-2</v>
      </c>
      <c r="AA44" s="69">
        <v>5.7692307692307709E-2</v>
      </c>
      <c r="AB44" s="69">
        <v>9.7241349801698851E-2</v>
      </c>
      <c r="AC44" s="69">
        <v>3.7391821630696986E-2</v>
      </c>
      <c r="AD44" s="133">
        <v>-6.0981190428860105E-2</v>
      </c>
      <c r="AE44" s="133">
        <v>0.1421757119275637</v>
      </c>
      <c r="AF44" s="133">
        <v>0.38011312504501421</v>
      </c>
    </row>
    <row r="45" spans="1:32" x14ac:dyDescent="0.25">
      <c r="A45" t="s">
        <v>197</v>
      </c>
      <c r="B45" t="s">
        <v>257</v>
      </c>
      <c r="C45" s="31">
        <v>1176</v>
      </c>
      <c r="D45" s="31">
        <v>1182</v>
      </c>
      <c r="E45" s="65">
        <v>2242</v>
      </c>
      <c r="F45" s="31">
        <v>2416</v>
      </c>
      <c r="G45" s="66">
        <v>512092.57999999967</v>
      </c>
      <c r="H45" s="31">
        <v>315474.83999999933</v>
      </c>
      <c r="I45" s="65">
        <v>316987.17000000004</v>
      </c>
      <c r="J45" s="65">
        <v>153570.9999999993</v>
      </c>
      <c r="K45" s="31">
        <v>28803.428571428572</v>
      </c>
      <c r="L45" s="31">
        <v>55635.285714285717</v>
      </c>
      <c r="M45" s="67">
        <v>12.847202752644323</v>
      </c>
      <c r="N45" s="67">
        <v>23.387539843523619</v>
      </c>
      <c r="O45" s="68">
        <v>228.40882247992849</v>
      </c>
      <c r="P45" s="68">
        <v>130.57733443708582</v>
      </c>
      <c r="Q45" s="69">
        <v>0.61900363797499325</v>
      </c>
      <c r="R45" s="69">
        <v>0.4764047481333013</v>
      </c>
      <c r="S45" s="31">
        <v>45424.285714285717</v>
      </c>
      <c r="T45" s="31">
        <v>5934</v>
      </c>
      <c r="U45" s="69">
        <v>-0.49424697070461454</v>
      </c>
      <c r="V45" s="69">
        <v>-8.6506622516556275E-2</v>
      </c>
      <c r="W45" s="69">
        <v>0.59288189194422203</v>
      </c>
      <c r="X45" s="69">
        <v>1.0750886444046519</v>
      </c>
      <c r="Y45" s="69">
        <v>-6.2155344750589481E-2</v>
      </c>
      <c r="Z45" s="69">
        <v>-5.5470451830510803E-2</v>
      </c>
      <c r="AA45" s="69">
        <v>7.8922040423484052E-2</v>
      </c>
      <c r="AB45" s="69">
        <v>4.2643898191931484E-2</v>
      </c>
      <c r="AC45" s="69">
        <v>-3.3624433343963589E-2</v>
      </c>
      <c r="AD45" s="133">
        <v>4.9590629224900644E-2</v>
      </c>
      <c r="AE45" s="133">
        <v>0.46259018488241993</v>
      </c>
      <c r="AF45" s="133">
        <v>0.72809791404387614</v>
      </c>
    </row>
    <row r="46" spans="1:32" x14ac:dyDescent="0.25">
      <c r="A46" t="s">
        <v>197</v>
      </c>
      <c r="B46" t="s">
        <v>261</v>
      </c>
      <c r="C46" s="31">
        <v>1305</v>
      </c>
      <c r="D46" s="31">
        <v>837</v>
      </c>
      <c r="E46" s="65">
        <v>1506</v>
      </c>
      <c r="F46" s="31">
        <v>961</v>
      </c>
      <c r="G46" s="66">
        <v>488137.65</v>
      </c>
      <c r="H46" s="31">
        <v>264573.78999999998</v>
      </c>
      <c r="I46" s="65">
        <v>260615.84000000116</v>
      </c>
      <c r="J46" s="65">
        <v>122038.8599999994</v>
      </c>
      <c r="K46" s="31">
        <v>15481.571428571429</v>
      </c>
      <c r="L46" s="31">
        <v>20298.571428571428</v>
      </c>
      <c r="M46" s="67">
        <v>10.279927907417948</v>
      </c>
      <c r="N46" s="67">
        <v>21.454107690062745</v>
      </c>
      <c r="O46" s="68">
        <v>324.12858565737054</v>
      </c>
      <c r="P46" s="68">
        <v>275.31091571279916</v>
      </c>
      <c r="Q46" s="69">
        <v>0.53389825595301066</v>
      </c>
      <c r="R46" s="69">
        <v>0.45391227947956814</v>
      </c>
      <c r="S46" s="31">
        <v>643.85714285714289</v>
      </c>
      <c r="T46" s="31">
        <v>20995.428571428572</v>
      </c>
      <c r="U46" s="69">
        <v>-0.25386726722499819</v>
      </c>
      <c r="V46" s="69">
        <v>0.53902185223725296</v>
      </c>
      <c r="W46" s="69">
        <v>0.80912470581458762</v>
      </c>
      <c r="X46" s="69">
        <v>1.1308657253745631</v>
      </c>
      <c r="Y46" s="69">
        <v>-8.3731445712961983E-2</v>
      </c>
      <c r="Z46" s="69">
        <v>-8.7955092491289411E-2</v>
      </c>
      <c r="AA46" s="69">
        <v>0.18863456985003957</v>
      </c>
      <c r="AB46" s="69">
        <v>0.12732923278264496</v>
      </c>
      <c r="AC46" s="69">
        <v>-5.1576269631068206E-2</v>
      </c>
      <c r="AD46" s="133">
        <v>1.0774989891850035</v>
      </c>
      <c r="AE46" s="133">
        <v>1.1530203190482284</v>
      </c>
      <c r="AF46" s="133">
        <v>1.4729475107810435</v>
      </c>
    </row>
    <row r="47" spans="1:32" x14ac:dyDescent="0.25">
      <c r="A47" t="s">
        <v>197</v>
      </c>
      <c r="B47" t="s">
        <v>256</v>
      </c>
      <c r="C47" s="31">
        <v>1179</v>
      </c>
      <c r="D47" s="31">
        <v>2188</v>
      </c>
      <c r="E47" s="65">
        <v>4501</v>
      </c>
      <c r="F47" s="31">
        <v>6236</v>
      </c>
      <c r="G47" s="66">
        <v>436811.65999999916</v>
      </c>
      <c r="H47" s="31">
        <v>669199.63999998197</v>
      </c>
      <c r="I47" s="65">
        <v>241723.58999999947</v>
      </c>
      <c r="J47" s="65">
        <v>394977.73999998003</v>
      </c>
      <c r="K47" s="31">
        <v>72763.142857142855</v>
      </c>
      <c r="L47" s="31">
        <v>112097.57142857143</v>
      </c>
      <c r="M47" s="67">
        <v>16.165994858285458</v>
      </c>
      <c r="N47" s="67">
        <v>18.124532418952619</v>
      </c>
      <c r="O47" s="68">
        <v>97.047691624083356</v>
      </c>
      <c r="P47" s="68">
        <v>107.31232200127998</v>
      </c>
      <c r="Q47" s="69">
        <v>0.55338172520394702</v>
      </c>
      <c r="R47" s="69">
        <v>0.57501605440673487</v>
      </c>
      <c r="S47" s="31">
        <v>8655.5714285714294</v>
      </c>
      <c r="T47" s="31">
        <v>18495.714285714286</v>
      </c>
      <c r="U47" s="69">
        <v>-0.3650429536513472</v>
      </c>
      <c r="V47" s="69">
        <v>-0.29361770365618989</v>
      </c>
      <c r="W47" s="69">
        <v>-0.36577135636233926</v>
      </c>
      <c r="X47" s="69">
        <v>-0.39097271408428635</v>
      </c>
      <c r="Y47" s="69">
        <v>8.8518268550028534E-3</v>
      </c>
      <c r="Z47" s="69">
        <v>-3.391360755051942E-2</v>
      </c>
      <c r="AA47" s="69">
        <v>0.39306716186939039</v>
      </c>
      <c r="AB47" s="69">
        <v>0.18855454700723118</v>
      </c>
      <c r="AC47" s="69">
        <v>-0.14680743359689752</v>
      </c>
      <c r="AD47" s="133">
        <v>-0.2893910616604895</v>
      </c>
      <c r="AE47" s="133">
        <v>-7.3753138292090042E-2</v>
      </c>
      <c r="AF47" s="133">
        <v>-2.8811825562507182E-2</v>
      </c>
    </row>
    <row r="48" spans="1:32" x14ac:dyDescent="0.25">
      <c r="A48" t="s">
        <v>197</v>
      </c>
      <c r="B48" t="s">
        <v>266</v>
      </c>
      <c r="C48" s="31">
        <v>714</v>
      </c>
      <c r="D48" s="31">
        <v>503</v>
      </c>
      <c r="E48" s="65">
        <v>933</v>
      </c>
      <c r="F48" s="31">
        <v>683</v>
      </c>
      <c r="G48" s="66">
        <v>396437.45000000077</v>
      </c>
      <c r="H48" s="31">
        <v>98256.530000000086</v>
      </c>
      <c r="I48" s="65">
        <v>225118.86999999976</v>
      </c>
      <c r="J48" s="65">
        <v>37277.850000000108</v>
      </c>
      <c r="K48" s="31">
        <v>13739.428571428571</v>
      </c>
      <c r="L48" s="31">
        <v>20757.714285714286</v>
      </c>
      <c r="M48" s="67">
        <v>14.726075639258918</v>
      </c>
      <c r="N48" s="67">
        <v>29.891468253968252</v>
      </c>
      <c r="O48" s="68">
        <v>424.90616291532774</v>
      </c>
      <c r="P48" s="68">
        <v>143.86021961932661</v>
      </c>
      <c r="Q48" s="69">
        <v>0.56785470192081833</v>
      </c>
      <c r="R48" s="69">
        <v>0.36241868928310517</v>
      </c>
      <c r="S48" s="31">
        <v>10785</v>
      </c>
      <c r="T48" s="31">
        <v>592.71428571428567</v>
      </c>
      <c r="U48" s="69">
        <v>-0.3542159885481474</v>
      </c>
      <c r="V48" s="69">
        <v>0.3206442166910688</v>
      </c>
      <c r="W48" s="69">
        <v>2.895247674632929</v>
      </c>
      <c r="X48" s="69">
        <v>5.1708925762387867</v>
      </c>
      <c r="Y48" s="69">
        <v>-6.8178917759365576E-2</v>
      </c>
      <c r="Z48" s="69">
        <v>-6.6043873874748749E-2</v>
      </c>
      <c r="AA48" s="69">
        <v>3.897550111358572E-2</v>
      </c>
      <c r="AB48" s="69">
        <v>1.8749463883629858E-2</v>
      </c>
      <c r="AC48" s="69">
        <v>-1.9467289852626246E-2</v>
      </c>
      <c r="AD48" s="133">
        <v>-0.1621849247344832</v>
      </c>
      <c r="AE48" s="133">
        <v>6.7598835276974342E-2</v>
      </c>
      <c r="AF48" s="133">
        <v>0.21323888017884168</v>
      </c>
    </row>
    <row r="49" spans="1:32" x14ac:dyDescent="0.25">
      <c r="A49" t="s">
        <v>197</v>
      </c>
      <c r="B49" t="s">
        <v>263</v>
      </c>
      <c r="C49" s="31">
        <v>449</v>
      </c>
      <c r="D49" s="31">
        <v>340</v>
      </c>
      <c r="E49" s="65">
        <v>492</v>
      </c>
      <c r="F49" s="31">
        <v>372</v>
      </c>
      <c r="G49" s="66">
        <v>385717.60999999923</v>
      </c>
      <c r="H49" s="31">
        <v>208362.75000000003</v>
      </c>
      <c r="I49" s="65">
        <v>224180.30999999953</v>
      </c>
      <c r="J49" s="65">
        <v>107979.32000000005</v>
      </c>
      <c r="K49" s="31">
        <v>9251.5714285714294</v>
      </c>
      <c r="L49" s="31">
        <v>6530.8571428571431</v>
      </c>
      <c r="M49" s="67">
        <v>18.804006968641115</v>
      </c>
      <c r="N49" s="67">
        <v>17.170767535806096</v>
      </c>
      <c r="O49" s="68">
        <v>783.97888211381962</v>
      </c>
      <c r="P49" s="68">
        <v>560.11491935483878</v>
      </c>
      <c r="Q49" s="69">
        <v>0.58120320200055164</v>
      </c>
      <c r="R49" s="69">
        <v>0.49588634018788691</v>
      </c>
      <c r="S49" s="31">
        <v>4482.7142857142853</v>
      </c>
      <c r="T49" s="31">
        <v>5417.5714285714284</v>
      </c>
      <c r="U49" s="69">
        <v>0.37888266689999117</v>
      </c>
      <c r="V49" s="69">
        <v>0.30645161290322576</v>
      </c>
      <c r="W49" s="69">
        <v>0.8273867569899096</v>
      </c>
      <c r="X49" s="69">
        <v>1.1426728247928555</v>
      </c>
      <c r="Y49" s="69">
        <v>2.5932945196915247E-2</v>
      </c>
      <c r="Z49" s="69">
        <v>6.2931195226552106E-3</v>
      </c>
      <c r="AA49" s="69">
        <v>0.27131782945736438</v>
      </c>
      <c r="AB49" s="69">
        <v>0.22468611270623495</v>
      </c>
      <c r="AC49" s="69">
        <v>-3.6679825981071223E-2</v>
      </c>
      <c r="AD49" s="133">
        <v>-0.18630249403247162</v>
      </c>
      <c r="AE49" s="133">
        <v>1.4973110192771637E-2</v>
      </c>
      <c r="AF49" s="133">
        <v>0.2134671767266251</v>
      </c>
    </row>
    <row r="50" spans="1:32" x14ac:dyDescent="0.25">
      <c r="A50" t="s">
        <v>197</v>
      </c>
      <c r="B50" t="s">
        <v>262</v>
      </c>
      <c r="C50" s="31">
        <v>522</v>
      </c>
      <c r="D50" s="31">
        <v>750</v>
      </c>
      <c r="E50" s="65">
        <v>2173</v>
      </c>
      <c r="F50" s="31">
        <v>3042</v>
      </c>
      <c r="G50" s="66">
        <v>365663.65000000026</v>
      </c>
      <c r="H50" s="31">
        <v>369725.14999999944</v>
      </c>
      <c r="I50" s="65">
        <v>219981.03000000044</v>
      </c>
      <c r="J50" s="65">
        <v>185093.9299999997</v>
      </c>
      <c r="K50" s="31">
        <v>29598.428571428572</v>
      </c>
      <c r="L50" s="31">
        <v>63159.285714285717</v>
      </c>
      <c r="M50" s="67">
        <v>13.620997962001184</v>
      </c>
      <c r="N50" s="67">
        <v>20.746192434582184</v>
      </c>
      <c r="O50" s="68">
        <v>168.27595490105855</v>
      </c>
      <c r="P50" s="68">
        <v>121.54015450361585</v>
      </c>
      <c r="Q50" s="69">
        <v>0.60159392381496024</v>
      </c>
      <c r="R50" s="69">
        <v>0.48371919240131955</v>
      </c>
      <c r="S50" s="31">
        <v>14184.428571428571</v>
      </c>
      <c r="T50" s="31">
        <v>8952</v>
      </c>
      <c r="U50" s="69">
        <v>-0.54390599730839262</v>
      </c>
      <c r="V50" s="69">
        <v>-0.30440499671268906</v>
      </c>
      <c r="W50" s="69">
        <v>-4.9661106365091023E-2</v>
      </c>
      <c r="X50" s="69">
        <v>0.17696141874942617</v>
      </c>
      <c r="Y50" s="69">
        <v>1.4783569573152633E-2</v>
      </c>
      <c r="Z50" s="69">
        <v>-1.292507932273157E-2</v>
      </c>
      <c r="AA50" s="69">
        <v>9.1959798994974973E-2</v>
      </c>
      <c r="AB50" s="69">
        <v>0.1165281834598173</v>
      </c>
      <c r="AC50" s="69">
        <v>2.2499348865640201E-2</v>
      </c>
      <c r="AD50" s="133">
        <v>-0.3280632215512545</v>
      </c>
      <c r="AE50" s="133">
        <v>-0.15166922919811052</v>
      </c>
      <c r="AF50" s="133">
        <v>4.1518296693027132E-2</v>
      </c>
    </row>
    <row r="51" spans="1:32" x14ac:dyDescent="0.25">
      <c r="A51" t="s">
        <v>197</v>
      </c>
      <c r="B51" t="s">
        <v>253</v>
      </c>
      <c r="C51" s="31">
        <v>1194</v>
      </c>
      <c r="D51" s="31">
        <v>2362</v>
      </c>
      <c r="E51" s="65">
        <v>1392</v>
      </c>
      <c r="F51" s="31">
        <v>2760</v>
      </c>
      <c r="G51" s="66">
        <v>365289.35999999591</v>
      </c>
      <c r="H51" s="31">
        <v>566737.85999999288</v>
      </c>
      <c r="I51" s="65">
        <v>175410.2600000008</v>
      </c>
      <c r="J51" s="65">
        <v>239965.06999999122</v>
      </c>
      <c r="K51" s="31">
        <v>14768.571428571429</v>
      </c>
      <c r="L51" s="31">
        <v>64779.428571428572</v>
      </c>
      <c r="M51" s="67">
        <v>10.60960591133005</v>
      </c>
      <c r="N51" s="67">
        <v>23.58328727199638</v>
      </c>
      <c r="O51" s="68">
        <v>262.42051724137639</v>
      </c>
      <c r="P51" s="68">
        <v>205.3398043478235</v>
      </c>
      <c r="Q51" s="69">
        <v>0.4801953716910965</v>
      </c>
      <c r="R51" s="69">
        <v>0.41112502819613617</v>
      </c>
      <c r="S51" s="31">
        <v>6158.2857142857147</v>
      </c>
      <c r="T51" s="31">
        <v>4677.2857142857147</v>
      </c>
      <c r="U51" s="69">
        <v>-0.7858403020359197</v>
      </c>
      <c r="V51" s="69">
        <v>-0.51231884057971011</v>
      </c>
      <c r="W51" s="69">
        <v>-0.37707442026195226</v>
      </c>
      <c r="X51" s="69">
        <v>-0.27405152780192577</v>
      </c>
      <c r="Y51" s="69">
        <v>-8.7606022891449142E-2</v>
      </c>
      <c r="Z51" s="69">
        <v>-8.0429097507605185E-2</v>
      </c>
      <c r="AA51" s="69">
        <v>0.2439678284182305</v>
      </c>
      <c r="AB51" s="69">
        <v>5.8847826960949812E-2</v>
      </c>
      <c r="AC51" s="69">
        <v>-0.1488141391025124</v>
      </c>
      <c r="AD51" s="133">
        <v>0.18957948877821473</v>
      </c>
      <c r="AE51" s="133">
        <v>0.21457806047336181</v>
      </c>
      <c r="AF51" s="133">
        <v>0.15866342225974253</v>
      </c>
    </row>
    <row r="52" spans="1:32" x14ac:dyDescent="0.25">
      <c r="A52" t="s">
        <v>197</v>
      </c>
      <c r="B52" t="s">
        <v>270</v>
      </c>
      <c r="C52" s="31">
        <v>846</v>
      </c>
      <c r="D52" s="31">
        <v>450</v>
      </c>
      <c r="E52" s="65">
        <v>892</v>
      </c>
      <c r="F52" s="31">
        <v>486</v>
      </c>
      <c r="G52" s="66">
        <v>363581.24999999709</v>
      </c>
      <c r="H52" s="31">
        <v>109764.6400000002</v>
      </c>
      <c r="I52" s="65">
        <v>214362.21000000008</v>
      </c>
      <c r="J52" s="65">
        <v>51335.300000000425</v>
      </c>
      <c r="K52" s="31">
        <v>11239.571428571429</v>
      </c>
      <c r="L52" s="31">
        <v>6164.5714285714284</v>
      </c>
      <c r="M52" s="67">
        <v>12.600416399743755</v>
      </c>
      <c r="N52" s="67">
        <v>12.951127819548873</v>
      </c>
      <c r="O52" s="68">
        <v>407.60229820627478</v>
      </c>
      <c r="P52" s="68">
        <v>225.85316872428027</v>
      </c>
      <c r="Q52" s="69">
        <v>0.58958543654273099</v>
      </c>
      <c r="R52" s="69">
        <v>0.45992432683097206</v>
      </c>
      <c r="S52" s="31">
        <v>3571.2857142857142</v>
      </c>
      <c r="T52" s="31">
        <v>6768.2857142857147</v>
      </c>
      <c r="U52" s="69">
        <v>0.77185298479792364</v>
      </c>
      <c r="V52" s="69">
        <v>0.77572016460905346</v>
      </c>
      <c r="W52" s="69">
        <v>2.1905013308475074</v>
      </c>
      <c r="X52" s="69">
        <v>3.0813031642943729</v>
      </c>
      <c r="Y52" s="69">
        <v>-2.5452033588008072E-2</v>
      </c>
      <c r="Z52" s="69">
        <v>-3.0868531589125836E-2</v>
      </c>
      <c r="AA52" s="69">
        <v>0.15394566623544637</v>
      </c>
      <c r="AB52" s="69">
        <v>0.15023538490628185</v>
      </c>
      <c r="AC52" s="69">
        <v>-3.2152998513946818E-3</v>
      </c>
      <c r="AD52" s="133">
        <v>0.12598241018554604</v>
      </c>
      <c r="AE52" s="133">
        <v>0.36398722682686502</v>
      </c>
      <c r="AF52" s="133">
        <v>0.58782835479263751</v>
      </c>
    </row>
    <row r="53" spans="1:32" x14ac:dyDescent="0.25">
      <c r="A53" t="s">
        <v>197</v>
      </c>
      <c r="B53" t="s">
        <v>258</v>
      </c>
      <c r="C53" s="31">
        <v>535</v>
      </c>
      <c r="D53" s="31">
        <v>857</v>
      </c>
      <c r="E53" s="65">
        <v>762</v>
      </c>
      <c r="F53" s="31">
        <v>1582</v>
      </c>
      <c r="G53" s="66">
        <v>339712.77000000136</v>
      </c>
      <c r="H53" s="31">
        <v>379831.45</v>
      </c>
      <c r="I53" s="65">
        <v>192729.29000000015</v>
      </c>
      <c r="J53" s="65">
        <v>170800.57000000056</v>
      </c>
      <c r="K53" s="31">
        <v>7330.8571428571431</v>
      </c>
      <c r="L53" s="31">
        <v>33208</v>
      </c>
      <c r="M53" s="67">
        <v>9.6205474315710546</v>
      </c>
      <c r="N53" s="67">
        <v>21.471044882662621</v>
      </c>
      <c r="O53" s="68">
        <v>445.81728346456873</v>
      </c>
      <c r="P53" s="68">
        <v>240.09573324905185</v>
      </c>
      <c r="Q53" s="69">
        <v>0.56733013009784528</v>
      </c>
      <c r="R53" s="69">
        <v>0.4444916491149884</v>
      </c>
      <c r="S53" s="31">
        <v>5283.2857142857147</v>
      </c>
      <c r="T53" s="31">
        <v>4911.1428571428569</v>
      </c>
      <c r="U53" s="69">
        <v>-0.78374832226313795</v>
      </c>
      <c r="V53" s="69">
        <v>-0.52591656131479136</v>
      </c>
      <c r="W53" s="69">
        <v>-0.12097976615680117</v>
      </c>
      <c r="X53" s="69">
        <v>0.120510321817481</v>
      </c>
      <c r="Y53" s="69">
        <v>-6.6235212050866354E-2</v>
      </c>
      <c r="Z53" s="69">
        <v>-6.5146105079064265E-2</v>
      </c>
      <c r="AA53" s="69">
        <v>0.37793851717902349</v>
      </c>
      <c r="AB53" s="69">
        <v>0.33765297231107838</v>
      </c>
      <c r="AC53" s="69">
        <v>-2.9236097522275184E-2</v>
      </c>
      <c r="AD53" s="133">
        <v>-0.14269956930216429</v>
      </c>
      <c r="AE53" s="133">
        <v>0.1203934858701608</v>
      </c>
      <c r="AF53" s="133">
        <v>0.35616042491069211</v>
      </c>
    </row>
    <row r="54" spans="1:32" x14ac:dyDescent="0.25">
      <c r="A54" t="s">
        <v>197</v>
      </c>
      <c r="B54" t="s">
        <v>273</v>
      </c>
      <c r="C54" s="31">
        <v>1042</v>
      </c>
      <c r="D54" s="31">
        <v>707</v>
      </c>
      <c r="E54" s="65">
        <v>2079</v>
      </c>
      <c r="F54" s="31">
        <v>1314</v>
      </c>
      <c r="G54" s="66">
        <v>293820.65000000264</v>
      </c>
      <c r="H54" s="31">
        <v>77572.960000000123</v>
      </c>
      <c r="I54" s="65">
        <v>156030.05000000092</v>
      </c>
      <c r="J54" s="65">
        <v>33305.27000000012</v>
      </c>
      <c r="K54" s="31">
        <v>32159.714285714286</v>
      </c>
      <c r="L54" s="31">
        <v>25398.714285714286</v>
      </c>
      <c r="M54" s="67">
        <v>15.468838040266611</v>
      </c>
      <c r="N54" s="67">
        <v>19.744614725109848</v>
      </c>
      <c r="O54" s="68">
        <v>141.32787397787524</v>
      </c>
      <c r="P54" s="68">
        <v>59.035738203957479</v>
      </c>
      <c r="Q54" s="69">
        <v>0.53103840727327889</v>
      </c>
      <c r="R54" s="69">
        <v>0.42216341882543407</v>
      </c>
      <c r="S54" s="31">
        <v>16384.285714285714</v>
      </c>
      <c r="T54" s="31">
        <v>15998.571428571429</v>
      </c>
      <c r="U54" s="69">
        <v>0.23797605053124182</v>
      </c>
      <c r="V54" s="69">
        <v>0.54185692541856922</v>
      </c>
      <c r="W54" s="69">
        <v>2.6854691376995548</v>
      </c>
      <c r="X54" s="69">
        <v>3.6595497371643946</v>
      </c>
      <c r="Y54" s="69">
        <v>-5.6874631547945032E-2</v>
      </c>
      <c r="Z54" s="69">
        <v>-5.9657477025898076E-2</v>
      </c>
      <c r="AA54" s="69">
        <v>0.12075471698113205</v>
      </c>
      <c r="AB54" s="69">
        <v>3.3631818023427407E-3</v>
      </c>
      <c r="AC54" s="69">
        <v>-0.10474328896423968</v>
      </c>
      <c r="AD54" s="133">
        <v>6.189108858853222E-2</v>
      </c>
      <c r="AE54" s="133">
        <v>0.15280132564405574</v>
      </c>
      <c r="AF54" s="133">
        <v>0.18161704778099161</v>
      </c>
    </row>
    <row r="55" spans="1:32" x14ac:dyDescent="0.25">
      <c r="A55" t="s">
        <v>197</v>
      </c>
      <c r="B55" t="s">
        <v>268</v>
      </c>
      <c r="C55" s="31">
        <v>599</v>
      </c>
      <c r="D55" s="31">
        <v>452</v>
      </c>
      <c r="E55" s="65">
        <v>645</v>
      </c>
      <c r="F55" s="31">
        <v>487</v>
      </c>
      <c r="G55" s="66">
        <v>290905.61999999871</v>
      </c>
      <c r="H55" s="31">
        <v>156157.4100000005</v>
      </c>
      <c r="I55" s="65">
        <v>177195.14000000095</v>
      </c>
      <c r="J55" s="65">
        <v>80817.770000000484</v>
      </c>
      <c r="K55" s="31">
        <v>6685.8571428571431</v>
      </c>
      <c r="L55" s="31">
        <v>10888.571428571429</v>
      </c>
      <c r="M55" s="67">
        <v>10.365669988925804</v>
      </c>
      <c r="N55" s="67">
        <v>22.680023228803719</v>
      </c>
      <c r="O55" s="68">
        <v>451.01646511627706</v>
      </c>
      <c r="P55" s="68">
        <v>320.65176591375871</v>
      </c>
      <c r="Q55" s="69">
        <v>0.60911556126004618</v>
      </c>
      <c r="R55" s="69">
        <v>0.51156868999291116</v>
      </c>
      <c r="S55" s="31">
        <v>5327.4285714285716</v>
      </c>
      <c r="T55" s="31">
        <v>5165.7142857142853</v>
      </c>
      <c r="U55" s="69">
        <v>-0.39914720545788507</v>
      </c>
      <c r="V55" s="69">
        <v>0.2772073921971252</v>
      </c>
      <c r="W55" s="69">
        <v>0.79429813801342086</v>
      </c>
      <c r="X55" s="69">
        <v>1.1374574841862009</v>
      </c>
      <c r="Y55" s="69">
        <v>-7.4679211651281219E-2</v>
      </c>
      <c r="Z55" s="69">
        <v>-7.8720472440944822E-2</v>
      </c>
      <c r="AA55" s="69">
        <v>0.16847826086956519</v>
      </c>
      <c r="AB55" s="69">
        <v>0.13633955810642884</v>
      </c>
      <c r="AC55" s="69">
        <v>-2.7504750271707512E-2</v>
      </c>
      <c r="AD55" s="133">
        <v>3.6866303886705448E-2</v>
      </c>
      <c r="AE55" s="133">
        <v>0.39100350103843823</v>
      </c>
      <c r="AF55" s="133">
        <v>0.71220639764817051</v>
      </c>
    </row>
    <row r="56" spans="1:32" x14ac:dyDescent="0.25">
      <c r="A56" t="s">
        <v>197</v>
      </c>
      <c r="B56" t="s">
        <v>265</v>
      </c>
      <c r="C56" s="31">
        <v>297</v>
      </c>
      <c r="D56" s="31">
        <v>314</v>
      </c>
      <c r="E56" s="65">
        <v>1100</v>
      </c>
      <c r="F56" s="31">
        <v>1025</v>
      </c>
      <c r="G56" s="66">
        <v>208604.42000000036</v>
      </c>
      <c r="H56" s="31">
        <v>190259.10000000027</v>
      </c>
      <c r="I56" s="65">
        <v>90488.969999999987</v>
      </c>
      <c r="J56" s="65">
        <v>82084.910000000265</v>
      </c>
      <c r="K56" s="31">
        <v>13324.857142857143</v>
      </c>
      <c r="L56" s="31">
        <v>33335.142857142855</v>
      </c>
      <c r="M56" s="67">
        <v>12.113506493506494</v>
      </c>
      <c r="N56" s="67">
        <v>32.647321428571431</v>
      </c>
      <c r="O56" s="68">
        <v>189.64038181818214</v>
      </c>
      <c r="P56" s="68">
        <v>185.61863414634172</v>
      </c>
      <c r="Q56" s="69">
        <v>0.4337826111258804</v>
      </c>
      <c r="R56" s="69">
        <v>0.41720986347512157</v>
      </c>
      <c r="S56" s="31">
        <v>6002.7142857142853</v>
      </c>
      <c r="T56" s="31">
        <v>1272.5714285714287</v>
      </c>
      <c r="U56" s="69">
        <v>-0.61217248206525932</v>
      </c>
      <c r="V56" s="69">
        <v>5.7560975609756149E-2</v>
      </c>
      <c r="W56" s="69">
        <v>7.4158870718930459E-2</v>
      </c>
      <c r="X56" s="69">
        <v>0.10767385270167962</v>
      </c>
      <c r="Y56" s="69">
        <v>7.7525767451547267E-2</v>
      </c>
      <c r="Z56" s="69">
        <v>1.4310881054394375E-2</v>
      </c>
      <c r="AA56" s="69">
        <v>0.36138613861386149</v>
      </c>
      <c r="AB56" s="69">
        <v>0.24039971182426934</v>
      </c>
      <c r="AC56" s="69">
        <v>-8.8870029859991262E-2</v>
      </c>
      <c r="AD56" s="133">
        <v>-9.8893155265826083E-3</v>
      </c>
      <c r="AE56" s="133">
        <v>6.7292064325373352E-2</v>
      </c>
      <c r="AF56" s="133">
        <v>4.6138363446427251E-2</v>
      </c>
    </row>
    <row r="57" spans="1:32" x14ac:dyDescent="0.25">
      <c r="A57" t="s">
        <v>197</v>
      </c>
      <c r="B57" t="s">
        <v>264</v>
      </c>
      <c r="C57" s="31">
        <v>1005</v>
      </c>
      <c r="D57" s="31">
        <v>1092</v>
      </c>
      <c r="E57" s="65">
        <v>1268</v>
      </c>
      <c r="F57" s="31">
        <v>1522</v>
      </c>
      <c r="G57" s="66">
        <v>201407.61000000007</v>
      </c>
      <c r="H57" s="31">
        <v>164956.10000000073</v>
      </c>
      <c r="I57" s="65">
        <v>114405.48000000058</v>
      </c>
      <c r="J57" s="65">
        <v>76352.390000001004</v>
      </c>
      <c r="K57" s="31">
        <v>16091</v>
      </c>
      <c r="L57" s="31">
        <v>36766.571428571428</v>
      </c>
      <c r="M57" s="67">
        <v>12.690063091482649</v>
      </c>
      <c r="N57" s="67">
        <v>24.316896301667875</v>
      </c>
      <c r="O57" s="68">
        <v>158.83880914826503</v>
      </c>
      <c r="P57" s="68">
        <v>108.38114323258918</v>
      </c>
      <c r="Q57" s="69">
        <v>0.56802957941857579</v>
      </c>
      <c r="R57" s="69">
        <v>0.44572981725883415</v>
      </c>
      <c r="S57" s="31">
        <v>1478.2857142857142</v>
      </c>
      <c r="T57" s="31">
        <v>8245</v>
      </c>
      <c r="U57" s="69">
        <v>-0.57784245005167745</v>
      </c>
      <c r="V57" s="69">
        <v>-0.19185282522996061</v>
      </c>
      <c r="W57" s="69">
        <v>0.18570171094005872</v>
      </c>
      <c r="X57" s="69">
        <v>0.522185361552159</v>
      </c>
      <c r="Y57" s="69">
        <v>-6.1338697484014548E-2</v>
      </c>
      <c r="Z57" s="69">
        <v>-6.6755596798515282E-2</v>
      </c>
      <c r="AA57" s="69">
        <v>0.21572387344199417</v>
      </c>
      <c r="AB57" s="69">
        <v>8.5173762136419695E-2</v>
      </c>
      <c r="AC57" s="69">
        <v>-0.10738467357390724</v>
      </c>
      <c r="AD57" s="133">
        <v>0.39183519617521939</v>
      </c>
      <c r="AE57" s="133">
        <v>0.66662915375691667</v>
      </c>
      <c r="AF57" s="133">
        <v>0.85854841267050619</v>
      </c>
    </row>
    <row r="58" spans="1:32" x14ac:dyDescent="0.25">
      <c r="A58" t="s">
        <v>197</v>
      </c>
      <c r="B58" t="s">
        <v>272</v>
      </c>
      <c r="C58" s="31">
        <v>383</v>
      </c>
      <c r="D58" s="31">
        <v>339</v>
      </c>
      <c r="E58" s="65">
        <v>457</v>
      </c>
      <c r="F58" s="31">
        <v>392</v>
      </c>
      <c r="G58" s="66">
        <v>105479.56999999972</v>
      </c>
      <c r="H58" s="31">
        <v>89065.490000000049</v>
      </c>
      <c r="I58" s="65">
        <v>29722.609999999957</v>
      </c>
      <c r="J58" s="65">
        <v>32191.420000000071</v>
      </c>
      <c r="K58" s="31">
        <v>6382.1428571428569</v>
      </c>
      <c r="L58" s="31">
        <v>15331.285714285714</v>
      </c>
      <c r="M58" s="67">
        <v>13.965301656767739</v>
      </c>
      <c r="N58" s="67">
        <v>40.047858942065488</v>
      </c>
      <c r="O58" s="68">
        <v>230.80868708971491</v>
      </c>
      <c r="P58" s="68">
        <v>227.20788265306135</v>
      </c>
      <c r="Q58" s="69">
        <v>0.2817854680294965</v>
      </c>
      <c r="R58" s="69">
        <v>0.35767525119772647</v>
      </c>
      <c r="S58" s="31">
        <v>244.28571428571428</v>
      </c>
      <c r="T58" s="31">
        <v>5646.8571428571431</v>
      </c>
      <c r="U58" s="69">
        <v>-0.59245799904956253</v>
      </c>
      <c r="V58" s="69">
        <v>0.13265306122448983</v>
      </c>
      <c r="W58" s="69">
        <v>0.13938305397522299</v>
      </c>
      <c r="X58" s="69">
        <v>-0.12281475246456708</v>
      </c>
      <c r="Y58" s="69">
        <v>-7.0363865406558812E-2</v>
      </c>
      <c r="Z58" s="69">
        <v>-7.0626170168504254E-2</v>
      </c>
      <c r="AA58" s="69">
        <v>0.43260188087774298</v>
      </c>
      <c r="AB58" s="69">
        <v>0.30471746097087404</v>
      </c>
      <c r="AC58" s="69">
        <v>-8.9267242779630607E-2</v>
      </c>
      <c r="AD58" s="133">
        <v>0.92873228689407428</v>
      </c>
      <c r="AE58" s="133">
        <v>0.56531471292576096</v>
      </c>
      <c r="AF58" s="133">
        <v>3.2588230527584206E-3</v>
      </c>
    </row>
    <row r="59" spans="1:32" x14ac:dyDescent="0.25">
      <c r="A59" t="s">
        <v>197</v>
      </c>
      <c r="B59" t="s">
        <v>312</v>
      </c>
      <c r="C59" s="31">
        <v>404</v>
      </c>
      <c r="D59" s="31"/>
      <c r="E59" s="65">
        <v>662</v>
      </c>
      <c r="F59" s="31"/>
      <c r="G59" s="66">
        <v>97632.609999999535</v>
      </c>
      <c r="H59" s="31"/>
      <c r="I59" s="65">
        <v>32369.609999999975</v>
      </c>
      <c r="J59" s="65"/>
      <c r="K59" s="31">
        <v>12597.142857142857</v>
      </c>
      <c r="L59" s="31"/>
      <c r="M59" s="67">
        <v>19.028916702632714</v>
      </c>
      <c r="N59" s="67"/>
      <c r="O59" s="68">
        <v>147.48128398791471</v>
      </c>
      <c r="P59" s="68"/>
      <c r="Q59" s="69">
        <v>0.33154506470737727</v>
      </c>
      <c r="R59" s="69"/>
      <c r="S59" s="31"/>
      <c r="T59" s="31"/>
      <c r="U59" s="69"/>
      <c r="V59" s="69"/>
      <c r="W59" s="69"/>
      <c r="X59" s="69"/>
      <c r="Y59" s="69">
        <v>-4.9471267309272426E-2</v>
      </c>
      <c r="Z59" s="69">
        <v>-4.8215268708107106E-2</v>
      </c>
      <c r="AA59" s="69">
        <v>2.635658914728678E-2</v>
      </c>
      <c r="AB59" s="69">
        <v>1.8784026168990664E-2</v>
      </c>
      <c r="AC59" s="69">
        <v>-7.3781013912400661E-3</v>
      </c>
      <c r="AD59" s="133"/>
      <c r="AE59" s="133"/>
      <c r="AF59" s="133"/>
    </row>
    <row r="60" spans="1:32" x14ac:dyDescent="0.25">
      <c r="A60" t="s">
        <v>197</v>
      </c>
      <c r="B60" t="s">
        <v>269</v>
      </c>
      <c r="C60" s="31">
        <v>60</v>
      </c>
      <c r="D60" s="31">
        <v>137</v>
      </c>
      <c r="E60" s="65">
        <v>210</v>
      </c>
      <c r="F60" s="31">
        <v>393</v>
      </c>
      <c r="G60" s="66">
        <v>30479.410000000003</v>
      </c>
      <c r="H60" s="31">
        <v>64791.670000000013</v>
      </c>
      <c r="I60" s="65">
        <v>15839.45</v>
      </c>
      <c r="J60" s="65">
        <v>29519.930000000008</v>
      </c>
      <c r="K60" s="31">
        <v>3611.4285714285716</v>
      </c>
      <c r="L60" s="31">
        <v>11315.714285714286</v>
      </c>
      <c r="M60" s="67">
        <v>17.197278911564627</v>
      </c>
      <c r="N60" s="67">
        <v>29.814760686883449</v>
      </c>
      <c r="O60" s="68">
        <v>145.14004761904764</v>
      </c>
      <c r="P60" s="68">
        <v>164.86430025445296</v>
      </c>
      <c r="Q60" s="69">
        <v>0.51967705411620502</v>
      </c>
      <c r="R60" s="69">
        <v>0.45488772783349352</v>
      </c>
      <c r="S60" s="31">
        <v>1059.2857142857142</v>
      </c>
      <c r="T60" s="31">
        <v>922.85714285714289</v>
      </c>
      <c r="U60" s="69">
        <v>-0.69420527711147584</v>
      </c>
      <c r="V60" s="69">
        <v>-0.49363867684478369</v>
      </c>
      <c r="W60" s="69">
        <v>-0.57862438180710585</v>
      </c>
      <c r="X60" s="69">
        <v>-0.52899226206853156</v>
      </c>
      <c r="Y60" s="69">
        <v>0.25116865254302811</v>
      </c>
      <c r="Z60" s="69">
        <v>6.8831388466091825E-2</v>
      </c>
      <c r="AA60" s="69">
        <v>0.11111111111111116</v>
      </c>
      <c r="AB60" s="69">
        <v>0.26602121041945681</v>
      </c>
      <c r="AC60" s="69">
        <v>0.13941908937751113</v>
      </c>
      <c r="AD60" s="133">
        <v>0.94708924066301159</v>
      </c>
      <c r="AE60" s="133">
        <v>1.5174728012069767</v>
      </c>
      <c r="AF60" s="133">
        <v>1.9305345214152549</v>
      </c>
    </row>
    <row r="61" spans="1:32" x14ac:dyDescent="0.25">
      <c r="A61" t="s">
        <v>197</v>
      </c>
      <c r="B61" t="s">
        <v>276</v>
      </c>
      <c r="C61" s="31">
        <v>86</v>
      </c>
      <c r="D61" s="31">
        <v>69</v>
      </c>
      <c r="E61" s="65">
        <v>137</v>
      </c>
      <c r="F61" s="31">
        <v>127</v>
      </c>
      <c r="G61" s="66">
        <v>15980.889999999996</v>
      </c>
      <c r="H61" s="31">
        <v>28519.41</v>
      </c>
      <c r="I61" s="65">
        <v>-4053.6699999999983</v>
      </c>
      <c r="J61" s="65">
        <v>10862.829999999994</v>
      </c>
      <c r="K61" s="31">
        <v>3170.4285714285716</v>
      </c>
      <c r="L61" s="31">
        <v>7261.1428571428569</v>
      </c>
      <c r="M61" s="67">
        <v>23.141814389989573</v>
      </c>
      <c r="N61" s="67">
        <v>56.557359307359306</v>
      </c>
      <c r="O61" s="68">
        <v>116.64883211678828</v>
      </c>
      <c r="P61" s="68">
        <v>224.56228346456692</v>
      </c>
      <c r="Q61" s="69">
        <v>-0.25365733698185766</v>
      </c>
      <c r="R61" s="69">
        <v>0.37316155884557523</v>
      </c>
      <c r="S61" s="31">
        <v>103.14285714285714</v>
      </c>
      <c r="T61" s="31">
        <v>1497.2857142857142</v>
      </c>
      <c r="U61" s="69">
        <v>-0.5647674510112537</v>
      </c>
      <c r="V61" s="69">
        <v>7.8740157480315043E-2</v>
      </c>
      <c r="W61" s="69">
        <v>-0.43964864630790057</v>
      </c>
      <c r="X61" s="69">
        <v>-1.3757106551466547</v>
      </c>
      <c r="Y61" s="69">
        <v>-5.1161453595960804E-2</v>
      </c>
      <c r="Z61" s="69">
        <v>-5.0079185036168261E-2</v>
      </c>
      <c r="AA61" s="69">
        <v>0.55681818181818188</v>
      </c>
      <c r="AB61" s="69">
        <v>0.182877652259259</v>
      </c>
      <c r="AC61" s="69">
        <v>-0.240195376650987</v>
      </c>
      <c r="AD61" s="133"/>
      <c r="AE61" s="133"/>
      <c r="AF61" s="133"/>
    </row>
    <row r="62" spans="1:32" x14ac:dyDescent="0.25">
      <c r="A62" t="s">
        <v>197</v>
      </c>
      <c r="B62" t="s">
        <v>271</v>
      </c>
      <c r="C62" s="31">
        <v>24</v>
      </c>
      <c r="D62" s="31">
        <v>90</v>
      </c>
      <c r="E62" s="65">
        <v>26</v>
      </c>
      <c r="F62" s="31">
        <v>97</v>
      </c>
      <c r="G62" s="66">
        <v>13194.889999999998</v>
      </c>
      <c r="H62" s="31">
        <v>79131.229999999981</v>
      </c>
      <c r="I62" s="65">
        <v>2541.1899999999996</v>
      </c>
      <c r="J62" s="65">
        <v>30888.300000000025</v>
      </c>
      <c r="K62" s="31">
        <v>312.28571428571428</v>
      </c>
      <c r="L62" s="31">
        <v>2685.2857142857142</v>
      </c>
      <c r="M62" s="67">
        <v>12.010989010989011</v>
      </c>
      <c r="N62" s="67">
        <v>28.020202020202021</v>
      </c>
      <c r="O62" s="68">
        <v>507.49576923076916</v>
      </c>
      <c r="P62" s="68">
        <v>815.78587628865955</v>
      </c>
      <c r="Q62" s="69">
        <v>0.19258894920685204</v>
      </c>
      <c r="R62" s="69">
        <v>0.37901703167316247</v>
      </c>
      <c r="S62" s="31">
        <v>79.285714285714292</v>
      </c>
      <c r="T62" s="31">
        <v>150.42857142857142</v>
      </c>
      <c r="U62" s="69">
        <v>-0.88407724636910145</v>
      </c>
      <c r="V62" s="69">
        <v>-0.731958762886598</v>
      </c>
      <c r="W62" s="69">
        <v>-0.83325306582495939</v>
      </c>
      <c r="X62" s="69">
        <v>-0.91500485315769664</v>
      </c>
      <c r="Y62" s="69">
        <v>-4.1583880247793359E-2</v>
      </c>
      <c r="Z62" s="69">
        <v>-5.3679653679653661E-2</v>
      </c>
      <c r="AA62" s="69">
        <v>1.1666666666666665</v>
      </c>
      <c r="AB62" s="69">
        <v>0.47837266730007344</v>
      </c>
      <c r="AC62" s="69">
        <v>-0.31767415355381223</v>
      </c>
      <c r="AD62" s="133"/>
      <c r="AE62" s="133"/>
      <c r="AF62" s="133"/>
    </row>
    <row r="63" spans="1:32" x14ac:dyDescent="0.25">
      <c r="A63" t="s">
        <v>197</v>
      </c>
      <c r="B63" t="s">
        <v>277</v>
      </c>
      <c r="C63" s="31">
        <v>51</v>
      </c>
      <c r="D63" s="31">
        <v>16</v>
      </c>
      <c r="E63" s="65">
        <v>58</v>
      </c>
      <c r="F63" s="31">
        <v>18</v>
      </c>
      <c r="G63" s="66">
        <v>10669.819999999994</v>
      </c>
      <c r="H63" s="31">
        <v>2473.9400000000005</v>
      </c>
      <c r="I63" s="65">
        <v>4563.01</v>
      </c>
      <c r="J63" s="65">
        <v>909.93000000000075</v>
      </c>
      <c r="K63" s="31">
        <v>1174.4285714285713</v>
      </c>
      <c r="L63" s="31">
        <v>574</v>
      </c>
      <c r="M63" s="67">
        <v>20.248768472906402</v>
      </c>
      <c r="N63" s="67">
        <v>32.396825396825392</v>
      </c>
      <c r="O63" s="68">
        <v>183.96241379310334</v>
      </c>
      <c r="P63" s="68">
        <v>137.44111111111113</v>
      </c>
      <c r="Q63" s="69">
        <v>0.42765576176542835</v>
      </c>
      <c r="R63" s="69">
        <v>0.36780600984664163</v>
      </c>
      <c r="S63" s="31">
        <v>17</v>
      </c>
      <c r="T63" s="31">
        <v>49</v>
      </c>
      <c r="U63" s="69">
        <v>0.9275759084121451</v>
      </c>
      <c r="V63" s="69">
        <v>1.7777777777777777</v>
      </c>
      <c r="W63" s="69">
        <v>2.8547984187167001</v>
      </c>
      <c r="X63" s="69">
        <v>3.673381468904191</v>
      </c>
      <c r="Y63" s="69">
        <v>-3.6766462157919122E-2</v>
      </c>
      <c r="Z63" s="69">
        <v>-4.0275507821620482E-2</v>
      </c>
      <c r="AA63" s="69">
        <v>1.2307692307692308</v>
      </c>
      <c r="AB63" s="69">
        <v>0.63057836841606507</v>
      </c>
      <c r="AC63" s="69">
        <v>-0.26905107622728131</v>
      </c>
      <c r="AD63" s="133"/>
      <c r="AE63" s="133"/>
      <c r="AF63" s="133"/>
    </row>
    <row r="64" spans="1:32" x14ac:dyDescent="0.25">
      <c r="A64" t="s">
        <v>197</v>
      </c>
      <c r="B64" t="s">
        <v>316</v>
      </c>
      <c r="C64" s="31">
        <v>121</v>
      </c>
      <c r="D64" s="31"/>
      <c r="E64" s="65">
        <v>188</v>
      </c>
      <c r="F64" s="31"/>
      <c r="G64" s="66">
        <v>5703.7499999999991</v>
      </c>
      <c r="H64" s="31"/>
      <c r="I64" s="65">
        <v>-2956.1599999999994</v>
      </c>
      <c r="J64" s="65"/>
      <c r="K64" s="31">
        <v>897.28571428571433</v>
      </c>
      <c r="L64" s="31">
        <v>4</v>
      </c>
      <c r="M64" s="67">
        <v>4.7727963525835868</v>
      </c>
      <c r="N64" s="67"/>
      <c r="O64" s="68">
        <v>30.339095744680847</v>
      </c>
      <c r="P64" s="68"/>
      <c r="Q64" s="69">
        <v>-0.51828358536050845</v>
      </c>
      <c r="R64" s="69"/>
      <c r="S64" s="31"/>
      <c r="T64" s="31"/>
      <c r="U64" s="69">
        <v>160.14285714285714</v>
      </c>
      <c r="V64" s="69"/>
      <c r="W64" s="69"/>
      <c r="X64" s="69"/>
      <c r="Y64" s="69">
        <v>-0.12732411065371341</v>
      </c>
      <c r="Z64" s="69">
        <v>-0.13305728088336777</v>
      </c>
      <c r="AA64" s="69">
        <v>0.28767123287671237</v>
      </c>
      <c r="AB64" s="69">
        <v>-0.41573826713322237</v>
      </c>
      <c r="AC64" s="69">
        <v>-0.54626482447580038</v>
      </c>
      <c r="AD64" s="133"/>
      <c r="AE64" s="133"/>
      <c r="AF64" s="133"/>
    </row>
    <row r="65" spans="1:32" x14ac:dyDescent="0.25">
      <c r="A65" t="s">
        <v>197</v>
      </c>
      <c r="B65" t="s">
        <v>275</v>
      </c>
      <c r="C65" s="31">
        <v>34</v>
      </c>
      <c r="D65" s="31">
        <v>44</v>
      </c>
      <c r="E65" s="65">
        <v>71</v>
      </c>
      <c r="F65" s="31">
        <v>140</v>
      </c>
      <c r="G65" s="66">
        <v>4198.5099999999993</v>
      </c>
      <c r="H65" s="31">
        <v>17567.069999999996</v>
      </c>
      <c r="I65" s="65">
        <v>-2391.4900000000007</v>
      </c>
      <c r="J65" s="65">
        <v>5547.8699999999935</v>
      </c>
      <c r="K65" s="31">
        <v>2366</v>
      </c>
      <c r="L65" s="31">
        <v>6308.2857142857147</v>
      </c>
      <c r="M65" s="67">
        <v>33.323943661971832</v>
      </c>
      <c r="N65" s="67">
        <v>46.178571428571431</v>
      </c>
      <c r="O65" s="68">
        <v>59.13394366197182</v>
      </c>
      <c r="P65" s="68">
        <v>125.4790714285714</v>
      </c>
      <c r="Q65" s="69">
        <v>-0.56960445491376732</v>
      </c>
      <c r="R65" s="69">
        <v>0.31581077550211817</v>
      </c>
      <c r="S65" s="31">
        <v>90.857142857142861</v>
      </c>
      <c r="T65" s="31">
        <v>397.28571428571428</v>
      </c>
      <c r="U65" s="69">
        <v>-0.62656823225689573</v>
      </c>
      <c r="V65" s="69">
        <v>-0.49285714285714288</v>
      </c>
      <c r="W65" s="69">
        <v>-0.76100112312411805</v>
      </c>
      <c r="X65" s="69">
        <v>-1.4310645346772735</v>
      </c>
      <c r="Y65" s="69">
        <v>-5.0895330431004582E-2</v>
      </c>
      <c r="Z65" s="69">
        <v>-2.8906479038405264E-2</v>
      </c>
      <c r="AA65" s="69">
        <v>1.21875</v>
      </c>
      <c r="AB65" s="69">
        <v>0.56798897536636717</v>
      </c>
      <c r="AC65" s="69">
        <v>-0.29330074349684865</v>
      </c>
      <c r="AD65" s="133"/>
      <c r="AE65" s="133"/>
      <c r="AF65" s="133"/>
    </row>
    <row r="66" spans="1:32" x14ac:dyDescent="0.25">
      <c r="A66" t="s">
        <v>197</v>
      </c>
      <c r="B66" t="s">
        <v>726</v>
      </c>
      <c r="C66" s="31">
        <v>3</v>
      </c>
      <c r="D66" s="31"/>
      <c r="E66" s="65">
        <v>4</v>
      </c>
      <c r="F66" s="31"/>
      <c r="G66" s="66">
        <v>999.93</v>
      </c>
      <c r="H66" s="31"/>
      <c r="I66" s="65">
        <v>315.52</v>
      </c>
      <c r="J66" s="65"/>
      <c r="K66" s="31">
        <v>22.714285714285715</v>
      </c>
      <c r="L66" s="31"/>
      <c r="M66" s="67">
        <v>5.6785714285714288</v>
      </c>
      <c r="N66" s="67"/>
      <c r="O66" s="68">
        <v>249.98249999999999</v>
      </c>
      <c r="P66" s="68"/>
      <c r="Q66" s="69">
        <v>0.31554208794615624</v>
      </c>
      <c r="R66" s="69"/>
      <c r="S66" s="31"/>
      <c r="T66" s="31"/>
      <c r="U66" s="69"/>
      <c r="V66" s="69"/>
      <c r="W66" s="69"/>
      <c r="X66" s="69"/>
      <c r="Y66" s="69">
        <v>-0.16169934411814346</v>
      </c>
      <c r="Z66" s="69">
        <v>-0.13586956521739124</v>
      </c>
      <c r="AA66" s="69">
        <v>0</v>
      </c>
      <c r="AB66" s="69">
        <v>-0.1348589721405089</v>
      </c>
      <c r="AC66" s="69">
        <v>-0.1348589721405089</v>
      </c>
      <c r="AD66" s="133"/>
      <c r="AE66" s="133"/>
      <c r="AF66" s="133"/>
    </row>
    <row r="67" spans="1:32" x14ac:dyDescent="0.25">
      <c r="A67" t="s">
        <v>197</v>
      </c>
      <c r="B67" t="s">
        <v>278</v>
      </c>
      <c r="C67" s="31">
        <v>5</v>
      </c>
      <c r="D67" s="31">
        <v>2</v>
      </c>
      <c r="E67" s="65">
        <v>10</v>
      </c>
      <c r="F67" s="31">
        <v>2</v>
      </c>
      <c r="G67" s="66">
        <v>899.92000000000007</v>
      </c>
      <c r="H67" s="31">
        <v>253.36000000000004</v>
      </c>
      <c r="I67" s="65">
        <v>49.919999999999995</v>
      </c>
      <c r="J67" s="65">
        <v>152.97000000000006</v>
      </c>
      <c r="K67" s="31">
        <v>128.57142857142858</v>
      </c>
      <c r="L67" s="31">
        <v>266.71428571428572</v>
      </c>
      <c r="M67" s="67">
        <v>12.857142857142858</v>
      </c>
      <c r="N67" s="67">
        <v>144.64285714285714</v>
      </c>
      <c r="O67" s="68">
        <v>89.992000000000004</v>
      </c>
      <c r="P67" s="68">
        <v>126.68000000000002</v>
      </c>
      <c r="Q67" s="69">
        <v>5.5471597475331133E-2</v>
      </c>
      <c r="R67" s="69">
        <v>0.60376539311651423</v>
      </c>
      <c r="S67" s="31">
        <v>42</v>
      </c>
      <c r="T67" s="31">
        <v>41</v>
      </c>
      <c r="U67" s="69">
        <v>-0.57043385109801825</v>
      </c>
      <c r="V67" s="69">
        <v>4</v>
      </c>
      <c r="W67" s="69">
        <v>2.5519419008525417</v>
      </c>
      <c r="X67" s="69">
        <v>-0.67366150225534382</v>
      </c>
      <c r="Y67" s="69">
        <v>-1.6875166131239294E-2</v>
      </c>
      <c r="Z67" s="69">
        <v>-6.2499999999999889E-2</v>
      </c>
      <c r="AA67" s="69">
        <v>0.25</v>
      </c>
      <c r="AB67" s="69">
        <v>-0.79232263930620361</v>
      </c>
      <c r="AC67" s="69">
        <v>-0.83385811144496291</v>
      </c>
      <c r="AD67" s="133"/>
      <c r="AE67" s="133"/>
      <c r="AF67" s="133"/>
    </row>
    <row r="68" spans="1:32" x14ac:dyDescent="0.25">
      <c r="A68" t="s">
        <v>197</v>
      </c>
      <c r="B68" t="s">
        <v>274</v>
      </c>
      <c r="C68" s="31">
        <v>5</v>
      </c>
      <c r="D68" s="31">
        <v>65</v>
      </c>
      <c r="E68" s="65">
        <v>5</v>
      </c>
      <c r="F68" s="31">
        <v>78</v>
      </c>
      <c r="G68" s="66">
        <v>416.63999999999993</v>
      </c>
      <c r="H68" s="31">
        <v>21650.350000000002</v>
      </c>
      <c r="I68" s="65">
        <v>-306.53000000000003</v>
      </c>
      <c r="J68" s="65">
        <v>9456.6300000000047</v>
      </c>
      <c r="K68" s="31">
        <v>140.42857142857142</v>
      </c>
      <c r="L68" s="31">
        <v>2014</v>
      </c>
      <c r="M68" s="67">
        <v>28.085714285714282</v>
      </c>
      <c r="N68" s="67">
        <v>25.766071428571429</v>
      </c>
      <c r="O68" s="68">
        <v>83.327999999999989</v>
      </c>
      <c r="P68" s="68">
        <v>277.56858974358977</v>
      </c>
      <c r="Q68" s="69">
        <v>-0.7357190860215056</v>
      </c>
      <c r="R68" s="69">
        <v>0.42789522695125964</v>
      </c>
      <c r="S68" s="31">
        <v>150</v>
      </c>
      <c r="T68" s="31">
        <v>1064.7142857142858</v>
      </c>
      <c r="U68" s="69">
        <v>-0.93672861398779972</v>
      </c>
      <c r="V68" s="69">
        <v>-0.9358974358974359</v>
      </c>
      <c r="W68" s="69">
        <v>-0.98075596930303666</v>
      </c>
      <c r="X68" s="69">
        <v>-1.0329721275643673</v>
      </c>
      <c r="Y68" s="69">
        <v>-5.6123118334849065E-2</v>
      </c>
      <c r="Z68" s="69">
        <v>-6.3809523809523871E-2</v>
      </c>
      <c r="AA68" s="69">
        <v>-0.61538461538461542</v>
      </c>
      <c r="AB68" s="69">
        <v>-0.77816113986326751</v>
      </c>
      <c r="AC68" s="69">
        <v>-0.42321896364449563</v>
      </c>
      <c r="AD68" s="133"/>
      <c r="AE68" s="133"/>
      <c r="AF68" s="133"/>
    </row>
    <row r="69" spans="1:32" x14ac:dyDescent="0.25">
      <c r="A69" t="s">
        <v>197</v>
      </c>
      <c r="B69" t="s">
        <v>300</v>
      </c>
      <c r="C69" s="31">
        <v>1</v>
      </c>
      <c r="D69" s="31"/>
      <c r="E69" s="65">
        <v>2</v>
      </c>
      <c r="F69" s="31"/>
      <c r="G69" s="66">
        <v>133.31</v>
      </c>
      <c r="H69" s="31"/>
      <c r="I69" s="65">
        <v>35.83</v>
      </c>
      <c r="J69" s="65"/>
      <c r="K69" s="31">
        <v>0.42857142857142855</v>
      </c>
      <c r="L69" s="31"/>
      <c r="M69" s="67">
        <v>0.21428571428571427</v>
      </c>
      <c r="N69" s="67"/>
      <c r="O69" s="68">
        <v>66.655000000000001</v>
      </c>
      <c r="P69" s="68"/>
      <c r="Q69" s="69">
        <v>0.26877203510614356</v>
      </c>
      <c r="R69" s="69"/>
      <c r="S69" s="31">
        <v>3</v>
      </c>
      <c r="T69" s="31">
        <v>3</v>
      </c>
      <c r="U69" s="69"/>
      <c r="V69" s="69"/>
      <c r="W69" s="69"/>
      <c r="X69" s="69"/>
      <c r="Y69" s="69">
        <v>7.8249736103808587E-2</v>
      </c>
      <c r="Z69" s="69">
        <v>-0.5714285714285714</v>
      </c>
      <c r="AA69" s="69"/>
      <c r="AB69" s="69"/>
      <c r="AC69" s="69"/>
      <c r="AD69" s="133"/>
      <c r="AE69" s="133"/>
      <c r="AF69" s="133"/>
    </row>
    <row r="70" spans="1:32" x14ac:dyDescent="0.25">
      <c r="A70" t="s">
        <v>197</v>
      </c>
      <c r="B70" t="s">
        <v>282</v>
      </c>
      <c r="C70" s="31">
        <v>5</v>
      </c>
      <c r="D70" s="31">
        <v>3</v>
      </c>
      <c r="E70" s="65">
        <v>5</v>
      </c>
      <c r="F70" s="31">
        <v>4</v>
      </c>
      <c r="G70" s="66">
        <v>128.30000000000001</v>
      </c>
      <c r="H70" s="31">
        <v>185.22</v>
      </c>
      <c r="I70" s="65">
        <v>-48.180000000000007</v>
      </c>
      <c r="J70" s="65">
        <v>42.02000000000001</v>
      </c>
      <c r="K70" s="31">
        <v>24.285714285714285</v>
      </c>
      <c r="L70" s="31">
        <v>172.14285714285714</v>
      </c>
      <c r="M70" s="67">
        <v>4.8571428571428568</v>
      </c>
      <c r="N70" s="67">
        <v>43.357142857142854</v>
      </c>
      <c r="O70" s="68">
        <v>25.660000000000004</v>
      </c>
      <c r="P70" s="68">
        <v>46.305</v>
      </c>
      <c r="Q70" s="69">
        <v>-0.37552611067809821</v>
      </c>
      <c r="R70" s="69">
        <v>0.22686534931432897</v>
      </c>
      <c r="S70" s="31">
        <v>18</v>
      </c>
      <c r="T70" s="31">
        <v>19</v>
      </c>
      <c r="U70" s="69">
        <v>-0.8589211618257262</v>
      </c>
      <c r="V70" s="69">
        <v>0.25</v>
      </c>
      <c r="W70" s="69">
        <v>-0.3073102256775726</v>
      </c>
      <c r="X70" s="69">
        <v>-2.1465968586387434</v>
      </c>
      <c r="Y70" s="69">
        <v>-0.11067830012513591</v>
      </c>
      <c r="Z70" s="69">
        <v>-0.12371134020618568</v>
      </c>
      <c r="AA70" s="69">
        <v>0.66666666666666674</v>
      </c>
      <c r="AB70" s="69">
        <v>-0.35843584358435832</v>
      </c>
      <c r="AC70" s="69">
        <v>-0.61506150615061506</v>
      </c>
      <c r="AD70" s="133"/>
      <c r="AE70" s="133"/>
      <c r="AF70" s="133"/>
    </row>
    <row r="71" spans="1:32" x14ac:dyDescent="0.25">
      <c r="A71" t="s">
        <v>197</v>
      </c>
      <c r="B71" t="s">
        <v>729</v>
      </c>
      <c r="C71" s="31">
        <v>1</v>
      </c>
      <c r="D71" s="31"/>
      <c r="E71" s="65">
        <v>1</v>
      </c>
      <c r="F71" s="31"/>
      <c r="G71" s="66">
        <v>108.33</v>
      </c>
      <c r="H71" s="31"/>
      <c r="I71" s="65">
        <v>40.619999999999997</v>
      </c>
      <c r="J71" s="65"/>
      <c r="K71" s="31">
        <v>27.142857142857142</v>
      </c>
      <c r="L71" s="31"/>
      <c r="M71" s="67">
        <v>27.142857142857142</v>
      </c>
      <c r="N71" s="67"/>
      <c r="O71" s="68">
        <v>108.33</v>
      </c>
      <c r="P71" s="68"/>
      <c r="Q71" s="69">
        <v>0.37496538355026304</v>
      </c>
      <c r="R71" s="69"/>
      <c r="S71" s="31"/>
      <c r="T71" s="31"/>
      <c r="U71" s="69"/>
      <c r="V71" s="69"/>
      <c r="W71" s="69"/>
      <c r="X71" s="69"/>
      <c r="Y71" s="69">
        <v>-5.9405940594059237E-2</v>
      </c>
      <c r="Z71" s="69">
        <v>-5.9405940594059459E-2</v>
      </c>
      <c r="AA71" s="69">
        <v>0</v>
      </c>
      <c r="AB71" s="69">
        <v>8.416733386709363E-2</v>
      </c>
      <c r="AC71" s="69">
        <v>8.416733386709363E-2</v>
      </c>
      <c r="AD71" s="133"/>
      <c r="AE71" s="133"/>
      <c r="AF71" s="133"/>
    </row>
    <row r="72" spans="1:32" x14ac:dyDescent="0.25">
      <c r="A72" t="s">
        <v>197</v>
      </c>
      <c r="B72" t="s">
        <v>728</v>
      </c>
      <c r="C72" s="31">
        <v>1</v>
      </c>
      <c r="D72" s="31"/>
      <c r="E72" s="65">
        <v>2</v>
      </c>
      <c r="F72" s="31"/>
      <c r="G72" s="66">
        <v>72.709999999999994</v>
      </c>
      <c r="H72" s="31"/>
      <c r="I72" s="65">
        <v>20.89</v>
      </c>
      <c r="J72" s="65"/>
      <c r="K72" s="31">
        <v>104.57142857142857</v>
      </c>
      <c r="L72" s="31"/>
      <c r="M72" s="67">
        <v>52.285714285714285</v>
      </c>
      <c r="N72" s="67"/>
      <c r="O72" s="68">
        <v>36.354999999999997</v>
      </c>
      <c r="P72" s="68"/>
      <c r="Q72" s="69">
        <v>0.28730573511208918</v>
      </c>
      <c r="R72" s="69"/>
      <c r="S72" s="31"/>
      <c r="T72" s="31"/>
      <c r="U72" s="69"/>
      <c r="V72" s="69"/>
      <c r="W72" s="69"/>
      <c r="X72" s="69"/>
      <c r="Y72" s="69">
        <v>-1.8766756032171483E-2</v>
      </c>
      <c r="Z72" s="69">
        <v>-1.8766756032171594E-2</v>
      </c>
      <c r="AA72" s="69">
        <v>1</v>
      </c>
      <c r="AB72" s="69">
        <v>1.5012039903680767</v>
      </c>
      <c r="AC72" s="69">
        <v>0.25060199518403836</v>
      </c>
      <c r="AD72" s="133"/>
      <c r="AE72" s="133"/>
      <c r="AF72" s="133"/>
    </row>
    <row r="73" spans="1:32" x14ac:dyDescent="0.25">
      <c r="A73" t="s">
        <v>197</v>
      </c>
      <c r="B73" t="s">
        <v>291</v>
      </c>
      <c r="C73" s="31"/>
      <c r="D73" s="31"/>
      <c r="E73" s="65"/>
      <c r="F73" s="31"/>
      <c r="G73" s="66"/>
      <c r="H73" s="31"/>
      <c r="I73" s="65"/>
      <c r="J73" s="65"/>
      <c r="K73" s="31">
        <v>2</v>
      </c>
      <c r="L73" s="31">
        <v>4</v>
      </c>
      <c r="M73" s="67"/>
      <c r="N73" s="67"/>
      <c r="O73" s="68"/>
      <c r="P73" s="68"/>
      <c r="Q73" s="69"/>
      <c r="R73" s="69"/>
      <c r="S73" s="31"/>
      <c r="T73" s="31"/>
      <c r="U73" s="69">
        <v>-0.5</v>
      </c>
      <c r="V73" s="69"/>
      <c r="W73" s="69"/>
      <c r="X73" s="69"/>
      <c r="Y73" s="69">
        <v>0</v>
      </c>
      <c r="Z73" s="69">
        <v>0</v>
      </c>
      <c r="AA73" s="69"/>
      <c r="AB73" s="69"/>
      <c r="AC73" s="69"/>
      <c r="AD73" s="133"/>
      <c r="AE73" s="133"/>
      <c r="AF73" s="133"/>
    </row>
    <row r="74" spans="1:32" x14ac:dyDescent="0.25">
      <c r="A74" t="s">
        <v>197</v>
      </c>
      <c r="B74" t="s">
        <v>297</v>
      </c>
      <c r="C74" s="31"/>
      <c r="D74" s="31"/>
      <c r="E74" s="65"/>
      <c r="F74" s="31"/>
      <c r="G74" s="66"/>
      <c r="H74" s="31"/>
      <c r="I74" s="65"/>
      <c r="J74" s="65"/>
      <c r="K74" s="31">
        <v>17</v>
      </c>
      <c r="L74" s="31">
        <v>23</v>
      </c>
      <c r="M74" s="67"/>
      <c r="N74" s="67"/>
      <c r="O74" s="68"/>
      <c r="P74" s="68"/>
      <c r="Q74" s="69"/>
      <c r="R74" s="69"/>
      <c r="S74" s="31"/>
      <c r="T74" s="31">
        <v>1</v>
      </c>
      <c r="U74" s="69">
        <v>-0.26086956521739135</v>
      </c>
      <c r="V74" s="69"/>
      <c r="W74" s="69"/>
      <c r="X74" s="69"/>
      <c r="Y74" s="69">
        <v>0</v>
      </c>
      <c r="Z74" s="69">
        <v>0</v>
      </c>
      <c r="AA74" s="69"/>
      <c r="AB74" s="69"/>
      <c r="AC74" s="69"/>
      <c r="AD74" s="133"/>
      <c r="AE74" s="133"/>
      <c r="AF74" s="133"/>
    </row>
    <row r="75" spans="1:32" x14ac:dyDescent="0.25">
      <c r="A75" t="s">
        <v>197</v>
      </c>
      <c r="B75" t="s">
        <v>293</v>
      </c>
      <c r="C75" s="31"/>
      <c r="D75" s="31"/>
      <c r="E75" s="65"/>
      <c r="F75" s="31"/>
      <c r="G75" s="66"/>
      <c r="H75" s="31"/>
      <c r="I75" s="65"/>
      <c r="J75" s="65"/>
      <c r="K75" s="31">
        <v>0</v>
      </c>
      <c r="L75" s="31"/>
      <c r="M75" s="67"/>
      <c r="N75" s="67"/>
      <c r="O75" s="68"/>
      <c r="P75" s="68"/>
      <c r="Q75" s="69"/>
      <c r="R75" s="69"/>
      <c r="S75" s="31">
        <v>6</v>
      </c>
      <c r="T75" s="31">
        <v>1</v>
      </c>
      <c r="U75" s="69"/>
      <c r="V75" s="69"/>
      <c r="W75" s="69"/>
      <c r="X75" s="69"/>
      <c r="Y75" s="69">
        <v>0</v>
      </c>
      <c r="Z75" s="69"/>
      <c r="AA75" s="69"/>
      <c r="AB75" s="69"/>
      <c r="AC75" s="69"/>
      <c r="AD75" s="133"/>
      <c r="AE75" s="133"/>
      <c r="AF75" s="133"/>
    </row>
    <row r="76" spans="1:32" x14ac:dyDescent="0.25">
      <c r="A76" t="s">
        <v>197</v>
      </c>
      <c r="B76" t="s">
        <v>308</v>
      </c>
      <c r="C76" s="31"/>
      <c r="D76" s="31"/>
      <c r="E76" s="65"/>
      <c r="F76" s="31"/>
      <c r="G76" s="66"/>
      <c r="H76" s="31"/>
      <c r="I76" s="65"/>
      <c r="J76" s="65"/>
      <c r="K76" s="31">
        <v>6</v>
      </c>
      <c r="L76" s="31">
        <v>40</v>
      </c>
      <c r="M76" s="67"/>
      <c r="N76" s="67"/>
      <c r="O76" s="68"/>
      <c r="P76" s="68"/>
      <c r="Q76" s="69"/>
      <c r="R76" s="69"/>
      <c r="S76" s="31"/>
      <c r="T76" s="31">
        <v>487</v>
      </c>
      <c r="U76" s="69">
        <v>-0.92500000000000004</v>
      </c>
      <c r="V76" s="69"/>
      <c r="W76" s="69"/>
      <c r="X76" s="69"/>
      <c r="Y76" s="69">
        <v>0</v>
      </c>
      <c r="Z76" s="69">
        <v>0</v>
      </c>
      <c r="AA76" s="69"/>
      <c r="AB76" s="69"/>
      <c r="AC76" s="69"/>
      <c r="AD76" s="133"/>
      <c r="AE76" s="133"/>
      <c r="AF76" s="133"/>
    </row>
    <row r="77" spans="1:32" x14ac:dyDescent="0.25">
      <c r="A77" t="s">
        <v>197</v>
      </c>
      <c r="B77" t="s">
        <v>283</v>
      </c>
      <c r="C77" s="31"/>
      <c r="D77" s="31">
        <v>1</v>
      </c>
      <c r="E77" s="65"/>
      <c r="F77" s="31">
        <v>1</v>
      </c>
      <c r="G77" s="66"/>
      <c r="H77" s="31">
        <v>123.33</v>
      </c>
      <c r="I77" s="65"/>
      <c r="J77" s="65">
        <v>2.5999999999999943</v>
      </c>
      <c r="K77" s="31">
        <v>13</v>
      </c>
      <c r="L77" s="31">
        <v>26.428571428571427</v>
      </c>
      <c r="M77" s="67"/>
      <c r="N77" s="67">
        <v>26.428571428571427</v>
      </c>
      <c r="O77" s="68"/>
      <c r="P77" s="68">
        <v>123.33</v>
      </c>
      <c r="Q77" s="69"/>
      <c r="R77" s="69">
        <v>2.1081650855428478E-2</v>
      </c>
      <c r="S77" s="31">
        <v>10.285714285714286</v>
      </c>
      <c r="T77" s="31">
        <v>12</v>
      </c>
      <c r="U77" s="69">
        <v>-0.58378378378378382</v>
      </c>
      <c r="V77" s="69"/>
      <c r="W77" s="69"/>
      <c r="X77" s="69"/>
      <c r="Y77" s="69">
        <v>6.1647621252129969E-3</v>
      </c>
      <c r="Z77" s="69">
        <v>0</v>
      </c>
      <c r="AA77" s="69"/>
      <c r="AB77" s="69"/>
      <c r="AC77" s="69"/>
      <c r="AD77" s="133"/>
      <c r="AE77" s="133"/>
      <c r="AF77" s="133"/>
    </row>
    <row r="78" spans="1:32" x14ac:dyDescent="0.25">
      <c r="A78" t="s">
        <v>197</v>
      </c>
      <c r="B78" t="s">
        <v>311</v>
      </c>
      <c r="C78" s="31"/>
      <c r="D78" s="31"/>
      <c r="E78" s="65"/>
      <c r="F78" s="31"/>
      <c r="G78" s="66"/>
      <c r="H78" s="31"/>
      <c r="I78" s="65"/>
      <c r="J78" s="65"/>
      <c r="K78" s="31">
        <v>1.7142857142857142</v>
      </c>
      <c r="L78" s="31">
        <v>2</v>
      </c>
      <c r="M78" s="67"/>
      <c r="N78" s="67"/>
      <c r="O78" s="68"/>
      <c r="P78" s="68"/>
      <c r="Q78" s="69"/>
      <c r="R78" s="69"/>
      <c r="S78" s="31"/>
      <c r="T78" s="31"/>
      <c r="U78" s="69">
        <v>-0.1428571428571429</v>
      </c>
      <c r="V78" s="69"/>
      <c r="W78" s="69"/>
      <c r="X78" s="69"/>
      <c r="Y78" s="69">
        <v>0</v>
      </c>
      <c r="Z78" s="69">
        <v>-0.1428571428571429</v>
      </c>
      <c r="AA78" s="69"/>
      <c r="AB78" s="69"/>
      <c r="AC78" s="69"/>
      <c r="AD78" s="133"/>
      <c r="AE78" s="133"/>
      <c r="AF78" s="133"/>
    </row>
    <row r="79" spans="1:32" x14ac:dyDescent="0.25">
      <c r="A79" t="s">
        <v>197</v>
      </c>
      <c r="B79" t="s">
        <v>280</v>
      </c>
      <c r="C79" s="31"/>
      <c r="D79" s="31"/>
      <c r="E79" s="65"/>
      <c r="F79" s="31">
        <v>0</v>
      </c>
      <c r="G79" s="66"/>
      <c r="H79" s="31">
        <v>0</v>
      </c>
      <c r="I79" s="65"/>
      <c r="J79" s="65">
        <v>93.549999999999983</v>
      </c>
      <c r="K79" s="31">
        <v>16.857142857142858</v>
      </c>
      <c r="L79" s="31">
        <v>186.71428571428572</v>
      </c>
      <c r="M79" s="67"/>
      <c r="N79" s="67">
        <v>40.342857142857142</v>
      </c>
      <c r="O79" s="68"/>
      <c r="P79" s="68"/>
      <c r="Q79" s="69"/>
      <c r="R79" s="69">
        <v>0.49906641771138965</v>
      </c>
      <c r="S79" s="31">
        <v>91</v>
      </c>
      <c r="T79" s="31">
        <v>126.85714285714286</v>
      </c>
      <c r="U79" s="69">
        <v>-0.90359602142310635</v>
      </c>
      <c r="V79" s="69"/>
      <c r="W79" s="69"/>
      <c r="X79" s="69"/>
      <c r="Y79" s="69">
        <v>-0.12124163259609011</v>
      </c>
      <c r="Z79" s="69">
        <v>-0.11278195488721798</v>
      </c>
      <c r="AA79" s="69"/>
      <c r="AB79" s="69"/>
      <c r="AC79" s="69"/>
      <c r="AD79" s="133"/>
      <c r="AE79" s="133"/>
      <c r="AF79" s="133"/>
    </row>
    <row r="80" spans="1:32" x14ac:dyDescent="0.25">
      <c r="A80" t="s">
        <v>197</v>
      </c>
      <c r="B80" t="s">
        <v>289</v>
      </c>
      <c r="C80" s="31"/>
      <c r="D80" s="31"/>
      <c r="E80" s="65"/>
      <c r="F80" s="31"/>
      <c r="G80" s="66"/>
      <c r="H80" s="31"/>
      <c r="I80" s="65"/>
      <c r="J80" s="65"/>
      <c r="K80" s="31">
        <v>0</v>
      </c>
      <c r="L80" s="31">
        <v>1.8571428571428572</v>
      </c>
      <c r="M80" s="67"/>
      <c r="N80" s="67"/>
      <c r="O80" s="68"/>
      <c r="P80" s="68"/>
      <c r="Q80" s="69"/>
      <c r="R80" s="69"/>
      <c r="S80" s="31">
        <v>58.857142857142854</v>
      </c>
      <c r="T80" s="31">
        <v>2.8571428571428572</v>
      </c>
      <c r="U80" s="69"/>
      <c r="V80" s="69"/>
      <c r="W80" s="69"/>
      <c r="X80" s="69"/>
      <c r="Y80" s="69"/>
      <c r="Z80" s="69"/>
      <c r="AA80" s="69"/>
      <c r="AB80" s="69"/>
      <c r="AC80" s="69"/>
      <c r="AD80" s="133"/>
      <c r="AE80" s="133"/>
      <c r="AF80" s="133"/>
    </row>
    <row r="81" spans="1:32" x14ac:dyDescent="0.25">
      <c r="A81" t="s">
        <v>197</v>
      </c>
      <c r="B81" t="s">
        <v>315</v>
      </c>
      <c r="C81" s="31"/>
      <c r="D81" s="31"/>
      <c r="E81" s="65"/>
      <c r="F81" s="31"/>
      <c r="G81" s="66"/>
      <c r="H81" s="31"/>
      <c r="I81" s="65"/>
      <c r="J81" s="65"/>
      <c r="K81" s="31">
        <v>-1</v>
      </c>
      <c r="L81" s="31">
        <v>1</v>
      </c>
      <c r="M81" s="67"/>
      <c r="N81" s="67"/>
      <c r="O81" s="68"/>
      <c r="P81" s="68"/>
      <c r="Q81" s="69"/>
      <c r="R81" s="69"/>
      <c r="S81" s="31"/>
      <c r="T81" s="31"/>
      <c r="U81" s="69">
        <v>-2</v>
      </c>
      <c r="V81" s="69"/>
      <c r="W81" s="69"/>
      <c r="X81" s="69"/>
      <c r="Y81" s="69">
        <v>0</v>
      </c>
      <c r="Z81" s="69">
        <v>0</v>
      </c>
      <c r="AA81" s="69"/>
      <c r="AB81" s="69"/>
      <c r="AC81" s="69"/>
      <c r="AD81" s="133"/>
      <c r="AE81" s="133"/>
      <c r="AF81" s="133"/>
    </row>
    <row r="82" spans="1:32" x14ac:dyDescent="0.25">
      <c r="A82" t="s">
        <v>197</v>
      </c>
      <c r="B82" t="s">
        <v>314</v>
      </c>
      <c r="C82" s="31"/>
      <c r="D82" s="31"/>
      <c r="E82" s="65"/>
      <c r="F82" s="31"/>
      <c r="G82" s="66"/>
      <c r="H82" s="31"/>
      <c r="I82" s="65"/>
      <c r="J82" s="65"/>
      <c r="K82" s="31"/>
      <c r="L82" s="31"/>
      <c r="M82" s="67"/>
      <c r="N82" s="67"/>
      <c r="O82" s="68"/>
      <c r="P82" s="68"/>
      <c r="Q82" s="69"/>
      <c r="R82" s="69"/>
      <c r="S82" s="31">
        <v>-1</v>
      </c>
      <c r="T82" s="31">
        <v>-1</v>
      </c>
      <c r="U82" s="69"/>
      <c r="V82" s="69"/>
      <c r="W82" s="69"/>
      <c r="X82" s="69"/>
      <c r="Y82" s="69"/>
      <c r="Z82" s="69"/>
      <c r="AA82" s="69"/>
      <c r="AB82" s="69"/>
      <c r="AC82" s="69"/>
      <c r="AD82" s="133"/>
      <c r="AE82" s="133"/>
      <c r="AF82" s="133"/>
    </row>
    <row r="83" spans="1:32" x14ac:dyDescent="0.25">
      <c r="A83" t="s">
        <v>197</v>
      </c>
      <c r="B83" t="s">
        <v>310</v>
      </c>
      <c r="C83" s="31"/>
      <c r="D83" s="31"/>
      <c r="E83" s="65"/>
      <c r="F83" s="31"/>
      <c r="G83" s="66"/>
      <c r="H83" s="31"/>
      <c r="I83" s="65"/>
      <c r="J83" s="65"/>
      <c r="K83" s="31"/>
      <c r="L83" s="31">
        <v>1</v>
      </c>
      <c r="M83" s="67"/>
      <c r="N83" s="67"/>
      <c r="O83" s="68"/>
      <c r="P83" s="68"/>
      <c r="Q83" s="69"/>
      <c r="R83" s="69"/>
      <c r="S83" s="31"/>
      <c r="T83" s="31"/>
      <c r="U83" s="69"/>
      <c r="V83" s="69"/>
      <c r="W83" s="69"/>
      <c r="X83" s="69"/>
      <c r="Y83" s="69"/>
      <c r="Z83" s="69"/>
      <c r="AA83" s="69"/>
      <c r="AB83" s="69"/>
      <c r="AC83" s="69"/>
      <c r="AD83" s="133"/>
      <c r="AE83" s="133"/>
      <c r="AF83" s="133"/>
    </row>
    <row r="84" spans="1:32" x14ac:dyDescent="0.25">
      <c r="A84" t="s">
        <v>197</v>
      </c>
      <c r="B84" t="s">
        <v>303</v>
      </c>
      <c r="C84" s="31"/>
      <c r="D84" s="31"/>
      <c r="E84" s="65"/>
      <c r="F84" s="31"/>
      <c r="G84" s="66"/>
      <c r="H84" s="31"/>
      <c r="I84" s="65"/>
      <c r="J84" s="65"/>
      <c r="K84" s="31">
        <v>1</v>
      </c>
      <c r="L84" s="31"/>
      <c r="M84" s="67"/>
      <c r="N84" s="67"/>
      <c r="O84" s="68"/>
      <c r="P84" s="68"/>
      <c r="Q84" s="69"/>
      <c r="R84" s="69"/>
      <c r="S84" s="31">
        <v>4</v>
      </c>
      <c r="T84" s="31">
        <v>-1</v>
      </c>
      <c r="U84" s="69"/>
      <c r="V84" s="69"/>
      <c r="W84" s="69"/>
      <c r="X84" s="69"/>
      <c r="Y84" s="69">
        <v>0</v>
      </c>
      <c r="Z84" s="69">
        <v>0</v>
      </c>
      <c r="AA84" s="69"/>
      <c r="AB84" s="69"/>
      <c r="AC84" s="69"/>
      <c r="AD84" s="133"/>
      <c r="AE84" s="133"/>
      <c r="AF84" s="133"/>
    </row>
    <row r="85" spans="1:32" x14ac:dyDescent="0.25">
      <c r="A85" t="s">
        <v>197</v>
      </c>
      <c r="B85" t="s">
        <v>284</v>
      </c>
      <c r="C85" s="31"/>
      <c r="D85" s="31"/>
      <c r="E85" s="65"/>
      <c r="F85" s="31"/>
      <c r="G85" s="66"/>
      <c r="H85" s="31"/>
      <c r="I85" s="65"/>
      <c r="J85" s="65"/>
      <c r="K85" s="31"/>
      <c r="L85" s="31">
        <v>4</v>
      </c>
      <c r="M85" s="67"/>
      <c r="N85" s="67"/>
      <c r="O85" s="68"/>
      <c r="P85" s="68"/>
      <c r="Q85" s="69"/>
      <c r="R85" s="69"/>
      <c r="S85" s="31">
        <v>3</v>
      </c>
      <c r="T85" s="31">
        <v>2</v>
      </c>
      <c r="U85" s="69"/>
      <c r="V85" s="69"/>
      <c r="W85" s="69"/>
      <c r="X85" s="69"/>
      <c r="Y85" s="69"/>
      <c r="Z85" s="69"/>
      <c r="AA85" s="69"/>
      <c r="AB85" s="69"/>
      <c r="AC85" s="69"/>
      <c r="AD85" s="133"/>
      <c r="AE85" s="133"/>
      <c r="AF85" s="133"/>
    </row>
    <row r="86" spans="1:32" x14ac:dyDescent="0.25">
      <c r="A86" t="s">
        <v>197</v>
      </c>
      <c r="B86" t="s">
        <v>298</v>
      </c>
      <c r="C86" s="31"/>
      <c r="D86" s="31"/>
      <c r="E86" s="65"/>
      <c r="F86" s="31"/>
      <c r="G86" s="66"/>
      <c r="H86" s="31"/>
      <c r="I86" s="65"/>
      <c r="J86" s="65"/>
      <c r="K86" s="31"/>
      <c r="L86" s="31">
        <v>1</v>
      </c>
      <c r="M86" s="67"/>
      <c r="N86" s="67"/>
      <c r="O86" s="68"/>
      <c r="P86" s="68"/>
      <c r="Q86" s="69"/>
      <c r="R86" s="69"/>
      <c r="S86" s="31"/>
      <c r="T86" s="31"/>
      <c r="U86" s="69"/>
      <c r="V86" s="69"/>
      <c r="W86" s="69"/>
      <c r="X86" s="69"/>
      <c r="Y86" s="69"/>
      <c r="Z86" s="69"/>
      <c r="AA86" s="69"/>
      <c r="AB86" s="69"/>
      <c r="AC86" s="69"/>
      <c r="AD86" s="133"/>
      <c r="AE86" s="133"/>
      <c r="AF86" s="133"/>
    </row>
    <row r="87" spans="1:32" x14ac:dyDescent="0.25">
      <c r="A87" t="s">
        <v>197</v>
      </c>
      <c r="B87" t="s">
        <v>299</v>
      </c>
      <c r="C87" s="31"/>
      <c r="D87" s="31"/>
      <c r="E87" s="65"/>
      <c r="F87" s="31"/>
      <c r="G87" s="66"/>
      <c r="H87" s="31"/>
      <c r="I87" s="65"/>
      <c r="J87" s="65"/>
      <c r="K87" s="31"/>
      <c r="L87" s="31"/>
      <c r="M87" s="67"/>
      <c r="N87" s="67"/>
      <c r="O87" s="68"/>
      <c r="P87" s="68"/>
      <c r="Q87" s="69"/>
      <c r="R87" s="69"/>
      <c r="S87" s="31">
        <v>14</v>
      </c>
      <c r="T87" s="31"/>
      <c r="U87" s="69"/>
      <c r="V87" s="69"/>
      <c r="W87" s="69"/>
      <c r="X87" s="69"/>
      <c r="Y87" s="69"/>
      <c r="Z87" s="69"/>
      <c r="AA87" s="69"/>
      <c r="AB87" s="69"/>
      <c r="AC87" s="69"/>
      <c r="AD87" s="133"/>
      <c r="AE87" s="133"/>
      <c r="AF87" s="133"/>
    </row>
    <row r="88" spans="1:32" x14ac:dyDescent="0.25">
      <c r="A88" t="s">
        <v>197</v>
      </c>
      <c r="B88" t="s">
        <v>296</v>
      </c>
      <c r="C88" s="31"/>
      <c r="D88" s="31"/>
      <c r="E88" s="65"/>
      <c r="F88" s="31"/>
      <c r="G88" s="66"/>
      <c r="H88" s="31"/>
      <c r="I88" s="65"/>
      <c r="J88" s="65"/>
      <c r="K88" s="31">
        <v>25</v>
      </c>
      <c r="L88" s="31">
        <v>46.571428571428569</v>
      </c>
      <c r="M88" s="67"/>
      <c r="N88" s="67"/>
      <c r="O88" s="68"/>
      <c r="P88" s="68"/>
      <c r="Q88" s="69"/>
      <c r="R88" s="69"/>
      <c r="S88" s="31"/>
      <c r="T88" s="31"/>
      <c r="U88" s="69">
        <v>-0.46319018404907975</v>
      </c>
      <c r="V88" s="69"/>
      <c r="W88" s="69"/>
      <c r="X88" s="69"/>
      <c r="Y88" s="69">
        <v>-2.7161987041037006E-2</v>
      </c>
      <c r="Z88" s="69">
        <v>-1.6853932584269593E-2</v>
      </c>
      <c r="AA88" s="69"/>
      <c r="AB88" s="69"/>
      <c r="AC88" s="69"/>
      <c r="AD88" s="133"/>
      <c r="AE88" s="133"/>
      <c r="AF88" s="133"/>
    </row>
    <row r="89" spans="1:32" x14ac:dyDescent="0.25">
      <c r="A89" t="s">
        <v>197</v>
      </c>
      <c r="B89" t="s">
        <v>295</v>
      </c>
      <c r="C89" s="31"/>
      <c r="D89" s="31"/>
      <c r="E89" s="65"/>
      <c r="F89" s="31"/>
      <c r="G89" s="66"/>
      <c r="H89" s="31"/>
      <c r="I89" s="65"/>
      <c r="J89" s="65"/>
      <c r="K89" s="31">
        <v>0</v>
      </c>
      <c r="L89" s="31">
        <v>6</v>
      </c>
      <c r="M89" s="67"/>
      <c r="N89" s="67"/>
      <c r="O89" s="68"/>
      <c r="P89" s="68"/>
      <c r="Q89" s="69"/>
      <c r="R89" s="69"/>
      <c r="S89" s="31"/>
      <c r="T89" s="31">
        <v>1</v>
      </c>
      <c r="U89" s="69"/>
      <c r="V89" s="69"/>
      <c r="W89" s="69"/>
      <c r="X89" s="69"/>
      <c r="Y89" s="69"/>
      <c r="Z89" s="69"/>
      <c r="AA89" s="69"/>
      <c r="AB89" s="69"/>
      <c r="AC89" s="69"/>
      <c r="AD89" s="133"/>
      <c r="AE89" s="133"/>
      <c r="AF89" s="133"/>
    </row>
    <row r="90" spans="1:32" x14ac:dyDescent="0.25">
      <c r="A90" t="s">
        <v>197</v>
      </c>
      <c r="B90" t="s">
        <v>286</v>
      </c>
      <c r="C90" s="31"/>
      <c r="D90" s="31"/>
      <c r="E90" s="65"/>
      <c r="F90" s="31"/>
      <c r="G90" s="66"/>
      <c r="H90" s="31"/>
      <c r="I90" s="65"/>
      <c r="J90" s="65"/>
      <c r="K90" s="31">
        <v>5</v>
      </c>
      <c r="L90" s="31">
        <v>18.714285714285715</v>
      </c>
      <c r="M90" s="67"/>
      <c r="N90" s="67"/>
      <c r="O90" s="68"/>
      <c r="P90" s="68"/>
      <c r="Q90" s="69"/>
      <c r="R90" s="69"/>
      <c r="S90" s="31">
        <v>78</v>
      </c>
      <c r="T90" s="31">
        <v>256</v>
      </c>
      <c r="U90" s="69">
        <v>-0.7862595419847328</v>
      </c>
      <c r="V90" s="69"/>
      <c r="W90" s="69"/>
      <c r="X90" s="69"/>
      <c r="Y90" s="69">
        <v>0</v>
      </c>
      <c r="Z90" s="69">
        <v>0</v>
      </c>
      <c r="AA90" s="69"/>
      <c r="AB90" s="69"/>
      <c r="AC90" s="69"/>
      <c r="AD90" s="133"/>
      <c r="AE90" s="133"/>
      <c r="AF90" s="133"/>
    </row>
    <row r="91" spans="1:32" x14ac:dyDescent="0.25">
      <c r="A91" t="s">
        <v>197</v>
      </c>
      <c r="B91" t="s">
        <v>305</v>
      </c>
      <c r="C91" s="31"/>
      <c r="D91" s="31"/>
      <c r="E91" s="65"/>
      <c r="F91" s="31"/>
      <c r="G91" s="66"/>
      <c r="H91" s="31"/>
      <c r="I91" s="65"/>
      <c r="J91" s="65"/>
      <c r="K91" s="31">
        <v>1</v>
      </c>
      <c r="L91" s="31"/>
      <c r="M91" s="67"/>
      <c r="N91" s="67"/>
      <c r="O91" s="68"/>
      <c r="P91" s="68"/>
      <c r="Q91" s="69"/>
      <c r="R91" s="69"/>
      <c r="S91" s="31">
        <v>1</v>
      </c>
      <c r="T91" s="31"/>
      <c r="U91" s="69"/>
      <c r="V91" s="69"/>
      <c r="W91" s="69"/>
      <c r="X91" s="69"/>
      <c r="Y91" s="69">
        <v>0</v>
      </c>
      <c r="Z91" s="69">
        <v>0</v>
      </c>
      <c r="AA91" s="69"/>
      <c r="AB91" s="69"/>
      <c r="AC91" s="69"/>
      <c r="AD91" s="133"/>
      <c r="AE91" s="133"/>
      <c r="AF91" s="133"/>
    </row>
    <row r="92" spans="1:32" x14ac:dyDescent="0.25">
      <c r="A92" t="s">
        <v>197</v>
      </c>
      <c r="B92" t="s">
        <v>285</v>
      </c>
      <c r="C92" s="31"/>
      <c r="D92" s="31"/>
      <c r="E92" s="65"/>
      <c r="F92" s="31"/>
      <c r="G92" s="66"/>
      <c r="H92" s="31"/>
      <c r="I92" s="65"/>
      <c r="J92" s="65"/>
      <c r="K92" s="31">
        <v>10</v>
      </c>
      <c r="L92" s="31"/>
      <c r="M92" s="67"/>
      <c r="N92" s="67"/>
      <c r="O92" s="68"/>
      <c r="P92" s="68"/>
      <c r="Q92" s="69"/>
      <c r="R92" s="69"/>
      <c r="S92" s="31">
        <v>1</v>
      </c>
      <c r="T92" s="31">
        <v>3</v>
      </c>
      <c r="U92" s="69"/>
      <c r="V92" s="69"/>
      <c r="W92" s="69"/>
      <c r="X92" s="69"/>
      <c r="Y92" s="69">
        <v>-9.1101109366656052E-2</v>
      </c>
      <c r="Z92" s="69">
        <v>-6.6666666666666652E-2</v>
      </c>
      <c r="AA92" s="69"/>
      <c r="AB92" s="69"/>
      <c r="AC92" s="69"/>
      <c r="AD92" s="133"/>
      <c r="AE92" s="133"/>
      <c r="AF92" s="133"/>
    </row>
    <row r="93" spans="1:32" x14ac:dyDescent="0.25">
      <c r="A93" t="s">
        <v>197</v>
      </c>
      <c r="B93" t="s">
        <v>288</v>
      </c>
      <c r="C93" s="31"/>
      <c r="D93" s="31"/>
      <c r="E93" s="65"/>
      <c r="F93" s="31"/>
      <c r="G93" s="66"/>
      <c r="H93" s="31"/>
      <c r="I93" s="65"/>
      <c r="J93" s="65"/>
      <c r="K93" s="31">
        <v>-3</v>
      </c>
      <c r="L93" s="31">
        <v>13</v>
      </c>
      <c r="M93" s="67"/>
      <c r="N93" s="67"/>
      <c r="O93" s="68"/>
      <c r="P93" s="68"/>
      <c r="Q93" s="69"/>
      <c r="R93" s="69"/>
      <c r="S93" s="31">
        <v>12.571428571428571</v>
      </c>
      <c r="T93" s="31">
        <v>31</v>
      </c>
      <c r="U93" s="69">
        <v>-0.69230769230769229</v>
      </c>
      <c r="V93" s="69"/>
      <c r="W93" s="69"/>
      <c r="X93" s="69"/>
      <c r="Y93" s="69">
        <v>0</v>
      </c>
      <c r="Z93" s="69">
        <v>0</v>
      </c>
      <c r="AA93" s="69"/>
      <c r="AB93" s="69"/>
      <c r="AC93" s="69"/>
      <c r="AD93" s="133"/>
      <c r="AE93" s="133"/>
      <c r="AF93" s="133"/>
    </row>
    <row r="94" spans="1:32" x14ac:dyDescent="0.25">
      <c r="A94" t="s">
        <v>197</v>
      </c>
      <c r="B94" t="s">
        <v>730</v>
      </c>
      <c r="C94" s="31"/>
      <c r="D94" s="31"/>
      <c r="E94" s="65"/>
      <c r="F94" s="31"/>
      <c r="G94" s="66"/>
      <c r="H94" s="31"/>
      <c r="I94" s="65"/>
      <c r="J94" s="65"/>
      <c r="K94" s="31">
        <v>1</v>
      </c>
      <c r="L94" s="31"/>
      <c r="M94" s="67"/>
      <c r="N94" s="67"/>
      <c r="O94" s="68"/>
      <c r="P94" s="68"/>
      <c r="Q94" s="69"/>
      <c r="R94" s="69"/>
      <c r="S94" s="31"/>
      <c r="T94" s="31"/>
      <c r="U94" s="69"/>
      <c r="V94" s="69"/>
      <c r="W94" s="69"/>
      <c r="X94" s="69"/>
      <c r="Y94" s="69">
        <v>0</v>
      </c>
      <c r="Z94" s="69">
        <v>0</v>
      </c>
      <c r="AA94" s="69"/>
      <c r="AB94" s="69"/>
      <c r="AC94" s="69"/>
      <c r="AD94" s="133"/>
      <c r="AE94" s="133"/>
      <c r="AF94" s="133"/>
    </row>
    <row r="95" spans="1:32" x14ac:dyDescent="0.25">
      <c r="A95" t="s">
        <v>197</v>
      </c>
      <c r="B95" t="s">
        <v>307</v>
      </c>
      <c r="C95" s="31"/>
      <c r="D95" s="31"/>
      <c r="E95" s="65"/>
      <c r="F95" s="31"/>
      <c r="G95" s="66"/>
      <c r="H95" s="31"/>
      <c r="I95" s="65"/>
      <c r="J95" s="65"/>
      <c r="K95" s="31"/>
      <c r="L95" s="31"/>
      <c r="M95" s="67"/>
      <c r="N95" s="67"/>
      <c r="O95" s="68"/>
      <c r="P95" s="68"/>
      <c r="Q95" s="69"/>
      <c r="R95" s="69"/>
      <c r="S95" s="31">
        <v>14</v>
      </c>
      <c r="T95" s="31">
        <v>1</v>
      </c>
      <c r="U95" s="69"/>
      <c r="V95" s="69"/>
      <c r="W95" s="69"/>
      <c r="X95" s="69"/>
      <c r="Y95" s="69"/>
      <c r="Z95" s="69"/>
      <c r="AA95" s="69"/>
      <c r="AB95" s="69"/>
      <c r="AC95" s="69"/>
      <c r="AD95" s="133"/>
      <c r="AE95" s="133"/>
      <c r="AF95" s="133"/>
    </row>
    <row r="96" spans="1:32" x14ac:dyDescent="0.25">
      <c r="A96" t="s">
        <v>197</v>
      </c>
      <c r="B96" t="s">
        <v>290</v>
      </c>
      <c r="C96" s="31"/>
      <c r="D96" s="31"/>
      <c r="E96" s="65"/>
      <c r="F96" s="31"/>
      <c r="G96" s="66"/>
      <c r="H96" s="31"/>
      <c r="I96" s="65"/>
      <c r="J96" s="65"/>
      <c r="K96" s="31">
        <v>3</v>
      </c>
      <c r="L96" s="31">
        <v>9.1428571428571423</v>
      </c>
      <c r="M96" s="67"/>
      <c r="N96" s="67"/>
      <c r="O96" s="68"/>
      <c r="P96" s="68"/>
      <c r="Q96" s="69"/>
      <c r="R96" s="69"/>
      <c r="S96" s="31"/>
      <c r="T96" s="31">
        <v>2</v>
      </c>
      <c r="U96" s="69">
        <v>-0.78125</v>
      </c>
      <c r="V96" s="69"/>
      <c r="W96" s="69"/>
      <c r="X96" s="69"/>
      <c r="Y96" s="69">
        <v>4.4408920985006262E-16</v>
      </c>
      <c r="Z96" s="69">
        <v>0</v>
      </c>
      <c r="AA96" s="69"/>
      <c r="AB96" s="69"/>
      <c r="AC96" s="69"/>
      <c r="AD96" s="133"/>
      <c r="AE96" s="133"/>
      <c r="AF96" s="133"/>
    </row>
    <row r="97" spans="1:32" x14ac:dyDescent="0.25">
      <c r="A97" t="s">
        <v>197</v>
      </c>
      <c r="B97" t="s">
        <v>281</v>
      </c>
      <c r="C97" s="31"/>
      <c r="D97" s="31"/>
      <c r="E97" s="65"/>
      <c r="F97" s="31"/>
      <c r="G97" s="66"/>
      <c r="H97" s="31"/>
      <c r="I97" s="65"/>
      <c r="J97" s="65"/>
      <c r="K97" s="31">
        <v>-1</v>
      </c>
      <c r="L97" s="31">
        <v>5</v>
      </c>
      <c r="M97" s="67"/>
      <c r="N97" s="67"/>
      <c r="O97" s="68"/>
      <c r="P97" s="68"/>
      <c r="Q97" s="69"/>
      <c r="R97" s="69"/>
      <c r="S97" s="31">
        <v>1</v>
      </c>
      <c r="T97" s="31">
        <v>1</v>
      </c>
      <c r="U97" s="69">
        <v>-1.2</v>
      </c>
      <c r="V97" s="69"/>
      <c r="W97" s="69"/>
      <c r="X97" s="69"/>
      <c r="Y97" s="69"/>
      <c r="Z97" s="69">
        <v>0</v>
      </c>
      <c r="AA97" s="69"/>
      <c r="AB97" s="69"/>
      <c r="AC97" s="69"/>
      <c r="AD97" s="133"/>
      <c r="AE97" s="133"/>
      <c r="AF97" s="133"/>
    </row>
    <row r="98" spans="1:32" x14ac:dyDescent="0.25">
      <c r="A98" t="s">
        <v>197</v>
      </c>
      <c r="B98" t="s">
        <v>309</v>
      </c>
      <c r="C98" s="31"/>
      <c r="D98" s="31"/>
      <c r="E98" s="65"/>
      <c r="F98" s="31"/>
      <c r="G98" s="66"/>
      <c r="H98" s="31"/>
      <c r="I98" s="65"/>
      <c r="J98" s="65"/>
      <c r="K98" s="31"/>
      <c r="L98" s="31">
        <v>-1</v>
      </c>
      <c r="M98" s="67"/>
      <c r="N98" s="67"/>
      <c r="O98" s="68"/>
      <c r="P98" s="68"/>
      <c r="Q98" s="69"/>
      <c r="R98" s="69"/>
      <c r="S98" s="31"/>
      <c r="T98" s="31"/>
      <c r="U98" s="69"/>
      <c r="V98" s="69"/>
      <c r="W98" s="69"/>
      <c r="X98" s="69"/>
      <c r="Y98" s="69"/>
      <c r="Z98" s="69"/>
      <c r="AA98" s="69"/>
      <c r="AB98" s="69"/>
      <c r="AC98" s="69"/>
      <c r="AD98" s="133"/>
      <c r="AE98" s="133"/>
      <c r="AF98" s="133"/>
    </row>
    <row r="99" spans="1:32" x14ac:dyDescent="0.25">
      <c r="A99" t="s">
        <v>197</v>
      </c>
      <c r="B99" t="s">
        <v>302</v>
      </c>
      <c r="C99" s="31"/>
      <c r="D99" s="31"/>
      <c r="E99" s="65"/>
      <c r="F99" s="31"/>
      <c r="G99" s="66"/>
      <c r="H99" s="31"/>
      <c r="I99" s="65"/>
      <c r="J99" s="65"/>
      <c r="K99" s="31">
        <v>2</v>
      </c>
      <c r="L99" s="31">
        <v>3</v>
      </c>
      <c r="M99" s="67"/>
      <c r="N99" s="67"/>
      <c r="O99" s="68"/>
      <c r="P99" s="68"/>
      <c r="Q99" s="69"/>
      <c r="R99" s="69"/>
      <c r="S99" s="31">
        <v>0</v>
      </c>
      <c r="T99" s="31">
        <v>0</v>
      </c>
      <c r="U99" s="69">
        <v>-0.33333333333333337</v>
      </c>
      <c r="V99" s="69"/>
      <c r="W99" s="69"/>
      <c r="X99" s="69"/>
      <c r="Y99" s="69">
        <v>-2.2204460492503131E-16</v>
      </c>
      <c r="Z99" s="69">
        <v>0</v>
      </c>
      <c r="AA99" s="69"/>
      <c r="AB99" s="69"/>
      <c r="AC99" s="69"/>
      <c r="AD99" s="133"/>
      <c r="AE99" s="133"/>
      <c r="AF99" s="133"/>
    </row>
    <row r="100" spans="1:32" x14ac:dyDescent="0.25">
      <c r="A100" t="s">
        <v>197</v>
      </c>
      <c r="B100" t="s">
        <v>287</v>
      </c>
      <c r="C100" s="31"/>
      <c r="D100" s="31"/>
      <c r="E100" s="65"/>
      <c r="F100" s="31"/>
      <c r="G100" s="66"/>
      <c r="H100" s="31"/>
      <c r="I100" s="65"/>
      <c r="J100" s="65"/>
      <c r="K100" s="31">
        <v>4</v>
      </c>
      <c r="L100" s="31">
        <v>22</v>
      </c>
      <c r="M100" s="67"/>
      <c r="N100" s="67"/>
      <c r="O100" s="68"/>
      <c r="P100" s="68"/>
      <c r="Q100" s="69"/>
      <c r="R100" s="69"/>
      <c r="S100" s="31">
        <v>1</v>
      </c>
      <c r="T100" s="31">
        <v>1</v>
      </c>
      <c r="U100" s="69">
        <v>-0.81818181818181812</v>
      </c>
      <c r="V100" s="69"/>
      <c r="W100" s="69"/>
      <c r="X100" s="69"/>
      <c r="Y100" s="69">
        <v>-0.3335653518948184</v>
      </c>
      <c r="Z100" s="69">
        <v>-0.30000000000000004</v>
      </c>
      <c r="AA100" s="69"/>
      <c r="AB100" s="69"/>
      <c r="AC100" s="69"/>
      <c r="AD100" s="133"/>
      <c r="AE100" s="133"/>
      <c r="AF100" s="133"/>
    </row>
    <row r="101" spans="1:32" x14ac:dyDescent="0.25">
      <c r="A101" t="s">
        <v>197</v>
      </c>
      <c r="B101" t="s">
        <v>301</v>
      </c>
      <c r="C101" s="31"/>
      <c r="D101" s="31"/>
      <c r="E101" s="65"/>
      <c r="F101" s="31"/>
      <c r="G101" s="66"/>
      <c r="H101" s="31"/>
      <c r="I101" s="65"/>
      <c r="J101" s="65"/>
      <c r="K101" s="31">
        <v>-2</v>
      </c>
      <c r="L101" s="31">
        <v>1</v>
      </c>
      <c r="M101" s="67"/>
      <c r="N101" s="67"/>
      <c r="O101" s="68"/>
      <c r="P101" s="68"/>
      <c r="Q101" s="69"/>
      <c r="R101" s="69"/>
      <c r="S101" s="31"/>
      <c r="T101" s="31"/>
      <c r="U101" s="69">
        <v>-3</v>
      </c>
      <c r="V101" s="69"/>
      <c r="W101" s="69"/>
      <c r="X101" s="69"/>
      <c r="Y101" s="69"/>
      <c r="Z101" s="69">
        <v>0</v>
      </c>
      <c r="AA101" s="69"/>
      <c r="AB101" s="69"/>
      <c r="AC101" s="69"/>
      <c r="AD101" s="133"/>
      <c r="AE101" s="133"/>
      <c r="AF101" s="133"/>
    </row>
    <row r="102" spans="1:32" x14ac:dyDescent="0.25">
      <c r="A102" t="s">
        <v>197</v>
      </c>
      <c r="B102" t="s">
        <v>279</v>
      </c>
      <c r="C102" s="31"/>
      <c r="D102" s="31"/>
      <c r="E102" s="65"/>
      <c r="F102" s="31"/>
      <c r="G102" s="66"/>
      <c r="H102" s="31"/>
      <c r="I102" s="65"/>
      <c r="J102" s="65"/>
      <c r="K102" s="31">
        <v>12</v>
      </c>
      <c r="L102" s="31">
        <v>41.428571428571431</v>
      </c>
      <c r="M102" s="67"/>
      <c r="N102" s="67"/>
      <c r="O102" s="68"/>
      <c r="P102" s="68"/>
      <c r="Q102" s="69"/>
      <c r="R102" s="69"/>
      <c r="S102" s="31">
        <v>17</v>
      </c>
      <c r="T102" s="31">
        <v>6</v>
      </c>
      <c r="U102" s="69">
        <v>-0.71034482758620698</v>
      </c>
      <c r="V102" s="69"/>
      <c r="W102" s="69"/>
      <c r="X102" s="69"/>
      <c r="Y102" s="69">
        <v>-2.8969342406777288E-2</v>
      </c>
      <c r="Z102" s="69">
        <v>-6.6666666666666652E-2</v>
      </c>
      <c r="AA102" s="69"/>
      <c r="AB102" s="69"/>
      <c r="AC102" s="69"/>
      <c r="AD102" s="133"/>
      <c r="AE102" s="133"/>
      <c r="AF102" s="133"/>
    </row>
    <row r="103" spans="1:32" x14ac:dyDescent="0.25">
      <c r="A103" t="s">
        <v>197</v>
      </c>
      <c r="B103" t="s">
        <v>313</v>
      </c>
      <c r="C103" s="31"/>
      <c r="D103" s="31"/>
      <c r="E103" s="65"/>
      <c r="F103" s="31"/>
      <c r="G103" s="66"/>
      <c r="H103" s="31"/>
      <c r="I103" s="65"/>
      <c r="J103" s="65"/>
      <c r="K103" s="31">
        <v>5</v>
      </c>
      <c r="L103" s="31">
        <v>3</v>
      </c>
      <c r="M103" s="67"/>
      <c r="N103" s="67"/>
      <c r="O103" s="68"/>
      <c r="P103" s="68"/>
      <c r="Q103" s="69"/>
      <c r="R103" s="69"/>
      <c r="S103" s="31">
        <v>12.714285714285714</v>
      </c>
      <c r="T103" s="31"/>
      <c r="U103" s="69">
        <v>0.66666666666666674</v>
      </c>
      <c r="V103" s="69"/>
      <c r="W103" s="69"/>
      <c r="X103" s="69"/>
      <c r="Y103" s="69">
        <v>-9.4134457381900294E-4</v>
      </c>
      <c r="Z103" s="69">
        <v>0</v>
      </c>
      <c r="AA103" s="69"/>
      <c r="AB103" s="69"/>
      <c r="AC103" s="69"/>
      <c r="AD103" s="133"/>
      <c r="AE103" s="133"/>
      <c r="AF103" s="133"/>
    </row>
    <row r="104" spans="1:32" x14ac:dyDescent="0.25">
      <c r="A104" t="s">
        <v>197</v>
      </c>
      <c r="B104" t="s">
        <v>803</v>
      </c>
      <c r="C104" s="31"/>
      <c r="D104" s="31"/>
      <c r="E104" s="65"/>
      <c r="F104" s="31"/>
      <c r="G104" s="66"/>
      <c r="H104" s="31"/>
      <c r="I104" s="65"/>
      <c r="J104" s="65"/>
      <c r="K104" s="31">
        <v>1</v>
      </c>
      <c r="L104" s="31"/>
      <c r="M104" s="67"/>
      <c r="N104" s="67"/>
      <c r="O104" s="68"/>
      <c r="P104" s="68"/>
      <c r="Q104" s="69"/>
      <c r="R104" s="69"/>
      <c r="S104" s="31">
        <v>1.7142857142857142</v>
      </c>
      <c r="T104" s="31"/>
      <c r="U104" s="69"/>
      <c r="V104" s="69"/>
      <c r="W104" s="69"/>
      <c r="X104" s="69"/>
      <c r="Y104" s="69">
        <v>0</v>
      </c>
      <c r="Z104" s="69">
        <v>0</v>
      </c>
      <c r="AA104" s="69"/>
      <c r="AB104" s="69"/>
      <c r="AC104" s="69"/>
      <c r="AD104" s="133"/>
      <c r="AE104" s="133"/>
      <c r="AF104" s="133"/>
    </row>
    <row r="105" spans="1:32" x14ac:dyDescent="0.25">
      <c r="A105" t="s">
        <v>197</v>
      </c>
      <c r="B105" t="s">
        <v>292</v>
      </c>
      <c r="C105" s="31"/>
      <c r="D105" s="31"/>
      <c r="E105" s="65"/>
      <c r="F105" s="31"/>
      <c r="G105" s="66"/>
      <c r="H105" s="31"/>
      <c r="I105" s="65"/>
      <c r="J105" s="65"/>
      <c r="K105" s="31"/>
      <c r="L105" s="31">
        <v>2</v>
      </c>
      <c r="M105" s="67"/>
      <c r="N105" s="67"/>
      <c r="O105" s="68"/>
      <c r="P105" s="68"/>
      <c r="Q105" s="69"/>
      <c r="R105" s="69"/>
      <c r="S105" s="31"/>
      <c r="T105" s="31"/>
      <c r="U105" s="69"/>
      <c r="V105" s="69"/>
      <c r="W105" s="69"/>
      <c r="X105" s="69"/>
      <c r="Y105" s="69"/>
      <c r="Z105" s="69"/>
      <c r="AA105" s="69"/>
      <c r="AB105" s="69"/>
      <c r="AC105" s="69"/>
      <c r="AD105" s="133"/>
      <c r="AE105" s="133"/>
      <c r="AF105" s="133"/>
    </row>
    <row r="106" spans="1:32" x14ac:dyDescent="0.25">
      <c r="A106" t="s">
        <v>197</v>
      </c>
      <c r="B106" t="s">
        <v>294</v>
      </c>
      <c r="C106" s="31"/>
      <c r="D106" s="31"/>
      <c r="E106" s="65"/>
      <c r="F106" s="31"/>
      <c r="G106" s="66"/>
      <c r="H106" s="31"/>
      <c r="I106" s="65"/>
      <c r="J106" s="65"/>
      <c r="K106" s="31">
        <v>-1</v>
      </c>
      <c r="L106" s="31">
        <v>19</v>
      </c>
      <c r="M106" s="67"/>
      <c r="N106" s="67"/>
      <c r="O106" s="68"/>
      <c r="P106" s="68"/>
      <c r="Q106" s="69"/>
      <c r="R106" s="69"/>
      <c r="S106" s="31">
        <v>1</v>
      </c>
      <c r="T106" s="31">
        <v>1</v>
      </c>
      <c r="U106" s="69">
        <v>-1.0526315789473684</v>
      </c>
      <c r="V106" s="69"/>
      <c r="W106" s="69"/>
      <c r="X106" s="69"/>
      <c r="Y106" s="69">
        <v>0</v>
      </c>
      <c r="Z106" s="69">
        <v>0</v>
      </c>
      <c r="AA106" s="69"/>
      <c r="AB106" s="69"/>
      <c r="AC106" s="69"/>
      <c r="AD106" s="133"/>
      <c r="AE106" s="133"/>
      <c r="AF106" s="133"/>
    </row>
    <row r="107" spans="1:32" x14ac:dyDescent="0.25">
      <c r="A107" t="s">
        <v>197</v>
      </c>
      <c r="B107" t="s">
        <v>727</v>
      </c>
      <c r="C107" s="31"/>
      <c r="D107" s="31"/>
      <c r="E107" s="65"/>
      <c r="F107" s="31"/>
      <c r="G107" s="66"/>
      <c r="H107" s="31"/>
      <c r="I107" s="65"/>
      <c r="J107" s="65"/>
      <c r="K107" s="31">
        <v>41</v>
      </c>
      <c r="L107" s="31"/>
      <c r="M107" s="67"/>
      <c r="N107" s="67"/>
      <c r="O107" s="68"/>
      <c r="P107" s="68"/>
      <c r="Q107" s="69"/>
      <c r="R107" s="69"/>
      <c r="S107" s="31"/>
      <c r="T107" s="31"/>
      <c r="U107" s="69"/>
      <c r="V107" s="69"/>
      <c r="W107" s="69"/>
      <c r="X107" s="69"/>
      <c r="Y107" s="69">
        <v>-1.5624305936424943E-2</v>
      </c>
      <c r="Z107" s="69">
        <v>-1.7123287671232945E-2</v>
      </c>
      <c r="AA107" s="69"/>
      <c r="AB107" s="69"/>
      <c r="AC107" s="69"/>
      <c r="AD107" s="133"/>
      <c r="AE107" s="133"/>
      <c r="AF107" s="133"/>
    </row>
    <row r="108" spans="1:32" x14ac:dyDescent="0.25">
      <c r="A108" t="s">
        <v>197</v>
      </c>
      <c r="B108" t="s">
        <v>304</v>
      </c>
      <c r="C108" s="31"/>
      <c r="D108" s="31"/>
      <c r="E108" s="65"/>
      <c r="F108" s="31"/>
      <c r="G108" s="66"/>
      <c r="H108" s="31"/>
      <c r="I108" s="65"/>
      <c r="J108" s="65"/>
      <c r="K108" s="31"/>
      <c r="L108" s="31">
        <v>-1</v>
      </c>
      <c r="M108" s="67"/>
      <c r="N108" s="67"/>
      <c r="O108" s="68"/>
      <c r="P108" s="68"/>
      <c r="Q108" s="69"/>
      <c r="R108" s="69"/>
      <c r="S108" s="31"/>
      <c r="T108" s="31"/>
      <c r="U108" s="69"/>
      <c r="V108" s="69"/>
      <c r="W108" s="69"/>
      <c r="X108" s="69"/>
      <c r="Y108" s="69"/>
      <c r="Z108" s="69"/>
      <c r="AA108" s="69"/>
      <c r="AB108" s="69"/>
      <c r="AC108" s="69"/>
      <c r="AD108" s="133"/>
      <c r="AE108" s="133"/>
      <c r="AF108" s="133"/>
    </row>
    <row r="109" spans="1:32" x14ac:dyDescent="0.25">
      <c r="A109" t="s">
        <v>197</v>
      </c>
      <c r="B109" t="s">
        <v>306</v>
      </c>
      <c r="C109" s="31"/>
      <c r="D109" s="31"/>
      <c r="E109" s="65"/>
      <c r="F109" s="31"/>
      <c r="G109" s="66"/>
      <c r="H109" s="31"/>
      <c r="I109" s="65"/>
      <c r="J109" s="65"/>
      <c r="K109" s="31"/>
      <c r="L109" s="31">
        <v>3</v>
      </c>
      <c r="M109" s="67"/>
      <c r="N109" s="67"/>
      <c r="O109" s="68"/>
      <c r="P109" s="68"/>
      <c r="Q109" s="69"/>
      <c r="R109" s="69"/>
      <c r="S109" s="31"/>
      <c r="T109" s="31"/>
      <c r="U109" s="69"/>
      <c r="V109" s="69"/>
      <c r="W109" s="69"/>
      <c r="X109" s="69"/>
      <c r="Y109" s="69"/>
      <c r="Z109" s="69"/>
      <c r="AA109" s="69"/>
      <c r="AB109" s="69"/>
      <c r="AC109" s="69"/>
      <c r="AD109" s="133"/>
      <c r="AE109" s="133"/>
      <c r="AF109" s="133"/>
    </row>
    <row r="110" spans="1:32" x14ac:dyDescent="0.25">
      <c r="A110" s="129" t="s">
        <v>804</v>
      </c>
      <c r="B110" s="129"/>
      <c r="C110" s="120">
        <v>27238</v>
      </c>
      <c r="D110" s="120">
        <v>22226</v>
      </c>
      <c r="E110" s="119">
        <v>59227</v>
      </c>
      <c r="F110" s="120">
        <v>47489</v>
      </c>
      <c r="G110" s="120">
        <v>17055689.100003026</v>
      </c>
      <c r="H110" s="120">
        <v>9502914.0300021861</v>
      </c>
      <c r="I110" s="119">
        <v>10026693.74000119</v>
      </c>
      <c r="J110" s="119">
        <v>4622784.1600020891</v>
      </c>
      <c r="K110" s="120">
        <v>674543.85714285716</v>
      </c>
      <c r="L110" s="120">
        <v>909069.71428571432</v>
      </c>
      <c r="M110" s="131">
        <v>11.389127545593347</v>
      </c>
      <c r="N110" s="131">
        <v>19.317010906042725</v>
      </c>
      <c r="O110" s="130">
        <v>287.97151805769374</v>
      </c>
      <c r="P110" s="130">
        <v>200.10768872796197</v>
      </c>
      <c r="Q110" s="132">
        <v>0.58787972043881909</v>
      </c>
      <c r="R110" s="132">
        <v>0.47514453118668454</v>
      </c>
      <c r="S110" s="120">
        <v>225130.42857142858</v>
      </c>
      <c r="T110" s="120">
        <v>310753.14285714284</v>
      </c>
      <c r="U110" s="132">
        <v>-0.27735056623034415</v>
      </c>
      <c r="V110" s="132">
        <v>0.21011181536776946</v>
      </c>
      <c r="W110" s="132">
        <v>0.74064878602284923</v>
      </c>
      <c r="X110" s="132">
        <v>1.1537083971158775</v>
      </c>
      <c r="Y110" s="132">
        <v>-4.6034463120514735E-2</v>
      </c>
      <c r="Z110" s="132">
        <v>-5.022430869414185E-2</v>
      </c>
      <c r="AA110" s="132">
        <v>0.19907276187391187</v>
      </c>
      <c r="AB110" s="132">
        <v>0.14250268133161303</v>
      </c>
      <c r="AC110" s="132">
        <v>-4.7178188297673507E-2</v>
      </c>
      <c r="AD110" s="134">
        <v>8.8929164210086065E-2</v>
      </c>
      <c r="AE110" s="134">
        <v>0.40384067987849182</v>
      </c>
      <c r="AF110" s="134">
        <v>0.6417070332942536</v>
      </c>
    </row>
    <row r="111" spans="1:32" x14ac:dyDescent="0.25">
      <c r="A111" t="s">
        <v>89</v>
      </c>
      <c r="B111" t="s">
        <v>222</v>
      </c>
      <c r="C111" s="31">
        <v>7433</v>
      </c>
      <c r="D111" s="31">
        <v>6990</v>
      </c>
      <c r="E111" s="65">
        <v>9579</v>
      </c>
      <c r="F111" s="31">
        <v>9304</v>
      </c>
      <c r="G111" s="66">
        <v>10690938.190000532</v>
      </c>
      <c r="H111" s="31">
        <v>9215097.5899997465</v>
      </c>
      <c r="I111" s="65">
        <v>5066404.2499997737</v>
      </c>
      <c r="J111" s="65">
        <v>4070829.5399998222</v>
      </c>
      <c r="K111" s="31">
        <v>133426.57142857142</v>
      </c>
      <c r="L111" s="31">
        <v>107379</v>
      </c>
      <c r="M111" s="67">
        <v>13.929071033361668</v>
      </c>
      <c r="N111" s="67">
        <v>11.626513635885017</v>
      </c>
      <c r="O111" s="68">
        <v>1116.0808215889479</v>
      </c>
      <c r="P111" s="68">
        <v>990.44471087701493</v>
      </c>
      <c r="Q111" s="69">
        <v>0.47389706683913785</v>
      </c>
      <c r="R111" s="69">
        <v>0.43281240727693526</v>
      </c>
      <c r="S111" s="31">
        <v>26169.428571428572</v>
      </c>
      <c r="T111" s="31">
        <v>36615.857142857145</v>
      </c>
      <c r="U111" s="69">
        <v>0.18381620242319263</v>
      </c>
      <c r="V111" s="69">
        <v>3.2244196044706186E-4</v>
      </c>
      <c r="W111" s="69">
        <v>0.12449088235871653</v>
      </c>
      <c r="X111" s="69">
        <v>0.23608781740861806</v>
      </c>
      <c r="Y111" s="69">
        <v>-1.8919133652221753E-2</v>
      </c>
      <c r="Z111" s="69">
        <v>-1.5004012811467571E-2</v>
      </c>
      <c r="AA111" s="69">
        <v>0.35239305379076669</v>
      </c>
      <c r="AB111" s="69">
        <v>0.26745888501616366</v>
      </c>
      <c r="AC111" s="69">
        <v>-6.2802872683005995E-2</v>
      </c>
      <c r="AD111" s="133">
        <v>3.9415878442054533E-2</v>
      </c>
      <c r="AE111" s="133">
        <v>7.7000401878040303E-2</v>
      </c>
      <c r="AF111" s="133">
        <v>0.17382684923257746</v>
      </c>
    </row>
    <row r="112" spans="1:32" x14ac:dyDescent="0.25">
      <c r="A112" t="s">
        <v>89</v>
      </c>
      <c r="B112" t="s">
        <v>223</v>
      </c>
      <c r="C112" s="31">
        <v>3830</v>
      </c>
      <c r="D112" s="31">
        <v>2864</v>
      </c>
      <c r="E112" s="65">
        <v>4970</v>
      </c>
      <c r="F112" s="31">
        <v>3643</v>
      </c>
      <c r="G112" s="66">
        <v>3459756.2999999928</v>
      </c>
      <c r="H112" s="31">
        <v>2415904.7099999855</v>
      </c>
      <c r="I112" s="65">
        <v>1711115.0400000392</v>
      </c>
      <c r="J112" s="65">
        <v>1022633.1899999927</v>
      </c>
      <c r="K112" s="31">
        <v>54707.714285714283</v>
      </c>
      <c r="L112" s="31">
        <v>56842.285714285717</v>
      </c>
      <c r="M112" s="67">
        <v>11.007588387467662</v>
      </c>
      <c r="N112" s="67">
        <v>15.676950232147654</v>
      </c>
      <c r="O112" s="68">
        <v>696.12802816901262</v>
      </c>
      <c r="P112" s="68">
        <v>663.16352182266962</v>
      </c>
      <c r="Q112" s="69">
        <v>0.49457675385981453</v>
      </c>
      <c r="R112" s="69">
        <v>0.41453979306922911</v>
      </c>
      <c r="S112" s="31">
        <v>23287</v>
      </c>
      <c r="T112" s="31">
        <v>9906.4285714285706</v>
      </c>
      <c r="U112" s="69">
        <v>-7.0727024147013373E-2</v>
      </c>
      <c r="V112" s="69">
        <v>0.33049684326104867</v>
      </c>
      <c r="W112" s="69">
        <v>0.39594525646667278</v>
      </c>
      <c r="X112" s="69">
        <v>0.66541660929158808</v>
      </c>
      <c r="Y112" s="69">
        <v>-2.3158915333014618E-2</v>
      </c>
      <c r="Z112" s="69">
        <v>-2.6857388259390214E-2</v>
      </c>
      <c r="AA112" s="69">
        <v>0.22143032686163666</v>
      </c>
      <c r="AB112" s="69">
        <v>0.22455932420686731</v>
      </c>
      <c r="AC112" s="69">
        <v>2.5617485307329879E-3</v>
      </c>
      <c r="AD112" s="133">
        <v>-9.7271912125941232E-2</v>
      </c>
      <c r="AE112" s="133">
        <v>-6.8850256096060478E-2</v>
      </c>
      <c r="AF112" s="133">
        <v>5.6791069292076279E-2</v>
      </c>
    </row>
    <row r="113" spans="1:32" x14ac:dyDescent="0.25">
      <c r="A113" t="s">
        <v>89</v>
      </c>
      <c r="B113" t="s">
        <v>89</v>
      </c>
      <c r="C113" s="31">
        <v>94</v>
      </c>
      <c r="D113" s="31">
        <v>500</v>
      </c>
      <c r="E113" s="65">
        <v>127</v>
      </c>
      <c r="F113" s="31">
        <v>926</v>
      </c>
      <c r="G113" s="66">
        <v>36469.389999999992</v>
      </c>
      <c r="H113" s="31">
        <v>200942.70000000074</v>
      </c>
      <c r="I113" s="65">
        <v>14090.85</v>
      </c>
      <c r="J113" s="65">
        <v>73150.860000000452</v>
      </c>
      <c r="K113" s="31">
        <v>2433.2857142857142</v>
      </c>
      <c r="L113" s="31">
        <v>9862.5714285714294</v>
      </c>
      <c r="M113" s="67">
        <v>19.159730033745781</v>
      </c>
      <c r="N113" s="67">
        <v>10.750954927425516</v>
      </c>
      <c r="O113" s="68">
        <v>287.16055118110228</v>
      </c>
      <c r="P113" s="68">
        <v>217.00075593952565</v>
      </c>
      <c r="Q113" s="69">
        <v>0.38637471040782428</v>
      </c>
      <c r="R113" s="69">
        <v>0.35873057066472808</v>
      </c>
      <c r="S113" s="31">
        <v>512</v>
      </c>
      <c r="T113" s="31">
        <v>14080.857142857143</v>
      </c>
      <c r="U113" s="69">
        <v>-0.75419334279672068</v>
      </c>
      <c r="V113" s="69">
        <v>-0.86285097192224625</v>
      </c>
      <c r="W113" s="69">
        <v>-0.81850851013746773</v>
      </c>
      <c r="X113" s="69">
        <v>-0.80514289396651617</v>
      </c>
      <c r="Y113" s="69">
        <v>-6.2625195824401847E-2</v>
      </c>
      <c r="Z113" s="69">
        <v>-6.1335831588228862E-2</v>
      </c>
      <c r="AA113" s="69">
        <v>4.0983606557376984E-2</v>
      </c>
      <c r="AB113" s="69">
        <v>5.2146608277851447E-2</v>
      </c>
      <c r="AC113" s="69">
        <v>1.0723513463762657E-2</v>
      </c>
      <c r="AD113" s="133"/>
      <c r="AE113" s="133"/>
      <c r="AF113" s="133"/>
    </row>
    <row r="114" spans="1:32" x14ac:dyDescent="0.25">
      <c r="A114" t="s">
        <v>89</v>
      </c>
      <c r="B114" t="s">
        <v>225</v>
      </c>
      <c r="C114" s="31">
        <v>48</v>
      </c>
      <c r="D114" s="31">
        <v>145</v>
      </c>
      <c r="E114" s="65">
        <v>57</v>
      </c>
      <c r="F114" s="31">
        <v>157</v>
      </c>
      <c r="G114" s="66">
        <v>29390.600000000017</v>
      </c>
      <c r="H114" s="31">
        <v>92029.720000000147</v>
      </c>
      <c r="I114" s="65">
        <v>4909.2800000000016</v>
      </c>
      <c r="J114" s="65">
        <v>28601.200000000201</v>
      </c>
      <c r="K114" s="31">
        <v>1888.4285714285713</v>
      </c>
      <c r="L114" s="31">
        <v>6261.8571428571431</v>
      </c>
      <c r="M114" s="67">
        <v>33.130325814536342</v>
      </c>
      <c r="N114" s="67">
        <v>40.177462289263531</v>
      </c>
      <c r="O114" s="68">
        <v>515.62456140350912</v>
      </c>
      <c r="P114" s="68">
        <v>586.17656050955509</v>
      </c>
      <c r="Q114" s="69">
        <v>0.16703571890332278</v>
      </c>
      <c r="R114" s="69">
        <v>0.30241786685924887</v>
      </c>
      <c r="S114" s="31">
        <v>290.42857142857144</v>
      </c>
      <c r="T114" s="31">
        <v>7261.7142857142853</v>
      </c>
      <c r="U114" s="69">
        <v>-0.72888006752903056</v>
      </c>
      <c r="V114" s="69">
        <v>-0.63057324840764339</v>
      </c>
      <c r="W114" s="69">
        <v>-0.67471323394225291</v>
      </c>
      <c r="X114" s="69">
        <v>-0.8158144066002132</v>
      </c>
      <c r="Y114" s="69">
        <v>-4.9254443250948854E-2</v>
      </c>
      <c r="Z114" s="69">
        <v>-4.6041711770224536E-2</v>
      </c>
      <c r="AA114" s="69">
        <v>-6.557377049180324E-2</v>
      </c>
      <c r="AB114" s="69">
        <v>7.5788660708893785E-2</v>
      </c>
      <c r="AC114" s="69">
        <v>0.15128260181127251</v>
      </c>
      <c r="AD114" s="133"/>
      <c r="AE114" s="133"/>
      <c r="AF114" s="133"/>
    </row>
    <row r="115" spans="1:32" x14ac:dyDescent="0.25">
      <c r="A115" t="s">
        <v>89</v>
      </c>
      <c r="B115" t="s">
        <v>224</v>
      </c>
      <c r="C115" s="31">
        <v>26</v>
      </c>
      <c r="D115" s="31">
        <v>143</v>
      </c>
      <c r="E115" s="65">
        <v>27</v>
      </c>
      <c r="F115" s="31">
        <v>164</v>
      </c>
      <c r="G115" s="66">
        <v>16054.200000000006</v>
      </c>
      <c r="H115" s="31">
        <v>123345.92000000004</v>
      </c>
      <c r="I115" s="65">
        <v>2090.6699999999992</v>
      </c>
      <c r="J115" s="65">
        <v>39982.58000000006</v>
      </c>
      <c r="K115" s="31">
        <v>757.71428571428567</v>
      </c>
      <c r="L115" s="31">
        <v>3562.7142857142858</v>
      </c>
      <c r="M115" s="67">
        <v>28.063492063492063</v>
      </c>
      <c r="N115" s="67">
        <v>21.796280642434489</v>
      </c>
      <c r="O115" s="68">
        <v>594.60000000000025</v>
      </c>
      <c r="P115" s="68">
        <v>752.10926829268317</v>
      </c>
      <c r="Q115" s="69">
        <v>0.13022573532159798</v>
      </c>
      <c r="R115" s="69">
        <v>0.3122298669438397</v>
      </c>
      <c r="S115" s="31">
        <v>195</v>
      </c>
      <c r="T115" s="31">
        <v>3881.1428571428573</v>
      </c>
      <c r="U115" s="69">
        <v>-0.78780223745940092</v>
      </c>
      <c r="V115" s="69">
        <v>-0.83536585365853655</v>
      </c>
      <c r="W115" s="69">
        <v>-0.86984409374870286</v>
      </c>
      <c r="X115" s="69">
        <v>-0.94486817299727921</v>
      </c>
      <c r="Y115" s="69">
        <v>-6.8224681625460026E-2</v>
      </c>
      <c r="Z115" s="69">
        <v>-6.9310405334269243E-2</v>
      </c>
      <c r="AA115" s="69">
        <v>-0.20588235294117652</v>
      </c>
      <c r="AB115" s="69">
        <v>-0.12302226339813405</v>
      </c>
      <c r="AC115" s="69">
        <v>0.10434233498012757</v>
      </c>
      <c r="AD115" s="133"/>
      <c r="AE115" s="133"/>
      <c r="AF115" s="133"/>
    </row>
    <row r="116" spans="1:32" x14ac:dyDescent="0.25">
      <c r="A116" t="s">
        <v>89</v>
      </c>
      <c r="B116" t="s">
        <v>229</v>
      </c>
      <c r="C116" s="31">
        <v>5</v>
      </c>
      <c r="D116" s="31"/>
      <c r="E116" s="65">
        <v>5</v>
      </c>
      <c r="F116" s="31"/>
      <c r="G116" s="66">
        <v>1136.3</v>
      </c>
      <c r="H116" s="31"/>
      <c r="I116" s="65">
        <v>326.3</v>
      </c>
      <c r="J116" s="65"/>
      <c r="K116" s="31">
        <v>77.428571428571431</v>
      </c>
      <c r="L116" s="31">
        <v>1</v>
      </c>
      <c r="M116" s="67">
        <v>15.485714285714286</v>
      </c>
      <c r="N116" s="67"/>
      <c r="O116" s="68">
        <v>227.26</v>
      </c>
      <c r="P116" s="68"/>
      <c r="Q116" s="69">
        <v>0.28716008096453405</v>
      </c>
      <c r="R116" s="69"/>
      <c r="S116" s="31">
        <v>6</v>
      </c>
      <c r="T116" s="31">
        <v>0</v>
      </c>
      <c r="U116" s="69">
        <v>0</v>
      </c>
      <c r="V116" s="69"/>
      <c r="W116" s="69"/>
      <c r="X116" s="69"/>
      <c r="Y116" s="69">
        <v>-4.3366372679542131E-2</v>
      </c>
      <c r="Z116" s="69">
        <v>-4.2402826855123643E-2</v>
      </c>
      <c r="AA116" s="69">
        <v>1.5</v>
      </c>
      <c r="AB116" s="69">
        <v>1.5</v>
      </c>
      <c r="AC116" s="69">
        <v>0</v>
      </c>
      <c r="AD116" s="133"/>
      <c r="AE116" s="133"/>
      <c r="AF116" s="133"/>
    </row>
    <row r="117" spans="1:32" x14ac:dyDescent="0.25">
      <c r="A117" t="s">
        <v>89</v>
      </c>
      <c r="B117" t="s">
        <v>226</v>
      </c>
      <c r="C117" s="31">
        <v>1</v>
      </c>
      <c r="D117" s="31">
        <v>3</v>
      </c>
      <c r="E117" s="65">
        <v>1</v>
      </c>
      <c r="F117" s="31">
        <v>3</v>
      </c>
      <c r="G117" s="66">
        <v>545.45000000000005</v>
      </c>
      <c r="H117" s="31">
        <v>2309.0500000000002</v>
      </c>
      <c r="I117" s="65">
        <v>122.45</v>
      </c>
      <c r="J117" s="65">
        <v>661.93000000000006</v>
      </c>
      <c r="K117" s="31">
        <v>63.428571428571431</v>
      </c>
      <c r="L117" s="31">
        <v>25.571428571428573</v>
      </c>
      <c r="M117" s="67">
        <v>63.428571428571431</v>
      </c>
      <c r="N117" s="67">
        <v>8.5714285714285712</v>
      </c>
      <c r="O117" s="68">
        <v>545.45000000000005</v>
      </c>
      <c r="P117" s="68">
        <v>769.68333333333339</v>
      </c>
      <c r="Q117" s="69">
        <v>0.22449353744614536</v>
      </c>
      <c r="R117" s="69">
        <v>0.2866676771832572</v>
      </c>
      <c r="S117" s="31">
        <v>6</v>
      </c>
      <c r="T117" s="31">
        <v>14.571428571428571</v>
      </c>
      <c r="U117" s="69">
        <v>1.4804469273743015</v>
      </c>
      <c r="V117" s="69">
        <v>-0.66666666666666674</v>
      </c>
      <c r="W117" s="69">
        <v>-0.76377731101535262</v>
      </c>
      <c r="X117" s="69">
        <v>-0.8150106506730318</v>
      </c>
      <c r="Y117" s="69">
        <v>-7.8201781577058815E-2</v>
      </c>
      <c r="Z117" s="69">
        <v>-8.0745341614906763E-2</v>
      </c>
      <c r="AA117" s="69"/>
      <c r="AB117" s="69"/>
      <c r="AC117" s="69"/>
      <c r="AD117" s="133"/>
      <c r="AE117" s="133"/>
      <c r="AF117" s="133"/>
    </row>
    <row r="118" spans="1:32" x14ac:dyDescent="0.25">
      <c r="A118" t="s">
        <v>89</v>
      </c>
      <c r="B118" t="s">
        <v>227</v>
      </c>
      <c r="C118" s="31">
        <v>4</v>
      </c>
      <c r="D118" s="31">
        <v>-1</v>
      </c>
      <c r="E118" s="65">
        <v>6</v>
      </c>
      <c r="F118" s="31">
        <v>-1</v>
      </c>
      <c r="G118" s="66">
        <v>309.04000000000002</v>
      </c>
      <c r="H118" s="31">
        <v>-7.26</v>
      </c>
      <c r="I118" s="65">
        <v>204.76</v>
      </c>
      <c r="J118" s="65">
        <v>0.74000000000000021</v>
      </c>
      <c r="K118" s="31">
        <v>212.42857142857142</v>
      </c>
      <c r="L118" s="31">
        <v>72.428571428571431</v>
      </c>
      <c r="M118" s="67">
        <v>35.404761904761905</v>
      </c>
      <c r="N118" s="67">
        <v>-72.571428571428569</v>
      </c>
      <c r="O118" s="68">
        <v>51.506666666666668</v>
      </c>
      <c r="P118" s="68">
        <v>7.26</v>
      </c>
      <c r="Q118" s="69">
        <v>0.66256795236862531</v>
      </c>
      <c r="R118" s="69">
        <v>-0.10192837465564741</v>
      </c>
      <c r="S118" s="31">
        <v>153</v>
      </c>
      <c r="T118" s="31">
        <v>164</v>
      </c>
      <c r="U118" s="69">
        <v>1.9151873767258381</v>
      </c>
      <c r="V118" s="69">
        <v>-7</v>
      </c>
      <c r="W118" s="69">
        <v>-43.567493112947659</v>
      </c>
      <c r="X118" s="69">
        <v>275.70270270270265</v>
      </c>
      <c r="Y118" s="69">
        <v>-2.322585065218008E-2</v>
      </c>
      <c r="Z118" s="69">
        <v>-2.1066491112574082E-2</v>
      </c>
      <c r="AA118" s="69">
        <v>1</v>
      </c>
      <c r="AB118" s="69">
        <v>0.34616892451104242</v>
      </c>
      <c r="AC118" s="69">
        <v>-0.3269155377444789</v>
      </c>
      <c r="AD118" s="133"/>
      <c r="AE118" s="133"/>
      <c r="AF118" s="133"/>
    </row>
    <row r="119" spans="1:32" x14ac:dyDescent="0.25">
      <c r="A119" t="s">
        <v>89</v>
      </c>
      <c r="B119" t="s">
        <v>724</v>
      </c>
      <c r="C119" s="31"/>
      <c r="D119" s="31"/>
      <c r="E119" s="65"/>
      <c r="F119" s="31"/>
      <c r="G119" s="66"/>
      <c r="H119" s="31"/>
      <c r="I119" s="65"/>
      <c r="J119" s="65"/>
      <c r="K119" s="31">
        <v>-1</v>
      </c>
      <c r="L119" s="31"/>
      <c r="M119" s="67"/>
      <c r="N119" s="67"/>
      <c r="O119" s="68"/>
      <c r="P119" s="68"/>
      <c r="Q119" s="69"/>
      <c r="R119" s="69"/>
      <c r="S119" s="31"/>
      <c r="T119" s="31"/>
      <c r="U119" s="69"/>
      <c r="V119" s="69"/>
      <c r="W119" s="69"/>
      <c r="X119" s="69"/>
      <c r="Y119" s="69">
        <v>0</v>
      </c>
      <c r="Z119" s="69">
        <v>0</v>
      </c>
      <c r="AA119" s="69"/>
      <c r="AB119" s="69"/>
      <c r="AC119" s="69"/>
      <c r="AD119" s="133"/>
      <c r="AE119" s="133"/>
      <c r="AF119" s="133"/>
    </row>
    <row r="120" spans="1:32" x14ac:dyDescent="0.25">
      <c r="A120" t="s">
        <v>89</v>
      </c>
      <c r="B120" t="s">
        <v>228</v>
      </c>
      <c r="C120" s="31"/>
      <c r="D120" s="31"/>
      <c r="E120" s="65"/>
      <c r="F120" s="31"/>
      <c r="G120" s="66"/>
      <c r="H120" s="31"/>
      <c r="I120" s="65"/>
      <c r="J120" s="65"/>
      <c r="K120" s="31">
        <v>1</v>
      </c>
      <c r="L120" s="31"/>
      <c r="M120" s="67"/>
      <c r="N120" s="67"/>
      <c r="O120" s="68"/>
      <c r="P120" s="68"/>
      <c r="Q120" s="69"/>
      <c r="R120" s="69"/>
      <c r="S120" s="31">
        <v>14</v>
      </c>
      <c r="T120" s="31"/>
      <c r="U120" s="69"/>
      <c r="V120" s="69"/>
      <c r="W120" s="69"/>
      <c r="X120" s="69"/>
      <c r="Y120" s="69">
        <v>0</v>
      </c>
      <c r="Z120" s="69">
        <v>0</v>
      </c>
      <c r="AA120" s="69"/>
      <c r="AB120" s="69"/>
      <c r="AC120" s="69"/>
      <c r="AD120" s="133"/>
      <c r="AE120" s="133"/>
      <c r="AF120" s="133"/>
    </row>
    <row r="121" spans="1:32" x14ac:dyDescent="0.25">
      <c r="A121" t="s">
        <v>89</v>
      </c>
      <c r="B121" t="s">
        <v>725</v>
      </c>
      <c r="C121" s="31"/>
      <c r="D121" s="31"/>
      <c r="E121" s="65"/>
      <c r="F121" s="31"/>
      <c r="G121" s="66"/>
      <c r="H121" s="31"/>
      <c r="I121" s="65"/>
      <c r="J121" s="65"/>
      <c r="K121" s="31">
        <v>-3</v>
      </c>
      <c r="L121" s="31"/>
      <c r="M121" s="67"/>
      <c r="N121" s="67"/>
      <c r="O121" s="68"/>
      <c r="P121" s="68"/>
      <c r="Q121" s="69"/>
      <c r="R121" s="69"/>
      <c r="S121" s="31"/>
      <c r="T121" s="31"/>
      <c r="U121" s="69"/>
      <c r="V121" s="69"/>
      <c r="W121" s="69"/>
      <c r="X121" s="69"/>
      <c r="Y121" s="69">
        <v>0</v>
      </c>
      <c r="Z121" s="69">
        <v>0</v>
      </c>
      <c r="AA121" s="69"/>
      <c r="AB121" s="69"/>
      <c r="AC121" s="69"/>
      <c r="AD121" s="133"/>
      <c r="AE121" s="133"/>
      <c r="AF121" s="133"/>
    </row>
    <row r="122" spans="1:32" x14ac:dyDescent="0.25">
      <c r="A122" t="s">
        <v>89</v>
      </c>
      <c r="B122" t="s">
        <v>230</v>
      </c>
      <c r="C122" s="31"/>
      <c r="D122" s="31"/>
      <c r="E122" s="65"/>
      <c r="F122" s="31"/>
      <c r="G122" s="66"/>
      <c r="H122" s="31"/>
      <c r="I122" s="65"/>
      <c r="J122" s="65"/>
      <c r="K122" s="31"/>
      <c r="L122" s="31">
        <v>1.8571428571428572</v>
      </c>
      <c r="M122" s="67"/>
      <c r="N122" s="67"/>
      <c r="O122" s="68"/>
      <c r="P122" s="68"/>
      <c r="Q122" s="69"/>
      <c r="R122" s="69"/>
      <c r="S122" s="31">
        <v>5</v>
      </c>
      <c r="T122" s="31"/>
      <c r="U122" s="69"/>
      <c r="V122" s="69"/>
      <c r="W122" s="69"/>
      <c r="X122" s="69"/>
      <c r="Y122" s="69"/>
      <c r="Z122" s="69"/>
      <c r="AA122" s="69"/>
      <c r="AB122" s="69"/>
      <c r="AC122" s="69"/>
      <c r="AD122" s="133"/>
      <c r="AE122" s="133"/>
      <c r="AF122" s="133"/>
    </row>
    <row r="123" spans="1:32" x14ac:dyDescent="0.25">
      <c r="A123" s="129" t="s">
        <v>808</v>
      </c>
      <c r="B123" s="129"/>
      <c r="C123" s="120">
        <v>11007</v>
      </c>
      <c r="D123" s="120">
        <v>10037</v>
      </c>
      <c r="E123" s="119">
        <v>14772</v>
      </c>
      <c r="F123" s="120">
        <v>14196</v>
      </c>
      <c r="G123" s="120">
        <v>14234599.46999984</v>
      </c>
      <c r="H123" s="120">
        <v>12049622.429999877</v>
      </c>
      <c r="I123" s="119">
        <v>6799263.5999994138</v>
      </c>
      <c r="J123" s="119">
        <v>5235860.0399998734</v>
      </c>
      <c r="K123" s="120">
        <v>193564</v>
      </c>
      <c r="L123" s="120">
        <v>184009.28571428571</v>
      </c>
      <c r="M123" s="131">
        <v>13.103438938532358</v>
      </c>
      <c r="N123" s="131">
        <v>13.052303050025145</v>
      </c>
      <c r="O123" s="130">
        <v>963.62032696993231</v>
      </c>
      <c r="P123" s="130">
        <v>848.8040595942432</v>
      </c>
      <c r="Q123" s="132">
        <v>0.4776575283575214</v>
      </c>
      <c r="R123" s="132">
        <v>0.42563509121576998</v>
      </c>
      <c r="S123" s="120">
        <v>50637.857142857145</v>
      </c>
      <c r="T123" s="120">
        <v>71924.571428571435</v>
      </c>
      <c r="U123" s="132">
        <v>5.8708217364806803E-3</v>
      </c>
      <c r="V123" s="132">
        <v>1.2468300929839415E-2</v>
      </c>
      <c r="W123" s="132">
        <v>0.1467644028079349</v>
      </c>
      <c r="X123" s="132">
        <v>0.29078038559039721</v>
      </c>
      <c r="Y123" s="132">
        <v>-2.0378335371922462E-2</v>
      </c>
      <c r="Z123" s="132">
        <v>-1.9563888175342048E-2</v>
      </c>
      <c r="AA123" s="132">
        <v>0.29875153859679981</v>
      </c>
      <c r="AB123" s="132">
        <v>0.25512083385170592</v>
      </c>
      <c r="AC123" s="132">
        <v>-3.3594343065982746E-2</v>
      </c>
      <c r="AD123" s="134">
        <v>3.4448890704308756E-3</v>
      </c>
      <c r="AE123" s="134">
        <v>4.3426982280244726E-2</v>
      </c>
      <c r="AF123" s="134">
        <v>0.14556284110585879</v>
      </c>
    </row>
    <row r="124" spans="1:32" x14ac:dyDescent="0.25">
      <c r="A124" t="s">
        <v>76</v>
      </c>
      <c r="B124" t="s">
        <v>453</v>
      </c>
      <c r="C124" s="31">
        <v>2166</v>
      </c>
      <c r="D124" s="31">
        <v>1818</v>
      </c>
      <c r="E124" s="65">
        <v>2650</v>
      </c>
      <c r="F124" s="31">
        <v>2121</v>
      </c>
      <c r="G124" s="66">
        <v>3032889.4200000605</v>
      </c>
      <c r="H124" s="31">
        <v>2123106.3999999785</v>
      </c>
      <c r="I124" s="65">
        <v>1513194.0299999998</v>
      </c>
      <c r="J124" s="65">
        <v>1027078.6699999892</v>
      </c>
      <c r="K124" s="31">
        <v>26550.857142857141</v>
      </c>
      <c r="L124" s="31">
        <v>33801.714285714283</v>
      </c>
      <c r="M124" s="67">
        <v>10.019191374663071</v>
      </c>
      <c r="N124" s="67">
        <v>16.012084394800446</v>
      </c>
      <c r="O124" s="68">
        <v>1144.4865735849285</v>
      </c>
      <c r="P124" s="68">
        <v>1000.9931164544925</v>
      </c>
      <c r="Q124" s="69">
        <v>0.49892819039870223</v>
      </c>
      <c r="R124" s="69">
        <v>0.47024097120187186</v>
      </c>
      <c r="S124" s="31">
        <v>18172.428571428572</v>
      </c>
      <c r="T124" s="31">
        <v>35617.571428571428</v>
      </c>
      <c r="U124" s="69">
        <v>-0.23437103781718593</v>
      </c>
      <c r="V124" s="69">
        <v>0.20886374351720893</v>
      </c>
      <c r="W124" s="69">
        <v>0.37339956678575548</v>
      </c>
      <c r="X124" s="69">
        <v>0.45653955069247076</v>
      </c>
      <c r="Y124" s="69">
        <v>-1.1993963127461926E-2</v>
      </c>
      <c r="Z124" s="69">
        <v>3.134728395678299E-2</v>
      </c>
      <c r="AA124" s="69">
        <v>0.13441780821917804</v>
      </c>
      <c r="AB124" s="69">
        <v>0.10214379362548365</v>
      </c>
      <c r="AC124" s="69">
        <v>-2.8449848336177475E-2</v>
      </c>
      <c r="AD124" s="133">
        <v>0.31088335928057936</v>
      </c>
      <c r="AE124" s="133">
        <v>0.58542700564566841</v>
      </c>
      <c r="AF124" s="133">
        <v>0.74911078634296302</v>
      </c>
    </row>
    <row r="125" spans="1:32" x14ac:dyDescent="0.25">
      <c r="A125" t="s">
        <v>76</v>
      </c>
      <c r="B125" t="s">
        <v>454</v>
      </c>
      <c r="C125" s="31">
        <v>1014</v>
      </c>
      <c r="D125" s="31">
        <v>961</v>
      </c>
      <c r="E125" s="65">
        <v>1054</v>
      </c>
      <c r="F125" s="31">
        <v>1031</v>
      </c>
      <c r="G125" s="66">
        <v>2177872.110000012</v>
      </c>
      <c r="H125" s="31">
        <v>1406107.0099999914</v>
      </c>
      <c r="I125" s="65">
        <v>951025.8499999959</v>
      </c>
      <c r="J125" s="65">
        <v>515556.48999998835</v>
      </c>
      <c r="K125" s="31">
        <v>14177</v>
      </c>
      <c r="L125" s="31">
        <v>14612.285714285714</v>
      </c>
      <c r="M125" s="67">
        <v>13.450664136622391</v>
      </c>
      <c r="N125" s="67">
        <v>14.425858092524759</v>
      </c>
      <c r="O125" s="68">
        <v>2066.2923244781896</v>
      </c>
      <c r="P125" s="68">
        <v>1363.8283317167716</v>
      </c>
      <c r="Q125" s="69">
        <v>0.43667662836271443</v>
      </c>
      <c r="R125" s="69">
        <v>0.35910016447631665</v>
      </c>
      <c r="S125" s="31">
        <v>2511.4285714285716</v>
      </c>
      <c r="T125" s="31">
        <v>9273.5714285714294</v>
      </c>
      <c r="U125" s="69">
        <v>-5.7974698394697155E-2</v>
      </c>
      <c r="V125" s="69">
        <v>3.8797284190106307E-3</v>
      </c>
      <c r="W125" s="69">
        <v>0.52627247054263604</v>
      </c>
      <c r="X125" s="69">
        <v>0.86598136537643766</v>
      </c>
      <c r="Y125" s="69">
        <v>2.4960099226901233E-2</v>
      </c>
      <c r="Z125" s="69">
        <v>5.7917404004008244E-2</v>
      </c>
      <c r="AA125" s="69">
        <v>-0.17720530835284931</v>
      </c>
      <c r="AB125" s="69">
        <v>-6.547474057741165E-2</v>
      </c>
      <c r="AC125" s="69">
        <v>0.13579398227735817</v>
      </c>
      <c r="AD125" s="133">
        <v>0.46070637487463073</v>
      </c>
      <c r="AE125" s="133">
        <v>0.55173933549892917</v>
      </c>
      <c r="AF125" s="133">
        <v>0.63870146478948853</v>
      </c>
    </row>
    <row r="126" spans="1:32" x14ac:dyDescent="0.25">
      <c r="A126" t="s">
        <v>76</v>
      </c>
      <c r="B126" t="s">
        <v>455</v>
      </c>
      <c r="C126" s="31">
        <v>2530</v>
      </c>
      <c r="D126" s="31">
        <v>1732</v>
      </c>
      <c r="E126" s="65">
        <v>2834</v>
      </c>
      <c r="F126" s="31">
        <v>2002</v>
      </c>
      <c r="G126" s="66">
        <v>2141094.5999999424</v>
      </c>
      <c r="H126" s="31">
        <v>1380727.8199999884</v>
      </c>
      <c r="I126" s="65">
        <v>1162455.319999997</v>
      </c>
      <c r="J126" s="65">
        <v>707981.80999998807</v>
      </c>
      <c r="K126" s="31">
        <v>34807.857142857145</v>
      </c>
      <c r="L126" s="31">
        <v>33788.714285714283</v>
      </c>
      <c r="M126" s="67">
        <v>12.282236112511342</v>
      </c>
      <c r="N126" s="67">
        <v>16.800712231201206</v>
      </c>
      <c r="O126" s="68">
        <v>755.50268172192739</v>
      </c>
      <c r="P126" s="68">
        <v>689.67423576422993</v>
      </c>
      <c r="Q126" s="69">
        <v>0.54292571659375921</v>
      </c>
      <c r="R126" s="69">
        <v>0.49534259648720264</v>
      </c>
      <c r="S126" s="31">
        <v>14986</v>
      </c>
      <c r="T126" s="31">
        <v>30808</v>
      </c>
      <c r="U126" s="69">
        <v>3.4246430549522699E-4</v>
      </c>
      <c r="V126" s="69">
        <v>0.37912087912087911</v>
      </c>
      <c r="W126" s="69">
        <v>0.50861605004812493</v>
      </c>
      <c r="X126" s="69">
        <v>0.65656623353243648</v>
      </c>
      <c r="Y126" s="69">
        <v>-1.5570119757985834E-2</v>
      </c>
      <c r="Z126" s="69">
        <v>1.919979921778614E-2</v>
      </c>
      <c r="AA126" s="69">
        <v>0.18428750522356885</v>
      </c>
      <c r="AB126" s="69">
        <v>0.15851424218319288</v>
      </c>
      <c r="AC126" s="69">
        <v>-2.1762674119837455E-2</v>
      </c>
      <c r="AD126" s="133">
        <v>0.22152897842591893</v>
      </c>
      <c r="AE126" s="133">
        <v>0.48738947694533313</v>
      </c>
      <c r="AF126" s="133">
        <v>0.71232257306457358</v>
      </c>
    </row>
    <row r="127" spans="1:32" x14ac:dyDescent="0.25">
      <c r="A127" t="s">
        <v>76</v>
      </c>
      <c r="B127" t="s">
        <v>458</v>
      </c>
      <c r="C127" s="31">
        <v>1899</v>
      </c>
      <c r="D127" s="31">
        <v>3634</v>
      </c>
      <c r="E127" s="65">
        <v>3340</v>
      </c>
      <c r="F127" s="31">
        <v>4666</v>
      </c>
      <c r="G127" s="66">
        <v>1449987.0899999675</v>
      </c>
      <c r="H127" s="31">
        <v>1007820.2499999676</v>
      </c>
      <c r="I127" s="65">
        <v>694248.53999999946</v>
      </c>
      <c r="J127" s="65">
        <v>344350.30999997072</v>
      </c>
      <c r="K127" s="31">
        <v>32563</v>
      </c>
      <c r="L127" s="31">
        <v>27682.285714285714</v>
      </c>
      <c r="M127" s="67">
        <v>9.7494011976047901</v>
      </c>
      <c r="N127" s="67">
        <v>5.959644200346248</v>
      </c>
      <c r="O127" s="68">
        <v>434.12787125747531</v>
      </c>
      <c r="P127" s="68">
        <v>215.99233819116324</v>
      </c>
      <c r="Q127" s="69">
        <v>0.47879635949035587</v>
      </c>
      <c r="R127" s="69">
        <v>0.33310060647856893</v>
      </c>
      <c r="S127" s="31">
        <v>5432.2857142857147</v>
      </c>
      <c r="T127" s="31">
        <v>28386.428571428572</v>
      </c>
      <c r="U127" s="69">
        <v>0.14488894393526563</v>
      </c>
      <c r="V127" s="69">
        <v>-0.30325760822974712</v>
      </c>
      <c r="W127" s="69">
        <v>0.40502454678799427</v>
      </c>
      <c r="X127" s="69">
        <v>1.0124919250203401</v>
      </c>
      <c r="Y127" s="69">
        <v>-2.6463996162806258E-2</v>
      </c>
      <c r="Z127" s="69">
        <v>6.8865899232271044E-3</v>
      </c>
      <c r="AA127" s="69">
        <v>8.8302378624959266E-2</v>
      </c>
      <c r="AB127" s="69">
        <v>0.10812285587779136</v>
      </c>
      <c r="AC127" s="69">
        <v>1.821228882902437E-2</v>
      </c>
      <c r="AD127" s="133">
        <v>0.70058372281707315</v>
      </c>
      <c r="AE127" s="133">
        <v>0.58462388388889541</v>
      </c>
      <c r="AF127" s="133">
        <v>0.54837502403161398</v>
      </c>
    </row>
    <row r="128" spans="1:32" x14ac:dyDescent="0.25">
      <c r="A128" t="s">
        <v>76</v>
      </c>
      <c r="B128" t="s">
        <v>457</v>
      </c>
      <c r="C128" s="31">
        <v>1131</v>
      </c>
      <c r="D128" s="31">
        <v>1057</v>
      </c>
      <c r="E128" s="65">
        <v>1322</v>
      </c>
      <c r="F128" s="31">
        <v>1227</v>
      </c>
      <c r="G128" s="66">
        <v>991051.04999999609</v>
      </c>
      <c r="H128" s="31">
        <v>731755.23999999312</v>
      </c>
      <c r="I128" s="65">
        <v>515376.69999999698</v>
      </c>
      <c r="J128" s="65">
        <v>380901.84999999125</v>
      </c>
      <c r="K128" s="31">
        <v>16497.714285714286</v>
      </c>
      <c r="L128" s="31">
        <v>23224.857142857141</v>
      </c>
      <c r="M128" s="67">
        <v>12.479360276637131</v>
      </c>
      <c r="N128" s="67">
        <v>18.930586654724586</v>
      </c>
      <c r="O128" s="68">
        <v>749.66040090771264</v>
      </c>
      <c r="P128" s="68">
        <v>596.37753871230086</v>
      </c>
      <c r="Q128" s="69">
        <v>0.52003042628328688</v>
      </c>
      <c r="R128" s="69">
        <v>0.50118345958405941</v>
      </c>
      <c r="S128" s="31">
        <v>8255.1428571428569</v>
      </c>
      <c r="T128" s="31">
        <v>13561.857142857143</v>
      </c>
      <c r="U128" s="69">
        <v>-0.31083691119121137</v>
      </c>
      <c r="V128" s="69">
        <v>5.623471882640585E-2</v>
      </c>
      <c r="W128" s="69">
        <v>0.32698232540159933</v>
      </c>
      <c r="X128" s="69">
        <v>0.37723966787004737</v>
      </c>
      <c r="Y128" s="69">
        <v>-4.3774854527811602E-4</v>
      </c>
      <c r="Z128" s="69">
        <v>-1.0812307000319654E-3</v>
      </c>
      <c r="AA128" s="69">
        <v>0.17825311942958999</v>
      </c>
      <c r="AB128" s="69">
        <v>0.19413380357208943</v>
      </c>
      <c r="AC128" s="69">
        <v>1.3478160066478395E-2</v>
      </c>
      <c r="AD128" s="133">
        <v>-3.8638234695458767E-2</v>
      </c>
      <c r="AE128" s="133">
        <v>9.0704453557621953E-2</v>
      </c>
      <c r="AF128" s="133">
        <v>0.27606044336757785</v>
      </c>
    </row>
    <row r="129" spans="1:32" x14ac:dyDescent="0.25">
      <c r="A129" t="s">
        <v>76</v>
      </c>
      <c r="B129" t="s">
        <v>456</v>
      </c>
      <c r="C129" s="31">
        <v>1861</v>
      </c>
      <c r="D129" s="31">
        <v>1322</v>
      </c>
      <c r="E129" s="65">
        <v>2042</v>
      </c>
      <c r="F129" s="31">
        <v>1449</v>
      </c>
      <c r="G129" s="66">
        <v>828491.85000000731</v>
      </c>
      <c r="H129" s="31">
        <v>620992.40999999421</v>
      </c>
      <c r="I129" s="65">
        <v>337440.61000000162</v>
      </c>
      <c r="J129" s="65">
        <v>321970.03999999497</v>
      </c>
      <c r="K129" s="31">
        <v>34311.714285714283</v>
      </c>
      <c r="L129" s="31">
        <v>27800.571428571428</v>
      </c>
      <c r="M129" s="67">
        <v>16.802994263327268</v>
      </c>
      <c r="N129" s="67">
        <v>19.360448404713999</v>
      </c>
      <c r="O129" s="68">
        <v>405.72568560235419</v>
      </c>
      <c r="P129" s="68">
        <v>428.56619047618648</v>
      </c>
      <c r="Q129" s="69">
        <v>0.40729502649905203</v>
      </c>
      <c r="R129" s="69">
        <v>0.50501293149468729</v>
      </c>
      <c r="S129" s="31">
        <v>20195.285714285714</v>
      </c>
      <c r="T129" s="31">
        <v>20449</v>
      </c>
      <c r="U129" s="69">
        <v>0.20001644364966809</v>
      </c>
      <c r="V129" s="69">
        <v>0.36922015182884738</v>
      </c>
      <c r="W129" s="69">
        <v>0.29705923458873595</v>
      </c>
      <c r="X129" s="69">
        <v>4.7792295679388808E-2</v>
      </c>
      <c r="Y129" s="69">
        <v>-3.8246373896631436E-2</v>
      </c>
      <c r="Z129" s="69">
        <v>-3.7219351657734268E-2</v>
      </c>
      <c r="AA129" s="69">
        <v>-8.7985707905314903E-2</v>
      </c>
      <c r="AB129" s="69">
        <v>-4.6755897178274441E-4</v>
      </c>
      <c r="AC129" s="69">
        <v>9.5961378776777018E-2</v>
      </c>
      <c r="AD129" s="133">
        <v>-7.2731246500321201E-2</v>
      </c>
      <c r="AE129" s="133">
        <v>-0.19039868602647311</v>
      </c>
      <c r="AF129" s="133">
        <v>-0.2770501238153843</v>
      </c>
    </row>
    <row r="130" spans="1:32" x14ac:dyDescent="0.25">
      <c r="A130" t="s">
        <v>76</v>
      </c>
      <c r="B130" t="s">
        <v>806</v>
      </c>
      <c r="C130" s="31">
        <v>244</v>
      </c>
      <c r="D130" s="31"/>
      <c r="E130" s="65">
        <v>251</v>
      </c>
      <c r="F130" s="31"/>
      <c r="G130" s="66">
        <v>733772.5299999998</v>
      </c>
      <c r="H130" s="31"/>
      <c r="I130" s="65">
        <v>279130.79999999987</v>
      </c>
      <c r="J130" s="65"/>
      <c r="K130" s="31">
        <v>1277.7142857142858</v>
      </c>
      <c r="L130" s="31"/>
      <c r="M130" s="67">
        <v>5.0904951622083097</v>
      </c>
      <c r="N130" s="67"/>
      <c r="O130" s="68">
        <v>2923.3965338645412</v>
      </c>
      <c r="P130" s="68"/>
      <c r="Q130" s="69">
        <v>0.38040508275773138</v>
      </c>
      <c r="R130" s="69"/>
      <c r="S130" s="31">
        <v>1617</v>
      </c>
      <c r="T130" s="31"/>
      <c r="U130" s="69"/>
      <c r="V130" s="69"/>
      <c r="W130" s="69"/>
      <c r="X130" s="69"/>
      <c r="Y130" s="69">
        <v>7.2252210637509195E-2</v>
      </c>
      <c r="Z130" s="69">
        <v>6.8450603273205068E-2</v>
      </c>
      <c r="AA130" s="69">
        <v>-0.28693181818181823</v>
      </c>
      <c r="AB130" s="69">
        <v>-0.20648660815456121</v>
      </c>
      <c r="AC130" s="69">
        <v>0.11281559334499791</v>
      </c>
      <c r="AD130" s="133">
        <v>1.374508188269173</v>
      </c>
      <c r="AE130" s="133">
        <v>1.1228020243927537</v>
      </c>
      <c r="AF130" s="133">
        <v>1.079504244390616</v>
      </c>
    </row>
    <row r="131" spans="1:32" x14ac:dyDescent="0.25">
      <c r="A131" t="s">
        <v>76</v>
      </c>
      <c r="B131" t="s">
        <v>460</v>
      </c>
      <c r="C131" s="31">
        <v>598</v>
      </c>
      <c r="D131" s="31">
        <v>511</v>
      </c>
      <c r="E131" s="65">
        <v>616</v>
      </c>
      <c r="F131" s="31">
        <v>523</v>
      </c>
      <c r="G131" s="66">
        <v>700180.02999999758</v>
      </c>
      <c r="H131" s="31">
        <v>536257.21999999776</v>
      </c>
      <c r="I131" s="65">
        <v>333577.06999999884</v>
      </c>
      <c r="J131" s="65">
        <v>233926.28999999783</v>
      </c>
      <c r="K131" s="31">
        <v>8044</v>
      </c>
      <c r="L131" s="31">
        <v>5793</v>
      </c>
      <c r="M131" s="67">
        <v>13.058441558441558</v>
      </c>
      <c r="N131" s="67">
        <v>11.346861471861471</v>
      </c>
      <c r="O131" s="68">
        <v>1136.655892857139</v>
      </c>
      <c r="P131" s="68">
        <v>1025.3484130019078</v>
      </c>
      <c r="Q131" s="69">
        <v>0.47641614400227894</v>
      </c>
      <c r="R131" s="69">
        <v>0.43152633097629461</v>
      </c>
      <c r="S131" s="31">
        <v>678.71428571428567</v>
      </c>
      <c r="T131" s="31">
        <v>18766.285714285714</v>
      </c>
      <c r="U131" s="69">
        <v>0.35555226751498115</v>
      </c>
      <c r="V131" s="69">
        <v>0.14149139579349912</v>
      </c>
      <c r="W131" s="69">
        <v>0.26570357411691425</v>
      </c>
      <c r="X131" s="69">
        <v>0.39964822693220681</v>
      </c>
      <c r="Y131" s="69">
        <v>2.0332538782675824E-2</v>
      </c>
      <c r="Z131" s="69">
        <v>1.6463282547476421E-2</v>
      </c>
      <c r="AA131" s="69">
        <v>6.944444444444442E-2</v>
      </c>
      <c r="AB131" s="69">
        <v>5.9483637857312255E-2</v>
      </c>
      <c r="AC131" s="69">
        <v>-9.3140009645911181E-3</v>
      </c>
      <c r="AD131" s="133">
        <v>-0.18330300108305159</v>
      </c>
      <c r="AE131" s="133">
        <v>-0.17212893276833335</v>
      </c>
      <c r="AF131" s="133">
        <v>-9.0879754801052676E-2</v>
      </c>
    </row>
    <row r="132" spans="1:32" x14ac:dyDescent="0.25">
      <c r="A132" t="s">
        <v>76</v>
      </c>
      <c r="B132" t="s">
        <v>462</v>
      </c>
      <c r="C132" s="31">
        <v>957</v>
      </c>
      <c r="D132" s="31">
        <v>222</v>
      </c>
      <c r="E132" s="65">
        <v>1018</v>
      </c>
      <c r="F132" s="31">
        <v>235</v>
      </c>
      <c r="G132" s="66">
        <v>564017.1899999918</v>
      </c>
      <c r="H132" s="31">
        <v>80281.470000000176</v>
      </c>
      <c r="I132" s="65">
        <v>330221.82999999961</v>
      </c>
      <c r="J132" s="65">
        <v>46468.300000000265</v>
      </c>
      <c r="K132" s="31">
        <v>8218</v>
      </c>
      <c r="L132" s="31">
        <v>1899.8571428571429</v>
      </c>
      <c r="M132" s="67">
        <v>8.072691552062869</v>
      </c>
      <c r="N132" s="67">
        <v>8.0352805089647195</v>
      </c>
      <c r="O132" s="68">
        <v>554.0443909626639</v>
      </c>
      <c r="P132" s="68">
        <v>341.62327659574544</v>
      </c>
      <c r="Q132" s="69">
        <v>0.58548185384208662</v>
      </c>
      <c r="R132" s="69">
        <v>0.55112960796255595</v>
      </c>
      <c r="S132" s="31">
        <v>3634.4285714285716</v>
      </c>
      <c r="T132" s="31">
        <v>63</v>
      </c>
      <c r="U132" s="69">
        <v>3.2113692758854047</v>
      </c>
      <c r="V132" s="69">
        <v>3.2425531914893613</v>
      </c>
      <c r="W132" s="69">
        <v>5.8881176440838834</v>
      </c>
      <c r="X132" s="69">
        <v>6.3207811431237264</v>
      </c>
      <c r="Y132" s="69">
        <v>-4.551345642042115E-2</v>
      </c>
      <c r="Z132" s="69">
        <v>-4.1919957363889315E-2</v>
      </c>
      <c r="AA132" s="69">
        <v>0.20330969267139487</v>
      </c>
      <c r="AB132" s="69">
        <v>0.20071605201775711</v>
      </c>
      <c r="AC132" s="69">
        <v>-2.1554223899582503E-3</v>
      </c>
      <c r="AD132" s="133">
        <v>0.72098213644210107</v>
      </c>
      <c r="AE132" s="133">
        <v>0.92985567868753527</v>
      </c>
      <c r="AF132" s="133">
        <v>1.1060988208412859</v>
      </c>
    </row>
    <row r="133" spans="1:32" x14ac:dyDescent="0.25">
      <c r="A133" t="s">
        <v>76</v>
      </c>
      <c r="B133" t="s">
        <v>461</v>
      </c>
      <c r="C133" s="31">
        <v>529</v>
      </c>
      <c r="D133" s="31">
        <v>80</v>
      </c>
      <c r="E133" s="65">
        <v>595</v>
      </c>
      <c r="F133" s="31">
        <v>89</v>
      </c>
      <c r="G133" s="66">
        <v>344353.83999999898</v>
      </c>
      <c r="H133" s="31">
        <v>53782.02000000004</v>
      </c>
      <c r="I133" s="65">
        <v>171378.43000000078</v>
      </c>
      <c r="J133" s="65">
        <v>27567.580000000038</v>
      </c>
      <c r="K133" s="31">
        <v>4764.5714285714284</v>
      </c>
      <c r="L133" s="31">
        <v>1634.2857142857142</v>
      </c>
      <c r="M133" s="67">
        <v>8.0076830732292912</v>
      </c>
      <c r="N133" s="67">
        <v>18.222556390977442</v>
      </c>
      <c r="O133" s="68">
        <v>578.74594957983027</v>
      </c>
      <c r="P133" s="68">
        <v>604.2923595505622</v>
      </c>
      <c r="Q133" s="69">
        <v>0.49768119327492116</v>
      </c>
      <c r="R133" s="69">
        <v>0.47986496455441441</v>
      </c>
      <c r="S133" s="31">
        <v>2277.2857142857142</v>
      </c>
      <c r="T133" s="31">
        <v>5210</v>
      </c>
      <c r="U133" s="69">
        <v>1.8330419580419584</v>
      </c>
      <c r="V133" s="69">
        <v>5.415730337078652</v>
      </c>
      <c r="W133" s="69">
        <v>5.1401382841328651</v>
      </c>
      <c r="X133" s="69">
        <v>5.3625964881267931</v>
      </c>
      <c r="Y133" s="69">
        <v>1.043305140151829E-2</v>
      </c>
      <c r="Z133" s="69">
        <v>1.4756442632427591E-2</v>
      </c>
      <c r="AA133" s="69">
        <v>0.3163716814159292</v>
      </c>
      <c r="AB133" s="69">
        <v>0.29016467128292867</v>
      </c>
      <c r="AC133" s="69">
        <v>-1.9908518622044014E-2</v>
      </c>
      <c r="AD133" s="133">
        <v>1.2363796959275337</v>
      </c>
      <c r="AE133" s="133">
        <v>1.2443278317988347</v>
      </c>
      <c r="AF133" s="133">
        <v>1.2353075328682186</v>
      </c>
    </row>
    <row r="134" spans="1:32" x14ac:dyDescent="0.25">
      <c r="A134" t="s">
        <v>76</v>
      </c>
      <c r="B134" t="s">
        <v>459</v>
      </c>
      <c r="C134" s="31">
        <v>29</v>
      </c>
      <c r="D134" s="31">
        <v>233</v>
      </c>
      <c r="E134" s="65">
        <v>31</v>
      </c>
      <c r="F134" s="31">
        <v>283</v>
      </c>
      <c r="G134" s="66">
        <v>15616.71</v>
      </c>
      <c r="H134" s="31">
        <v>172175.85000000009</v>
      </c>
      <c r="I134" s="65">
        <v>4926.8899999999994</v>
      </c>
      <c r="J134" s="65">
        <v>61757.790000000066</v>
      </c>
      <c r="K134" s="31">
        <v>671.71428571428567</v>
      </c>
      <c r="L134" s="31">
        <v>5513</v>
      </c>
      <c r="M134" s="67">
        <v>21.668202764976957</v>
      </c>
      <c r="N134" s="67">
        <v>19.302013422818792</v>
      </c>
      <c r="O134" s="68">
        <v>503.76483870967741</v>
      </c>
      <c r="P134" s="68">
        <v>608.39522968197912</v>
      </c>
      <c r="Q134" s="69">
        <v>0.31548834549658666</v>
      </c>
      <c r="R134" s="69">
        <v>0.33856765079751305</v>
      </c>
      <c r="S134" s="31">
        <v>26.142857142857142</v>
      </c>
      <c r="T134" s="31">
        <v>238</v>
      </c>
      <c r="U134" s="69">
        <v>-0.88106035085900858</v>
      </c>
      <c r="V134" s="69">
        <v>-0.89045936395759717</v>
      </c>
      <c r="W134" s="69">
        <v>-0.90929790676218536</v>
      </c>
      <c r="X134" s="69">
        <v>-0.91523663648298714</v>
      </c>
      <c r="Y134" s="69">
        <v>-4.8628700828696081E-2</v>
      </c>
      <c r="Z134" s="69">
        <v>-4.0016333197223308E-2</v>
      </c>
      <c r="AA134" s="69">
        <v>0.24</v>
      </c>
      <c r="AB134" s="69">
        <v>7.7369643234114216E-2</v>
      </c>
      <c r="AC134" s="69">
        <v>-0.13115351352087556</v>
      </c>
      <c r="AD134" s="133"/>
      <c r="AE134" s="133"/>
      <c r="AF134" s="133"/>
    </row>
    <row r="135" spans="1:32" x14ac:dyDescent="0.25">
      <c r="A135" t="s">
        <v>76</v>
      </c>
      <c r="B135" t="s">
        <v>463</v>
      </c>
      <c r="C135" s="31">
        <v>2</v>
      </c>
      <c r="D135" s="31">
        <v>25</v>
      </c>
      <c r="E135" s="65">
        <v>2</v>
      </c>
      <c r="F135" s="31">
        <v>25</v>
      </c>
      <c r="G135" s="66">
        <v>1083.3200000000002</v>
      </c>
      <c r="H135" s="31">
        <v>18112.07</v>
      </c>
      <c r="I135" s="65">
        <v>387.13</v>
      </c>
      <c r="J135" s="65">
        <v>5781.279999999997</v>
      </c>
      <c r="K135" s="31">
        <v>49.857142857142854</v>
      </c>
      <c r="L135" s="31">
        <v>246.57142857142858</v>
      </c>
      <c r="M135" s="67">
        <v>24.928571428571427</v>
      </c>
      <c r="N135" s="67">
        <v>10.342857142857142</v>
      </c>
      <c r="O135" s="68">
        <v>541.66000000000008</v>
      </c>
      <c r="P135" s="68">
        <v>724.4828</v>
      </c>
      <c r="Q135" s="69">
        <v>0.35735516744821472</v>
      </c>
      <c r="R135" s="69">
        <v>0.31919487943675112</v>
      </c>
      <c r="S135" s="31">
        <v>1</v>
      </c>
      <c r="T135" s="31">
        <v>59</v>
      </c>
      <c r="U135" s="69">
        <v>-0.80996523754345306</v>
      </c>
      <c r="V135" s="69">
        <v>-0.92</v>
      </c>
      <c r="W135" s="69">
        <v>-0.94018795201211125</v>
      </c>
      <c r="X135" s="69">
        <v>-0.93303732045498566</v>
      </c>
      <c r="Y135" s="69">
        <v>-4.1685975472919745E-2</v>
      </c>
      <c r="Z135" s="69">
        <v>-4.3835616438356317E-2</v>
      </c>
      <c r="AA135" s="69">
        <v>1</v>
      </c>
      <c r="AB135" s="69">
        <v>0.29998919995680007</v>
      </c>
      <c r="AC135" s="69">
        <v>-0.35000540002159997</v>
      </c>
      <c r="AD135" s="133"/>
      <c r="AE135" s="133"/>
      <c r="AF135" s="133"/>
    </row>
    <row r="136" spans="1:32" x14ac:dyDescent="0.25">
      <c r="A136" t="s">
        <v>76</v>
      </c>
      <c r="B136" t="s">
        <v>470</v>
      </c>
      <c r="C136" s="31">
        <v>1</v>
      </c>
      <c r="D136" s="31"/>
      <c r="E136" s="65">
        <v>1</v>
      </c>
      <c r="F136" s="31"/>
      <c r="G136" s="66">
        <v>733.33</v>
      </c>
      <c r="H136" s="31"/>
      <c r="I136" s="65">
        <v>274.33</v>
      </c>
      <c r="J136" s="65"/>
      <c r="K136" s="31">
        <v>1.2857142857142858</v>
      </c>
      <c r="L136" s="31"/>
      <c r="M136" s="67">
        <v>1.2857142857142858</v>
      </c>
      <c r="N136" s="67"/>
      <c r="O136" s="68">
        <v>733.33</v>
      </c>
      <c r="P136" s="68"/>
      <c r="Q136" s="69">
        <v>0.37408806403665468</v>
      </c>
      <c r="R136" s="69"/>
      <c r="S136" s="31">
        <v>1</v>
      </c>
      <c r="T136" s="31"/>
      <c r="U136" s="69"/>
      <c r="V136" s="69"/>
      <c r="W136" s="69"/>
      <c r="X136" s="69"/>
      <c r="Y136" s="69">
        <v>-0.35714285714285721</v>
      </c>
      <c r="Z136" s="69">
        <v>-0.3571428571428571</v>
      </c>
      <c r="AA136" s="69"/>
      <c r="AB136" s="69"/>
      <c r="AC136" s="69"/>
      <c r="AD136" s="133"/>
      <c r="AE136" s="133"/>
      <c r="AF136" s="133"/>
    </row>
    <row r="137" spans="1:32" x14ac:dyDescent="0.25">
      <c r="A137" t="s">
        <v>76</v>
      </c>
      <c r="B137" t="s">
        <v>464</v>
      </c>
      <c r="C137" s="31"/>
      <c r="D137" s="31"/>
      <c r="E137" s="65"/>
      <c r="F137" s="31"/>
      <c r="G137" s="66"/>
      <c r="H137" s="31"/>
      <c r="I137" s="65"/>
      <c r="J137" s="65"/>
      <c r="K137" s="31">
        <v>5</v>
      </c>
      <c r="L137" s="31">
        <v>18.142857142857142</v>
      </c>
      <c r="M137" s="67"/>
      <c r="N137" s="67"/>
      <c r="O137" s="68"/>
      <c r="P137" s="68"/>
      <c r="Q137" s="69"/>
      <c r="R137" s="69"/>
      <c r="S137" s="31">
        <v>36</v>
      </c>
      <c r="T137" s="31">
        <v>84</v>
      </c>
      <c r="U137" s="69">
        <v>-0.72440944881889768</v>
      </c>
      <c r="V137" s="69"/>
      <c r="W137" s="69"/>
      <c r="X137" s="69"/>
      <c r="Y137" s="69">
        <v>-0.13117643676744783</v>
      </c>
      <c r="Z137" s="69">
        <v>-0.125</v>
      </c>
      <c r="AA137" s="69"/>
      <c r="AB137" s="69"/>
      <c r="AC137" s="69"/>
      <c r="AD137" s="133"/>
      <c r="AE137" s="133"/>
      <c r="AF137" s="133"/>
    </row>
    <row r="138" spans="1:32" x14ac:dyDescent="0.25">
      <c r="A138" t="s">
        <v>76</v>
      </c>
      <c r="B138" t="s">
        <v>465</v>
      </c>
      <c r="C138" s="31"/>
      <c r="D138" s="31"/>
      <c r="E138" s="65"/>
      <c r="F138" s="31"/>
      <c r="G138" s="66"/>
      <c r="H138" s="31"/>
      <c r="I138" s="65"/>
      <c r="J138" s="65"/>
      <c r="K138" s="31">
        <v>7</v>
      </c>
      <c r="L138" s="31">
        <v>7</v>
      </c>
      <c r="M138" s="67"/>
      <c r="N138" s="67"/>
      <c r="O138" s="68"/>
      <c r="P138" s="68"/>
      <c r="Q138" s="69"/>
      <c r="R138" s="69"/>
      <c r="S138" s="31">
        <v>2</v>
      </c>
      <c r="T138" s="31">
        <v>4</v>
      </c>
      <c r="U138" s="69">
        <v>0</v>
      </c>
      <c r="V138" s="69"/>
      <c r="W138" s="69"/>
      <c r="X138" s="69"/>
      <c r="Y138" s="69">
        <v>0</v>
      </c>
      <c r="Z138" s="69">
        <v>0</v>
      </c>
      <c r="AA138" s="69"/>
      <c r="AB138" s="69"/>
      <c r="AC138" s="69"/>
      <c r="AD138" s="133"/>
      <c r="AE138" s="133"/>
      <c r="AF138" s="133"/>
    </row>
    <row r="139" spans="1:32" x14ac:dyDescent="0.25">
      <c r="A139" t="s">
        <v>76</v>
      </c>
      <c r="B139" t="s">
        <v>469</v>
      </c>
      <c r="C139" s="31"/>
      <c r="D139" s="31"/>
      <c r="E139" s="65"/>
      <c r="F139" s="31"/>
      <c r="G139" s="66"/>
      <c r="H139" s="31"/>
      <c r="I139" s="65"/>
      <c r="J139" s="65"/>
      <c r="K139" s="31"/>
      <c r="L139" s="31">
        <v>2</v>
      </c>
      <c r="M139" s="67"/>
      <c r="N139" s="67"/>
      <c r="O139" s="68"/>
      <c r="P139" s="68"/>
      <c r="Q139" s="69"/>
      <c r="R139" s="69"/>
      <c r="S139" s="31"/>
      <c r="T139" s="31"/>
      <c r="U139" s="69"/>
      <c r="V139" s="69"/>
      <c r="W139" s="69"/>
      <c r="X139" s="69"/>
      <c r="Y139" s="69"/>
      <c r="Z139" s="69"/>
      <c r="AA139" s="69"/>
      <c r="AB139" s="69"/>
      <c r="AC139" s="69"/>
      <c r="AD139" s="133"/>
      <c r="AE139" s="133"/>
      <c r="AF139" s="133"/>
    </row>
    <row r="140" spans="1:32" x14ac:dyDescent="0.25">
      <c r="A140" t="s">
        <v>76</v>
      </c>
      <c r="B140" t="s">
        <v>468</v>
      </c>
      <c r="C140" s="31"/>
      <c r="D140" s="31"/>
      <c r="E140" s="65"/>
      <c r="F140" s="31"/>
      <c r="G140" s="66"/>
      <c r="H140" s="31"/>
      <c r="I140" s="65"/>
      <c r="J140" s="65"/>
      <c r="K140" s="31">
        <v>0</v>
      </c>
      <c r="L140" s="31"/>
      <c r="M140" s="67"/>
      <c r="N140" s="67"/>
      <c r="O140" s="68"/>
      <c r="P140" s="68"/>
      <c r="Q140" s="69"/>
      <c r="R140" s="69"/>
      <c r="S140" s="31">
        <v>36.285714285714285</v>
      </c>
      <c r="T140" s="31"/>
      <c r="U140" s="69"/>
      <c r="V140" s="69"/>
      <c r="W140" s="69"/>
      <c r="X140" s="69"/>
      <c r="Y140" s="69"/>
      <c r="Z140" s="69"/>
      <c r="AA140" s="69"/>
      <c r="AB140" s="69"/>
      <c r="AC140" s="69"/>
      <c r="AD140" s="133"/>
      <c r="AE140" s="133"/>
      <c r="AF140" s="133"/>
    </row>
    <row r="141" spans="1:32" x14ac:dyDescent="0.25">
      <c r="A141" t="s">
        <v>76</v>
      </c>
      <c r="B141" t="s">
        <v>471</v>
      </c>
      <c r="C141" s="31"/>
      <c r="D141" s="31"/>
      <c r="E141" s="65"/>
      <c r="F141" s="31"/>
      <c r="G141" s="66"/>
      <c r="H141" s="31"/>
      <c r="I141" s="65"/>
      <c r="J141" s="65"/>
      <c r="K141" s="31"/>
      <c r="L141" s="31">
        <v>-1</v>
      </c>
      <c r="M141" s="67"/>
      <c r="N141" s="67"/>
      <c r="O141" s="68"/>
      <c r="P141" s="68"/>
      <c r="Q141" s="69"/>
      <c r="R141" s="69"/>
      <c r="S141" s="31"/>
      <c r="T141" s="31"/>
      <c r="U141" s="69"/>
      <c r="V141" s="69"/>
      <c r="W141" s="69"/>
      <c r="X141" s="69"/>
      <c r="Y141" s="69"/>
      <c r="Z141" s="69"/>
      <c r="AA141" s="69"/>
      <c r="AB141" s="69"/>
      <c r="AC141" s="69"/>
      <c r="AD141" s="133"/>
      <c r="AE141" s="133"/>
      <c r="AF141" s="133"/>
    </row>
    <row r="142" spans="1:32" x14ac:dyDescent="0.25">
      <c r="A142" t="s">
        <v>76</v>
      </c>
      <c r="B142" t="s">
        <v>467</v>
      </c>
      <c r="C142" s="31"/>
      <c r="D142" s="31"/>
      <c r="E142" s="65"/>
      <c r="F142" s="31"/>
      <c r="G142" s="66"/>
      <c r="H142" s="31"/>
      <c r="I142" s="65"/>
      <c r="J142" s="65"/>
      <c r="K142" s="31">
        <v>4</v>
      </c>
      <c r="L142" s="31">
        <v>5.2857142857142856</v>
      </c>
      <c r="M142" s="67"/>
      <c r="N142" s="67"/>
      <c r="O142" s="68"/>
      <c r="P142" s="68"/>
      <c r="Q142" s="69"/>
      <c r="R142" s="69"/>
      <c r="S142" s="31">
        <v>28</v>
      </c>
      <c r="T142" s="31">
        <v>22</v>
      </c>
      <c r="U142" s="69">
        <v>-0.2432432432432432</v>
      </c>
      <c r="V142" s="69"/>
      <c r="W142" s="69"/>
      <c r="X142" s="69"/>
      <c r="Y142" s="69">
        <v>0</v>
      </c>
      <c r="Z142" s="69">
        <v>0</v>
      </c>
      <c r="AA142" s="69"/>
      <c r="AB142" s="69"/>
      <c r="AC142" s="69"/>
      <c r="AD142" s="133"/>
      <c r="AE142" s="133"/>
      <c r="AF142" s="133"/>
    </row>
    <row r="143" spans="1:32" x14ac:dyDescent="0.25">
      <c r="A143" t="s">
        <v>76</v>
      </c>
      <c r="B143" t="s">
        <v>472</v>
      </c>
      <c r="C143" s="31"/>
      <c r="D143" s="31"/>
      <c r="E143" s="65"/>
      <c r="F143" s="31"/>
      <c r="G143" s="66"/>
      <c r="H143" s="31"/>
      <c r="I143" s="65"/>
      <c r="J143" s="65"/>
      <c r="K143" s="31"/>
      <c r="L143" s="31">
        <v>-4</v>
      </c>
      <c r="M143" s="67"/>
      <c r="N143" s="67"/>
      <c r="O143" s="68"/>
      <c r="P143" s="68"/>
      <c r="Q143" s="69"/>
      <c r="R143" s="69"/>
      <c r="S143" s="31"/>
      <c r="T143" s="31"/>
      <c r="U143" s="69"/>
      <c r="V143" s="69"/>
      <c r="W143" s="69"/>
      <c r="X143" s="69"/>
      <c r="Y143" s="69"/>
      <c r="Z143" s="69"/>
      <c r="AA143" s="69"/>
      <c r="AB143" s="69"/>
      <c r="AC143" s="69"/>
      <c r="AD143" s="133"/>
      <c r="AE143" s="133"/>
      <c r="AF143" s="133"/>
    </row>
    <row r="144" spans="1:32" x14ac:dyDescent="0.25">
      <c r="A144" t="s">
        <v>76</v>
      </c>
      <c r="B144" t="s">
        <v>466</v>
      </c>
      <c r="C144" s="31"/>
      <c r="D144" s="31"/>
      <c r="E144" s="65"/>
      <c r="F144" s="31"/>
      <c r="G144" s="66"/>
      <c r="H144" s="31"/>
      <c r="I144" s="65"/>
      <c r="J144" s="65"/>
      <c r="K144" s="31">
        <v>3</v>
      </c>
      <c r="L144" s="31">
        <v>-6</v>
      </c>
      <c r="M144" s="67"/>
      <c r="N144" s="67"/>
      <c r="O144" s="68"/>
      <c r="P144" s="68"/>
      <c r="Q144" s="69"/>
      <c r="R144" s="69"/>
      <c r="S144" s="31">
        <v>2</v>
      </c>
      <c r="T144" s="31">
        <v>5</v>
      </c>
      <c r="U144" s="69">
        <v>-1.5</v>
      </c>
      <c r="V144" s="69"/>
      <c r="W144" s="69"/>
      <c r="X144" s="69"/>
      <c r="Y144" s="69">
        <v>0</v>
      </c>
      <c r="Z144" s="69">
        <v>0</v>
      </c>
      <c r="AA144" s="69"/>
      <c r="AB144" s="69"/>
      <c r="AC144" s="69"/>
      <c r="AD144" s="133"/>
      <c r="AE144" s="133"/>
      <c r="AF144" s="133"/>
    </row>
    <row r="145" spans="1:32" x14ac:dyDescent="0.25">
      <c r="A145" s="129" t="s">
        <v>807</v>
      </c>
      <c r="B145" s="129"/>
      <c r="C145" s="120">
        <v>11488</v>
      </c>
      <c r="D145" s="120">
        <v>10383</v>
      </c>
      <c r="E145" s="119">
        <v>15756</v>
      </c>
      <c r="F145" s="120">
        <v>13651</v>
      </c>
      <c r="G145" s="120">
        <v>12981143.070000716</v>
      </c>
      <c r="H145" s="120">
        <v>8131117.7600009115</v>
      </c>
      <c r="I145" s="119">
        <v>6293637.5300002312</v>
      </c>
      <c r="J145" s="119">
        <v>3673340.4100009697</v>
      </c>
      <c r="K145" s="120">
        <v>181954.28571428571</v>
      </c>
      <c r="L145" s="120">
        <v>176018.57142857142</v>
      </c>
      <c r="M145" s="131">
        <v>11.548253726471549</v>
      </c>
      <c r="N145" s="131">
        <v>12.971919922033623</v>
      </c>
      <c r="O145" s="130">
        <v>823.885698781462</v>
      </c>
      <c r="P145" s="130">
        <v>595.64264596006967</v>
      </c>
      <c r="Q145" s="132">
        <v>0.48482922467319239</v>
      </c>
      <c r="R145" s="132">
        <v>0.43914152676833501</v>
      </c>
      <c r="S145" s="120">
        <v>77890.28571428571</v>
      </c>
      <c r="T145" s="120">
        <v>162547.71428571429</v>
      </c>
      <c r="U145" s="132">
        <v>5.3168091029356379E-3</v>
      </c>
      <c r="V145" s="132">
        <v>0.12336092593949166</v>
      </c>
      <c r="W145" s="132">
        <v>0.55367719579053576</v>
      </c>
      <c r="X145" s="132">
        <v>0.71708642866264993</v>
      </c>
      <c r="Y145" s="132">
        <v>-4.7772939856068897E-3</v>
      </c>
      <c r="Z145" s="132">
        <v>5.5675383774873577E-3</v>
      </c>
      <c r="AA145" s="132">
        <v>7.2347376301640232E-2</v>
      </c>
      <c r="AB145" s="132">
        <v>6.0929377098752235E-2</v>
      </c>
      <c r="AC145" s="132">
        <v>-1.0647668335112659E-2</v>
      </c>
      <c r="AD145" s="134">
        <v>0.27868629347871199</v>
      </c>
      <c r="AE145" s="134">
        <v>0.40487073088596343</v>
      </c>
      <c r="AF145" s="134">
        <v>0.50638481510964184</v>
      </c>
    </row>
    <row r="146" spans="1:32" x14ac:dyDescent="0.25">
      <c r="A146" t="s">
        <v>81</v>
      </c>
      <c r="B146" t="s">
        <v>319</v>
      </c>
      <c r="C146" s="31">
        <v>4006</v>
      </c>
      <c r="D146" s="31">
        <v>3542</v>
      </c>
      <c r="E146" s="65">
        <v>5979</v>
      </c>
      <c r="F146" s="31">
        <v>5781</v>
      </c>
      <c r="G146" s="66">
        <v>2339109.7699999367</v>
      </c>
      <c r="H146" s="31">
        <v>1312808.5299999688</v>
      </c>
      <c r="I146" s="65">
        <v>1751274.7200000011</v>
      </c>
      <c r="J146" s="65">
        <v>884528.21999997203</v>
      </c>
      <c r="K146" s="31">
        <v>113051.71428571429</v>
      </c>
      <c r="L146" s="31">
        <v>62579.428571428572</v>
      </c>
      <c r="M146" s="67">
        <v>18.908130838888493</v>
      </c>
      <c r="N146" s="67">
        <v>10.910202705955992</v>
      </c>
      <c r="O146" s="68">
        <v>391.22090148853266</v>
      </c>
      <c r="P146" s="68">
        <v>227.09021449575658</v>
      </c>
      <c r="Q146" s="69">
        <v>0.74869283282932397</v>
      </c>
      <c r="R146" s="69">
        <v>0.65754462931559121</v>
      </c>
      <c r="S146" s="31">
        <v>20932.857142857141</v>
      </c>
      <c r="T146" s="31">
        <v>23855.142857142859</v>
      </c>
      <c r="U146" s="69">
        <v>0.76288419745420666</v>
      </c>
      <c r="V146" s="69">
        <v>2.421726344923103E-3</v>
      </c>
      <c r="W146" s="69">
        <v>0.72773107286252947</v>
      </c>
      <c r="X146" s="69">
        <v>0.96646611030940255</v>
      </c>
      <c r="Y146" s="69">
        <v>2.1097623652155839E-2</v>
      </c>
      <c r="Z146" s="69">
        <v>2.9368457199941744E-2</v>
      </c>
      <c r="AA146" s="69">
        <v>0.15424710424710431</v>
      </c>
      <c r="AB146" s="69">
        <v>0.15955123358635293</v>
      </c>
      <c r="AC146" s="69">
        <v>4.5953152663169572E-3</v>
      </c>
      <c r="AD146" s="133">
        <v>-5.9589395559459468E-2</v>
      </c>
      <c r="AE146" s="133">
        <v>0.57233393804392663</v>
      </c>
      <c r="AF146" s="133">
        <v>1.0464973664331454</v>
      </c>
    </row>
    <row r="147" spans="1:32" x14ac:dyDescent="0.25">
      <c r="A147" t="s">
        <v>81</v>
      </c>
      <c r="B147" t="s">
        <v>317</v>
      </c>
      <c r="C147" s="31">
        <v>1335</v>
      </c>
      <c r="D147" s="31">
        <v>2131</v>
      </c>
      <c r="E147" s="65">
        <v>1581</v>
      </c>
      <c r="F147" s="31">
        <v>2939</v>
      </c>
      <c r="G147" s="66">
        <v>1325344.6699999871</v>
      </c>
      <c r="H147" s="31">
        <v>934562.6199999922</v>
      </c>
      <c r="I147" s="65">
        <v>782733.90000000165</v>
      </c>
      <c r="J147" s="65">
        <v>364865.65999999235</v>
      </c>
      <c r="K147" s="31">
        <v>19301.142857142859</v>
      </c>
      <c r="L147" s="31">
        <v>44185.142857142855</v>
      </c>
      <c r="M147" s="67">
        <v>12.208186500406615</v>
      </c>
      <c r="N147" s="67">
        <v>15.237575585789871</v>
      </c>
      <c r="O147" s="68">
        <v>838.29517394053585</v>
      </c>
      <c r="P147" s="68">
        <v>317.98660088465198</v>
      </c>
      <c r="Q147" s="69">
        <v>0.59058893714041139</v>
      </c>
      <c r="R147" s="69">
        <v>0.38055820595757989</v>
      </c>
      <c r="S147" s="31">
        <v>9189.7142857142862</v>
      </c>
      <c r="T147" s="31">
        <v>17254.571428571428</v>
      </c>
      <c r="U147" s="69">
        <v>-0.57795121825047846</v>
      </c>
      <c r="V147" s="69">
        <v>-0.48349778836338886</v>
      </c>
      <c r="W147" s="69">
        <v>0.36036380312321925</v>
      </c>
      <c r="X147" s="69">
        <v>1.1081103384435402</v>
      </c>
      <c r="Y147" s="69">
        <v>0.1406520277954233</v>
      </c>
      <c r="Z147" s="69">
        <v>6.4026839294996085E-2</v>
      </c>
      <c r="AA147" s="69">
        <v>0.3098591549295775</v>
      </c>
      <c r="AB147" s="69">
        <v>0.50387170084015853</v>
      </c>
      <c r="AC147" s="69">
        <v>0.14811710494248675</v>
      </c>
      <c r="AD147" s="133">
        <v>-0.39694727156402704</v>
      </c>
      <c r="AE147" s="133">
        <v>-0.15683695638133943</v>
      </c>
      <c r="AF147" s="133">
        <v>-4.9505758067639682E-2</v>
      </c>
    </row>
    <row r="148" spans="1:32" x14ac:dyDescent="0.25">
      <c r="A148" t="s">
        <v>81</v>
      </c>
      <c r="B148" t="s">
        <v>320</v>
      </c>
      <c r="C148" s="31">
        <v>1185</v>
      </c>
      <c r="D148" s="31">
        <v>831</v>
      </c>
      <c r="E148" s="65">
        <v>1282</v>
      </c>
      <c r="F148" s="31">
        <v>887</v>
      </c>
      <c r="G148" s="66">
        <v>832616.51999999129</v>
      </c>
      <c r="H148" s="31">
        <v>293405.61999999825</v>
      </c>
      <c r="I148" s="65">
        <v>559890.78000000492</v>
      </c>
      <c r="J148" s="65">
        <v>146912.76999999848</v>
      </c>
      <c r="K148" s="31">
        <v>12138</v>
      </c>
      <c r="L148" s="31">
        <v>16238.428571428571</v>
      </c>
      <c r="M148" s="67">
        <v>9.4680187207488302</v>
      </c>
      <c r="N148" s="67">
        <v>18.63240798502807</v>
      </c>
      <c r="O148" s="68">
        <v>649.46686427456416</v>
      </c>
      <c r="P148" s="68">
        <v>330.78423900788982</v>
      </c>
      <c r="Q148" s="69">
        <v>0.67244735907955655</v>
      </c>
      <c r="R148" s="69">
        <v>0.48384941372527268</v>
      </c>
      <c r="S148" s="31">
        <v>1071.4285714285713</v>
      </c>
      <c r="T148" s="31">
        <v>14049.285714285714</v>
      </c>
      <c r="U148" s="69">
        <v>-0.26911471025521472</v>
      </c>
      <c r="V148" s="69">
        <v>0.40698985343855698</v>
      </c>
      <c r="W148" s="69">
        <v>1.7643567972556129</v>
      </c>
      <c r="X148" s="69">
        <v>2.83736696269363</v>
      </c>
      <c r="Y148" s="69">
        <v>-9.6859664055527595E-2</v>
      </c>
      <c r="Z148" s="69">
        <v>-9.8561364793753214E-2</v>
      </c>
      <c r="AA148" s="69">
        <v>6.6555740432612254E-2</v>
      </c>
      <c r="AB148" s="69">
        <v>6.0894695166686219E-2</v>
      </c>
      <c r="AC148" s="69">
        <v>-5.3077819107982815E-3</v>
      </c>
      <c r="AD148" s="133">
        <v>0.48417180550542077</v>
      </c>
      <c r="AE148" s="133">
        <v>1.1944744866079087</v>
      </c>
      <c r="AF148" s="133">
        <v>1.8536200589391059</v>
      </c>
    </row>
    <row r="149" spans="1:32" x14ac:dyDescent="0.25">
      <c r="A149" t="s">
        <v>81</v>
      </c>
      <c r="B149" t="s">
        <v>323</v>
      </c>
      <c r="C149" s="31">
        <v>789</v>
      </c>
      <c r="D149" s="31">
        <v>561</v>
      </c>
      <c r="E149" s="65">
        <v>1207</v>
      </c>
      <c r="F149" s="31">
        <v>677</v>
      </c>
      <c r="G149" s="66">
        <v>817623.4799999987</v>
      </c>
      <c r="H149" s="31">
        <v>235980.21999999924</v>
      </c>
      <c r="I149" s="65">
        <v>551806.25999999954</v>
      </c>
      <c r="J149" s="65">
        <v>129010.95999999929</v>
      </c>
      <c r="K149" s="31">
        <v>13027.714285714286</v>
      </c>
      <c r="L149" s="31">
        <v>17769.285714285714</v>
      </c>
      <c r="M149" s="67">
        <v>10.793466682447628</v>
      </c>
      <c r="N149" s="67">
        <v>26.796392286958326</v>
      </c>
      <c r="O149" s="68">
        <v>677.40139188069486</v>
      </c>
      <c r="P149" s="68">
        <v>348.56753323485856</v>
      </c>
      <c r="Q149" s="69">
        <v>0.67489042755963957</v>
      </c>
      <c r="R149" s="69">
        <v>0.53963924207623726</v>
      </c>
      <c r="S149" s="31">
        <v>1365.8571428571429</v>
      </c>
      <c r="T149" s="31">
        <v>8734.4285714285706</v>
      </c>
      <c r="U149" s="69">
        <v>-0.29396631426618958</v>
      </c>
      <c r="V149" s="69">
        <v>0.69719350073855235</v>
      </c>
      <c r="W149" s="69">
        <v>2.2807435724909486</v>
      </c>
      <c r="X149" s="69">
        <v>3.0975270423054662</v>
      </c>
      <c r="Y149" s="69">
        <v>3.8260515688201657E-2</v>
      </c>
      <c r="Z149" s="69">
        <v>-3.4432374055015535E-2</v>
      </c>
      <c r="AA149" s="69">
        <v>-4.0540540540540571E-2</v>
      </c>
      <c r="AB149" s="69">
        <v>-9.1383757903035212E-3</v>
      </c>
      <c r="AC149" s="69">
        <v>3.2729016781937181E-2</v>
      </c>
      <c r="AD149" s="133">
        <v>0.2046630741025485</v>
      </c>
      <c r="AE149" s="133">
        <v>0.92445714024749603</v>
      </c>
      <c r="AF149" s="133">
        <v>1.4609034114405144</v>
      </c>
    </row>
    <row r="150" spans="1:32" x14ac:dyDescent="0.25">
      <c r="A150" t="s">
        <v>81</v>
      </c>
      <c r="B150" t="s">
        <v>318</v>
      </c>
      <c r="C150" s="31">
        <v>1056</v>
      </c>
      <c r="D150" s="31">
        <v>884</v>
      </c>
      <c r="E150" s="65">
        <v>1269</v>
      </c>
      <c r="F150" s="31">
        <v>1043</v>
      </c>
      <c r="G150" s="66">
        <v>780064.50999999186</v>
      </c>
      <c r="H150" s="31">
        <v>459605.03999999497</v>
      </c>
      <c r="I150" s="65">
        <v>440036.11999999901</v>
      </c>
      <c r="J150" s="65">
        <v>288694.46999999502</v>
      </c>
      <c r="K150" s="31">
        <v>17549.142857142859</v>
      </c>
      <c r="L150" s="31">
        <v>19479.142857142859</v>
      </c>
      <c r="M150" s="67">
        <v>13.829111786558597</v>
      </c>
      <c r="N150" s="67">
        <v>18.987560192616375</v>
      </c>
      <c r="O150" s="68">
        <v>614.70804570527332</v>
      </c>
      <c r="P150" s="68">
        <v>440.65679769894052</v>
      </c>
      <c r="Q150" s="69">
        <v>0.56410221764864499</v>
      </c>
      <c r="R150" s="69">
        <v>0.61244280195466549</v>
      </c>
      <c r="S150" s="31">
        <v>11736</v>
      </c>
      <c r="T150" s="31">
        <v>976.14285714285711</v>
      </c>
      <c r="U150" s="69">
        <v>-0.12574621939950426</v>
      </c>
      <c r="V150" s="69">
        <v>0.17066155321188869</v>
      </c>
      <c r="W150" s="69">
        <v>0.61355047368496707</v>
      </c>
      <c r="X150" s="69">
        <v>0.47950879235770882</v>
      </c>
      <c r="Y150" s="69">
        <v>-4.8526563280460344E-2</v>
      </c>
      <c r="Z150" s="69">
        <v>-4.5968174087276603E-2</v>
      </c>
      <c r="AA150" s="69">
        <v>0.10926573426573416</v>
      </c>
      <c r="AB150" s="69">
        <v>0.11552375336406606</v>
      </c>
      <c r="AC150" s="69">
        <v>5.6415869570460853E-3</v>
      </c>
      <c r="AD150" s="133">
        <v>0.30861504907306436</v>
      </c>
      <c r="AE150" s="133">
        <v>0.47706239617790192</v>
      </c>
      <c r="AF150" s="133">
        <v>0.50421439885261743</v>
      </c>
    </row>
    <row r="151" spans="1:32" x14ac:dyDescent="0.25">
      <c r="A151" t="s">
        <v>81</v>
      </c>
      <c r="B151" t="s">
        <v>326</v>
      </c>
      <c r="C151" s="31">
        <v>1181</v>
      </c>
      <c r="D151" s="31">
        <v>814</v>
      </c>
      <c r="E151" s="65">
        <v>3002</v>
      </c>
      <c r="F151" s="31">
        <v>2451</v>
      </c>
      <c r="G151" s="66">
        <v>770823.29999999434</v>
      </c>
      <c r="H151" s="31">
        <v>296297.43000000244</v>
      </c>
      <c r="I151" s="65">
        <v>542505.00000000093</v>
      </c>
      <c r="J151" s="65">
        <v>182158.0400000026</v>
      </c>
      <c r="K151" s="31">
        <v>56084</v>
      </c>
      <c r="L151" s="31">
        <v>33271.285714285717</v>
      </c>
      <c r="M151" s="67">
        <v>18.682211858760827</v>
      </c>
      <c r="N151" s="67">
        <v>13.773009599096554</v>
      </c>
      <c r="O151" s="68">
        <v>256.76992005329589</v>
      </c>
      <c r="P151" s="68">
        <v>120.88838433292634</v>
      </c>
      <c r="Q151" s="69">
        <v>0.70379943107584442</v>
      </c>
      <c r="R151" s="69">
        <v>0.59474237641838512</v>
      </c>
      <c r="S151" s="31">
        <v>16803.714285714286</v>
      </c>
      <c r="T151" s="31">
        <v>72757.142857142855</v>
      </c>
      <c r="U151" s="69">
        <v>0.63443810407086332</v>
      </c>
      <c r="V151" s="69">
        <v>0.17951856385148912</v>
      </c>
      <c r="W151" s="69">
        <v>1.4918770304554729</v>
      </c>
      <c r="X151" s="69">
        <v>1.9472542252404828</v>
      </c>
      <c r="Y151" s="69">
        <v>-4.7192648242845192E-2</v>
      </c>
      <c r="Z151" s="69">
        <v>-4.4118936081108728E-2</v>
      </c>
      <c r="AA151" s="69">
        <v>4.8916841369671449E-2</v>
      </c>
      <c r="AB151" s="69">
        <v>1.4703662107251159E-2</v>
      </c>
      <c r="AC151" s="69">
        <v>-3.261762793106171E-2</v>
      </c>
      <c r="AD151" s="133">
        <v>-0.32951574218642959</v>
      </c>
      <c r="AE151" s="133">
        <v>0.24933822995947613</v>
      </c>
      <c r="AF151" s="133">
        <v>0.50827691593739954</v>
      </c>
    </row>
    <row r="152" spans="1:32" x14ac:dyDescent="0.25">
      <c r="A152" t="s">
        <v>81</v>
      </c>
      <c r="B152" t="s">
        <v>324</v>
      </c>
      <c r="C152" s="31">
        <v>3184</v>
      </c>
      <c r="D152" s="31">
        <v>1884</v>
      </c>
      <c r="E152" s="65">
        <v>6373</v>
      </c>
      <c r="F152" s="31">
        <v>3399</v>
      </c>
      <c r="G152" s="66">
        <v>588860.90999995766</v>
      </c>
      <c r="H152" s="31">
        <v>312750.46000000549</v>
      </c>
      <c r="I152" s="65">
        <v>301347.72000000166</v>
      </c>
      <c r="J152" s="65">
        <v>149259.55000000473</v>
      </c>
      <c r="K152" s="31">
        <v>77671.428571428565</v>
      </c>
      <c r="L152" s="31">
        <v>78857.428571428565</v>
      </c>
      <c r="M152" s="67">
        <v>12.187577054986438</v>
      </c>
      <c r="N152" s="67">
        <v>23.386971758400332</v>
      </c>
      <c r="O152" s="68">
        <v>92.399326847631826</v>
      </c>
      <c r="P152" s="68">
        <v>92.012491909386725</v>
      </c>
      <c r="Q152" s="69">
        <v>0.51174685716534207</v>
      </c>
      <c r="R152" s="69">
        <v>0.46069782875354587</v>
      </c>
      <c r="S152" s="31">
        <v>14210.428571428571</v>
      </c>
      <c r="T152" s="31">
        <v>68860</v>
      </c>
      <c r="U152" s="69">
        <v>-4.3001655791102156E-2</v>
      </c>
      <c r="V152" s="69">
        <v>0.8234774933804061</v>
      </c>
      <c r="W152" s="69">
        <v>0.84030146590335653</v>
      </c>
      <c r="X152" s="69">
        <v>1.0429769776139031</v>
      </c>
      <c r="Y152" s="69">
        <v>-4.8383667454420687E-2</v>
      </c>
      <c r="Z152" s="69">
        <v>-6.2529635409033335E-2</v>
      </c>
      <c r="AA152" s="69">
        <v>0.1507764535933549</v>
      </c>
      <c r="AB152" s="69">
        <v>6.5586218270570651E-2</v>
      </c>
      <c r="AC152" s="69">
        <v>-7.4028483166103776E-2</v>
      </c>
      <c r="AD152" s="133">
        <v>1.3912977324771589</v>
      </c>
      <c r="AE152" s="133">
        <v>0.84425001407788813</v>
      </c>
      <c r="AF152" s="133">
        <v>1.0094713412387477</v>
      </c>
    </row>
    <row r="153" spans="1:32" x14ac:dyDescent="0.25">
      <c r="A153" t="s">
        <v>81</v>
      </c>
      <c r="B153" t="s">
        <v>325</v>
      </c>
      <c r="C153" s="31">
        <v>856</v>
      </c>
      <c r="D153" s="31">
        <v>393</v>
      </c>
      <c r="E153" s="65">
        <v>916</v>
      </c>
      <c r="F153" s="31">
        <v>425</v>
      </c>
      <c r="G153" s="66">
        <v>529815.94999999681</v>
      </c>
      <c r="H153" s="31">
        <v>204241.94999999958</v>
      </c>
      <c r="I153" s="65">
        <v>294334.65999999957</v>
      </c>
      <c r="J153" s="65">
        <v>115300.5499999993</v>
      </c>
      <c r="K153" s="31">
        <v>12751.428571428571</v>
      </c>
      <c r="L153" s="31">
        <v>8336.1428571428569</v>
      </c>
      <c r="M153" s="67">
        <v>13.920773549594509</v>
      </c>
      <c r="N153" s="67">
        <v>19.783273673934268</v>
      </c>
      <c r="O153" s="68">
        <v>578.40169213973456</v>
      </c>
      <c r="P153" s="68">
        <v>480.56929411764605</v>
      </c>
      <c r="Q153" s="69">
        <v>0.55554133468424527</v>
      </c>
      <c r="R153" s="69">
        <v>0.54618772027117324</v>
      </c>
      <c r="S153" s="31">
        <v>11744.285714285714</v>
      </c>
      <c r="T153" s="31">
        <v>382</v>
      </c>
      <c r="U153" s="69">
        <v>0.4929480917861977</v>
      </c>
      <c r="V153" s="69">
        <v>1.0964705882352943</v>
      </c>
      <c r="W153" s="69">
        <v>1.522658738814417</v>
      </c>
      <c r="X153" s="69">
        <v>1.5682854748150827</v>
      </c>
      <c r="Y153" s="69">
        <v>1.9007910238146852E-2</v>
      </c>
      <c r="Z153" s="69">
        <v>-3.8912935805500037E-2</v>
      </c>
      <c r="AA153" s="69">
        <v>0.22133333333333338</v>
      </c>
      <c r="AB153" s="69">
        <v>0.22970784919685516</v>
      </c>
      <c r="AC153" s="69">
        <v>6.8568634253729499E-3</v>
      </c>
      <c r="AD153" s="133">
        <v>1.2877511406287621</v>
      </c>
      <c r="AE153" s="133">
        <v>1.0221246686149619</v>
      </c>
      <c r="AF153" s="133">
        <v>1.0939396083855861</v>
      </c>
    </row>
    <row r="154" spans="1:32" x14ac:dyDescent="0.25">
      <c r="A154" t="s">
        <v>81</v>
      </c>
      <c r="B154" t="s">
        <v>329</v>
      </c>
      <c r="C154" s="31">
        <v>525</v>
      </c>
      <c r="D154" s="31">
        <v>216</v>
      </c>
      <c r="E154" s="65">
        <v>597</v>
      </c>
      <c r="F154" s="31">
        <v>261</v>
      </c>
      <c r="G154" s="66">
        <v>517404.43999999983</v>
      </c>
      <c r="H154" s="31">
        <v>188598.71000000028</v>
      </c>
      <c r="I154" s="65">
        <v>245912.67000000054</v>
      </c>
      <c r="J154" s="65">
        <v>99099.360000000335</v>
      </c>
      <c r="K154" s="31">
        <v>9396.2857142857138</v>
      </c>
      <c r="L154" s="31">
        <v>8392.4285714285706</v>
      </c>
      <c r="M154" s="67">
        <v>15.739172050729838</v>
      </c>
      <c r="N154" s="67">
        <v>32.713223579394587</v>
      </c>
      <c r="O154" s="68">
        <v>866.67410385259598</v>
      </c>
      <c r="P154" s="68">
        <v>722.6004214559398</v>
      </c>
      <c r="Q154" s="69">
        <v>0.47528132924410277</v>
      </c>
      <c r="R154" s="69">
        <v>0.51028787682570176</v>
      </c>
      <c r="S154" s="31">
        <v>2195.5714285714284</v>
      </c>
      <c r="T154" s="31">
        <v>735.28571428571433</v>
      </c>
      <c r="U154" s="69">
        <v>8.8055560283929468E-2</v>
      </c>
      <c r="V154" s="69">
        <v>1.2337164750957856</v>
      </c>
      <c r="W154" s="69">
        <v>1.6676810249656473</v>
      </c>
      <c r="X154" s="69">
        <v>1.496821999913664</v>
      </c>
      <c r="Y154" s="69">
        <v>-6.1498600927227254E-2</v>
      </c>
      <c r="Z154" s="69">
        <v>-6.1805525839074615E-2</v>
      </c>
      <c r="AA154" s="69">
        <v>2.4013722126929649E-2</v>
      </c>
      <c r="AB154" s="69">
        <v>3.5669915254143092E-2</v>
      </c>
      <c r="AC154" s="69">
        <v>1.1382848564766013E-2</v>
      </c>
      <c r="AD154" s="133">
        <v>1.394220184038131</v>
      </c>
      <c r="AE154" s="133">
        <v>1.5169511324602638</v>
      </c>
      <c r="AF154" s="133">
        <v>1.3484926808761011</v>
      </c>
    </row>
    <row r="155" spans="1:32" x14ac:dyDescent="0.25">
      <c r="A155" t="s">
        <v>81</v>
      </c>
      <c r="B155" t="s">
        <v>322</v>
      </c>
      <c r="C155" s="31">
        <v>693</v>
      </c>
      <c r="D155" s="31">
        <v>458</v>
      </c>
      <c r="E155" s="65">
        <v>844</v>
      </c>
      <c r="F155" s="31">
        <v>565</v>
      </c>
      <c r="G155" s="66">
        <v>477662.21999999706</v>
      </c>
      <c r="H155" s="31">
        <v>236936.38999999952</v>
      </c>
      <c r="I155" s="65">
        <v>275998.60000000062</v>
      </c>
      <c r="J155" s="65">
        <v>127352.64999999937</v>
      </c>
      <c r="K155" s="31">
        <v>11856.714285714286</v>
      </c>
      <c r="L155" s="31">
        <v>14518.285714285714</v>
      </c>
      <c r="M155" s="67">
        <v>14.048239675016926</v>
      </c>
      <c r="N155" s="67">
        <v>25.437664513041398</v>
      </c>
      <c r="O155" s="68">
        <v>565.9504976303283</v>
      </c>
      <c r="P155" s="68">
        <v>419.35644247787525</v>
      </c>
      <c r="Q155" s="69">
        <v>0.57781124075503043</v>
      </c>
      <c r="R155" s="69">
        <v>0.50998733447681188</v>
      </c>
      <c r="S155" s="31">
        <v>1397.1428571428571</v>
      </c>
      <c r="T155" s="31">
        <v>10279.285714285714</v>
      </c>
      <c r="U155" s="69">
        <v>-0.21029637501475973</v>
      </c>
      <c r="V155" s="69">
        <v>0.44424778761061945</v>
      </c>
      <c r="W155" s="69">
        <v>0.9488001821923524</v>
      </c>
      <c r="X155" s="69">
        <v>1.2069571451456707</v>
      </c>
      <c r="Y155" s="69">
        <v>-9.554585673906546E-4</v>
      </c>
      <c r="Z155" s="69">
        <v>4.5144268009296162E-3</v>
      </c>
      <c r="AA155" s="69">
        <v>0.29646697388632881</v>
      </c>
      <c r="AB155" s="69">
        <v>0.34251123026250263</v>
      </c>
      <c r="AC155" s="69">
        <v>3.551517879252275E-2</v>
      </c>
      <c r="AD155" s="133">
        <v>1.2615643916150623</v>
      </c>
      <c r="AE155" s="133">
        <v>1.3846882148926503</v>
      </c>
      <c r="AF155" s="133">
        <v>1.6252343660144037</v>
      </c>
    </row>
    <row r="156" spans="1:32" x14ac:dyDescent="0.25">
      <c r="A156" t="s">
        <v>81</v>
      </c>
      <c r="B156" t="s">
        <v>321</v>
      </c>
      <c r="C156" s="31">
        <v>850</v>
      </c>
      <c r="D156" s="31">
        <v>1202</v>
      </c>
      <c r="E156" s="65">
        <v>1095</v>
      </c>
      <c r="F156" s="31">
        <v>1715</v>
      </c>
      <c r="G156" s="66">
        <v>472784.03999999538</v>
      </c>
      <c r="H156" s="31">
        <v>388846.98999999743</v>
      </c>
      <c r="I156" s="65">
        <v>347609.61999999871</v>
      </c>
      <c r="J156" s="65">
        <v>206457.99999999738</v>
      </c>
      <c r="K156" s="31">
        <v>15659.285714285714</v>
      </c>
      <c r="L156" s="31">
        <v>22550.571428571428</v>
      </c>
      <c r="M156" s="67">
        <v>14.300717547292889</v>
      </c>
      <c r="N156" s="67">
        <v>13.39808212441603</v>
      </c>
      <c r="O156" s="68">
        <v>431.76624657533824</v>
      </c>
      <c r="P156" s="68">
        <v>226.7329387755087</v>
      </c>
      <c r="Q156" s="69">
        <v>0.73523975132494346</v>
      </c>
      <c r="R156" s="69">
        <v>0.5217167127626996</v>
      </c>
      <c r="S156" s="31">
        <v>13911.428571428571</v>
      </c>
      <c r="T156" s="31">
        <v>11969.857142857143</v>
      </c>
      <c r="U156" s="69">
        <v>-0.32052402853269468</v>
      </c>
      <c r="V156" s="69">
        <v>-0.37492711370262388</v>
      </c>
      <c r="W156" s="69">
        <v>0.18931971159143757</v>
      </c>
      <c r="X156" s="69">
        <v>0.6786176948641478</v>
      </c>
      <c r="Y156" s="69">
        <v>-4.4118384594306392E-2</v>
      </c>
      <c r="Z156" s="69">
        <v>-5.861387839230503E-2</v>
      </c>
      <c r="AA156" s="69">
        <v>6.4338235294116863E-3</v>
      </c>
      <c r="AB156" s="69">
        <v>-1.486826095729854E-2</v>
      </c>
      <c r="AC156" s="69">
        <v>-2.1165906777662835E-2</v>
      </c>
      <c r="AD156" s="133">
        <v>-0.24223886513263515</v>
      </c>
      <c r="AE156" s="133">
        <v>0.1506691186942217</v>
      </c>
      <c r="AF156" s="133">
        <v>0.54351676779409519</v>
      </c>
    </row>
    <row r="157" spans="1:32" x14ac:dyDescent="0.25">
      <c r="A157" t="s">
        <v>81</v>
      </c>
      <c r="B157" t="s">
        <v>340</v>
      </c>
      <c r="C157" s="31">
        <v>475</v>
      </c>
      <c r="D157" s="31">
        <v>135</v>
      </c>
      <c r="E157" s="65">
        <v>485</v>
      </c>
      <c r="F157" s="31">
        <v>145</v>
      </c>
      <c r="G157" s="66">
        <v>458125.33999999979</v>
      </c>
      <c r="H157" s="31">
        <v>63829.689999999966</v>
      </c>
      <c r="I157" s="65">
        <v>313938.27999999997</v>
      </c>
      <c r="J157" s="65">
        <v>41422.259999999966</v>
      </c>
      <c r="K157" s="31">
        <v>6847.8571428571431</v>
      </c>
      <c r="L157" s="31">
        <v>2195.2857142857142</v>
      </c>
      <c r="M157" s="67">
        <v>14.119293078055966</v>
      </c>
      <c r="N157" s="67">
        <v>15.448051948051948</v>
      </c>
      <c r="O157" s="68">
        <v>944.58832989690677</v>
      </c>
      <c r="P157" s="68">
        <v>440.2047586206894</v>
      </c>
      <c r="Q157" s="69">
        <v>0.68526722403087359</v>
      </c>
      <c r="R157" s="69">
        <v>0.60922452684721573</v>
      </c>
      <c r="S157" s="31">
        <v>2375.8571428571427</v>
      </c>
      <c r="T157" s="31">
        <v>3687.7142857142858</v>
      </c>
      <c r="U157" s="69">
        <v>2.0402160473742437</v>
      </c>
      <c r="V157" s="69">
        <v>2.2482758620689656</v>
      </c>
      <c r="W157" s="69">
        <v>6.0049757409130464</v>
      </c>
      <c r="X157" s="69">
        <v>6.8565239109301812</v>
      </c>
      <c r="Y157" s="69">
        <v>-6.7734779634884612E-2</v>
      </c>
      <c r="Z157" s="69">
        <v>-6.4865392118610976E-2</v>
      </c>
      <c r="AA157" s="69">
        <v>-9.8513011152416396E-2</v>
      </c>
      <c r="AB157" s="69">
        <v>-0.10024307019756573</v>
      </c>
      <c r="AC157" s="69">
        <v>-1.919117043897689E-3</v>
      </c>
      <c r="AD157" s="133">
        <v>6.809043488678454E-2</v>
      </c>
      <c r="AE157" s="133">
        <v>0.68570125070311327</v>
      </c>
      <c r="AF157" s="133">
        <v>1.1001075133301186</v>
      </c>
    </row>
    <row r="158" spans="1:32" x14ac:dyDescent="0.25">
      <c r="A158" t="s">
        <v>81</v>
      </c>
      <c r="B158" t="s">
        <v>327</v>
      </c>
      <c r="C158" s="31">
        <v>357</v>
      </c>
      <c r="D158" s="31">
        <v>178</v>
      </c>
      <c r="E158" s="65">
        <v>693</v>
      </c>
      <c r="F158" s="31">
        <v>306</v>
      </c>
      <c r="G158" s="66">
        <v>358016.4</v>
      </c>
      <c r="H158" s="31">
        <v>79810.540000000125</v>
      </c>
      <c r="I158" s="65">
        <v>236210.99000000072</v>
      </c>
      <c r="J158" s="65">
        <v>45005.260000000075</v>
      </c>
      <c r="K158" s="31">
        <v>6954.1428571428569</v>
      </c>
      <c r="L158" s="31">
        <v>9434.5714285714294</v>
      </c>
      <c r="M158" s="67">
        <v>10.03483817769532</v>
      </c>
      <c r="N158" s="67">
        <v>31.23231401186673</v>
      </c>
      <c r="O158" s="68">
        <v>516.61818181818182</v>
      </c>
      <c r="P158" s="68">
        <v>260.81875816993505</v>
      </c>
      <c r="Q158" s="69">
        <v>0.65977701021517643</v>
      </c>
      <c r="R158" s="69">
        <v>0.55173457950295512</v>
      </c>
      <c r="S158" s="31">
        <v>1848.7142857142858</v>
      </c>
      <c r="T158" s="31">
        <v>1589.8571428571429</v>
      </c>
      <c r="U158" s="69">
        <v>-0.29743193725205175</v>
      </c>
      <c r="V158" s="69">
        <v>1.1209150326797386</v>
      </c>
      <c r="W158" s="69">
        <v>3.1659086631916011</v>
      </c>
      <c r="X158" s="69">
        <v>3.949543498935741</v>
      </c>
      <c r="Y158" s="69">
        <v>-8.3002333749951362E-2</v>
      </c>
      <c r="Z158" s="69">
        <v>-7.9983368297707469E-2</v>
      </c>
      <c r="AA158" s="69">
        <v>-3.7499999999999978E-2</v>
      </c>
      <c r="AB158" s="69">
        <v>8.9333290197293191E-3</v>
      </c>
      <c r="AC158" s="69">
        <v>4.8242419760757604E-2</v>
      </c>
      <c r="AD158" s="133">
        <v>1.0224789930681211</v>
      </c>
      <c r="AE158" s="133">
        <v>2.1552924467333985</v>
      </c>
      <c r="AF158" s="133">
        <v>3.1987152202132978</v>
      </c>
    </row>
    <row r="159" spans="1:32" x14ac:dyDescent="0.25">
      <c r="A159" t="s">
        <v>81</v>
      </c>
      <c r="B159" t="s">
        <v>339</v>
      </c>
      <c r="C159" s="31">
        <v>577</v>
      </c>
      <c r="D159" s="31">
        <v>114</v>
      </c>
      <c r="E159" s="65">
        <v>610</v>
      </c>
      <c r="F159" s="31">
        <v>123</v>
      </c>
      <c r="G159" s="66">
        <v>321936.30000000197</v>
      </c>
      <c r="H159" s="31">
        <v>23853.810000000041</v>
      </c>
      <c r="I159" s="65">
        <v>239948.3200000005</v>
      </c>
      <c r="J159" s="65">
        <v>15522.080000000058</v>
      </c>
      <c r="K159" s="31">
        <v>5386.4285714285716</v>
      </c>
      <c r="L159" s="31">
        <v>2991.7142857142858</v>
      </c>
      <c r="M159" s="67">
        <v>8.8302107728337234</v>
      </c>
      <c r="N159" s="67">
        <v>24.101098901098904</v>
      </c>
      <c r="O159" s="68">
        <v>527.7644262295114</v>
      </c>
      <c r="P159" s="68">
        <v>193.93341463414669</v>
      </c>
      <c r="Q159" s="69">
        <v>0.7453285634456227</v>
      </c>
      <c r="R159" s="69">
        <v>0.60886995229327379</v>
      </c>
      <c r="S159" s="31">
        <v>245.42857142857142</v>
      </c>
      <c r="T159" s="31">
        <v>404.14285714285717</v>
      </c>
      <c r="U159" s="69">
        <v>0.76029032566135046</v>
      </c>
      <c r="V159" s="69">
        <v>3.8536585365853657</v>
      </c>
      <c r="W159" s="69">
        <v>12.20982140798478</v>
      </c>
      <c r="X159" s="69">
        <v>15.270803796832826</v>
      </c>
      <c r="Y159" s="69">
        <v>-9.523320814714642E-2</v>
      </c>
      <c r="Z159" s="69">
        <v>-9.6041811512550535E-2</v>
      </c>
      <c r="AA159" s="69">
        <v>-0.15277777777777779</v>
      </c>
      <c r="AB159" s="69">
        <v>-0.16754029740567877</v>
      </c>
      <c r="AC159" s="69">
        <v>-1.7424613331293193E-2</v>
      </c>
      <c r="AD159" s="133">
        <v>1.2076261540727629</v>
      </c>
      <c r="AE159" s="133">
        <v>4.2250950615404514</v>
      </c>
      <c r="AF159" s="133">
        <v>6.2853779206725742</v>
      </c>
    </row>
    <row r="160" spans="1:32" x14ac:dyDescent="0.25">
      <c r="A160" t="s">
        <v>81</v>
      </c>
      <c r="B160" t="s">
        <v>331</v>
      </c>
      <c r="C160" s="31">
        <v>271</v>
      </c>
      <c r="D160" s="31">
        <v>145</v>
      </c>
      <c r="E160" s="65">
        <v>319</v>
      </c>
      <c r="F160" s="31">
        <v>169</v>
      </c>
      <c r="G160" s="66">
        <v>308879.49999999965</v>
      </c>
      <c r="H160" s="31">
        <v>121217.12000000026</v>
      </c>
      <c r="I160" s="65">
        <v>168011.98999999996</v>
      </c>
      <c r="J160" s="65">
        <v>62077.950000000266</v>
      </c>
      <c r="K160" s="31">
        <v>4965.1428571428569</v>
      </c>
      <c r="L160" s="31">
        <v>4173.4285714285716</v>
      </c>
      <c r="M160" s="67">
        <v>15.564711150918047</v>
      </c>
      <c r="N160" s="67">
        <v>25.4093567251462</v>
      </c>
      <c r="O160" s="68">
        <v>968.27429467084528</v>
      </c>
      <c r="P160" s="68">
        <v>717.26106508875887</v>
      </c>
      <c r="Q160" s="69">
        <v>0.54394024206850944</v>
      </c>
      <c r="R160" s="69">
        <v>0.50524465009391151</v>
      </c>
      <c r="S160" s="31">
        <v>2501</v>
      </c>
      <c r="T160" s="31">
        <v>1672.8571428571429</v>
      </c>
      <c r="U160" s="69">
        <v>0.15547340316286729</v>
      </c>
      <c r="V160" s="69">
        <v>0.81656804733727806</v>
      </c>
      <c r="W160" s="69">
        <v>1.4360936804966085</v>
      </c>
      <c r="X160" s="69">
        <v>1.6342382046607975</v>
      </c>
      <c r="Y160" s="69">
        <v>-7.9490450125957346E-2</v>
      </c>
      <c r="Z160" s="69">
        <v>-7.831021771990776E-2</v>
      </c>
      <c r="AA160" s="69">
        <v>5.2805280528052778E-2</v>
      </c>
      <c r="AB160" s="69">
        <v>6.7497003362266605E-2</v>
      </c>
      <c r="AC160" s="69">
        <v>1.3954833914629594E-2</v>
      </c>
      <c r="AD160" s="133">
        <v>-0.41028307336799535</v>
      </c>
      <c r="AE160" s="133">
        <v>-0.3759273449430337</v>
      </c>
      <c r="AF160" s="133">
        <v>-0.37291776878690114</v>
      </c>
    </row>
    <row r="161" spans="1:32" x14ac:dyDescent="0.25">
      <c r="A161" t="s">
        <v>81</v>
      </c>
      <c r="B161" t="s">
        <v>345</v>
      </c>
      <c r="C161" s="31">
        <v>200</v>
      </c>
      <c r="D161" s="31">
        <v>103</v>
      </c>
      <c r="E161" s="65">
        <v>277</v>
      </c>
      <c r="F161" s="31">
        <v>155</v>
      </c>
      <c r="G161" s="66">
        <v>273464.08000000031</v>
      </c>
      <c r="H161" s="31">
        <v>27412.090000000011</v>
      </c>
      <c r="I161" s="65">
        <v>183296.0299999998</v>
      </c>
      <c r="J161" s="65">
        <v>14593.860000000006</v>
      </c>
      <c r="K161" s="31">
        <v>2965.2857142857142</v>
      </c>
      <c r="L161" s="31">
        <v>3860.4285714285716</v>
      </c>
      <c r="M161" s="67">
        <v>10.705002578648788</v>
      </c>
      <c r="N161" s="67">
        <v>25.443130118289353</v>
      </c>
      <c r="O161" s="68">
        <v>987.23494584837658</v>
      </c>
      <c r="P161" s="68">
        <v>176.85219354838716</v>
      </c>
      <c r="Q161" s="69">
        <v>0.67027461156872814</v>
      </c>
      <c r="R161" s="69">
        <v>0.52591301414760661</v>
      </c>
      <c r="S161" s="31">
        <v>140.42857142857142</v>
      </c>
      <c r="T161" s="31">
        <v>91</v>
      </c>
      <c r="U161" s="69">
        <v>-0.25415386892647007</v>
      </c>
      <c r="V161" s="69">
        <v>0.70322580645161281</v>
      </c>
      <c r="W161" s="69">
        <v>8.4349186800422782</v>
      </c>
      <c r="X161" s="69">
        <v>11.016371840240401</v>
      </c>
      <c r="Y161" s="69">
        <v>-0.10603344300430351</v>
      </c>
      <c r="Z161" s="69">
        <v>-0.1024776235568815</v>
      </c>
      <c r="AA161" s="69">
        <v>-0.17804154302670627</v>
      </c>
      <c r="AB161" s="69">
        <v>-0.17361868537948433</v>
      </c>
      <c r="AC161" s="69">
        <v>5.38087735420123E-3</v>
      </c>
      <c r="AD161" s="133">
        <v>-0.10633572482625159</v>
      </c>
      <c r="AE161" s="133">
        <v>0.12349102013097869</v>
      </c>
      <c r="AF161" s="133">
        <v>0.3861479649640478</v>
      </c>
    </row>
    <row r="162" spans="1:32" x14ac:dyDescent="0.25">
      <c r="A162" t="s">
        <v>81</v>
      </c>
      <c r="B162" t="s">
        <v>332</v>
      </c>
      <c r="C162" s="31">
        <v>263</v>
      </c>
      <c r="D162" s="31">
        <v>118</v>
      </c>
      <c r="E162" s="65">
        <v>303</v>
      </c>
      <c r="F162" s="31">
        <v>146</v>
      </c>
      <c r="G162" s="66">
        <v>249803.5799999992</v>
      </c>
      <c r="H162" s="31">
        <v>91727.209999999919</v>
      </c>
      <c r="I162" s="65">
        <v>194367.86000000028</v>
      </c>
      <c r="J162" s="65">
        <v>69588.349999999933</v>
      </c>
      <c r="K162" s="31">
        <v>6075.1428571428569</v>
      </c>
      <c r="L162" s="31">
        <v>2859.2857142857142</v>
      </c>
      <c r="M162" s="67">
        <v>20.049976426214048</v>
      </c>
      <c r="N162" s="67">
        <v>19.2518315018315</v>
      </c>
      <c r="O162" s="68">
        <v>824.43425742573993</v>
      </c>
      <c r="P162" s="68">
        <v>628.26856164383503</v>
      </c>
      <c r="Q162" s="69">
        <v>0.77808276406607502</v>
      </c>
      <c r="R162" s="69">
        <v>0.7093921713623853</v>
      </c>
      <c r="S162" s="31">
        <v>9101.2857142857138</v>
      </c>
      <c r="T162" s="31">
        <v>10039.714285714286</v>
      </c>
      <c r="U162" s="69">
        <v>1.0683487384461654</v>
      </c>
      <c r="V162" s="69">
        <v>1.0205479452054793</v>
      </c>
      <c r="W162" s="69">
        <v>1.6470186981594646</v>
      </c>
      <c r="X162" s="69">
        <v>1.9138716808668472</v>
      </c>
      <c r="Y162" s="69">
        <v>0.32937791603393096</v>
      </c>
      <c r="Z162" s="69">
        <v>0.29620824189222139</v>
      </c>
      <c r="AA162" s="69">
        <v>0.35874439461883401</v>
      </c>
      <c r="AB162" s="69">
        <v>0.42533830615975887</v>
      </c>
      <c r="AC162" s="69">
        <v>4.9011360639030332E-2</v>
      </c>
      <c r="AD162" s="133">
        <v>-0.34034584165339371</v>
      </c>
      <c r="AE162" s="133">
        <v>-5.5164331561648721E-3</v>
      </c>
      <c r="AF162" s="133">
        <v>0.31856154578766915</v>
      </c>
    </row>
    <row r="163" spans="1:32" x14ac:dyDescent="0.25">
      <c r="A163" t="s">
        <v>81</v>
      </c>
      <c r="B163" t="s">
        <v>335</v>
      </c>
      <c r="C163" s="31">
        <v>533</v>
      </c>
      <c r="D163" s="31">
        <v>395</v>
      </c>
      <c r="E163" s="65">
        <v>847</v>
      </c>
      <c r="F163" s="31">
        <v>488</v>
      </c>
      <c r="G163" s="66">
        <v>230582.73999999976</v>
      </c>
      <c r="H163" s="31">
        <v>119032.86000000035</v>
      </c>
      <c r="I163" s="65">
        <v>45548.89999999998</v>
      </c>
      <c r="J163" s="65">
        <v>44097.970000000263</v>
      </c>
      <c r="K163" s="31">
        <v>16229.428571428571</v>
      </c>
      <c r="L163" s="31">
        <v>22940.857142857141</v>
      </c>
      <c r="M163" s="67">
        <v>19.161072693540223</v>
      </c>
      <c r="N163" s="67">
        <v>48.064386317907442</v>
      </c>
      <c r="O163" s="68">
        <v>272.2346399055487</v>
      </c>
      <c r="P163" s="68">
        <v>243.91979508196792</v>
      </c>
      <c r="Q163" s="69">
        <v>0.19753820255583757</v>
      </c>
      <c r="R163" s="69">
        <v>0.363596449387313</v>
      </c>
      <c r="S163" s="31">
        <v>168.42857142857142</v>
      </c>
      <c r="T163" s="31">
        <v>31946.857142857141</v>
      </c>
      <c r="U163" s="69">
        <v>-0.30838304709003272</v>
      </c>
      <c r="V163" s="69">
        <v>0.72540983606557385</v>
      </c>
      <c r="W163" s="69">
        <v>0.91641274518648941</v>
      </c>
      <c r="X163" s="69">
        <v>2.6298582555904781E-2</v>
      </c>
      <c r="Y163" s="69">
        <v>-6.1689437254076274E-2</v>
      </c>
      <c r="Z163" s="69">
        <v>-6.722061202203744E-2</v>
      </c>
      <c r="AA163" s="69">
        <v>-0.11215932914046123</v>
      </c>
      <c r="AB163" s="69">
        <v>5.9214280710495837E-2</v>
      </c>
      <c r="AC163" s="69">
        <v>0.19302293246495039</v>
      </c>
      <c r="AD163" s="133">
        <v>1.9482404538967593</v>
      </c>
      <c r="AE163" s="133">
        <v>0.65748197413449783</v>
      </c>
      <c r="AF163" s="133">
        <v>-0.38638234189738191</v>
      </c>
    </row>
    <row r="164" spans="1:32" x14ac:dyDescent="0.25">
      <c r="A164" t="s">
        <v>81</v>
      </c>
      <c r="B164" t="s">
        <v>328</v>
      </c>
      <c r="C164" s="31">
        <v>275</v>
      </c>
      <c r="D164" s="31">
        <v>243</v>
      </c>
      <c r="E164" s="65">
        <v>416</v>
      </c>
      <c r="F164" s="31">
        <v>369</v>
      </c>
      <c r="G164" s="66">
        <v>164391.08000000086</v>
      </c>
      <c r="H164" s="31">
        <v>110492.61000000023</v>
      </c>
      <c r="I164" s="65">
        <v>87127.510000000038</v>
      </c>
      <c r="J164" s="65">
        <v>61989.320000000247</v>
      </c>
      <c r="K164" s="31">
        <v>7098.5714285714284</v>
      </c>
      <c r="L164" s="31">
        <v>16482.714285714286</v>
      </c>
      <c r="M164" s="67">
        <v>17.063873626373628</v>
      </c>
      <c r="N164" s="67">
        <v>44.295811518324605</v>
      </c>
      <c r="O164" s="68">
        <v>395.17086538461746</v>
      </c>
      <c r="P164" s="68">
        <v>299.43796747967542</v>
      </c>
      <c r="Q164" s="69">
        <v>0.53000144533389271</v>
      </c>
      <c r="R164" s="69">
        <v>0.54035575132588753</v>
      </c>
      <c r="S164" s="31">
        <v>15885.428571428571</v>
      </c>
      <c r="T164" s="31">
        <v>15230.857142857143</v>
      </c>
      <c r="U164" s="69">
        <v>-0.58150963346882878</v>
      </c>
      <c r="V164" s="69">
        <v>7.5880758807588045E-2</v>
      </c>
      <c r="W164" s="69">
        <v>0.41814018150173493</v>
      </c>
      <c r="X164" s="69">
        <v>0.40944618889093842</v>
      </c>
      <c r="Y164" s="69">
        <v>4.9092311338642336E-2</v>
      </c>
      <c r="Z164" s="69">
        <v>2.2091492512753108E-2</v>
      </c>
      <c r="AA164" s="69">
        <v>0.23442136498516319</v>
      </c>
      <c r="AB164" s="69">
        <v>0.38647497863035074</v>
      </c>
      <c r="AC164" s="69">
        <v>0.12317804759237538</v>
      </c>
      <c r="AD164" s="133">
        <v>-3.6793113811692015E-2</v>
      </c>
      <c r="AE164" s="133">
        <v>-0.11843507940069195</v>
      </c>
      <c r="AF164" s="133">
        <v>-9.8164794575570632E-2</v>
      </c>
    </row>
    <row r="165" spans="1:32" x14ac:dyDescent="0.25">
      <c r="A165" t="s">
        <v>81</v>
      </c>
      <c r="B165" t="s">
        <v>346</v>
      </c>
      <c r="C165" s="31">
        <v>171</v>
      </c>
      <c r="D165" s="31">
        <v>32</v>
      </c>
      <c r="E165" s="65">
        <v>174</v>
      </c>
      <c r="F165" s="31">
        <v>32</v>
      </c>
      <c r="G165" s="66">
        <v>118081.89000000035</v>
      </c>
      <c r="H165" s="31">
        <v>9685.1599999999962</v>
      </c>
      <c r="I165" s="65">
        <v>72205.04000000011</v>
      </c>
      <c r="J165" s="65">
        <v>4903.7800000000007</v>
      </c>
      <c r="K165" s="31">
        <v>3349.5714285714284</v>
      </c>
      <c r="L165" s="31">
        <v>2050</v>
      </c>
      <c r="M165" s="67">
        <v>19.250410509031198</v>
      </c>
      <c r="N165" s="67">
        <v>63.558823529411768</v>
      </c>
      <c r="O165" s="68">
        <v>678.63155172413997</v>
      </c>
      <c r="P165" s="68">
        <v>302.66124999999988</v>
      </c>
      <c r="Q165" s="69">
        <v>0.61148275997276036</v>
      </c>
      <c r="R165" s="69">
        <v>0.47162433013645422</v>
      </c>
      <c r="S165" s="31">
        <v>156.71428571428572</v>
      </c>
      <c r="T165" s="31">
        <v>44.428571428571431</v>
      </c>
      <c r="U165" s="69">
        <v>0.59644599303135881</v>
      </c>
      <c r="V165" s="69">
        <v>4.375</v>
      </c>
      <c r="W165" s="69">
        <v>11.037168203726155</v>
      </c>
      <c r="X165" s="69">
        <v>14.587561027382796</v>
      </c>
      <c r="Y165" s="69">
        <v>-5.6915680675657998E-2</v>
      </c>
      <c r="Z165" s="69">
        <v>-5.4785132629202704E-2</v>
      </c>
      <c r="AA165" s="69">
        <v>0.10126582278481022</v>
      </c>
      <c r="AB165" s="69">
        <v>0.14093941639100538</v>
      </c>
      <c r="AC165" s="69">
        <v>3.6025447067694394E-2</v>
      </c>
      <c r="AD165" s="133">
        <v>3.1669360806373978</v>
      </c>
      <c r="AE165" s="133">
        <v>5.2725359544606487</v>
      </c>
      <c r="AF165" s="133">
        <v>6.0854099601409066</v>
      </c>
    </row>
    <row r="166" spans="1:32" x14ac:dyDescent="0.25">
      <c r="A166" t="s">
        <v>81</v>
      </c>
      <c r="B166" t="s">
        <v>337</v>
      </c>
      <c r="C166" s="31">
        <v>102</v>
      </c>
      <c r="D166" s="31">
        <v>192</v>
      </c>
      <c r="E166" s="65">
        <v>119</v>
      </c>
      <c r="F166" s="31">
        <v>249</v>
      </c>
      <c r="G166" s="66">
        <v>57741.410000000069</v>
      </c>
      <c r="H166" s="31">
        <v>103239.51000000014</v>
      </c>
      <c r="I166" s="65">
        <v>27646.780000000017</v>
      </c>
      <c r="J166" s="65">
        <v>52477.340000000127</v>
      </c>
      <c r="K166" s="31">
        <v>2907</v>
      </c>
      <c r="L166" s="31">
        <v>6216.8571428571431</v>
      </c>
      <c r="M166" s="67">
        <v>24.428571428571427</v>
      </c>
      <c r="N166" s="67">
        <v>25.121400338791641</v>
      </c>
      <c r="O166" s="68">
        <v>485.22193277310981</v>
      </c>
      <c r="P166" s="68">
        <v>414.61650602409696</v>
      </c>
      <c r="Q166" s="69">
        <v>0.4788033406181107</v>
      </c>
      <c r="R166" s="69">
        <v>0.50445889090898488</v>
      </c>
      <c r="S166" s="31">
        <v>7605.4285714285716</v>
      </c>
      <c r="T166" s="31">
        <v>2963.2857142857142</v>
      </c>
      <c r="U166" s="69">
        <v>-0.54639459533985946</v>
      </c>
      <c r="V166" s="69">
        <v>-0.53413654618473894</v>
      </c>
      <c r="W166" s="69">
        <v>-0.45604071541990088</v>
      </c>
      <c r="X166" s="69">
        <v>-0.48106383992413915</v>
      </c>
      <c r="Y166" s="69">
        <v>-4.812306057054283E-2</v>
      </c>
      <c r="Z166" s="69">
        <v>-5.2565415774280644E-2</v>
      </c>
      <c r="AA166" s="69">
        <v>-0.13138686131386856</v>
      </c>
      <c r="AB166" s="69">
        <v>8.0793216213450592E-2</v>
      </c>
      <c r="AC166" s="69">
        <v>0.24427454303565321</v>
      </c>
      <c r="AD166" s="133">
        <v>-0.36388604686716547</v>
      </c>
      <c r="AE166" s="133">
        <v>-0.38292867858640872</v>
      </c>
      <c r="AF166" s="133">
        <v>-0.42865215461901202</v>
      </c>
    </row>
    <row r="167" spans="1:32" x14ac:dyDescent="0.25">
      <c r="A167" t="s">
        <v>81</v>
      </c>
      <c r="B167" t="s">
        <v>330</v>
      </c>
      <c r="C167" s="31">
        <v>239</v>
      </c>
      <c r="D167" s="31">
        <v>1672</v>
      </c>
      <c r="E167" s="65">
        <v>268</v>
      </c>
      <c r="F167" s="31">
        <v>2006</v>
      </c>
      <c r="G167" s="66">
        <v>50499.900000000256</v>
      </c>
      <c r="H167" s="31">
        <v>253420.15999999919</v>
      </c>
      <c r="I167" s="65">
        <v>31327.55</v>
      </c>
      <c r="J167" s="65">
        <v>136820.99999999799</v>
      </c>
      <c r="K167" s="31">
        <v>2232.5714285714284</v>
      </c>
      <c r="L167" s="31">
        <v>38928.857142857145</v>
      </c>
      <c r="M167" s="67">
        <v>8.3304904051172706</v>
      </c>
      <c r="N167" s="67">
        <v>19.521473669603829</v>
      </c>
      <c r="O167" s="68">
        <v>188.43246268656813</v>
      </c>
      <c r="P167" s="68">
        <v>126.33108673978025</v>
      </c>
      <c r="Q167" s="69">
        <v>0.6203487531658447</v>
      </c>
      <c r="R167" s="69">
        <v>0.52614415906187828</v>
      </c>
      <c r="S167" s="31">
        <v>704.71428571428567</v>
      </c>
      <c r="T167" s="31">
        <v>15702.428571428571</v>
      </c>
      <c r="U167" s="69">
        <v>-0.94689213290177687</v>
      </c>
      <c r="V167" s="69">
        <v>-0.87138584247258222</v>
      </c>
      <c r="W167" s="69">
        <v>-0.80842096382544937</v>
      </c>
      <c r="X167" s="69">
        <v>-0.77404331207821997</v>
      </c>
      <c r="Y167" s="69">
        <v>-8.9403529614418553E-2</v>
      </c>
      <c r="Z167" s="69">
        <v>-8.9807804309842698E-2</v>
      </c>
      <c r="AA167" s="69">
        <v>0.30097087378640786</v>
      </c>
      <c r="AB167" s="69">
        <v>0.29585108716990116</v>
      </c>
      <c r="AC167" s="69">
        <v>-3.9353583694041738E-3</v>
      </c>
      <c r="AD167" s="133">
        <v>-0.91946414083774486</v>
      </c>
      <c r="AE167" s="133">
        <v>-0.90451607977453374</v>
      </c>
      <c r="AF167" s="133">
        <v>-0.88756115372283151</v>
      </c>
    </row>
    <row r="168" spans="1:32" x14ac:dyDescent="0.25">
      <c r="A168" t="s">
        <v>81</v>
      </c>
      <c r="B168" t="s">
        <v>342</v>
      </c>
      <c r="C168" s="31">
        <v>184</v>
      </c>
      <c r="D168" s="31">
        <v>86</v>
      </c>
      <c r="E168" s="65">
        <v>346</v>
      </c>
      <c r="F168" s="31">
        <v>142</v>
      </c>
      <c r="G168" s="66">
        <v>30948.110000000048</v>
      </c>
      <c r="H168" s="31">
        <v>15535.909999999987</v>
      </c>
      <c r="I168" s="65">
        <v>1403.7699999999995</v>
      </c>
      <c r="J168" s="65">
        <v>9425.6599999999889</v>
      </c>
      <c r="K168" s="31">
        <v>15385.285714285714</v>
      </c>
      <c r="L168" s="31">
        <v>30388.285714285714</v>
      </c>
      <c r="M168" s="67">
        <v>44.46614368290669</v>
      </c>
      <c r="N168" s="67">
        <v>217.58651911468812</v>
      </c>
      <c r="O168" s="68">
        <v>89.4454046242776</v>
      </c>
      <c r="P168" s="68">
        <v>109.40781690140837</v>
      </c>
      <c r="Q168" s="69">
        <v>4.5358828051212087E-2</v>
      </c>
      <c r="R168" s="69">
        <v>0.60670150638102283</v>
      </c>
      <c r="S168" s="31">
        <v>7298.5714285714284</v>
      </c>
      <c r="T168" s="31">
        <v>2429.8571428571427</v>
      </c>
      <c r="U168" s="69">
        <v>-0.50649216333361535</v>
      </c>
      <c r="V168" s="69">
        <v>1.3450704225352115</v>
      </c>
      <c r="W168" s="69">
        <v>0.90354218066402692</v>
      </c>
      <c r="X168" s="69">
        <v>-0.8380654511195984</v>
      </c>
      <c r="Y168" s="69">
        <v>-4.1194924354521323E-2</v>
      </c>
      <c r="Z168" s="69">
        <v>-3.9328849481740535E-2</v>
      </c>
      <c r="AA168" s="69">
        <v>-4.6831955922865043E-2</v>
      </c>
      <c r="AB168" s="69">
        <v>-8.6974056088881424E-2</v>
      </c>
      <c r="AC168" s="69">
        <v>-4.2114399885155973E-2</v>
      </c>
      <c r="AD168" s="133"/>
      <c r="AE168" s="133"/>
      <c r="AF168" s="133"/>
    </row>
    <row r="169" spans="1:32" x14ac:dyDescent="0.25">
      <c r="A169" t="s">
        <v>81</v>
      </c>
      <c r="B169" t="s">
        <v>355</v>
      </c>
      <c r="C169" s="31">
        <v>31</v>
      </c>
      <c r="D169" s="31">
        <v>11</v>
      </c>
      <c r="E169" s="65">
        <v>44</v>
      </c>
      <c r="F169" s="31">
        <v>16</v>
      </c>
      <c r="G169" s="66">
        <v>17953.789999999997</v>
      </c>
      <c r="H169" s="31">
        <v>4554.4399999999996</v>
      </c>
      <c r="I169" s="65">
        <v>9520.0299999999988</v>
      </c>
      <c r="J169" s="65">
        <v>2227.5999999999995</v>
      </c>
      <c r="K169" s="31">
        <v>1538.1428571428571</v>
      </c>
      <c r="L169" s="31">
        <v>455.57142857142856</v>
      </c>
      <c r="M169" s="67">
        <v>34.95779220779221</v>
      </c>
      <c r="N169" s="67">
        <v>29.1875</v>
      </c>
      <c r="O169" s="68">
        <v>408.04068181818178</v>
      </c>
      <c r="P169" s="68">
        <v>284.65249999999997</v>
      </c>
      <c r="Q169" s="69">
        <v>0.53025182983648578</v>
      </c>
      <c r="R169" s="69">
        <v>0.48910513696524704</v>
      </c>
      <c r="S169" s="31">
        <v>1535.2857142857142</v>
      </c>
      <c r="T169" s="31">
        <v>69</v>
      </c>
      <c r="U169" s="69">
        <v>2.1345249294449671</v>
      </c>
      <c r="V169" s="69">
        <v>1.75</v>
      </c>
      <c r="W169" s="69">
        <v>2.9420411730091951</v>
      </c>
      <c r="X169" s="69">
        <v>3.2736712156581067</v>
      </c>
      <c r="Y169" s="69">
        <v>-4.1104846584481214E-2</v>
      </c>
      <c r="Z169" s="69">
        <v>-3.7457536205971809E-2</v>
      </c>
      <c r="AA169" s="69">
        <v>0.22222222222222232</v>
      </c>
      <c r="AB169" s="69">
        <v>1.4235848465042E-2</v>
      </c>
      <c r="AC169" s="69">
        <v>-0.17017066943769277</v>
      </c>
      <c r="AD169" s="133">
        <v>2.3527130306239856</v>
      </c>
      <c r="AE169" s="133">
        <v>2.6464237951575429</v>
      </c>
      <c r="AF169" s="133">
        <v>2.6236581040631379</v>
      </c>
    </row>
    <row r="170" spans="1:32" x14ac:dyDescent="0.25">
      <c r="A170" t="s">
        <v>81</v>
      </c>
      <c r="B170" t="s">
        <v>334</v>
      </c>
      <c r="C170" s="31">
        <v>152</v>
      </c>
      <c r="D170" s="31">
        <v>584</v>
      </c>
      <c r="E170" s="65">
        <v>303</v>
      </c>
      <c r="F170" s="31">
        <v>1338</v>
      </c>
      <c r="G170" s="66">
        <v>15545.29999999997</v>
      </c>
      <c r="H170" s="31">
        <v>138075.30999999985</v>
      </c>
      <c r="I170" s="65">
        <v>-1292.0999999999997</v>
      </c>
      <c r="J170" s="65">
        <v>53476.519999999771</v>
      </c>
      <c r="K170" s="31">
        <v>4793.4285714285716</v>
      </c>
      <c r="L170" s="31">
        <v>37479</v>
      </c>
      <c r="M170" s="67">
        <v>15.81989627534182</v>
      </c>
      <c r="N170" s="67">
        <v>28.186254152823924</v>
      </c>
      <c r="O170" s="68">
        <v>51.30462046204611</v>
      </c>
      <c r="P170" s="68">
        <v>103.19529895366207</v>
      </c>
      <c r="Q170" s="69">
        <v>-8.3118370182627688E-2</v>
      </c>
      <c r="R170" s="69">
        <v>0.37626473424186763</v>
      </c>
      <c r="S170" s="31">
        <v>448.71428571428572</v>
      </c>
      <c r="T170" s="31">
        <v>1478.5714285714287</v>
      </c>
      <c r="U170" s="69">
        <v>-0.89060921735219345</v>
      </c>
      <c r="V170" s="69">
        <v>-0.79671150971599403</v>
      </c>
      <c r="W170" s="69">
        <v>-0.9068461986433346</v>
      </c>
      <c r="X170" s="69">
        <v>-1.0201604224195338</v>
      </c>
      <c r="Y170" s="69">
        <v>-7.9326630801504705E-2</v>
      </c>
      <c r="Z170" s="69">
        <v>-6.623253742973223E-2</v>
      </c>
      <c r="AA170" s="69">
        <v>0.33480176211453738</v>
      </c>
      <c r="AB170" s="69">
        <v>0.49627694594063598</v>
      </c>
      <c r="AC170" s="69">
        <v>0.12097315751988247</v>
      </c>
      <c r="AD170" s="133"/>
      <c r="AE170" s="133"/>
      <c r="AF170" s="133"/>
    </row>
    <row r="171" spans="1:32" x14ac:dyDescent="0.25">
      <c r="A171" t="s">
        <v>81</v>
      </c>
      <c r="B171" t="s">
        <v>347</v>
      </c>
      <c r="C171" s="31">
        <v>25</v>
      </c>
      <c r="D171" s="31">
        <v>38</v>
      </c>
      <c r="E171" s="65">
        <v>31</v>
      </c>
      <c r="F171" s="31">
        <v>39</v>
      </c>
      <c r="G171" s="66">
        <v>13749.699999999995</v>
      </c>
      <c r="H171" s="31">
        <v>7551.9899999999989</v>
      </c>
      <c r="I171" s="65">
        <v>7640.4099999999989</v>
      </c>
      <c r="J171" s="65">
        <v>4078.5399999999995</v>
      </c>
      <c r="K171" s="31">
        <v>380.42857142857144</v>
      </c>
      <c r="L171" s="31">
        <v>1263.1428571428571</v>
      </c>
      <c r="M171" s="67">
        <v>12.27188940092166</v>
      </c>
      <c r="N171" s="67">
        <v>32.516483516483518</v>
      </c>
      <c r="O171" s="68">
        <v>443.53870967741921</v>
      </c>
      <c r="P171" s="68">
        <v>193.64076923076919</v>
      </c>
      <c r="Q171" s="69">
        <v>0.55567830570848831</v>
      </c>
      <c r="R171" s="69">
        <v>0.54006162614092446</v>
      </c>
      <c r="S171" s="31">
        <v>1</v>
      </c>
      <c r="T171" s="31">
        <v>9</v>
      </c>
      <c r="U171" s="69">
        <v>-0.70855010178692601</v>
      </c>
      <c r="V171" s="69">
        <v>-0.23076923076923073</v>
      </c>
      <c r="W171" s="69">
        <v>0.75446604140100781</v>
      </c>
      <c r="X171" s="69">
        <v>0.80054382205396935</v>
      </c>
      <c r="Y171" s="69">
        <v>-5.7091210644146351E-2</v>
      </c>
      <c r="Z171" s="69">
        <v>-6.2983814215341272E-2</v>
      </c>
      <c r="AA171" s="69">
        <v>0.34782608695652173</v>
      </c>
      <c r="AB171" s="69">
        <v>0.47321897333147556</v>
      </c>
      <c r="AC171" s="69">
        <v>9.3033431826578639E-2</v>
      </c>
      <c r="AD171" s="133"/>
      <c r="AE171" s="133"/>
      <c r="AF171" s="133"/>
    </row>
    <row r="172" spans="1:32" x14ac:dyDescent="0.25">
      <c r="A172" t="s">
        <v>81</v>
      </c>
      <c r="B172" t="s">
        <v>344</v>
      </c>
      <c r="C172" s="31">
        <v>38</v>
      </c>
      <c r="D172" s="31">
        <v>308</v>
      </c>
      <c r="E172" s="65">
        <v>40</v>
      </c>
      <c r="F172" s="31">
        <v>328</v>
      </c>
      <c r="G172" s="66">
        <v>12574.719999999996</v>
      </c>
      <c r="H172" s="31">
        <v>92690.53000000029</v>
      </c>
      <c r="I172" s="65">
        <v>6515.3099999999995</v>
      </c>
      <c r="J172" s="65">
        <v>54680.490000000325</v>
      </c>
      <c r="K172" s="31">
        <v>532.14285714285711</v>
      </c>
      <c r="L172" s="31">
        <v>3611.7142857142858</v>
      </c>
      <c r="M172" s="67">
        <v>13.303571428571427</v>
      </c>
      <c r="N172" s="67">
        <v>11.220663265306124</v>
      </c>
      <c r="O172" s="68">
        <v>314.36799999999988</v>
      </c>
      <c r="P172" s="68">
        <v>282.59307926829359</v>
      </c>
      <c r="Q172" s="69">
        <v>0.51812764021783397</v>
      </c>
      <c r="R172" s="69">
        <v>0.57658256418562448</v>
      </c>
      <c r="S172" s="31">
        <v>105</v>
      </c>
      <c r="T172" s="31">
        <v>22088.285714285714</v>
      </c>
      <c r="U172" s="69">
        <v>-0.85460011075073172</v>
      </c>
      <c r="V172" s="69">
        <v>-0.88109756097560976</v>
      </c>
      <c r="W172" s="69">
        <v>-0.86793267877527558</v>
      </c>
      <c r="X172" s="69">
        <v>-0.8794269068470898</v>
      </c>
      <c r="Y172" s="69">
        <v>-6.107205190873799E-2</v>
      </c>
      <c r="Z172" s="69">
        <v>-5.8392315470171874E-2</v>
      </c>
      <c r="AA172" s="69">
        <v>-0.19999999999999996</v>
      </c>
      <c r="AB172" s="69">
        <v>-0.12662697563808034</v>
      </c>
      <c r="AC172" s="69">
        <v>9.1716280452399657E-2</v>
      </c>
      <c r="AD172" s="133">
        <v>-0.91200291270358946</v>
      </c>
      <c r="AE172" s="133">
        <v>-0.91990732364644845</v>
      </c>
      <c r="AF172" s="133">
        <v>-0.92468755079808407</v>
      </c>
    </row>
    <row r="173" spans="1:32" x14ac:dyDescent="0.25">
      <c r="A173" t="s">
        <v>81</v>
      </c>
      <c r="B173" t="s">
        <v>336</v>
      </c>
      <c r="C173" s="31">
        <v>22</v>
      </c>
      <c r="D173" s="31">
        <v>101</v>
      </c>
      <c r="E173" s="65">
        <v>26</v>
      </c>
      <c r="F173" s="31">
        <v>129</v>
      </c>
      <c r="G173" s="66">
        <v>7908.0299999999979</v>
      </c>
      <c r="H173" s="31">
        <v>75775.609999999928</v>
      </c>
      <c r="I173" s="65">
        <v>835.66000000000008</v>
      </c>
      <c r="J173" s="65">
        <v>35245.239999999932</v>
      </c>
      <c r="K173" s="31">
        <v>574.71428571428567</v>
      </c>
      <c r="L173" s="31">
        <v>4702.8571428571431</v>
      </c>
      <c r="M173" s="67">
        <v>22.104395604395602</v>
      </c>
      <c r="N173" s="67">
        <v>37.142857142857139</v>
      </c>
      <c r="O173" s="68">
        <v>304.15499999999992</v>
      </c>
      <c r="P173" s="68">
        <v>587.40782945736373</v>
      </c>
      <c r="Q173" s="69">
        <v>0.10567233558800362</v>
      </c>
      <c r="R173" s="69">
        <v>0.45871352588541353</v>
      </c>
      <c r="S173" s="31">
        <v>16733.857142857141</v>
      </c>
      <c r="T173" s="31">
        <v>6881.4285714285716</v>
      </c>
      <c r="U173" s="69">
        <v>-0.87873633049817745</v>
      </c>
      <c r="V173" s="69">
        <v>-0.80620155038759689</v>
      </c>
      <c r="W173" s="69">
        <v>-0.90031264677381018</v>
      </c>
      <c r="X173" s="69">
        <v>-0.97533528905456446</v>
      </c>
      <c r="Y173" s="69">
        <v>-3.8911254415477936E-2</v>
      </c>
      <c r="Z173" s="69">
        <v>-2.9901133349409359E-2</v>
      </c>
      <c r="AA173" s="69">
        <v>-0.29729729729729726</v>
      </c>
      <c r="AB173" s="69">
        <v>-0.30226630244894093</v>
      </c>
      <c r="AC173" s="69">
        <v>-7.0712765619543871E-3</v>
      </c>
      <c r="AD173" s="133">
        <v>-0.83415109600610327</v>
      </c>
      <c r="AE173" s="133">
        <v>-0.92376425514932303</v>
      </c>
      <c r="AF173" s="133">
        <v>-0.98495668845440409</v>
      </c>
    </row>
    <row r="174" spans="1:32" x14ac:dyDescent="0.25">
      <c r="A174" t="s">
        <v>81</v>
      </c>
      <c r="B174" t="s">
        <v>357</v>
      </c>
      <c r="C174" s="31">
        <v>4</v>
      </c>
      <c r="D174" s="31">
        <v>3</v>
      </c>
      <c r="E174" s="65">
        <v>5</v>
      </c>
      <c r="F174" s="31">
        <v>43</v>
      </c>
      <c r="G174" s="66">
        <v>7654.4999999999991</v>
      </c>
      <c r="H174" s="31">
        <v>11820.289999999999</v>
      </c>
      <c r="I174" s="65">
        <v>1924.5</v>
      </c>
      <c r="J174" s="65">
        <v>-3304.7100000000009</v>
      </c>
      <c r="K174" s="31">
        <v>192.28571428571428</v>
      </c>
      <c r="L174" s="31">
        <v>307.85714285714283</v>
      </c>
      <c r="M174" s="67">
        <v>38.457142857142856</v>
      </c>
      <c r="N174" s="67">
        <v>7.4617940199335546</v>
      </c>
      <c r="O174" s="68">
        <v>1530.8999999999999</v>
      </c>
      <c r="P174" s="68">
        <v>274.89046511627907</v>
      </c>
      <c r="Q174" s="69">
        <v>0.25142073290221439</v>
      </c>
      <c r="R174" s="69">
        <v>-0.27957943502232191</v>
      </c>
      <c r="S174" s="31">
        <v>360</v>
      </c>
      <c r="T174" s="31">
        <v>508</v>
      </c>
      <c r="U174" s="69">
        <v>-0.37865429234338743</v>
      </c>
      <c r="V174" s="69">
        <v>-0.88372093023255816</v>
      </c>
      <c r="W174" s="69">
        <v>-0.35242705551217446</v>
      </c>
      <c r="X174" s="69">
        <v>-1.5823506449885159</v>
      </c>
      <c r="Y174" s="69">
        <v>-3.6002641452723028E-2</v>
      </c>
      <c r="Z174" s="69">
        <v>-3.5816618911174714E-2</v>
      </c>
      <c r="AA174" s="69">
        <v>0.25</v>
      </c>
      <c r="AB174" s="69">
        <v>0.29871341774815008</v>
      </c>
      <c r="AC174" s="69">
        <v>3.8970734198520152E-2</v>
      </c>
      <c r="AD174" s="133"/>
      <c r="AE174" s="133"/>
      <c r="AF174" s="133"/>
    </row>
    <row r="175" spans="1:32" x14ac:dyDescent="0.25">
      <c r="A175" t="s">
        <v>81</v>
      </c>
      <c r="B175" t="s">
        <v>341</v>
      </c>
      <c r="C175" s="31">
        <v>56</v>
      </c>
      <c r="D175" s="31">
        <v>91</v>
      </c>
      <c r="E175" s="65">
        <v>82</v>
      </c>
      <c r="F175" s="31">
        <v>114</v>
      </c>
      <c r="G175" s="66">
        <v>7565.9099999999944</v>
      </c>
      <c r="H175" s="31">
        <v>15807.969999999996</v>
      </c>
      <c r="I175" s="65">
        <v>149.71000000000012</v>
      </c>
      <c r="J175" s="65">
        <v>9757.5099999999929</v>
      </c>
      <c r="K175" s="31">
        <v>1596.8571428571429</v>
      </c>
      <c r="L175" s="31">
        <v>6263.8571428571431</v>
      </c>
      <c r="M175" s="67">
        <v>19.473867595818817</v>
      </c>
      <c r="N175" s="67">
        <v>53.488095238095234</v>
      </c>
      <c r="O175" s="68">
        <v>92.267195121951147</v>
      </c>
      <c r="P175" s="68">
        <v>138.66640350877188</v>
      </c>
      <c r="Q175" s="69">
        <v>1.9787441299196028E-2</v>
      </c>
      <c r="R175" s="69">
        <v>0.58024153960237335</v>
      </c>
      <c r="S175" s="31">
        <v>26606.428571428572</v>
      </c>
      <c r="T175" s="31">
        <v>2777.7142857142858</v>
      </c>
      <c r="U175" s="69">
        <v>-0.7489680023718841</v>
      </c>
      <c r="V175" s="69">
        <v>-0.29824561403508776</v>
      </c>
      <c r="W175" s="69">
        <v>-0.54247193029845087</v>
      </c>
      <c r="X175" s="69">
        <v>-0.99504634554019156</v>
      </c>
      <c r="Y175" s="69">
        <v>-8.4657251200098704E-2</v>
      </c>
      <c r="Z175" s="69">
        <v>-8.1662832730857726E-2</v>
      </c>
      <c r="AA175" s="69">
        <v>-0.12765957446808507</v>
      </c>
      <c r="AB175" s="69">
        <v>-3.2343837929094787E-2</v>
      </c>
      <c r="AC175" s="69">
        <v>0.1092643809105498</v>
      </c>
      <c r="AD175" s="133"/>
      <c r="AE175" s="133"/>
      <c r="AF175" s="133"/>
    </row>
    <row r="176" spans="1:32" x14ac:dyDescent="0.25">
      <c r="A176" t="s">
        <v>81</v>
      </c>
      <c r="B176" t="s">
        <v>333</v>
      </c>
      <c r="C176" s="31">
        <v>17</v>
      </c>
      <c r="D176" s="31">
        <v>17</v>
      </c>
      <c r="E176" s="65">
        <v>19</v>
      </c>
      <c r="F176" s="31">
        <v>21</v>
      </c>
      <c r="G176" s="66">
        <v>4333.1699999999983</v>
      </c>
      <c r="H176" s="31">
        <v>10484.83</v>
      </c>
      <c r="I176" s="65">
        <v>-47.029999999999987</v>
      </c>
      <c r="J176" s="65">
        <v>5362.6099999999979</v>
      </c>
      <c r="K176" s="31">
        <v>633.14285714285711</v>
      </c>
      <c r="L176" s="31">
        <v>6610.4285714285716</v>
      </c>
      <c r="M176" s="67">
        <v>33.323308270676691</v>
      </c>
      <c r="N176" s="67">
        <v>307.77922077922079</v>
      </c>
      <c r="O176" s="68">
        <v>228.06157894736833</v>
      </c>
      <c r="P176" s="68">
        <v>499.27761904761905</v>
      </c>
      <c r="Q176" s="69">
        <v>-1.0853486016011374E-2</v>
      </c>
      <c r="R176" s="69">
        <v>0.47555666701251886</v>
      </c>
      <c r="S176" s="31">
        <v>1684.7142857142858</v>
      </c>
      <c r="T176" s="31">
        <v>632.42857142857144</v>
      </c>
      <c r="U176" s="69">
        <v>-0.9054956454087697</v>
      </c>
      <c r="V176" s="69">
        <v>-9.5238095238095233E-2</v>
      </c>
      <c r="W176" s="69">
        <v>-0.58672005173188335</v>
      </c>
      <c r="X176" s="69">
        <v>-1.0092497167851977</v>
      </c>
      <c r="Y176" s="69">
        <v>-5.3354379299038746E-2</v>
      </c>
      <c r="Z176" s="69">
        <v>-7.1832460732984327E-2</v>
      </c>
      <c r="AA176" s="69">
        <v>0.72727272727272729</v>
      </c>
      <c r="AB176" s="69">
        <v>0.92000797571836745</v>
      </c>
      <c r="AC176" s="69">
        <v>0.1115835648895811</v>
      </c>
      <c r="AD176" s="133"/>
      <c r="AE176" s="133"/>
      <c r="AF176" s="133"/>
    </row>
    <row r="177" spans="1:32" x14ac:dyDescent="0.25">
      <c r="A177" t="s">
        <v>81</v>
      </c>
      <c r="B177" t="s">
        <v>350</v>
      </c>
      <c r="C177" s="31">
        <v>12</v>
      </c>
      <c r="D177" s="31">
        <v>12</v>
      </c>
      <c r="E177" s="65">
        <v>14</v>
      </c>
      <c r="F177" s="31">
        <v>12</v>
      </c>
      <c r="G177" s="66">
        <v>3477.1399999999994</v>
      </c>
      <c r="H177" s="31">
        <v>6358.2699999999995</v>
      </c>
      <c r="I177" s="65">
        <v>53.179999999999986</v>
      </c>
      <c r="J177" s="65">
        <v>3046.2799999999993</v>
      </c>
      <c r="K177" s="31">
        <v>297.28571428571428</v>
      </c>
      <c r="L177" s="31">
        <v>959.28571428571433</v>
      </c>
      <c r="M177" s="67">
        <v>21.23469387755102</v>
      </c>
      <c r="N177" s="67">
        <v>88.36363636363636</v>
      </c>
      <c r="O177" s="68">
        <v>248.36714285714282</v>
      </c>
      <c r="P177" s="68">
        <v>529.85583333333329</v>
      </c>
      <c r="Q177" s="69">
        <v>1.5294178549037425E-2</v>
      </c>
      <c r="R177" s="69">
        <v>0.52222509844392584</v>
      </c>
      <c r="S177" s="31">
        <v>0</v>
      </c>
      <c r="T177" s="31">
        <v>2</v>
      </c>
      <c r="U177" s="69">
        <v>-0.69233060312732686</v>
      </c>
      <c r="V177" s="69">
        <v>0.16666666666666674</v>
      </c>
      <c r="W177" s="69">
        <v>-0.45313111899935055</v>
      </c>
      <c r="X177" s="69">
        <v>-0.98403367399632546</v>
      </c>
      <c r="Y177" s="69">
        <v>-7.5158891313113374E-2</v>
      </c>
      <c r="Z177" s="69">
        <v>-7.4699866607381038E-2</v>
      </c>
      <c r="AA177" s="69">
        <v>-0.26315789473684215</v>
      </c>
      <c r="AB177" s="69">
        <v>-0.25572524802808327</v>
      </c>
      <c r="AC177" s="69">
        <v>1.0087163390458453E-2</v>
      </c>
      <c r="AD177" s="133"/>
      <c r="AE177" s="133"/>
      <c r="AF177" s="133"/>
    </row>
    <row r="178" spans="1:32" x14ac:dyDescent="0.25">
      <c r="A178" t="s">
        <v>81</v>
      </c>
      <c r="B178" t="s">
        <v>343</v>
      </c>
      <c r="C178" s="31">
        <v>8</v>
      </c>
      <c r="D178" s="31">
        <v>2</v>
      </c>
      <c r="E178" s="65">
        <v>8</v>
      </c>
      <c r="F178" s="31">
        <v>2</v>
      </c>
      <c r="G178" s="66">
        <v>3166.59</v>
      </c>
      <c r="H178" s="31">
        <v>1500</v>
      </c>
      <c r="I178" s="65">
        <v>400.14</v>
      </c>
      <c r="J178" s="65">
        <v>419.56999999999994</v>
      </c>
      <c r="K178" s="31">
        <v>259.42857142857144</v>
      </c>
      <c r="L178" s="31">
        <v>1214.2857142857142</v>
      </c>
      <c r="M178" s="67">
        <v>32.428571428571431</v>
      </c>
      <c r="N178" s="67">
        <v>619.07142857142856</v>
      </c>
      <c r="O178" s="68">
        <v>395.82375000000002</v>
      </c>
      <c r="P178" s="68">
        <v>750</v>
      </c>
      <c r="Q178" s="69">
        <v>0.12636305931617292</v>
      </c>
      <c r="R178" s="69">
        <v>0.27971333333333331</v>
      </c>
      <c r="S178" s="31">
        <v>758.28571428571433</v>
      </c>
      <c r="T178" s="31">
        <v>114.57142857142857</v>
      </c>
      <c r="U178" s="69">
        <v>-0.79564705882352937</v>
      </c>
      <c r="V178" s="69">
        <v>3</v>
      </c>
      <c r="W178" s="69">
        <v>1.1110600000000002</v>
      </c>
      <c r="X178" s="69">
        <v>-4.6309316681364399E-2</v>
      </c>
      <c r="Y178" s="69">
        <v>-1.2552609170857987E-2</v>
      </c>
      <c r="Z178" s="69">
        <v>1.1025358324145973E-3</v>
      </c>
      <c r="AA178" s="69">
        <v>3</v>
      </c>
      <c r="AB178" s="69">
        <v>3.750003750093752</v>
      </c>
      <c r="AC178" s="69">
        <v>0.18750093752343799</v>
      </c>
      <c r="AD178" s="133"/>
      <c r="AE178" s="133"/>
      <c r="AF178" s="133"/>
    </row>
    <row r="179" spans="1:32" x14ac:dyDescent="0.25">
      <c r="A179" t="s">
        <v>81</v>
      </c>
      <c r="B179" t="s">
        <v>351</v>
      </c>
      <c r="C179" s="31">
        <v>15</v>
      </c>
      <c r="D179" s="31">
        <v>25</v>
      </c>
      <c r="E179" s="65">
        <v>25</v>
      </c>
      <c r="F179" s="31">
        <v>36</v>
      </c>
      <c r="G179" s="66">
        <v>2988.5099999999993</v>
      </c>
      <c r="H179" s="31">
        <v>8889.8799999999992</v>
      </c>
      <c r="I179" s="65">
        <v>-244.17999999999998</v>
      </c>
      <c r="J179" s="65">
        <v>4557.2800000000007</v>
      </c>
      <c r="K179" s="31">
        <v>489.28571428571428</v>
      </c>
      <c r="L179" s="31">
        <v>2377.5714285714284</v>
      </c>
      <c r="M179" s="67">
        <v>19.571428571428569</v>
      </c>
      <c r="N179" s="67">
        <v>68.658730158730165</v>
      </c>
      <c r="O179" s="68">
        <v>119.54039999999998</v>
      </c>
      <c r="P179" s="68">
        <v>246.9411111111111</v>
      </c>
      <c r="Q179" s="69">
        <v>-8.1706268341079677E-2</v>
      </c>
      <c r="R179" s="69">
        <v>0.5126368409922295</v>
      </c>
      <c r="S179" s="31">
        <v>19</v>
      </c>
      <c r="T179" s="31">
        <v>159.71428571428572</v>
      </c>
      <c r="U179" s="69">
        <v>-0.7969716998137355</v>
      </c>
      <c r="V179" s="69">
        <v>-0.30555555555555558</v>
      </c>
      <c r="W179" s="69">
        <v>-0.66383010794296449</v>
      </c>
      <c r="X179" s="69">
        <v>-1.0535802057367551</v>
      </c>
      <c r="Y179" s="69">
        <v>-3.7080570584467121E-2</v>
      </c>
      <c r="Z179" s="69">
        <v>-3.5482962545761776E-2</v>
      </c>
      <c r="AA179" s="69">
        <v>0.47058823529411775</v>
      </c>
      <c r="AB179" s="69">
        <v>0.40647016467199704</v>
      </c>
      <c r="AC179" s="69">
        <v>-4.3600288023041944E-2</v>
      </c>
      <c r="AD179" s="133"/>
      <c r="AE179" s="133"/>
      <c r="AF179" s="133"/>
    </row>
    <row r="180" spans="1:32" x14ac:dyDescent="0.25">
      <c r="A180" t="s">
        <v>81</v>
      </c>
      <c r="B180" t="s">
        <v>366</v>
      </c>
      <c r="C180" s="31">
        <v>2</v>
      </c>
      <c r="D180" s="31"/>
      <c r="E180" s="65">
        <v>2</v>
      </c>
      <c r="F180" s="31"/>
      <c r="G180" s="66">
        <v>1954.5300000000002</v>
      </c>
      <c r="H180" s="31"/>
      <c r="I180" s="65">
        <v>151.44999999999999</v>
      </c>
      <c r="J180" s="65"/>
      <c r="K180" s="31">
        <v>33</v>
      </c>
      <c r="L180" s="31">
        <v>51</v>
      </c>
      <c r="M180" s="67">
        <v>16.5</v>
      </c>
      <c r="N180" s="67"/>
      <c r="O180" s="68">
        <v>977.2650000000001</v>
      </c>
      <c r="P180" s="68"/>
      <c r="Q180" s="69">
        <v>7.7486659196840141E-2</v>
      </c>
      <c r="R180" s="69"/>
      <c r="S180" s="31"/>
      <c r="T180" s="31">
        <v>40</v>
      </c>
      <c r="U180" s="69">
        <v>-0.33333333333333337</v>
      </c>
      <c r="V180" s="69"/>
      <c r="W180" s="69"/>
      <c r="X180" s="69"/>
      <c r="Y180" s="69">
        <v>-2.9409757324308505E-2</v>
      </c>
      <c r="Z180" s="69">
        <v>-2.9411764705882359E-2</v>
      </c>
      <c r="AA180" s="69"/>
      <c r="AB180" s="69"/>
      <c r="AC180" s="69"/>
      <c r="AD180" s="133"/>
      <c r="AE180" s="133"/>
      <c r="AF180" s="133"/>
    </row>
    <row r="181" spans="1:32" x14ac:dyDescent="0.25">
      <c r="A181" t="s">
        <v>81</v>
      </c>
      <c r="B181" t="s">
        <v>359</v>
      </c>
      <c r="C181" s="31">
        <v>11</v>
      </c>
      <c r="D181" s="31">
        <v>3</v>
      </c>
      <c r="E181" s="65">
        <v>17</v>
      </c>
      <c r="F181" s="31">
        <v>4</v>
      </c>
      <c r="G181" s="66">
        <v>1403.99</v>
      </c>
      <c r="H181" s="31">
        <v>974.96</v>
      </c>
      <c r="I181" s="65">
        <v>202.28</v>
      </c>
      <c r="J181" s="65">
        <v>692.2</v>
      </c>
      <c r="K181" s="31">
        <v>272.42857142857144</v>
      </c>
      <c r="L181" s="31">
        <v>1261.2857142857142</v>
      </c>
      <c r="M181" s="67">
        <v>16.025210084033613</v>
      </c>
      <c r="N181" s="67">
        <v>326.07142857142856</v>
      </c>
      <c r="O181" s="68">
        <v>82.587647058823535</v>
      </c>
      <c r="P181" s="68">
        <v>243.74</v>
      </c>
      <c r="Q181" s="69">
        <v>0.14407510025000178</v>
      </c>
      <c r="R181" s="69">
        <v>0.70997784524493313</v>
      </c>
      <c r="S181" s="31">
        <v>4</v>
      </c>
      <c r="T181" s="31"/>
      <c r="U181" s="69">
        <v>-0.78412051194925814</v>
      </c>
      <c r="V181" s="69">
        <v>3.25</v>
      </c>
      <c r="W181" s="69">
        <v>0.44004882251579547</v>
      </c>
      <c r="X181" s="69">
        <v>-0.70777232013868829</v>
      </c>
      <c r="Y181" s="69">
        <v>-7.1314021341658429E-2</v>
      </c>
      <c r="Z181" s="69">
        <v>-7.1115440818314557E-2</v>
      </c>
      <c r="AA181" s="69">
        <v>0.21428571428571419</v>
      </c>
      <c r="AB181" s="69">
        <v>0.20357130610705343</v>
      </c>
      <c r="AC181" s="69">
        <v>-8.8236302647795029E-3</v>
      </c>
      <c r="AD181" s="133"/>
      <c r="AE181" s="133"/>
      <c r="AF181" s="133"/>
    </row>
    <row r="182" spans="1:32" x14ac:dyDescent="0.25">
      <c r="A182" t="s">
        <v>81</v>
      </c>
      <c r="B182" t="s">
        <v>363</v>
      </c>
      <c r="C182" s="31">
        <v>2</v>
      </c>
      <c r="D182" s="31">
        <v>1</v>
      </c>
      <c r="E182" s="65">
        <v>2</v>
      </c>
      <c r="F182" s="31">
        <v>1</v>
      </c>
      <c r="G182" s="66">
        <v>1308.3200000000002</v>
      </c>
      <c r="H182" s="31">
        <v>2167.4899999999998</v>
      </c>
      <c r="I182" s="65">
        <v>-701.6099999999999</v>
      </c>
      <c r="J182" s="65">
        <v>955.74999999999977</v>
      </c>
      <c r="K182" s="31">
        <v>65.428571428571431</v>
      </c>
      <c r="L182" s="31">
        <v>54.714285714285715</v>
      </c>
      <c r="M182" s="67">
        <v>32.714285714285715</v>
      </c>
      <c r="N182" s="67">
        <v>58.714285714285715</v>
      </c>
      <c r="O182" s="68">
        <v>654.16000000000008</v>
      </c>
      <c r="P182" s="68">
        <v>2167.4899999999998</v>
      </c>
      <c r="Q182" s="69">
        <v>-0.5362678855325913</v>
      </c>
      <c r="R182" s="69">
        <v>0.44094782444209657</v>
      </c>
      <c r="S182" s="31">
        <v>197</v>
      </c>
      <c r="T182" s="31">
        <v>417.71428571428572</v>
      </c>
      <c r="U182" s="69">
        <v>0.19582245430809397</v>
      </c>
      <c r="V182" s="69">
        <v>1</v>
      </c>
      <c r="W182" s="69">
        <v>-0.39638937203862523</v>
      </c>
      <c r="X182" s="69">
        <v>-1.7340936437352865</v>
      </c>
      <c r="Y182" s="69">
        <v>-6.5755755682040395E-2</v>
      </c>
      <c r="Z182" s="69">
        <v>-5.1759834368530044E-2</v>
      </c>
      <c r="AA182" s="69">
        <v>-0.5</v>
      </c>
      <c r="AB182" s="69">
        <v>-0.72781835694923225</v>
      </c>
      <c r="AC182" s="69">
        <v>-0.45563671389846438</v>
      </c>
      <c r="AD182" s="133"/>
      <c r="AE182" s="133"/>
      <c r="AF182" s="133"/>
    </row>
    <row r="183" spans="1:32" x14ac:dyDescent="0.25">
      <c r="A183" t="s">
        <v>81</v>
      </c>
      <c r="B183" t="s">
        <v>353</v>
      </c>
      <c r="C183" s="31">
        <v>35</v>
      </c>
      <c r="D183" s="31">
        <v>358</v>
      </c>
      <c r="E183" s="65">
        <v>45</v>
      </c>
      <c r="F183" s="31">
        <v>502</v>
      </c>
      <c r="G183" s="66">
        <v>1274.7199999999998</v>
      </c>
      <c r="H183" s="31">
        <v>7704.550000000032</v>
      </c>
      <c r="I183" s="65">
        <v>818.60999999999979</v>
      </c>
      <c r="J183" s="65">
        <v>4115.2100000000373</v>
      </c>
      <c r="K183" s="31">
        <v>1768.5714285714287</v>
      </c>
      <c r="L183" s="31">
        <v>7072.4285714285716</v>
      </c>
      <c r="M183" s="67">
        <v>39.301587301587304</v>
      </c>
      <c r="N183" s="67">
        <v>12.978260869565217</v>
      </c>
      <c r="O183" s="68">
        <v>28.327111111111108</v>
      </c>
      <c r="P183" s="68">
        <v>15.347709163346677</v>
      </c>
      <c r="Q183" s="69">
        <v>0.64218808836450347</v>
      </c>
      <c r="R183" s="69">
        <v>0.49098026395852085</v>
      </c>
      <c r="S183" s="31">
        <v>589.71428571428567</v>
      </c>
      <c r="T183" s="31">
        <v>13602.285714285714</v>
      </c>
      <c r="U183" s="69">
        <v>-0.75692326337689619</v>
      </c>
      <c r="V183" s="69">
        <v>-0.93824701195219129</v>
      </c>
      <c r="W183" s="69">
        <v>-0.88644632068063722</v>
      </c>
      <c r="X183" s="69">
        <v>-0.84202272561927027</v>
      </c>
      <c r="Y183" s="69">
        <v>-5.9220822354773439E-2</v>
      </c>
      <c r="Z183" s="69">
        <v>-6.0840540130480902E-2</v>
      </c>
      <c r="AA183" s="69">
        <v>-0.22413793103448276</v>
      </c>
      <c r="AB183" s="69">
        <v>-0.23762589411736568</v>
      </c>
      <c r="AC183" s="69">
        <v>-1.7384485751271272E-2</v>
      </c>
      <c r="AD183" s="133"/>
      <c r="AE183" s="133"/>
      <c r="AF183" s="133"/>
    </row>
    <row r="184" spans="1:32" x14ac:dyDescent="0.25">
      <c r="A184" t="s">
        <v>81</v>
      </c>
      <c r="B184" t="s">
        <v>349</v>
      </c>
      <c r="C184" s="31">
        <v>14</v>
      </c>
      <c r="D184" s="31">
        <v>10</v>
      </c>
      <c r="E184" s="65">
        <v>15</v>
      </c>
      <c r="F184" s="31">
        <v>10</v>
      </c>
      <c r="G184" s="66">
        <v>1258.24</v>
      </c>
      <c r="H184" s="31">
        <v>1548.08</v>
      </c>
      <c r="I184" s="65">
        <v>-324.29000000000002</v>
      </c>
      <c r="J184" s="65">
        <v>430.27999999999952</v>
      </c>
      <c r="K184" s="31">
        <v>553.71428571428567</v>
      </c>
      <c r="L184" s="31">
        <v>1536</v>
      </c>
      <c r="M184" s="67">
        <v>36.914285714285711</v>
      </c>
      <c r="N184" s="67">
        <v>153.6</v>
      </c>
      <c r="O184" s="68">
        <v>83.882666666666665</v>
      </c>
      <c r="P184" s="68">
        <v>154.80799999999999</v>
      </c>
      <c r="Q184" s="69">
        <v>-0.25773302390640895</v>
      </c>
      <c r="R184" s="69">
        <v>0.27794429228463613</v>
      </c>
      <c r="S184" s="31">
        <v>123.42857142857143</v>
      </c>
      <c r="T184" s="31">
        <v>60</v>
      </c>
      <c r="U184" s="69">
        <v>-0.6395089285714286</v>
      </c>
      <c r="V184" s="69">
        <v>0.5</v>
      </c>
      <c r="W184" s="69">
        <v>-0.18722546638416615</v>
      </c>
      <c r="X184" s="69">
        <v>-1.7536720275169668</v>
      </c>
      <c r="Y184" s="69">
        <v>6.0061218156004514E-3</v>
      </c>
      <c r="Z184" s="69">
        <v>4.6656298600311619E-3</v>
      </c>
      <c r="AA184" s="69">
        <v>-0.34782608695652173</v>
      </c>
      <c r="AB184" s="69">
        <v>-0.33771264948627255</v>
      </c>
      <c r="AC184" s="69">
        <v>1.5507270787715299E-2</v>
      </c>
      <c r="AD184" s="133"/>
      <c r="AE184" s="133"/>
      <c r="AF184" s="133"/>
    </row>
    <row r="185" spans="1:32" x14ac:dyDescent="0.25">
      <c r="A185" t="s">
        <v>81</v>
      </c>
      <c r="B185" t="s">
        <v>362</v>
      </c>
      <c r="C185" s="31">
        <v>3</v>
      </c>
      <c r="D185" s="31">
        <v>3</v>
      </c>
      <c r="E185" s="65">
        <v>3</v>
      </c>
      <c r="F185" s="31">
        <v>4</v>
      </c>
      <c r="G185" s="66">
        <v>999.99</v>
      </c>
      <c r="H185" s="31">
        <v>1233.3</v>
      </c>
      <c r="I185" s="65">
        <v>446.36999999999995</v>
      </c>
      <c r="J185" s="65">
        <v>434.42999999999995</v>
      </c>
      <c r="K185" s="31">
        <v>35.142857142857146</v>
      </c>
      <c r="L185" s="31">
        <v>186.42857142857142</v>
      </c>
      <c r="M185" s="67">
        <v>11.714285714285715</v>
      </c>
      <c r="N185" s="67">
        <v>46.857142857142854</v>
      </c>
      <c r="O185" s="68">
        <v>333.33</v>
      </c>
      <c r="P185" s="68">
        <v>308.32499999999999</v>
      </c>
      <c r="Q185" s="69">
        <v>0.44637446374463741</v>
      </c>
      <c r="R185" s="69">
        <v>0.35225006081245436</v>
      </c>
      <c r="S185" s="31"/>
      <c r="T185" s="31">
        <v>33.142857142857146</v>
      </c>
      <c r="U185" s="69">
        <v>-0.82222222222222219</v>
      </c>
      <c r="V185" s="69">
        <v>-0.25</v>
      </c>
      <c r="W185" s="69">
        <v>-0.1891753831184626</v>
      </c>
      <c r="X185" s="69">
        <v>2.748428975899464E-2</v>
      </c>
      <c r="Y185" s="69">
        <v>-2.1808153654344631E-3</v>
      </c>
      <c r="Z185" s="69">
        <v>-4.0485829959513442E-3</v>
      </c>
      <c r="AA185" s="69"/>
      <c r="AB185" s="69"/>
      <c r="AC185" s="69"/>
      <c r="AD185" s="133"/>
      <c r="AE185" s="133"/>
      <c r="AF185" s="133"/>
    </row>
    <row r="186" spans="1:32" x14ac:dyDescent="0.25">
      <c r="A186" t="s">
        <v>81</v>
      </c>
      <c r="B186" t="s">
        <v>364</v>
      </c>
      <c r="C186" s="31">
        <v>7</v>
      </c>
      <c r="D186" s="31">
        <v>9</v>
      </c>
      <c r="E186" s="65">
        <v>15</v>
      </c>
      <c r="F186" s="31">
        <v>12</v>
      </c>
      <c r="G186" s="66">
        <v>937.38999999999987</v>
      </c>
      <c r="H186" s="31">
        <v>1604.0600000000002</v>
      </c>
      <c r="I186" s="65">
        <v>238.24</v>
      </c>
      <c r="J186" s="65">
        <v>763.20000000000027</v>
      </c>
      <c r="K186" s="31">
        <v>289.71428571428572</v>
      </c>
      <c r="L186" s="31">
        <v>1069.1428571428571</v>
      </c>
      <c r="M186" s="67">
        <v>19.314285714285713</v>
      </c>
      <c r="N186" s="67">
        <v>94.666666666666671</v>
      </c>
      <c r="O186" s="68">
        <v>62.492666666666658</v>
      </c>
      <c r="P186" s="68">
        <v>133.67166666666668</v>
      </c>
      <c r="Q186" s="69">
        <v>0.25415248722516781</v>
      </c>
      <c r="R186" s="69">
        <v>0.47579267608443587</v>
      </c>
      <c r="S186" s="31">
        <v>134</v>
      </c>
      <c r="T186" s="31">
        <v>695</v>
      </c>
      <c r="U186" s="69">
        <v>-0.72928915018706575</v>
      </c>
      <c r="V186" s="69">
        <v>0.25</v>
      </c>
      <c r="W186" s="69">
        <v>-0.4156141291472889</v>
      </c>
      <c r="X186" s="69">
        <v>-0.68784067085953882</v>
      </c>
      <c r="Y186" s="69">
        <v>-3.1696122005271388E-2</v>
      </c>
      <c r="Z186" s="69">
        <v>-5.1893408134642272E-2</v>
      </c>
      <c r="AA186" s="69">
        <v>-0.25</v>
      </c>
      <c r="AB186" s="69">
        <v>0.15508976870848867</v>
      </c>
      <c r="AC186" s="69">
        <v>0.54011969161131823</v>
      </c>
      <c r="AD186" s="133"/>
      <c r="AE186" s="133"/>
      <c r="AF186" s="133"/>
    </row>
    <row r="187" spans="1:32" x14ac:dyDescent="0.25">
      <c r="A187" t="s">
        <v>81</v>
      </c>
      <c r="B187" t="s">
        <v>373</v>
      </c>
      <c r="C187" s="31">
        <v>6</v>
      </c>
      <c r="D187" s="31">
        <v>1</v>
      </c>
      <c r="E187" s="65">
        <v>11</v>
      </c>
      <c r="F187" s="31">
        <v>1</v>
      </c>
      <c r="G187" s="66">
        <v>483.27000000000004</v>
      </c>
      <c r="H187" s="31">
        <v>77.989999999999995</v>
      </c>
      <c r="I187" s="65">
        <v>276.33</v>
      </c>
      <c r="J187" s="65">
        <v>48.83</v>
      </c>
      <c r="K187" s="31">
        <v>77.285714285714292</v>
      </c>
      <c r="L187" s="31">
        <v>213.14285714285714</v>
      </c>
      <c r="M187" s="67">
        <v>7.0259740259740262</v>
      </c>
      <c r="N187" s="67">
        <v>219.71428571428572</v>
      </c>
      <c r="O187" s="68">
        <v>43.933636363636367</v>
      </c>
      <c r="P187" s="68">
        <v>77.989999999999995</v>
      </c>
      <c r="Q187" s="69">
        <v>0.57179216587001047</v>
      </c>
      <c r="R187" s="69">
        <v>0.62610591101423263</v>
      </c>
      <c r="S187" s="31">
        <v>138.28571428571428</v>
      </c>
      <c r="T187" s="31">
        <v>17</v>
      </c>
      <c r="U187" s="69">
        <v>-0.66621983914209115</v>
      </c>
      <c r="V187" s="69">
        <v>10</v>
      </c>
      <c r="W187" s="69">
        <v>5.1965636620079509</v>
      </c>
      <c r="X187" s="69">
        <v>4.6590210935900069</v>
      </c>
      <c r="Y187" s="69">
        <v>-0.1100814400178548</v>
      </c>
      <c r="Z187" s="69">
        <v>-8.3050847457627142E-2</v>
      </c>
      <c r="AA187" s="69">
        <v>2.6666666666666665</v>
      </c>
      <c r="AB187" s="69">
        <v>1.7618584981140706</v>
      </c>
      <c r="AC187" s="69">
        <v>-0.246765864150708</v>
      </c>
      <c r="AD187" s="133"/>
      <c r="AE187" s="133"/>
      <c r="AF187" s="133"/>
    </row>
    <row r="188" spans="1:32" x14ac:dyDescent="0.25">
      <c r="A188" t="s">
        <v>81</v>
      </c>
      <c r="B188" t="s">
        <v>352</v>
      </c>
      <c r="C188" s="31">
        <v>8</v>
      </c>
      <c r="D188" s="31">
        <v>57</v>
      </c>
      <c r="E188" s="65">
        <v>16</v>
      </c>
      <c r="F188" s="31">
        <v>103</v>
      </c>
      <c r="G188" s="66">
        <v>449.43000000000006</v>
      </c>
      <c r="H188" s="31">
        <v>5831.3899999999903</v>
      </c>
      <c r="I188" s="65">
        <v>-119.71999999999998</v>
      </c>
      <c r="J188" s="65">
        <v>2877.019999999995</v>
      </c>
      <c r="K188" s="31">
        <v>563.42857142857144</v>
      </c>
      <c r="L188" s="31">
        <v>2272.7142857142858</v>
      </c>
      <c r="M188" s="67">
        <v>35.214285714285715</v>
      </c>
      <c r="N188" s="67">
        <v>23.195561719833567</v>
      </c>
      <c r="O188" s="68">
        <v>28.089375000000004</v>
      </c>
      <c r="P188" s="68">
        <v>56.615436893203793</v>
      </c>
      <c r="Q188" s="69">
        <v>-0.26638186146897175</v>
      </c>
      <c r="R188" s="69">
        <v>0.49336779052678686</v>
      </c>
      <c r="S188" s="31">
        <v>266.42857142857144</v>
      </c>
      <c r="T188" s="31">
        <v>129.42857142857142</v>
      </c>
      <c r="U188" s="69">
        <v>-0.75259287195926827</v>
      </c>
      <c r="V188" s="69">
        <v>-0.84466019417475735</v>
      </c>
      <c r="W188" s="69">
        <v>-0.92292918155019632</v>
      </c>
      <c r="X188" s="69">
        <v>-1.0416125018248048</v>
      </c>
      <c r="Y188" s="69">
        <v>-9.3729663058309654E-2</v>
      </c>
      <c r="Z188" s="69">
        <v>-8.9776136625894232E-2</v>
      </c>
      <c r="AA188" s="69">
        <v>-0.19999999999999996</v>
      </c>
      <c r="AB188" s="69">
        <v>-0.32651501528502058</v>
      </c>
      <c r="AC188" s="69">
        <v>-0.1581437691062757</v>
      </c>
      <c r="AD188" s="133"/>
      <c r="AE188" s="133"/>
      <c r="AF188" s="133"/>
    </row>
    <row r="189" spans="1:32" x14ac:dyDescent="0.25">
      <c r="A189" t="s">
        <v>81</v>
      </c>
      <c r="B189" t="s">
        <v>348</v>
      </c>
      <c r="C189" s="31">
        <v>1</v>
      </c>
      <c r="D189" s="31">
        <v>15</v>
      </c>
      <c r="E189" s="65">
        <v>1</v>
      </c>
      <c r="F189" s="31">
        <v>18</v>
      </c>
      <c r="G189" s="66">
        <v>416.65</v>
      </c>
      <c r="H189" s="31">
        <v>10027.040000000001</v>
      </c>
      <c r="I189" s="65">
        <v>93.39</v>
      </c>
      <c r="J189" s="65">
        <v>5116.68</v>
      </c>
      <c r="K189" s="31">
        <v>15.142857142857142</v>
      </c>
      <c r="L189" s="31">
        <v>279.85714285714283</v>
      </c>
      <c r="M189" s="67">
        <v>15.142857142857142</v>
      </c>
      <c r="N189" s="67">
        <v>16.023809523809526</v>
      </c>
      <c r="O189" s="68">
        <v>416.65</v>
      </c>
      <c r="P189" s="68">
        <v>557.0577777777778</v>
      </c>
      <c r="Q189" s="69">
        <v>0.22414496579863197</v>
      </c>
      <c r="R189" s="69">
        <v>0.51028818075922699</v>
      </c>
      <c r="S189" s="31">
        <v>2</v>
      </c>
      <c r="T189" s="31">
        <v>27</v>
      </c>
      <c r="U189" s="69">
        <v>-0.94589076059213884</v>
      </c>
      <c r="V189" s="69">
        <v>-0.94444444444444442</v>
      </c>
      <c r="W189" s="69">
        <v>-0.9584473583430404</v>
      </c>
      <c r="X189" s="69">
        <v>-0.98174793029855301</v>
      </c>
      <c r="Y189" s="69">
        <v>-0.16026509581987003</v>
      </c>
      <c r="Z189" s="69">
        <v>-0.171875</v>
      </c>
      <c r="AA189" s="69"/>
      <c r="AB189" s="69"/>
      <c r="AC189" s="69"/>
      <c r="AD189" s="133"/>
      <c r="AE189" s="133"/>
      <c r="AF189" s="133"/>
    </row>
    <row r="190" spans="1:32" x14ac:dyDescent="0.25">
      <c r="A190" t="s">
        <v>81</v>
      </c>
      <c r="B190" t="s">
        <v>338</v>
      </c>
      <c r="C190" s="31">
        <v>2</v>
      </c>
      <c r="D190" s="31">
        <v>119</v>
      </c>
      <c r="E190" s="65">
        <v>2</v>
      </c>
      <c r="F190" s="31">
        <v>157</v>
      </c>
      <c r="G190" s="66">
        <v>341.65</v>
      </c>
      <c r="H190" s="31">
        <v>56859.880000000041</v>
      </c>
      <c r="I190" s="65">
        <v>23.79</v>
      </c>
      <c r="J190" s="65">
        <v>30416.21000000005</v>
      </c>
      <c r="K190" s="31">
        <v>69</v>
      </c>
      <c r="L190" s="31">
        <v>2565.2857142857142</v>
      </c>
      <c r="M190" s="67">
        <v>34.5</v>
      </c>
      <c r="N190" s="67">
        <v>16.789658194566169</v>
      </c>
      <c r="O190" s="68">
        <v>170.82499999999999</v>
      </c>
      <c r="P190" s="68">
        <v>362.16484076433147</v>
      </c>
      <c r="Q190" s="69">
        <v>6.9632665008049169E-2</v>
      </c>
      <c r="R190" s="69">
        <v>0.52207115401713655</v>
      </c>
      <c r="S190" s="31">
        <v>438</v>
      </c>
      <c r="T190" s="31">
        <v>521.85714285714289</v>
      </c>
      <c r="U190" s="69">
        <v>-0.97404911733585786</v>
      </c>
      <c r="V190" s="69">
        <v>-0.98726114649681529</v>
      </c>
      <c r="W190" s="69">
        <v>-0.99399136966170176</v>
      </c>
      <c r="X190" s="69">
        <v>-0.99920022752669602</v>
      </c>
      <c r="Y190" s="69">
        <v>-0.12781974007459695</v>
      </c>
      <c r="Z190" s="69">
        <v>-0.20428336079077425</v>
      </c>
      <c r="AA190" s="69">
        <v>-0.66666666666666674</v>
      </c>
      <c r="AB190" s="69">
        <v>-0.75882734960681053</v>
      </c>
      <c r="AC190" s="69">
        <v>-0.2764820488204317</v>
      </c>
      <c r="AD190" s="133"/>
      <c r="AE190" s="133"/>
      <c r="AF190" s="133"/>
    </row>
    <row r="191" spans="1:32" x14ac:dyDescent="0.25">
      <c r="A191" t="s">
        <v>81</v>
      </c>
      <c r="B191" t="s">
        <v>371</v>
      </c>
      <c r="C191" s="31">
        <v>5</v>
      </c>
      <c r="D191" s="31">
        <v>2</v>
      </c>
      <c r="E191" s="65">
        <v>10</v>
      </c>
      <c r="F191" s="31">
        <v>2</v>
      </c>
      <c r="G191" s="66">
        <v>334.90999999999997</v>
      </c>
      <c r="H191" s="31">
        <v>59.98</v>
      </c>
      <c r="I191" s="65">
        <v>149.81</v>
      </c>
      <c r="J191" s="65">
        <v>22.959999999999994</v>
      </c>
      <c r="K191" s="31">
        <v>481</v>
      </c>
      <c r="L191" s="31">
        <v>769.14285714285711</v>
      </c>
      <c r="M191" s="67">
        <v>48.1</v>
      </c>
      <c r="N191" s="67">
        <v>392.57142857142856</v>
      </c>
      <c r="O191" s="68">
        <v>33.491</v>
      </c>
      <c r="P191" s="68">
        <v>29.99</v>
      </c>
      <c r="Q191" s="69">
        <v>0.44731420381595061</v>
      </c>
      <c r="R191" s="69">
        <v>0.38279426475491823</v>
      </c>
      <c r="S191" s="31"/>
      <c r="T191" s="31">
        <v>12</v>
      </c>
      <c r="U191" s="69">
        <v>-0.37332838038632987</v>
      </c>
      <c r="V191" s="69">
        <v>4</v>
      </c>
      <c r="W191" s="69">
        <v>4.5836945648549516</v>
      </c>
      <c r="X191" s="69">
        <v>5.5248257839721262</v>
      </c>
      <c r="Y191" s="69">
        <v>6.577117825572687E-3</v>
      </c>
      <c r="Z191" s="69">
        <v>6.5769805680120363E-3</v>
      </c>
      <c r="AA191" s="69">
        <v>4</v>
      </c>
      <c r="AB191" s="69">
        <v>4.0256602641056416</v>
      </c>
      <c r="AC191" s="69">
        <v>5.1320528211284966E-3</v>
      </c>
      <c r="AD191" s="133"/>
      <c r="AE191" s="133"/>
      <c r="AF191" s="133"/>
    </row>
    <row r="192" spans="1:32" x14ac:dyDescent="0.25">
      <c r="A192" t="s">
        <v>81</v>
      </c>
      <c r="B192" t="s">
        <v>415</v>
      </c>
      <c r="C192" s="31">
        <v>4</v>
      </c>
      <c r="D192" s="31"/>
      <c r="E192" s="65">
        <v>6</v>
      </c>
      <c r="F192" s="31"/>
      <c r="G192" s="66">
        <v>272.68</v>
      </c>
      <c r="H192" s="31"/>
      <c r="I192" s="65">
        <v>259.04999999999995</v>
      </c>
      <c r="J192" s="65"/>
      <c r="K192" s="31">
        <v>24.714285714285715</v>
      </c>
      <c r="L192" s="31">
        <v>3</v>
      </c>
      <c r="M192" s="67">
        <v>4.1190476190476195</v>
      </c>
      <c r="N192" s="67"/>
      <c r="O192" s="68">
        <v>45.446666666666665</v>
      </c>
      <c r="P192" s="68"/>
      <c r="Q192" s="69">
        <v>0.95001466920932942</v>
      </c>
      <c r="R192" s="69"/>
      <c r="S192" s="31">
        <v>873.28571428571433</v>
      </c>
      <c r="T192" s="31">
        <v>820</v>
      </c>
      <c r="U192" s="69">
        <v>7.238095238095239</v>
      </c>
      <c r="V192" s="69"/>
      <c r="W192" s="69"/>
      <c r="X192" s="69"/>
      <c r="Y192" s="69">
        <v>-0.17970103170419471</v>
      </c>
      <c r="Z192" s="69">
        <v>-0.19158878504672894</v>
      </c>
      <c r="AA192" s="69">
        <v>1</v>
      </c>
      <c r="AB192" s="69">
        <v>0.99985331866519966</v>
      </c>
      <c r="AC192" s="69">
        <v>-7.3340667400279003E-5</v>
      </c>
      <c r="AD192" s="133"/>
      <c r="AE192" s="133"/>
      <c r="AF192" s="133"/>
    </row>
    <row r="193" spans="1:32" x14ac:dyDescent="0.25">
      <c r="A193" t="s">
        <v>81</v>
      </c>
      <c r="B193" t="s">
        <v>358</v>
      </c>
      <c r="C193" s="31">
        <v>1</v>
      </c>
      <c r="D193" s="31">
        <v>8</v>
      </c>
      <c r="E193" s="65">
        <v>1</v>
      </c>
      <c r="F193" s="31">
        <v>8</v>
      </c>
      <c r="G193" s="66">
        <v>249.99</v>
      </c>
      <c r="H193" s="31">
        <v>3037.5</v>
      </c>
      <c r="I193" s="65">
        <v>79.989999999999995</v>
      </c>
      <c r="J193" s="65">
        <v>1677.5</v>
      </c>
      <c r="K193" s="31">
        <v>14.428571428571429</v>
      </c>
      <c r="L193" s="31">
        <v>179.57142857142858</v>
      </c>
      <c r="M193" s="67">
        <v>14.428571428571429</v>
      </c>
      <c r="N193" s="67">
        <v>22.446428571428573</v>
      </c>
      <c r="O193" s="68">
        <v>249.99</v>
      </c>
      <c r="P193" s="68">
        <v>379.6875</v>
      </c>
      <c r="Q193" s="69">
        <v>0.31997279891195646</v>
      </c>
      <c r="R193" s="69">
        <v>0.5522633744855967</v>
      </c>
      <c r="S193" s="31"/>
      <c r="T193" s="31"/>
      <c r="U193" s="69">
        <v>-0.91964996022275258</v>
      </c>
      <c r="V193" s="69">
        <v>-0.875</v>
      </c>
      <c r="W193" s="69">
        <v>-0.91769876543209872</v>
      </c>
      <c r="X193" s="69">
        <v>-0.95231594634873318</v>
      </c>
      <c r="Y193" s="69">
        <v>-3.8095238095238182E-2</v>
      </c>
      <c r="Z193" s="69">
        <v>-3.8095238095238071E-2</v>
      </c>
      <c r="AA193" s="69"/>
      <c r="AB193" s="69"/>
      <c r="AC193" s="69"/>
      <c r="AD193" s="133"/>
      <c r="AE193" s="133"/>
      <c r="AF193" s="133"/>
    </row>
    <row r="194" spans="1:32" x14ac:dyDescent="0.25">
      <c r="A194" t="s">
        <v>81</v>
      </c>
      <c r="B194" t="s">
        <v>368</v>
      </c>
      <c r="C194" s="31">
        <v>3</v>
      </c>
      <c r="D194" s="31">
        <v>2</v>
      </c>
      <c r="E194" s="65">
        <v>6</v>
      </c>
      <c r="F194" s="31">
        <v>3</v>
      </c>
      <c r="G194" s="66">
        <v>249.95</v>
      </c>
      <c r="H194" s="31">
        <v>169.14000000000001</v>
      </c>
      <c r="I194" s="65">
        <v>68.569999999999993</v>
      </c>
      <c r="J194" s="65">
        <v>78.450000000000017</v>
      </c>
      <c r="K194" s="31">
        <v>126.28571428571429</v>
      </c>
      <c r="L194" s="31">
        <v>294.14285714285717</v>
      </c>
      <c r="M194" s="67">
        <v>21.047619047619047</v>
      </c>
      <c r="N194" s="67">
        <v>98.714285714285722</v>
      </c>
      <c r="O194" s="68">
        <v>41.658333333333331</v>
      </c>
      <c r="P194" s="68">
        <v>56.38</v>
      </c>
      <c r="Q194" s="69">
        <v>0.27433486697339465</v>
      </c>
      <c r="R194" s="69">
        <v>0.46381695636750625</v>
      </c>
      <c r="S194" s="31">
        <v>1</v>
      </c>
      <c r="T194" s="31">
        <v>11.428571428571429</v>
      </c>
      <c r="U194" s="69">
        <v>-0.57115104419621177</v>
      </c>
      <c r="V194" s="69">
        <v>1</v>
      </c>
      <c r="W194" s="69">
        <v>0.4777698947617357</v>
      </c>
      <c r="X194" s="69">
        <v>-0.12594008922880839</v>
      </c>
      <c r="Y194" s="69">
        <v>-3.6027556558633989E-2</v>
      </c>
      <c r="Z194" s="69">
        <v>-3.598691384950925E-2</v>
      </c>
      <c r="AA194" s="69">
        <v>0.5</v>
      </c>
      <c r="AB194" s="69">
        <v>0.49993999039846382</v>
      </c>
      <c r="AC194" s="69">
        <v>-4.0006401024084148E-5</v>
      </c>
      <c r="AD194" s="133"/>
      <c r="AE194" s="133"/>
      <c r="AF194" s="133"/>
    </row>
    <row r="195" spans="1:32" x14ac:dyDescent="0.25">
      <c r="A195" t="s">
        <v>81</v>
      </c>
      <c r="B195" t="s">
        <v>404</v>
      </c>
      <c r="C195" s="31">
        <v>1</v>
      </c>
      <c r="D195" s="31">
        <v>1</v>
      </c>
      <c r="E195" s="65">
        <v>1</v>
      </c>
      <c r="F195" s="31">
        <v>2</v>
      </c>
      <c r="G195" s="66">
        <v>124.99</v>
      </c>
      <c r="H195" s="31">
        <v>584.98</v>
      </c>
      <c r="I195" s="65">
        <v>33.92</v>
      </c>
      <c r="J195" s="65">
        <v>159.46000000000004</v>
      </c>
      <c r="K195" s="31">
        <v>-5.4285714285714288</v>
      </c>
      <c r="L195" s="31">
        <v>15.285714285714286</v>
      </c>
      <c r="M195" s="67">
        <v>-5.4285714285714288</v>
      </c>
      <c r="N195" s="67">
        <v>7.6428571428571432</v>
      </c>
      <c r="O195" s="68">
        <v>124.99</v>
      </c>
      <c r="P195" s="68">
        <v>292.49</v>
      </c>
      <c r="Q195" s="69">
        <v>0.27138171053684296</v>
      </c>
      <c r="R195" s="69">
        <v>0.27259051591507405</v>
      </c>
      <c r="S195" s="31">
        <v>13.142857142857142</v>
      </c>
      <c r="T195" s="31">
        <v>2</v>
      </c>
      <c r="U195" s="69">
        <v>-1.3551401869158879</v>
      </c>
      <c r="V195" s="69">
        <v>-0.5</v>
      </c>
      <c r="W195" s="69">
        <v>-0.78633457554104413</v>
      </c>
      <c r="X195" s="69">
        <v>-0.78728207700990849</v>
      </c>
      <c r="Y195" s="69">
        <v>0.18402655960789671</v>
      </c>
      <c r="Z195" s="69">
        <v>0.31034482758620685</v>
      </c>
      <c r="AA195" s="69">
        <v>0</v>
      </c>
      <c r="AB195" s="69">
        <v>16.984172661870502</v>
      </c>
      <c r="AC195" s="69">
        <v>16.984172661870502</v>
      </c>
      <c r="AD195" s="133"/>
      <c r="AE195" s="133"/>
      <c r="AF195" s="133"/>
    </row>
    <row r="196" spans="1:32" x14ac:dyDescent="0.25">
      <c r="A196" t="s">
        <v>81</v>
      </c>
      <c r="B196" t="s">
        <v>372</v>
      </c>
      <c r="C196" s="31">
        <v>3</v>
      </c>
      <c r="D196" s="31"/>
      <c r="E196" s="65">
        <v>4</v>
      </c>
      <c r="F196" s="31"/>
      <c r="G196" s="66">
        <v>118.72999999999999</v>
      </c>
      <c r="H196" s="31"/>
      <c r="I196" s="65">
        <v>20.86</v>
      </c>
      <c r="J196" s="65"/>
      <c r="K196" s="31">
        <v>58.428571428571431</v>
      </c>
      <c r="L196" s="31">
        <v>154.57142857142858</v>
      </c>
      <c r="M196" s="67">
        <v>14.607142857142858</v>
      </c>
      <c r="N196" s="67"/>
      <c r="O196" s="68">
        <v>29.682499999999997</v>
      </c>
      <c r="P196" s="68"/>
      <c r="Q196" s="69">
        <v>0.17569274825233724</v>
      </c>
      <c r="R196" s="69"/>
      <c r="S196" s="31">
        <v>16</v>
      </c>
      <c r="T196" s="31">
        <v>105</v>
      </c>
      <c r="U196" s="69">
        <v>-0.65434380776340118</v>
      </c>
      <c r="V196" s="69"/>
      <c r="W196" s="69"/>
      <c r="X196" s="69"/>
      <c r="Y196" s="69">
        <v>2.6265737321851113E-3</v>
      </c>
      <c r="Z196" s="69">
        <v>4.9140049140048436E-3</v>
      </c>
      <c r="AA196" s="69"/>
      <c r="AB196" s="69"/>
      <c r="AC196" s="69"/>
      <c r="AD196" s="133"/>
      <c r="AE196" s="133"/>
      <c r="AF196" s="133"/>
    </row>
    <row r="197" spans="1:32" x14ac:dyDescent="0.25">
      <c r="A197" t="s">
        <v>81</v>
      </c>
      <c r="B197" t="s">
        <v>369</v>
      </c>
      <c r="C197" s="31">
        <v>2</v>
      </c>
      <c r="D197" s="31">
        <v>6</v>
      </c>
      <c r="E197" s="65">
        <v>2</v>
      </c>
      <c r="F197" s="31">
        <v>6</v>
      </c>
      <c r="G197" s="66">
        <v>116.34</v>
      </c>
      <c r="H197" s="31">
        <v>358.93000000000006</v>
      </c>
      <c r="I197" s="65">
        <v>19.98</v>
      </c>
      <c r="J197" s="65">
        <v>-6.5599999999999454</v>
      </c>
      <c r="K197" s="31">
        <v>19.857142857142858</v>
      </c>
      <c r="L197" s="31">
        <v>98.428571428571431</v>
      </c>
      <c r="M197" s="67">
        <v>9.9285714285714288</v>
      </c>
      <c r="N197" s="67">
        <v>16.547619047619047</v>
      </c>
      <c r="O197" s="68">
        <v>58.17</v>
      </c>
      <c r="P197" s="68">
        <v>59.82166666666668</v>
      </c>
      <c r="Q197" s="69">
        <v>0.17173800928313562</v>
      </c>
      <c r="R197" s="69">
        <v>-1.8276544172958362E-2</v>
      </c>
      <c r="S197" s="31">
        <v>6</v>
      </c>
      <c r="T197" s="31"/>
      <c r="U197" s="69">
        <v>-0.80116110304789545</v>
      </c>
      <c r="V197" s="69">
        <v>-0.66666666666666674</v>
      </c>
      <c r="W197" s="69">
        <v>-0.67586994678628143</v>
      </c>
      <c r="X197" s="69">
        <v>-4.0457317073170991</v>
      </c>
      <c r="Y197" s="69">
        <v>8.7442908537387787E-2</v>
      </c>
      <c r="Z197" s="69">
        <v>0.10317460317460325</v>
      </c>
      <c r="AA197" s="69">
        <v>1</v>
      </c>
      <c r="AB197" s="69">
        <v>0.88221970554926377</v>
      </c>
      <c r="AC197" s="69">
        <v>-5.8890147225368117E-2</v>
      </c>
      <c r="AD197" s="133"/>
      <c r="AE197" s="133"/>
      <c r="AF197" s="133"/>
    </row>
    <row r="198" spans="1:32" x14ac:dyDescent="0.25">
      <c r="A198" t="s">
        <v>81</v>
      </c>
      <c r="B198" t="s">
        <v>367</v>
      </c>
      <c r="C198" s="31">
        <v>1</v>
      </c>
      <c r="D198" s="31">
        <v>2</v>
      </c>
      <c r="E198" s="65">
        <v>2</v>
      </c>
      <c r="F198" s="31">
        <v>3</v>
      </c>
      <c r="G198" s="66">
        <v>83.32</v>
      </c>
      <c r="H198" s="31">
        <v>269.98</v>
      </c>
      <c r="I198" s="65">
        <v>-153.91999999999999</v>
      </c>
      <c r="J198" s="65">
        <v>-32.529999999999973</v>
      </c>
      <c r="K198" s="31">
        <v>11.714285714285714</v>
      </c>
      <c r="L198" s="31">
        <v>145.71428571428572</v>
      </c>
      <c r="M198" s="67">
        <v>5.8571428571428568</v>
      </c>
      <c r="N198" s="67">
        <v>49.61904761904762</v>
      </c>
      <c r="O198" s="68">
        <v>41.66</v>
      </c>
      <c r="P198" s="68">
        <v>89.993333333333339</v>
      </c>
      <c r="Q198" s="69">
        <v>-1.8473355736917907</v>
      </c>
      <c r="R198" s="69">
        <v>-0.12049040669679224</v>
      </c>
      <c r="S198" s="31">
        <v>68.142857142857139</v>
      </c>
      <c r="T198" s="31">
        <v>22</v>
      </c>
      <c r="U198" s="69">
        <v>-0.92647058823529416</v>
      </c>
      <c r="V198" s="69">
        <v>-0.33333333333333337</v>
      </c>
      <c r="W198" s="69">
        <v>-0.69138454700348184</v>
      </c>
      <c r="X198" s="69">
        <v>3.7316323393790389</v>
      </c>
      <c r="Y198" s="69">
        <v>-1.5275772830150025E-2</v>
      </c>
      <c r="Z198" s="69">
        <v>-4.6511627906976827E-2</v>
      </c>
      <c r="AA198" s="69">
        <v>1</v>
      </c>
      <c r="AB198" s="69">
        <v>1.8573388203017829</v>
      </c>
      <c r="AC198" s="69">
        <v>0.42866941015089144</v>
      </c>
      <c r="AD198" s="133">
        <v>-0.93294643425900781</v>
      </c>
      <c r="AE198" s="133">
        <v>-0.99638165626184394</v>
      </c>
      <c r="AF198" s="133">
        <v>-1.0124145300298262</v>
      </c>
    </row>
    <row r="199" spans="1:32" x14ac:dyDescent="0.25">
      <c r="A199" t="s">
        <v>81</v>
      </c>
      <c r="B199" t="s">
        <v>383</v>
      </c>
      <c r="C199" s="31">
        <v>1</v>
      </c>
      <c r="D199" s="31">
        <v>2</v>
      </c>
      <c r="E199" s="65">
        <v>1</v>
      </c>
      <c r="F199" s="31">
        <v>2</v>
      </c>
      <c r="G199" s="66">
        <v>66.66</v>
      </c>
      <c r="H199" s="31">
        <v>74.98</v>
      </c>
      <c r="I199" s="65">
        <v>6.52</v>
      </c>
      <c r="J199" s="65">
        <v>-45.319999999999993</v>
      </c>
      <c r="K199" s="31">
        <v>0.2857142857142857</v>
      </c>
      <c r="L199" s="31">
        <v>45.857142857142854</v>
      </c>
      <c r="M199" s="67">
        <v>0.2857142857142857</v>
      </c>
      <c r="N199" s="67">
        <v>24</v>
      </c>
      <c r="O199" s="68">
        <v>66.66</v>
      </c>
      <c r="P199" s="68">
        <v>37.49</v>
      </c>
      <c r="Q199" s="69">
        <v>9.780978097809781E-2</v>
      </c>
      <c r="R199" s="69">
        <v>-0.6044278474259801</v>
      </c>
      <c r="S199" s="31">
        <v>5</v>
      </c>
      <c r="T199" s="31"/>
      <c r="U199" s="69">
        <v>-0.97819314641744548</v>
      </c>
      <c r="V199" s="69">
        <v>-0.5</v>
      </c>
      <c r="W199" s="69">
        <v>-0.11096292344625247</v>
      </c>
      <c r="X199" s="69">
        <v>-1.1438658428949691</v>
      </c>
      <c r="Y199" s="69">
        <v>-0.27028845113885636</v>
      </c>
      <c r="Z199" s="69">
        <v>-0.5</v>
      </c>
      <c r="AA199" s="69"/>
      <c r="AB199" s="69"/>
      <c r="AC199" s="69"/>
      <c r="AD199" s="133"/>
      <c r="AE199" s="133"/>
      <c r="AF199" s="133"/>
    </row>
    <row r="200" spans="1:32" x14ac:dyDescent="0.25">
      <c r="A200" t="s">
        <v>81</v>
      </c>
      <c r="B200" t="s">
        <v>378</v>
      </c>
      <c r="C200" s="31">
        <v>1</v>
      </c>
      <c r="D200" s="31"/>
      <c r="E200" s="65">
        <v>1</v>
      </c>
      <c r="F200" s="31"/>
      <c r="G200" s="66">
        <v>45.45</v>
      </c>
      <c r="H200" s="31"/>
      <c r="I200" s="65">
        <v>25.57</v>
      </c>
      <c r="J200" s="65"/>
      <c r="K200" s="31">
        <v>2.5714285714285716</v>
      </c>
      <c r="L200" s="31">
        <v>7</v>
      </c>
      <c r="M200" s="67">
        <v>2.5714285714285716</v>
      </c>
      <c r="N200" s="67"/>
      <c r="O200" s="68">
        <v>45.45</v>
      </c>
      <c r="P200" s="68"/>
      <c r="Q200" s="69">
        <v>0.5625962596259626</v>
      </c>
      <c r="R200" s="69"/>
      <c r="S200" s="31">
        <v>27</v>
      </c>
      <c r="T200" s="31">
        <v>3</v>
      </c>
      <c r="U200" s="69">
        <v>-0.63265306122448983</v>
      </c>
      <c r="V200" s="69"/>
      <c r="W200" s="69"/>
      <c r="X200" s="69"/>
      <c r="Y200" s="69">
        <v>-0.14285714285714279</v>
      </c>
      <c r="Z200" s="69">
        <v>-0.14285714285714279</v>
      </c>
      <c r="AA200" s="69"/>
      <c r="AB200" s="69"/>
      <c r="AC200" s="69"/>
      <c r="AD200" s="133"/>
      <c r="AE200" s="133"/>
      <c r="AF200" s="133"/>
    </row>
    <row r="201" spans="1:32" x14ac:dyDescent="0.25">
      <c r="A201" t="s">
        <v>81</v>
      </c>
      <c r="B201" t="s">
        <v>354</v>
      </c>
      <c r="C201" s="31">
        <v>1</v>
      </c>
      <c r="D201" s="31"/>
      <c r="E201" s="65">
        <v>2</v>
      </c>
      <c r="F201" s="31"/>
      <c r="G201" s="66">
        <v>16.649999999999999</v>
      </c>
      <c r="H201" s="31"/>
      <c r="I201" s="65">
        <v>-566.65</v>
      </c>
      <c r="J201" s="65"/>
      <c r="K201" s="31">
        <v>936.28571428571433</v>
      </c>
      <c r="L201" s="31">
        <v>938.85714285714289</v>
      </c>
      <c r="M201" s="67">
        <v>468.14285714285717</v>
      </c>
      <c r="N201" s="67"/>
      <c r="O201" s="68">
        <v>8.3249999999999993</v>
      </c>
      <c r="P201" s="68"/>
      <c r="Q201" s="69">
        <v>-34.033033033033036</v>
      </c>
      <c r="R201" s="69"/>
      <c r="S201" s="31">
        <v>58.714285714285715</v>
      </c>
      <c r="T201" s="31">
        <v>23</v>
      </c>
      <c r="U201" s="69">
        <v>-1.2020693852708542E-2</v>
      </c>
      <c r="V201" s="69"/>
      <c r="W201" s="69"/>
      <c r="X201" s="69"/>
      <c r="Y201" s="69">
        <v>-1.8205657260876307E-2</v>
      </c>
      <c r="Z201" s="69">
        <v>-2.3248882265275661E-2</v>
      </c>
      <c r="AA201" s="69">
        <v>-0.84615384615384615</v>
      </c>
      <c r="AB201" s="69">
        <v>-0.96776816307567226</v>
      </c>
      <c r="AC201" s="69">
        <v>-0.79049305999186947</v>
      </c>
      <c r="AD201" s="133"/>
      <c r="AE201" s="133"/>
      <c r="AF201" s="133"/>
    </row>
    <row r="202" spans="1:32" x14ac:dyDescent="0.25">
      <c r="A202" t="s">
        <v>81</v>
      </c>
      <c r="B202" t="s">
        <v>385</v>
      </c>
      <c r="C202" s="31">
        <v>1</v>
      </c>
      <c r="D202" s="31">
        <v>52</v>
      </c>
      <c r="E202" s="65">
        <v>15</v>
      </c>
      <c r="F202" s="31">
        <v>383</v>
      </c>
      <c r="G202" s="66">
        <v>0.12000000000000001</v>
      </c>
      <c r="H202" s="31">
        <v>3.32</v>
      </c>
      <c r="I202" s="65">
        <v>-86.13</v>
      </c>
      <c r="J202" s="65">
        <v>-2210.41</v>
      </c>
      <c r="K202" s="31">
        <v>187.14285714285714</v>
      </c>
      <c r="L202" s="31">
        <v>144</v>
      </c>
      <c r="M202" s="67">
        <v>12.476190476190476</v>
      </c>
      <c r="N202" s="67">
        <v>0.39851576994434135</v>
      </c>
      <c r="O202" s="68">
        <v>8.0000000000000002E-3</v>
      </c>
      <c r="P202" s="68">
        <v>8.6684073107049613E-3</v>
      </c>
      <c r="Q202" s="69">
        <v>-717.74999999999989</v>
      </c>
      <c r="R202" s="69">
        <v>-661.79940119760488</v>
      </c>
      <c r="S202" s="31">
        <v>61</v>
      </c>
      <c r="T202" s="31">
        <v>1699</v>
      </c>
      <c r="U202" s="69">
        <v>0.29960317460317465</v>
      </c>
      <c r="V202" s="69">
        <v>-0.96083550913838123</v>
      </c>
      <c r="W202" s="69">
        <v>-0.96385542168674698</v>
      </c>
      <c r="X202" s="69">
        <v>-0.96083094959821369</v>
      </c>
      <c r="Y202" s="69">
        <v>-2.1714825161663898E-2</v>
      </c>
      <c r="Z202" s="69">
        <v>-2.1657953696788579E-2</v>
      </c>
      <c r="AA202" s="69">
        <v>4</v>
      </c>
      <c r="AB202" s="69">
        <v>3.0000000000000009</v>
      </c>
      <c r="AC202" s="69">
        <v>-0.19999999999999996</v>
      </c>
      <c r="AD202" s="133"/>
      <c r="AE202" s="133"/>
      <c r="AF202" s="133"/>
    </row>
    <row r="203" spans="1:32" x14ac:dyDescent="0.25">
      <c r="A203" t="s">
        <v>81</v>
      </c>
      <c r="B203" t="s">
        <v>379</v>
      </c>
      <c r="C203" s="31"/>
      <c r="D203" s="31">
        <v>2</v>
      </c>
      <c r="E203" s="65"/>
      <c r="F203" s="31">
        <v>2</v>
      </c>
      <c r="G203" s="66"/>
      <c r="H203" s="31">
        <v>40.489999999999995</v>
      </c>
      <c r="I203" s="65"/>
      <c r="J203" s="65">
        <v>17.819999999999993</v>
      </c>
      <c r="K203" s="31">
        <v>53.142857142857146</v>
      </c>
      <c r="L203" s="31">
        <v>118.14285714285714</v>
      </c>
      <c r="M203" s="67"/>
      <c r="N203" s="67">
        <v>60.571428571428569</v>
      </c>
      <c r="O203" s="68"/>
      <c r="P203" s="68">
        <v>20.244999999999997</v>
      </c>
      <c r="Q203" s="69"/>
      <c r="R203" s="69">
        <v>0.44010866880711275</v>
      </c>
      <c r="S203" s="31"/>
      <c r="T203" s="31">
        <v>1</v>
      </c>
      <c r="U203" s="69">
        <v>-0.57557436517533245</v>
      </c>
      <c r="V203" s="69"/>
      <c r="W203" s="69"/>
      <c r="X203" s="69"/>
      <c r="Y203" s="69">
        <v>4.3725538462273228E-2</v>
      </c>
      <c r="Z203" s="69">
        <v>4.2016806722689148E-2</v>
      </c>
      <c r="AA203" s="69"/>
      <c r="AB203" s="69"/>
      <c r="AC203" s="69"/>
      <c r="AD203" s="133"/>
      <c r="AE203" s="133"/>
      <c r="AF203" s="133"/>
    </row>
    <row r="204" spans="1:32" x14ac:dyDescent="0.25">
      <c r="A204" t="s">
        <v>81</v>
      </c>
      <c r="B204" t="s">
        <v>387</v>
      </c>
      <c r="C204" s="31"/>
      <c r="D204" s="31">
        <v>4</v>
      </c>
      <c r="E204" s="65"/>
      <c r="F204" s="31">
        <v>5</v>
      </c>
      <c r="G204" s="66"/>
      <c r="H204" s="31">
        <v>65.400000000000006</v>
      </c>
      <c r="I204" s="65"/>
      <c r="J204" s="65">
        <v>20.900000000000006</v>
      </c>
      <c r="K204" s="31">
        <v>32</v>
      </c>
      <c r="L204" s="31">
        <v>64.714285714285708</v>
      </c>
      <c r="M204" s="67"/>
      <c r="N204" s="67">
        <v>12.942857142857141</v>
      </c>
      <c r="O204" s="68"/>
      <c r="P204" s="68">
        <v>13.080000000000002</v>
      </c>
      <c r="Q204" s="69"/>
      <c r="R204" s="69">
        <v>0.31957186544342514</v>
      </c>
      <c r="S204" s="31"/>
      <c r="T204" s="31"/>
      <c r="U204" s="69">
        <v>-0.50551876379690941</v>
      </c>
      <c r="V204" s="69"/>
      <c r="W204" s="69"/>
      <c r="X204" s="69"/>
      <c r="Y204" s="69">
        <v>-4.2735042735042805E-2</v>
      </c>
      <c r="Z204" s="69">
        <v>-4.2735042735042805E-2</v>
      </c>
      <c r="AA204" s="69"/>
      <c r="AB204" s="69"/>
      <c r="AC204" s="69"/>
      <c r="AD204" s="133"/>
      <c r="AE204" s="133"/>
      <c r="AF204" s="133"/>
    </row>
    <row r="205" spans="1:32" x14ac:dyDescent="0.25">
      <c r="A205" t="s">
        <v>81</v>
      </c>
      <c r="B205" t="s">
        <v>402</v>
      </c>
      <c r="C205" s="31"/>
      <c r="D205" s="31"/>
      <c r="E205" s="65"/>
      <c r="F205" s="31"/>
      <c r="G205" s="66"/>
      <c r="H205" s="31"/>
      <c r="I205" s="65"/>
      <c r="J205" s="65"/>
      <c r="K205" s="31"/>
      <c r="L205" s="31">
        <v>2</v>
      </c>
      <c r="M205" s="67"/>
      <c r="N205" s="67"/>
      <c r="O205" s="68"/>
      <c r="P205" s="68"/>
      <c r="Q205" s="69"/>
      <c r="R205" s="69"/>
      <c r="S205" s="31"/>
      <c r="T205" s="31"/>
      <c r="U205" s="69"/>
      <c r="V205" s="69"/>
      <c r="W205" s="69"/>
      <c r="X205" s="69"/>
      <c r="Y205" s="69"/>
      <c r="Z205" s="69"/>
      <c r="AA205" s="69"/>
      <c r="AB205" s="69"/>
      <c r="AC205" s="69"/>
      <c r="AD205" s="133"/>
      <c r="AE205" s="133"/>
      <c r="AF205" s="133"/>
    </row>
    <row r="206" spans="1:32" x14ac:dyDescent="0.25">
      <c r="A206" t="s">
        <v>81</v>
      </c>
      <c r="B206" t="s">
        <v>395</v>
      </c>
      <c r="C206" s="31"/>
      <c r="D206" s="31"/>
      <c r="E206" s="65"/>
      <c r="F206" s="31"/>
      <c r="G206" s="66"/>
      <c r="H206" s="31"/>
      <c r="I206" s="65"/>
      <c r="J206" s="65"/>
      <c r="K206" s="31">
        <v>4.4285714285714288</v>
      </c>
      <c r="L206" s="31">
        <v>27</v>
      </c>
      <c r="M206" s="67"/>
      <c r="N206" s="67"/>
      <c r="O206" s="68"/>
      <c r="P206" s="68"/>
      <c r="Q206" s="69"/>
      <c r="R206" s="69"/>
      <c r="S206" s="31">
        <v>72</v>
      </c>
      <c r="T206" s="31"/>
      <c r="U206" s="69">
        <v>-0.83597883597883593</v>
      </c>
      <c r="V206" s="69"/>
      <c r="W206" s="69"/>
      <c r="X206" s="69"/>
      <c r="Y206" s="69">
        <v>-0.25384615384615372</v>
      </c>
      <c r="Z206" s="69">
        <v>-0.26190476190476186</v>
      </c>
      <c r="AA206" s="69"/>
      <c r="AB206" s="69"/>
      <c r="AC206" s="69"/>
      <c r="AD206" s="133"/>
      <c r="AE206" s="133"/>
      <c r="AF206" s="133"/>
    </row>
    <row r="207" spans="1:32" x14ac:dyDescent="0.25">
      <c r="A207" t="s">
        <v>81</v>
      </c>
      <c r="B207" t="s">
        <v>417</v>
      </c>
      <c r="C207" s="31"/>
      <c r="D207" s="31"/>
      <c r="E207" s="65"/>
      <c r="F207" s="31"/>
      <c r="G207" s="66"/>
      <c r="H207" s="31"/>
      <c r="I207" s="65"/>
      <c r="J207" s="65"/>
      <c r="K207" s="31">
        <v>4</v>
      </c>
      <c r="L207" s="31">
        <v>6</v>
      </c>
      <c r="M207" s="67"/>
      <c r="N207" s="67"/>
      <c r="O207" s="68"/>
      <c r="P207" s="68"/>
      <c r="Q207" s="69"/>
      <c r="R207" s="69"/>
      <c r="S207" s="31"/>
      <c r="T207" s="31"/>
      <c r="U207" s="69">
        <v>-0.33333333333333337</v>
      </c>
      <c r="V207" s="69"/>
      <c r="W207" s="69"/>
      <c r="X207" s="69"/>
      <c r="Y207" s="69">
        <v>0</v>
      </c>
      <c r="Z207" s="69">
        <v>0</v>
      </c>
      <c r="AA207" s="69"/>
      <c r="AB207" s="69"/>
      <c r="AC207" s="69"/>
      <c r="AD207" s="133"/>
      <c r="AE207" s="133"/>
      <c r="AF207" s="133"/>
    </row>
    <row r="208" spans="1:32" x14ac:dyDescent="0.25">
      <c r="A208" t="s">
        <v>81</v>
      </c>
      <c r="B208" t="s">
        <v>356</v>
      </c>
      <c r="C208" s="31"/>
      <c r="D208" s="31">
        <v>7</v>
      </c>
      <c r="E208" s="65"/>
      <c r="F208" s="31">
        <v>8</v>
      </c>
      <c r="G208" s="66"/>
      <c r="H208" s="31">
        <v>3391.5800000000004</v>
      </c>
      <c r="I208" s="65"/>
      <c r="J208" s="65">
        <v>697.19000000000051</v>
      </c>
      <c r="K208" s="31">
        <v>46.857142857142854</v>
      </c>
      <c r="L208" s="31">
        <v>294</v>
      </c>
      <c r="M208" s="67"/>
      <c r="N208" s="67">
        <v>36.75</v>
      </c>
      <c r="O208" s="68"/>
      <c r="P208" s="68">
        <v>423.94750000000005</v>
      </c>
      <c r="Q208" s="69"/>
      <c r="R208" s="69">
        <v>0.20556495792521493</v>
      </c>
      <c r="S208" s="31"/>
      <c r="T208" s="31">
        <v>17</v>
      </c>
      <c r="U208" s="69">
        <v>-0.84062196307094261</v>
      </c>
      <c r="V208" s="69"/>
      <c r="W208" s="69"/>
      <c r="X208" s="69"/>
      <c r="Y208" s="69">
        <v>-9.9904723279522489E-3</v>
      </c>
      <c r="Z208" s="69">
        <v>-9.0634441087613649E-3</v>
      </c>
      <c r="AA208" s="69"/>
      <c r="AB208" s="69"/>
      <c r="AC208" s="69"/>
      <c r="AD208" s="133"/>
      <c r="AE208" s="133"/>
      <c r="AF208" s="133"/>
    </row>
    <row r="209" spans="1:32" x14ac:dyDescent="0.25">
      <c r="A209" t="s">
        <v>81</v>
      </c>
      <c r="B209" t="s">
        <v>736</v>
      </c>
      <c r="C209" s="31"/>
      <c r="D209" s="31"/>
      <c r="E209" s="65"/>
      <c r="F209" s="31"/>
      <c r="G209" s="66"/>
      <c r="H209" s="31"/>
      <c r="I209" s="65"/>
      <c r="J209" s="65"/>
      <c r="K209" s="31">
        <v>-1</v>
      </c>
      <c r="L209" s="31"/>
      <c r="M209" s="67"/>
      <c r="N209" s="67"/>
      <c r="O209" s="68"/>
      <c r="P209" s="68"/>
      <c r="Q209" s="69"/>
      <c r="R209" s="69"/>
      <c r="S209" s="31"/>
      <c r="T209" s="31"/>
      <c r="U209" s="69"/>
      <c r="V209" s="69"/>
      <c r="W209" s="69"/>
      <c r="X209" s="69"/>
      <c r="Y209" s="69">
        <v>0</v>
      </c>
      <c r="Z209" s="69">
        <v>0</v>
      </c>
      <c r="AA209" s="69"/>
      <c r="AB209" s="69"/>
      <c r="AC209" s="69"/>
      <c r="AD209" s="133"/>
      <c r="AE209" s="133"/>
      <c r="AF209" s="133"/>
    </row>
    <row r="210" spans="1:32" x14ac:dyDescent="0.25">
      <c r="A210" t="s">
        <v>81</v>
      </c>
      <c r="B210" t="s">
        <v>420</v>
      </c>
      <c r="C210" s="31"/>
      <c r="D210" s="31"/>
      <c r="E210" s="65"/>
      <c r="F210" s="31"/>
      <c r="G210" s="66"/>
      <c r="H210" s="31"/>
      <c r="I210" s="65"/>
      <c r="J210" s="65"/>
      <c r="K210" s="31">
        <v>1</v>
      </c>
      <c r="L210" s="31"/>
      <c r="M210" s="67"/>
      <c r="N210" s="67"/>
      <c r="O210" s="68"/>
      <c r="P210" s="68"/>
      <c r="Q210" s="69"/>
      <c r="R210" s="69"/>
      <c r="S210" s="31">
        <v>6.8571428571428568</v>
      </c>
      <c r="T210" s="31">
        <v>4</v>
      </c>
      <c r="U210" s="69"/>
      <c r="V210" s="69"/>
      <c r="W210" s="69"/>
      <c r="X210" s="69"/>
      <c r="Y210" s="69">
        <v>0</v>
      </c>
      <c r="Z210" s="69">
        <v>0</v>
      </c>
      <c r="AA210" s="69"/>
      <c r="AB210" s="69"/>
      <c r="AC210" s="69"/>
      <c r="AD210" s="133"/>
      <c r="AE210" s="133"/>
      <c r="AF210" s="133"/>
    </row>
    <row r="211" spans="1:32" x14ac:dyDescent="0.25">
      <c r="A211" t="s">
        <v>81</v>
      </c>
      <c r="B211" t="s">
        <v>419</v>
      </c>
      <c r="C211" s="31"/>
      <c r="D211" s="31"/>
      <c r="E211" s="65"/>
      <c r="F211" s="31"/>
      <c r="G211" s="66"/>
      <c r="H211" s="31"/>
      <c r="I211" s="65"/>
      <c r="J211" s="65"/>
      <c r="K211" s="31"/>
      <c r="L211" s="31">
        <v>1</v>
      </c>
      <c r="M211" s="67"/>
      <c r="N211" s="67"/>
      <c r="O211" s="68"/>
      <c r="P211" s="68"/>
      <c r="Q211" s="69"/>
      <c r="R211" s="69"/>
      <c r="S211" s="31">
        <v>2</v>
      </c>
      <c r="T211" s="31">
        <v>2</v>
      </c>
      <c r="U211" s="69"/>
      <c r="V211" s="69"/>
      <c r="W211" s="69"/>
      <c r="X211" s="69"/>
      <c r="Y211" s="69"/>
      <c r="Z211" s="69"/>
      <c r="AA211" s="69"/>
      <c r="AB211" s="69"/>
      <c r="AC211" s="69"/>
      <c r="AD211" s="133"/>
      <c r="AE211" s="133"/>
      <c r="AF211" s="133"/>
    </row>
    <row r="212" spans="1:32" x14ac:dyDescent="0.25">
      <c r="A212" t="s">
        <v>81</v>
      </c>
      <c r="B212" t="s">
        <v>414</v>
      </c>
      <c r="C212" s="31"/>
      <c r="D212" s="31"/>
      <c r="E212" s="65"/>
      <c r="F212" s="31"/>
      <c r="G212" s="66"/>
      <c r="H212" s="31"/>
      <c r="I212" s="65"/>
      <c r="J212" s="65"/>
      <c r="K212" s="31">
        <v>12</v>
      </c>
      <c r="L212" s="31">
        <v>29</v>
      </c>
      <c r="M212" s="67"/>
      <c r="N212" s="67"/>
      <c r="O212" s="68"/>
      <c r="P212" s="68"/>
      <c r="Q212" s="69"/>
      <c r="R212" s="69"/>
      <c r="S212" s="31"/>
      <c r="T212" s="31"/>
      <c r="U212" s="69">
        <v>-0.5862068965517242</v>
      </c>
      <c r="V212" s="69"/>
      <c r="W212" s="69"/>
      <c r="X212" s="69"/>
      <c r="Y212" s="69">
        <v>0</v>
      </c>
      <c r="Z212" s="69">
        <v>0</v>
      </c>
      <c r="AA212" s="69"/>
      <c r="AB212" s="69"/>
      <c r="AC212" s="69"/>
      <c r="AD212" s="133"/>
      <c r="AE212" s="133"/>
      <c r="AF212" s="133"/>
    </row>
    <row r="213" spans="1:32" x14ac:dyDescent="0.25">
      <c r="A213" t="s">
        <v>81</v>
      </c>
      <c r="B213" t="s">
        <v>397</v>
      </c>
      <c r="C213" s="31"/>
      <c r="D213" s="31"/>
      <c r="E213" s="65"/>
      <c r="F213" s="31"/>
      <c r="G213" s="66"/>
      <c r="H213" s="31"/>
      <c r="I213" s="65"/>
      <c r="J213" s="65"/>
      <c r="K213" s="31">
        <v>66</v>
      </c>
      <c r="L213" s="31">
        <v>108</v>
      </c>
      <c r="M213" s="67"/>
      <c r="N213" s="67"/>
      <c r="O213" s="68"/>
      <c r="P213" s="68"/>
      <c r="Q213" s="69"/>
      <c r="R213" s="69"/>
      <c r="S213" s="31"/>
      <c r="T213" s="31"/>
      <c r="U213" s="69">
        <v>-0.38888888888888884</v>
      </c>
      <c r="V213" s="69"/>
      <c r="W213" s="69"/>
      <c r="X213" s="69"/>
      <c r="Y213" s="69">
        <v>0</v>
      </c>
      <c r="Z213" s="69">
        <v>0</v>
      </c>
      <c r="AA213" s="69"/>
      <c r="AB213" s="69"/>
      <c r="AC213" s="69"/>
      <c r="AD213" s="133"/>
      <c r="AE213" s="133"/>
      <c r="AF213" s="133"/>
    </row>
    <row r="214" spans="1:32" x14ac:dyDescent="0.25">
      <c r="A214" t="s">
        <v>81</v>
      </c>
      <c r="B214" t="s">
        <v>416</v>
      </c>
      <c r="C214" s="31"/>
      <c r="D214" s="31"/>
      <c r="E214" s="65"/>
      <c r="F214" s="31"/>
      <c r="G214" s="66"/>
      <c r="H214" s="31"/>
      <c r="I214" s="65"/>
      <c r="J214" s="65"/>
      <c r="K214" s="31">
        <v>1</v>
      </c>
      <c r="L214" s="31"/>
      <c r="M214" s="67"/>
      <c r="N214" s="67"/>
      <c r="O214" s="68"/>
      <c r="P214" s="68"/>
      <c r="Q214" s="69"/>
      <c r="R214" s="69"/>
      <c r="S214" s="31">
        <v>20</v>
      </c>
      <c r="T214" s="31">
        <v>8</v>
      </c>
      <c r="U214" s="69"/>
      <c r="V214" s="69"/>
      <c r="W214" s="69"/>
      <c r="X214" s="69"/>
      <c r="Y214" s="69">
        <v>0</v>
      </c>
      <c r="Z214" s="69">
        <v>0</v>
      </c>
      <c r="AA214" s="69"/>
      <c r="AB214" s="69"/>
      <c r="AC214" s="69"/>
      <c r="AD214" s="133"/>
      <c r="AE214" s="133"/>
      <c r="AF214" s="133"/>
    </row>
    <row r="215" spans="1:32" x14ac:dyDescent="0.25">
      <c r="A215" t="s">
        <v>81</v>
      </c>
      <c r="B215" t="s">
        <v>421</v>
      </c>
      <c r="C215" s="31"/>
      <c r="D215" s="31">
        <v>1</v>
      </c>
      <c r="E215" s="65"/>
      <c r="F215" s="31">
        <v>1</v>
      </c>
      <c r="G215" s="66"/>
      <c r="H215" s="31">
        <v>15</v>
      </c>
      <c r="I215" s="65"/>
      <c r="J215" s="65">
        <v>3</v>
      </c>
      <c r="K215" s="31">
        <v>1</v>
      </c>
      <c r="L215" s="31">
        <v>3.4285714285714284</v>
      </c>
      <c r="M215" s="67"/>
      <c r="N215" s="67">
        <v>3.4285714285714284</v>
      </c>
      <c r="O215" s="68"/>
      <c r="P215" s="68">
        <v>15</v>
      </c>
      <c r="Q215" s="69"/>
      <c r="R215" s="69">
        <v>0.2</v>
      </c>
      <c r="S215" s="31">
        <v>2</v>
      </c>
      <c r="T215" s="31">
        <v>2</v>
      </c>
      <c r="U215" s="69">
        <v>-0.70833333333333326</v>
      </c>
      <c r="V215" s="69"/>
      <c r="W215" s="69"/>
      <c r="X215" s="69"/>
      <c r="Y215" s="69">
        <v>0</v>
      </c>
      <c r="Z215" s="69">
        <v>0</v>
      </c>
      <c r="AA215" s="69"/>
      <c r="AB215" s="69"/>
      <c r="AC215" s="69"/>
      <c r="AD215" s="133"/>
      <c r="AE215" s="133"/>
      <c r="AF215" s="133"/>
    </row>
    <row r="216" spans="1:32" x14ac:dyDescent="0.25">
      <c r="A216" t="s">
        <v>81</v>
      </c>
      <c r="B216" t="s">
        <v>381</v>
      </c>
      <c r="C216" s="31"/>
      <c r="D216" s="31"/>
      <c r="E216" s="65"/>
      <c r="F216" s="31"/>
      <c r="G216" s="66"/>
      <c r="H216" s="31"/>
      <c r="I216" s="65"/>
      <c r="J216" s="65"/>
      <c r="K216" s="31">
        <v>1.2857142857142858</v>
      </c>
      <c r="L216" s="31">
        <v>34</v>
      </c>
      <c r="M216" s="67"/>
      <c r="N216" s="67"/>
      <c r="O216" s="68"/>
      <c r="P216" s="68"/>
      <c r="Q216" s="69"/>
      <c r="R216" s="69"/>
      <c r="S216" s="31">
        <v>62</v>
      </c>
      <c r="T216" s="31">
        <v>92</v>
      </c>
      <c r="U216" s="69">
        <v>-0.96218487394957986</v>
      </c>
      <c r="V216" s="69"/>
      <c r="W216" s="69"/>
      <c r="X216" s="69"/>
      <c r="Y216" s="69">
        <v>-0.77995802852637441</v>
      </c>
      <c r="Z216" s="69">
        <v>-0.5714285714285714</v>
      </c>
      <c r="AA216" s="69"/>
      <c r="AB216" s="69"/>
      <c r="AC216" s="69"/>
      <c r="AD216" s="133"/>
      <c r="AE216" s="133"/>
      <c r="AF216" s="133"/>
    </row>
    <row r="217" spans="1:32" x14ac:dyDescent="0.25">
      <c r="A217" t="s">
        <v>81</v>
      </c>
      <c r="B217" t="s">
        <v>370</v>
      </c>
      <c r="C217" s="31"/>
      <c r="D217" s="31"/>
      <c r="E217" s="65"/>
      <c r="F217" s="31"/>
      <c r="G217" s="66"/>
      <c r="H217" s="31"/>
      <c r="I217" s="65"/>
      <c r="J217" s="65"/>
      <c r="K217" s="31">
        <v>9</v>
      </c>
      <c r="L217" s="31">
        <v>32</v>
      </c>
      <c r="M217" s="67"/>
      <c r="N217" s="67"/>
      <c r="O217" s="68"/>
      <c r="P217" s="68"/>
      <c r="Q217" s="69"/>
      <c r="R217" s="69"/>
      <c r="S217" s="31">
        <v>1.2857142857142858</v>
      </c>
      <c r="T217" s="31">
        <v>4</v>
      </c>
      <c r="U217" s="69">
        <v>-0.71875</v>
      </c>
      <c r="V217" s="69"/>
      <c r="W217" s="69"/>
      <c r="X217" s="69"/>
      <c r="Y217" s="69">
        <v>0</v>
      </c>
      <c r="Z217" s="69">
        <v>0</v>
      </c>
      <c r="AA217" s="69"/>
      <c r="AB217" s="69"/>
      <c r="AC217" s="69"/>
      <c r="AD217" s="133"/>
      <c r="AE217" s="133"/>
      <c r="AF217" s="133"/>
    </row>
    <row r="218" spans="1:32" x14ac:dyDescent="0.25">
      <c r="A218" t="s">
        <v>81</v>
      </c>
      <c r="B218" t="s">
        <v>410</v>
      </c>
      <c r="C218" s="31"/>
      <c r="D218" s="31"/>
      <c r="E218" s="65"/>
      <c r="F218" s="31"/>
      <c r="G218" s="66"/>
      <c r="H218" s="31"/>
      <c r="I218" s="65"/>
      <c r="J218" s="65"/>
      <c r="K218" s="31"/>
      <c r="L218" s="31">
        <v>3</v>
      </c>
      <c r="M218" s="67"/>
      <c r="N218" s="67"/>
      <c r="O218" s="68"/>
      <c r="P218" s="68"/>
      <c r="Q218" s="69"/>
      <c r="R218" s="69"/>
      <c r="S218" s="31"/>
      <c r="T218" s="31"/>
      <c r="U218" s="69"/>
      <c r="V218" s="69"/>
      <c r="W218" s="69"/>
      <c r="X218" s="69"/>
      <c r="Y218" s="69"/>
      <c r="Z218" s="69"/>
      <c r="AA218" s="69"/>
      <c r="AB218" s="69"/>
      <c r="AC218" s="69"/>
      <c r="AD218" s="133"/>
      <c r="AE218" s="133"/>
      <c r="AF218" s="133"/>
    </row>
    <row r="219" spans="1:32" x14ac:dyDescent="0.25">
      <c r="A219" t="s">
        <v>81</v>
      </c>
      <c r="B219" t="s">
        <v>396</v>
      </c>
      <c r="C219" s="31"/>
      <c r="D219" s="31"/>
      <c r="E219" s="65"/>
      <c r="F219" s="31"/>
      <c r="G219" s="66"/>
      <c r="H219" s="31"/>
      <c r="I219" s="65"/>
      <c r="J219" s="65"/>
      <c r="K219" s="31"/>
      <c r="L219" s="31">
        <v>1</v>
      </c>
      <c r="M219" s="67"/>
      <c r="N219" s="67"/>
      <c r="O219" s="68"/>
      <c r="P219" s="68"/>
      <c r="Q219" s="69"/>
      <c r="R219" s="69"/>
      <c r="S219" s="31"/>
      <c r="T219" s="31"/>
      <c r="U219" s="69"/>
      <c r="V219" s="69"/>
      <c r="W219" s="69"/>
      <c r="X219" s="69"/>
      <c r="Y219" s="69"/>
      <c r="Z219" s="69"/>
      <c r="AA219" s="69"/>
      <c r="AB219" s="69"/>
      <c r="AC219" s="69"/>
      <c r="AD219" s="133"/>
      <c r="AE219" s="133"/>
      <c r="AF219" s="133"/>
    </row>
    <row r="220" spans="1:32" x14ac:dyDescent="0.25">
      <c r="A220" t="s">
        <v>81</v>
      </c>
      <c r="B220" t="s">
        <v>425</v>
      </c>
      <c r="C220" s="31"/>
      <c r="D220" s="31"/>
      <c r="E220" s="65"/>
      <c r="F220" s="31"/>
      <c r="G220" s="66"/>
      <c r="H220" s="31"/>
      <c r="I220" s="65"/>
      <c r="J220" s="65"/>
      <c r="K220" s="31"/>
      <c r="L220" s="31">
        <v>-1</v>
      </c>
      <c r="M220" s="67"/>
      <c r="N220" s="67"/>
      <c r="O220" s="68"/>
      <c r="P220" s="68"/>
      <c r="Q220" s="69"/>
      <c r="R220" s="69"/>
      <c r="S220" s="31"/>
      <c r="T220" s="31"/>
      <c r="U220" s="69"/>
      <c r="V220" s="69"/>
      <c r="W220" s="69"/>
      <c r="X220" s="69"/>
      <c r="Y220" s="69"/>
      <c r="Z220" s="69"/>
      <c r="AA220" s="69"/>
      <c r="AB220" s="69"/>
      <c r="AC220" s="69"/>
      <c r="AD220" s="133"/>
      <c r="AE220" s="133"/>
      <c r="AF220" s="133"/>
    </row>
    <row r="221" spans="1:32" x14ac:dyDescent="0.25">
      <c r="A221" t="s">
        <v>81</v>
      </c>
      <c r="B221" t="s">
        <v>374</v>
      </c>
      <c r="C221" s="31"/>
      <c r="D221" s="31">
        <v>1</v>
      </c>
      <c r="E221" s="65"/>
      <c r="F221" s="31">
        <v>2</v>
      </c>
      <c r="G221" s="66"/>
      <c r="H221" s="31">
        <v>37.479999999999997</v>
      </c>
      <c r="I221" s="65"/>
      <c r="J221" s="65">
        <v>-4.980000000000004</v>
      </c>
      <c r="K221" s="31">
        <v>7</v>
      </c>
      <c r="L221" s="31">
        <v>5</v>
      </c>
      <c r="M221" s="67"/>
      <c r="N221" s="67">
        <v>2.5</v>
      </c>
      <c r="O221" s="68"/>
      <c r="P221" s="68">
        <v>18.739999999999998</v>
      </c>
      <c r="Q221" s="69"/>
      <c r="R221" s="69">
        <v>-0.13287086446104601</v>
      </c>
      <c r="S221" s="31">
        <v>159</v>
      </c>
      <c r="T221" s="31">
        <v>44</v>
      </c>
      <c r="U221" s="69">
        <v>0.39999999999999991</v>
      </c>
      <c r="V221" s="69"/>
      <c r="W221" s="69"/>
      <c r="X221" s="69"/>
      <c r="Y221" s="69">
        <v>8.6000807227793352E-2</v>
      </c>
      <c r="Z221" s="69">
        <v>4.2553191489361764E-2</v>
      </c>
      <c r="AA221" s="69"/>
      <c r="AB221" s="69"/>
      <c r="AC221" s="69"/>
      <c r="AD221" s="133"/>
      <c r="AE221" s="133"/>
      <c r="AF221" s="133"/>
    </row>
    <row r="222" spans="1:32" x14ac:dyDescent="0.25">
      <c r="A222" t="s">
        <v>81</v>
      </c>
      <c r="B222" t="s">
        <v>388</v>
      </c>
      <c r="C222" s="31"/>
      <c r="D222" s="31"/>
      <c r="E222" s="65"/>
      <c r="F222" s="31"/>
      <c r="G222" s="66"/>
      <c r="H222" s="31"/>
      <c r="I222" s="65"/>
      <c r="J222" s="65"/>
      <c r="K222" s="31">
        <v>12</v>
      </c>
      <c r="L222" s="31">
        <v>15.142857142857142</v>
      </c>
      <c r="M222" s="67"/>
      <c r="N222" s="67"/>
      <c r="O222" s="68"/>
      <c r="P222" s="68"/>
      <c r="Q222" s="69"/>
      <c r="R222" s="69"/>
      <c r="S222" s="31">
        <v>-6</v>
      </c>
      <c r="T222" s="31">
        <v>-6</v>
      </c>
      <c r="U222" s="69">
        <v>-0.20754716981132071</v>
      </c>
      <c r="V222" s="69"/>
      <c r="W222" s="69"/>
      <c r="X222" s="69"/>
      <c r="Y222" s="69">
        <v>0</v>
      </c>
      <c r="Z222" s="69">
        <v>0</v>
      </c>
      <c r="AA222" s="69"/>
      <c r="AB222" s="69"/>
      <c r="AC222" s="69"/>
      <c r="AD222" s="133"/>
      <c r="AE222" s="133"/>
      <c r="AF222" s="133"/>
    </row>
    <row r="223" spans="1:32" x14ac:dyDescent="0.25">
      <c r="A223" t="s">
        <v>81</v>
      </c>
      <c r="B223" t="s">
        <v>361</v>
      </c>
      <c r="C223" s="31"/>
      <c r="D223" s="31">
        <v>4</v>
      </c>
      <c r="E223" s="65"/>
      <c r="F223" s="31">
        <v>4</v>
      </c>
      <c r="G223" s="66"/>
      <c r="H223" s="31">
        <v>952.06</v>
      </c>
      <c r="I223" s="65"/>
      <c r="J223" s="65">
        <v>492.49999999999994</v>
      </c>
      <c r="K223" s="31">
        <v>4</v>
      </c>
      <c r="L223" s="31">
        <v>76.857142857142861</v>
      </c>
      <c r="M223" s="67"/>
      <c r="N223" s="67">
        <v>19.214285714285715</v>
      </c>
      <c r="O223" s="68"/>
      <c r="P223" s="68">
        <v>238.01499999999999</v>
      </c>
      <c r="Q223" s="69"/>
      <c r="R223" s="69">
        <v>0.5172993298741676</v>
      </c>
      <c r="S223" s="31">
        <v>33.857142857142854</v>
      </c>
      <c r="T223" s="31"/>
      <c r="U223" s="69">
        <v>-0.96096654275092941</v>
      </c>
      <c r="V223" s="69"/>
      <c r="W223" s="69"/>
      <c r="X223" s="69"/>
      <c r="Y223" s="69">
        <v>-1.1102230246251565E-16</v>
      </c>
      <c r="Z223" s="69">
        <v>0</v>
      </c>
      <c r="AA223" s="69"/>
      <c r="AB223" s="69"/>
      <c r="AC223" s="69"/>
      <c r="AD223" s="133"/>
      <c r="AE223" s="133"/>
      <c r="AF223" s="133"/>
    </row>
    <row r="224" spans="1:32" x14ac:dyDescent="0.25">
      <c r="A224" t="s">
        <v>81</v>
      </c>
      <c r="B224" t="s">
        <v>426</v>
      </c>
      <c r="C224" s="31"/>
      <c r="D224" s="31"/>
      <c r="E224" s="65"/>
      <c r="F224" s="31"/>
      <c r="G224" s="66"/>
      <c r="H224" s="31"/>
      <c r="I224" s="65"/>
      <c r="J224" s="65"/>
      <c r="K224" s="31">
        <v>55</v>
      </c>
      <c r="L224" s="31">
        <v>77.714285714285708</v>
      </c>
      <c r="M224" s="67"/>
      <c r="N224" s="67"/>
      <c r="O224" s="68"/>
      <c r="P224" s="68"/>
      <c r="Q224" s="69"/>
      <c r="R224" s="69"/>
      <c r="S224" s="31">
        <v>1</v>
      </c>
      <c r="T224" s="31">
        <v>14</v>
      </c>
      <c r="U224" s="69">
        <v>-0.30514705882352933</v>
      </c>
      <c r="V224" s="69"/>
      <c r="W224" s="69"/>
      <c r="X224" s="69"/>
      <c r="Y224" s="69">
        <v>4.902646875033434E-2</v>
      </c>
      <c r="Z224" s="69">
        <v>4.6195652173913082E-2</v>
      </c>
      <c r="AA224" s="69"/>
      <c r="AB224" s="69"/>
      <c r="AC224" s="69"/>
      <c r="AD224" s="133"/>
      <c r="AE224" s="133"/>
      <c r="AF224" s="133"/>
    </row>
    <row r="225" spans="1:32" x14ac:dyDescent="0.25">
      <c r="A225" t="s">
        <v>81</v>
      </c>
      <c r="B225" t="s">
        <v>409</v>
      </c>
      <c r="C225" s="31"/>
      <c r="D225" s="31"/>
      <c r="E225" s="65"/>
      <c r="F225" s="31"/>
      <c r="G225" s="66"/>
      <c r="H225" s="31"/>
      <c r="I225" s="65"/>
      <c r="J225" s="65"/>
      <c r="K225" s="31"/>
      <c r="L225" s="31">
        <v>2</v>
      </c>
      <c r="M225" s="67"/>
      <c r="N225" s="67"/>
      <c r="O225" s="68"/>
      <c r="P225" s="68"/>
      <c r="Q225" s="69"/>
      <c r="R225" s="69"/>
      <c r="S225" s="31">
        <v>1</v>
      </c>
      <c r="T225" s="31"/>
      <c r="U225" s="69"/>
      <c r="V225" s="69"/>
      <c r="W225" s="69"/>
      <c r="X225" s="69"/>
      <c r="Y225" s="69"/>
      <c r="Z225" s="69"/>
      <c r="AA225" s="69"/>
      <c r="AB225" s="69"/>
      <c r="AC225" s="69"/>
      <c r="AD225" s="133"/>
      <c r="AE225" s="133"/>
      <c r="AF225" s="133"/>
    </row>
    <row r="226" spans="1:32" x14ac:dyDescent="0.25">
      <c r="A226" t="s">
        <v>81</v>
      </c>
      <c r="B226" t="s">
        <v>734</v>
      </c>
      <c r="C226" s="31"/>
      <c r="D226" s="31"/>
      <c r="E226" s="65"/>
      <c r="F226" s="31"/>
      <c r="G226" s="66"/>
      <c r="H226" s="31"/>
      <c r="I226" s="65"/>
      <c r="J226" s="65"/>
      <c r="K226" s="31">
        <v>-1</v>
      </c>
      <c r="L226" s="31"/>
      <c r="M226" s="67"/>
      <c r="N226" s="67"/>
      <c r="O226" s="68"/>
      <c r="P226" s="68"/>
      <c r="Q226" s="69"/>
      <c r="R226" s="69"/>
      <c r="S226" s="31"/>
      <c r="T226" s="31"/>
      <c r="U226" s="69"/>
      <c r="V226" s="69"/>
      <c r="W226" s="69"/>
      <c r="X226" s="69"/>
      <c r="Y226" s="69">
        <v>0</v>
      </c>
      <c r="Z226" s="69">
        <v>0</v>
      </c>
      <c r="AA226" s="69"/>
      <c r="AB226" s="69"/>
      <c r="AC226" s="69"/>
      <c r="AD226" s="133"/>
      <c r="AE226" s="133"/>
      <c r="AF226" s="133"/>
    </row>
    <row r="227" spans="1:32" x14ac:dyDescent="0.25">
      <c r="A227" t="s">
        <v>81</v>
      </c>
      <c r="B227" t="s">
        <v>382</v>
      </c>
      <c r="C227" s="31"/>
      <c r="D227" s="31">
        <v>4</v>
      </c>
      <c r="E227" s="65"/>
      <c r="F227" s="31">
        <v>4</v>
      </c>
      <c r="G227" s="66"/>
      <c r="H227" s="31">
        <v>23.599999999999998</v>
      </c>
      <c r="I227" s="65"/>
      <c r="J227" s="65">
        <v>-15.600000000000005</v>
      </c>
      <c r="K227" s="31">
        <v>73.857142857142861</v>
      </c>
      <c r="L227" s="31">
        <v>131.85714285714286</v>
      </c>
      <c r="M227" s="67"/>
      <c r="N227" s="67">
        <v>32.964285714285715</v>
      </c>
      <c r="O227" s="68"/>
      <c r="P227" s="68">
        <v>5.8999999999999995</v>
      </c>
      <c r="Q227" s="69"/>
      <c r="R227" s="69">
        <v>-0.66101694915254261</v>
      </c>
      <c r="S227" s="31"/>
      <c r="T227" s="31"/>
      <c r="U227" s="69">
        <v>-0.43986998916576381</v>
      </c>
      <c r="V227" s="69"/>
      <c r="W227" s="69"/>
      <c r="X227" s="69"/>
      <c r="Y227" s="69">
        <v>-4.938115465745585E-2</v>
      </c>
      <c r="Z227" s="69">
        <v>-4.2592592592592515E-2</v>
      </c>
      <c r="AA227" s="69"/>
      <c r="AB227" s="69"/>
      <c r="AC227" s="69"/>
      <c r="AD227" s="133"/>
      <c r="AE227" s="133"/>
      <c r="AF227" s="133"/>
    </row>
    <row r="228" spans="1:32" x14ac:dyDescent="0.25">
      <c r="A228" t="s">
        <v>81</v>
      </c>
      <c r="B228" t="s">
        <v>380</v>
      </c>
      <c r="C228" s="31"/>
      <c r="D228" s="31"/>
      <c r="E228" s="65"/>
      <c r="F228" s="31"/>
      <c r="G228" s="66"/>
      <c r="H228" s="31"/>
      <c r="I228" s="65"/>
      <c r="J228" s="65"/>
      <c r="K228" s="31">
        <v>-3</v>
      </c>
      <c r="L228" s="31">
        <v>44.857142857142854</v>
      </c>
      <c r="M228" s="67"/>
      <c r="N228" s="67"/>
      <c r="O228" s="68"/>
      <c r="P228" s="68"/>
      <c r="Q228" s="69"/>
      <c r="R228" s="69"/>
      <c r="S228" s="31">
        <v>1</v>
      </c>
      <c r="T228" s="31">
        <v>0</v>
      </c>
      <c r="U228" s="69">
        <v>-1.0668789808917198</v>
      </c>
      <c r="V228" s="69"/>
      <c r="W228" s="69"/>
      <c r="X228" s="69"/>
      <c r="Y228" s="69">
        <v>5.9999999999999991</v>
      </c>
      <c r="Z228" s="69">
        <v>0.40000000000000013</v>
      </c>
      <c r="AA228" s="69"/>
      <c r="AB228" s="69"/>
      <c r="AC228" s="69"/>
      <c r="AD228" s="133"/>
      <c r="AE228" s="133"/>
      <c r="AF228" s="133"/>
    </row>
    <row r="229" spans="1:32" x14ac:dyDescent="0.25">
      <c r="A229" t="s">
        <v>81</v>
      </c>
      <c r="B229" t="s">
        <v>390</v>
      </c>
      <c r="C229" s="31"/>
      <c r="D229" s="31"/>
      <c r="E229" s="65"/>
      <c r="F229" s="31"/>
      <c r="G229" s="66"/>
      <c r="H229" s="31"/>
      <c r="I229" s="65"/>
      <c r="J229" s="65"/>
      <c r="K229" s="31"/>
      <c r="L229" s="31">
        <v>1</v>
      </c>
      <c r="M229" s="67"/>
      <c r="N229" s="67"/>
      <c r="O229" s="68"/>
      <c r="P229" s="68"/>
      <c r="Q229" s="69"/>
      <c r="R229" s="69"/>
      <c r="S229" s="31">
        <v>18</v>
      </c>
      <c r="T229" s="31">
        <v>12</v>
      </c>
      <c r="U229" s="69"/>
      <c r="V229" s="69"/>
      <c r="W229" s="69"/>
      <c r="X229" s="69"/>
      <c r="Y229" s="69"/>
      <c r="Z229" s="69"/>
      <c r="AA229" s="69"/>
      <c r="AB229" s="69"/>
      <c r="AC229" s="69"/>
      <c r="AD229" s="133"/>
      <c r="AE229" s="133"/>
      <c r="AF229" s="133"/>
    </row>
    <row r="230" spans="1:32" x14ac:dyDescent="0.25">
      <c r="A230" t="s">
        <v>81</v>
      </c>
      <c r="B230" t="s">
        <v>376</v>
      </c>
      <c r="C230" s="31"/>
      <c r="D230" s="31">
        <v>718</v>
      </c>
      <c r="E230" s="65"/>
      <c r="F230" s="31">
        <v>1402</v>
      </c>
      <c r="G230" s="66"/>
      <c r="H230" s="31">
        <v>12.609999999999843</v>
      </c>
      <c r="I230" s="65"/>
      <c r="J230" s="65">
        <v>-6993.5499999999383</v>
      </c>
      <c r="K230" s="31">
        <v>411.57142857142856</v>
      </c>
      <c r="L230" s="31">
        <v>4154.2857142857147</v>
      </c>
      <c r="M230" s="67"/>
      <c r="N230" s="67">
        <v>2.6233491279362839</v>
      </c>
      <c r="O230" s="68"/>
      <c r="P230" s="68">
        <v>8.9942938659057364E-3</v>
      </c>
      <c r="Q230" s="69"/>
      <c r="R230" s="69">
        <v>-548.08385579937521</v>
      </c>
      <c r="S230" s="31">
        <v>1350.4285714285713</v>
      </c>
      <c r="T230" s="31">
        <v>13916</v>
      </c>
      <c r="U230" s="69">
        <v>-0.90165061898211829</v>
      </c>
      <c r="V230" s="69"/>
      <c r="W230" s="69"/>
      <c r="X230" s="69"/>
      <c r="Y230" s="69">
        <v>7.9603027069998333E-2</v>
      </c>
      <c r="Z230" s="69">
        <v>5.8412931667891188E-2</v>
      </c>
      <c r="AA230" s="69"/>
      <c r="AB230" s="69"/>
      <c r="AC230" s="69"/>
      <c r="AD230" s="133"/>
      <c r="AE230" s="133"/>
      <c r="AF230" s="133"/>
    </row>
    <row r="231" spans="1:32" x14ac:dyDescent="0.25">
      <c r="A231" t="s">
        <v>81</v>
      </c>
      <c r="B231" t="s">
        <v>422</v>
      </c>
      <c r="C231" s="31"/>
      <c r="D231" s="31"/>
      <c r="E231" s="65"/>
      <c r="F231" s="31"/>
      <c r="G231" s="66"/>
      <c r="H231" s="31"/>
      <c r="I231" s="65"/>
      <c r="J231" s="65"/>
      <c r="K231" s="31">
        <v>0</v>
      </c>
      <c r="L231" s="31">
        <v>5</v>
      </c>
      <c r="M231" s="67"/>
      <c r="N231" s="67"/>
      <c r="O231" s="68"/>
      <c r="P231" s="68"/>
      <c r="Q231" s="69"/>
      <c r="R231" s="69"/>
      <c r="S231" s="31"/>
      <c r="T231" s="31"/>
      <c r="U231" s="69"/>
      <c r="V231" s="69"/>
      <c r="W231" s="69"/>
      <c r="X231" s="69"/>
      <c r="Y231" s="69"/>
      <c r="Z231" s="69"/>
      <c r="AA231" s="69"/>
      <c r="AB231" s="69"/>
      <c r="AC231" s="69"/>
      <c r="AD231" s="133"/>
      <c r="AE231" s="133"/>
      <c r="AF231" s="133"/>
    </row>
    <row r="232" spans="1:32" x14ac:dyDescent="0.25">
      <c r="A232" t="s">
        <v>81</v>
      </c>
      <c r="B232" t="s">
        <v>384</v>
      </c>
      <c r="C232" s="31"/>
      <c r="D232" s="31">
        <v>5</v>
      </c>
      <c r="E232" s="65"/>
      <c r="F232" s="31">
        <v>23</v>
      </c>
      <c r="G232" s="66"/>
      <c r="H232" s="31">
        <v>8.2800000000000011</v>
      </c>
      <c r="I232" s="65"/>
      <c r="J232" s="65">
        <v>-43.47</v>
      </c>
      <c r="K232" s="31">
        <v>224</v>
      </c>
      <c r="L232" s="31">
        <v>985.71428571428567</v>
      </c>
      <c r="M232" s="67"/>
      <c r="N232" s="67">
        <v>43.074534161490682</v>
      </c>
      <c r="O232" s="68"/>
      <c r="P232" s="68">
        <v>0.36000000000000004</v>
      </c>
      <c r="Q232" s="69"/>
      <c r="R232" s="69">
        <v>-5.2499999999999991</v>
      </c>
      <c r="S232" s="31">
        <v>93</v>
      </c>
      <c r="T232" s="31">
        <v>19</v>
      </c>
      <c r="U232" s="69">
        <v>-0.77275362318840579</v>
      </c>
      <c r="V232" s="69"/>
      <c r="W232" s="69"/>
      <c r="X232" s="69"/>
      <c r="Y232" s="69">
        <v>9.6503496503496544E-2</v>
      </c>
      <c r="Z232" s="69">
        <v>9.6503496503496544E-2</v>
      </c>
      <c r="AA232" s="69"/>
      <c r="AB232" s="69"/>
      <c r="AC232" s="69"/>
      <c r="AD232" s="133"/>
      <c r="AE232" s="133"/>
      <c r="AF232" s="133"/>
    </row>
    <row r="233" spans="1:32" x14ac:dyDescent="0.25">
      <c r="A233" t="s">
        <v>81</v>
      </c>
      <c r="B233" t="s">
        <v>360</v>
      </c>
      <c r="C233" s="31"/>
      <c r="D233" s="31"/>
      <c r="E233" s="65"/>
      <c r="F233" s="31"/>
      <c r="G233" s="66"/>
      <c r="H233" s="31"/>
      <c r="I233" s="65"/>
      <c r="J233" s="65"/>
      <c r="K233" s="31">
        <v>60</v>
      </c>
      <c r="L233" s="31">
        <v>36</v>
      </c>
      <c r="M233" s="67"/>
      <c r="N233" s="67"/>
      <c r="O233" s="68"/>
      <c r="P233" s="68"/>
      <c r="Q233" s="69"/>
      <c r="R233" s="69"/>
      <c r="S233" s="31"/>
      <c r="T233" s="31">
        <v>71</v>
      </c>
      <c r="U233" s="69">
        <v>0.66666666666666674</v>
      </c>
      <c r="V233" s="69"/>
      <c r="W233" s="69"/>
      <c r="X233" s="69"/>
      <c r="Y233" s="69">
        <v>4.784688995215447E-3</v>
      </c>
      <c r="Z233" s="69">
        <v>4.7846889952152249E-3</v>
      </c>
      <c r="AA233" s="69"/>
      <c r="AB233" s="69"/>
      <c r="AC233" s="69"/>
      <c r="AD233" s="133"/>
      <c r="AE233" s="133"/>
      <c r="AF233" s="133"/>
    </row>
    <row r="234" spans="1:32" x14ac:dyDescent="0.25">
      <c r="A234" t="s">
        <v>81</v>
      </c>
      <c r="B234" t="s">
        <v>398</v>
      </c>
      <c r="C234" s="31"/>
      <c r="D234" s="31"/>
      <c r="E234" s="65"/>
      <c r="F234" s="31"/>
      <c r="G234" s="66"/>
      <c r="H234" s="31"/>
      <c r="I234" s="65"/>
      <c r="J234" s="65"/>
      <c r="K234" s="31"/>
      <c r="L234" s="31"/>
      <c r="M234" s="67"/>
      <c r="N234" s="67"/>
      <c r="O234" s="68"/>
      <c r="P234" s="68"/>
      <c r="Q234" s="69"/>
      <c r="R234" s="69"/>
      <c r="S234" s="31">
        <v>12</v>
      </c>
      <c r="T234" s="31"/>
      <c r="U234" s="69"/>
      <c r="V234" s="69"/>
      <c r="W234" s="69"/>
      <c r="X234" s="69"/>
      <c r="Y234" s="69"/>
      <c r="Z234" s="69"/>
      <c r="AA234" s="69"/>
      <c r="AB234" s="69"/>
      <c r="AC234" s="69"/>
      <c r="AD234" s="133"/>
      <c r="AE234" s="133"/>
      <c r="AF234" s="133"/>
    </row>
    <row r="235" spans="1:32" x14ac:dyDescent="0.25">
      <c r="A235" t="s">
        <v>81</v>
      </c>
      <c r="B235" t="s">
        <v>408</v>
      </c>
      <c r="C235" s="31"/>
      <c r="D235" s="31"/>
      <c r="E235" s="65"/>
      <c r="F235" s="31"/>
      <c r="G235" s="66"/>
      <c r="H235" s="31"/>
      <c r="I235" s="65"/>
      <c r="J235" s="65"/>
      <c r="K235" s="31">
        <v>2</v>
      </c>
      <c r="L235" s="31"/>
      <c r="M235" s="67"/>
      <c r="N235" s="67"/>
      <c r="O235" s="68"/>
      <c r="P235" s="68"/>
      <c r="Q235" s="69"/>
      <c r="R235" s="69"/>
      <c r="S235" s="31"/>
      <c r="T235" s="31"/>
      <c r="U235" s="69"/>
      <c r="V235" s="69"/>
      <c r="W235" s="69"/>
      <c r="X235" s="69"/>
      <c r="Y235" s="69">
        <v>0</v>
      </c>
      <c r="Z235" s="69">
        <v>0</v>
      </c>
      <c r="AA235" s="69"/>
      <c r="AB235" s="69"/>
      <c r="AC235" s="69"/>
      <c r="AD235" s="133"/>
      <c r="AE235" s="133"/>
      <c r="AF235" s="133"/>
    </row>
    <row r="236" spans="1:32" x14ac:dyDescent="0.25">
      <c r="A236" t="s">
        <v>81</v>
      </c>
      <c r="B236" t="s">
        <v>735</v>
      </c>
      <c r="C236" s="31"/>
      <c r="D236" s="31"/>
      <c r="E236" s="65"/>
      <c r="F236" s="31"/>
      <c r="G236" s="66"/>
      <c r="H236" s="31"/>
      <c r="I236" s="65"/>
      <c r="J236" s="65"/>
      <c r="K236" s="31">
        <v>4</v>
      </c>
      <c r="L236" s="31"/>
      <c r="M236" s="67"/>
      <c r="N236" s="67"/>
      <c r="O236" s="68"/>
      <c r="P236" s="68"/>
      <c r="Q236" s="69"/>
      <c r="R236" s="69"/>
      <c r="S236" s="31"/>
      <c r="T236" s="31"/>
      <c r="U236" s="69"/>
      <c r="V236" s="69"/>
      <c r="W236" s="69"/>
      <c r="X236" s="69"/>
      <c r="Y236" s="69">
        <v>0</v>
      </c>
      <c r="Z236" s="69">
        <v>0</v>
      </c>
      <c r="AA236" s="69"/>
      <c r="AB236" s="69"/>
      <c r="AC236" s="69"/>
      <c r="AD236" s="133"/>
      <c r="AE236" s="133"/>
      <c r="AF236" s="133"/>
    </row>
    <row r="237" spans="1:32" x14ac:dyDescent="0.25">
      <c r="A237" t="s">
        <v>81</v>
      </c>
      <c r="B237" t="s">
        <v>394</v>
      </c>
      <c r="C237" s="31"/>
      <c r="D237" s="31"/>
      <c r="E237" s="65"/>
      <c r="F237" s="31"/>
      <c r="G237" s="66"/>
      <c r="H237" s="31"/>
      <c r="I237" s="65"/>
      <c r="J237" s="65"/>
      <c r="K237" s="31"/>
      <c r="L237" s="31">
        <v>-1</v>
      </c>
      <c r="M237" s="67"/>
      <c r="N237" s="67"/>
      <c r="O237" s="68"/>
      <c r="P237" s="68"/>
      <c r="Q237" s="69"/>
      <c r="R237" s="69"/>
      <c r="S237" s="31"/>
      <c r="T237" s="31"/>
      <c r="U237" s="69"/>
      <c r="V237" s="69"/>
      <c r="W237" s="69"/>
      <c r="X237" s="69"/>
      <c r="Y237" s="69"/>
      <c r="Z237" s="69"/>
      <c r="AA237" s="69"/>
      <c r="AB237" s="69"/>
      <c r="AC237" s="69"/>
      <c r="AD237" s="133"/>
      <c r="AE237" s="133"/>
      <c r="AF237" s="133"/>
    </row>
    <row r="238" spans="1:32" x14ac:dyDescent="0.25">
      <c r="A238" t="s">
        <v>81</v>
      </c>
      <c r="B238" t="s">
        <v>412</v>
      </c>
      <c r="C238" s="31"/>
      <c r="D238" s="31"/>
      <c r="E238" s="65"/>
      <c r="F238" s="31"/>
      <c r="G238" s="66"/>
      <c r="H238" s="31"/>
      <c r="I238" s="65"/>
      <c r="J238" s="65"/>
      <c r="K238" s="31"/>
      <c r="L238" s="31">
        <v>3</v>
      </c>
      <c r="M238" s="67"/>
      <c r="N238" s="67"/>
      <c r="O238" s="68"/>
      <c r="P238" s="68"/>
      <c r="Q238" s="69"/>
      <c r="R238" s="69"/>
      <c r="S238" s="31">
        <v>-4</v>
      </c>
      <c r="T238" s="31">
        <v>-4</v>
      </c>
      <c r="U238" s="69"/>
      <c r="V238" s="69"/>
      <c r="W238" s="69"/>
      <c r="X238" s="69"/>
      <c r="Y238" s="69"/>
      <c r="Z238" s="69"/>
      <c r="AA238" s="69"/>
      <c r="AB238" s="69"/>
      <c r="AC238" s="69"/>
      <c r="AD238" s="133"/>
      <c r="AE238" s="133"/>
      <c r="AF238" s="133"/>
    </row>
    <row r="239" spans="1:32" x14ac:dyDescent="0.25">
      <c r="A239" t="s">
        <v>81</v>
      </c>
      <c r="B239" t="s">
        <v>399</v>
      </c>
      <c r="C239" s="31"/>
      <c r="D239" s="31"/>
      <c r="E239" s="65"/>
      <c r="F239" s="31"/>
      <c r="G239" s="66"/>
      <c r="H239" s="31"/>
      <c r="I239" s="65"/>
      <c r="J239" s="65"/>
      <c r="K239" s="31">
        <v>0</v>
      </c>
      <c r="L239" s="31">
        <v>1</v>
      </c>
      <c r="M239" s="67"/>
      <c r="N239" s="67"/>
      <c r="O239" s="68"/>
      <c r="P239" s="68"/>
      <c r="Q239" s="69"/>
      <c r="R239" s="69"/>
      <c r="S239" s="31"/>
      <c r="T239" s="31"/>
      <c r="U239" s="69"/>
      <c r="V239" s="69"/>
      <c r="W239" s="69"/>
      <c r="X239" s="69"/>
      <c r="Y239" s="69"/>
      <c r="Z239" s="69"/>
      <c r="AA239" s="69"/>
      <c r="AB239" s="69"/>
      <c r="AC239" s="69"/>
      <c r="AD239" s="133"/>
      <c r="AE239" s="133"/>
      <c r="AF239" s="133"/>
    </row>
    <row r="240" spans="1:32" x14ac:dyDescent="0.25">
      <c r="A240" t="s">
        <v>81</v>
      </c>
      <c r="B240" t="s">
        <v>393</v>
      </c>
      <c r="C240" s="31"/>
      <c r="D240" s="31"/>
      <c r="E240" s="65"/>
      <c r="F240" s="31"/>
      <c r="G240" s="66"/>
      <c r="H240" s="31"/>
      <c r="I240" s="65"/>
      <c r="J240" s="65"/>
      <c r="K240" s="31">
        <v>28</v>
      </c>
      <c r="L240" s="31">
        <v>28</v>
      </c>
      <c r="M240" s="67"/>
      <c r="N240" s="67"/>
      <c r="O240" s="68"/>
      <c r="P240" s="68"/>
      <c r="Q240" s="69"/>
      <c r="R240" s="69"/>
      <c r="S240" s="31"/>
      <c r="T240" s="31"/>
      <c r="U240" s="69">
        <v>0</v>
      </c>
      <c r="V240" s="69"/>
      <c r="W240" s="69"/>
      <c r="X240" s="69"/>
      <c r="Y240" s="69">
        <v>0</v>
      </c>
      <c r="Z240" s="69">
        <v>0</v>
      </c>
      <c r="AA240" s="69"/>
      <c r="AB240" s="69"/>
      <c r="AC240" s="69"/>
      <c r="AD240" s="133"/>
      <c r="AE240" s="133"/>
      <c r="AF240" s="133"/>
    </row>
    <row r="241" spans="1:32" x14ac:dyDescent="0.25">
      <c r="A241" t="s">
        <v>81</v>
      </c>
      <c r="B241" t="s">
        <v>392</v>
      </c>
      <c r="C241" s="31"/>
      <c r="D241" s="31"/>
      <c r="E241" s="65"/>
      <c r="F241" s="31"/>
      <c r="G241" s="66"/>
      <c r="H241" s="31"/>
      <c r="I241" s="65"/>
      <c r="J241" s="65"/>
      <c r="K241" s="31">
        <v>14</v>
      </c>
      <c r="L241" s="31">
        <v>37.714285714285715</v>
      </c>
      <c r="M241" s="67"/>
      <c r="N241" s="67"/>
      <c r="O241" s="68"/>
      <c r="P241" s="68"/>
      <c r="Q241" s="69"/>
      <c r="R241" s="69"/>
      <c r="S241" s="31"/>
      <c r="T241" s="31">
        <v>13</v>
      </c>
      <c r="U241" s="69">
        <v>-0.62878787878787878</v>
      </c>
      <c r="V241" s="69"/>
      <c r="W241" s="69"/>
      <c r="X241" s="69"/>
      <c r="Y241" s="69">
        <v>-6.9751264376139321E-2</v>
      </c>
      <c r="Z241" s="69">
        <v>-6.6666666666666652E-2</v>
      </c>
      <c r="AA241" s="69"/>
      <c r="AB241" s="69"/>
      <c r="AC241" s="69"/>
      <c r="AD241" s="133"/>
      <c r="AE241" s="133"/>
      <c r="AF241" s="133"/>
    </row>
    <row r="242" spans="1:32" x14ac:dyDescent="0.25">
      <c r="A242" t="s">
        <v>81</v>
      </c>
      <c r="B242" t="s">
        <v>400</v>
      </c>
      <c r="C242" s="31"/>
      <c r="D242" s="31"/>
      <c r="E242" s="65"/>
      <c r="F242" s="31"/>
      <c r="G242" s="66"/>
      <c r="H242" s="31"/>
      <c r="I242" s="65"/>
      <c r="J242" s="65"/>
      <c r="K242" s="31">
        <v>4</v>
      </c>
      <c r="L242" s="31">
        <v>11</v>
      </c>
      <c r="M242" s="67"/>
      <c r="N242" s="67"/>
      <c r="O242" s="68"/>
      <c r="P242" s="68"/>
      <c r="Q242" s="69"/>
      <c r="R242" s="69"/>
      <c r="S242" s="31"/>
      <c r="T242" s="31"/>
      <c r="U242" s="69">
        <v>-0.63636363636363635</v>
      </c>
      <c r="V242" s="69"/>
      <c r="W242" s="69"/>
      <c r="X242" s="69"/>
      <c r="Y242" s="69">
        <v>0</v>
      </c>
      <c r="Z242" s="69">
        <v>0</v>
      </c>
      <c r="AA242" s="69"/>
      <c r="AB242" s="69"/>
      <c r="AC242" s="69"/>
      <c r="AD242" s="133"/>
      <c r="AE242" s="133"/>
      <c r="AF242" s="133"/>
    </row>
    <row r="243" spans="1:32" x14ac:dyDescent="0.25">
      <c r="A243" t="s">
        <v>81</v>
      </c>
      <c r="B243" t="s">
        <v>401</v>
      </c>
      <c r="C243" s="31"/>
      <c r="D243" s="31"/>
      <c r="E243" s="65"/>
      <c r="F243" s="31"/>
      <c r="G243" s="66"/>
      <c r="H243" s="31"/>
      <c r="I243" s="65"/>
      <c r="J243" s="65"/>
      <c r="K243" s="31">
        <v>1</v>
      </c>
      <c r="L243" s="31">
        <v>1</v>
      </c>
      <c r="M243" s="67"/>
      <c r="N243" s="67"/>
      <c r="O243" s="68"/>
      <c r="P243" s="68"/>
      <c r="Q243" s="69"/>
      <c r="R243" s="69"/>
      <c r="S243" s="31"/>
      <c r="T243" s="31"/>
      <c r="U243" s="69">
        <v>0</v>
      </c>
      <c r="V243" s="69"/>
      <c r="W243" s="69"/>
      <c r="X243" s="69"/>
      <c r="Y243" s="69">
        <v>0</v>
      </c>
      <c r="Z243" s="69">
        <v>0</v>
      </c>
      <c r="AA243" s="69"/>
      <c r="AB243" s="69"/>
      <c r="AC243" s="69"/>
      <c r="AD243" s="133"/>
      <c r="AE243" s="133"/>
      <c r="AF243" s="133"/>
    </row>
    <row r="244" spans="1:32" x14ac:dyDescent="0.25">
      <c r="A244" t="s">
        <v>81</v>
      </c>
      <c r="B244" t="s">
        <v>405</v>
      </c>
      <c r="C244" s="31"/>
      <c r="D244" s="31"/>
      <c r="E244" s="65"/>
      <c r="F244" s="31"/>
      <c r="G244" s="66"/>
      <c r="H244" s="31"/>
      <c r="I244" s="65"/>
      <c r="J244" s="65"/>
      <c r="K244" s="31"/>
      <c r="L244" s="31"/>
      <c r="M244" s="67"/>
      <c r="N244" s="67"/>
      <c r="O244" s="68"/>
      <c r="P244" s="68"/>
      <c r="Q244" s="69"/>
      <c r="R244" s="69"/>
      <c r="S244" s="31">
        <v>1</v>
      </c>
      <c r="T244" s="31">
        <v>1</v>
      </c>
      <c r="U244" s="69"/>
      <c r="V244" s="69"/>
      <c r="W244" s="69"/>
      <c r="X244" s="69"/>
      <c r="Y244" s="69"/>
      <c r="Z244" s="69"/>
      <c r="AA244" s="69"/>
      <c r="AB244" s="69"/>
      <c r="AC244" s="69"/>
      <c r="AD244" s="133"/>
      <c r="AE244" s="133"/>
      <c r="AF244" s="133"/>
    </row>
    <row r="245" spans="1:32" x14ac:dyDescent="0.25">
      <c r="A245" t="s">
        <v>81</v>
      </c>
      <c r="B245" t="s">
        <v>377</v>
      </c>
      <c r="C245" s="31"/>
      <c r="D245" s="31"/>
      <c r="E245" s="65"/>
      <c r="F245" s="31"/>
      <c r="G245" s="66"/>
      <c r="H245" s="31"/>
      <c r="I245" s="65"/>
      <c r="J245" s="65"/>
      <c r="K245" s="31">
        <v>1</v>
      </c>
      <c r="L245" s="31">
        <v>2</v>
      </c>
      <c r="M245" s="67"/>
      <c r="N245" s="67"/>
      <c r="O245" s="68"/>
      <c r="P245" s="68"/>
      <c r="Q245" s="69"/>
      <c r="R245" s="69"/>
      <c r="S245" s="31"/>
      <c r="T245" s="31"/>
      <c r="U245" s="69">
        <v>-0.5</v>
      </c>
      <c r="V245" s="69"/>
      <c r="W245" s="69"/>
      <c r="X245" s="69"/>
      <c r="Y245" s="69">
        <v>0</v>
      </c>
      <c r="Z245" s="69">
        <v>0</v>
      </c>
      <c r="AA245" s="69"/>
      <c r="AB245" s="69"/>
      <c r="AC245" s="69"/>
      <c r="AD245" s="133"/>
      <c r="AE245" s="133"/>
      <c r="AF245" s="133"/>
    </row>
    <row r="246" spans="1:32" x14ac:dyDescent="0.25">
      <c r="A246" t="s">
        <v>81</v>
      </c>
      <c r="B246" t="s">
        <v>406</v>
      </c>
      <c r="C246" s="31"/>
      <c r="D246" s="31"/>
      <c r="E246" s="65"/>
      <c r="F246" s="31"/>
      <c r="G246" s="66"/>
      <c r="H246" s="31"/>
      <c r="I246" s="65"/>
      <c r="J246" s="65"/>
      <c r="K246" s="31">
        <v>33</v>
      </c>
      <c r="L246" s="31">
        <v>39</v>
      </c>
      <c r="M246" s="67"/>
      <c r="N246" s="67"/>
      <c r="O246" s="68"/>
      <c r="P246" s="68"/>
      <c r="Q246" s="69"/>
      <c r="R246" s="69"/>
      <c r="S246" s="31"/>
      <c r="T246" s="31"/>
      <c r="U246" s="69">
        <v>-0.15384615384615385</v>
      </c>
      <c r="V246" s="69"/>
      <c r="W246" s="69"/>
      <c r="X246" s="69"/>
      <c r="Y246" s="69">
        <v>0</v>
      </c>
      <c r="Z246" s="69">
        <v>0</v>
      </c>
      <c r="AA246" s="69"/>
      <c r="AB246" s="69"/>
      <c r="AC246" s="69"/>
      <c r="AD246" s="133"/>
      <c r="AE246" s="133"/>
      <c r="AF246" s="133"/>
    </row>
    <row r="247" spans="1:32" x14ac:dyDescent="0.25">
      <c r="A247" t="s">
        <v>81</v>
      </c>
      <c r="B247" t="s">
        <v>389</v>
      </c>
      <c r="C247" s="31"/>
      <c r="D247" s="31"/>
      <c r="E247" s="65"/>
      <c r="F247" s="31"/>
      <c r="G247" s="66"/>
      <c r="H247" s="31"/>
      <c r="I247" s="65"/>
      <c r="J247" s="65"/>
      <c r="K247" s="31">
        <v>1</v>
      </c>
      <c r="L247" s="31">
        <v>2</v>
      </c>
      <c r="M247" s="67"/>
      <c r="N247" s="67"/>
      <c r="O247" s="68"/>
      <c r="P247" s="68"/>
      <c r="Q247" s="69"/>
      <c r="R247" s="69"/>
      <c r="S247" s="31"/>
      <c r="T247" s="31"/>
      <c r="U247" s="69">
        <v>-0.5</v>
      </c>
      <c r="V247" s="69"/>
      <c r="W247" s="69"/>
      <c r="X247" s="69"/>
      <c r="Y247" s="69">
        <v>0</v>
      </c>
      <c r="Z247" s="69">
        <v>0</v>
      </c>
      <c r="AA247" s="69"/>
      <c r="AB247" s="69"/>
      <c r="AC247" s="69"/>
      <c r="AD247" s="133"/>
      <c r="AE247" s="133"/>
      <c r="AF247" s="133"/>
    </row>
    <row r="248" spans="1:32" x14ac:dyDescent="0.25">
      <c r="A248" t="s">
        <v>81</v>
      </c>
      <c r="B248" t="s">
        <v>737</v>
      </c>
      <c r="C248" s="31"/>
      <c r="D248" s="31"/>
      <c r="E248" s="65"/>
      <c r="F248" s="31"/>
      <c r="G248" s="66"/>
      <c r="H248" s="31"/>
      <c r="I248" s="65"/>
      <c r="J248" s="65"/>
      <c r="K248" s="31">
        <v>1</v>
      </c>
      <c r="L248" s="31"/>
      <c r="M248" s="67"/>
      <c r="N248" s="67"/>
      <c r="O248" s="68"/>
      <c r="P248" s="68"/>
      <c r="Q248" s="69"/>
      <c r="R248" s="69"/>
      <c r="S248" s="31"/>
      <c r="T248" s="31"/>
      <c r="U248" s="69"/>
      <c r="V248" s="69"/>
      <c r="W248" s="69"/>
      <c r="X248" s="69"/>
      <c r="Y248" s="69">
        <v>0</v>
      </c>
      <c r="Z248" s="69">
        <v>0</v>
      </c>
      <c r="AA248" s="69"/>
      <c r="AB248" s="69"/>
      <c r="AC248" s="69"/>
      <c r="AD248" s="133"/>
      <c r="AE248" s="133"/>
      <c r="AF248" s="133"/>
    </row>
    <row r="249" spans="1:32" x14ac:dyDescent="0.25">
      <c r="A249" t="s">
        <v>81</v>
      </c>
      <c r="B249" t="s">
        <v>418</v>
      </c>
      <c r="C249" s="31"/>
      <c r="D249" s="31"/>
      <c r="E249" s="65"/>
      <c r="F249" s="31"/>
      <c r="G249" s="66"/>
      <c r="H249" s="31"/>
      <c r="I249" s="65"/>
      <c r="J249" s="65"/>
      <c r="K249" s="31"/>
      <c r="L249" s="31">
        <v>2</v>
      </c>
      <c r="M249" s="67"/>
      <c r="N249" s="67"/>
      <c r="O249" s="68"/>
      <c r="P249" s="68"/>
      <c r="Q249" s="69"/>
      <c r="R249" s="69"/>
      <c r="S249" s="31"/>
      <c r="T249" s="31"/>
      <c r="U249" s="69"/>
      <c r="V249" s="69"/>
      <c r="W249" s="69"/>
      <c r="X249" s="69"/>
      <c r="Y249" s="69"/>
      <c r="Z249" s="69"/>
      <c r="AA249" s="69"/>
      <c r="AB249" s="69"/>
      <c r="AC249" s="69"/>
      <c r="AD249" s="133"/>
      <c r="AE249" s="133"/>
      <c r="AF249" s="133"/>
    </row>
    <row r="250" spans="1:32" x14ac:dyDescent="0.25">
      <c r="A250" t="s">
        <v>81</v>
      </c>
      <c r="B250" t="s">
        <v>407</v>
      </c>
      <c r="C250" s="31"/>
      <c r="D250" s="31"/>
      <c r="E250" s="65"/>
      <c r="F250" s="31"/>
      <c r="G250" s="66"/>
      <c r="H250" s="31"/>
      <c r="I250" s="65"/>
      <c r="J250" s="65"/>
      <c r="K250" s="31"/>
      <c r="L250" s="31">
        <v>1</v>
      </c>
      <c r="M250" s="67"/>
      <c r="N250" s="67"/>
      <c r="O250" s="68"/>
      <c r="P250" s="68"/>
      <c r="Q250" s="69"/>
      <c r="R250" s="69"/>
      <c r="S250" s="31"/>
      <c r="T250" s="31"/>
      <c r="U250" s="69"/>
      <c r="V250" s="69"/>
      <c r="W250" s="69"/>
      <c r="X250" s="69"/>
      <c r="Y250" s="69"/>
      <c r="Z250" s="69"/>
      <c r="AA250" s="69"/>
      <c r="AB250" s="69"/>
      <c r="AC250" s="69"/>
      <c r="AD250" s="133"/>
      <c r="AE250" s="133"/>
      <c r="AF250" s="133"/>
    </row>
    <row r="251" spans="1:32" x14ac:dyDescent="0.25">
      <c r="A251" t="s">
        <v>81</v>
      </c>
      <c r="B251" t="s">
        <v>424</v>
      </c>
      <c r="C251" s="31"/>
      <c r="D251" s="31"/>
      <c r="E251" s="65"/>
      <c r="F251" s="31"/>
      <c r="G251" s="66"/>
      <c r="H251" s="31"/>
      <c r="I251" s="65"/>
      <c r="J251" s="65"/>
      <c r="K251" s="31">
        <v>7</v>
      </c>
      <c r="L251" s="31">
        <v>16.857142857142858</v>
      </c>
      <c r="M251" s="67"/>
      <c r="N251" s="67"/>
      <c r="O251" s="68"/>
      <c r="P251" s="68"/>
      <c r="Q251" s="69"/>
      <c r="R251" s="69"/>
      <c r="S251" s="31"/>
      <c r="T251" s="31"/>
      <c r="U251" s="69">
        <v>-0.5847457627118644</v>
      </c>
      <c r="V251" s="69"/>
      <c r="W251" s="69"/>
      <c r="X251" s="69"/>
      <c r="Y251" s="69">
        <v>0</v>
      </c>
      <c r="Z251" s="69">
        <v>0</v>
      </c>
      <c r="AA251" s="69"/>
      <c r="AB251" s="69"/>
      <c r="AC251" s="69"/>
      <c r="AD251" s="133"/>
      <c r="AE251" s="133"/>
      <c r="AF251" s="133"/>
    </row>
    <row r="252" spans="1:32" x14ac:dyDescent="0.25">
      <c r="A252" t="s">
        <v>81</v>
      </c>
      <c r="B252" t="s">
        <v>391</v>
      </c>
      <c r="C252" s="31"/>
      <c r="D252" s="31"/>
      <c r="E252" s="65"/>
      <c r="F252" s="31"/>
      <c r="G252" s="66"/>
      <c r="H252" s="31"/>
      <c r="I252" s="65"/>
      <c r="J252" s="65"/>
      <c r="K252" s="31">
        <v>-1</v>
      </c>
      <c r="L252" s="31"/>
      <c r="M252" s="67"/>
      <c r="N252" s="67"/>
      <c r="O252" s="68"/>
      <c r="P252" s="68"/>
      <c r="Q252" s="69"/>
      <c r="R252" s="69"/>
      <c r="S252" s="31"/>
      <c r="T252" s="31"/>
      <c r="U252" s="69"/>
      <c r="V252" s="69"/>
      <c r="W252" s="69"/>
      <c r="X252" s="69"/>
      <c r="Y252" s="69">
        <v>0</v>
      </c>
      <c r="Z252" s="69">
        <v>0</v>
      </c>
      <c r="AA252" s="69"/>
      <c r="AB252" s="69"/>
      <c r="AC252" s="69"/>
      <c r="AD252" s="133"/>
      <c r="AE252" s="133"/>
      <c r="AF252" s="133"/>
    </row>
    <row r="253" spans="1:32" x14ac:dyDescent="0.25">
      <c r="A253" t="s">
        <v>81</v>
      </c>
      <c r="B253" t="s">
        <v>365</v>
      </c>
      <c r="C253" s="31"/>
      <c r="D253" s="31">
        <v>5</v>
      </c>
      <c r="E253" s="65"/>
      <c r="F253" s="31">
        <v>5</v>
      </c>
      <c r="G253" s="66"/>
      <c r="H253" s="31">
        <v>535.87</v>
      </c>
      <c r="I253" s="65"/>
      <c r="J253" s="65">
        <v>-41.009999999999991</v>
      </c>
      <c r="K253" s="31">
        <v>107.28571428571429</v>
      </c>
      <c r="L253" s="31">
        <v>288</v>
      </c>
      <c r="M253" s="67"/>
      <c r="N253" s="67">
        <v>58.714285714285708</v>
      </c>
      <c r="O253" s="68"/>
      <c r="P253" s="68">
        <v>107.17400000000001</v>
      </c>
      <c r="Q253" s="69"/>
      <c r="R253" s="69">
        <v>-7.6529755351111256E-2</v>
      </c>
      <c r="S253" s="31">
        <v>46.571428571428569</v>
      </c>
      <c r="T253" s="31">
        <v>72.857142857142861</v>
      </c>
      <c r="U253" s="69">
        <v>-0.62946428571428581</v>
      </c>
      <c r="V253" s="69"/>
      <c r="W253" s="69"/>
      <c r="X253" s="69"/>
      <c r="Y253" s="69">
        <v>-3.804923803002247E-2</v>
      </c>
      <c r="Z253" s="69">
        <v>-3.0967741935483795E-2</v>
      </c>
      <c r="AA253" s="69"/>
      <c r="AB253" s="69"/>
      <c r="AC253" s="69"/>
      <c r="AD253" s="133"/>
      <c r="AE253" s="133"/>
      <c r="AF253" s="133"/>
    </row>
    <row r="254" spans="1:32" x14ac:dyDescent="0.25">
      <c r="A254" t="s">
        <v>81</v>
      </c>
      <c r="B254" t="s">
        <v>423</v>
      </c>
      <c r="C254" s="31"/>
      <c r="D254" s="31"/>
      <c r="E254" s="65"/>
      <c r="F254" s="31"/>
      <c r="G254" s="66"/>
      <c r="H254" s="31"/>
      <c r="I254" s="65"/>
      <c r="J254" s="65"/>
      <c r="K254" s="31">
        <v>6</v>
      </c>
      <c r="L254" s="31">
        <v>6</v>
      </c>
      <c r="M254" s="67"/>
      <c r="N254" s="67"/>
      <c r="O254" s="68"/>
      <c r="P254" s="68"/>
      <c r="Q254" s="69"/>
      <c r="R254" s="69"/>
      <c r="S254" s="31"/>
      <c r="T254" s="31"/>
      <c r="U254" s="69">
        <v>0</v>
      </c>
      <c r="V254" s="69"/>
      <c r="W254" s="69"/>
      <c r="X254" s="69"/>
      <c r="Y254" s="69">
        <v>0</v>
      </c>
      <c r="Z254" s="69">
        <v>0</v>
      </c>
      <c r="AA254" s="69"/>
      <c r="AB254" s="69"/>
      <c r="AC254" s="69"/>
      <c r="AD254" s="133"/>
      <c r="AE254" s="133"/>
      <c r="AF254" s="133"/>
    </row>
    <row r="255" spans="1:32" x14ac:dyDescent="0.25">
      <c r="A255" t="s">
        <v>81</v>
      </c>
      <c r="B255" t="s">
        <v>413</v>
      </c>
      <c r="C255" s="31"/>
      <c r="D255" s="31"/>
      <c r="E255" s="65"/>
      <c r="F255" s="31"/>
      <c r="G255" s="66"/>
      <c r="H255" s="31"/>
      <c r="I255" s="65"/>
      <c r="J255" s="65"/>
      <c r="K255" s="31"/>
      <c r="L255" s="31">
        <v>1.1428571428571428</v>
      </c>
      <c r="M255" s="67"/>
      <c r="N255" s="67"/>
      <c r="O255" s="68"/>
      <c r="P255" s="68"/>
      <c r="Q255" s="69"/>
      <c r="R255" s="69"/>
      <c r="S255" s="31"/>
      <c r="T255" s="31"/>
      <c r="U255" s="69"/>
      <c r="V255" s="69"/>
      <c r="W255" s="69"/>
      <c r="X255" s="69"/>
      <c r="Y255" s="69"/>
      <c r="Z255" s="69"/>
      <c r="AA255" s="69"/>
      <c r="AB255" s="69"/>
      <c r="AC255" s="69"/>
      <c r="AD255" s="133"/>
      <c r="AE255" s="133"/>
      <c r="AF255" s="133"/>
    </row>
    <row r="256" spans="1:32" x14ac:dyDescent="0.25">
      <c r="A256" t="s">
        <v>81</v>
      </c>
      <c r="B256" t="s">
        <v>411</v>
      </c>
      <c r="C256" s="31"/>
      <c r="D256" s="31"/>
      <c r="E256" s="65"/>
      <c r="F256" s="31"/>
      <c r="G256" s="66"/>
      <c r="H256" s="31"/>
      <c r="I256" s="65"/>
      <c r="J256" s="65"/>
      <c r="K256" s="31">
        <v>1</v>
      </c>
      <c r="L256" s="31">
        <v>1</v>
      </c>
      <c r="M256" s="67"/>
      <c r="N256" s="67"/>
      <c r="O256" s="68"/>
      <c r="P256" s="68"/>
      <c r="Q256" s="69"/>
      <c r="R256" s="69"/>
      <c r="S256" s="31"/>
      <c r="T256" s="31"/>
      <c r="U256" s="69">
        <v>0</v>
      </c>
      <c r="V256" s="69"/>
      <c r="W256" s="69"/>
      <c r="X256" s="69"/>
      <c r="Y256" s="69">
        <v>0</v>
      </c>
      <c r="Z256" s="69">
        <v>0</v>
      </c>
      <c r="AA256" s="69"/>
      <c r="AB256" s="69"/>
      <c r="AC256" s="69"/>
      <c r="AD256" s="133"/>
      <c r="AE256" s="133"/>
      <c r="AF256" s="133"/>
    </row>
    <row r="257" spans="1:32" x14ac:dyDescent="0.25">
      <c r="A257" t="s">
        <v>81</v>
      </c>
      <c r="B257" t="s">
        <v>403</v>
      </c>
      <c r="C257" s="31"/>
      <c r="D257" s="31"/>
      <c r="E257" s="65"/>
      <c r="F257" s="31"/>
      <c r="G257" s="66"/>
      <c r="H257" s="31"/>
      <c r="I257" s="65"/>
      <c r="J257" s="65"/>
      <c r="K257" s="31"/>
      <c r="L257" s="31"/>
      <c r="M257" s="67"/>
      <c r="N257" s="67"/>
      <c r="O257" s="68"/>
      <c r="P257" s="68"/>
      <c r="Q257" s="69"/>
      <c r="R257" s="69"/>
      <c r="S257" s="31">
        <v>25</v>
      </c>
      <c r="T257" s="31">
        <v>149</v>
      </c>
      <c r="U257" s="69"/>
      <c r="V257" s="69"/>
      <c r="W257" s="69"/>
      <c r="X257" s="69"/>
      <c r="Y257" s="69"/>
      <c r="Z257" s="69"/>
      <c r="AA257" s="69"/>
      <c r="AB257" s="69"/>
      <c r="AC257" s="69"/>
      <c r="AD257" s="133"/>
      <c r="AE257" s="133"/>
      <c r="AF257" s="133"/>
    </row>
    <row r="258" spans="1:32" x14ac:dyDescent="0.25">
      <c r="A258" t="s">
        <v>81</v>
      </c>
      <c r="B258" t="s">
        <v>375</v>
      </c>
      <c r="C258" s="31"/>
      <c r="D258" s="31"/>
      <c r="E258" s="65"/>
      <c r="F258" s="31"/>
      <c r="G258" s="66"/>
      <c r="H258" s="31"/>
      <c r="I258" s="65"/>
      <c r="J258" s="65"/>
      <c r="K258" s="31">
        <v>1</v>
      </c>
      <c r="L258" s="31">
        <v>1</v>
      </c>
      <c r="M258" s="67"/>
      <c r="N258" s="67"/>
      <c r="O258" s="68"/>
      <c r="P258" s="68"/>
      <c r="Q258" s="69"/>
      <c r="R258" s="69"/>
      <c r="S258" s="31"/>
      <c r="T258" s="31"/>
      <c r="U258" s="69">
        <v>0</v>
      </c>
      <c r="V258" s="69"/>
      <c r="W258" s="69"/>
      <c r="X258" s="69"/>
      <c r="Y258" s="69">
        <v>0</v>
      </c>
      <c r="Z258" s="69">
        <v>0</v>
      </c>
      <c r="AA258" s="69"/>
      <c r="AB258" s="69"/>
      <c r="AC258" s="69"/>
      <c r="AD258" s="133"/>
      <c r="AE258" s="133"/>
      <c r="AF258" s="133"/>
    </row>
    <row r="259" spans="1:32" x14ac:dyDescent="0.25">
      <c r="A259" t="s">
        <v>81</v>
      </c>
      <c r="B259" t="s">
        <v>386</v>
      </c>
      <c r="C259" s="31"/>
      <c r="D259" s="31"/>
      <c r="E259" s="65"/>
      <c r="F259" s="31"/>
      <c r="G259" s="66"/>
      <c r="H259" s="31"/>
      <c r="I259" s="65"/>
      <c r="J259" s="65"/>
      <c r="K259" s="31">
        <v>1</v>
      </c>
      <c r="L259" s="31">
        <v>1</v>
      </c>
      <c r="M259" s="67"/>
      <c r="N259" s="67"/>
      <c r="O259" s="68"/>
      <c r="P259" s="68"/>
      <c r="Q259" s="69"/>
      <c r="R259" s="69"/>
      <c r="S259" s="31">
        <v>4</v>
      </c>
      <c r="T259" s="31"/>
      <c r="U259" s="69">
        <v>0</v>
      </c>
      <c r="V259" s="69"/>
      <c r="W259" s="69"/>
      <c r="X259" s="69"/>
      <c r="Y259" s="69">
        <v>0</v>
      </c>
      <c r="Z259" s="69">
        <v>0</v>
      </c>
      <c r="AA259" s="69"/>
      <c r="AB259" s="69"/>
      <c r="AC259" s="69"/>
      <c r="AD259" s="133"/>
      <c r="AE259" s="133"/>
      <c r="AF259" s="133"/>
    </row>
    <row r="260" spans="1:32" x14ac:dyDescent="0.25">
      <c r="A260" s="129" t="s">
        <v>809</v>
      </c>
      <c r="B260" s="129"/>
      <c r="C260" s="120">
        <v>16904</v>
      </c>
      <c r="D260" s="120">
        <v>16105</v>
      </c>
      <c r="E260" s="119">
        <v>29779</v>
      </c>
      <c r="F260" s="120">
        <v>29228</v>
      </c>
      <c r="G260" s="120">
        <v>12184005.470001662</v>
      </c>
      <c r="H260" s="120">
        <v>6354469.6700011427</v>
      </c>
      <c r="I260" s="119">
        <v>7720901.1100000329</v>
      </c>
      <c r="J260" s="119">
        <v>3460738.150001165</v>
      </c>
      <c r="K260" s="120">
        <v>457056</v>
      </c>
      <c r="L260" s="120">
        <v>560002.42857142852</v>
      </c>
      <c r="M260" s="131">
        <v>15.348265556264481</v>
      </c>
      <c r="N260" s="131">
        <v>19.302897708876912</v>
      </c>
      <c r="O260" s="130">
        <v>409.14756942817633</v>
      </c>
      <c r="P260" s="130">
        <v>217.41034863833113</v>
      </c>
      <c r="Q260" s="132">
        <v>0.63369153346243368</v>
      </c>
      <c r="R260" s="132">
        <v>0.52992460375519457</v>
      </c>
      <c r="S260" s="120">
        <v>205766.85714285713</v>
      </c>
      <c r="T260" s="120">
        <v>383015.28571428574</v>
      </c>
      <c r="U260" s="132">
        <v>-0.20725879505114386</v>
      </c>
      <c r="V260" s="132">
        <v>-1.4301354865197791E-2</v>
      </c>
      <c r="W260" s="132">
        <v>0.84984431910896374</v>
      </c>
      <c r="X260" s="132">
        <v>1.2120550501426273</v>
      </c>
      <c r="Y260" s="132">
        <v>-1.3193742031192945E-2</v>
      </c>
      <c r="Z260" s="132">
        <v>-2.6155731462547571E-2</v>
      </c>
      <c r="AA260" s="132">
        <v>9.4293168706133024E-2</v>
      </c>
      <c r="AB260" s="132">
        <v>0.10715797381878245</v>
      </c>
      <c r="AC260" s="132">
        <v>1.1756269234377559E-2</v>
      </c>
      <c r="AD260" s="134">
        <v>3.6199617455519209E-2</v>
      </c>
      <c r="AE260" s="134">
        <v>0.33906085794848706</v>
      </c>
      <c r="AF260" s="134">
        <v>0.5664703450470201</v>
      </c>
    </row>
    <row r="261" spans="1:32" x14ac:dyDescent="0.25">
      <c r="A261" t="s">
        <v>77</v>
      </c>
      <c r="B261" t="s">
        <v>473</v>
      </c>
      <c r="C261" s="31">
        <v>1309</v>
      </c>
      <c r="D261" s="31">
        <v>955</v>
      </c>
      <c r="E261" s="65">
        <v>1349</v>
      </c>
      <c r="F261" s="31">
        <v>980</v>
      </c>
      <c r="G261" s="66">
        <v>1733034.9499999825</v>
      </c>
      <c r="H261" s="31">
        <v>1079109.93</v>
      </c>
      <c r="I261" s="65">
        <v>792825.27000000421</v>
      </c>
      <c r="J261" s="65">
        <v>475494.03000000084</v>
      </c>
      <c r="K261" s="31">
        <v>13620.142857142857</v>
      </c>
      <c r="L261" s="31">
        <v>16479.142857142859</v>
      </c>
      <c r="M261" s="67">
        <v>10.096473578311977</v>
      </c>
      <c r="N261" s="67">
        <v>16.991747296528175</v>
      </c>
      <c r="O261" s="68">
        <v>1284.6812083024333</v>
      </c>
      <c r="P261" s="68">
        <v>1101.132581632653</v>
      </c>
      <c r="Q261" s="69">
        <v>0.45747794641995665</v>
      </c>
      <c r="R261" s="69">
        <v>0.43062740039300262</v>
      </c>
      <c r="S261" s="31">
        <v>5663.1428571428569</v>
      </c>
      <c r="T261" s="31">
        <v>12345.142857142857</v>
      </c>
      <c r="U261" s="69">
        <v>-0.19721032647329106</v>
      </c>
      <c r="V261" s="69">
        <v>0.33061224489795915</v>
      </c>
      <c r="W261" s="69">
        <v>0.55153506001004482</v>
      </c>
      <c r="X261" s="69">
        <v>0.64521145210427933</v>
      </c>
      <c r="Y261" s="69">
        <v>9.5957441988043346E-2</v>
      </c>
      <c r="Z261" s="69">
        <v>0.1175305342616686</v>
      </c>
      <c r="AA261" s="69">
        <v>7.0634920634920606E-2</v>
      </c>
      <c r="AB261" s="69">
        <v>0.17606610685599988</v>
      </c>
      <c r="AC261" s="69">
        <v>9.8475385202787313E-2</v>
      </c>
      <c r="AD261" s="133">
        <v>0.48580276359314029</v>
      </c>
      <c r="AE261" s="133">
        <v>0.180310836245307</v>
      </c>
      <c r="AF261" s="133">
        <v>0.2730399409199411</v>
      </c>
    </row>
    <row r="262" spans="1:32" x14ac:dyDescent="0.25">
      <c r="A262" t="s">
        <v>77</v>
      </c>
      <c r="B262" t="s">
        <v>474</v>
      </c>
      <c r="C262" s="31">
        <v>2510</v>
      </c>
      <c r="D262" s="31">
        <v>3425</v>
      </c>
      <c r="E262" s="65">
        <v>5061</v>
      </c>
      <c r="F262" s="31">
        <v>6525</v>
      </c>
      <c r="G262" s="66">
        <v>1239380.8799999857</v>
      </c>
      <c r="H262" s="31">
        <v>1110980.9499999906</v>
      </c>
      <c r="I262" s="65">
        <v>597808.83999999589</v>
      </c>
      <c r="J262" s="65">
        <v>466174.00999998732</v>
      </c>
      <c r="K262" s="31">
        <v>45032.714285714283</v>
      </c>
      <c r="L262" s="31">
        <v>134350.57142857142</v>
      </c>
      <c r="M262" s="67">
        <v>8.8979874107319272</v>
      </c>
      <c r="N262" s="67">
        <v>20.661734922293046</v>
      </c>
      <c r="O262" s="68">
        <v>244.88853586247495</v>
      </c>
      <c r="P262" s="68">
        <v>170.26527969348516</v>
      </c>
      <c r="Q262" s="69">
        <v>0.48234473328328481</v>
      </c>
      <c r="R262" s="69">
        <v>0.40786596122860502</v>
      </c>
      <c r="S262" s="31">
        <v>28477.857142857141</v>
      </c>
      <c r="T262" s="31">
        <v>105088.85714285714</v>
      </c>
      <c r="U262" s="69">
        <v>-0.67219980987905847</v>
      </c>
      <c r="V262" s="69">
        <v>-0.25072796934865904</v>
      </c>
      <c r="W262" s="69">
        <v>7.9702320728359366E-2</v>
      </c>
      <c r="X262" s="69">
        <v>0.27941292631455372</v>
      </c>
      <c r="Y262" s="69">
        <v>8.9620045239056534E-2</v>
      </c>
      <c r="Z262" s="69">
        <v>0.16612841769599829</v>
      </c>
      <c r="AA262" s="69">
        <v>0.81723518850987431</v>
      </c>
      <c r="AB262" s="69">
        <v>0.52325447786757073</v>
      </c>
      <c r="AC262" s="69">
        <v>-0.16177361769192156</v>
      </c>
      <c r="AD262" s="133">
        <v>4.4418471674652779E-2</v>
      </c>
      <c r="AE262" s="133">
        <v>4.6601681134407415E-2</v>
      </c>
      <c r="AF262" s="133">
        <v>9.7474209654343544E-2</v>
      </c>
    </row>
    <row r="263" spans="1:32" x14ac:dyDescent="0.25">
      <c r="A263" t="s">
        <v>77</v>
      </c>
      <c r="B263" t="s">
        <v>480</v>
      </c>
      <c r="C263" s="31">
        <v>4675</v>
      </c>
      <c r="D263" s="31">
        <v>3567</v>
      </c>
      <c r="E263" s="65">
        <v>5522</v>
      </c>
      <c r="F263" s="31">
        <v>4453</v>
      </c>
      <c r="G263" s="66">
        <v>1224443.5099999825</v>
      </c>
      <c r="H263" s="31">
        <v>517314.69999999559</v>
      </c>
      <c r="I263" s="65">
        <v>716040.15999996697</v>
      </c>
      <c r="J263" s="65">
        <v>254752.88999999483</v>
      </c>
      <c r="K263" s="31">
        <v>38097.428571428572</v>
      </c>
      <c r="L263" s="31">
        <v>70784</v>
      </c>
      <c r="M263" s="67">
        <v>6.8992083613597561</v>
      </c>
      <c r="N263" s="67">
        <v>16.065149136577705</v>
      </c>
      <c r="O263" s="68">
        <v>221.7391361825394</v>
      </c>
      <c r="P263" s="68">
        <v>116.17217606108143</v>
      </c>
      <c r="Q263" s="69">
        <v>0.5847882357594244</v>
      </c>
      <c r="R263" s="69">
        <v>0.48273564579812084</v>
      </c>
      <c r="S263" s="31">
        <v>9950.1428571428569</v>
      </c>
      <c r="T263" s="31">
        <v>34143</v>
      </c>
      <c r="U263" s="69">
        <v>-0.47820330663911126</v>
      </c>
      <c r="V263" s="69">
        <v>0.19312822816079045</v>
      </c>
      <c r="W263" s="69">
        <v>1.2770374203555246</v>
      </c>
      <c r="X263" s="69">
        <v>1.7599908780289701</v>
      </c>
      <c r="Y263" s="69">
        <v>-9.5087668399015945E-2</v>
      </c>
      <c r="Z263" s="69">
        <v>-0.10330056085325012</v>
      </c>
      <c r="AA263" s="69">
        <v>6.3149788217173652E-2</v>
      </c>
      <c r="AB263" s="69">
        <v>5.1949899066553451E-2</v>
      </c>
      <c r="AC263" s="69">
        <v>-1.0534629527041095E-2</v>
      </c>
      <c r="AD263" s="133">
        <v>0.96852042803376992</v>
      </c>
      <c r="AE263" s="133">
        <v>1.3495711281936442</v>
      </c>
      <c r="AF263" s="133">
        <v>1.7550600758560082</v>
      </c>
    </row>
    <row r="264" spans="1:32" x14ac:dyDescent="0.25">
      <c r="A264" t="s">
        <v>77</v>
      </c>
      <c r="B264" t="s">
        <v>478</v>
      </c>
      <c r="C264" s="31">
        <v>3497</v>
      </c>
      <c r="D264" s="31">
        <v>2954</v>
      </c>
      <c r="E264" s="65">
        <v>3973</v>
      </c>
      <c r="F264" s="31">
        <v>3619</v>
      </c>
      <c r="G264" s="66">
        <v>1025007.0199999872</v>
      </c>
      <c r="H264" s="31">
        <v>458188.26999999647</v>
      </c>
      <c r="I264" s="65">
        <v>615784.21999998984</v>
      </c>
      <c r="J264" s="65">
        <v>227250.22999999585</v>
      </c>
      <c r="K264" s="31">
        <v>44694.857142857145</v>
      </c>
      <c r="L264" s="31">
        <v>75287</v>
      </c>
      <c r="M264" s="67">
        <v>11.249649419294524</v>
      </c>
      <c r="N264" s="67">
        <v>20.936874400767017</v>
      </c>
      <c r="O264" s="68">
        <v>257.99320916183922</v>
      </c>
      <c r="P264" s="68">
        <v>126.60631942525463</v>
      </c>
      <c r="Q264" s="69">
        <v>0.60076097820285912</v>
      </c>
      <c r="R264" s="69">
        <v>0.48279234231146534</v>
      </c>
      <c r="S264" s="31">
        <v>5431.4285714285716</v>
      </c>
      <c r="T264" s="31">
        <v>30571.428571428572</v>
      </c>
      <c r="U264" s="69">
        <v>-0.41971009982751717</v>
      </c>
      <c r="V264" s="69">
        <v>7.3224647692732736E-2</v>
      </c>
      <c r="W264" s="69">
        <v>1.1902009189366538</v>
      </c>
      <c r="X264" s="69">
        <v>1.7183960886772272</v>
      </c>
      <c r="Y264" s="69">
        <v>-5.7297174913102711E-2</v>
      </c>
      <c r="Z264" s="69">
        <v>-4.8076308703390858E-2</v>
      </c>
      <c r="AA264" s="69">
        <v>5.4125762801804145E-2</v>
      </c>
      <c r="AB264" s="69">
        <v>2.4454849080877361E-2</v>
      </c>
      <c r="AC264" s="69">
        <v>-2.8147413494632123E-2</v>
      </c>
      <c r="AD264" s="133">
        <v>0.22582395471047934</v>
      </c>
      <c r="AE264" s="133">
        <v>0.70785412233618317</v>
      </c>
      <c r="AF264" s="133">
        <v>1.02194682710176</v>
      </c>
    </row>
    <row r="265" spans="1:32" x14ac:dyDescent="0.25">
      <c r="A265" t="s">
        <v>77</v>
      </c>
      <c r="B265" t="s">
        <v>477</v>
      </c>
      <c r="C265" s="31">
        <v>1414</v>
      </c>
      <c r="D265" s="31">
        <v>1395</v>
      </c>
      <c r="E265" s="65">
        <v>1688</v>
      </c>
      <c r="F265" s="31">
        <v>1709</v>
      </c>
      <c r="G265" s="66">
        <v>1017935.7299999977</v>
      </c>
      <c r="H265" s="31">
        <v>480829.9899999965</v>
      </c>
      <c r="I265" s="65">
        <v>517608.27000000194</v>
      </c>
      <c r="J265" s="65">
        <v>155561.8799999961</v>
      </c>
      <c r="K265" s="31">
        <v>28717.285714285714</v>
      </c>
      <c r="L265" s="31">
        <v>46108</v>
      </c>
      <c r="M265" s="67">
        <v>17.012610020311442</v>
      </c>
      <c r="N265" s="67">
        <v>27.216121400016316</v>
      </c>
      <c r="O265" s="68">
        <v>603.04249407582802</v>
      </c>
      <c r="P265" s="68">
        <v>281.35166179051873</v>
      </c>
      <c r="Q265" s="69">
        <v>0.50848816358966309</v>
      </c>
      <c r="R265" s="69">
        <v>0.31656840093354643</v>
      </c>
      <c r="S265" s="31">
        <v>10332</v>
      </c>
      <c r="T265" s="31">
        <v>37093.714285714283</v>
      </c>
      <c r="U265" s="69">
        <v>-0.39698100112778689</v>
      </c>
      <c r="V265" s="69">
        <v>-4.8566413107080209E-2</v>
      </c>
      <c r="W265" s="69">
        <v>1.027792921152868</v>
      </c>
      <c r="X265" s="69">
        <v>2.2495156616082861</v>
      </c>
      <c r="Y265" s="69">
        <v>0.4067831405862159</v>
      </c>
      <c r="Z265" s="69">
        <v>0.35691142521566555</v>
      </c>
      <c r="AA265" s="69">
        <v>0.71894093686354377</v>
      </c>
      <c r="AB265" s="69">
        <v>0.63071575928692059</v>
      </c>
      <c r="AC265" s="69">
        <v>-5.1325310651803346E-2</v>
      </c>
      <c r="AD265" s="133">
        <v>-0.28514399203121887</v>
      </c>
      <c r="AE265" s="133">
        <v>-0.42844137166709823</v>
      </c>
      <c r="AF265" s="133">
        <v>-0.37213897218095426</v>
      </c>
    </row>
    <row r="266" spans="1:32" x14ac:dyDescent="0.25">
      <c r="A266" t="s">
        <v>77</v>
      </c>
      <c r="B266" t="s">
        <v>481</v>
      </c>
      <c r="C266" s="31">
        <v>3286</v>
      </c>
      <c r="D266" s="31">
        <v>1882</v>
      </c>
      <c r="E266" s="65">
        <v>4358</v>
      </c>
      <c r="F266" s="31">
        <v>2499</v>
      </c>
      <c r="G266" s="66">
        <v>999823.44999997225</v>
      </c>
      <c r="H266" s="31">
        <v>265335.20999999921</v>
      </c>
      <c r="I266" s="65">
        <v>534135.24000000267</v>
      </c>
      <c r="J266" s="65">
        <v>126733.62999999858</v>
      </c>
      <c r="K266" s="31">
        <v>45303.285714285717</v>
      </c>
      <c r="L266" s="31">
        <v>60979.142857142855</v>
      </c>
      <c r="M266" s="67">
        <v>10.395430407133023</v>
      </c>
      <c r="N266" s="67">
        <v>24.406597664249738</v>
      </c>
      <c r="O266" s="68">
        <v>229.42254474528963</v>
      </c>
      <c r="P266" s="68">
        <v>106.17655462184842</v>
      </c>
      <c r="Q266" s="69">
        <v>0.53422955822852269</v>
      </c>
      <c r="R266" s="69">
        <v>0.46507182388766627</v>
      </c>
      <c r="S266" s="31">
        <v>2494.8571428571427</v>
      </c>
      <c r="T266" s="31">
        <v>7724.1428571428569</v>
      </c>
      <c r="U266" s="69">
        <v>-0.27482699002469224</v>
      </c>
      <c r="V266" s="69">
        <v>0.69307723089235695</v>
      </c>
      <c r="W266" s="69">
        <v>2.6704016779378184</v>
      </c>
      <c r="X266" s="69">
        <v>3.2052560409555753</v>
      </c>
      <c r="Y266" s="69">
        <v>2.7254022973708381E-3</v>
      </c>
      <c r="Z266" s="69">
        <v>-7.1214971529753868E-4</v>
      </c>
      <c r="AA266" s="69">
        <v>9.7732997481108308E-2</v>
      </c>
      <c r="AB266" s="69">
        <v>9.2250912794098916E-2</v>
      </c>
      <c r="AC266" s="69">
        <v>-4.9940055547103013E-3</v>
      </c>
      <c r="AD266" s="133">
        <v>0.91284157971569746</v>
      </c>
      <c r="AE266" s="133">
        <v>1.6778736143326349</v>
      </c>
      <c r="AF266" s="133">
        <v>1.96645218085079</v>
      </c>
    </row>
    <row r="267" spans="1:32" x14ac:dyDescent="0.25">
      <c r="A267" t="s">
        <v>77</v>
      </c>
      <c r="B267" t="s">
        <v>476</v>
      </c>
      <c r="C267" s="31">
        <v>2107</v>
      </c>
      <c r="D267" s="31">
        <v>2468</v>
      </c>
      <c r="E267" s="65">
        <v>3916</v>
      </c>
      <c r="F267" s="31">
        <v>6438</v>
      </c>
      <c r="G267" s="66">
        <v>991668.52999998559</v>
      </c>
      <c r="H267" s="31">
        <v>711455.78999999189</v>
      </c>
      <c r="I267" s="65">
        <v>456970.37999999587</v>
      </c>
      <c r="J267" s="65">
        <v>321952.52999999287</v>
      </c>
      <c r="K267" s="31">
        <v>55369.142857142855</v>
      </c>
      <c r="L267" s="31">
        <v>174959.71428571429</v>
      </c>
      <c r="M267" s="67">
        <v>14.139209105501239</v>
      </c>
      <c r="N267" s="67">
        <v>27.447674039985241</v>
      </c>
      <c r="O267" s="68">
        <v>253.23506894790233</v>
      </c>
      <c r="P267" s="68">
        <v>110.50882106244049</v>
      </c>
      <c r="Q267" s="69">
        <v>0.46080960136952465</v>
      </c>
      <c r="R267" s="69">
        <v>0.44346014375598569</v>
      </c>
      <c r="S267" s="31">
        <v>9512.8571428571431</v>
      </c>
      <c r="T267" s="31">
        <v>38233.285714285717</v>
      </c>
      <c r="U267" s="69">
        <v>-0.69293665970451979</v>
      </c>
      <c r="V267" s="69">
        <v>-0.4147250698974837</v>
      </c>
      <c r="W267" s="69">
        <v>0.35067155753978385</v>
      </c>
      <c r="X267" s="69">
        <v>0.4187746056884798</v>
      </c>
      <c r="Y267" s="69">
        <v>-1.8005745556904595E-2</v>
      </c>
      <c r="Z267" s="69">
        <v>-9.6964834597667027E-3</v>
      </c>
      <c r="AA267" s="69">
        <v>0.27432476407419459</v>
      </c>
      <c r="AB267" s="69">
        <v>0.12692419150508072</v>
      </c>
      <c r="AC267" s="69">
        <v>-0.11566955043536442</v>
      </c>
      <c r="AD267" s="133">
        <v>1.6505125589519797E-2</v>
      </c>
      <c r="AE267" s="133">
        <v>-6.4061744664310694E-2</v>
      </c>
      <c r="AF267" s="133">
        <v>-9.03800138890727E-2</v>
      </c>
    </row>
    <row r="268" spans="1:32" x14ac:dyDescent="0.25">
      <c r="A268" t="s">
        <v>77</v>
      </c>
      <c r="B268" t="s">
        <v>479</v>
      </c>
      <c r="C268" s="31">
        <v>2708</v>
      </c>
      <c r="D268" s="31">
        <v>2516</v>
      </c>
      <c r="E268" s="65">
        <v>3179</v>
      </c>
      <c r="F268" s="31">
        <v>2969</v>
      </c>
      <c r="G268" s="66">
        <v>821808.38000000152</v>
      </c>
      <c r="H268" s="31">
        <v>420542.18999999599</v>
      </c>
      <c r="I268" s="65">
        <v>436153.0999999888</v>
      </c>
      <c r="J268" s="65">
        <v>180887.58999999464</v>
      </c>
      <c r="K268" s="31">
        <v>36998.285714285717</v>
      </c>
      <c r="L268" s="31">
        <v>68851.571428571435</v>
      </c>
      <c r="M268" s="67">
        <v>11.63834089785647</v>
      </c>
      <c r="N268" s="67">
        <v>23.357306523263972</v>
      </c>
      <c r="O268" s="68">
        <v>258.51160113243208</v>
      </c>
      <c r="P268" s="68">
        <v>141.64438868305692</v>
      </c>
      <c r="Q268" s="69">
        <v>0.53072359763475274</v>
      </c>
      <c r="R268" s="69">
        <v>0.41805272748429123</v>
      </c>
      <c r="S268" s="31">
        <v>2749.5714285714284</v>
      </c>
      <c r="T268" s="31">
        <v>2446.1428571428573</v>
      </c>
      <c r="U268" s="69">
        <v>-0.4773394527772995</v>
      </c>
      <c r="V268" s="69">
        <v>4.1091276524082287E-2</v>
      </c>
      <c r="W268" s="69">
        <v>0.89854777709701406</v>
      </c>
      <c r="X268" s="69">
        <v>1.4188936188541135</v>
      </c>
      <c r="Y268" s="69">
        <v>3.6962436331241522E-2</v>
      </c>
      <c r="Z268" s="69">
        <v>-1.3769782638497485E-2</v>
      </c>
      <c r="AA268" s="69">
        <v>0.1205498766302433</v>
      </c>
      <c r="AB268" s="69">
        <v>0.15675049437629185</v>
      </c>
      <c r="AC268" s="69">
        <v>3.2306119076923601E-2</v>
      </c>
      <c r="AD268" s="133">
        <v>0.44420371858607038</v>
      </c>
      <c r="AE268" s="133">
        <v>0.27904405069296084</v>
      </c>
      <c r="AF268" s="133">
        <v>0.43055604629838529</v>
      </c>
    </row>
    <row r="269" spans="1:32" x14ac:dyDescent="0.25">
      <c r="A269" t="s">
        <v>77</v>
      </c>
      <c r="B269" t="s">
        <v>482</v>
      </c>
      <c r="C269" s="31">
        <v>2345</v>
      </c>
      <c r="D269" s="31">
        <v>2029</v>
      </c>
      <c r="E269" s="65">
        <v>2638</v>
      </c>
      <c r="F269" s="31">
        <v>2321</v>
      </c>
      <c r="G269" s="66">
        <v>773897.62999999593</v>
      </c>
      <c r="H269" s="31">
        <v>340219.96000000258</v>
      </c>
      <c r="I269" s="65">
        <v>418383.78999998735</v>
      </c>
      <c r="J269" s="65">
        <v>137468.91000000268</v>
      </c>
      <c r="K269" s="31">
        <v>23476.285714285714</v>
      </c>
      <c r="L269" s="31">
        <v>40477.428571428572</v>
      </c>
      <c r="M269" s="67">
        <v>8.8992743420340084</v>
      </c>
      <c r="N269" s="67">
        <v>17.592806101002825</v>
      </c>
      <c r="O269" s="68">
        <v>293.36528809704168</v>
      </c>
      <c r="P269" s="68">
        <v>146.58335200344791</v>
      </c>
      <c r="Q269" s="69">
        <v>0.54061903510415132</v>
      </c>
      <c r="R269" s="69">
        <v>0.39550415210726803</v>
      </c>
      <c r="S269" s="31">
        <v>3422.4285714285716</v>
      </c>
      <c r="T269" s="31">
        <v>16000.285714285714</v>
      </c>
      <c r="U269" s="69">
        <v>-0.43460200040939934</v>
      </c>
      <c r="V269" s="69">
        <v>0.10512710038776385</v>
      </c>
      <c r="W269" s="69">
        <v>1.2111318218954246</v>
      </c>
      <c r="X269" s="69">
        <v>2.0224475662509445</v>
      </c>
      <c r="Y269" s="69">
        <v>-7.3569242240014487E-2</v>
      </c>
      <c r="Z269" s="69">
        <v>-6.8918627973121538E-2</v>
      </c>
      <c r="AA269" s="69">
        <v>0.16007036059806512</v>
      </c>
      <c r="AB269" s="69">
        <v>9.8386727666690543E-2</v>
      </c>
      <c r="AC269" s="69">
        <v>-5.3172320426817854E-2</v>
      </c>
      <c r="AD269" s="133">
        <v>1.096626838969442</v>
      </c>
      <c r="AE269" s="133">
        <v>1.3999846278947619</v>
      </c>
      <c r="AF269" s="133">
        <v>1.8813620646848044</v>
      </c>
    </row>
    <row r="270" spans="1:32" x14ac:dyDescent="0.25">
      <c r="A270" t="s">
        <v>77</v>
      </c>
      <c r="B270" t="s">
        <v>475</v>
      </c>
      <c r="C270" s="31">
        <v>1262</v>
      </c>
      <c r="D270" s="31">
        <v>1062</v>
      </c>
      <c r="E270" s="65">
        <v>1443</v>
      </c>
      <c r="F270" s="31">
        <v>1182</v>
      </c>
      <c r="G270" s="66">
        <v>648752.99999999057</v>
      </c>
      <c r="H270" s="31">
        <v>444528.7999999958</v>
      </c>
      <c r="I270" s="65">
        <v>348062.69</v>
      </c>
      <c r="J270" s="65">
        <v>198445.64999999577</v>
      </c>
      <c r="K270" s="31">
        <v>14087</v>
      </c>
      <c r="L270" s="31">
        <v>21949.428571428572</v>
      </c>
      <c r="M270" s="67">
        <v>9.7623007623007627</v>
      </c>
      <c r="N270" s="67">
        <v>18.875454865594556</v>
      </c>
      <c r="O270" s="68">
        <v>449.58627858627204</v>
      </c>
      <c r="P270" s="68">
        <v>376.08189509305907</v>
      </c>
      <c r="Q270" s="69">
        <v>0.53651033598303988</v>
      </c>
      <c r="R270" s="69">
        <v>0.43356710566452633</v>
      </c>
      <c r="S270" s="31">
        <v>10678.857142857143</v>
      </c>
      <c r="T270" s="31">
        <v>6605.4285714285716</v>
      </c>
      <c r="U270" s="69">
        <v>-0.37248610442185281</v>
      </c>
      <c r="V270" s="69">
        <v>0.19966159052453469</v>
      </c>
      <c r="W270" s="69">
        <v>0.43439120254974717</v>
      </c>
      <c r="X270" s="69">
        <v>0.76729158615112403</v>
      </c>
      <c r="Y270" s="69">
        <v>0.10833382726245411</v>
      </c>
      <c r="Z270" s="69">
        <v>0.17051659465362512</v>
      </c>
      <c r="AA270" s="69">
        <v>0.68378063010501755</v>
      </c>
      <c r="AB270" s="69">
        <v>0.72790912031092292</v>
      </c>
      <c r="AC270" s="69">
        <v>2.6207980669758157E-2</v>
      </c>
      <c r="AD270" s="133">
        <v>0.22765495698230659</v>
      </c>
      <c r="AE270" s="133">
        <v>0.12711875592296865</v>
      </c>
      <c r="AF270" s="133">
        <v>0.31740292739827997</v>
      </c>
    </row>
    <row r="271" spans="1:32" x14ac:dyDescent="0.25">
      <c r="A271" t="s">
        <v>77</v>
      </c>
      <c r="B271" t="s">
        <v>483</v>
      </c>
      <c r="C271" s="31">
        <v>537</v>
      </c>
      <c r="D271" s="31">
        <v>169</v>
      </c>
      <c r="E271" s="65">
        <v>831</v>
      </c>
      <c r="F271" s="31">
        <v>250</v>
      </c>
      <c r="G271" s="66">
        <v>286008.20000000083</v>
      </c>
      <c r="H271" s="31">
        <v>44385.990000000042</v>
      </c>
      <c r="I271" s="65">
        <v>156644.72000000061</v>
      </c>
      <c r="J271" s="65">
        <v>20335.070000000032</v>
      </c>
      <c r="K271" s="31">
        <v>16893.142857142859</v>
      </c>
      <c r="L271" s="31">
        <v>7020.2857142857147</v>
      </c>
      <c r="M271" s="67">
        <v>20.328691765514872</v>
      </c>
      <c r="N271" s="67">
        <v>26.681438998957244</v>
      </c>
      <c r="O271" s="68">
        <v>344.17352587244386</v>
      </c>
      <c r="P271" s="68">
        <v>177.54396000000017</v>
      </c>
      <c r="Q271" s="69">
        <v>0.5476931080996984</v>
      </c>
      <c r="R271" s="69">
        <v>0.4172232702066887</v>
      </c>
      <c r="S271" s="31">
        <v>505.14285714285717</v>
      </c>
      <c r="T271" s="31">
        <v>504.57142857142856</v>
      </c>
      <c r="U271" s="69">
        <v>1.3325261487118962</v>
      </c>
      <c r="V271" s="69">
        <v>2.2559999999999998</v>
      </c>
      <c r="W271" s="69">
        <v>5.3216267114916347</v>
      </c>
      <c r="X271" s="69">
        <v>7.2971874559553385</v>
      </c>
      <c r="Y271" s="69">
        <v>7.1227313090507005E-2</v>
      </c>
      <c r="Z271" s="69">
        <v>6.564054502198835E-2</v>
      </c>
      <c r="AA271" s="69">
        <v>0.25150602409638556</v>
      </c>
      <c r="AB271" s="69">
        <v>0.25318501422981776</v>
      </c>
      <c r="AC271" s="69">
        <v>1.3415757504200432E-3</v>
      </c>
      <c r="AD271" s="133">
        <v>-0.15305990995324803</v>
      </c>
      <c r="AE271" s="133">
        <v>-7.2540929821477917E-2</v>
      </c>
      <c r="AF271" s="133">
        <v>1.4586548629409226E-2</v>
      </c>
    </row>
    <row r="272" spans="1:32" x14ac:dyDescent="0.25">
      <c r="A272" t="s">
        <v>77</v>
      </c>
      <c r="B272" t="s">
        <v>485</v>
      </c>
      <c r="C272" s="31">
        <v>9</v>
      </c>
      <c r="D272" s="31">
        <v>20</v>
      </c>
      <c r="E272" s="65">
        <v>9</v>
      </c>
      <c r="F272" s="31">
        <v>21</v>
      </c>
      <c r="G272" s="66">
        <v>5799.94</v>
      </c>
      <c r="H272" s="31">
        <v>17687.269999999997</v>
      </c>
      <c r="I272" s="65">
        <v>-99.6</v>
      </c>
      <c r="J272" s="65">
        <v>3921.6299999999956</v>
      </c>
      <c r="K272" s="31">
        <v>245.57142857142858</v>
      </c>
      <c r="L272" s="31">
        <v>1620.7142857142858</v>
      </c>
      <c r="M272" s="67">
        <v>27.285714285714288</v>
      </c>
      <c r="N272" s="67">
        <v>78.435374149659864</v>
      </c>
      <c r="O272" s="68">
        <v>644.43777777777768</v>
      </c>
      <c r="P272" s="68">
        <v>842.25095238095219</v>
      </c>
      <c r="Q272" s="69">
        <v>-1.7172591440601109E-2</v>
      </c>
      <c r="R272" s="69">
        <v>0.22172048032285346</v>
      </c>
      <c r="S272" s="31">
        <v>6.2857142857142856</v>
      </c>
      <c r="T272" s="31">
        <v>17.571428571428573</v>
      </c>
      <c r="U272" s="69">
        <v>-0.85015425297487879</v>
      </c>
      <c r="V272" s="69">
        <v>-0.61904761904761907</v>
      </c>
      <c r="W272" s="69">
        <v>-0.70977544867014519</v>
      </c>
      <c r="X272" s="69">
        <v>-1.0282433579914476</v>
      </c>
      <c r="Y272" s="69">
        <v>-6.528385186015806E-2</v>
      </c>
      <c r="Z272" s="69">
        <v>-6.5252854812398065E-2</v>
      </c>
      <c r="AA272" s="69">
        <v>-0.5</v>
      </c>
      <c r="AB272" s="69">
        <v>-0.5206613619308621</v>
      </c>
      <c r="AC272" s="69">
        <v>-4.1322723861724309E-2</v>
      </c>
      <c r="AD272" s="133"/>
      <c r="AE272" s="133"/>
      <c r="AF272" s="133"/>
    </row>
    <row r="273" spans="1:32" x14ac:dyDescent="0.25">
      <c r="A273" t="s">
        <v>77</v>
      </c>
      <c r="B273" t="s">
        <v>484</v>
      </c>
      <c r="C273" s="31">
        <v>15</v>
      </c>
      <c r="D273" s="31">
        <v>122</v>
      </c>
      <c r="E273" s="65">
        <v>15</v>
      </c>
      <c r="F273" s="31">
        <v>126</v>
      </c>
      <c r="G273" s="66">
        <v>4108.2399999999989</v>
      </c>
      <c r="H273" s="31">
        <v>37609.740000000027</v>
      </c>
      <c r="I273" s="65">
        <v>-61.729999999999983</v>
      </c>
      <c r="J273" s="65">
        <v>16771.150000000023</v>
      </c>
      <c r="K273" s="31">
        <v>200.85714285714286</v>
      </c>
      <c r="L273" s="31">
        <v>2912.2857142857142</v>
      </c>
      <c r="M273" s="67">
        <v>13.390476190476191</v>
      </c>
      <c r="N273" s="67">
        <v>23.213186813186812</v>
      </c>
      <c r="O273" s="68">
        <v>273.88266666666658</v>
      </c>
      <c r="P273" s="68">
        <v>298.49000000000024</v>
      </c>
      <c r="Q273" s="69">
        <v>-1.5025899168500379E-2</v>
      </c>
      <c r="R273" s="69">
        <v>0.43054337934123976</v>
      </c>
      <c r="S273" s="31">
        <v>2.1428571428571428</v>
      </c>
      <c r="T273" s="31">
        <v>79.857142857142861</v>
      </c>
      <c r="U273" s="69">
        <v>-0.92656725203571078</v>
      </c>
      <c r="V273" s="69">
        <v>-0.88095238095238093</v>
      </c>
      <c r="W273" s="69">
        <v>-0.89076659397273161</v>
      </c>
      <c r="X273" s="69">
        <v>-1.0038283523820688</v>
      </c>
      <c r="Y273" s="69">
        <v>-8.8788877181956716E-2</v>
      </c>
      <c r="Z273" s="69">
        <v>-8.4039087947882729E-2</v>
      </c>
      <c r="AA273" s="69">
        <v>-0.25</v>
      </c>
      <c r="AB273" s="69">
        <v>-0.36420011978587141</v>
      </c>
      <c r="AC273" s="69">
        <v>-0.15226682638116185</v>
      </c>
      <c r="AD273" s="133"/>
      <c r="AE273" s="133"/>
      <c r="AF273" s="133"/>
    </row>
    <row r="274" spans="1:32" x14ac:dyDescent="0.25">
      <c r="A274" t="s">
        <v>77</v>
      </c>
      <c r="B274" t="s">
        <v>486</v>
      </c>
      <c r="C274" s="31">
        <v>59</v>
      </c>
      <c r="D274" s="31">
        <v>254</v>
      </c>
      <c r="E274" s="65">
        <v>63</v>
      </c>
      <c r="F274" s="31">
        <v>266</v>
      </c>
      <c r="G274" s="66">
        <v>2549.4</v>
      </c>
      <c r="H274" s="31">
        <v>12903.319999999991</v>
      </c>
      <c r="I274" s="65">
        <v>864.53000000000054</v>
      </c>
      <c r="J274" s="65">
        <v>7626.1699999999864</v>
      </c>
      <c r="K274" s="31">
        <v>864.28571428571433</v>
      </c>
      <c r="L274" s="31">
        <v>5352</v>
      </c>
      <c r="M274" s="67">
        <v>13.718820861678005</v>
      </c>
      <c r="N274" s="67">
        <v>20.126694473409799</v>
      </c>
      <c r="O274" s="68">
        <v>40.466666666666669</v>
      </c>
      <c r="P274" s="68">
        <v>48.508721804511239</v>
      </c>
      <c r="Q274" s="69">
        <v>0.33911116341099884</v>
      </c>
      <c r="R274" s="69">
        <v>0.57854090472191366</v>
      </c>
      <c r="S274" s="31">
        <v>236.85714285714286</v>
      </c>
      <c r="T274" s="31">
        <v>381.42857142857144</v>
      </c>
      <c r="U274" s="69">
        <v>-0.84299594277172751</v>
      </c>
      <c r="V274" s="69">
        <v>-0.77443609022556392</v>
      </c>
      <c r="W274" s="69">
        <v>-0.80823307489855312</v>
      </c>
      <c r="X274" s="69">
        <v>-0.88409327760886125</v>
      </c>
      <c r="Y274" s="69">
        <v>-7.8361248980735043E-2</v>
      </c>
      <c r="Z274" s="69">
        <v>-8.3888552392489379E-2</v>
      </c>
      <c r="AA274" s="69">
        <v>0.18867924528301883</v>
      </c>
      <c r="AB274" s="69">
        <v>-9.1106793347475179E-2</v>
      </c>
      <c r="AC274" s="69">
        <v>-0.2353755563081934</v>
      </c>
      <c r="AD274" s="133"/>
      <c r="AE274" s="133"/>
      <c r="AF274" s="133"/>
    </row>
    <row r="275" spans="1:32" x14ac:dyDescent="0.25">
      <c r="A275" t="s">
        <v>77</v>
      </c>
      <c r="B275" t="s">
        <v>491</v>
      </c>
      <c r="C275" s="31">
        <v>35</v>
      </c>
      <c r="D275" s="31">
        <v>58</v>
      </c>
      <c r="E275" s="65">
        <v>58</v>
      </c>
      <c r="F275" s="31">
        <v>73</v>
      </c>
      <c r="G275" s="66">
        <v>1058.46</v>
      </c>
      <c r="H275" s="31">
        <v>3386.3799999999997</v>
      </c>
      <c r="I275" s="65">
        <v>-791.81000000000017</v>
      </c>
      <c r="J275" s="65">
        <v>1167.7999999999997</v>
      </c>
      <c r="K275" s="31">
        <v>958.28571428571433</v>
      </c>
      <c r="L275" s="31">
        <v>3897.4285714285716</v>
      </c>
      <c r="M275" s="67">
        <v>16.52216748768473</v>
      </c>
      <c r="N275" s="67">
        <v>53.654135338345867</v>
      </c>
      <c r="O275" s="68">
        <v>18.249310344827588</v>
      </c>
      <c r="P275" s="68">
        <v>46.388767123287664</v>
      </c>
      <c r="Q275" s="69">
        <v>-0.74807739546133079</v>
      </c>
      <c r="R275" s="69">
        <v>0.32929910442374055</v>
      </c>
      <c r="S275" s="31">
        <v>123.14285714285714</v>
      </c>
      <c r="T275" s="31">
        <v>118.42857142857143</v>
      </c>
      <c r="U275" s="69">
        <v>-0.75335385968770618</v>
      </c>
      <c r="V275" s="69">
        <v>-0.20547945205479456</v>
      </c>
      <c r="W275" s="69">
        <v>-0.68743614124817642</v>
      </c>
      <c r="X275" s="69">
        <v>-1.7273921510987003</v>
      </c>
      <c r="Y275" s="69">
        <v>-6.9968942205949514E-2</v>
      </c>
      <c r="Z275" s="69">
        <v>-6.8850638534147635E-2</v>
      </c>
      <c r="AA275" s="69">
        <v>0.70588235294117641</v>
      </c>
      <c r="AB275" s="69">
        <v>-0.24092626989192556</v>
      </c>
      <c r="AC275" s="69">
        <v>-0.55502574441940467</v>
      </c>
      <c r="AD275" s="133"/>
      <c r="AE275" s="133"/>
      <c r="AF275" s="133"/>
    </row>
    <row r="276" spans="1:32" x14ac:dyDescent="0.25">
      <c r="A276" t="s">
        <v>77</v>
      </c>
      <c r="B276" t="s">
        <v>489</v>
      </c>
      <c r="C276" s="31">
        <v>8</v>
      </c>
      <c r="D276" s="31">
        <v>13</v>
      </c>
      <c r="E276" s="65">
        <v>11</v>
      </c>
      <c r="F276" s="31">
        <v>15</v>
      </c>
      <c r="G276" s="66">
        <v>820.7</v>
      </c>
      <c r="H276" s="31">
        <v>3436.7899999999995</v>
      </c>
      <c r="I276" s="65">
        <v>-818.06999999999994</v>
      </c>
      <c r="J276" s="65">
        <v>1209.5899999999992</v>
      </c>
      <c r="K276" s="31">
        <v>67</v>
      </c>
      <c r="L276" s="31">
        <v>896.71428571428567</v>
      </c>
      <c r="M276" s="67">
        <v>6.0909090909090908</v>
      </c>
      <c r="N276" s="67">
        <v>56.991071428571431</v>
      </c>
      <c r="O276" s="68">
        <v>74.609090909090909</v>
      </c>
      <c r="P276" s="68">
        <v>229.11933333333329</v>
      </c>
      <c r="Q276" s="69">
        <v>-0.99679541854514431</v>
      </c>
      <c r="R276" s="69">
        <v>0.33548188477144814</v>
      </c>
      <c r="S276" s="31">
        <v>3.2857142857142856</v>
      </c>
      <c r="T276" s="31">
        <v>1</v>
      </c>
      <c r="U276" s="69">
        <v>-0.92528277839732354</v>
      </c>
      <c r="V276" s="69">
        <v>-0.26666666666666672</v>
      </c>
      <c r="W276" s="69">
        <v>-0.7612015863640198</v>
      </c>
      <c r="X276" s="69">
        <v>-1.6866978368350811</v>
      </c>
      <c r="Y276" s="69">
        <v>-0.16627263484787314</v>
      </c>
      <c r="Z276" s="69">
        <v>-0.16249999999999998</v>
      </c>
      <c r="AA276" s="69">
        <v>-0.3529411764705882</v>
      </c>
      <c r="AB276" s="69">
        <v>-0.58961511728496918</v>
      </c>
      <c r="AC276" s="69">
        <v>-0.36576881762222513</v>
      </c>
      <c r="AD276" s="133"/>
      <c r="AE276" s="133"/>
      <c r="AF276" s="133"/>
    </row>
    <row r="277" spans="1:32" x14ac:dyDescent="0.25">
      <c r="A277" t="s">
        <v>77</v>
      </c>
      <c r="B277" t="s">
        <v>490</v>
      </c>
      <c r="C277" s="31">
        <v>9</v>
      </c>
      <c r="D277" s="31">
        <v>28</v>
      </c>
      <c r="E277" s="65">
        <v>9</v>
      </c>
      <c r="F277" s="31">
        <v>34</v>
      </c>
      <c r="G277" s="66">
        <v>667.0200000000001</v>
      </c>
      <c r="H277" s="31">
        <v>2679.1800000000007</v>
      </c>
      <c r="I277" s="65">
        <v>309.27</v>
      </c>
      <c r="J277" s="65">
        <v>1453.8900000000008</v>
      </c>
      <c r="K277" s="31">
        <v>63.571428571428569</v>
      </c>
      <c r="L277" s="31">
        <v>713.14285714285711</v>
      </c>
      <c r="M277" s="67">
        <v>7.0634920634920633</v>
      </c>
      <c r="N277" s="67">
        <v>21.167346938775513</v>
      </c>
      <c r="O277" s="68">
        <v>74.113333333333344</v>
      </c>
      <c r="P277" s="68">
        <v>78.799411764705908</v>
      </c>
      <c r="Q277" s="69">
        <v>0.46365926059188622</v>
      </c>
      <c r="R277" s="69">
        <v>0.52609315520560451</v>
      </c>
      <c r="S277" s="31">
        <v>114</v>
      </c>
      <c r="T277" s="31">
        <v>109.28571428571429</v>
      </c>
      <c r="U277" s="69">
        <v>-0.91085737179487181</v>
      </c>
      <c r="V277" s="69">
        <v>-0.73529411764705888</v>
      </c>
      <c r="W277" s="69">
        <v>-0.75103576467426603</v>
      </c>
      <c r="X277" s="69">
        <v>-0.78054439918822649</v>
      </c>
      <c r="Y277" s="69">
        <v>-0.12117606477400944</v>
      </c>
      <c r="Z277" s="69">
        <v>-0.11530815109343939</v>
      </c>
      <c r="AA277" s="69">
        <v>0.8</v>
      </c>
      <c r="AB277" s="69">
        <v>0.38010800521404509</v>
      </c>
      <c r="AC277" s="69">
        <v>-0.23327333043664156</v>
      </c>
      <c r="AD277" s="133"/>
      <c r="AE277" s="133"/>
      <c r="AF277" s="133"/>
    </row>
    <row r="278" spans="1:32" x14ac:dyDescent="0.25">
      <c r="A278" t="s">
        <v>77</v>
      </c>
      <c r="B278" t="s">
        <v>487</v>
      </c>
      <c r="C278" s="31">
        <v>4</v>
      </c>
      <c r="D278" s="31">
        <v>8</v>
      </c>
      <c r="E278" s="65">
        <v>5</v>
      </c>
      <c r="F278" s="31">
        <v>8</v>
      </c>
      <c r="G278" s="66">
        <v>606.19999999999993</v>
      </c>
      <c r="H278" s="31">
        <v>4045.33</v>
      </c>
      <c r="I278" s="65">
        <v>-616.22</v>
      </c>
      <c r="J278" s="65">
        <v>2422.9799999999996</v>
      </c>
      <c r="K278" s="31">
        <v>30.428571428571427</v>
      </c>
      <c r="L278" s="31">
        <v>275.14285714285717</v>
      </c>
      <c r="M278" s="67">
        <v>6.0857142857142854</v>
      </c>
      <c r="N278" s="67">
        <v>36.142857142857146</v>
      </c>
      <c r="O278" s="68">
        <v>121.23999999999998</v>
      </c>
      <c r="P278" s="68">
        <v>505.66624999999999</v>
      </c>
      <c r="Q278" s="69">
        <v>-1.0165291982843947</v>
      </c>
      <c r="R278" s="69">
        <v>0.59895731621400472</v>
      </c>
      <c r="S278" s="31">
        <v>-0.42857142857142855</v>
      </c>
      <c r="T278" s="31">
        <v>26.142857142857142</v>
      </c>
      <c r="U278" s="69">
        <v>-0.89667705088265837</v>
      </c>
      <c r="V278" s="69">
        <v>-0.375</v>
      </c>
      <c r="W278" s="69">
        <v>-0.8501481955736615</v>
      </c>
      <c r="X278" s="69">
        <v>-1.2543231888005679</v>
      </c>
      <c r="Y278" s="69">
        <v>-5.5156737576897208E-2</v>
      </c>
      <c r="Z278" s="69">
        <v>-6.5789473684210509E-2</v>
      </c>
      <c r="AA278" s="69">
        <v>0.25</v>
      </c>
      <c r="AB278" s="69">
        <v>-0.56439883878014441</v>
      </c>
      <c r="AC278" s="69">
        <v>-0.65151907102411544</v>
      </c>
      <c r="AD278" s="133"/>
      <c r="AE278" s="133"/>
      <c r="AF278" s="133"/>
    </row>
    <row r="279" spans="1:32" x14ac:dyDescent="0.25">
      <c r="A279" t="s">
        <v>77</v>
      </c>
      <c r="B279" t="s">
        <v>492</v>
      </c>
      <c r="C279" s="31">
        <v>22</v>
      </c>
      <c r="D279" s="31">
        <v>34</v>
      </c>
      <c r="E279" s="65">
        <v>24</v>
      </c>
      <c r="F279" s="31">
        <v>37</v>
      </c>
      <c r="G279" s="66">
        <v>442.34000000000009</v>
      </c>
      <c r="H279" s="31">
        <v>1518.82</v>
      </c>
      <c r="I279" s="65">
        <v>-547.3399999999998</v>
      </c>
      <c r="J279" s="65">
        <v>223.81999999999971</v>
      </c>
      <c r="K279" s="31">
        <v>284.14285714285717</v>
      </c>
      <c r="L279" s="31">
        <v>1186.1428571428571</v>
      </c>
      <c r="M279" s="67">
        <v>11.839285714285715</v>
      </c>
      <c r="N279" s="67">
        <v>32.826254826254832</v>
      </c>
      <c r="O279" s="68">
        <v>18.430833333333336</v>
      </c>
      <c r="P279" s="68">
        <v>41.049189189189185</v>
      </c>
      <c r="Q279" s="69">
        <v>-1.2373739657277201</v>
      </c>
      <c r="R279" s="69">
        <v>0.1473644013115443</v>
      </c>
      <c r="S279" s="31">
        <v>47</v>
      </c>
      <c r="T279" s="31">
        <v>147</v>
      </c>
      <c r="U279" s="69">
        <v>-0.76177285318559562</v>
      </c>
      <c r="V279" s="69">
        <v>-0.35135135135135132</v>
      </c>
      <c r="W279" s="69">
        <v>-0.70876074847579029</v>
      </c>
      <c r="X279" s="69">
        <v>-3.4454472343847762</v>
      </c>
      <c r="Y279" s="69">
        <v>-7.116254857301374E-2</v>
      </c>
      <c r="Z279" s="69">
        <v>-7.1428571428571397E-2</v>
      </c>
      <c r="AA279" s="69">
        <v>0.5</v>
      </c>
      <c r="AB279" s="69">
        <v>-0.27520891364902478</v>
      </c>
      <c r="AC279" s="69">
        <v>-0.51680594243268319</v>
      </c>
      <c r="AD279" s="133"/>
      <c r="AE279" s="133"/>
      <c r="AF279" s="133"/>
    </row>
    <row r="280" spans="1:32" x14ac:dyDescent="0.25">
      <c r="A280" t="s">
        <v>77</v>
      </c>
      <c r="B280" t="s">
        <v>513</v>
      </c>
      <c r="C280" s="31">
        <v>3</v>
      </c>
      <c r="D280" s="31"/>
      <c r="E280" s="65">
        <v>4</v>
      </c>
      <c r="F280" s="31"/>
      <c r="G280" s="66">
        <v>433.28</v>
      </c>
      <c r="H280" s="31"/>
      <c r="I280" s="65">
        <v>246.16</v>
      </c>
      <c r="J280" s="65"/>
      <c r="K280" s="31">
        <v>26.428571428571427</v>
      </c>
      <c r="L280" s="31">
        <v>16</v>
      </c>
      <c r="M280" s="67">
        <v>6.6071428571428568</v>
      </c>
      <c r="N280" s="67"/>
      <c r="O280" s="68">
        <v>108.32</v>
      </c>
      <c r="P280" s="68"/>
      <c r="Q280" s="69">
        <v>0.56813146233382572</v>
      </c>
      <c r="R280" s="69"/>
      <c r="S280" s="31">
        <v>61</v>
      </c>
      <c r="T280" s="31">
        <v>50</v>
      </c>
      <c r="U280" s="69">
        <v>-0.4375</v>
      </c>
      <c r="V280" s="69"/>
      <c r="W280" s="69"/>
      <c r="X280" s="69"/>
      <c r="Y280" s="69">
        <v>-0.19964086857628283</v>
      </c>
      <c r="Z280" s="69">
        <v>-0.15909090909090906</v>
      </c>
      <c r="AA280" s="69">
        <v>1</v>
      </c>
      <c r="AB280" s="69">
        <v>1.2824632565980085</v>
      </c>
      <c r="AC280" s="69">
        <v>0.14123162829900426</v>
      </c>
      <c r="AD280" s="133"/>
      <c r="AE280" s="133"/>
      <c r="AF280" s="133"/>
    </row>
    <row r="281" spans="1:32" x14ac:dyDescent="0.25">
      <c r="A281" t="s">
        <v>77</v>
      </c>
      <c r="B281" t="s">
        <v>495</v>
      </c>
      <c r="C281" s="31">
        <v>9</v>
      </c>
      <c r="D281" s="31">
        <v>16</v>
      </c>
      <c r="E281" s="65">
        <v>9</v>
      </c>
      <c r="F281" s="31">
        <v>19</v>
      </c>
      <c r="G281" s="66">
        <v>310.76</v>
      </c>
      <c r="H281" s="31">
        <v>422.35</v>
      </c>
      <c r="I281" s="65">
        <v>59.190000000000005</v>
      </c>
      <c r="J281" s="65">
        <v>113.60000000000002</v>
      </c>
      <c r="K281" s="31">
        <v>136.71428571428572</v>
      </c>
      <c r="L281" s="31">
        <v>925.28571428571433</v>
      </c>
      <c r="M281" s="67">
        <v>15.190476190476192</v>
      </c>
      <c r="N281" s="67">
        <v>51.624060150375939</v>
      </c>
      <c r="O281" s="68">
        <v>34.528888888888886</v>
      </c>
      <c r="P281" s="68">
        <v>22.228947368421053</v>
      </c>
      <c r="Q281" s="69">
        <v>0.19046852876818127</v>
      </c>
      <c r="R281" s="69">
        <v>0.26897123239019777</v>
      </c>
      <c r="S281" s="31">
        <v>1</v>
      </c>
      <c r="T281" s="31">
        <v>15.714285714285714</v>
      </c>
      <c r="U281" s="69">
        <v>-0.8971746178786475</v>
      </c>
      <c r="V281" s="69">
        <v>-0.63157894736842102</v>
      </c>
      <c r="W281" s="69">
        <v>-0.77719900556410559</v>
      </c>
      <c r="X281" s="69">
        <v>-1.172975352112676</v>
      </c>
      <c r="Y281" s="69">
        <v>-3.5968024710099522E-2</v>
      </c>
      <c r="Z281" s="69">
        <v>-3.2355915065722884E-2</v>
      </c>
      <c r="AA281" s="69">
        <v>0.5</v>
      </c>
      <c r="AB281" s="69">
        <v>0.10681340599066824</v>
      </c>
      <c r="AC281" s="69">
        <v>-0.26212439600622117</v>
      </c>
      <c r="AD281" s="133"/>
      <c r="AE281" s="133"/>
      <c r="AF281" s="133"/>
    </row>
    <row r="282" spans="1:32" x14ac:dyDescent="0.25">
      <c r="A282" t="s">
        <v>77</v>
      </c>
      <c r="B282" t="s">
        <v>497</v>
      </c>
      <c r="C282" s="31">
        <v>1</v>
      </c>
      <c r="D282" s="31"/>
      <c r="E282" s="65">
        <v>1</v>
      </c>
      <c r="F282" s="31"/>
      <c r="G282" s="66">
        <v>249.99</v>
      </c>
      <c r="H282" s="31"/>
      <c r="I282" s="65">
        <v>89.75</v>
      </c>
      <c r="J282" s="65"/>
      <c r="K282" s="31">
        <v>11.857142857142858</v>
      </c>
      <c r="L282" s="31">
        <v>34.571428571428569</v>
      </c>
      <c r="M282" s="67">
        <v>11.857142857142858</v>
      </c>
      <c r="N282" s="67"/>
      <c r="O282" s="68">
        <v>249.99</v>
      </c>
      <c r="P282" s="68"/>
      <c r="Q282" s="69">
        <v>0.35901436057442299</v>
      </c>
      <c r="R282" s="69"/>
      <c r="S282" s="31">
        <v>6</v>
      </c>
      <c r="T282" s="31">
        <v>13</v>
      </c>
      <c r="U282" s="69">
        <v>-0.65702479338842967</v>
      </c>
      <c r="V282" s="69"/>
      <c r="W282" s="69"/>
      <c r="X282" s="69"/>
      <c r="Y282" s="69">
        <v>2.948088130133053E-2</v>
      </c>
      <c r="Z282" s="69">
        <v>2.4691358024691468E-2</v>
      </c>
      <c r="AA282" s="69"/>
      <c r="AB282" s="69"/>
      <c r="AC282" s="69"/>
      <c r="AD282" s="133"/>
      <c r="AE282" s="133"/>
      <c r="AF282" s="133"/>
    </row>
    <row r="283" spans="1:32" x14ac:dyDescent="0.25">
      <c r="A283" t="s">
        <v>77</v>
      </c>
      <c r="B283" t="s">
        <v>746</v>
      </c>
      <c r="C283" s="31">
        <v>3</v>
      </c>
      <c r="D283" s="31"/>
      <c r="E283" s="65">
        <v>3</v>
      </c>
      <c r="F283" s="31"/>
      <c r="G283" s="66">
        <v>249.99</v>
      </c>
      <c r="H283" s="31"/>
      <c r="I283" s="65">
        <v>120.03</v>
      </c>
      <c r="J283" s="65"/>
      <c r="K283" s="31">
        <v>18.571428571428573</v>
      </c>
      <c r="L283" s="31"/>
      <c r="M283" s="67">
        <v>6.1904761904761907</v>
      </c>
      <c r="N283" s="67"/>
      <c r="O283" s="68">
        <v>83.33</v>
      </c>
      <c r="P283" s="68"/>
      <c r="Q283" s="69">
        <v>0.4801392055682227</v>
      </c>
      <c r="R283" s="69"/>
      <c r="S283" s="31"/>
      <c r="T283" s="31"/>
      <c r="U283" s="69"/>
      <c r="V283" s="69"/>
      <c r="W283" s="69"/>
      <c r="X283" s="69"/>
      <c r="Y283" s="69">
        <v>-0.17721518987341756</v>
      </c>
      <c r="Z283" s="69">
        <v>-0.17721518987341767</v>
      </c>
      <c r="AA283" s="69">
        <v>-0.25</v>
      </c>
      <c r="AB283" s="69">
        <v>-0.24995499549954991</v>
      </c>
      <c r="AC283" s="69">
        <v>6.0006000599965859E-5</v>
      </c>
      <c r="AD283" s="133"/>
      <c r="AE283" s="133"/>
      <c r="AF283" s="133"/>
    </row>
    <row r="284" spans="1:32" x14ac:dyDescent="0.25">
      <c r="A284" t="s">
        <v>77</v>
      </c>
      <c r="B284" t="s">
        <v>496</v>
      </c>
      <c r="C284" s="31">
        <v>8</v>
      </c>
      <c r="D284" s="31">
        <v>21</v>
      </c>
      <c r="E284" s="65">
        <v>10</v>
      </c>
      <c r="F284" s="31">
        <v>21</v>
      </c>
      <c r="G284" s="66">
        <v>204.5</v>
      </c>
      <c r="H284" s="31">
        <v>521.79</v>
      </c>
      <c r="I284" s="65">
        <v>27.000000000000007</v>
      </c>
      <c r="J284" s="65">
        <v>149.03999999999996</v>
      </c>
      <c r="K284" s="31">
        <v>62.571428571428569</v>
      </c>
      <c r="L284" s="31">
        <v>555.42857142857144</v>
      </c>
      <c r="M284" s="67">
        <v>6.2571428571428571</v>
      </c>
      <c r="N284" s="67">
        <v>27.455782312925169</v>
      </c>
      <c r="O284" s="68">
        <v>20.45</v>
      </c>
      <c r="P284" s="68">
        <v>24.847142857142856</v>
      </c>
      <c r="Q284" s="69">
        <v>0.13202933985330076</v>
      </c>
      <c r="R284" s="69">
        <v>0.28563215086529059</v>
      </c>
      <c r="S284" s="31"/>
      <c r="T284" s="31">
        <v>70</v>
      </c>
      <c r="U284" s="69">
        <v>-0.87834362139917699</v>
      </c>
      <c r="V284" s="69">
        <v>-0.52380952380952384</v>
      </c>
      <c r="W284" s="69">
        <v>-0.60807987887847603</v>
      </c>
      <c r="X284" s="69">
        <v>-0.8188405797101449</v>
      </c>
      <c r="Y284" s="69">
        <v>-7.9559701642413438E-2</v>
      </c>
      <c r="Z284" s="69">
        <v>-7.9831932773109293E-2</v>
      </c>
      <c r="AA284" s="69">
        <v>4</v>
      </c>
      <c r="AB284" s="69">
        <v>4.0344657804037425</v>
      </c>
      <c r="AC284" s="69">
        <v>6.8931560807483638E-3</v>
      </c>
      <c r="AD284" s="133"/>
      <c r="AE284" s="133"/>
      <c r="AF284" s="133"/>
    </row>
    <row r="285" spans="1:32" x14ac:dyDescent="0.25">
      <c r="A285" t="s">
        <v>77</v>
      </c>
      <c r="B285" t="s">
        <v>493</v>
      </c>
      <c r="C285" s="31">
        <v>10</v>
      </c>
      <c r="D285" s="31">
        <v>17</v>
      </c>
      <c r="E285" s="65">
        <v>14</v>
      </c>
      <c r="F285" s="31">
        <v>19</v>
      </c>
      <c r="G285" s="66">
        <v>166.54000000000002</v>
      </c>
      <c r="H285" s="31">
        <v>441.12000000000006</v>
      </c>
      <c r="I285" s="65">
        <v>-47.470000000000006</v>
      </c>
      <c r="J285" s="65">
        <v>90.87</v>
      </c>
      <c r="K285" s="31">
        <v>253.71428571428572</v>
      </c>
      <c r="L285" s="31">
        <v>1256.1428571428571</v>
      </c>
      <c r="M285" s="67">
        <v>18.122448979591837</v>
      </c>
      <c r="N285" s="67">
        <v>63.828571428571436</v>
      </c>
      <c r="O285" s="68">
        <v>11.895714285714288</v>
      </c>
      <c r="P285" s="68">
        <v>23.216842105263161</v>
      </c>
      <c r="Q285" s="69">
        <v>-0.28503662783715622</v>
      </c>
      <c r="R285" s="69">
        <v>0.19495816348423084</v>
      </c>
      <c r="S285" s="31">
        <v>117.57142857142857</v>
      </c>
      <c r="T285" s="31">
        <v>60.571428571428569</v>
      </c>
      <c r="U285" s="69">
        <v>-0.80006823609689526</v>
      </c>
      <c r="V285" s="69">
        <v>-0.26315789473684215</v>
      </c>
      <c r="W285" s="69">
        <v>-0.62246100834240115</v>
      </c>
      <c r="X285" s="69">
        <v>-1.5542970574497892</v>
      </c>
      <c r="Y285" s="69">
        <v>-7.4978175943050562E-2</v>
      </c>
      <c r="Z285" s="69">
        <v>-7.4517978113600836E-2</v>
      </c>
      <c r="AA285" s="69">
        <v>-0.26315789473684215</v>
      </c>
      <c r="AB285" s="69">
        <v>-0.50480211709434741</v>
      </c>
      <c r="AC285" s="69">
        <v>-0.32794573034232866</v>
      </c>
      <c r="AD285" s="133"/>
      <c r="AE285" s="133"/>
      <c r="AF285" s="133"/>
    </row>
    <row r="286" spans="1:32" x14ac:dyDescent="0.25">
      <c r="A286" t="s">
        <v>77</v>
      </c>
      <c r="B286" t="s">
        <v>494</v>
      </c>
      <c r="C286" s="31">
        <v>4</v>
      </c>
      <c r="D286" s="31">
        <v>7</v>
      </c>
      <c r="E286" s="65">
        <v>5</v>
      </c>
      <c r="F286" s="31">
        <v>10</v>
      </c>
      <c r="G286" s="66">
        <v>141.61999999999998</v>
      </c>
      <c r="H286" s="31">
        <v>416.5</v>
      </c>
      <c r="I286" s="65">
        <v>-9.83</v>
      </c>
      <c r="J286" s="65">
        <v>113.60000000000002</v>
      </c>
      <c r="K286" s="31">
        <v>352.71428571428572</v>
      </c>
      <c r="L286" s="31">
        <v>993.42857142857144</v>
      </c>
      <c r="M286" s="67">
        <v>70.542857142857144</v>
      </c>
      <c r="N286" s="67">
        <v>101.05714285714285</v>
      </c>
      <c r="O286" s="68">
        <v>28.323999999999995</v>
      </c>
      <c r="P286" s="68">
        <v>41.65</v>
      </c>
      <c r="Q286" s="69">
        <v>-6.9411100127100708E-2</v>
      </c>
      <c r="R286" s="69">
        <v>0.272749099639856</v>
      </c>
      <c r="S286" s="31">
        <v>1.5714285714285714</v>
      </c>
      <c r="T286" s="31">
        <v>4</v>
      </c>
      <c r="U286" s="69">
        <v>-0.64509634742594191</v>
      </c>
      <c r="V286" s="69">
        <v>-0.5</v>
      </c>
      <c r="W286" s="69">
        <v>-0.65997599039615851</v>
      </c>
      <c r="X286" s="69">
        <v>-1.0865316901408453</v>
      </c>
      <c r="Y286" s="69">
        <v>-1.3406809273877052E-3</v>
      </c>
      <c r="Z286" s="69">
        <v>-1.2135922330097637E-3</v>
      </c>
      <c r="AA286" s="69">
        <v>0.25</v>
      </c>
      <c r="AB286" s="69">
        <v>-0.15014402304368701</v>
      </c>
      <c r="AC286" s="69">
        <v>-0.32011521843494972</v>
      </c>
      <c r="AD286" s="133"/>
      <c r="AE286" s="133"/>
      <c r="AF286" s="133"/>
    </row>
    <row r="287" spans="1:32" x14ac:dyDescent="0.25">
      <c r="A287" t="s">
        <v>77</v>
      </c>
      <c r="B287" t="s">
        <v>488</v>
      </c>
      <c r="C287" s="31">
        <v>1</v>
      </c>
      <c r="D287" s="31">
        <v>20</v>
      </c>
      <c r="E287" s="65">
        <v>1</v>
      </c>
      <c r="F287" s="31">
        <v>20</v>
      </c>
      <c r="G287" s="66">
        <v>66.66</v>
      </c>
      <c r="H287" s="31">
        <v>4937.2499999999973</v>
      </c>
      <c r="I287" s="65">
        <v>-25.34</v>
      </c>
      <c r="J287" s="65">
        <v>3673.3299999999972</v>
      </c>
      <c r="K287" s="31">
        <v>19.857142857142858</v>
      </c>
      <c r="L287" s="31">
        <v>421.42857142857144</v>
      </c>
      <c r="M287" s="67">
        <v>19.857142857142858</v>
      </c>
      <c r="N287" s="67">
        <v>18.975155279503106</v>
      </c>
      <c r="O287" s="68">
        <v>66.66</v>
      </c>
      <c r="P287" s="68">
        <v>246.86249999999987</v>
      </c>
      <c r="Q287" s="69">
        <v>-0.38013801380138018</v>
      </c>
      <c r="R287" s="69">
        <v>0.65307011383697988</v>
      </c>
      <c r="S287" s="31">
        <v>77</v>
      </c>
      <c r="T287" s="31">
        <v>329.14285714285717</v>
      </c>
      <c r="U287" s="69">
        <v>-0.95525423728813563</v>
      </c>
      <c r="V287" s="69">
        <v>-0.95</v>
      </c>
      <c r="W287" s="69">
        <v>-0.98649855688895638</v>
      </c>
      <c r="X287" s="69">
        <v>-1.0078225086976789</v>
      </c>
      <c r="Y287" s="69">
        <v>-2.9135222745889311E-2</v>
      </c>
      <c r="Z287" s="69">
        <v>-3.4722222222222321E-2</v>
      </c>
      <c r="AA287" s="69"/>
      <c r="AB287" s="69"/>
      <c r="AC287" s="69"/>
      <c r="AD287" s="133"/>
      <c r="AE287" s="133"/>
      <c r="AF287" s="133"/>
    </row>
    <row r="288" spans="1:32" x14ac:dyDescent="0.25">
      <c r="A288" t="s">
        <v>77</v>
      </c>
      <c r="B288" t="s">
        <v>499</v>
      </c>
      <c r="C288" s="31">
        <v>1</v>
      </c>
      <c r="D288" s="31">
        <v>5</v>
      </c>
      <c r="E288" s="65">
        <v>1</v>
      </c>
      <c r="F288" s="31">
        <v>5</v>
      </c>
      <c r="G288" s="66">
        <v>49.99</v>
      </c>
      <c r="H288" s="31">
        <v>453.25</v>
      </c>
      <c r="I288" s="65">
        <v>-30.01</v>
      </c>
      <c r="J288" s="65">
        <v>53.25</v>
      </c>
      <c r="K288" s="31">
        <v>11.428571428571429</v>
      </c>
      <c r="L288" s="31">
        <v>104</v>
      </c>
      <c r="M288" s="67">
        <v>11.428571428571429</v>
      </c>
      <c r="N288" s="67">
        <v>22.114285714285714</v>
      </c>
      <c r="O288" s="68">
        <v>49.99</v>
      </c>
      <c r="P288" s="68">
        <v>90.65</v>
      </c>
      <c r="Q288" s="69">
        <v>-0.60032006401280258</v>
      </c>
      <c r="R288" s="69">
        <v>0.11748483177054606</v>
      </c>
      <c r="S288" s="31"/>
      <c r="T288" s="31"/>
      <c r="U288" s="69">
        <v>-0.89010989010989006</v>
      </c>
      <c r="V288" s="69">
        <v>-0.8</v>
      </c>
      <c r="W288" s="69">
        <v>-0.88970766685052394</v>
      </c>
      <c r="X288" s="69">
        <v>-1.5635680751173708</v>
      </c>
      <c r="Y288" s="69">
        <v>-9.0909090909090828E-2</v>
      </c>
      <c r="Z288" s="69">
        <v>-9.0909090909090828E-2</v>
      </c>
      <c r="AA288" s="69">
        <v>0</v>
      </c>
      <c r="AB288" s="69">
        <v>-0.40009600384015354</v>
      </c>
      <c r="AC288" s="69">
        <v>-0.40009600384015354</v>
      </c>
      <c r="AD288" s="133"/>
      <c r="AE288" s="133"/>
      <c r="AF288" s="133"/>
    </row>
    <row r="289" spans="1:32" x14ac:dyDescent="0.25">
      <c r="A289" t="s">
        <v>77</v>
      </c>
      <c r="B289" t="s">
        <v>506</v>
      </c>
      <c r="C289" s="31">
        <v>2</v>
      </c>
      <c r="D289" s="31">
        <v>2</v>
      </c>
      <c r="E289" s="65">
        <v>2</v>
      </c>
      <c r="F289" s="31">
        <v>5</v>
      </c>
      <c r="G289" s="66">
        <v>49.980000000000004</v>
      </c>
      <c r="H289" s="31">
        <v>91.95</v>
      </c>
      <c r="I289" s="65">
        <v>26.830000000000002</v>
      </c>
      <c r="J289" s="65">
        <v>40.9</v>
      </c>
      <c r="K289" s="31">
        <v>55.428571428571431</v>
      </c>
      <c r="L289" s="31">
        <v>311</v>
      </c>
      <c r="M289" s="67">
        <v>27.714285714285715</v>
      </c>
      <c r="N289" s="67">
        <v>63.428571428571431</v>
      </c>
      <c r="O289" s="68">
        <v>24.990000000000002</v>
      </c>
      <c r="P289" s="68">
        <v>18.39</v>
      </c>
      <c r="Q289" s="69">
        <v>0.53681472589035617</v>
      </c>
      <c r="R289" s="69">
        <v>0.44480696030451328</v>
      </c>
      <c r="S289" s="31">
        <v>212.28571428571428</v>
      </c>
      <c r="T289" s="31">
        <v>224</v>
      </c>
      <c r="U289" s="69">
        <v>-0.82498851630684422</v>
      </c>
      <c r="V289" s="69">
        <v>-0.6</v>
      </c>
      <c r="W289" s="69">
        <v>-0.45644371941272432</v>
      </c>
      <c r="X289" s="69">
        <v>-0.34400977995110005</v>
      </c>
      <c r="Y289" s="69">
        <v>-2.7530347459650661E-2</v>
      </c>
      <c r="Z289" s="69">
        <v>-5.365853658536579E-2</v>
      </c>
      <c r="AA289" s="69">
        <v>1</v>
      </c>
      <c r="AB289" s="69">
        <v>2</v>
      </c>
      <c r="AC289" s="69">
        <v>0.5</v>
      </c>
      <c r="AD289" s="133"/>
      <c r="AE289" s="133"/>
      <c r="AF289" s="133"/>
    </row>
    <row r="290" spans="1:32" x14ac:dyDescent="0.25">
      <c r="A290" t="s">
        <v>77</v>
      </c>
      <c r="B290" t="s">
        <v>503</v>
      </c>
      <c r="C290" s="31">
        <v>1</v>
      </c>
      <c r="D290" s="31">
        <v>2</v>
      </c>
      <c r="E290" s="65">
        <v>1</v>
      </c>
      <c r="F290" s="31">
        <v>2</v>
      </c>
      <c r="G290" s="66">
        <v>24.99</v>
      </c>
      <c r="H290" s="31">
        <v>124.98</v>
      </c>
      <c r="I290" s="65">
        <v>-35.56</v>
      </c>
      <c r="J290" s="65">
        <v>33.400000000000006</v>
      </c>
      <c r="K290" s="31">
        <v>13.571428571428571</v>
      </c>
      <c r="L290" s="31">
        <v>66.428571428571431</v>
      </c>
      <c r="M290" s="67">
        <v>13.571428571428571</v>
      </c>
      <c r="N290" s="67">
        <v>33.714285714285715</v>
      </c>
      <c r="O290" s="68">
        <v>24.99</v>
      </c>
      <c r="P290" s="68">
        <v>62.49</v>
      </c>
      <c r="Q290" s="69">
        <v>-1.4229691876750703</v>
      </c>
      <c r="R290" s="69">
        <v>0.26724275884141468</v>
      </c>
      <c r="S290" s="31">
        <v>16</v>
      </c>
      <c r="T290" s="31"/>
      <c r="U290" s="69">
        <v>-0.81075268817204305</v>
      </c>
      <c r="V290" s="69">
        <v>-0.5</v>
      </c>
      <c r="W290" s="69">
        <v>-0.80004800768122908</v>
      </c>
      <c r="X290" s="69">
        <v>-2.0646706586826347</v>
      </c>
      <c r="Y290" s="69">
        <v>-3.7034889475188071E-2</v>
      </c>
      <c r="Z290" s="69">
        <v>-3.0612244897959218E-2</v>
      </c>
      <c r="AA290" s="69"/>
      <c r="AB290" s="69"/>
      <c r="AC290" s="69"/>
      <c r="AD290" s="133"/>
      <c r="AE290" s="133"/>
      <c r="AF290" s="133"/>
    </row>
    <row r="291" spans="1:32" x14ac:dyDescent="0.25">
      <c r="A291" t="s">
        <v>77</v>
      </c>
      <c r="B291" t="s">
        <v>525</v>
      </c>
      <c r="C291" s="31"/>
      <c r="D291" s="31"/>
      <c r="E291" s="65"/>
      <c r="F291" s="31"/>
      <c r="G291" s="66"/>
      <c r="H291" s="31"/>
      <c r="I291" s="65"/>
      <c r="J291" s="65"/>
      <c r="K291" s="31">
        <v>2</v>
      </c>
      <c r="L291" s="31">
        <v>1</v>
      </c>
      <c r="M291" s="67"/>
      <c r="N291" s="67"/>
      <c r="O291" s="68"/>
      <c r="P291" s="68"/>
      <c r="Q291" s="69"/>
      <c r="R291" s="69"/>
      <c r="S291" s="31"/>
      <c r="T291" s="31"/>
      <c r="U291" s="69">
        <v>1</v>
      </c>
      <c r="V291" s="69"/>
      <c r="W291" s="69"/>
      <c r="X291" s="69"/>
      <c r="Y291" s="69">
        <v>0</v>
      </c>
      <c r="Z291" s="69">
        <v>0</v>
      </c>
      <c r="AA291" s="69"/>
      <c r="AB291" s="69"/>
      <c r="AC291" s="69"/>
      <c r="AD291" s="133"/>
      <c r="AE291" s="133"/>
      <c r="AF291" s="133"/>
    </row>
    <row r="292" spans="1:32" x14ac:dyDescent="0.25">
      <c r="A292" t="s">
        <v>77</v>
      </c>
      <c r="B292" t="s">
        <v>748</v>
      </c>
      <c r="C292" s="31"/>
      <c r="D292" s="31"/>
      <c r="E292" s="65"/>
      <c r="F292" s="31"/>
      <c r="G292" s="66"/>
      <c r="H292" s="31"/>
      <c r="I292" s="65"/>
      <c r="J292" s="65"/>
      <c r="K292" s="31">
        <v>15</v>
      </c>
      <c r="L292" s="31"/>
      <c r="M292" s="67"/>
      <c r="N292" s="67"/>
      <c r="O292" s="68"/>
      <c r="P292" s="68"/>
      <c r="Q292" s="69"/>
      <c r="R292" s="69"/>
      <c r="S292" s="31"/>
      <c r="T292" s="31"/>
      <c r="U292" s="69"/>
      <c r="V292" s="69"/>
      <c r="W292" s="69"/>
      <c r="X292" s="69"/>
      <c r="Y292" s="69">
        <v>-9.5985272493075424E-2</v>
      </c>
      <c r="Z292" s="69">
        <v>-9.4827586206896686E-2</v>
      </c>
      <c r="AA292" s="69"/>
      <c r="AB292" s="69"/>
      <c r="AC292" s="69"/>
      <c r="AD292" s="133"/>
      <c r="AE292" s="133"/>
      <c r="AF292" s="133"/>
    </row>
    <row r="293" spans="1:32" x14ac:dyDescent="0.25">
      <c r="A293" t="s">
        <v>77</v>
      </c>
      <c r="B293" t="s">
        <v>749</v>
      </c>
      <c r="C293" s="31"/>
      <c r="D293" s="31"/>
      <c r="E293" s="65"/>
      <c r="F293" s="31"/>
      <c r="G293" s="66"/>
      <c r="H293" s="31"/>
      <c r="I293" s="65"/>
      <c r="J293" s="65"/>
      <c r="K293" s="31">
        <v>0</v>
      </c>
      <c r="L293" s="31"/>
      <c r="M293" s="67"/>
      <c r="N293" s="67"/>
      <c r="O293" s="68"/>
      <c r="P293" s="68"/>
      <c r="Q293" s="69"/>
      <c r="R293" s="69"/>
      <c r="S293" s="31">
        <v>7</v>
      </c>
      <c r="T293" s="31"/>
      <c r="U293" s="69"/>
      <c r="V293" s="69"/>
      <c r="W293" s="69"/>
      <c r="X293" s="69"/>
      <c r="Y293" s="69"/>
      <c r="Z293" s="69"/>
      <c r="AA293" s="69"/>
      <c r="AB293" s="69"/>
      <c r="AC293" s="69"/>
      <c r="AD293" s="133"/>
      <c r="AE293" s="133"/>
      <c r="AF293" s="133"/>
    </row>
    <row r="294" spans="1:32" x14ac:dyDescent="0.25">
      <c r="A294" t="s">
        <v>77</v>
      </c>
      <c r="B294" t="s">
        <v>504</v>
      </c>
      <c r="C294" s="31"/>
      <c r="D294" s="31"/>
      <c r="E294" s="65"/>
      <c r="F294" s="31"/>
      <c r="G294" s="66"/>
      <c r="H294" s="31"/>
      <c r="I294" s="65"/>
      <c r="J294" s="65"/>
      <c r="K294" s="31">
        <v>4</v>
      </c>
      <c r="L294" s="31">
        <v>82</v>
      </c>
      <c r="M294" s="67"/>
      <c r="N294" s="67"/>
      <c r="O294" s="68"/>
      <c r="P294" s="68"/>
      <c r="Q294" s="69"/>
      <c r="R294" s="69"/>
      <c r="S294" s="31">
        <v>89.857142857142861</v>
      </c>
      <c r="T294" s="31">
        <v>91</v>
      </c>
      <c r="U294" s="69">
        <v>-0.95121951219512191</v>
      </c>
      <c r="V294" s="69"/>
      <c r="W294" s="69"/>
      <c r="X294" s="69"/>
      <c r="Y294" s="69">
        <v>-0.17726114891837441</v>
      </c>
      <c r="Z294" s="69">
        <v>-0.15151515151515149</v>
      </c>
      <c r="AA294" s="69"/>
      <c r="AB294" s="69"/>
      <c r="AC294" s="69"/>
      <c r="AD294" s="133"/>
      <c r="AE294" s="133"/>
      <c r="AF294" s="133"/>
    </row>
    <row r="295" spans="1:32" x14ac:dyDescent="0.25">
      <c r="A295" t="s">
        <v>77</v>
      </c>
      <c r="B295" t="s">
        <v>519</v>
      </c>
      <c r="C295" s="31"/>
      <c r="D295" s="31"/>
      <c r="E295" s="65"/>
      <c r="F295" s="31"/>
      <c r="G295" s="66"/>
      <c r="H295" s="31"/>
      <c r="I295" s="65"/>
      <c r="J295" s="65"/>
      <c r="K295" s="31">
        <v>-5</v>
      </c>
      <c r="L295" s="31">
        <v>-1</v>
      </c>
      <c r="M295" s="67"/>
      <c r="N295" s="67"/>
      <c r="O295" s="68"/>
      <c r="P295" s="68"/>
      <c r="Q295" s="69"/>
      <c r="R295" s="69"/>
      <c r="S295" s="31"/>
      <c r="T295" s="31">
        <v>1</v>
      </c>
      <c r="U295" s="69">
        <v>4</v>
      </c>
      <c r="V295" s="69"/>
      <c r="W295" s="69"/>
      <c r="X295" s="69"/>
      <c r="Y295" s="69">
        <v>0</v>
      </c>
      <c r="Z295" s="69">
        <v>0</v>
      </c>
      <c r="AA295" s="69"/>
      <c r="AB295" s="69"/>
      <c r="AC295" s="69"/>
      <c r="AD295" s="133"/>
      <c r="AE295" s="133"/>
      <c r="AF295" s="133"/>
    </row>
    <row r="296" spans="1:32" x14ac:dyDescent="0.25">
      <c r="A296" t="s">
        <v>77</v>
      </c>
      <c r="B296" t="s">
        <v>750</v>
      </c>
      <c r="C296" s="31"/>
      <c r="D296" s="31"/>
      <c r="E296" s="65"/>
      <c r="F296" s="31"/>
      <c r="G296" s="66"/>
      <c r="H296" s="31"/>
      <c r="I296" s="65"/>
      <c r="J296" s="65"/>
      <c r="K296" s="31">
        <v>-1</v>
      </c>
      <c r="L296" s="31"/>
      <c r="M296" s="67"/>
      <c r="N296" s="67"/>
      <c r="O296" s="68"/>
      <c r="P296" s="68"/>
      <c r="Q296" s="69"/>
      <c r="R296" s="69"/>
      <c r="S296" s="31"/>
      <c r="T296" s="31"/>
      <c r="U296" s="69"/>
      <c r="V296" s="69"/>
      <c r="W296" s="69"/>
      <c r="X296" s="69"/>
      <c r="Y296" s="69">
        <v>1.3333333333333339</v>
      </c>
      <c r="Z296" s="69">
        <v>1.3333333333333335</v>
      </c>
      <c r="AA296" s="69"/>
      <c r="AB296" s="69"/>
      <c r="AC296" s="69"/>
      <c r="AD296" s="133"/>
      <c r="AE296" s="133"/>
      <c r="AF296" s="133"/>
    </row>
    <row r="297" spans="1:32" x14ac:dyDescent="0.25">
      <c r="A297" t="s">
        <v>77</v>
      </c>
      <c r="B297" t="s">
        <v>526</v>
      </c>
      <c r="C297" s="31"/>
      <c r="D297" s="31"/>
      <c r="E297" s="65"/>
      <c r="F297" s="31"/>
      <c r="G297" s="66"/>
      <c r="H297" s="31"/>
      <c r="I297" s="65"/>
      <c r="J297" s="65"/>
      <c r="K297" s="31">
        <v>2</v>
      </c>
      <c r="L297" s="31">
        <v>5</v>
      </c>
      <c r="M297" s="67"/>
      <c r="N297" s="67"/>
      <c r="O297" s="68"/>
      <c r="P297" s="68"/>
      <c r="Q297" s="69"/>
      <c r="R297" s="69"/>
      <c r="S297" s="31">
        <v>2</v>
      </c>
      <c r="T297" s="31"/>
      <c r="U297" s="69">
        <v>-0.6</v>
      </c>
      <c r="V297" s="69"/>
      <c r="W297" s="69"/>
      <c r="X297" s="69"/>
      <c r="Y297" s="69">
        <v>0</v>
      </c>
      <c r="Z297" s="69">
        <v>0</v>
      </c>
      <c r="AA297" s="69"/>
      <c r="AB297" s="69"/>
      <c r="AC297" s="69"/>
      <c r="AD297" s="133"/>
      <c r="AE297" s="133"/>
      <c r="AF297" s="133"/>
    </row>
    <row r="298" spans="1:32" x14ac:dyDescent="0.25">
      <c r="A298" t="s">
        <v>77</v>
      </c>
      <c r="B298" t="s">
        <v>522</v>
      </c>
      <c r="C298" s="31"/>
      <c r="D298" s="31"/>
      <c r="E298" s="65"/>
      <c r="F298" s="31"/>
      <c r="G298" s="66"/>
      <c r="H298" s="31"/>
      <c r="I298" s="65"/>
      <c r="J298" s="65"/>
      <c r="K298" s="31">
        <v>3</v>
      </c>
      <c r="L298" s="31">
        <v>7</v>
      </c>
      <c r="M298" s="67"/>
      <c r="N298" s="67"/>
      <c r="O298" s="68"/>
      <c r="P298" s="68"/>
      <c r="Q298" s="69"/>
      <c r="R298" s="69"/>
      <c r="S298" s="31">
        <v>16</v>
      </c>
      <c r="T298" s="31">
        <v>6</v>
      </c>
      <c r="U298" s="69">
        <v>-0.5714285714285714</v>
      </c>
      <c r="V298" s="69"/>
      <c r="W298" s="69"/>
      <c r="X298" s="69"/>
      <c r="Y298" s="69">
        <v>-2.2204460492503131E-16</v>
      </c>
      <c r="Z298" s="69">
        <v>0</v>
      </c>
      <c r="AA298" s="69"/>
      <c r="AB298" s="69"/>
      <c r="AC298" s="69"/>
      <c r="AD298" s="133"/>
      <c r="AE298" s="133"/>
      <c r="AF298" s="133"/>
    </row>
    <row r="299" spans="1:32" x14ac:dyDescent="0.25">
      <c r="A299" t="s">
        <v>77</v>
      </c>
      <c r="B299" t="s">
        <v>509</v>
      </c>
      <c r="C299" s="31"/>
      <c r="D299" s="31"/>
      <c r="E299" s="65"/>
      <c r="F299" s="31"/>
      <c r="G299" s="66"/>
      <c r="H299" s="31"/>
      <c r="I299" s="65"/>
      <c r="J299" s="65"/>
      <c r="K299" s="31">
        <v>1</v>
      </c>
      <c r="L299" s="31">
        <v>6</v>
      </c>
      <c r="M299" s="67"/>
      <c r="N299" s="67"/>
      <c r="O299" s="68"/>
      <c r="P299" s="68"/>
      <c r="Q299" s="69"/>
      <c r="R299" s="69"/>
      <c r="S299" s="31"/>
      <c r="T299" s="31"/>
      <c r="U299" s="69">
        <v>-0.83333333333333337</v>
      </c>
      <c r="V299" s="69"/>
      <c r="W299" s="69"/>
      <c r="X299" s="69"/>
      <c r="Y299" s="69">
        <v>0</v>
      </c>
      <c r="Z299" s="69">
        <v>0</v>
      </c>
      <c r="AA299" s="69"/>
      <c r="AB299" s="69"/>
      <c r="AC299" s="69"/>
      <c r="AD299" s="133"/>
      <c r="AE299" s="133"/>
      <c r="AF299" s="133"/>
    </row>
    <row r="300" spans="1:32" x14ac:dyDescent="0.25">
      <c r="A300" t="s">
        <v>77</v>
      </c>
      <c r="B300" t="s">
        <v>516</v>
      </c>
      <c r="C300" s="31"/>
      <c r="D300" s="31"/>
      <c r="E300" s="65"/>
      <c r="F300" s="31"/>
      <c r="G300" s="66"/>
      <c r="H300" s="31"/>
      <c r="I300" s="65"/>
      <c r="J300" s="65"/>
      <c r="K300" s="31"/>
      <c r="L300" s="31"/>
      <c r="M300" s="67"/>
      <c r="N300" s="67"/>
      <c r="O300" s="68"/>
      <c r="P300" s="68"/>
      <c r="Q300" s="69"/>
      <c r="R300" s="69"/>
      <c r="S300" s="31">
        <v>10</v>
      </c>
      <c r="T300" s="31">
        <v>2</v>
      </c>
      <c r="U300" s="69"/>
      <c r="V300" s="69"/>
      <c r="W300" s="69"/>
      <c r="X300" s="69"/>
      <c r="Y300" s="69"/>
      <c r="Z300" s="69"/>
      <c r="AA300" s="69"/>
      <c r="AB300" s="69"/>
      <c r="AC300" s="69"/>
      <c r="AD300" s="133"/>
      <c r="AE300" s="133"/>
      <c r="AF300" s="133"/>
    </row>
    <row r="301" spans="1:32" x14ac:dyDescent="0.25">
      <c r="A301" t="s">
        <v>77</v>
      </c>
      <c r="B301" t="s">
        <v>500</v>
      </c>
      <c r="C301" s="31"/>
      <c r="D301" s="31">
        <v>1</v>
      </c>
      <c r="E301" s="65"/>
      <c r="F301" s="31">
        <v>1</v>
      </c>
      <c r="G301" s="66"/>
      <c r="H301" s="31">
        <v>479.16</v>
      </c>
      <c r="I301" s="65"/>
      <c r="J301" s="65">
        <v>105.41000000000003</v>
      </c>
      <c r="K301" s="31">
        <v>2</v>
      </c>
      <c r="L301" s="31">
        <v>11.857142857142858</v>
      </c>
      <c r="M301" s="67"/>
      <c r="N301" s="67">
        <v>11.857142857142858</v>
      </c>
      <c r="O301" s="68"/>
      <c r="P301" s="68">
        <v>479.16</v>
      </c>
      <c r="Q301" s="69"/>
      <c r="R301" s="69">
        <v>0.21998914767509814</v>
      </c>
      <c r="S301" s="31">
        <v>1</v>
      </c>
      <c r="T301" s="31">
        <v>1</v>
      </c>
      <c r="U301" s="69">
        <v>-0.83132530120481929</v>
      </c>
      <c r="V301" s="69"/>
      <c r="W301" s="69"/>
      <c r="X301" s="69"/>
      <c r="Y301" s="69">
        <v>0</v>
      </c>
      <c r="Z301" s="69">
        <v>0</v>
      </c>
      <c r="AA301" s="69"/>
      <c r="AB301" s="69"/>
      <c r="AC301" s="69"/>
      <c r="AD301" s="133"/>
      <c r="AE301" s="133"/>
      <c r="AF301" s="133"/>
    </row>
    <row r="302" spans="1:32" x14ac:dyDescent="0.25">
      <c r="A302" t="s">
        <v>77</v>
      </c>
      <c r="B302" t="s">
        <v>521</v>
      </c>
      <c r="C302" s="31"/>
      <c r="D302" s="31"/>
      <c r="E302" s="65"/>
      <c r="F302" s="31"/>
      <c r="G302" s="66"/>
      <c r="H302" s="31"/>
      <c r="I302" s="65"/>
      <c r="J302" s="65"/>
      <c r="K302" s="31">
        <v>1</v>
      </c>
      <c r="L302" s="31">
        <v>-2</v>
      </c>
      <c r="M302" s="67"/>
      <c r="N302" s="67"/>
      <c r="O302" s="68"/>
      <c r="P302" s="68"/>
      <c r="Q302" s="69"/>
      <c r="R302" s="69"/>
      <c r="S302" s="31">
        <v>9</v>
      </c>
      <c r="T302" s="31">
        <v>10.714285714285714</v>
      </c>
      <c r="U302" s="69">
        <v>-1.5</v>
      </c>
      <c r="V302" s="69"/>
      <c r="W302" s="69"/>
      <c r="X302" s="69"/>
      <c r="Y302" s="69">
        <v>0</v>
      </c>
      <c r="Z302" s="69">
        <v>0</v>
      </c>
      <c r="AA302" s="69"/>
      <c r="AB302" s="69"/>
      <c r="AC302" s="69"/>
      <c r="AD302" s="133"/>
      <c r="AE302" s="133"/>
      <c r="AF302" s="133"/>
    </row>
    <row r="303" spans="1:32" x14ac:dyDescent="0.25">
      <c r="A303" t="s">
        <v>77</v>
      </c>
      <c r="B303" t="s">
        <v>514</v>
      </c>
      <c r="C303" s="31"/>
      <c r="D303" s="31"/>
      <c r="E303" s="65"/>
      <c r="F303" s="31"/>
      <c r="G303" s="66"/>
      <c r="H303" s="31"/>
      <c r="I303" s="65"/>
      <c r="J303" s="65"/>
      <c r="K303" s="31"/>
      <c r="L303" s="31">
        <v>-1</v>
      </c>
      <c r="M303" s="67"/>
      <c r="N303" s="67"/>
      <c r="O303" s="68"/>
      <c r="P303" s="68"/>
      <c r="Q303" s="69"/>
      <c r="R303" s="69"/>
      <c r="S303" s="31">
        <v>1</v>
      </c>
      <c r="T303" s="31">
        <v>1</v>
      </c>
      <c r="U303" s="69"/>
      <c r="V303" s="69"/>
      <c r="W303" s="69"/>
      <c r="X303" s="69"/>
      <c r="Y303" s="69"/>
      <c r="Z303" s="69"/>
      <c r="AA303" s="69"/>
      <c r="AB303" s="69"/>
      <c r="AC303" s="69"/>
      <c r="AD303" s="133"/>
      <c r="AE303" s="133"/>
      <c r="AF303" s="133"/>
    </row>
    <row r="304" spans="1:32" x14ac:dyDescent="0.25">
      <c r="A304" t="s">
        <v>77</v>
      </c>
      <c r="B304" t="s">
        <v>517</v>
      </c>
      <c r="C304" s="31"/>
      <c r="D304" s="31"/>
      <c r="E304" s="65"/>
      <c r="F304" s="31"/>
      <c r="G304" s="66"/>
      <c r="H304" s="31"/>
      <c r="I304" s="65"/>
      <c r="J304" s="65"/>
      <c r="K304" s="31">
        <v>-1</v>
      </c>
      <c r="L304" s="31">
        <v>12.857142857142858</v>
      </c>
      <c r="M304" s="67"/>
      <c r="N304" s="67"/>
      <c r="O304" s="68"/>
      <c r="P304" s="68"/>
      <c r="Q304" s="69"/>
      <c r="R304" s="69"/>
      <c r="S304" s="31">
        <v>6</v>
      </c>
      <c r="T304" s="31">
        <v>6</v>
      </c>
      <c r="U304" s="69">
        <v>-1.0777777777777777</v>
      </c>
      <c r="V304" s="69"/>
      <c r="W304" s="69"/>
      <c r="X304" s="69"/>
      <c r="Y304" s="69">
        <v>6.4894062458567436E-2</v>
      </c>
      <c r="Z304" s="69">
        <v>0.16666666666666674</v>
      </c>
      <c r="AA304" s="69"/>
      <c r="AB304" s="69"/>
      <c r="AC304" s="69"/>
      <c r="AD304" s="133"/>
      <c r="AE304" s="133"/>
      <c r="AF304" s="133"/>
    </row>
    <row r="305" spans="1:32" x14ac:dyDescent="0.25">
      <c r="A305" t="s">
        <v>77</v>
      </c>
      <c r="B305" t="s">
        <v>507</v>
      </c>
      <c r="C305" s="31"/>
      <c r="D305" s="31">
        <v>1</v>
      </c>
      <c r="E305" s="65"/>
      <c r="F305" s="31">
        <v>4</v>
      </c>
      <c r="G305" s="66"/>
      <c r="H305" s="31">
        <v>149.96</v>
      </c>
      <c r="I305" s="65"/>
      <c r="J305" s="65">
        <v>48.88000000000001</v>
      </c>
      <c r="K305" s="31">
        <v>31</v>
      </c>
      <c r="L305" s="31">
        <v>65.428571428571431</v>
      </c>
      <c r="M305" s="67"/>
      <c r="N305" s="67">
        <v>17.964285714285715</v>
      </c>
      <c r="O305" s="68"/>
      <c r="P305" s="68">
        <v>37.49</v>
      </c>
      <c r="Q305" s="69"/>
      <c r="R305" s="69">
        <v>0.32595358762336629</v>
      </c>
      <c r="S305" s="31">
        <v>64.714285714285708</v>
      </c>
      <c r="T305" s="31">
        <v>63</v>
      </c>
      <c r="U305" s="69">
        <v>-0.52620087336244548</v>
      </c>
      <c r="V305" s="69"/>
      <c r="W305" s="69"/>
      <c r="X305" s="69"/>
      <c r="Y305" s="69">
        <v>-7.0589078820864626E-2</v>
      </c>
      <c r="Z305" s="69">
        <v>-4.4052863436123357E-2</v>
      </c>
      <c r="AA305" s="69"/>
      <c r="AB305" s="69"/>
      <c r="AC305" s="69"/>
      <c r="AD305" s="133"/>
      <c r="AE305" s="133"/>
      <c r="AF305" s="133"/>
    </row>
    <row r="306" spans="1:32" x14ac:dyDescent="0.25">
      <c r="A306" t="s">
        <v>77</v>
      </c>
      <c r="B306" t="s">
        <v>520</v>
      </c>
      <c r="C306" s="31"/>
      <c r="D306" s="31"/>
      <c r="E306" s="65"/>
      <c r="F306" s="31"/>
      <c r="G306" s="66"/>
      <c r="H306" s="31"/>
      <c r="I306" s="65"/>
      <c r="J306" s="65"/>
      <c r="K306" s="31">
        <v>1</v>
      </c>
      <c r="L306" s="31">
        <v>2</v>
      </c>
      <c r="M306" s="67"/>
      <c r="N306" s="67"/>
      <c r="O306" s="68"/>
      <c r="P306" s="68"/>
      <c r="Q306" s="69"/>
      <c r="R306" s="69"/>
      <c r="S306" s="31"/>
      <c r="T306" s="31"/>
      <c r="U306" s="69">
        <v>-0.5</v>
      </c>
      <c r="V306" s="69"/>
      <c r="W306" s="69"/>
      <c r="X306" s="69"/>
      <c r="Y306" s="69">
        <v>0</v>
      </c>
      <c r="Z306" s="69">
        <v>0</v>
      </c>
      <c r="AA306" s="69"/>
      <c r="AB306" s="69"/>
      <c r="AC306" s="69"/>
      <c r="AD306" s="133"/>
      <c r="AE306" s="133"/>
      <c r="AF306" s="133"/>
    </row>
    <row r="307" spans="1:32" x14ac:dyDescent="0.25">
      <c r="A307" t="s">
        <v>77</v>
      </c>
      <c r="B307" t="s">
        <v>524</v>
      </c>
      <c r="C307" s="31"/>
      <c r="D307" s="31"/>
      <c r="E307" s="65"/>
      <c r="F307" s="31"/>
      <c r="G307" s="66"/>
      <c r="H307" s="31"/>
      <c r="I307" s="65"/>
      <c r="J307" s="65"/>
      <c r="K307" s="31"/>
      <c r="L307" s="31">
        <v>5</v>
      </c>
      <c r="M307" s="67"/>
      <c r="N307" s="67"/>
      <c r="O307" s="68"/>
      <c r="P307" s="68"/>
      <c r="Q307" s="69"/>
      <c r="R307" s="69"/>
      <c r="S307" s="31">
        <v>5</v>
      </c>
      <c r="T307" s="31">
        <v>5</v>
      </c>
      <c r="U307" s="69"/>
      <c r="V307" s="69"/>
      <c r="W307" s="69"/>
      <c r="X307" s="69"/>
      <c r="Y307" s="69"/>
      <c r="Z307" s="69"/>
      <c r="AA307" s="69"/>
      <c r="AB307" s="69"/>
      <c r="AC307" s="69"/>
      <c r="AD307" s="133"/>
      <c r="AE307" s="133"/>
      <c r="AF307" s="133"/>
    </row>
    <row r="308" spans="1:32" x14ac:dyDescent="0.25">
      <c r="A308" t="s">
        <v>77</v>
      </c>
      <c r="B308" t="s">
        <v>515</v>
      </c>
      <c r="C308" s="31"/>
      <c r="D308" s="31"/>
      <c r="E308" s="65"/>
      <c r="F308" s="31"/>
      <c r="G308" s="66"/>
      <c r="H308" s="31"/>
      <c r="I308" s="65"/>
      <c r="J308" s="65"/>
      <c r="K308" s="31">
        <v>15</v>
      </c>
      <c r="L308" s="31">
        <v>39.857142857142854</v>
      </c>
      <c r="M308" s="67"/>
      <c r="N308" s="67"/>
      <c r="O308" s="68"/>
      <c r="P308" s="68"/>
      <c r="Q308" s="69"/>
      <c r="R308" s="69"/>
      <c r="S308" s="31">
        <v>12</v>
      </c>
      <c r="T308" s="31"/>
      <c r="U308" s="69">
        <v>-0.62365591397849451</v>
      </c>
      <c r="V308" s="69"/>
      <c r="W308" s="69"/>
      <c r="X308" s="69"/>
      <c r="Y308" s="69">
        <v>0</v>
      </c>
      <c r="Z308" s="69">
        <v>0</v>
      </c>
      <c r="AA308" s="69"/>
      <c r="AB308" s="69"/>
      <c r="AC308" s="69"/>
      <c r="AD308" s="133"/>
      <c r="AE308" s="133"/>
      <c r="AF308" s="133"/>
    </row>
    <row r="309" spans="1:32" x14ac:dyDescent="0.25">
      <c r="A309" t="s">
        <v>77</v>
      </c>
      <c r="B309" t="s">
        <v>510</v>
      </c>
      <c r="C309" s="31"/>
      <c r="D309" s="31">
        <v>1</v>
      </c>
      <c r="E309" s="65"/>
      <c r="F309" s="31">
        <v>1</v>
      </c>
      <c r="G309" s="66"/>
      <c r="H309" s="31">
        <v>74.989999999999995</v>
      </c>
      <c r="I309" s="65"/>
      <c r="J309" s="65">
        <v>31.989999999999995</v>
      </c>
      <c r="K309" s="31">
        <v>-1</v>
      </c>
      <c r="L309" s="31">
        <v>-1.7142857142857142</v>
      </c>
      <c r="M309" s="67"/>
      <c r="N309" s="67">
        <v>-1.7142857142857142</v>
      </c>
      <c r="O309" s="68"/>
      <c r="P309" s="68">
        <v>74.989999999999995</v>
      </c>
      <c r="Q309" s="69"/>
      <c r="R309" s="69">
        <v>0.42659021202827041</v>
      </c>
      <c r="S309" s="31">
        <v>4</v>
      </c>
      <c r="T309" s="31">
        <v>8</v>
      </c>
      <c r="U309" s="69">
        <v>-0.41666666666666663</v>
      </c>
      <c r="V309" s="69"/>
      <c r="W309" s="69"/>
      <c r="X309" s="69"/>
      <c r="Y309" s="69">
        <v>0</v>
      </c>
      <c r="Z309" s="69">
        <v>0</v>
      </c>
      <c r="AA309" s="69"/>
      <c r="AB309" s="69"/>
      <c r="AC309" s="69"/>
      <c r="AD309" s="133"/>
      <c r="AE309" s="133"/>
      <c r="AF309" s="133"/>
    </row>
    <row r="310" spans="1:32" x14ac:dyDescent="0.25">
      <c r="A310" t="s">
        <v>77</v>
      </c>
      <c r="B310" t="s">
        <v>501</v>
      </c>
      <c r="C310" s="31"/>
      <c r="D310" s="31">
        <v>1</v>
      </c>
      <c r="E310" s="65"/>
      <c r="F310" s="31">
        <v>1</v>
      </c>
      <c r="G310" s="66"/>
      <c r="H310" s="31">
        <v>187.49</v>
      </c>
      <c r="I310" s="65"/>
      <c r="J310" s="65">
        <v>7.960000000000008</v>
      </c>
      <c r="K310" s="31"/>
      <c r="L310" s="31">
        <v>10</v>
      </c>
      <c r="M310" s="67"/>
      <c r="N310" s="67">
        <v>10</v>
      </c>
      <c r="O310" s="68"/>
      <c r="P310" s="68">
        <v>187.49</v>
      </c>
      <c r="Q310" s="69"/>
      <c r="R310" s="69">
        <v>4.2455597631873739E-2</v>
      </c>
      <c r="S310" s="31">
        <v>1</v>
      </c>
      <c r="T310" s="31">
        <v>1</v>
      </c>
      <c r="U310" s="69"/>
      <c r="V310" s="69"/>
      <c r="W310" s="69"/>
      <c r="X310" s="69"/>
      <c r="Y310" s="69"/>
      <c r="Z310" s="69"/>
      <c r="AA310" s="69"/>
      <c r="AB310" s="69"/>
      <c r="AC310" s="69"/>
      <c r="AD310" s="133"/>
      <c r="AE310" s="133"/>
      <c r="AF310" s="133"/>
    </row>
    <row r="311" spans="1:32" x14ac:dyDescent="0.25">
      <c r="A311" t="s">
        <v>77</v>
      </c>
      <c r="B311" t="s">
        <v>527</v>
      </c>
      <c r="C311" s="31"/>
      <c r="D311" s="31"/>
      <c r="E311" s="65"/>
      <c r="F311" s="31"/>
      <c r="G311" s="66"/>
      <c r="H311" s="31"/>
      <c r="I311" s="65"/>
      <c r="J311" s="65"/>
      <c r="K311" s="31"/>
      <c r="L311" s="31"/>
      <c r="M311" s="67"/>
      <c r="N311" s="67"/>
      <c r="O311" s="68"/>
      <c r="P311" s="68"/>
      <c r="Q311" s="69"/>
      <c r="R311" s="69"/>
      <c r="S311" s="31">
        <v>-1</v>
      </c>
      <c r="T311" s="31">
        <v>-1</v>
      </c>
      <c r="U311" s="69"/>
      <c r="V311" s="69"/>
      <c r="W311" s="69"/>
      <c r="X311" s="69"/>
      <c r="Y311" s="69"/>
      <c r="Z311" s="69"/>
      <c r="AA311" s="69"/>
      <c r="AB311" s="69"/>
      <c r="AC311" s="69"/>
      <c r="AD311" s="133"/>
      <c r="AE311" s="133"/>
      <c r="AF311" s="133"/>
    </row>
    <row r="312" spans="1:32" x14ac:dyDescent="0.25">
      <c r="A312" t="s">
        <v>77</v>
      </c>
      <c r="B312" t="s">
        <v>505</v>
      </c>
      <c r="C312" s="31"/>
      <c r="D312" s="31"/>
      <c r="E312" s="65"/>
      <c r="F312" s="31"/>
      <c r="G312" s="66"/>
      <c r="H312" s="31"/>
      <c r="I312" s="65"/>
      <c r="J312" s="65"/>
      <c r="K312" s="31">
        <v>3</v>
      </c>
      <c r="L312" s="31">
        <v>16</v>
      </c>
      <c r="M312" s="67"/>
      <c r="N312" s="67"/>
      <c r="O312" s="68"/>
      <c r="P312" s="68"/>
      <c r="Q312" s="69"/>
      <c r="R312" s="69"/>
      <c r="S312" s="31"/>
      <c r="T312" s="31"/>
      <c r="U312" s="69">
        <v>-0.8125</v>
      </c>
      <c r="V312" s="69"/>
      <c r="W312" s="69"/>
      <c r="X312" s="69"/>
      <c r="Y312" s="69">
        <v>0</v>
      </c>
      <c r="Z312" s="69">
        <v>0</v>
      </c>
      <c r="AA312" s="69"/>
      <c r="AB312" s="69"/>
      <c r="AC312" s="69"/>
      <c r="AD312" s="133"/>
      <c r="AE312" s="133"/>
      <c r="AF312" s="133"/>
    </row>
    <row r="313" spans="1:32" x14ac:dyDescent="0.25">
      <c r="A313" t="s">
        <v>77</v>
      </c>
      <c r="B313" t="s">
        <v>512</v>
      </c>
      <c r="C313" s="31"/>
      <c r="D313" s="31">
        <v>3</v>
      </c>
      <c r="E313" s="65"/>
      <c r="F313" s="31">
        <v>3</v>
      </c>
      <c r="G313" s="66"/>
      <c r="H313" s="31">
        <v>25.189999999999998</v>
      </c>
      <c r="I313" s="65"/>
      <c r="J313" s="65">
        <v>-20.799999999999997</v>
      </c>
      <c r="K313" s="31">
        <v>-9</v>
      </c>
      <c r="L313" s="31">
        <v>22.571428571428573</v>
      </c>
      <c r="M313" s="67"/>
      <c r="N313" s="67">
        <v>7.5714285714285721</v>
      </c>
      <c r="O313" s="68"/>
      <c r="P313" s="68">
        <v>8.3966666666666665</v>
      </c>
      <c r="Q313" s="69"/>
      <c r="R313" s="69">
        <v>-0.8257244938467645</v>
      </c>
      <c r="S313" s="31">
        <v>137</v>
      </c>
      <c r="T313" s="31">
        <v>72</v>
      </c>
      <c r="U313" s="69">
        <v>-1.3987341772151898</v>
      </c>
      <c r="V313" s="69"/>
      <c r="W313" s="69"/>
      <c r="X313" s="69"/>
      <c r="Y313" s="69">
        <v>-1.1102230246251565E-16</v>
      </c>
      <c r="Z313" s="69">
        <v>0</v>
      </c>
      <c r="AA313" s="69"/>
      <c r="AB313" s="69"/>
      <c r="AC313" s="69"/>
      <c r="AD313" s="133"/>
      <c r="AE313" s="133"/>
      <c r="AF313" s="133"/>
    </row>
    <row r="314" spans="1:32" x14ac:dyDescent="0.25">
      <c r="A314" t="s">
        <v>77</v>
      </c>
      <c r="B314" t="s">
        <v>747</v>
      </c>
      <c r="C314" s="31"/>
      <c r="D314" s="31"/>
      <c r="E314" s="65"/>
      <c r="F314" s="31"/>
      <c r="G314" s="66"/>
      <c r="H314" s="31"/>
      <c r="I314" s="65"/>
      <c r="J314" s="65"/>
      <c r="K314" s="31">
        <v>1</v>
      </c>
      <c r="L314" s="31"/>
      <c r="M314" s="67"/>
      <c r="N314" s="67"/>
      <c r="O314" s="68"/>
      <c r="P314" s="68"/>
      <c r="Q314" s="69"/>
      <c r="R314" s="69"/>
      <c r="S314" s="31"/>
      <c r="T314" s="31"/>
      <c r="U314" s="69"/>
      <c r="V314" s="69"/>
      <c r="W314" s="69"/>
      <c r="X314" s="69"/>
      <c r="Y314" s="69">
        <v>0</v>
      </c>
      <c r="Z314" s="69">
        <v>0</v>
      </c>
      <c r="AA314" s="69"/>
      <c r="AB314" s="69"/>
      <c r="AC314" s="69"/>
      <c r="AD314" s="133"/>
      <c r="AE314" s="133"/>
      <c r="AF314" s="133"/>
    </row>
    <row r="315" spans="1:32" x14ac:dyDescent="0.25">
      <c r="A315" t="s">
        <v>77</v>
      </c>
      <c r="B315" t="s">
        <v>511</v>
      </c>
      <c r="C315" s="31"/>
      <c r="D315" s="31">
        <v>1</v>
      </c>
      <c r="E315" s="65"/>
      <c r="F315" s="31">
        <v>1</v>
      </c>
      <c r="G315" s="66"/>
      <c r="H315" s="31">
        <v>26.99</v>
      </c>
      <c r="I315" s="65"/>
      <c r="J315" s="65">
        <v>6.9899999999999984</v>
      </c>
      <c r="K315" s="31">
        <v>7.1428571428571432</v>
      </c>
      <c r="L315" s="31">
        <v>37</v>
      </c>
      <c r="M315" s="67"/>
      <c r="N315" s="67">
        <v>39</v>
      </c>
      <c r="O315" s="68"/>
      <c r="P315" s="68">
        <v>26.99</v>
      </c>
      <c r="Q315" s="69"/>
      <c r="R315" s="69">
        <v>0.25898480918858835</v>
      </c>
      <c r="S315" s="31">
        <v>27</v>
      </c>
      <c r="T315" s="31">
        <v>27</v>
      </c>
      <c r="U315" s="69">
        <v>-0.80694980694980689</v>
      </c>
      <c r="V315" s="69"/>
      <c r="W315" s="69"/>
      <c r="X315" s="69"/>
      <c r="Y315" s="69">
        <v>-3.8461538461538436E-2</v>
      </c>
      <c r="Z315" s="69">
        <v>-3.8461538461538436E-2</v>
      </c>
      <c r="AA315" s="69"/>
      <c r="AB315" s="69"/>
      <c r="AC315" s="69"/>
      <c r="AD315" s="133"/>
      <c r="AE315" s="133"/>
      <c r="AF315" s="133"/>
    </row>
    <row r="316" spans="1:32" x14ac:dyDescent="0.25">
      <c r="A316" t="s">
        <v>77</v>
      </c>
      <c r="B316" t="s">
        <v>523</v>
      </c>
      <c r="C316" s="31"/>
      <c r="D316" s="31"/>
      <c r="E316" s="65"/>
      <c r="F316" s="31"/>
      <c r="G316" s="66"/>
      <c r="H316" s="31"/>
      <c r="I316" s="65"/>
      <c r="J316" s="65"/>
      <c r="K316" s="31">
        <v>1</v>
      </c>
      <c r="L316" s="31">
        <v>5</v>
      </c>
      <c r="M316" s="67"/>
      <c r="N316" s="67"/>
      <c r="O316" s="68"/>
      <c r="P316" s="68"/>
      <c r="Q316" s="69"/>
      <c r="R316" s="69"/>
      <c r="S316" s="31"/>
      <c r="T316" s="31"/>
      <c r="U316" s="69">
        <v>-0.8</v>
      </c>
      <c r="V316" s="69"/>
      <c r="W316" s="69"/>
      <c r="X316" s="69"/>
      <c r="Y316" s="69">
        <v>0</v>
      </c>
      <c r="Z316" s="69">
        <v>0</v>
      </c>
      <c r="AA316" s="69"/>
      <c r="AB316" s="69"/>
      <c r="AC316" s="69"/>
      <c r="AD316" s="133"/>
      <c r="AE316" s="133"/>
      <c r="AF316" s="133"/>
    </row>
    <row r="317" spans="1:32" x14ac:dyDescent="0.25">
      <c r="A317" t="s">
        <v>77</v>
      </c>
      <c r="B317" t="s">
        <v>502</v>
      </c>
      <c r="C317" s="31"/>
      <c r="D317" s="31">
        <v>4</v>
      </c>
      <c r="E317" s="65"/>
      <c r="F317" s="31">
        <v>4</v>
      </c>
      <c r="G317" s="66"/>
      <c r="H317" s="31">
        <v>296.47999999999996</v>
      </c>
      <c r="I317" s="65"/>
      <c r="J317" s="65">
        <v>90.039999999999964</v>
      </c>
      <c r="K317" s="31">
        <v>75.142857142857139</v>
      </c>
      <c r="L317" s="31">
        <v>353.71428571428572</v>
      </c>
      <c r="M317" s="67"/>
      <c r="N317" s="67">
        <v>89.142857142857139</v>
      </c>
      <c r="O317" s="68"/>
      <c r="P317" s="68">
        <v>74.11999999999999</v>
      </c>
      <c r="Q317" s="69"/>
      <c r="R317" s="69">
        <v>0.30369670804101451</v>
      </c>
      <c r="S317" s="31">
        <v>10.285714285714286</v>
      </c>
      <c r="T317" s="31">
        <v>11</v>
      </c>
      <c r="U317" s="69">
        <v>-0.78756058158319875</v>
      </c>
      <c r="V317" s="69"/>
      <c r="W317" s="69"/>
      <c r="X317" s="69"/>
      <c r="Y317" s="69">
        <v>-3.36559924922889E-2</v>
      </c>
      <c r="Z317" s="69">
        <v>-3.130755064456725E-2</v>
      </c>
      <c r="AA317" s="69"/>
      <c r="AB317" s="69"/>
      <c r="AC317" s="69"/>
      <c r="AD317" s="133"/>
      <c r="AE317" s="133"/>
      <c r="AF317" s="133"/>
    </row>
    <row r="318" spans="1:32" x14ac:dyDescent="0.25">
      <c r="A318" t="s">
        <v>77</v>
      </c>
      <c r="B318" t="s">
        <v>498</v>
      </c>
      <c r="C318" s="31"/>
      <c r="D318" s="31">
        <v>12</v>
      </c>
      <c r="E318" s="65"/>
      <c r="F318" s="31">
        <v>13</v>
      </c>
      <c r="G318" s="66"/>
      <c r="H318" s="31">
        <v>569.11999999999989</v>
      </c>
      <c r="I318" s="65"/>
      <c r="J318" s="65">
        <v>210.7299999999999</v>
      </c>
      <c r="K318" s="31">
        <v>10</v>
      </c>
      <c r="L318" s="31">
        <v>214</v>
      </c>
      <c r="M318" s="67"/>
      <c r="N318" s="67">
        <v>16.648351648351646</v>
      </c>
      <c r="O318" s="68"/>
      <c r="P318" s="68">
        <v>43.778461538461528</v>
      </c>
      <c r="Q318" s="69"/>
      <c r="R318" s="69">
        <v>0.37027340455439967</v>
      </c>
      <c r="S318" s="31">
        <v>89</v>
      </c>
      <c r="T318" s="31">
        <v>97</v>
      </c>
      <c r="U318" s="69">
        <v>-0.95327102803738317</v>
      </c>
      <c r="V318" s="69"/>
      <c r="W318" s="69"/>
      <c r="X318" s="69"/>
      <c r="Y318" s="69">
        <v>-6.7359707299457172E-2</v>
      </c>
      <c r="Z318" s="69">
        <v>-6.6666666666666652E-2</v>
      </c>
      <c r="AA318" s="69"/>
      <c r="AB318" s="69"/>
      <c r="AC318" s="69"/>
      <c r="AD318" s="133"/>
      <c r="AE318" s="133"/>
      <c r="AF318" s="133"/>
    </row>
    <row r="319" spans="1:32" x14ac:dyDescent="0.25">
      <c r="A319" t="s">
        <v>77</v>
      </c>
      <c r="B319" t="s">
        <v>508</v>
      </c>
      <c r="C319" s="31"/>
      <c r="D319" s="31">
        <v>1</v>
      </c>
      <c r="E319" s="65"/>
      <c r="F319" s="31">
        <v>1</v>
      </c>
      <c r="G319" s="66"/>
      <c r="H319" s="31">
        <v>22.49</v>
      </c>
      <c r="I319" s="65"/>
      <c r="J319" s="65">
        <v>6.2999999999999972</v>
      </c>
      <c r="K319" s="31">
        <v>17</v>
      </c>
      <c r="L319" s="31">
        <v>49.428571428571431</v>
      </c>
      <c r="M319" s="67"/>
      <c r="N319" s="67">
        <v>48.571428571428569</v>
      </c>
      <c r="O319" s="68"/>
      <c r="P319" s="68">
        <v>22.49</v>
      </c>
      <c r="Q319" s="69"/>
      <c r="R319" s="69">
        <v>0.28012449977767884</v>
      </c>
      <c r="S319" s="31">
        <v>11</v>
      </c>
      <c r="T319" s="31">
        <v>6</v>
      </c>
      <c r="U319" s="69">
        <v>-0.65895953757225434</v>
      </c>
      <c r="V319" s="69"/>
      <c r="W319" s="69"/>
      <c r="X319" s="69"/>
      <c r="Y319" s="69">
        <v>-3.5955346661774024E-2</v>
      </c>
      <c r="Z319" s="69">
        <v>-3.2520325203252098E-2</v>
      </c>
      <c r="AA319" s="69"/>
      <c r="AB319" s="69"/>
      <c r="AC319" s="69"/>
      <c r="AD319" s="133"/>
      <c r="AE319" s="133"/>
      <c r="AF319" s="133"/>
    </row>
    <row r="320" spans="1:32" x14ac:dyDescent="0.25">
      <c r="A320" t="s">
        <v>77</v>
      </c>
      <c r="B320" t="s">
        <v>518</v>
      </c>
      <c r="C320" s="31"/>
      <c r="D320" s="31"/>
      <c r="E320" s="65"/>
      <c r="F320" s="31"/>
      <c r="G320" s="66"/>
      <c r="H320" s="31"/>
      <c r="I320" s="65"/>
      <c r="J320" s="65"/>
      <c r="K320" s="31"/>
      <c r="L320" s="31">
        <v>-1</v>
      </c>
      <c r="M320" s="67"/>
      <c r="N320" s="67"/>
      <c r="O320" s="68"/>
      <c r="P320" s="68"/>
      <c r="Q320" s="69"/>
      <c r="R320" s="69"/>
      <c r="S320" s="31">
        <v>5</v>
      </c>
      <c r="T320" s="31">
        <v>5</v>
      </c>
      <c r="U320" s="69"/>
      <c r="V320" s="69"/>
      <c r="W320" s="69"/>
      <c r="X320" s="69"/>
      <c r="Y320" s="69"/>
      <c r="Z320" s="69"/>
      <c r="AA320" s="69"/>
      <c r="AB320" s="69"/>
      <c r="AC320" s="69"/>
      <c r="AD320" s="133"/>
      <c r="AE320" s="133"/>
      <c r="AF320" s="133"/>
    </row>
    <row r="321" spans="1:32" x14ac:dyDescent="0.25">
      <c r="A321" s="129" t="s">
        <v>811</v>
      </c>
      <c r="B321" s="129"/>
      <c r="C321" s="120">
        <v>21310</v>
      </c>
      <c r="D321" s="120">
        <v>18885</v>
      </c>
      <c r="E321" s="119">
        <v>34203</v>
      </c>
      <c r="F321" s="120">
        <v>33655</v>
      </c>
      <c r="G321" s="120">
        <v>10779761.880001679</v>
      </c>
      <c r="H321" s="120">
        <v>5965399.6700007739</v>
      </c>
      <c r="I321" s="119">
        <v>5589076.4600009546</v>
      </c>
      <c r="J321" s="119">
        <v>2604608.9400008447</v>
      </c>
      <c r="K321" s="120">
        <v>366140.85714285716</v>
      </c>
      <c r="L321" s="120">
        <v>739722.57142857148</v>
      </c>
      <c r="M321" s="131">
        <v>10.704933986575949</v>
      </c>
      <c r="N321" s="131">
        <v>22.129985155658837</v>
      </c>
      <c r="O321" s="130">
        <v>315.17006929221645</v>
      </c>
      <c r="P321" s="130">
        <v>177.2515129995773</v>
      </c>
      <c r="Q321" s="132">
        <v>0.51847865678458582</v>
      </c>
      <c r="R321" s="132">
        <v>0.4257671714191959</v>
      </c>
      <c r="S321" s="120">
        <v>90749.28571428571</v>
      </c>
      <c r="T321" s="120">
        <v>292815.85714285716</v>
      </c>
      <c r="U321" s="132">
        <v>-0.51819272785279735</v>
      </c>
      <c r="V321" s="132">
        <v>-1.5450898826325998E-2</v>
      </c>
      <c r="W321" s="132">
        <v>0.7518353418221968</v>
      </c>
      <c r="X321" s="132">
        <v>1.1344611122654844</v>
      </c>
      <c r="Y321" s="132">
        <v>6.4108201981771806E-2</v>
      </c>
      <c r="Z321" s="132">
        <v>2.4444916099381819E-2</v>
      </c>
      <c r="AA321" s="132">
        <v>0.2267493992324523</v>
      </c>
      <c r="AB321" s="132">
        <v>0.20860709337191286</v>
      </c>
      <c r="AC321" s="132">
        <v>-1.4788925816381471E-2</v>
      </c>
      <c r="AD321" s="134">
        <v>0.32017368395352325</v>
      </c>
      <c r="AE321" s="134">
        <v>0.21989623705911127</v>
      </c>
      <c r="AF321" s="134">
        <v>0.36071316343499893</v>
      </c>
    </row>
    <row r="322" spans="1:32" x14ac:dyDescent="0.25">
      <c r="A322" t="s">
        <v>73</v>
      </c>
      <c r="B322" t="s">
        <v>528</v>
      </c>
      <c r="C322" s="31">
        <v>1619</v>
      </c>
      <c r="D322" s="31">
        <v>1773</v>
      </c>
      <c r="E322" s="65">
        <v>2145</v>
      </c>
      <c r="F322" s="31">
        <v>2357</v>
      </c>
      <c r="G322" s="66">
        <v>5855605.8800001703</v>
      </c>
      <c r="H322" s="31">
        <v>4648698.1900000088</v>
      </c>
      <c r="I322" s="65">
        <v>2487125.7199999914</v>
      </c>
      <c r="J322" s="65">
        <v>1717324.4600000079</v>
      </c>
      <c r="K322" s="31">
        <v>23150.142857142859</v>
      </c>
      <c r="L322" s="31">
        <v>22718.857142857141</v>
      </c>
      <c r="M322" s="67">
        <v>10.792607392607394</v>
      </c>
      <c r="N322" s="67">
        <v>9.8039825390181186</v>
      </c>
      <c r="O322" s="68">
        <v>2729.8861911422705</v>
      </c>
      <c r="P322" s="68">
        <v>1972.2945226983491</v>
      </c>
      <c r="Q322" s="69">
        <v>0.42474267752458761</v>
      </c>
      <c r="R322" s="69">
        <v>0.36437598293572693</v>
      </c>
      <c r="S322" s="31">
        <v>5825.2857142857147</v>
      </c>
      <c r="T322" s="31">
        <v>18871.142857142859</v>
      </c>
      <c r="U322" s="69">
        <v>-5.8856079279639983E-3</v>
      </c>
      <c r="V322" s="69">
        <v>-0.11752227407721683</v>
      </c>
      <c r="W322" s="69">
        <v>0.21931203927010468</v>
      </c>
      <c r="X322" s="69">
        <v>0.42429725201641988</v>
      </c>
      <c r="Y322" s="69">
        <v>-9.3210324987461513E-2</v>
      </c>
      <c r="Z322" s="69">
        <v>-8.7160045965615773E-2</v>
      </c>
      <c r="AA322" s="69">
        <v>-0.26008968609865468</v>
      </c>
      <c r="AB322" s="69">
        <v>-0.19057660151498046</v>
      </c>
      <c r="AC322" s="69">
        <v>9.3947987043389913E-2</v>
      </c>
      <c r="AD322" s="133">
        <v>0.45883672835358336</v>
      </c>
      <c r="AE322" s="133">
        <v>0.52877968275196352</v>
      </c>
      <c r="AF322" s="133">
        <v>0.65859180506234294</v>
      </c>
    </row>
    <row r="323" spans="1:32" x14ac:dyDescent="0.25">
      <c r="A323" t="s">
        <v>73</v>
      </c>
      <c r="B323" t="s">
        <v>530</v>
      </c>
      <c r="C323" s="31">
        <v>2038</v>
      </c>
      <c r="D323" s="31">
        <v>714</v>
      </c>
      <c r="E323" s="65">
        <v>2366</v>
      </c>
      <c r="F323" s="31">
        <v>805</v>
      </c>
      <c r="G323" s="66">
        <v>1837536.0899999884</v>
      </c>
      <c r="H323" s="31">
        <v>892500.27999999479</v>
      </c>
      <c r="I323" s="65">
        <v>948153.159999992</v>
      </c>
      <c r="J323" s="65">
        <v>386035.38999999437</v>
      </c>
      <c r="K323" s="31">
        <v>20576</v>
      </c>
      <c r="L323" s="31">
        <v>8426.8571428571431</v>
      </c>
      <c r="M323" s="67">
        <v>8.6965342349957737</v>
      </c>
      <c r="N323" s="67">
        <v>10.664102115754503</v>
      </c>
      <c r="O323" s="68">
        <v>776.64247252746759</v>
      </c>
      <c r="P323" s="68">
        <v>1108.6959999999935</v>
      </c>
      <c r="Q323" s="69">
        <v>0.51599158523193844</v>
      </c>
      <c r="R323" s="69">
        <v>0.42714832674837949</v>
      </c>
      <c r="S323" s="31">
        <v>7763.8571428571431</v>
      </c>
      <c r="T323" s="31">
        <v>13178.857142857143</v>
      </c>
      <c r="U323" s="69">
        <v>1.3747711398928595</v>
      </c>
      <c r="V323" s="69">
        <v>1.8434782608695652</v>
      </c>
      <c r="W323" s="69">
        <v>0.98984913483724868</v>
      </c>
      <c r="X323" s="69">
        <v>1.4057648830071932</v>
      </c>
      <c r="Y323" s="69">
        <v>-4.7191433043510034E-2</v>
      </c>
      <c r="Z323" s="69">
        <v>-5.958552605805767E-2</v>
      </c>
      <c r="AA323" s="69">
        <v>0.29148471615720517</v>
      </c>
      <c r="AB323" s="69">
        <v>0.31801203189730742</v>
      </c>
      <c r="AC323" s="69">
        <v>2.0540170091237098E-2</v>
      </c>
      <c r="AD323" s="133">
        <v>0.35598698917302246</v>
      </c>
      <c r="AE323" s="133">
        <v>0.32942564571980076</v>
      </c>
      <c r="AF323" s="133">
        <v>0.41956749957826078</v>
      </c>
    </row>
    <row r="324" spans="1:32" x14ac:dyDescent="0.25">
      <c r="A324" t="s">
        <v>73</v>
      </c>
      <c r="B324" t="s">
        <v>529</v>
      </c>
      <c r="C324" s="31">
        <v>1209</v>
      </c>
      <c r="D324" s="31">
        <v>952</v>
      </c>
      <c r="E324" s="65">
        <v>1289</v>
      </c>
      <c r="F324" s="31">
        <v>1060</v>
      </c>
      <c r="G324" s="66">
        <v>1795219.109999984</v>
      </c>
      <c r="H324" s="31">
        <v>1337822.6499999873</v>
      </c>
      <c r="I324" s="65">
        <v>894644.30000000028</v>
      </c>
      <c r="J324" s="65">
        <v>583711.28999998688</v>
      </c>
      <c r="K324" s="31">
        <v>16981.142857142859</v>
      </c>
      <c r="L324" s="31">
        <v>15578.428571428571</v>
      </c>
      <c r="M324" s="67">
        <v>13.173888950459936</v>
      </c>
      <c r="N324" s="67">
        <v>14.951582867783985</v>
      </c>
      <c r="O324" s="68">
        <v>1392.7223506594135</v>
      </c>
      <c r="P324" s="68">
        <v>1262.0968396226297</v>
      </c>
      <c r="Q324" s="69">
        <v>0.49834824897781321</v>
      </c>
      <c r="R324" s="69">
        <v>0.43121633062152936</v>
      </c>
      <c r="S324" s="31">
        <v>9182.7142857142862</v>
      </c>
      <c r="T324" s="31">
        <v>10882</v>
      </c>
      <c r="U324" s="69">
        <v>5.9276105237095145E-2</v>
      </c>
      <c r="V324" s="69">
        <v>0.18867924528301883</v>
      </c>
      <c r="W324" s="69">
        <v>0.31336741831961024</v>
      </c>
      <c r="X324" s="69">
        <v>0.5128744996403396</v>
      </c>
      <c r="Y324" s="69">
        <v>-1.5911797110266135E-2</v>
      </c>
      <c r="Z324" s="69">
        <v>-2.3743624701254129E-2</v>
      </c>
      <c r="AA324" s="69">
        <v>0.24782187802516931</v>
      </c>
      <c r="AB324" s="69">
        <v>0.25586134794712456</v>
      </c>
      <c r="AC324" s="69">
        <v>6.4428025053371307E-3</v>
      </c>
      <c r="AD324" s="133">
        <v>-3.6117261980785798E-2</v>
      </c>
      <c r="AE324" s="133">
        <v>-0.20455821615728523</v>
      </c>
      <c r="AF324" s="133">
        <v>-0.16117565696705138</v>
      </c>
    </row>
    <row r="325" spans="1:32" x14ac:dyDescent="0.25">
      <c r="A325" t="s">
        <v>73</v>
      </c>
      <c r="B325" t="s">
        <v>531</v>
      </c>
      <c r="C325" s="31">
        <v>606</v>
      </c>
      <c r="D325" s="31">
        <v>422</v>
      </c>
      <c r="E325" s="65">
        <v>748</v>
      </c>
      <c r="F325" s="31">
        <v>628</v>
      </c>
      <c r="G325" s="66">
        <v>721034.70999999484</v>
      </c>
      <c r="H325" s="31">
        <v>584254.62000000256</v>
      </c>
      <c r="I325" s="65">
        <v>331008.12000000017</v>
      </c>
      <c r="J325" s="65">
        <v>225084.25000000326</v>
      </c>
      <c r="K325" s="31">
        <v>16072</v>
      </c>
      <c r="L325" s="31">
        <v>6610.4285714285716</v>
      </c>
      <c r="M325" s="67">
        <v>21.486631016042782</v>
      </c>
      <c r="N325" s="67">
        <v>10.712720769058798</v>
      </c>
      <c r="O325" s="68">
        <v>963.95014705881658</v>
      </c>
      <c r="P325" s="68">
        <v>930.34175159236077</v>
      </c>
      <c r="Q325" s="69">
        <v>0.45907376636556446</v>
      </c>
      <c r="R325" s="69">
        <v>0.37797240007237259</v>
      </c>
      <c r="S325" s="31">
        <v>10210.142857142857</v>
      </c>
      <c r="T325" s="31">
        <v>16776.428571428572</v>
      </c>
      <c r="U325" s="69">
        <v>1.3637542411341386</v>
      </c>
      <c r="V325" s="69">
        <v>0.15445859872611467</v>
      </c>
      <c r="W325" s="69">
        <v>0.20059226917194395</v>
      </c>
      <c r="X325" s="69">
        <v>0.45907840221641494</v>
      </c>
      <c r="Y325" s="69">
        <v>0.21084473496958345</v>
      </c>
      <c r="Z325" s="69">
        <v>7.9641092078115205E-2</v>
      </c>
      <c r="AA325" s="69">
        <v>0.1333333333333333</v>
      </c>
      <c r="AB325" s="69">
        <v>0.37430077951313634</v>
      </c>
      <c r="AC325" s="69">
        <v>0.21261833486453208</v>
      </c>
      <c r="AD325" s="133">
        <v>0.1318658521065946</v>
      </c>
      <c r="AE325" s="133">
        <v>0.36146976305660716</v>
      </c>
      <c r="AF325" s="133">
        <v>0.29342287944218415</v>
      </c>
    </row>
    <row r="326" spans="1:32" x14ac:dyDescent="0.25">
      <c r="A326" t="s">
        <v>73</v>
      </c>
      <c r="B326" t="s">
        <v>532</v>
      </c>
      <c r="C326" s="31">
        <v>27</v>
      </c>
      <c r="D326" s="31">
        <v>97</v>
      </c>
      <c r="E326" s="65">
        <v>120</v>
      </c>
      <c r="F326" s="31">
        <v>590</v>
      </c>
      <c r="G326" s="66">
        <v>5442.6500000000005</v>
      </c>
      <c r="H326" s="31">
        <v>22035.550000000014</v>
      </c>
      <c r="I326" s="65">
        <v>3013.389999999999</v>
      </c>
      <c r="J326" s="65">
        <v>10047.060000000018</v>
      </c>
      <c r="K326" s="31">
        <v>3023.5714285714284</v>
      </c>
      <c r="L326" s="31">
        <v>10421.857142857143</v>
      </c>
      <c r="M326" s="67">
        <v>25.196428571428569</v>
      </c>
      <c r="N326" s="67">
        <v>17.86513157894737</v>
      </c>
      <c r="O326" s="68">
        <v>45.35541666666667</v>
      </c>
      <c r="P326" s="68">
        <v>37.348389830508495</v>
      </c>
      <c r="Q326" s="69">
        <v>0.55366227848566396</v>
      </c>
      <c r="R326" s="69">
        <v>0.43848732160782122</v>
      </c>
      <c r="S326" s="31">
        <v>3723</v>
      </c>
      <c r="T326" s="31">
        <v>2016.5714285714287</v>
      </c>
      <c r="U326" s="69">
        <v>-0.71034775814565543</v>
      </c>
      <c r="V326" s="69">
        <v>-0.79661016949152541</v>
      </c>
      <c r="W326" s="69">
        <v>-0.75300593813179173</v>
      </c>
      <c r="X326" s="69">
        <v>-0.6871957871877945</v>
      </c>
      <c r="Y326" s="69">
        <v>-2.7824075840748197E-2</v>
      </c>
      <c r="Z326" s="69">
        <v>-2.8147671962531096E-2</v>
      </c>
      <c r="AA326" s="69">
        <v>0.81818181818181812</v>
      </c>
      <c r="AB326" s="69">
        <v>0.82420724166015913</v>
      </c>
      <c r="AC326" s="69">
        <v>3.3139829130874876E-3</v>
      </c>
      <c r="AD326" s="133"/>
      <c r="AE326" s="133"/>
      <c r="AF326" s="133"/>
    </row>
    <row r="327" spans="1:32" x14ac:dyDescent="0.25">
      <c r="A327" t="s">
        <v>73</v>
      </c>
      <c r="B327" t="s">
        <v>533</v>
      </c>
      <c r="C327" s="31">
        <v>2</v>
      </c>
      <c r="D327" s="31">
        <v>1</v>
      </c>
      <c r="E327" s="65">
        <v>2</v>
      </c>
      <c r="F327" s="31">
        <v>1</v>
      </c>
      <c r="G327" s="66">
        <v>416.66</v>
      </c>
      <c r="H327" s="31">
        <v>276.67</v>
      </c>
      <c r="I327" s="65">
        <v>80.19</v>
      </c>
      <c r="J327" s="65">
        <v>102.55000000000001</v>
      </c>
      <c r="K327" s="31">
        <v>53.428571428571431</v>
      </c>
      <c r="L327" s="31">
        <v>143.14285714285714</v>
      </c>
      <c r="M327" s="67">
        <v>26.714285714285715</v>
      </c>
      <c r="N327" s="67">
        <v>145.14285714285714</v>
      </c>
      <c r="O327" s="68">
        <v>208.33</v>
      </c>
      <c r="P327" s="68">
        <v>276.67</v>
      </c>
      <c r="Q327" s="69">
        <v>0.19245907934526951</v>
      </c>
      <c r="R327" s="69">
        <v>0.37065818484114649</v>
      </c>
      <c r="S327" s="31">
        <v>4.2857142857142856</v>
      </c>
      <c r="T327" s="31">
        <v>3.5714285714285716</v>
      </c>
      <c r="U327" s="69">
        <v>-0.76646706586826352</v>
      </c>
      <c r="V327" s="69">
        <v>1</v>
      </c>
      <c r="W327" s="69">
        <v>0.50598185564029352</v>
      </c>
      <c r="X327" s="69">
        <v>-0.21803998049731854</v>
      </c>
      <c r="Y327" s="69">
        <v>-8.8050386155811067E-2</v>
      </c>
      <c r="Z327" s="69">
        <v>-8.557457212713937E-2</v>
      </c>
      <c r="AA327" s="69">
        <v>1</v>
      </c>
      <c r="AB327" s="69">
        <v>1</v>
      </c>
      <c r="AC327" s="69">
        <v>0</v>
      </c>
      <c r="AD327" s="133"/>
      <c r="AE327" s="133"/>
      <c r="AF327" s="133"/>
    </row>
    <row r="328" spans="1:32" x14ac:dyDescent="0.25">
      <c r="A328" t="s">
        <v>73</v>
      </c>
      <c r="B328" t="s">
        <v>539</v>
      </c>
      <c r="C328" s="31">
        <v>4</v>
      </c>
      <c r="D328" s="31"/>
      <c r="E328" s="65">
        <v>4</v>
      </c>
      <c r="F328" s="31"/>
      <c r="G328" s="66">
        <v>349.96</v>
      </c>
      <c r="H328" s="31"/>
      <c r="I328" s="65">
        <v>89.94</v>
      </c>
      <c r="J328" s="65"/>
      <c r="K328" s="31">
        <v>42.857142857142854</v>
      </c>
      <c r="L328" s="31">
        <v>6</v>
      </c>
      <c r="M328" s="67">
        <v>10.714285714285714</v>
      </c>
      <c r="N328" s="67"/>
      <c r="O328" s="68">
        <v>87.49</v>
      </c>
      <c r="P328" s="68"/>
      <c r="Q328" s="69">
        <v>0.25700080009143905</v>
      </c>
      <c r="R328" s="69"/>
      <c r="S328" s="31">
        <v>32</v>
      </c>
      <c r="T328" s="31">
        <v>32</v>
      </c>
      <c r="U328" s="69"/>
      <c r="V328" s="69"/>
      <c r="W328" s="69"/>
      <c r="X328" s="69"/>
      <c r="Y328" s="69">
        <v>-3.5468229253485362E-2</v>
      </c>
      <c r="Z328" s="69">
        <v>-4.7619047619047672E-2</v>
      </c>
      <c r="AA328" s="69"/>
      <c r="AB328" s="69"/>
      <c r="AC328" s="69"/>
      <c r="AD328" s="133"/>
      <c r="AE328" s="133"/>
      <c r="AF328" s="133"/>
    </row>
    <row r="329" spans="1:32" x14ac:dyDescent="0.25">
      <c r="A329" t="s">
        <v>73</v>
      </c>
      <c r="B329" t="s">
        <v>534</v>
      </c>
      <c r="C329" s="31">
        <v>1</v>
      </c>
      <c r="D329" s="31"/>
      <c r="E329" s="65">
        <v>1</v>
      </c>
      <c r="F329" s="31"/>
      <c r="G329" s="66">
        <v>166.66</v>
      </c>
      <c r="H329" s="31"/>
      <c r="I329" s="65">
        <v>55.75</v>
      </c>
      <c r="J329" s="65"/>
      <c r="K329" s="31">
        <v>5.2857142857142856</v>
      </c>
      <c r="L329" s="31">
        <v>57.142857142857146</v>
      </c>
      <c r="M329" s="67">
        <v>5.2857142857142856</v>
      </c>
      <c r="N329" s="67"/>
      <c r="O329" s="68">
        <v>166.66</v>
      </c>
      <c r="P329" s="68"/>
      <c r="Q329" s="69">
        <v>0.33451338053522139</v>
      </c>
      <c r="R329" s="69"/>
      <c r="S329" s="31">
        <v>0</v>
      </c>
      <c r="T329" s="31">
        <v>2</v>
      </c>
      <c r="U329" s="69">
        <v>-0.90749999999999997</v>
      </c>
      <c r="V329" s="69"/>
      <c r="W329" s="69"/>
      <c r="X329" s="69"/>
      <c r="Y329" s="69">
        <v>-0.23558806409211874</v>
      </c>
      <c r="Z329" s="69">
        <v>-0.22916666666666663</v>
      </c>
      <c r="AA329" s="69">
        <v>0</v>
      </c>
      <c r="AB329" s="69">
        <v>6.0006000599965859E-5</v>
      </c>
      <c r="AC329" s="69">
        <v>6.0006000599965859E-5</v>
      </c>
      <c r="AD329" s="133"/>
      <c r="AE329" s="133"/>
      <c r="AF329" s="133"/>
    </row>
    <row r="330" spans="1:32" x14ac:dyDescent="0.25">
      <c r="A330" t="s">
        <v>73</v>
      </c>
      <c r="B330" t="s">
        <v>538</v>
      </c>
      <c r="C330" s="31"/>
      <c r="D330" s="31"/>
      <c r="E330" s="65"/>
      <c r="F330" s="31"/>
      <c r="G330" s="66"/>
      <c r="H330" s="31"/>
      <c r="I330" s="65"/>
      <c r="J330" s="65"/>
      <c r="K330" s="31">
        <v>9</v>
      </c>
      <c r="L330" s="31">
        <v>-1</v>
      </c>
      <c r="M330" s="67"/>
      <c r="N330" s="67"/>
      <c r="O330" s="68"/>
      <c r="P330" s="68"/>
      <c r="Q330" s="69"/>
      <c r="R330" s="69"/>
      <c r="S330" s="31">
        <v>-1</v>
      </c>
      <c r="T330" s="31">
        <v>-1</v>
      </c>
      <c r="U330" s="69"/>
      <c r="V330" s="69"/>
      <c r="W330" s="69"/>
      <c r="X330" s="69"/>
      <c r="Y330" s="69">
        <v>0</v>
      </c>
      <c r="Z330" s="69">
        <v>0</v>
      </c>
      <c r="AA330" s="69"/>
      <c r="AB330" s="69"/>
      <c r="AC330" s="69"/>
      <c r="AD330" s="133"/>
      <c r="AE330" s="133"/>
      <c r="AF330" s="133"/>
    </row>
    <row r="331" spans="1:32" x14ac:dyDescent="0.25">
      <c r="A331" t="s">
        <v>73</v>
      </c>
      <c r="B331" t="s">
        <v>537</v>
      </c>
      <c r="C331" s="31"/>
      <c r="D331" s="31"/>
      <c r="E331" s="65"/>
      <c r="F331" s="31"/>
      <c r="G331" s="66"/>
      <c r="H331" s="31"/>
      <c r="I331" s="65"/>
      <c r="J331" s="65"/>
      <c r="K331" s="31"/>
      <c r="L331" s="31"/>
      <c r="M331" s="67"/>
      <c r="N331" s="67"/>
      <c r="O331" s="68"/>
      <c r="P331" s="68"/>
      <c r="Q331" s="69"/>
      <c r="R331" s="69"/>
      <c r="S331" s="31">
        <v>2</v>
      </c>
      <c r="T331" s="31">
        <v>2</v>
      </c>
      <c r="U331" s="69"/>
      <c r="V331" s="69"/>
      <c r="W331" s="69"/>
      <c r="X331" s="69"/>
      <c r="Y331" s="69"/>
      <c r="Z331" s="69"/>
      <c r="AA331" s="69"/>
      <c r="AB331" s="69"/>
      <c r="AC331" s="69"/>
      <c r="AD331" s="133"/>
      <c r="AE331" s="133"/>
      <c r="AF331" s="133"/>
    </row>
    <row r="332" spans="1:32" x14ac:dyDescent="0.25">
      <c r="A332" t="s">
        <v>73</v>
      </c>
      <c r="B332" t="s">
        <v>535</v>
      </c>
      <c r="C332" s="31"/>
      <c r="D332" s="31"/>
      <c r="E332" s="65"/>
      <c r="F332" s="31"/>
      <c r="G332" s="66"/>
      <c r="H332" s="31"/>
      <c r="I332" s="65"/>
      <c r="J332" s="65"/>
      <c r="K332" s="31">
        <v>6</v>
      </c>
      <c r="L332" s="31">
        <v>27</v>
      </c>
      <c r="M332" s="67"/>
      <c r="N332" s="67"/>
      <c r="O332" s="68"/>
      <c r="P332" s="68"/>
      <c r="Q332" s="69"/>
      <c r="R332" s="69"/>
      <c r="S332" s="31">
        <v>-1</v>
      </c>
      <c r="T332" s="31">
        <v>-1</v>
      </c>
      <c r="U332" s="69">
        <v>-0.77777777777777779</v>
      </c>
      <c r="V332" s="69"/>
      <c r="W332" s="69"/>
      <c r="X332" s="69"/>
      <c r="Y332" s="69">
        <v>2.2204460492503131E-16</v>
      </c>
      <c r="Z332" s="69">
        <v>0</v>
      </c>
      <c r="AA332" s="69"/>
      <c r="AB332" s="69"/>
      <c r="AC332" s="69"/>
      <c r="AD332" s="133"/>
      <c r="AE332" s="133"/>
      <c r="AF332" s="133"/>
    </row>
    <row r="333" spans="1:32" x14ac:dyDescent="0.25">
      <c r="A333" t="s">
        <v>73</v>
      </c>
      <c r="B333" t="s">
        <v>536</v>
      </c>
      <c r="C333" s="31"/>
      <c r="D333" s="31"/>
      <c r="E333" s="65"/>
      <c r="F333" s="31"/>
      <c r="G333" s="66"/>
      <c r="H333" s="31"/>
      <c r="I333" s="65"/>
      <c r="J333" s="65"/>
      <c r="K333" s="31"/>
      <c r="L333" s="31">
        <v>4</v>
      </c>
      <c r="M333" s="67"/>
      <c r="N333" s="67"/>
      <c r="O333" s="68"/>
      <c r="P333" s="68"/>
      <c r="Q333" s="69"/>
      <c r="R333" s="69"/>
      <c r="S333" s="31">
        <v>45</v>
      </c>
      <c r="T333" s="31">
        <v>21</v>
      </c>
      <c r="U333" s="69"/>
      <c r="V333" s="69"/>
      <c r="W333" s="69"/>
      <c r="X333" s="69"/>
      <c r="Y333" s="69"/>
      <c r="Z333" s="69"/>
      <c r="AA333" s="69"/>
      <c r="AB333" s="69"/>
      <c r="AC333" s="69"/>
      <c r="AD333" s="133"/>
      <c r="AE333" s="133"/>
      <c r="AF333" s="133"/>
    </row>
    <row r="334" spans="1:32" x14ac:dyDescent="0.25">
      <c r="A334" t="s">
        <v>73</v>
      </c>
      <c r="B334" t="s">
        <v>541</v>
      </c>
      <c r="C334" s="31"/>
      <c r="D334" s="31"/>
      <c r="E334" s="65"/>
      <c r="F334" s="31"/>
      <c r="G334" s="66"/>
      <c r="H334" s="31"/>
      <c r="I334" s="65"/>
      <c r="J334" s="65"/>
      <c r="K334" s="31"/>
      <c r="L334" s="31"/>
      <c r="M334" s="67"/>
      <c r="N334" s="67"/>
      <c r="O334" s="68"/>
      <c r="P334" s="68"/>
      <c r="Q334" s="69"/>
      <c r="R334" s="69"/>
      <c r="S334" s="31">
        <v>-1</v>
      </c>
      <c r="T334" s="31">
        <v>-1</v>
      </c>
      <c r="U334" s="69"/>
      <c r="V334" s="69"/>
      <c r="W334" s="69"/>
      <c r="X334" s="69"/>
      <c r="Y334" s="69"/>
      <c r="Z334" s="69"/>
      <c r="AA334" s="69"/>
      <c r="AB334" s="69"/>
      <c r="AC334" s="69"/>
      <c r="AD334" s="133"/>
      <c r="AE334" s="133"/>
      <c r="AF334" s="133"/>
    </row>
    <row r="335" spans="1:32" x14ac:dyDescent="0.25">
      <c r="A335" t="s">
        <v>73</v>
      </c>
      <c r="B335" t="s">
        <v>540</v>
      </c>
      <c r="C335" s="31"/>
      <c r="D335" s="31"/>
      <c r="E335" s="65"/>
      <c r="F335" s="31"/>
      <c r="G335" s="66"/>
      <c r="H335" s="31"/>
      <c r="I335" s="65"/>
      <c r="J335" s="65"/>
      <c r="K335" s="31"/>
      <c r="L335" s="31">
        <v>1.8571428571428572</v>
      </c>
      <c r="M335" s="67"/>
      <c r="N335" s="67"/>
      <c r="O335" s="68"/>
      <c r="P335" s="68"/>
      <c r="Q335" s="69"/>
      <c r="R335" s="69"/>
      <c r="S335" s="31">
        <v>-1</v>
      </c>
      <c r="T335" s="31">
        <v>-1</v>
      </c>
      <c r="U335" s="69"/>
      <c r="V335" s="69"/>
      <c r="W335" s="69"/>
      <c r="X335" s="69"/>
      <c r="Y335" s="69"/>
      <c r="Z335" s="69"/>
      <c r="AA335" s="69"/>
      <c r="AB335" s="69"/>
      <c r="AC335" s="69"/>
      <c r="AD335" s="133"/>
      <c r="AE335" s="133"/>
      <c r="AF335" s="133"/>
    </row>
    <row r="336" spans="1:32" x14ac:dyDescent="0.25">
      <c r="A336" s="129" t="s">
        <v>810</v>
      </c>
      <c r="B336" s="129"/>
      <c r="C336" s="120">
        <v>5359</v>
      </c>
      <c r="D336" s="120">
        <v>3759</v>
      </c>
      <c r="E336" s="119">
        <v>6675</v>
      </c>
      <c r="F336" s="120">
        <v>5441</v>
      </c>
      <c r="G336" s="120">
        <v>10215771.72000047</v>
      </c>
      <c r="H336" s="120">
        <v>7485587.9600001788</v>
      </c>
      <c r="I336" s="119">
        <v>4664170.5700000329</v>
      </c>
      <c r="J336" s="119">
        <v>2922305.0000001779</v>
      </c>
      <c r="K336" s="120">
        <v>79919.428571428565</v>
      </c>
      <c r="L336" s="120">
        <v>63994.571428571428</v>
      </c>
      <c r="M336" s="131">
        <v>11.97294810058855</v>
      </c>
      <c r="N336" s="131">
        <v>11.965241885466199</v>
      </c>
      <c r="O336" s="130">
        <v>1530.4526921349018</v>
      </c>
      <c r="P336" s="130">
        <v>1375.7742988421576</v>
      </c>
      <c r="Q336" s="132">
        <v>0.45656566119899733</v>
      </c>
      <c r="R336" s="132">
        <v>0.38506407336365084</v>
      </c>
      <c r="S336" s="120">
        <v>36784.285714285717</v>
      </c>
      <c r="T336" s="120">
        <v>61781.571428571428</v>
      </c>
      <c r="U336" s="132">
        <v>0.21553613922609505</v>
      </c>
      <c r="V336" s="132">
        <v>0.19040617533541626</v>
      </c>
      <c r="W336" s="132">
        <v>0.32370160673394754</v>
      </c>
      <c r="X336" s="132">
        <v>0.57069336930097414</v>
      </c>
      <c r="Y336" s="132">
        <v>-4.1852892172650646E-2</v>
      </c>
      <c r="Z336" s="132">
        <v>-3.4291326961286117E-2</v>
      </c>
      <c r="AA336" s="132">
        <v>2.8188539741220042E-2</v>
      </c>
      <c r="AB336" s="132">
        <v>-3.4969002645806824E-2</v>
      </c>
      <c r="AC336" s="132">
        <v>-6.1426032236191475E-2</v>
      </c>
      <c r="AD336" s="134">
        <v>0.28036444216755868</v>
      </c>
      <c r="AE336" s="134">
        <v>0.27714153687785159</v>
      </c>
      <c r="AF336" s="134">
        <v>0.33646943616162772</v>
      </c>
    </row>
    <row r="337" spans="1:32" x14ac:dyDescent="0.25">
      <c r="A337" t="s">
        <v>83</v>
      </c>
      <c r="B337" t="s">
        <v>549</v>
      </c>
      <c r="C337" s="31">
        <v>8311</v>
      </c>
      <c r="D337" s="31">
        <v>13321</v>
      </c>
      <c r="E337" s="65">
        <v>18222</v>
      </c>
      <c r="F337" s="31">
        <v>18738</v>
      </c>
      <c r="G337" s="66">
        <v>6522562.6500008469</v>
      </c>
      <c r="H337" s="31">
        <v>4371762.170000134</v>
      </c>
      <c r="I337" s="65">
        <v>4196303.2999999179</v>
      </c>
      <c r="J337" s="65">
        <v>2105056.0800001328</v>
      </c>
      <c r="K337" s="31">
        <v>188496.85714285713</v>
      </c>
      <c r="L337" s="31">
        <v>275524.57142857142</v>
      </c>
      <c r="M337" s="67">
        <v>10.344465873277199</v>
      </c>
      <c r="N337" s="67">
        <v>14.822379681742419</v>
      </c>
      <c r="O337" s="68">
        <v>357.94987652293088</v>
      </c>
      <c r="P337" s="68">
        <v>233.30996744583916</v>
      </c>
      <c r="Q337" s="69">
        <v>0.64335193468772167</v>
      </c>
      <c r="R337" s="69">
        <v>0.47263267580176027</v>
      </c>
      <c r="S337" s="31">
        <v>84614</v>
      </c>
      <c r="T337" s="31">
        <v>155941.85714285713</v>
      </c>
      <c r="U337" s="69">
        <v>-0.33961088251397853</v>
      </c>
      <c r="V337" s="69">
        <v>-6.0785569431102582E-2</v>
      </c>
      <c r="W337" s="69">
        <v>0.44123185228087447</v>
      </c>
      <c r="X337" s="69">
        <v>0.96385136280655548</v>
      </c>
      <c r="Y337" s="69">
        <v>-3.9127441147730369E-2</v>
      </c>
      <c r="Z337" s="69">
        <v>-4.3655550804154619E-2</v>
      </c>
      <c r="AA337" s="69">
        <v>8.2902478160099768E-2</v>
      </c>
      <c r="AB337" s="69">
        <v>0.13602493049267816</v>
      </c>
      <c r="AC337" s="69">
        <v>4.9055619877087731E-2</v>
      </c>
      <c r="AD337" s="133">
        <v>-0.10730989885789807</v>
      </c>
      <c r="AE337" s="133">
        <v>0.11512122838600732</v>
      </c>
      <c r="AF337" s="133">
        <v>0.47870869076779404</v>
      </c>
    </row>
    <row r="338" spans="1:32" x14ac:dyDescent="0.25">
      <c r="A338" t="s">
        <v>83</v>
      </c>
      <c r="B338" t="s">
        <v>551</v>
      </c>
      <c r="C338" s="31">
        <v>2055</v>
      </c>
      <c r="D338" s="31">
        <v>967</v>
      </c>
      <c r="E338" s="65">
        <v>2961</v>
      </c>
      <c r="F338" s="31">
        <v>1349</v>
      </c>
      <c r="G338" s="66">
        <v>736403.45999996737</v>
      </c>
      <c r="H338" s="31">
        <v>222756.77000000008</v>
      </c>
      <c r="I338" s="65">
        <v>428789.98999999772</v>
      </c>
      <c r="J338" s="65">
        <v>110630.63999999977</v>
      </c>
      <c r="K338" s="31">
        <v>27664.285714285714</v>
      </c>
      <c r="L338" s="31">
        <v>14865</v>
      </c>
      <c r="M338" s="67">
        <v>9.3428860906064557</v>
      </c>
      <c r="N338" s="67">
        <v>10.945956969511572</v>
      </c>
      <c r="O338" s="68">
        <v>248.70093211751683</v>
      </c>
      <c r="P338" s="68">
        <v>165.12733135656046</v>
      </c>
      <c r="Q338" s="69">
        <v>0.58227590348369185</v>
      </c>
      <c r="R338" s="69">
        <v>0.47550709897517857</v>
      </c>
      <c r="S338" s="31">
        <v>2266.7142857142858</v>
      </c>
      <c r="T338" s="31">
        <v>9240.1428571428569</v>
      </c>
      <c r="U338" s="69">
        <v>0.77929940896641203</v>
      </c>
      <c r="V338" s="69">
        <v>1.1052631578947367</v>
      </c>
      <c r="W338" s="69">
        <v>2.1756619563121284</v>
      </c>
      <c r="X338" s="69">
        <v>2.8870469793263136</v>
      </c>
      <c r="Y338" s="69">
        <v>-0.10002912666166119</v>
      </c>
      <c r="Z338" s="69">
        <v>-9.8224389153546365E-2</v>
      </c>
      <c r="AA338" s="69">
        <v>0.11232156273478577</v>
      </c>
      <c r="AB338" s="69">
        <v>0.11256496931903959</v>
      </c>
      <c r="AC338" s="69">
        <v>2.1882753369917296E-4</v>
      </c>
      <c r="AD338" s="133">
        <v>1.1588666278299122</v>
      </c>
      <c r="AE338" s="133">
        <v>2.1756619193715308</v>
      </c>
      <c r="AF338" s="133">
        <v>2.6370820338962013</v>
      </c>
    </row>
    <row r="339" spans="1:32" x14ac:dyDescent="0.25">
      <c r="A339" t="s">
        <v>83</v>
      </c>
      <c r="B339" t="s">
        <v>550</v>
      </c>
      <c r="C339" s="31">
        <v>934</v>
      </c>
      <c r="D339" s="31">
        <v>1783</v>
      </c>
      <c r="E339" s="65">
        <v>1100</v>
      </c>
      <c r="F339" s="31">
        <v>2282</v>
      </c>
      <c r="G339" s="66">
        <v>259642.48999999868</v>
      </c>
      <c r="H339" s="31">
        <v>267080.71000000252</v>
      </c>
      <c r="I339" s="65">
        <v>172217.12000000069</v>
      </c>
      <c r="J339" s="65">
        <v>106356.33000000246</v>
      </c>
      <c r="K339" s="31">
        <v>18257.714285714286</v>
      </c>
      <c r="L339" s="31">
        <v>48366.857142857145</v>
      </c>
      <c r="M339" s="67">
        <v>16.597922077922078</v>
      </c>
      <c r="N339" s="67">
        <v>21.355220601696466</v>
      </c>
      <c r="O339" s="68">
        <v>236.03862727272607</v>
      </c>
      <c r="P339" s="68">
        <v>117.03799737072853</v>
      </c>
      <c r="Q339" s="69">
        <v>0.66328558164729345</v>
      </c>
      <c r="R339" s="69">
        <v>0.3883759053440245</v>
      </c>
      <c r="S339" s="31">
        <v>7547.4285714285716</v>
      </c>
      <c r="T339" s="31">
        <v>13857.857142857143</v>
      </c>
      <c r="U339" s="69">
        <v>-0.63563301906854752</v>
      </c>
      <c r="V339" s="69">
        <v>-0.54250657318141982</v>
      </c>
      <c r="W339" s="69">
        <v>-7.5641741404698704E-2</v>
      </c>
      <c r="X339" s="69">
        <v>0.58785941192338864</v>
      </c>
      <c r="Y339" s="69">
        <v>9.467373898841136E-2</v>
      </c>
      <c r="Z339" s="69">
        <v>0.11747064326871803</v>
      </c>
      <c r="AA339" s="69">
        <v>0.35135135135135132</v>
      </c>
      <c r="AB339" s="69">
        <v>0.30874589130616981</v>
      </c>
      <c r="AC339" s="69">
        <v>-3.1528040433434268E-2</v>
      </c>
      <c r="AD339" s="133">
        <v>-0.59004213845052189</v>
      </c>
      <c r="AE339" s="133">
        <v>-0.44198649513412636</v>
      </c>
      <c r="AF339" s="133">
        <v>-0.24015588276997646</v>
      </c>
    </row>
    <row r="340" spans="1:32" x14ac:dyDescent="0.25">
      <c r="A340" t="s">
        <v>83</v>
      </c>
      <c r="B340" t="s">
        <v>554</v>
      </c>
      <c r="C340" s="31">
        <v>1528</v>
      </c>
      <c r="D340" s="31">
        <v>561</v>
      </c>
      <c r="E340" s="65">
        <v>2365</v>
      </c>
      <c r="F340" s="31">
        <v>848</v>
      </c>
      <c r="G340" s="66">
        <v>238083.97000000134</v>
      </c>
      <c r="H340" s="31">
        <v>86675.150000000547</v>
      </c>
      <c r="I340" s="65">
        <v>129027.07000000091</v>
      </c>
      <c r="J340" s="65">
        <v>43272.020000000593</v>
      </c>
      <c r="K340" s="31">
        <v>23701.285714285714</v>
      </c>
      <c r="L340" s="31">
        <v>10031.714285714286</v>
      </c>
      <c r="M340" s="67">
        <v>10.021685291452734</v>
      </c>
      <c r="N340" s="67">
        <v>12.102347883597883</v>
      </c>
      <c r="O340" s="68">
        <v>100.6697547568716</v>
      </c>
      <c r="P340" s="68">
        <v>102.21126179245347</v>
      </c>
      <c r="Q340" s="69">
        <v>0.54193934182129178</v>
      </c>
      <c r="R340" s="69">
        <v>0.49050386008631325</v>
      </c>
      <c r="S340" s="31">
        <v>31774</v>
      </c>
      <c r="T340" s="31">
        <v>3156.7142857142858</v>
      </c>
      <c r="U340" s="69">
        <v>1.3032240608356354</v>
      </c>
      <c r="V340" s="69">
        <v>1.7158018867924527</v>
      </c>
      <c r="W340" s="69">
        <v>1.703594859657005</v>
      </c>
      <c r="X340" s="69">
        <v>1.9863850117346695</v>
      </c>
      <c r="Y340" s="69">
        <v>-3.4319737343208367E-2</v>
      </c>
      <c r="Z340" s="69">
        <v>-3.5272568687309214E-2</v>
      </c>
      <c r="AA340" s="69">
        <v>0.24802110817941947</v>
      </c>
      <c r="AB340" s="69">
        <v>0.25073787208214537</v>
      </c>
      <c r="AC340" s="69">
        <v>2.176857334319493E-3</v>
      </c>
      <c r="AD340" s="133">
        <v>0.87822912457527402</v>
      </c>
      <c r="AE340" s="133">
        <v>0.31006878738006993</v>
      </c>
      <c r="AF340" s="133">
        <v>0.39647965276556252</v>
      </c>
    </row>
    <row r="341" spans="1:32" x14ac:dyDescent="0.25">
      <c r="A341" t="s">
        <v>83</v>
      </c>
      <c r="B341" t="s">
        <v>552</v>
      </c>
      <c r="C341" s="31">
        <v>3075</v>
      </c>
      <c r="D341" s="31">
        <v>2894</v>
      </c>
      <c r="E341" s="65">
        <v>6577</v>
      </c>
      <c r="F341" s="31">
        <v>6956</v>
      </c>
      <c r="G341" s="66">
        <v>188016.68000000183</v>
      </c>
      <c r="H341" s="31">
        <v>174433.46999999587</v>
      </c>
      <c r="I341" s="65">
        <v>89226.180000002045</v>
      </c>
      <c r="J341" s="65">
        <v>94717.599999995917</v>
      </c>
      <c r="K341" s="31">
        <v>41244</v>
      </c>
      <c r="L341" s="31">
        <v>101303.28571428571</v>
      </c>
      <c r="M341" s="67">
        <v>6.270944199483047</v>
      </c>
      <c r="N341" s="67">
        <v>14.663865546218487</v>
      </c>
      <c r="O341" s="68">
        <v>28.586997111145177</v>
      </c>
      <c r="P341" s="68">
        <v>25.076692064404238</v>
      </c>
      <c r="Q341" s="69">
        <v>0.47456523538231382</v>
      </c>
      <c r="R341" s="69">
        <v>0.52872754127926536</v>
      </c>
      <c r="S341" s="31">
        <v>32956.142857142855</v>
      </c>
      <c r="T341" s="31">
        <v>192491.14285714287</v>
      </c>
      <c r="U341" s="69">
        <v>-0.60321129056595257</v>
      </c>
      <c r="V341" s="69">
        <v>-8.1943645773433049E-2</v>
      </c>
      <c r="W341" s="69">
        <v>4.7661208597209015E-2</v>
      </c>
      <c r="X341" s="69">
        <v>-5.5779783766999436E-2</v>
      </c>
      <c r="Y341" s="69">
        <v>2.2078580607054032E-2</v>
      </c>
      <c r="Z341" s="69">
        <v>9.9947175276628997E-3</v>
      </c>
      <c r="AA341" s="69">
        <v>0.12851750171585441</v>
      </c>
      <c r="AB341" s="69">
        <v>0.13953784930101909</v>
      </c>
      <c r="AC341" s="69">
        <v>9.7653315685477526E-3</v>
      </c>
      <c r="AD341" s="133">
        <v>-0.24097120417627632</v>
      </c>
      <c r="AE341" s="133">
        <v>-0.27422387841820189</v>
      </c>
      <c r="AF341" s="133">
        <v>-0.32253370803891301</v>
      </c>
    </row>
    <row r="342" spans="1:32" x14ac:dyDescent="0.25">
      <c r="A342" t="s">
        <v>83</v>
      </c>
      <c r="B342" t="s">
        <v>578</v>
      </c>
      <c r="C342" s="31">
        <v>343</v>
      </c>
      <c r="D342" s="31"/>
      <c r="E342" s="65">
        <v>394</v>
      </c>
      <c r="F342" s="31"/>
      <c r="G342" s="66">
        <v>163705.32000000103</v>
      </c>
      <c r="H342" s="31"/>
      <c r="I342" s="65">
        <v>98557.430000000342</v>
      </c>
      <c r="J342" s="65"/>
      <c r="K342" s="31">
        <v>5337.1428571428569</v>
      </c>
      <c r="L342" s="31"/>
      <c r="M342" s="67">
        <v>13.546047860768672</v>
      </c>
      <c r="N342" s="67"/>
      <c r="O342" s="68">
        <v>415.49573604061175</v>
      </c>
      <c r="P342" s="68"/>
      <c r="Q342" s="69">
        <v>0.60204170518099065</v>
      </c>
      <c r="R342" s="69"/>
      <c r="S342" s="31">
        <v>11588.857142857143</v>
      </c>
      <c r="T342" s="31">
        <v>90</v>
      </c>
      <c r="U342" s="69"/>
      <c r="V342" s="69"/>
      <c r="W342" s="69"/>
      <c r="X342" s="69"/>
      <c r="Y342" s="69">
        <v>0.50830609145341366</v>
      </c>
      <c r="Z342" s="69">
        <v>0.50645161290322571</v>
      </c>
      <c r="AA342" s="69">
        <v>0.89423076923076916</v>
      </c>
      <c r="AB342" s="69">
        <v>0.89175339039842205</v>
      </c>
      <c r="AC342" s="69">
        <v>-1.3078548150461389E-3</v>
      </c>
      <c r="AD342" s="133">
        <v>2.052134169958943</v>
      </c>
      <c r="AE342" s="133">
        <v>2.9681040346540559</v>
      </c>
      <c r="AF342" s="133">
        <v>3.6989397430844462</v>
      </c>
    </row>
    <row r="343" spans="1:32" x14ac:dyDescent="0.25">
      <c r="A343" t="s">
        <v>83</v>
      </c>
      <c r="B343" t="s">
        <v>556</v>
      </c>
      <c r="C343" s="31">
        <v>603</v>
      </c>
      <c r="D343" s="31">
        <v>76</v>
      </c>
      <c r="E343" s="65">
        <v>762</v>
      </c>
      <c r="F343" s="31">
        <v>91</v>
      </c>
      <c r="G343" s="66">
        <v>82285.580000000438</v>
      </c>
      <c r="H343" s="31">
        <v>6972.3299999999927</v>
      </c>
      <c r="I343" s="65">
        <v>59427.420000000733</v>
      </c>
      <c r="J343" s="65">
        <v>4476.0499999999911</v>
      </c>
      <c r="K343" s="31">
        <v>7913</v>
      </c>
      <c r="L343" s="31">
        <v>1540.4285714285713</v>
      </c>
      <c r="M343" s="67">
        <v>10.384514435695538</v>
      </c>
      <c r="N343" s="67">
        <v>16.765413533834586</v>
      </c>
      <c r="O343" s="68">
        <v>107.98632545931817</v>
      </c>
      <c r="P343" s="68">
        <v>76.619010989010903</v>
      </c>
      <c r="Q343" s="69">
        <v>0.72220940777230247</v>
      </c>
      <c r="R343" s="69">
        <v>0.61408539203755763</v>
      </c>
      <c r="S343" s="31">
        <v>150</v>
      </c>
      <c r="T343" s="31">
        <v>15.428571428571429</v>
      </c>
      <c r="U343" s="69">
        <v>3.9969396271909492</v>
      </c>
      <c r="V343" s="69">
        <v>7.1538461538461533</v>
      </c>
      <c r="W343" s="69">
        <v>10.493325760542106</v>
      </c>
      <c r="X343" s="69">
        <v>12.524582885451364</v>
      </c>
      <c r="Y343" s="69">
        <v>-8.7419306646868034E-2</v>
      </c>
      <c r="Z343" s="69">
        <v>-8.7372722180116713E-2</v>
      </c>
      <c r="AA343" s="69">
        <v>5.2770448548813409E-3</v>
      </c>
      <c r="AB343" s="69">
        <v>6.2347349268601082E-3</v>
      </c>
      <c r="AC343" s="69">
        <v>9.5266282750672282E-4</v>
      </c>
      <c r="AD343" s="133">
        <v>7.0189096233734802E-2</v>
      </c>
      <c r="AE343" s="133">
        <v>0.35785099621633831</v>
      </c>
      <c r="AF343" s="133">
        <v>0.67937398222919809</v>
      </c>
    </row>
    <row r="344" spans="1:32" x14ac:dyDescent="0.25">
      <c r="A344" t="s">
        <v>83</v>
      </c>
      <c r="B344" t="s">
        <v>555</v>
      </c>
      <c r="C344" s="31">
        <v>776</v>
      </c>
      <c r="D344" s="31">
        <v>1061</v>
      </c>
      <c r="E344" s="65">
        <v>1206</v>
      </c>
      <c r="F344" s="31">
        <v>1884</v>
      </c>
      <c r="G344" s="66">
        <v>33795.820000000262</v>
      </c>
      <c r="H344" s="31">
        <v>57495.480000000076</v>
      </c>
      <c r="I344" s="65">
        <v>21452.729999999858</v>
      </c>
      <c r="J344" s="65">
        <v>25564.740000000114</v>
      </c>
      <c r="K344" s="31">
        <v>11969.285714285714</v>
      </c>
      <c r="L344" s="31">
        <v>28486.857142857141</v>
      </c>
      <c r="M344" s="67">
        <v>9.9247808576166783</v>
      </c>
      <c r="N344" s="67">
        <v>15.208580320094844</v>
      </c>
      <c r="O344" s="68">
        <v>28.023067993366716</v>
      </c>
      <c r="P344" s="68">
        <v>30.517770700636984</v>
      </c>
      <c r="Q344" s="69">
        <v>0.63477465556390378</v>
      </c>
      <c r="R344" s="69">
        <v>0.43447582461172235</v>
      </c>
      <c r="S344" s="31">
        <v>3003</v>
      </c>
      <c r="T344" s="31">
        <v>57182.428571428572</v>
      </c>
      <c r="U344" s="69">
        <v>-0.58481605552435201</v>
      </c>
      <c r="V344" s="69">
        <v>-0.38269639065817407</v>
      </c>
      <c r="W344" s="69">
        <v>-0.43223832551706398</v>
      </c>
      <c r="X344" s="69">
        <v>-0.16465746924484737</v>
      </c>
      <c r="Y344" s="69">
        <v>-8.5575396704553386E-2</v>
      </c>
      <c r="Z344" s="69">
        <v>-8.9342970490734253E-2</v>
      </c>
      <c r="AA344" s="69">
        <v>0.10338517840805128</v>
      </c>
      <c r="AB344" s="69">
        <v>0.10936180828645869</v>
      </c>
      <c r="AC344" s="69">
        <v>5.4166305614420374E-3</v>
      </c>
      <c r="AD344" s="133">
        <v>-0.47048793483050011</v>
      </c>
      <c r="AE344" s="133">
        <v>-0.69819101494702074</v>
      </c>
      <c r="AF344" s="133">
        <v>-0.60590732894783195</v>
      </c>
    </row>
    <row r="345" spans="1:32" x14ac:dyDescent="0.25">
      <c r="A345" t="s">
        <v>83</v>
      </c>
      <c r="B345" t="s">
        <v>565</v>
      </c>
      <c r="C345" s="31">
        <v>211</v>
      </c>
      <c r="D345" s="31">
        <v>233</v>
      </c>
      <c r="E345" s="65">
        <v>275</v>
      </c>
      <c r="F345" s="31">
        <v>296</v>
      </c>
      <c r="G345" s="66">
        <v>19344.549999999988</v>
      </c>
      <c r="H345" s="31">
        <v>32734.57000000008</v>
      </c>
      <c r="I345" s="65">
        <v>5413.6900000000041</v>
      </c>
      <c r="J345" s="65">
        <v>14636.680000000084</v>
      </c>
      <c r="K345" s="31">
        <v>5814</v>
      </c>
      <c r="L345" s="31">
        <v>6183.4285714285716</v>
      </c>
      <c r="M345" s="67">
        <v>21.141818181818181</v>
      </c>
      <c r="N345" s="67">
        <v>21.241795366795365</v>
      </c>
      <c r="O345" s="68">
        <v>70.343818181818136</v>
      </c>
      <c r="P345" s="68">
        <v>110.58976351351379</v>
      </c>
      <c r="Q345" s="69">
        <v>0.27985608349638569</v>
      </c>
      <c r="R345" s="69">
        <v>0.44713219083067374</v>
      </c>
      <c r="S345" s="31">
        <v>541</v>
      </c>
      <c r="T345" s="31">
        <v>3012.8571428571427</v>
      </c>
      <c r="U345" s="69">
        <v>-7.1412069124849764E-2</v>
      </c>
      <c r="V345" s="69">
        <v>-0.10135135135135132</v>
      </c>
      <c r="W345" s="69">
        <v>-0.42737540160142828</v>
      </c>
      <c r="X345" s="69">
        <v>-0.64040274160533883</v>
      </c>
      <c r="Y345" s="69">
        <v>-5.1809444846608321E-2</v>
      </c>
      <c r="Z345" s="69">
        <v>-5.1018980553094284E-2</v>
      </c>
      <c r="AA345" s="69">
        <v>5.3639846743295028E-2</v>
      </c>
      <c r="AB345" s="69">
        <v>-4.8015673043232399E-2</v>
      </c>
      <c r="AC345" s="69">
        <v>-9.6480329688304223E-2</v>
      </c>
      <c r="AD345" s="133">
        <v>-0.19966123842964797</v>
      </c>
      <c r="AE345" s="133">
        <v>-0.54454462270763404</v>
      </c>
      <c r="AF345" s="133">
        <v>-0.72861337939062409</v>
      </c>
    </row>
    <row r="346" spans="1:32" x14ac:dyDescent="0.25">
      <c r="A346" t="s">
        <v>83</v>
      </c>
      <c r="B346" t="s">
        <v>560</v>
      </c>
      <c r="C346" s="31">
        <v>169</v>
      </c>
      <c r="D346" s="31">
        <v>266</v>
      </c>
      <c r="E346" s="65">
        <v>323</v>
      </c>
      <c r="F346" s="31">
        <v>678</v>
      </c>
      <c r="G346" s="66">
        <v>9138.8499999999603</v>
      </c>
      <c r="H346" s="31">
        <v>15379.819999999954</v>
      </c>
      <c r="I346" s="65">
        <v>4130.6500000000015</v>
      </c>
      <c r="J346" s="65">
        <v>6279.6999999999607</v>
      </c>
      <c r="K346" s="31">
        <v>5331.4285714285716</v>
      </c>
      <c r="L346" s="31">
        <v>12920.571428571429</v>
      </c>
      <c r="M346" s="67">
        <v>16.505970809376382</v>
      </c>
      <c r="N346" s="67">
        <v>19.818866345952728</v>
      </c>
      <c r="O346" s="68">
        <v>28.293653250773872</v>
      </c>
      <c r="P346" s="68">
        <v>22.684100294985182</v>
      </c>
      <c r="Q346" s="69">
        <v>0.45198794159002714</v>
      </c>
      <c r="R346" s="69">
        <v>0.40559960884895147</v>
      </c>
      <c r="S346" s="31">
        <v>3843</v>
      </c>
      <c r="T346" s="31">
        <v>17861.428571428572</v>
      </c>
      <c r="U346" s="69">
        <v>-0.59569457343770726</v>
      </c>
      <c r="V346" s="69">
        <v>-0.54572271386430682</v>
      </c>
      <c r="W346" s="69">
        <v>-0.43084054299725283</v>
      </c>
      <c r="X346" s="69">
        <v>-0.35991339849860893</v>
      </c>
      <c r="Y346" s="69">
        <v>-6.852443771414396E-2</v>
      </c>
      <c r="Z346" s="69">
        <v>-6.2146608700022532E-2</v>
      </c>
      <c r="AA346" s="69">
        <v>6.9536423841059625E-2</v>
      </c>
      <c r="AB346" s="69">
        <v>1.2720438472257456E-2</v>
      </c>
      <c r="AC346" s="69">
        <v>-5.312206681541265E-2</v>
      </c>
      <c r="AD346" s="133">
        <v>-0.37734567666814006</v>
      </c>
      <c r="AE346" s="133"/>
      <c r="AF346" s="133"/>
    </row>
    <row r="347" spans="1:32" x14ac:dyDescent="0.25">
      <c r="A347" t="s">
        <v>83</v>
      </c>
      <c r="B347" t="s">
        <v>553</v>
      </c>
      <c r="C347" s="31">
        <v>9</v>
      </c>
      <c r="D347" s="31">
        <v>49</v>
      </c>
      <c r="E347" s="65">
        <v>15</v>
      </c>
      <c r="F347" s="31">
        <v>52</v>
      </c>
      <c r="G347" s="66">
        <v>8749.91</v>
      </c>
      <c r="H347" s="31">
        <v>30332.649999999998</v>
      </c>
      <c r="I347" s="65">
        <v>3442.2999999999997</v>
      </c>
      <c r="J347" s="65">
        <v>12513.340000000004</v>
      </c>
      <c r="K347" s="31">
        <v>232.28571428571428</v>
      </c>
      <c r="L347" s="31">
        <v>1553.1428571428571</v>
      </c>
      <c r="M347" s="67">
        <v>15.485714285714286</v>
      </c>
      <c r="N347" s="67">
        <v>30.339622641509433</v>
      </c>
      <c r="O347" s="68">
        <v>583.32733333333329</v>
      </c>
      <c r="P347" s="68">
        <v>583.32019230769231</v>
      </c>
      <c r="Q347" s="69">
        <v>0.3934097607861109</v>
      </c>
      <c r="R347" s="69">
        <v>0.4047532715292454</v>
      </c>
      <c r="S347" s="31">
        <v>1.8571428571428572</v>
      </c>
      <c r="T347" s="31">
        <v>2</v>
      </c>
      <c r="U347" s="69">
        <v>-0.85044150110375272</v>
      </c>
      <c r="V347" s="69">
        <v>-0.71153846153846156</v>
      </c>
      <c r="W347" s="69">
        <v>-0.71153493018249314</v>
      </c>
      <c r="X347" s="69">
        <v>-0.71987607916025498</v>
      </c>
      <c r="Y347" s="69">
        <v>-5.5907391276067142E-2</v>
      </c>
      <c r="Z347" s="69">
        <v>-5.4101221640488695E-2</v>
      </c>
      <c r="AA347" s="69">
        <v>1.1428571428571428</v>
      </c>
      <c r="AB347" s="69">
        <v>1.1428473468827982</v>
      </c>
      <c r="AC347" s="69">
        <v>-4.5714546941244549E-6</v>
      </c>
      <c r="AD347" s="133"/>
      <c r="AE347" s="133"/>
      <c r="AF347" s="133"/>
    </row>
    <row r="348" spans="1:32" x14ac:dyDescent="0.25">
      <c r="A348" t="s">
        <v>83</v>
      </c>
      <c r="B348" t="s">
        <v>561</v>
      </c>
      <c r="C348" s="31">
        <v>42</v>
      </c>
      <c r="D348" s="31">
        <v>64</v>
      </c>
      <c r="E348" s="65">
        <v>48</v>
      </c>
      <c r="F348" s="31">
        <v>73</v>
      </c>
      <c r="G348" s="66">
        <v>7999.6699999999955</v>
      </c>
      <c r="H348" s="31">
        <v>9080.4299999999876</v>
      </c>
      <c r="I348" s="65">
        <v>3632.3800000000006</v>
      </c>
      <c r="J348" s="65">
        <v>4089.9599999999864</v>
      </c>
      <c r="K348" s="31">
        <v>1306.2857142857142</v>
      </c>
      <c r="L348" s="31">
        <v>1964.7142857142858</v>
      </c>
      <c r="M348" s="67">
        <v>27.214285714285712</v>
      </c>
      <c r="N348" s="67">
        <v>27.837837837837839</v>
      </c>
      <c r="O348" s="68">
        <v>166.65979166666656</v>
      </c>
      <c r="P348" s="68">
        <v>124.38945205479435</v>
      </c>
      <c r="Q348" s="69">
        <v>0.45406623023199738</v>
      </c>
      <c r="R348" s="69">
        <v>0.4442996020818184</v>
      </c>
      <c r="S348" s="31"/>
      <c r="T348" s="31">
        <v>2.5714285714285716</v>
      </c>
      <c r="U348" s="69">
        <v>-0.40485712208245483</v>
      </c>
      <c r="V348" s="69">
        <v>-0.38356164383561642</v>
      </c>
      <c r="W348" s="69">
        <v>-0.17408206439562812</v>
      </c>
      <c r="X348" s="69">
        <v>-0.14786071430344561</v>
      </c>
      <c r="Y348" s="69">
        <v>-3.8269756889875106E-2</v>
      </c>
      <c r="Z348" s="69">
        <v>-3.7980010520778595E-2</v>
      </c>
      <c r="AA348" s="69">
        <v>1</v>
      </c>
      <c r="AB348" s="69">
        <v>0.98757959963526298</v>
      </c>
      <c r="AC348" s="69">
        <v>-6.2102001823685082E-3</v>
      </c>
      <c r="AD348" s="133">
        <v>-0.87419534161075563</v>
      </c>
      <c r="AE348" s="133">
        <v>-0.87019626431862629</v>
      </c>
      <c r="AF348" s="133">
        <v>-0.883179693233344</v>
      </c>
    </row>
    <row r="349" spans="1:32" x14ac:dyDescent="0.25">
      <c r="A349" t="s">
        <v>83</v>
      </c>
      <c r="B349" t="s">
        <v>562</v>
      </c>
      <c r="C349" s="31">
        <v>122</v>
      </c>
      <c r="D349" s="31">
        <v>158</v>
      </c>
      <c r="E349" s="65">
        <v>160</v>
      </c>
      <c r="F349" s="31">
        <v>200</v>
      </c>
      <c r="G349" s="66">
        <v>7848.2999999999774</v>
      </c>
      <c r="H349" s="31">
        <v>10830.169999999967</v>
      </c>
      <c r="I349" s="65">
        <v>772.150000000001</v>
      </c>
      <c r="J349" s="65">
        <v>4552.0699999999579</v>
      </c>
      <c r="K349" s="31">
        <v>9106.1428571428569</v>
      </c>
      <c r="L349" s="31">
        <v>6092.2857142857147</v>
      </c>
      <c r="M349" s="67">
        <v>56.913392857142853</v>
      </c>
      <c r="N349" s="67">
        <v>30.906593406593405</v>
      </c>
      <c r="O349" s="68">
        <v>49.05187499999986</v>
      </c>
      <c r="P349" s="68">
        <v>54.150849999999835</v>
      </c>
      <c r="Q349" s="69">
        <v>9.8384363492731317E-2</v>
      </c>
      <c r="R349" s="69">
        <v>0.40346467300984906</v>
      </c>
      <c r="S349" s="31">
        <v>922.85714285714289</v>
      </c>
      <c r="T349" s="31">
        <v>161</v>
      </c>
      <c r="U349" s="69">
        <v>0.45962106645406342</v>
      </c>
      <c r="V349" s="69">
        <v>-0.19999999999999996</v>
      </c>
      <c r="W349" s="69">
        <v>-0.27532993480250068</v>
      </c>
      <c r="X349" s="69">
        <v>-0.82328358618859099</v>
      </c>
      <c r="Y349" s="69">
        <v>-1.6656478289878929E-2</v>
      </c>
      <c r="Z349" s="69">
        <v>-1.7206555759416653E-2</v>
      </c>
      <c r="AA349" s="69">
        <v>0.18518518518518512</v>
      </c>
      <c r="AB349" s="69">
        <v>0.18995310417604472</v>
      </c>
      <c r="AC349" s="69">
        <v>4.0229316485378419E-3</v>
      </c>
      <c r="AD349" s="133">
        <v>-0.46098000572708742</v>
      </c>
      <c r="AE349" s="133"/>
      <c r="AF349" s="133"/>
    </row>
    <row r="350" spans="1:32" x14ac:dyDescent="0.25">
      <c r="A350" t="s">
        <v>83</v>
      </c>
      <c r="B350" t="s">
        <v>557</v>
      </c>
      <c r="C350" s="31">
        <v>36</v>
      </c>
      <c r="D350" s="31">
        <v>288</v>
      </c>
      <c r="E350" s="65">
        <v>45</v>
      </c>
      <c r="F350" s="31">
        <v>418</v>
      </c>
      <c r="G350" s="66">
        <v>1499.41</v>
      </c>
      <c r="H350" s="31">
        <v>17377.929999999898</v>
      </c>
      <c r="I350" s="65">
        <v>1.5400000000000007</v>
      </c>
      <c r="J350" s="65">
        <v>3478.3699999998244</v>
      </c>
      <c r="K350" s="31">
        <v>897.71428571428567</v>
      </c>
      <c r="L350" s="31">
        <v>10495.571428571429</v>
      </c>
      <c r="M350" s="67">
        <v>19.949206349206349</v>
      </c>
      <c r="N350" s="67">
        <v>25.199397791903646</v>
      </c>
      <c r="O350" s="68">
        <v>33.320222222222228</v>
      </c>
      <c r="P350" s="68">
        <v>41.573995215310759</v>
      </c>
      <c r="Q350" s="69">
        <v>1.0270706477881304E-3</v>
      </c>
      <c r="R350" s="69">
        <v>0.1959340406787364</v>
      </c>
      <c r="S350" s="31"/>
      <c r="T350" s="31">
        <v>30</v>
      </c>
      <c r="U350" s="69">
        <v>-0.91607344594318696</v>
      </c>
      <c r="V350" s="69">
        <v>-0.91148325358851678</v>
      </c>
      <c r="W350" s="69">
        <v>-0.92905656772699585</v>
      </c>
      <c r="X350" s="69">
        <v>-1.0011690718802961</v>
      </c>
      <c r="Y350" s="69">
        <v>-0.10150766491347352</v>
      </c>
      <c r="Z350" s="69">
        <v>-0.10151558478696032</v>
      </c>
      <c r="AA350" s="69">
        <v>0.21621621621621623</v>
      </c>
      <c r="AB350" s="69">
        <v>0.21620459744009857</v>
      </c>
      <c r="AC350" s="69">
        <v>-9.553215918778335E-6</v>
      </c>
      <c r="AD350" s="133"/>
      <c r="AE350" s="133"/>
      <c r="AF350" s="133"/>
    </row>
    <row r="351" spans="1:32" x14ac:dyDescent="0.25">
      <c r="A351" t="s">
        <v>83</v>
      </c>
      <c r="B351" t="s">
        <v>563</v>
      </c>
      <c r="C351" s="31">
        <v>12</v>
      </c>
      <c r="D351" s="31">
        <v>75</v>
      </c>
      <c r="E351" s="65">
        <v>14</v>
      </c>
      <c r="F351" s="31">
        <v>105</v>
      </c>
      <c r="G351" s="66">
        <v>1366.5900000000001</v>
      </c>
      <c r="H351" s="31">
        <v>5511.0499999999975</v>
      </c>
      <c r="I351" s="65">
        <v>713.30999999999983</v>
      </c>
      <c r="J351" s="65">
        <v>2737.7399999999966</v>
      </c>
      <c r="K351" s="31">
        <v>506.85714285714283</v>
      </c>
      <c r="L351" s="31">
        <v>3837.1428571428573</v>
      </c>
      <c r="M351" s="67">
        <v>36.204081632653057</v>
      </c>
      <c r="N351" s="67">
        <v>35.28185328185328</v>
      </c>
      <c r="O351" s="68">
        <v>97.613571428571433</v>
      </c>
      <c r="P351" s="68">
        <v>52.486190476190451</v>
      </c>
      <c r="Q351" s="69">
        <v>0.52196342721664857</v>
      </c>
      <c r="R351" s="69">
        <v>0.46810657018674712</v>
      </c>
      <c r="S351" s="31">
        <v>1282</v>
      </c>
      <c r="T351" s="31">
        <v>1268</v>
      </c>
      <c r="U351" s="69">
        <v>-0.87918838421444523</v>
      </c>
      <c r="V351" s="69">
        <v>-0.8666666666666667</v>
      </c>
      <c r="W351" s="69">
        <v>-0.75202729062519835</v>
      </c>
      <c r="X351" s="69">
        <v>-0.72351789763367469</v>
      </c>
      <c r="Y351" s="69">
        <v>-3.3980905425089913E-2</v>
      </c>
      <c r="Z351" s="69">
        <v>-3.717774762550885E-2</v>
      </c>
      <c r="AA351" s="69">
        <v>-0.36363636363636365</v>
      </c>
      <c r="AB351" s="69">
        <v>-0.34241335007867413</v>
      </c>
      <c r="AC351" s="69">
        <v>3.3350449876369037E-2</v>
      </c>
      <c r="AD351" s="133"/>
      <c r="AE351" s="133"/>
      <c r="AF351" s="133"/>
    </row>
    <row r="352" spans="1:32" x14ac:dyDescent="0.25">
      <c r="A352" t="s">
        <v>83</v>
      </c>
      <c r="B352" t="s">
        <v>566</v>
      </c>
      <c r="C352" s="31">
        <v>11</v>
      </c>
      <c r="D352" s="31">
        <v>84</v>
      </c>
      <c r="E352" s="65">
        <v>16</v>
      </c>
      <c r="F352" s="31">
        <v>209</v>
      </c>
      <c r="G352" s="66">
        <v>533.14</v>
      </c>
      <c r="H352" s="31">
        <v>3322.3199999999993</v>
      </c>
      <c r="I352" s="65">
        <v>381.37</v>
      </c>
      <c r="J352" s="65">
        <v>1418.47</v>
      </c>
      <c r="K352" s="31">
        <v>1625.5714285714287</v>
      </c>
      <c r="L352" s="31">
        <v>7919.7142857142853</v>
      </c>
      <c r="M352" s="67">
        <v>101.59821428571429</v>
      </c>
      <c r="N352" s="67">
        <v>37.810194500335342</v>
      </c>
      <c r="O352" s="68">
        <v>33.321249999999999</v>
      </c>
      <c r="P352" s="68">
        <v>15.896267942583728</v>
      </c>
      <c r="Q352" s="69">
        <v>0.7153280564204525</v>
      </c>
      <c r="R352" s="69">
        <v>0.41758393806026178</v>
      </c>
      <c r="S352" s="31">
        <v>1343</v>
      </c>
      <c r="T352" s="31">
        <v>1315</v>
      </c>
      <c r="U352" s="69">
        <v>-0.80309534976009234</v>
      </c>
      <c r="V352" s="69">
        <v>-0.92344497607655507</v>
      </c>
      <c r="W352" s="69">
        <v>-0.83952779985070669</v>
      </c>
      <c r="X352" s="69">
        <v>-0.72416461738753068</v>
      </c>
      <c r="Y352" s="69">
        <v>-2.9890437181554486E-2</v>
      </c>
      <c r="Z352" s="69">
        <v>-3.2233373022622858E-2</v>
      </c>
      <c r="AA352" s="69">
        <v>-0.15789473684210531</v>
      </c>
      <c r="AB352" s="69">
        <v>-0.15119963063794561</v>
      </c>
      <c r="AC352" s="69">
        <v>7.9504386174396036E-3</v>
      </c>
      <c r="AD352" s="133"/>
      <c r="AE352" s="133"/>
      <c r="AF352" s="133"/>
    </row>
    <row r="353" spans="1:32" x14ac:dyDescent="0.25">
      <c r="A353" t="s">
        <v>83</v>
      </c>
      <c r="B353" t="s">
        <v>568</v>
      </c>
      <c r="C353" s="31">
        <v>11</v>
      </c>
      <c r="D353" s="31">
        <v>30</v>
      </c>
      <c r="E353" s="65">
        <v>15</v>
      </c>
      <c r="F353" s="31">
        <v>43</v>
      </c>
      <c r="G353" s="66">
        <v>499.83</v>
      </c>
      <c r="H353" s="31">
        <v>2624.43</v>
      </c>
      <c r="I353" s="65">
        <v>148.70000000000002</v>
      </c>
      <c r="J353" s="65">
        <v>1468.85</v>
      </c>
      <c r="K353" s="31">
        <v>339.57142857142856</v>
      </c>
      <c r="L353" s="31">
        <v>2626.7142857142858</v>
      </c>
      <c r="M353" s="67">
        <v>22.638095238095236</v>
      </c>
      <c r="N353" s="67">
        <v>63.009966777408643</v>
      </c>
      <c r="O353" s="68">
        <v>33.321999999999996</v>
      </c>
      <c r="P353" s="68">
        <v>61.033255813953481</v>
      </c>
      <c r="Q353" s="69">
        <v>0.29750115039113301</v>
      </c>
      <c r="R353" s="69">
        <v>0.5596834360222982</v>
      </c>
      <c r="S353" s="31">
        <v>24</v>
      </c>
      <c r="T353" s="31">
        <v>24</v>
      </c>
      <c r="U353" s="69">
        <v>-0.87192037852830806</v>
      </c>
      <c r="V353" s="69">
        <v>-0.83720930232558133</v>
      </c>
      <c r="W353" s="69">
        <v>-0.91112736860956478</v>
      </c>
      <c r="X353" s="69">
        <v>-0.93098001838172717</v>
      </c>
      <c r="Y353" s="69">
        <v>-4.7290851139629386E-2</v>
      </c>
      <c r="Z353" s="69">
        <v>-4.996003197442056E-2</v>
      </c>
      <c r="AA353" s="69">
        <v>6.5</v>
      </c>
      <c r="AB353" s="69">
        <v>6.5004501800720282</v>
      </c>
      <c r="AC353" s="69">
        <v>6.0024009603809603E-5</v>
      </c>
      <c r="AD353" s="133"/>
      <c r="AE353" s="133"/>
      <c r="AF353" s="133"/>
    </row>
    <row r="354" spans="1:32" x14ac:dyDescent="0.25">
      <c r="A354" t="s">
        <v>83</v>
      </c>
      <c r="B354" t="s">
        <v>569</v>
      </c>
      <c r="C354" s="31">
        <v>4</v>
      </c>
      <c r="D354" s="31">
        <v>50</v>
      </c>
      <c r="E354" s="65">
        <v>4</v>
      </c>
      <c r="F354" s="31">
        <v>64</v>
      </c>
      <c r="G354" s="66">
        <v>145.4</v>
      </c>
      <c r="H354" s="31">
        <v>3065.2700000000013</v>
      </c>
      <c r="I354" s="65">
        <v>55.03</v>
      </c>
      <c r="J354" s="65">
        <v>1682.6700000000017</v>
      </c>
      <c r="K354" s="31">
        <v>70.285714285714292</v>
      </c>
      <c r="L354" s="31">
        <v>2914.5714285714284</v>
      </c>
      <c r="M354" s="67">
        <v>17.571428571428573</v>
      </c>
      <c r="N354" s="67">
        <v>45.930735930735935</v>
      </c>
      <c r="O354" s="68">
        <v>36.35</v>
      </c>
      <c r="P354" s="68">
        <v>47.894843750000021</v>
      </c>
      <c r="Q354" s="69">
        <v>0.37847317744154058</v>
      </c>
      <c r="R354" s="69">
        <v>0.53122296798146229</v>
      </c>
      <c r="S354" s="31">
        <v>-9</v>
      </c>
      <c r="T354" s="31">
        <v>-9</v>
      </c>
      <c r="U354" s="69">
        <v>-0.97608077639447111</v>
      </c>
      <c r="V354" s="69">
        <v>-0.9375</v>
      </c>
      <c r="W354" s="69">
        <v>-0.95256535313365542</v>
      </c>
      <c r="X354" s="69">
        <v>-0.96600568322213987</v>
      </c>
      <c r="Y354" s="69">
        <v>-7.953806762982063E-2</v>
      </c>
      <c r="Z354" s="69">
        <v>-8.2089552238805874E-2</v>
      </c>
      <c r="AA354" s="69">
        <v>-0.4285714285714286</v>
      </c>
      <c r="AB354" s="69">
        <v>-0.41503057611844218</v>
      </c>
      <c r="AC354" s="69">
        <v>2.3696491792726038E-2</v>
      </c>
      <c r="AD354" s="133"/>
      <c r="AE354" s="133"/>
      <c r="AF354" s="133"/>
    </row>
    <row r="355" spans="1:32" x14ac:dyDescent="0.25">
      <c r="A355" t="s">
        <v>83</v>
      </c>
      <c r="B355" t="s">
        <v>567</v>
      </c>
      <c r="C355" s="31">
        <v>2</v>
      </c>
      <c r="D355" s="31">
        <v>3</v>
      </c>
      <c r="E355" s="65">
        <v>2</v>
      </c>
      <c r="F355" s="31">
        <v>3</v>
      </c>
      <c r="G355" s="66">
        <v>141.66</v>
      </c>
      <c r="H355" s="31">
        <v>1282.47</v>
      </c>
      <c r="I355" s="65">
        <v>-238.33999999999997</v>
      </c>
      <c r="J355" s="65">
        <v>637.47</v>
      </c>
      <c r="K355" s="31">
        <v>17.857142857142858</v>
      </c>
      <c r="L355" s="31">
        <v>191</v>
      </c>
      <c r="M355" s="67">
        <v>8.9285714285714288</v>
      </c>
      <c r="N355" s="67">
        <v>65.666666666666671</v>
      </c>
      <c r="O355" s="68">
        <v>70.83</v>
      </c>
      <c r="P355" s="68">
        <v>427.49</v>
      </c>
      <c r="Q355" s="69">
        <v>-1.6824791754906112</v>
      </c>
      <c r="R355" s="69">
        <v>0.49706425881307165</v>
      </c>
      <c r="S355" s="31">
        <v>237</v>
      </c>
      <c r="T355" s="31">
        <v>313</v>
      </c>
      <c r="U355" s="69">
        <v>-0.91697830964846672</v>
      </c>
      <c r="V355" s="69">
        <v>-0.33333333333333337</v>
      </c>
      <c r="W355" s="69">
        <v>-0.88954127581931741</v>
      </c>
      <c r="X355" s="69">
        <v>-1.3738842612201358</v>
      </c>
      <c r="Y355" s="69">
        <v>-0.13317426148700728</v>
      </c>
      <c r="Z355" s="69">
        <v>-7.4074074074073959E-2</v>
      </c>
      <c r="AA355" s="69"/>
      <c r="AB355" s="69"/>
      <c r="AC355" s="69"/>
      <c r="AD355" s="133"/>
      <c r="AE355" s="133"/>
      <c r="AF355" s="133"/>
    </row>
    <row r="356" spans="1:32" x14ac:dyDescent="0.25">
      <c r="A356" t="s">
        <v>83</v>
      </c>
      <c r="B356" t="s">
        <v>558</v>
      </c>
      <c r="C356" s="31">
        <v>2</v>
      </c>
      <c r="D356" s="31">
        <v>68</v>
      </c>
      <c r="E356" s="65">
        <v>2</v>
      </c>
      <c r="F356" s="31">
        <v>79</v>
      </c>
      <c r="G356" s="66">
        <v>133.32</v>
      </c>
      <c r="H356" s="31">
        <v>9771.719999999983</v>
      </c>
      <c r="I356" s="65">
        <v>23.32</v>
      </c>
      <c r="J356" s="65">
        <v>5773.6799999999803</v>
      </c>
      <c r="K356" s="31">
        <v>106.57142857142857</v>
      </c>
      <c r="L356" s="31">
        <v>1606.7142857142858</v>
      </c>
      <c r="M356" s="67">
        <v>53.285714285714285</v>
      </c>
      <c r="N356" s="67">
        <v>20.122923588039868</v>
      </c>
      <c r="O356" s="68">
        <v>66.66</v>
      </c>
      <c r="P356" s="68">
        <v>123.69265822784789</v>
      </c>
      <c r="Q356" s="69">
        <v>0.17491749174917492</v>
      </c>
      <c r="R356" s="69">
        <v>0.54230372570346452</v>
      </c>
      <c r="S356" s="31">
        <v>169</v>
      </c>
      <c r="T356" s="31">
        <v>186</v>
      </c>
      <c r="U356" s="69">
        <v>-0.93429358940161822</v>
      </c>
      <c r="V356" s="69">
        <v>-0.97468354430379744</v>
      </c>
      <c r="W356" s="69">
        <v>-0.98635654726087119</v>
      </c>
      <c r="X356" s="69">
        <v>-0.99559902015920521</v>
      </c>
      <c r="Y356" s="69">
        <v>-1.9593109165056077E-2</v>
      </c>
      <c r="Z356" s="69">
        <v>-4.7254150702426667E-2</v>
      </c>
      <c r="AA356" s="69">
        <v>-0.77777777777777779</v>
      </c>
      <c r="AB356" s="69">
        <v>-0.77777407364192486</v>
      </c>
      <c r="AC356" s="69">
        <v>1.6668611338088724E-5</v>
      </c>
      <c r="AD356" s="133"/>
      <c r="AE356" s="133"/>
      <c r="AF356" s="133"/>
    </row>
    <row r="357" spans="1:32" x14ac:dyDescent="0.25">
      <c r="A357" t="s">
        <v>83</v>
      </c>
      <c r="B357" t="s">
        <v>559</v>
      </c>
      <c r="C357" s="31">
        <v>1</v>
      </c>
      <c r="D357" s="31">
        <v>74</v>
      </c>
      <c r="E357" s="65">
        <v>1</v>
      </c>
      <c r="F357" s="31">
        <v>81</v>
      </c>
      <c r="G357" s="66">
        <v>66.66</v>
      </c>
      <c r="H357" s="31">
        <v>9386.7699999999859</v>
      </c>
      <c r="I357" s="65">
        <v>18.62</v>
      </c>
      <c r="J357" s="65">
        <v>5542.7099999999846</v>
      </c>
      <c r="K357" s="31">
        <v>229.42857142857142</v>
      </c>
      <c r="L357" s="31">
        <v>2723.4285714285716</v>
      </c>
      <c r="M357" s="67">
        <v>229.42857142857142</v>
      </c>
      <c r="N357" s="67">
        <v>33.53156146179402</v>
      </c>
      <c r="O357" s="68">
        <v>66.66</v>
      </c>
      <c r="P357" s="68">
        <v>115.88604938271588</v>
      </c>
      <c r="Q357" s="69">
        <v>0.27932793279327933</v>
      </c>
      <c r="R357" s="69">
        <v>0.55597115980668821</v>
      </c>
      <c r="S357" s="31">
        <v>154</v>
      </c>
      <c r="T357" s="31">
        <v>191.42857142857142</v>
      </c>
      <c r="U357" s="69">
        <v>-0.91376416281997486</v>
      </c>
      <c r="V357" s="69">
        <v>-0.98765432098765427</v>
      </c>
      <c r="W357" s="69">
        <v>-0.99289851567685161</v>
      </c>
      <c r="X357" s="69">
        <v>-0.99641819066690518</v>
      </c>
      <c r="Y357" s="69">
        <v>0.23332341081454189</v>
      </c>
      <c r="Z357" s="69">
        <v>0.21574564723694167</v>
      </c>
      <c r="AA357" s="69">
        <v>-0.75</v>
      </c>
      <c r="AB357" s="69">
        <v>-0.75</v>
      </c>
      <c r="AC357" s="69">
        <v>0</v>
      </c>
      <c r="AD357" s="133"/>
      <c r="AE357" s="133"/>
      <c r="AF357" s="133"/>
    </row>
    <row r="358" spans="1:32" x14ac:dyDescent="0.25">
      <c r="A358" t="s">
        <v>83</v>
      </c>
      <c r="B358" t="s">
        <v>570</v>
      </c>
      <c r="C358" s="31"/>
      <c r="D358" s="31"/>
      <c r="E358" s="65"/>
      <c r="F358" s="31"/>
      <c r="G358" s="66"/>
      <c r="H358" s="31"/>
      <c r="I358" s="65"/>
      <c r="J358" s="65"/>
      <c r="K358" s="31">
        <v>4</v>
      </c>
      <c r="L358" s="31">
        <v>22.142857142857142</v>
      </c>
      <c r="M358" s="67"/>
      <c r="N358" s="67"/>
      <c r="O358" s="68"/>
      <c r="P358" s="68"/>
      <c r="Q358" s="69"/>
      <c r="R358" s="69"/>
      <c r="S358" s="31">
        <v>935</v>
      </c>
      <c r="T358" s="31">
        <v>935</v>
      </c>
      <c r="U358" s="69">
        <v>-0.8193548387096774</v>
      </c>
      <c r="V358" s="69"/>
      <c r="W358" s="69"/>
      <c r="X358" s="69"/>
      <c r="Y358" s="69">
        <v>0.6878804248620074</v>
      </c>
      <c r="Z358" s="69">
        <v>0.47368421052631571</v>
      </c>
      <c r="AA358" s="69"/>
      <c r="AB358" s="69"/>
      <c r="AC358" s="69"/>
      <c r="AD358" s="133"/>
      <c r="AE358" s="133"/>
      <c r="AF358" s="133"/>
    </row>
    <row r="359" spans="1:32" x14ac:dyDescent="0.25">
      <c r="A359" t="s">
        <v>83</v>
      </c>
      <c r="B359" t="s">
        <v>573</v>
      </c>
      <c r="C359" s="31"/>
      <c r="D359" s="31">
        <v>2</v>
      </c>
      <c r="E359" s="65"/>
      <c r="F359" s="31">
        <v>2</v>
      </c>
      <c r="G359" s="66"/>
      <c r="H359" s="31">
        <v>214.18</v>
      </c>
      <c r="I359" s="65"/>
      <c r="J359" s="65">
        <v>64.180000000000007</v>
      </c>
      <c r="K359" s="31">
        <v>16</v>
      </c>
      <c r="L359" s="31">
        <v>29.285714285714285</v>
      </c>
      <c r="M359" s="67"/>
      <c r="N359" s="67">
        <v>14.642857142857142</v>
      </c>
      <c r="O359" s="68"/>
      <c r="P359" s="68">
        <v>107.09</v>
      </c>
      <c r="Q359" s="69"/>
      <c r="R359" s="69">
        <v>0.29965449621813428</v>
      </c>
      <c r="S359" s="31">
        <v>3</v>
      </c>
      <c r="T359" s="31">
        <v>2</v>
      </c>
      <c r="U359" s="69">
        <v>-0.45365853658536581</v>
      </c>
      <c r="V359" s="69"/>
      <c r="W359" s="69"/>
      <c r="X359" s="69"/>
      <c r="Y359" s="69">
        <v>0</v>
      </c>
      <c r="Z359" s="69">
        <v>0</v>
      </c>
      <c r="AA359" s="69"/>
      <c r="AB359" s="69"/>
      <c r="AC359" s="69"/>
      <c r="AD359" s="133"/>
      <c r="AE359" s="133"/>
      <c r="AF359" s="133"/>
    </row>
    <row r="360" spans="1:32" x14ac:dyDescent="0.25">
      <c r="A360" t="s">
        <v>83</v>
      </c>
      <c r="B360" t="s">
        <v>572</v>
      </c>
      <c r="C360" s="31"/>
      <c r="D360" s="31"/>
      <c r="E360" s="65"/>
      <c r="F360" s="31"/>
      <c r="G360" s="66"/>
      <c r="H360" s="31"/>
      <c r="I360" s="65"/>
      <c r="J360" s="65"/>
      <c r="K360" s="31"/>
      <c r="L360" s="31"/>
      <c r="M360" s="67"/>
      <c r="N360" s="67"/>
      <c r="O360" s="68"/>
      <c r="P360" s="68"/>
      <c r="Q360" s="69"/>
      <c r="R360" s="69"/>
      <c r="S360" s="31">
        <v>18</v>
      </c>
      <c r="T360" s="31"/>
      <c r="U360" s="69"/>
      <c r="V360" s="69"/>
      <c r="W360" s="69"/>
      <c r="X360" s="69"/>
      <c r="Y360" s="69"/>
      <c r="Z360" s="69"/>
      <c r="AA360" s="69"/>
      <c r="AB360" s="69"/>
      <c r="AC360" s="69"/>
      <c r="AD360" s="133"/>
      <c r="AE360" s="133"/>
      <c r="AF360" s="133"/>
    </row>
    <row r="361" spans="1:32" x14ac:dyDescent="0.25">
      <c r="A361" t="s">
        <v>83</v>
      </c>
      <c r="B361" t="s">
        <v>575</v>
      </c>
      <c r="C361" s="31"/>
      <c r="D361" s="31"/>
      <c r="E361" s="65"/>
      <c r="F361" s="31"/>
      <c r="G361" s="66"/>
      <c r="H361" s="31"/>
      <c r="I361" s="65"/>
      <c r="J361" s="65"/>
      <c r="K361" s="31">
        <v>-1</v>
      </c>
      <c r="L361" s="31">
        <v>-2</v>
      </c>
      <c r="M361" s="67"/>
      <c r="N361" s="67"/>
      <c r="O361" s="68"/>
      <c r="P361" s="68"/>
      <c r="Q361" s="69"/>
      <c r="R361" s="69"/>
      <c r="S361" s="31"/>
      <c r="T361" s="31"/>
      <c r="U361" s="69">
        <v>-0.5</v>
      </c>
      <c r="V361" s="69"/>
      <c r="W361" s="69"/>
      <c r="X361" s="69"/>
      <c r="Y361" s="69">
        <v>0</v>
      </c>
      <c r="Z361" s="69">
        <v>0</v>
      </c>
      <c r="AA361" s="69"/>
      <c r="AB361" s="69"/>
      <c r="AC361" s="69"/>
      <c r="AD361" s="133"/>
      <c r="AE361" s="133"/>
      <c r="AF361" s="133"/>
    </row>
    <row r="362" spans="1:32" x14ac:dyDescent="0.25">
      <c r="A362" t="s">
        <v>83</v>
      </c>
      <c r="B362" t="s">
        <v>564</v>
      </c>
      <c r="C362" s="31"/>
      <c r="D362" s="31">
        <v>96</v>
      </c>
      <c r="E362" s="65"/>
      <c r="F362" s="31">
        <v>115</v>
      </c>
      <c r="G362" s="66"/>
      <c r="H362" s="31">
        <v>6873.2699999999923</v>
      </c>
      <c r="I362" s="65"/>
      <c r="J362" s="65">
        <v>3237.0999999999917</v>
      </c>
      <c r="K362" s="31">
        <v>73.142857142857139</v>
      </c>
      <c r="L362" s="31">
        <v>4343.8571428571431</v>
      </c>
      <c r="M362" s="67"/>
      <c r="N362" s="67">
        <v>37.306791569086656</v>
      </c>
      <c r="O362" s="68"/>
      <c r="P362" s="68">
        <v>59.767565217391237</v>
      </c>
      <c r="Q362" s="69"/>
      <c r="R362" s="69">
        <v>0.4444624463489843</v>
      </c>
      <c r="S362" s="31">
        <v>577</v>
      </c>
      <c r="T362" s="31">
        <v>367</v>
      </c>
      <c r="U362" s="69">
        <v>-0.9839181767356201</v>
      </c>
      <c r="V362" s="69"/>
      <c r="W362" s="69"/>
      <c r="X362" s="69"/>
      <c r="Y362" s="69">
        <v>-8.0687092199335231E-2</v>
      </c>
      <c r="Z362" s="69">
        <v>-7.9136690647482077E-2</v>
      </c>
      <c r="AA362" s="69"/>
      <c r="AB362" s="69"/>
      <c r="AC362" s="69"/>
      <c r="AD362" s="133"/>
      <c r="AE362" s="133"/>
      <c r="AF362" s="133"/>
    </row>
    <row r="363" spans="1:32" x14ac:dyDescent="0.25">
      <c r="A363" t="s">
        <v>83</v>
      </c>
      <c r="B363" t="s">
        <v>576</v>
      </c>
      <c r="C363" s="31"/>
      <c r="D363" s="31"/>
      <c r="E363" s="65"/>
      <c r="F363" s="31"/>
      <c r="G363" s="66"/>
      <c r="H363" s="31"/>
      <c r="I363" s="65"/>
      <c r="J363" s="65"/>
      <c r="K363" s="31"/>
      <c r="L363" s="31"/>
      <c r="M363" s="67"/>
      <c r="N363" s="67"/>
      <c r="O363" s="68"/>
      <c r="P363" s="68"/>
      <c r="Q363" s="69"/>
      <c r="R363" s="69"/>
      <c r="S363" s="31">
        <v>73</v>
      </c>
      <c r="T363" s="31">
        <v>73</v>
      </c>
      <c r="U363" s="69"/>
      <c r="V363" s="69"/>
      <c r="W363" s="69"/>
      <c r="X363" s="69"/>
      <c r="Y363" s="69"/>
      <c r="Z363" s="69"/>
      <c r="AA363" s="69"/>
      <c r="AB363" s="69"/>
      <c r="AC363" s="69"/>
      <c r="AD363" s="133"/>
      <c r="AE363" s="133"/>
      <c r="AF363" s="133"/>
    </row>
    <row r="364" spans="1:32" x14ac:dyDescent="0.25">
      <c r="A364" t="s">
        <v>83</v>
      </c>
      <c r="B364" t="s">
        <v>577</v>
      </c>
      <c r="C364" s="31"/>
      <c r="D364" s="31"/>
      <c r="E364" s="65"/>
      <c r="F364" s="31"/>
      <c r="G364" s="66"/>
      <c r="H364" s="31"/>
      <c r="I364" s="65"/>
      <c r="J364" s="65"/>
      <c r="K364" s="31">
        <v>1</v>
      </c>
      <c r="L364" s="31">
        <v>2</v>
      </c>
      <c r="M364" s="67"/>
      <c r="N364" s="67"/>
      <c r="O364" s="68"/>
      <c r="P364" s="68"/>
      <c r="Q364" s="69"/>
      <c r="R364" s="69"/>
      <c r="S364" s="31"/>
      <c r="T364" s="31"/>
      <c r="U364" s="69">
        <v>-0.5</v>
      </c>
      <c r="V364" s="69"/>
      <c r="W364" s="69"/>
      <c r="X364" s="69"/>
      <c r="Y364" s="69">
        <v>0</v>
      </c>
      <c r="Z364" s="69">
        <v>0</v>
      </c>
      <c r="AA364" s="69"/>
      <c r="AB364" s="69"/>
      <c r="AC364" s="69"/>
      <c r="AD364" s="133"/>
      <c r="AE364" s="133"/>
      <c r="AF364" s="133"/>
    </row>
    <row r="365" spans="1:32" x14ac:dyDescent="0.25">
      <c r="A365" t="s">
        <v>83</v>
      </c>
      <c r="B365" t="s">
        <v>738</v>
      </c>
      <c r="C365" s="31"/>
      <c r="D365" s="31"/>
      <c r="E365" s="65"/>
      <c r="F365" s="31"/>
      <c r="G365" s="66"/>
      <c r="H365" s="31"/>
      <c r="I365" s="65"/>
      <c r="J365" s="65"/>
      <c r="K365" s="31">
        <v>-1</v>
      </c>
      <c r="L365" s="31"/>
      <c r="M365" s="67"/>
      <c r="N365" s="67"/>
      <c r="O365" s="68"/>
      <c r="P365" s="68"/>
      <c r="Q365" s="69"/>
      <c r="R365" s="69"/>
      <c r="S365" s="31"/>
      <c r="T365" s="31"/>
      <c r="U365" s="69"/>
      <c r="V365" s="69"/>
      <c r="W365" s="69"/>
      <c r="X365" s="69"/>
      <c r="Y365" s="69">
        <v>0</v>
      </c>
      <c r="Z365" s="69">
        <v>0</v>
      </c>
      <c r="AA365" s="69"/>
      <c r="AB365" s="69"/>
      <c r="AC365" s="69"/>
      <c r="AD365" s="133"/>
      <c r="AE365" s="133"/>
      <c r="AF365" s="133"/>
    </row>
    <row r="366" spans="1:32" x14ac:dyDescent="0.25">
      <c r="A366" t="s">
        <v>83</v>
      </c>
      <c r="B366" t="s">
        <v>580</v>
      </c>
      <c r="C366" s="31"/>
      <c r="D366" s="31"/>
      <c r="E366" s="65"/>
      <c r="F366" s="31"/>
      <c r="G366" s="66"/>
      <c r="H366" s="31"/>
      <c r="I366" s="65"/>
      <c r="J366" s="65"/>
      <c r="K366" s="31"/>
      <c r="L366" s="31"/>
      <c r="M366" s="67"/>
      <c r="N366" s="67"/>
      <c r="O366" s="68"/>
      <c r="P366" s="68"/>
      <c r="Q366" s="69"/>
      <c r="R366" s="69"/>
      <c r="S366" s="31">
        <v>27</v>
      </c>
      <c r="T366" s="31">
        <v>9</v>
      </c>
      <c r="U366" s="69"/>
      <c r="V366" s="69"/>
      <c r="W366" s="69"/>
      <c r="X366" s="69"/>
      <c r="Y366" s="69"/>
      <c r="Z366" s="69"/>
      <c r="AA366" s="69"/>
      <c r="AB366" s="69"/>
      <c r="AC366" s="69"/>
      <c r="AD366" s="133"/>
      <c r="AE366" s="133"/>
      <c r="AF366" s="133"/>
    </row>
    <row r="367" spans="1:32" x14ac:dyDescent="0.25">
      <c r="A367" t="s">
        <v>83</v>
      </c>
      <c r="B367" t="s">
        <v>574</v>
      </c>
      <c r="C367" s="31"/>
      <c r="D367" s="31"/>
      <c r="E367" s="65"/>
      <c r="F367" s="31"/>
      <c r="G367" s="66"/>
      <c r="H367" s="31"/>
      <c r="I367" s="65"/>
      <c r="J367" s="65"/>
      <c r="K367" s="31">
        <v>1</v>
      </c>
      <c r="L367" s="31">
        <v>1</v>
      </c>
      <c r="M367" s="67"/>
      <c r="N367" s="67"/>
      <c r="O367" s="68"/>
      <c r="P367" s="68"/>
      <c r="Q367" s="69"/>
      <c r="R367" s="69"/>
      <c r="S367" s="31"/>
      <c r="T367" s="31"/>
      <c r="U367" s="69">
        <v>0</v>
      </c>
      <c r="V367" s="69"/>
      <c r="W367" s="69"/>
      <c r="X367" s="69"/>
      <c r="Y367" s="69">
        <v>0</v>
      </c>
      <c r="Z367" s="69">
        <v>0</v>
      </c>
      <c r="AA367" s="69"/>
      <c r="AB367" s="69"/>
      <c r="AC367" s="69"/>
      <c r="AD367" s="133"/>
      <c r="AE367" s="133"/>
      <c r="AF367" s="133"/>
    </row>
    <row r="368" spans="1:32" x14ac:dyDescent="0.25">
      <c r="A368" t="s">
        <v>83</v>
      </c>
      <c r="B368" t="s">
        <v>739</v>
      </c>
      <c r="C368" s="31"/>
      <c r="D368" s="31"/>
      <c r="E368" s="65"/>
      <c r="F368" s="31"/>
      <c r="G368" s="66"/>
      <c r="H368" s="31"/>
      <c r="I368" s="65"/>
      <c r="J368" s="65"/>
      <c r="K368" s="31">
        <v>-3</v>
      </c>
      <c r="L368" s="31"/>
      <c r="M368" s="67"/>
      <c r="N368" s="67"/>
      <c r="O368" s="68"/>
      <c r="P368" s="68"/>
      <c r="Q368" s="69"/>
      <c r="R368" s="69"/>
      <c r="S368" s="31"/>
      <c r="T368" s="31"/>
      <c r="U368" s="69"/>
      <c r="V368" s="69"/>
      <c r="W368" s="69"/>
      <c r="X368" s="69"/>
      <c r="Y368" s="69">
        <v>0.23529411764705865</v>
      </c>
      <c r="Z368" s="69">
        <v>0.23529411764705888</v>
      </c>
      <c r="AA368" s="69"/>
      <c r="AB368" s="69"/>
      <c r="AC368" s="69"/>
      <c r="AD368" s="133"/>
      <c r="AE368" s="133"/>
      <c r="AF368" s="133"/>
    </row>
    <row r="369" spans="1:32" x14ac:dyDescent="0.25">
      <c r="A369" t="s">
        <v>83</v>
      </c>
      <c r="B369" t="s">
        <v>571</v>
      </c>
      <c r="C369" s="31"/>
      <c r="D369" s="31"/>
      <c r="E369" s="65"/>
      <c r="F369" s="31"/>
      <c r="G369" s="66"/>
      <c r="H369" s="31"/>
      <c r="I369" s="65"/>
      <c r="J369" s="65"/>
      <c r="K369" s="31"/>
      <c r="L369" s="31">
        <v>-6</v>
      </c>
      <c r="M369" s="67"/>
      <c r="N369" s="67"/>
      <c r="O369" s="68"/>
      <c r="P369" s="68"/>
      <c r="Q369" s="69"/>
      <c r="R369" s="69"/>
      <c r="S369" s="31">
        <v>3</v>
      </c>
      <c r="T369" s="31">
        <v>3</v>
      </c>
      <c r="U369" s="69"/>
      <c r="V369" s="69"/>
      <c r="W369" s="69"/>
      <c r="X369" s="69"/>
      <c r="Y369" s="69"/>
      <c r="Z369" s="69"/>
      <c r="AA369" s="69"/>
      <c r="AB369" s="69"/>
      <c r="AC369" s="69"/>
      <c r="AD369" s="133"/>
      <c r="AE369" s="133"/>
      <c r="AF369" s="133"/>
    </row>
    <row r="370" spans="1:32" x14ac:dyDescent="0.25">
      <c r="A370" t="s">
        <v>83</v>
      </c>
      <c r="B370" t="s">
        <v>740</v>
      </c>
      <c r="C370" s="31"/>
      <c r="D370" s="31"/>
      <c r="E370" s="65"/>
      <c r="F370" s="31"/>
      <c r="G370" s="66"/>
      <c r="H370" s="31"/>
      <c r="I370" s="65"/>
      <c r="J370" s="65"/>
      <c r="K370" s="31">
        <v>-1</v>
      </c>
      <c r="L370" s="31"/>
      <c r="M370" s="67"/>
      <c r="N370" s="67"/>
      <c r="O370" s="68"/>
      <c r="P370" s="68"/>
      <c r="Q370" s="69"/>
      <c r="R370" s="69"/>
      <c r="S370" s="31"/>
      <c r="T370" s="31"/>
      <c r="U370" s="69"/>
      <c r="V370" s="69"/>
      <c r="W370" s="69"/>
      <c r="X370" s="69"/>
      <c r="Y370" s="69">
        <v>0</v>
      </c>
      <c r="Z370" s="69">
        <v>0</v>
      </c>
      <c r="AA370" s="69"/>
      <c r="AB370" s="69"/>
      <c r="AC370" s="69"/>
      <c r="AD370" s="133"/>
      <c r="AE370" s="133"/>
      <c r="AF370" s="133"/>
    </row>
    <row r="371" spans="1:32" x14ac:dyDescent="0.25">
      <c r="A371" t="s">
        <v>83</v>
      </c>
      <c r="B371" t="s">
        <v>579</v>
      </c>
      <c r="C371" s="31"/>
      <c r="D371" s="31"/>
      <c r="E371" s="65"/>
      <c r="F371" s="31"/>
      <c r="G371" s="66"/>
      <c r="H371" s="31"/>
      <c r="I371" s="65"/>
      <c r="J371" s="65"/>
      <c r="K371" s="31">
        <v>-112</v>
      </c>
      <c r="L371" s="31"/>
      <c r="M371" s="67"/>
      <c r="N371" s="67"/>
      <c r="O371" s="68"/>
      <c r="P371" s="68"/>
      <c r="Q371" s="69"/>
      <c r="R371" s="69"/>
      <c r="S371" s="31"/>
      <c r="T371" s="31"/>
      <c r="U371" s="69"/>
      <c r="V371" s="69"/>
      <c r="W371" s="69"/>
      <c r="X371" s="69"/>
      <c r="Y371" s="69">
        <v>0</v>
      </c>
      <c r="Z371" s="69">
        <v>0</v>
      </c>
      <c r="AA371" s="69"/>
      <c r="AB371" s="69"/>
      <c r="AC371" s="69"/>
      <c r="AD371" s="133"/>
      <c r="AE371" s="133"/>
      <c r="AF371" s="133"/>
    </row>
    <row r="372" spans="1:32" x14ac:dyDescent="0.25">
      <c r="A372" t="s">
        <v>83</v>
      </c>
      <c r="B372" t="s">
        <v>581</v>
      </c>
      <c r="C372" s="31"/>
      <c r="D372" s="31"/>
      <c r="E372" s="65"/>
      <c r="F372" s="31"/>
      <c r="G372" s="66"/>
      <c r="H372" s="31"/>
      <c r="I372" s="65"/>
      <c r="J372" s="65"/>
      <c r="K372" s="31">
        <v>1</v>
      </c>
      <c r="L372" s="31">
        <v>1</v>
      </c>
      <c r="M372" s="67"/>
      <c r="N372" s="67"/>
      <c r="O372" s="68"/>
      <c r="P372" s="68"/>
      <c r="Q372" s="69"/>
      <c r="R372" s="69"/>
      <c r="S372" s="31"/>
      <c r="T372" s="31"/>
      <c r="U372" s="69">
        <v>0</v>
      </c>
      <c r="V372" s="69"/>
      <c r="W372" s="69"/>
      <c r="X372" s="69"/>
      <c r="Y372" s="69">
        <v>0</v>
      </c>
      <c r="Z372" s="69">
        <v>0</v>
      </c>
      <c r="AA372" s="69"/>
      <c r="AB372" s="69"/>
      <c r="AC372" s="69"/>
      <c r="AD372" s="133"/>
      <c r="AE372" s="133"/>
      <c r="AF372" s="133"/>
    </row>
    <row r="373" spans="1:32" x14ac:dyDescent="0.25">
      <c r="A373" s="129" t="s">
        <v>814</v>
      </c>
      <c r="B373" s="129"/>
      <c r="C373" s="120">
        <v>15890</v>
      </c>
      <c r="D373" s="120">
        <v>19421</v>
      </c>
      <c r="E373" s="119">
        <v>34507</v>
      </c>
      <c r="F373" s="120">
        <v>34566</v>
      </c>
      <c r="G373" s="120">
        <v>8281963.2600007039</v>
      </c>
      <c r="H373" s="120">
        <v>5344963.1300001359</v>
      </c>
      <c r="I373" s="119">
        <v>5213495.9600001425</v>
      </c>
      <c r="J373" s="119">
        <v>2558186.45000022</v>
      </c>
      <c r="K373" s="120">
        <v>350145.71428571426</v>
      </c>
      <c r="L373" s="120">
        <v>545539</v>
      </c>
      <c r="M373" s="131">
        <v>10.147092308392914</v>
      </c>
      <c r="N373" s="131">
        <v>15.910127886538579</v>
      </c>
      <c r="O373" s="130">
        <v>240.00820876925562</v>
      </c>
      <c r="P373" s="130">
        <v>154.63065237517029</v>
      </c>
      <c r="Q373" s="132">
        <v>0.62950001060493721</v>
      </c>
      <c r="R373" s="132">
        <v>0.46890159746890714</v>
      </c>
      <c r="S373" s="120">
        <v>184044.42857142858</v>
      </c>
      <c r="T373" s="120">
        <v>457722.85714285716</v>
      </c>
      <c r="U373" s="132">
        <v>-0.37871379105278058</v>
      </c>
      <c r="V373" s="132">
        <v>-3.5786611120754541E-2</v>
      </c>
      <c r="W373" s="132">
        <v>0.49601822791254624</v>
      </c>
      <c r="X373" s="132">
        <v>1.0107432410854083</v>
      </c>
      <c r="Y373" s="132">
        <v>-2.9372012710518813E-2</v>
      </c>
      <c r="Z373" s="132">
        <v>-3.1412257375887709E-2</v>
      </c>
      <c r="AA373" s="132">
        <v>0.11597296335823559</v>
      </c>
      <c r="AB373" s="132">
        <v>0.14941369100988955</v>
      </c>
      <c r="AC373" s="132">
        <v>2.996553568020377E-2</v>
      </c>
      <c r="AD373" s="134">
        <v>-0.11635640705060643</v>
      </c>
      <c r="AE373" s="134">
        <v>0.13372218379199041</v>
      </c>
      <c r="AF373" s="134">
        <v>0.46105997521964326</v>
      </c>
    </row>
    <row r="374" spans="1:32" x14ac:dyDescent="0.25">
      <c r="A374" t="s">
        <v>66</v>
      </c>
      <c r="B374" t="s">
        <v>231</v>
      </c>
      <c r="C374" s="31">
        <v>1229</v>
      </c>
      <c r="D374" s="31">
        <v>1376</v>
      </c>
      <c r="E374" s="65">
        <v>1273</v>
      </c>
      <c r="F374" s="31">
        <v>1402</v>
      </c>
      <c r="G374" s="66">
        <v>2419039.1600000095</v>
      </c>
      <c r="H374" s="31">
        <v>2237455.4000000004</v>
      </c>
      <c r="I374" s="65">
        <v>922979.82999999984</v>
      </c>
      <c r="J374" s="65">
        <v>605806.79999999679</v>
      </c>
      <c r="K374" s="31">
        <v>16020.428571428571</v>
      </c>
      <c r="L374" s="31">
        <v>17899.142857142859</v>
      </c>
      <c r="M374" s="67">
        <v>12.584782852654023</v>
      </c>
      <c r="N374" s="67">
        <v>12.900854361215975</v>
      </c>
      <c r="O374" s="68">
        <v>1900.2664257659148</v>
      </c>
      <c r="P374" s="68">
        <v>1595.9025677603427</v>
      </c>
      <c r="Q374" s="69">
        <v>0.38154811433478253</v>
      </c>
      <c r="R374" s="69">
        <v>0.26398477645032459</v>
      </c>
      <c r="S374" s="31">
        <v>20710</v>
      </c>
      <c r="T374" s="31">
        <v>5204.8571428571431</v>
      </c>
      <c r="U374" s="69">
        <v>-0.13169824572605238</v>
      </c>
      <c r="V374" s="69">
        <v>-0.11126961483594866</v>
      </c>
      <c r="W374" s="69">
        <v>5.7797482801223543E-2</v>
      </c>
      <c r="X374" s="69">
        <v>0.53111970462319169</v>
      </c>
      <c r="Y374" s="69">
        <v>-4.6695034272785985E-2</v>
      </c>
      <c r="Z374" s="69">
        <v>-4.7828080423855557E-2</v>
      </c>
      <c r="AA374" s="69">
        <v>-1.6228748068006227E-2</v>
      </c>
      <c r="AB374" s="69">
        <v>2.8301270697522529E-2</v>
      </c>
      <c r="AC374" s="69">
        <v>4.5264606663467655E-2</v>
      </c>
      <c r="AD374" s="133">
        <v>0.13413786145076104</v>
      </c>
      <c r="AE374" s="133">
        <v>3.1811844402063222E-2</v>
      </c>
      <c r="AF374" s="133">
        <v>-8.4422820808217145E-3</v>
      </c>
    </row>
    <row r="375" spans="1:32" x14ac:dyDescent="0.25">
      <c r="A375" t="s">
        <v>66</v>
      </c>
      <c r="B375" t="s">
        <v>232</v>
      </c>
      <c r="C375" s="31">
        <v>803</v>
      </c>
      <c r="D375" s="31">
        <v>1288</v>
      </c>
      <c r="E375" s="65">
        <v>824</v>
      </c>
      <c r="F375" s="31">
        <v>1348</v>
      </c>
      <c r="G375" s="66">
        <v>1236154.5399999951</v>
      </c>
      <c r="H375" s="31">
        <v>1382461.4200000002</v>
      </c>
      <c r="I375" s="65">
        <v>434341.40000000014</v>
      </c>
      <c r="J375" s="65">
        <v>450287.82999998971</v>
      </c>
      <c r="K375" s="31">
        <v>19612.571428571428</v>
      </c>
      <c r="L375" s="31">
        <v>14493.857142857143</v>
      </c>
      <c r="M375" s="67">
        <v>23.80166435506241</v>
      </c>
      <c r="N375" s="67">
        <v>10.942218560098878</v>
      </c>
      <c r="O375" s="68">
        <v>1500.1875485436835</v>
      </c>
      <c r="P375" s="68">
        <v>1025.5648516320475</v>
      </c>
      <c r="Q375" s="69">
        <v>0.3513649676843818</v>
      </c>
      <c r="R375" s="69">
        <v>0.31623604437303654</v>
      </c>
      <c r="S375" s="31">
        <v>7535.2857142857147</v>
      </c>
      <c r="T375" s="31">
        <v>11976.428571428571</v>
      </c>
      <c r="U375" s="69">
        <v>0.31998777807346945</v>
      </c>
      <c r="V375" s="69">
        <v>-0.40281899109792285</v>
      </c>
      <c r="W375" s="69">
        <v>-0.12461051535167189</v>
      </c>
      <c r="X375" s="69">
        <v>-2.4476348870052234E-2</v>
      </c>
      <c r="Y375" s="69">
        <v>-4.7920354451229663E-3</v>
      </c>
      <c r="Z375" s="69">
        <v>-1.105937136204882E-3</v>
      </c>
      <c r="AA375" s="69">
        <v>1.980198019801982E-2</v>
      </c>
      <c r="AB375" s="69">
        <v>0.10822808208536694</v>
      </c>
      <c r="AC375" s="69">
        <v>8.6709090200214334E-2</v>
      </c>
      <c r="AD375" s="133">
        <v>-0.45342218406790674</v>
      </c>
      <c r="AE375" s="133">
        <v>-0.48845585597135371</v>
      </c>
      <c r="AF375" s="133">
        <v>-0.51665136721014604</v>
      </c>
    </row>
    <row r="376" spans="1:32" x14ac:dyDescent="0.25">
      <c r="A376" t="s">
        <v>66</v>
      </c>
      <c r="B376" t="s">
        <v>233</v>
      </c>
      <c r="C376" s="31">
        <v>271</v>
      </c>
      <c r="D376" s="31">
        <v>422</v>
      </c>
      <c r="E376" s="65">
        <v>277</v>
      </c>
      <c r="F376" s="31">
        <v>431</v>
      </c>
      <c r="G376" s="66">
        <v>1163123.1000000013</v>
      </c>
      <c r="H376" s="31">
        <v>1535133.62</v>
      </c>
      <c r="I376" s="65">
        <v>373404.94000000012</v>
      </c>
      <c r="J376" s="65">
        <v>481388.15999999968</v>
      </c>
      <c r="K376" s="31">
        <v>2517.5714285714284</v>
      </c>
      <c r="L376" s="31">
        <v>2051</v>
      </c>
      <c r="M376" s="67">
        <v>9.0887055183084051</v>
      </c>
      <c r="N376" s="67">
        <v>4.8804597701149426</v>
      </c>
      <c r="O376" s="68">
        <v>4199.0003610108351</v>
      </c>
      <c r="P376" s="68">
        <v>3561.7949419953597</v>
      </c>
      <c r="Q376" s="69">
        <v>0.32103647498704113</v>
      </c>
      <c r="R376" s="69">
        <v>0.31067985225938377</v>
      </c>
      <c r="S376" s="31">
        <v>4196.2857142857147</v>
      </c>
      <c r="T376" s="31">
        <v>1300.7142857142858</v>
      </c>
      <c r="U376" s="69">
        <v>0.19502681618722573</v>
      </c>
      <c r="V376" s="69">
        <v>-0.3781902552204176</v>
      </c>
      <c r="W376" s="69">
        <v>-0.2667588375792318</v>
      </c>
      <c r="X376" s="69">
        <v>-0.24180769779852618</v>
      </c>
      <c r="Y376" s="69">
        <v>-6.6097517486312984E-2</v>
      </c>
      <c r="Z376" s="69">
        <v>-6.5390326686465938E-2</v>
      </c>
      <c r="AA376" s="69">
        <v>0.18884120171673824</v>
      </c>
      <c r="AB376" s="69">
        <v>0.19167557528325263</v>
      </c>
      <c r="AC376" s="69">
        <v>2.3841481624473637E-3</v>
      </c>
      <c r="AD376" s="133">
        <v>0.2999665856964252</v>
      </c>
      <c r="AE376" s="133">
        <v>0.20939832617444937</v>
      </c>
      <c r="AF376" s="133">
        <v>0.14552735642892731</v>
      </c>
    </row>
    <row r="377" spans="1:32" x14ac:dyDescent="0.25">
      <c r="A377" t="s">
        <v>66</v>
      </c>
      <c r="B377" t="s">
        <v>238</v>
      </c>
      <c r="C377" s="31">
        <v>232</v>
      </c>
      <c r="D377" s="31">
        <v>270</v>
      </c>
      <c r="E377" s="65">
        <v>234</v>
      </c>
      <c r="F377" s="31">
        <v>271</v>
      </c>
      <c r="G377" s="66">
        <v>449693.38999999786</v>
      </c>
      <c r="H377" s="31">
        <v>453635.88999999833</v>
      </c>
      <c r="I377" s="65">
        <v>150173.14999999997</v>
      </c>
      <c r="J377" s="65">
        <v>205005.28999999809</v>
      </c>
      <c r="K377" s="31">
        <v>1988.4285714285713</v>
      </c>
      <c r="L377" s="31">
        <v>2538</v>
      </c>
      <c r="M377" s="67">
        <v>8.4975579975579976</v>
      </c>
      <c r="N377" s="67">
        <v>9.3931140801644393</v>
      </c>
      <c r="O377" s="68">
        <v>1921.7666239316147</v>
      </c>
      <c r="P377" s="68">
        <v>1673.9331734317282</v>
      </c>
      <c r="Q377" s="69">
        <v>0.33394564683283579</v>
      </c>
      <c r="R377" s="69">
        <v>0.44066392023337392</v>
      </c>
      <c r="S377" s="31">
        <v>4299.5714285714284</v>
      </c>
      <c r="T377" s="31">
        <v>1568.2857142857142</v>
      </c>
      <c r="U377" s="69">
        <v>-0.23336710570753116</v>
      </c>
      <c r="V377" s="69">
        <v>-0.16605166051660514</v>
      </c>
      <c r="W377" s="69">
        <v>-4.2491743763925616E-2</v>
      </c>
      <c r="X377" s="69">
        <v>-0.27271852440257971</v>
      </c>
      <c r="Y377" s="69">
        <v>-6.3186352758287323E-2</v>
      </c>
      <c r="Z377" s="69">
        <v>-6.5964300093947048E-2</v>
      </c>
      <c r="AA377" s="69">
        <v>0.11428571428571432</v>
      </c>
      <c r="AB377" s="69">
        <v>0.11955652760591984</v>
      </c>
      <c r="AC377" s="69">
        <v>4.7302170822358658E-3</v>
      </c>
      <c r="AD377" s="133">
        <v>-5.5241331334536209E-2</v>
      </c>
      <c r="AE377" s="133">
        <v>-0.2010115099197918</v>
      </c>
      <c r="AF377" s="133">
        <v>-0.29351656452407349</v>
      </c>
    </row>
    <row r="378" spans="1:32" x14ac:dyDescent="0.25">
      <c r="A378" t="s">
        <v>66</v>
      </c>
      <c r="B378" t="s">
        <v>234</v>
      </c>
      <c r="C378" s="31">
        <v>276</v>
      </c>
      <c r="D378" s="31">
        <v>752</v>
      </c>
      <c r="E378" s="65">
        <v>283</v>
      </c>
      <c r="F378" s="31">
        <v>771</v>
      </c>
      <c r="G378" s="66">
        <v>432099.54999999917</v>
      </c>
      <c r="H378" s="31">
        <v>902377.49999999232</v>
      </c>
      <c r="I378" s="65">
        <v>197416.6299999998</v>
      </c>
      <c r="J378" s="65">
        <v>377288.53999999177</v>
      </c>
      <c r="K378" s="31">
        <v>6879.2857142857147</v>
      </c>
      <c r="L378" s="31">
        <v>12936</v>
      </c>
      <c r="M378" s="67">
        <v>24.308430085815246</v>
      </c>
      <c r="N378" s="67">
        <v>16.974832518558753</v>
      </c>
      <c r="O378" s="68">
        <v>1526.8535335689016</v>
      </c>
      <c r="P378" s="68">
        <v>1170.398832684815</v>
      </c>
      <c r="Q378" s="69">
        <v>0.45687765701214034</v>
      </c>
      <c r="R378" s="69">
        <v>0.40905778813360821</v>
      </c>
      <c r="S378" s="31">
        <v>6520.2857142857147</v>
      </c>
      <c r="T378" s="31">
        <v>2583.8571428571427</v>
      </c>
      <c r="U378" s="69">
        <v>-0.48294902376535032</v>
      </c>
      <c r="V378" s="69">
        <v>-0.6394293125810635</v>
      </c>
      <c r="W378" s="69">
        <v>-0.52965035143273986</v>
      </c>
      <c r="X378" s="69">
        <v>-0.47557965356777598</v>
      </c>
      <c r="Y378" s="69">
        <v>4.6338246899283453E-2</v>
      </c>
      <c r="Z378" s="69">
        <v>4.7462641115437298E-2</v>
      </c>
      <c r="AA378" s="69">
        <v>-0.24933687002652516</v>
      </c>
      <c r="AB378" s="69">
        <v>-0.13246353928782961</v>
      </c>
      <c r="AC378" s="69">
        <v>0.15569344766250248</v>
      </c>
      <c r="AD378" s="133">
        <v>-0.67928177249518207</v>
      </c>
      <c r="AE378" s="133">
        <v>-0.69040798697865335</v>
      </c>
      <c r="AF378" s="133">
        <v>-0.68247286525446049</v>
      </c>
    </row>
    <row r="379" spans="1:32" x14ac:dyDescent="0.25">
      <c r="A379" t="s">
        <v>66</v>
      </c>
      <c r="B379" t="s">
        <v>239</v>
      </c>
      <c r="C379" s="31">
        <v>109</v>
      </c>
      <c r="D379" s="31">
        <v>214</v>
      </c>
      <c r="E379" s="65">
        <v>109</v>
      </c>
      <c r="F379" s="31">
        <v>214</v>
      </c>
      <c r="G379" s="66">
        <v>371390.92999999959</v>
      </c>
      <c r="H379" s="31">
        <v>587947.83999999857</v>
      </c>
      <c r="I379" s="65">
        <v>153096.50999999998</v>
      </c>
      <c r="J379" s="65">
        <v>284696.7199999984</v>
      </c>
      <c r="K379" s="31">
        <v>1063.4285714285713</v>
      </c>
      <c r="L379" s="31">
        <v>1658.8571428571429</v>
      </c>
      <c r="M379" s="67">
        <v>9.7562254259501948</v>
      </c>
      <c r="N379" s="67">
        <v>7.9229756418696509</v>
      </c>
      <c r="O379" s="68">
        <v>3407.2562385321062</v>
      </c>
      <c r="P379" s="68">
        <v>2747.4198130841055</v>
      </c>
      <c r="Q379" s="69">
        <v>0.41222468733956469</v>
      </c>
      <c r="R379" s="69">
        <v>0.47730041542044321</v>
      </c>
      <c r="S379" s="31">
        <v>82</v>
      </c>
      <c r="T379" s="31">
        <v>1231.1428571428571</v>
      </c>
      <c r="U379" s="69">
        <v>-0.38408542886668973</v>
      </c>
      <c r="V379" s="69">
        <v>-0.50467289719626174</v>
      </c>
      <c r="W379" s="69">
        <v>-0.38517910024127222</v>
      </c>
      <c r="X379" s="69">
        <v>-0.46779178033412916</v>
      </c>
      <c r="Y379" s="69">
        <v>-7.9053488415717688E-2</v>
      </c>
      <c r="Z379" s="69">
        <v>-7.7228213710177296E-2</v>
      </c>
      <c r="AA379" s="69">
        <v>0</v>
      </c>
      <c r="AB379" s="69">
        <v>-5.0898638228380477E-3</v>
      </c>
      <c r="AC379" s="69">
        <v>-5.0898638228381587E-3</v>
      </c>
      <c r="AD379" s="133">
        <v>-5.8133064195576588E-2</v>
      </c>
      <c r="AE379" s="133">
        <v>-8.6120643421918983E-2</v>
      </c>
      <c r="AF379" s="133">
        <v>-5.5776611177340576E-2</v>
      </c>
    </row>
    <row r="380" spans="1:32" x14ac:dyDescent="0.25">
      <c r="A380" t="s">
        <v>66</v>
      </c>
      <c r="B380" t="s">
        <v>235</v>
      </c>
      <c r="C380" s="31">
        <v>173</v>
      </c>
      <c r="D380" s="31">
        <v>261</v>
      </c>
      <c r="E380" s="65">
        <v>182</v>
      </c>
      <c r="F380" s="31">
        <v>264</v>
      </c>
      <c r="G380" s="66">
        <v>348774.82000000059</v>
      </c>
      <c r="H380" s="31">
        <v>438082.89999999769</v>
      </c>
      <c r="I380" s="65">
        <v>92200.190000000046</v>
      </c>
      <c r="J380" s="65">
        <v>179677.81999999768</v>
      </c>
      <c r="K380" s="31">
        <v>3377.1428571428573</v>
      </c>
      <c r="L380" s="31">
        <v>3011.1428571428573</v>
      </c>
      <c r="M380" s="67">
        <v>18.555729984301415</v>
      </c>
      <c r="N380" s="67">
        <v>11.539564524694637</v>
      </c>
      <c r="O380" s="68">
        <v>1916.3451648351681</v>
      </c>
      <c r="P380" s="68">
        <v>1659.4049242424155</v>
      </c>
      <c r="Q380" s="69">
        <v>0.2643544909578045</v>
      </c>
      <c r="R380" s="69">
        <v>0.40279024400960184</v>
      </c>
      <c r="S380" s="31">
        <v>1996</v>
      </c>
      <c r="T380" s="31">
        <v>1187.7142857142858</v>
      </c>
      <c r="U380" s="69">
        <v>8.4495682702343533E-2</v>
      </c>
      <c r="V380" s="69">
        <v>-0.32196969696969702</v>
      </c>
      <c r="W380" s="69">
        <v>-0.21694533157993057</v>
      </c>
      <c r="X380" s="69">
        <v>-0.48437270597510296</v>
      </c>
      <c r="Y380" s="69">
        <v>-4.4188231507917397E-2</v>
      </c>
      <c r="Z380" s="69">
        <v>-3.832072247986329E-2</v>
      </c>
      <c r="AA380" s="69">
        <v>1.6759776536312776E-2</v>
      </c>
      <c r="AB380" s="69">
        <v>1.5458147351519846E-2</v>
      </c>
      <c r="AC380" s="69">
        <v>-1.2801737586700668E-3</v>
      </c>
      <c r="AD380" s="133">
        <v>-0.18771213767832948</v>
      </c>
      <c r="AE380" s="133">
        <v>-0.23669897577546692</v>
      </c>
      <c r="AF380" s="133">
        <v>-0.51542300747625069</v>
      </c>
    </row>
    <row r="381" spans="1:32" x14ac:dyDescent="0.25">
      <c r="A381" t="s">
        <v>66</v>
      </c>
      <c r="B381" t="s">
        <v>237</v>
      </c>
      <c r="C381" s="31">
        <v>176</v>
      </c>
      <c r="D381" s="31">
        <v>223</v>
      </c>
      <c r="E381" s="65">
        <v>177</v>
      </c>
      <c r="F381" s="31">
        <v>223</v>
      </c>
      <c r="G381" s="66">
        <v>308552.70999999973</v>
      </c>
      <c r="H381" s="31">
        <v>315355.48999999987</v>
      </c>
      <c r="I381" s="65">
        <v>135340.15999999995</v>
      </c>
      <c r="J381" s="65">
        <v>142428.97999999969</v>
      </c>
      <c r="K381" s="31">
        <v>2704.4285714285716</v>
      </c>
      <c r="L381" s="31">
        <v>1838.8571428571429</v>
      </c>
      <c r="M381" s="67">
        <v>15.279257465698144</v>
      </c>
      <c r="N381" s="67">
        <v>8.0447578172900052</v>
      </c>
      <c r="O381" s="68">
        <v>1743.2356497175126</v>
      </c>
      <c r="P381" s="68">
        <v>1414.1501793721968</v>
      </c>
      <c r="Q381" s="69">
        <v>0.43862897849770971</v>
      </c>
      <c r="R381" s="69">
        <v>0.43343475692042072</v>
      </c>
      <c r="S381" s="31">
        <v>15</v>
      </c>
      <c r="T381" s="31">
        <v>5717.8571428571431</v>
      </c>
      <c r="U381" s="69">
        <v>0.44204474829086382</v>
      </c>
      <c r="V381" s="69">
        <v>-0.22421524663677128</v>
      </c>
      <c r="W381" s="69">
        <v>-4.3240344412587062E-2</v>
      </c>
      <c r="X381" s="69">
        <v>-3.6450292704390708E-2</v>
      </c>
      <c r="Y381" s="69">
        <v>-7.5210124541953194E-2</v>
      </c>
      <c r="Z381" s="69">
        <v>-7.3916446531650415E-2</v>
      </c>
      <c r="AA381" s="69">
        <v>-0.10606060606060608</v>
      </c>
      <c r="AB381" s="69">
        <v>-7.6230839368119474E-2</v>
      </c>
      <c r="AC381" s="69">
        <v>3.3368891554307112E-2</v>
      </c>
      <c r="AD381" s="133">
        <v>-0.16559734273395568</v>
      </c>
      <c r="AE381" s="133">
        <v>-0.23165795459063357</v>
      </c>
      <c r="AF381" s="133">
        <v>-0.25953886954030408</v>
      </c>
    </row>
    <row r="382" spans="1:32" x14ac:dyDescent="0.25">
      <c r="A382" t="s">
        <v>66</v>
      </c>
      <c r="B382" t="s">
        <v>244</v>
      </c>
      <c r="C382" s="31">
        <v>121</v>
      </c>
      <c r="D382" s="31">
        <v>50</v>
      </c>
      <c r="E382" s="65">
        <v>126</v>
      </c>
      <c r="F382" s="31">
        <v>50</v>
      </c>
      <c r="G382" s="66">
        <v>289998.95000000036</v>
      </c>
      <c r="H382" s="31">
        <v>146859.66</v>
      </c>
      <c r="I382" s="65">
        <v>40297.899999999972</v>
      </c>
      <c r="J382" s="65">
        <v>36636.790000000052</v>
      </c>
      <c r="K382" s="31">
        <v>3424.1428571428573</v>
      </c>
      <c r="L382" s="31">
        <v>2091.7142857142858</v>
      </c>
      <c r="M382" s="67">
        <v>27.17573696145125</v>
      </c>
      <c r="N382" s="67">
        <v>41.113207547169814</v>
      </c>
      <c r="O382" s="68">
        <v>2301.5789682539712</v>
      </c>
      <c r="P382" s="68">
        <v>2937.1932000000002</v>
      </c>
      <c r="Q382" s="69">
        <v>0.13895877898868228</v>
      </c>
      <c r="R382" s="69">
        <v>0.23278198013034299</v>
      </c>
      <c r="S382" s="31">
        <v>159.42857142857142</v>
      </c>
      <c r="T382" s="31">
        <v>5271</v>
      </c>
      <c r="U382" s="69">
        <v>0.60080590083321961</v>
      </c>
      <c r="V382" s="69">
        <v>1.46</v>
      </c>
      <c r="W382" s="69">
        <v>0.92927254495891143</v>
      </c>
      <c r="X382" s="69">
        <v>0.15804569079284425</v>
      </c>
      <c r="Y382" s="69">
        <v>-2.9425225618482043E-2</v>
      </c>
      <c r="Z382" s="69">
        <v>-3.0929085469394324E-2</v>
      </c>
      <c r="AA382" s="69">
        <v>0.11504424778761058</v>
      </c>
      <c r="AB382" s="69">
        <v>0.13939606603617882</v>
      </c>
      <c r="AC382" s="69">
        <v>2.1839329064192281E-2</v>
      </c>
      <c r="AD382" s="133">
        <v>-6.2078493608734811E-2</v>
      </c>
      <c r="AE382" s="133">
        <v>0.13513085888176446</v>
      </c>
      <c r="AF382" s="133">
        <v>-0.57360163251153573</v>
      </c>
    </row>
    <row r="383" spans="1:32" x14ac:dyDescent="0.25">
      <c r="A383" t="s">
        <v>66</v>
      </c>
      <c r="B383" t="s">
        <v>240</v>
      </c>
      <c r="C383" s="31">
        <v>175</v>
      </c>
      <c r="D383" s="31">
        <v>189</v>
      </c>
      <c r="E383" s="65">
        <v>179</v>
      </c>
      <c r="F383" s="31">
        <v>191</v>
      </c>
      <c r="G383" s="66">
        <v>267648.19999999937</v>
      </c>
      <c r="H383" s="31">
        <v>274308.65999999992</v>
      </c>
      <c r="I383" s="65">
        <v>60012.499999999891</v>
      </c>
      <c r="J383" s="65">
        <v>81792.150000000081</v>
      </c>
      <c r="K383" s="31">
        <v>1382.1428571428571</v>
      </c>
      <c r="L383" s="31">
        <v>5009.2857142857147</v>
      </c>
      <c r="M383" s="67">
        <v>7.72146847565842</v>
      </c>
      <c r="N383" s="67">
        <v>26.019285714285715</v>
      </c>
      <c r="O383" s="68">
        <v>1495.2413407821193</v>
      </c>
      <c r="P383" s="68">
        <v>1436.1709947643974</v>
      </c>
      <c r="Q383" s="69">
        <v>0.22422157145088228</v>
      </c>
      <c r="R383" s="69">
        <v>0.28484924299968956</v>
      </c>
      <c r="S383" s="31">
        <v>943.28571428571433</v>
      </c>
      <c r="T383" s="31">
        <v>1292.7142857142858</v>
      </c>
      <c r="U383" s="69">
        <v>-0.73646085840581788</v>
      </c>
      <c r="V383" s="69">
        <v>-0.10471204188481675</v>
      </c>
      <c r="W383" s="69">
        <v>-6.8026944537589173E-2</v>
      </c>
      <c r="X383" s="69">
        <v>-0.26465719513107855</v>
      </c>
      <c r="Y383" s="69">
        <v>1.3185095470865025</v>
      </c>
      <c r="Z383" s="69">
        <v>1.2711267605633805</v>
      </c>
      <c r="AA383" s="69">
        <v>0.86458333333333326</v>
      </c>
      <c r="AB383" s="69">
        <v>0.91489605260465034</v>
      </c>
      <c r="AC383" s="69">
        <v>2.6983357821488418E-2</v>
      </c>
      <c r="AD383" s="133">
        <v>-0.12771389405573566</v>
      </c>
      <c r="AE383" s="133">
        <v>-0.26077985582245222</v>
      </c>
      <c r="AF383" s="133">
        <v>-0.52323169278380699</v>
      </c>
    </row>
    <row r="384" spans="1:32" x14ac:dyDescent="0.25">
      <c r="A384" t="s">
        <v>66</v>
      </c>
      <c r="B384" t="s">
        <v>241</v>
      </c>
      <c r="C384" s="31">
        <v>143</v>
      </c>
      <c r="D384" s="31">
        <v>116</v>
      </c>
      <c r="E384" s="65">
        <v>145</v>
      </c>
      <c r="F384" s="31">
        <v>118</v>
      </c>
      <c r="G384" s="66">
        <v>174115.07000000044</v>
      </c>
      <c r="H384" s="31">
        <v>111306.99000000035</v>
      </c>
      <c r="I384" s="65">
        <v>82478.279999999955</v>
      </c>
      <c r="J384" s="65">
        <v>62163.070000000313</v>
      </c>
      <c r="K384" s="31">
        <v>2036.7142857142858</v>
      </c>
      <c r="L384" s="31">
        <v>1217</v>
      </c>
      <c r="M384" s="67">
        <v>14.046305418719212</v>
      </c>
      <c r="N384" s="67">
        <v>10.635054021608644</v>
      </c>
      <c r="O384" s="68">
        <v>1200.7935862068996</v>
      </c>
      <c r="P384" s="68">
        <v>943.2795762711894</v>
      </c>
      <c r="Q384" s="69">
        <v>0.47369983540195426</v>
      </c>
      <c r="R384" s="69">
        <v>0.55433296019959377</v>
      </c>
      <c r="S384" s="31">
        <v>1050.1428571428571</v>
      </c>
      <c r="T384" s="31">
        <v>688</v>
      </c>
      <c r="U384" s="69">
        <v>0.63012090620964911</v>
      </c>
      <c r="V384" s="69">
        <v>0.21186440677966112</v>
      </c>
      <c r="W384" s="69">
        <v>0.54181772411597784</v>
      </c>
      <c r="X384" s="69">
        <v>0.3181137509816121</v>
      </c>
      <c r="Y384" s="69">
        <v>-3.7178891489816013E-2</v>
      </c>
      <c r="Z384" s="69">
        <v>-3.7534597988253648E-2</v>
      </c>
      <c r="AA384" s="69">
        <v>7.4074074074074181E-2</v>
      </c>
      <c r="AB384" s="69">
        <v>8.5318267435929851E-2</v>
      </c>
      <c r="AC384" s="69">
        <v>1.0468731750693294E-2</v>
      </c>
      <c r="AD384" s="133">
        <v>0.13797160093768843</v>
      </c>
      <c r="AE384" s="133">
        <v>-3.7578486426771057E-2</v>
      </c>
      <c r="AF384" s="133">
        <v>-0.11173570345713146</v>
      </c>
    </row>
    <row r="385" spans="1:32" x14ac:dyDescent="0.25">
      <c r="A385" t="s">
        <v>66</v>
      </c>
      <c r="B385" t="s">
        <v>242</v>
      </c>
      <c r="C385" s="31">
        <v>114</v>
      </c>
      <c r="D385" s="31">
        <v>130</v>
      </c>
      <c r="E385" s="65">
        <v>128</v>
      </c>
      <c r="F385" s="31">
        <v>131</v>
      </c>
      <c r="G385" s="66">
        <v>139832.6200000002</v>
      </c>
      <c r="H385" s="31">
        <v>145198.65000000017</v>
      </c>
      <c r="I385" s="65">
        <v>22859.399999999994</v>
      </c>
      <c r="J385" s="65">
        <v>75177.990000000107</v>
      </c>
      <c r="K385" s="31">
        <v>1509.8571428571429</v>
      </c>
      <c r="L385" s="31">
        <v>2137.2857142857142</v>
      </c>
      <c r="M385" s="67">
        <v>11.795758928571429</v>
      </c>
      <c r="N385" s="67">
        <v>16.299573560767591</v>
      </c>
      <c r="O385" s="68">
        <v>1092.4423437500016</v>
      </c>
      <c r="P385" s="68">
        <v>1108.3866412213754</v>
      </c>
      <c r="Q385" s="69">
        <v>0.16347687685462778</v>
      </c>
      <c r="R385" s="69">
        <v>0.50727861028665477</v>
      </c>
      <c r="S385" s="31">
        <v>675.57142857142856</v>
      </c>
      <c r="T385" s="31">
        <v>2375.4285714285716</v>
      </c>
      <c r="U385" s="69">
        <v>-0.31167702693670207</v>
      </c>
      <c r="V385" s="69">
        <v>-6.8702290076335881E-2</v>
      </c>
      <c r="W385" s="69">
        <v>-8.6706935636109539E-2</v>
      </c>
      <c r="X385" s="69">
        <v>-0.71252200050986347</v>
      </c>
      <c r="Y385" s="69">
        <v>-6.1201058939634789E-2</v>
      </c>
      <c r="Z385" s="69">
        <v>-6.7660550458715552E-2</v>
      </c>
      <c r="AA385" s="69">
        <v>0.30612244897959173</v>
      </c>
      <c r="AB385" s="69">
        <v>0.29389011791085129</v>
      </c>
      <c r="AC385" s="69">
        <v>-9.365378474504471E-3</v>
      </c>
      <c r="AD385" s="133">
        <v>-1.2096416302570301E-2</v>
      </c>
      <c r="AE385" s="133">
        <v>-0.22082508184278607</v>
      </c>
      <c r="AF385" s="133">
        <v>-0.71405462497330174</v>
      </c>
    </row>
    <row r="386" spans="1:32" x14ac:dyDescent="0.25">
      <c r="A386" t="s">
        <v>66</v>
      </c>
      <c r="B386" t="s">
        <v>245</v>
      </c>
      <c r="C386" s="31">
        <v>97</v>
      </c>
      <c r="D386" s="31">
        <v>68</v>
      </c>
      <c r="E386" s="65">
        <v>100</v>
      </c>
      <c r="F386" s="31">
        <v>69</v>
      </c>
      <c r="G386" s="66">
        <v>126249.85000000022</v>
      </c>
      <c r="H386" s="31">
        <v>86665.930000000051</v>
      </c>
      <c r="I386" s="65">
        <v>31574.319999999982</v>
      </c>
      <c r="J386" s="65">
        <v>40104.810000000078</v>
      </c>
      <c r="K386" s="31">
        <v>3021.8571428571427</v>
      </c>
      <c r="L386" s="31">
        <v>2897.8571428571427</v>
      </c>
      <c r="M386" s="67">
        <v>30.218571428571426</v>
      </c>
      <c r="N386" s="67">
        <v>42.020120724346079</v>
      </c>
      <c r="O386" s="68">
        <v>1262.4985000000022</v>
      </c>
      <c r="P386" s="68">
        <v>1256.0279710144935</v>
      </c>
      <c r="Q386" s="69">
        <v>0.25009392090366783</v>
      </c>
      <c r="R386" s="69">
        <v>0.45444940426109171</v>
      </c>
      <c r="S386" s="31">
        <v>14</v>
      </c>
      <c r="T386" s="31">
        <v>295.57142857142856</v>
      </c>
      <c r="U386" s="69">
        <v>1.3359625338920322E-2</v>
      </c>
      <c r="V386" s="69">
        <v>0.34782608695652173</v>
      </c>
      <c r="W386" s="69">
        <v>0.3673665072306973</v>
      </c>
      <c r="X386" s="69">
        <v>-0.28702455615353717</v>
      </c>
      <c r="Y386" s="69">
        <v>-2.5075905144000155E-2</v>
      </c>
      <c r="Z386" s="69">
        <v>-3.3491729872978215E-2</v>
      </c>
      <c r="AA386" s="69">
        <v>-0.13043478260869568</v>
      </c>
      <c r="AB386" s="69">
        <v>-2.714960892523488E-2</v>
      </c>
      <c r="AC386" s="69">
        <v>0.11877794973597977</v>
      </c>
      <c r="AD386" s="133">
        <v>0.65646834323349246</v>
      </c>
      <c r="AE386" s="133">
        <v>0.80665261456079373</v>
      </c>
      <c r="AF386" s="133">
        <v>8.5073158891813369E-2</v>
      </c>
    </row>
    <row r="387" spans="1:32" x14ac:dyDescent="0.25">
      <c r="A387" t="s">
        <v>66</v>
      </c>
      <c r="B387" t="s">
        <v>247</v>
      </c>
      <c r="C387" s="31">
        <v>77</v>
      </c>
      <c r="D387" s="31">
        <v>30</v>
      </c>
      <c r="E387" s="65">
        <v>84</v>
      </c>
      <c r="F387" s="31">
        <v>30</v>
      </c>
      <c r="G387" s="66">
        <v>114522.83000000005</v>
      </c>
      <c r="H387" s="31">
        <v>38991.340000000011</v>
      </c>
      <c r="I387" s="65">
        <v>26108.690000000021</v>
      </c>
      <c r="J387" s="65">
        <v>16732.619999999992</v>
      </c>
      <c r="K387" s="31">
        <v>1246.4285714285713</v>
      </c>
      <c r="L387" s="31">
        <v>1516.5714285714287</v>
      </c>
      <c r="M387" s="67">
        <v>14.838435374149659</v>
      </c>
      <c r="N387" s="67">
        <v>49.603686635944705</v>
      </c>
      <c r="O387" s="68">
        <v>1363.3670238095244</v>
      </c>
      <c r="P387" s="68">
        <v>1299.7113333333336</v>
      </c>
      <c r="Q387" s="69">
        <v>0.22797803721755749</v>
      </c>
      <c r="R387" s="69">
        <v>0.41580683342225488</v>
      </c>
      <c r="S387" s="31">
        <v>52.571428571428569</v>
      </c>
      <c r="T387" s="31">
        <v>1134.2857142857142</v>
      </c>
      <c r="U387" s="69">
        <v>-0.20610399397136403</v>
      </c>
      <c r="V387" s="69">
        <v>1.7000000000000002</v>
      </c>
      <c r="W387" s="69">
        <v>1.8298122095829483</v>
      </c>
      <c r="X387" s="69">
        <v>0.54166594663184608</v>
      </c>
      <c r="Y387" s="69">
        <v>-5.4088500615387836E-2</v>
      </c>
      <c r="Z387" s="69">
        <v>-5.9299191374663107E-2</v>
      </c>
      <c r="AA387" s="69">
        <v>0.35483870967741926</v>
      </c>
      <c r="AB387" s="69">
        <v>0.38612622635613025</v>
      </c>
      <c r="AC387" s="69">
        <v>2.3093167072381959E-2</v>
      </c>
      <c r="AD387" s="133">
        <v>0.81459975114060568</v>
      </c>
      <c r="AE387" s="133">
        <v>1.0317368976095982</v>
      </c>
      <c r="AF387" s="133">
        <v>0.42780096954245794</v>
      </c>
    </row>
    <row r="388" spans="1:32" x14ac:dyDescent="0.25">
      <c r="A388" t="s">
        <v>66</v>
      </c>
      <c r="B388" t="s">
        <v>246</v>
      </c>
      <c r="C388" s="31">
        <v>64</v>
      </c>
      <c r="D388" s="31">
        <v>74</v>
      </c>
      <c r="E388" s="65">
        <v>68</v>
      </c>
      <c r="F388" s="31">
        <v>76</v>
      </c>
      <c r="G388" s="66">
        <v>100955.7600000001</v>
      </c>
      <c r="H388" s="31">
        <v>91357.970000000088</v>
      </c>
      <c r="I388" s="65">
        <v>17017.059999999998</v>
      </c>
      <c r="J388" s="65">
        <v>37037.910000000127</v>
      </c>
      <c r="K388" s="31">
        <v>1535.7142857142858</v>
      </c>
      <c r="L388" s="31">
        <v>2247.7142857142858</v>
      </c>
      <c r="M388" s="67">
        <v>22.584033613445378</v>
      </c>
      <c r="N388" s="67">
        <v>29.943609022556391</v>
      </c>
      <c r="O388" s="68">
        <v>1484.6435294117662</v>
      </c>
      <c r="P388" s="68">
        <v>1202.0785526315801</v>
      </c>
      <c r="Q388" s="69">
        <v>0.1685595750059232</v>
      </c>
      <c r="R388" s="69">
        <v>0.40541520351207555</v>
      </c>
      <c r="S388" s="31">
        <v>7</v>
      </c>
      <c r="T388" s="31">
        <v>1441.8571428571429</v>
      </c>
      <c r="U388" s="69">
        <v>-0.32973179102580397</v>
      </c>
      <c r="V388" s="69">
        <v>-0.10526315789473684</v>
      </c>
      <c r="W388" s="69">
        <v>0.10505695343274368</v>
      </c>
      <c r="X388" s="69">
        <v>-0.54055020923156816</v>
      </c>
      <c r="Y388" s="69">
        <v>-4.0283115880489384E-2</v>
      </c>
      <c r="Z388" s="69">
        <v>-3.9921407519871388E-2</v>
      </c>
      <c r="AA388" s="69">
        <v>-0.12820512820512819</v>
      </c>
      <c r="AB388" s="69">
        <v>-0.13292792117695129</v>
      </c>
      <c r="AC388" s="69">
        <v>-5.4173213500322559E-3</v>
      </c>
      <c r="AD388" s="133">
        <v>8.7707624190617506E-2</v>
      </c>
      <c r="AE388" s="133">
        <v>5.9538216199951165E-2</v>
      </c>
      <c r="AF388" s="133">
        <v>-0.62591324648152569</v>
      </c>
    </row>
    <row r="389" spans="1:32" x14ac:dyDescent="0.25">
      <c r="A389" t="s">
        <v>66</v>
      </c>
      <c r="B389" t="s">
        <v>243</v>
      </c>
      <c r="C389" s="31">
        <v>34</v>
      </c>
      <c r="D389" s="31">
        <v>41</v>
      </c>
      <c r="E389" s="65">
        <v>35</v>
      </c>
      <c r="F389" s="31">
        <v>41</v>
      </c>
      <c r="G389" s="66">
        <v>71282.97</v>
      </c>
      <c r="H389" s="31">
        <v>71749.579999999987</v>
      </c>
      <c r="I389" s="65">
        <v>39690.69999999999</v>
      </c>
      <c r="J389" s="65">
        <v>44829.109999999993</v>
      </c>
      <c r="K389" s="31">
        <v>647.71428571428567</v>
      </c>
      <c r="L389" s="31">
        <v>702.42857142857144</v>
      </c>
      <c r="M389" s="67">
        <v>18.506122448979589</v>
      </c>
      <c r="N389" s="67">
        <v>16.642857142857142</v>
      </c>
      <c r="O389" s="68">
        <v>2036.6562857142858</v>
      </c>
      <c r="P389" s="68">
        <v>1749.9897560975608</v>
      </c>
      <c r="Q389" s="69">
        <v>0.5568048020445836</v>
      </c>
      <c r="R389" s="69">
        <v>0.58219963623164017</v>
      </c>
      <c r="S389" s="31">
        <v>6</v>
      </c>
      <c r="T389" s="31">
        <v>7</v>
      </c>
      <c r="U389" s="69">
        <v>-0.10290827740492181</v>
      </c>
      <c r="V389" s="69">
        <v>-0.17073170731707321</v>
      </c>
      <c r="W389" s="69">
        <v>-3.4377901584929038E-2</v>
      </c>
      <c r="X389" s="69">
        <v>-7.9266370252057516E-2</v>
      </c>
      <c r="Y389" s="69">
        <v>-6.4743509507652952E-2</v>
      </c>
      <c r="Z389" s="69">
        <v>-6.3223140495867858E-2</v>
      </c>
      <c r="AA389" s="69">
        <v>-0.30000000000000004</v>
      </c>
      <c r="AB389" s="69">
        <v>-0.29024234406219562</v>
      </c>
      <c r="AC389" s="69">
        <v>1.3939508482577745E-2</v>
      </c>
      <c r="AD389" s="133">
        <v>-0.62865667081156551</v>
      </c>
      <c r="AE389" s="133">
        <v>-0.5970898884048006</v>
      </c>
      <c r="AF389" s="133">
        <v>-0.5107390242987998</v>
      </c>
    </row>
    <row r="390" spans="1:32" x14ac:dyDescent="0.25">
      <c r="A390" t="s">
        <v>66</v>
      </c>
      <c r="B390" t="s">
        <v>741</v>
      </c>
      <c r="C390" s="31">
        <v>10</v>
      </c>
      <c r="D390" s="31"/>
      <c r="E390" s="65">
        <v>10</v>
      </c>
      <c r="F390" s="31"/>
      <c r="G390" s="66">
        <v>39166.58</v>
      </c>
      <c r="H390" s="31"/>
      <c r="I390" s="65">
        <v>15923.560000000001</v>
      </c>
      <c r="J390" s="65"/>
      <c r="K390" s="31">
        <v>892.85714285714289</v>
      </c>
      <c r="L390" s="31"/>
      <c r="M390" s="67">
        <v>89.285714285714292</v>
      </c>
      <c r="N390" s="67"/>
      <c r="O390" s="68">
        <v>3916.6580000000004</v>
      </c>
      <c r="P390" s="68"/>
      <c r="Q390" s="69">
        <v>0.40655987834526275</v>
      </c>
      <c r="R390" s="69"/>
      <c r="S390" s="31">
        <v>133.28571428571428</v>
      </c>
      <c r="T390" s="31"/>
      <c r="U390" s="69"/>
      <c r="V390" s="69"/>
      <c r="W390" s="69"/>
      <c r="X390" s="69"/>
      <c r="Y390" s="69">
        <v>-7.4638638055092299E-3</v>
      </c>
      <c r="Z390" s="69">
        <v>-7.4638716849292353E-3</v>
      </c>
      <c r="AA390" s="69">
        <v>0</v>
      </c>
      <c r="AB390" s="69">
        <v>1.0100598505271563E-2</v>
      </c>
      <c r="AC390" s="69">
        <v>1.0100598505271563E-2</v>
      </c>
      <c r="AD390" s="133">
        <v>-0.63871788201971158</v>
      </c>
      <c r="AE390" s="133">
        <v>-0.63893032930520133</v>
      </c>
      <c r="AF390" s="133">
        <v>-0.61816687242559298</v>
      </c>
    </row>
    <row r="391" spans="1:32" x14ac:dyDescent="0.25">
      <c r="A391" t="s">
        <v>66</v>
      </c>
      <c r="B391" t="s">
        <v>236</v>
      </c>
      <c r="C391" s="31">
        <v>8</v>
      </c>
      <c r="D391" s="31">
        <v>93</v>
      </c>
      <c r="E391" s="65">
        <v>8</v>
      </c>
      <c r="F391" s="31">
        <v>95</v>
      </c>
      <c r="G391" s="66">
        <v>20029.100000000002</v>
      </c>
      <c r="H391" s="31">
        <v>248415.1200000002</v>
      </c>
      <c r="I391" s="65">
        <v>399.88000000000096</v>
      </c>
      <c r="J391" s="65">
        <v>52367.06000000026</v>
      </c>
      <c r="K391" s="31">
        <v>877.28571428571433</v>
      </c>
      <c r="L391" s="31">
        <v>4305.2857142857147</v>
      </c>
      <c r="M391" s="67">
        <v>109.66071428571429</v>
      </c>
      <c r="N391" s="67">
        <v>43.530812324929968</v>
      </c>
      <c r="O391" s="68">
        <v>2503.6375000000003</v>
      </c>
      <c r="P391" s="68">
        <v>2614.896000000002</v>
      </c>
      <c r="Q391" s="69">
        <v>1.996495099630043E-2</v>
      </c>
      <c r="R391" s="69">
        <v>0.19711689533811461</v>
      </c>
      <c r="S391" s="31">
        <v>4</v>
      </c>
      <c r="T391" s="31">
        <v>7651.8571428571431</v>
      </c>
      <c r="U391" s="69">
        <v>-0.80572054285429873</v>
      </c>
      <c r="V391" s="69">
        <v>-0.9263157894736842</v>
      </c>
      <c r="W391" s="69">
        <v>-0.92675252617473525</v>
      </c>
      <c r="X391" s="69">
        <v>-0.98742424650469329</v>
      </c>
      <c r="Y391" s="69">
        <v>-5.0362366470755315E-3</v>
      </c>
      <c r="Z391" s="69">
        <v>-6.471444750040356E-3</v>
      </c>
      <c r="AA391" s="69">
        <v>-0.52941176470588236</v>
      </c>
      <c r="AB391" s="69">
        <v>-0.58200019909622003</v>
      </c>
      <c r="AC391" s="69">
        <v>-0.11175042307946748</v>
      </c>
      <c r="AD391" s="133">
        <v>-0.63949511290562433</v>
      </c>
      <c r="AE391" s="133">
        <v>-0.71058215623820531</v>
      </c>
      <c r="AF391" s="133">
        <v>-0.96247281406980756</v>
      </c>
    </row>
    <row r="392" spans="1:32" x14ac:dyDescent="0.25">
      <c r="A392" t="s">
        <v>66</v>
      </c>
      <c r="B392" t="s">
        <v>249</v>
      </c>
      <c r="C392" s="31">
        <v>14</v>
      </c>
      <c r="D392" s="31">
        <v>12</v>
      </c>
      <c r="E392" s="65">
        <v>33</v>
      </c>
      <c r="F392" s="31">
        <v>13</v>
      </c>
      <c r="G392" s="66">
        <v>3249.7000000000003</v>
      </c>
      <c r="H392" s="31">
        <v>2624.87</v>
      </c>
      <c r="I392" s="65">
        <v>1421.5100000000002</v>
      </c>
      <c r="J392" s="65">
        <v>1777.6599999999999</v>
      </c>
      <c r="K392" s="31">
        <v>843.57142857142856</v>
      </c>
      <c r="L392" s="31">
        <v>1389.7142857142858</v>
      </c>
      <c r="M392" s="67">
        <v>25.562770562770563</v>
      </c>
      <c r="N392" s="67">
        <v>108.43956043956044</v>
      </c>
      <c r="O392" s="68">
        <v>98.475757575757584</v>
      </c>
      <c r="P392" s="68">
        <v>201.91307692307691</v>
      </c>
      <c r="Q392" s="69">
        <v>0.4374280702834108</v>
      </c>
      <c r="R392" s="69">
        <v>0.67723734889727871</v>
      </c>
      <c r="S392" s="31"/>
      <c r="T392" s="31">
        <v>1</v>
      </c>
      <c r="U392" s="69">
        <v>-0.39298930921052633</v>
      </c>
      <c r="V392" s="69">
        <v>1.5384615384615383</v>
      </c>
      <c r="W392" s="69">
        <v>0.23804226495026426</v>
      </c>
      <c r="X392" s="69">
        <v>-0.20034764803168215</v>
      </c>
      <c r="Y392" s="69">
        <v>-5.3696762951536248E-2</v>
      </c>
      <c r="Z392" s="69">
        <v>-4.1396103896103931E-2</v>
      </c>
      <c r="AA392" s="69">
        <v>0.83333333333333326</v>
      </c>
      <c r="AB392" s="69">
        <v>0.36840420917883954</v>
      </c>
      <c r="AC392" s="69">
        <v>-0.25359770408426929</v>
      </c>
      <c r="AD392" s="133"/>
      <c r="AE392" s="133"/>
      <c r="AF392" s="133"/>
    </row>
    <row r="393" spans="1:32" x14ac:dyDescent="0.25">
      <c r="A393" t="s">
        <v>66</v>
      </c>
      <c r="B393" t="s">
        <v>248</v>
      </c>
      <c r="C393" s="31"/>
      <c r="D393" s="31">
        <v>6</v>
      </c>
      <c r="E393" s="65"/>
      <c r="F393" s="31">
        <v>6</v>
      </c>
      <c r="G393" s="66"/>
      <c r="H393" s="31">
        <v>3833.2799999999993</v>
      </c>
      <c r="I393" s="65"/>
      <c r="J393" s="65">
        <v>2220.3799999999992</v>
      </c>
      <c r="K393" s="31">
        <v>92</v>
      </c>
      <c r="L393" s="31">
        <v>201.71428571428572</v>
      </c>
      <c r="M393" s="67"/>
      <c r="N393" s="67">
        <v>34.952380952380956</v>
      </c>
      <c r="O393" s="68"/>
      <c r="P393" s="68">
        <v>638.87999999999988</v>
      </c>
      <c r="Q393" s="69"/>
      <c r="R393" s="69">
        <v>0.57923762417564062</v>
      </c>
      <c r="S393" s="31"/>
      <c r="T393" s="31">
        <v>13</v>
      </c>
      <c r="U393" s="69">
        <v>-0.5439093484419264</v>
      </c>
      <c r="V393" s="69"/>
      <c r="W393" s="69"/>
      <c r="X393" s="69"/>
      <c r="Y393" s="69">
        <v>-5.152284071648916E-4</v>
      </c>
      <c r="Z393" s="69">
        <v>-3.0959752321981782E-3</v>
      </c>
      <c r="AA393" s="69"/>
      <c r="AB393" s="69"/>
      <c r="AC393" s="69"/>
      <c r="AD393" s="133"/>
      <c r="AE393" s="133"/>
      <c r="AF393" s="133"/>
    </row>
    <row r="394" spans="1:32" x14ac:dyDescent="0.25">
      <c r="A394" t="s">
        <v>66</v>
      </c>
      <c r="B394" t="s">
        <v>744</v>
      </c>
      <c r="C394" s="31"/>
      <c r="D394" s="31"/>
      <c r="E394" s="65"/>
      <c r="F394" s="31"/>
      <c r="G394" s="66"/>
      <c r="H394" s="31"/>
      <c r="I394" s="65"/>
      <c r="J394" s="65"/>
      <c r="K394" s="31"/>
      <c r="L394" s="31"/>
      <c r="M394" s="67"/>
      <c r="N394" s="67"/>
      <c r="O394" s="68"/>
      <c r="P394" s="68"/>
      <c r="Q394" s="69"/>
      <c r="R394" s="69"/>
      <c r="S394" s="31">
        <v>567.42857142857144</v>
      </c>
      <c r="T394" s="31"/>
      <c r="U394" s="69"/>
      <c r="V394" s="69"/>
      <c r="W394" s="69"/>
      <c r="X394" s="69"/>
      <c r="Y394" s="69"/>
      <c r="Z394" s="69"/>
      <c r="AA394" s="69"/>
      <c r="AB394" s="69"/>
      <c r="AC394" s="69"/>
      <c r="AD394" s="133"/>
      <c r="AE394" s="133"/>
      <c r="AF394" s="133"/>
    </row>
    <row r="395" spans="1:32" x14ac:dyDescent="0.25">
      <c r="A395" t="s">
        <v>66</v>
      </c>
      <c r="B395" t="s">
        <v>745</v>
      </c>
      <c r="C395" s="31"/>
      <c r="D395" s="31"/>
      <c r="E395" s="65"/>
      <c r="F395" s="31"/>
      <c r="G395" s="66"/>
      <c r="H395" s="31"/>
      <c r="I395" s="65"/>
      <c r="J395" s="65"/>
      <c r="K395" s="31"/>
      <c r="L395" s="31"/>
      <c r="M395" s="67"/>
      <c r="N395" s="67"/>
      <c r="O395" s="68"/>
      <c r="P395" s="68"/>
      <c r="Q395" s="69"/>
      <c r="R395" s="69"/>
      <c r="S395" s="31">
        <v>123.42857142857143</v>
      </c>
      <c r="T395" s="31"/>
      <c r="U395" s="69"/>
      <c r="V395" s="69"/>
      <c r="W395" s="69"/>
      <c r="X395" s="69"/>
      <c r="Y395" s="69"/>
      <c r="Z395" s="69"/>
      <c r="AA395" s="69"/>
      <c r="AB395" s="69"/>
      <c r="AC395" s="69"/>
      <c r="AD395" s="133"/>
      <c r="AE395" s="133"/>
      <c r="AF395" s="133"/>
    </row>
    <row r="396" spans="1:32" x14ac:dyDescent="0.25">
      <c r="A396" t="s">
        <v>66</v>
      </c>
      <c r="B396" t="s">
        <v>743</v>
      </c>
      <c r="C396" s="31"/>
      <c r="D396" s="31"/>
      <c r="E396" s="65"/>
      <c r="F396" s="31"/>
      <c r="G396" s="66"/>
      <c r="H396" s="31"/>
      <c r="I396" s="65"/>
      <c r="J396" s="65"/>
      <c r="K396" s="31">
        <v>5</v>
      </c>
      <c r="L396" s="31">
        <v>4</v>
      </c>
      <c r="M396" s="67"/>
      <c r="N396" s="67"/>
      <c r="O396" s="68"/>
      <c r="P396" s="68"/>
      <c r="Q396" s="69"/>
      <c r="R396" s="69"/>
      <c r="S396" s="31"/>
      <c r="T396" s="31"/>
      <c r="U396" s="69">
        <v>0.25</v>
      </c>
      <c r="V396" s="69"/>
      <c r="W396" s="69"/>
      <c r="X396" s="69"/>
      <c r="Y396" s="69">
        <v>0</v>
      </c>
      <c r="Z396" s="69">
        <v>0</v>
      </c>
      <c r="AA396" s="69"/>
      <c r="AB396" s="69"/>
      <c r="AC396" s="69"/>
      <c r="AD396" s="133"/>
      <c r="AE396" s="133"/>
      <c r="AF396" s="133"/>
    </row>
    <row r="397" spans="1:32" x14ac:dyDescent="0.25">
      <c r="A397" t="s">
        <v>66</v>
      </c>
      <c r="B397" t="s">
        <v>812</v>
      </c>
      <c r="C397" s="31"/>
      <c r="D397" s="31"/>
      <c r="E397" s="65"/>
      <c r="F397" s="31"/>
      <c r="G397" s="66"/>
      <c r="H397" s="31"/>
      <c r="I397" s="65"/>
      <c r="J397" s="65"/>
      <c r="K397" s="31"/>
      <c r="L397" s="31"/>
      <c r="M397" s="67"/>
      <c r="N397" s="67"/>
      <c r="O397" s="68"/>
      <c r="P397" s="68"/>
      <c r="Q397" s="69"/>
      <c r="R397" s="69"/>
      <c r="S397" s="31"/>
      <c r="T397" s="31">
        <v>3</v>
      </c>
      <c r="U397" s="69"/>
      <c r="V397" s="69"/>
      <c r="W397" s="69"/>
      <c r="X397" s="69"/>
      <c r="Y397" s="69"/>
      <c r="Z397" s="69"/>
      <c r="AA397" s="69"/>
      <c r="AB397" s="69"/>
      <c r="AC397" s="69"/>
      <c r="AD397" s="133"/>
      <c r="AE397" s="133"/>
      <c r="AF397" s="133"/>
    </row>
    <row r="398" spans="1:32" x14ac:dyDescent="0.25">
      <c r="A398" t="s">
        <v>66</v>
      </c>
      <c r="B398" t="s">
        <v>742</v>
      </c>
      <c r="C398" s="31"/>
      <c r="D398" s="31"/>
      <c r="E398" s="65"/>
      <c r="F398" s="31"/>
      <c r="G398" s="66"/>
      <c r="H398" s="31"/>
      <c r="I398" s="65"/>
      <c r="J398" s="65"/>
      <c r="K398" s="31">
        <v>-1</v>
      </c>
      <c r="L398" s="31"/>
      <c r="M398" s="67"/>
      <c r="N398" s="67"/>
      <c r="O398" s="68"/>
      <c r="P398" s="68"/>
      <c r="Q398" s="69"/>
      <c r="R398" s="69"/>
      <c r="S398" s="31">
        <v>4</v>
      </c>
      <c r="T398" s="31"/>
      <c r="U398" s="69"/>
      <c r="V398" s="69"/>
      <c r="W398" s="69"/>
      <c r="X398" s="69"/>
      <c r="Y398" s="69">
        <v>0</v>
      </c>
      <c r="Z398" s="69">
        <v>0</v>
      </c>
      <c r="AA398" s="69"/>
      <c r="AB398" s="69"/>
      <c r="AC398" s="69"/>
      <c r="AD398" s="133"/>
      <c r="AE398" s="133"/>
      <c r="AF398" s="133"/>
    </row>
    <row r="399" spans="1:32" x14ac:dyDescent="0.25">
      <c r="A399" s="129" t="s">
        <v>813</v>
      </c>
      <c r="B399" s="129"/>
      <c r="C399" s="120">
        <v>3871</v>
      </c>
      <c r="D399" s="120">
        <v>5254</v>
      </c>
      <c r="E399" s="119">
        <v>4275</v>
      </c>
      <c r="F399" s="120">
        <v>5744</v>
      </c>
      <c r="G399" s="120">
        <v>8075879.830000232</v>
      </c>
      <c r="H399" s="120">
        <v>9073762.1100006867</v>
      </c>
      <c r="I399" s="119">
        <v>2796736.6099999966</v>
      </c>
      <c r="J399" s="119">
        <v>3177419.6900007315</v>
      </c>
      <c r="K399" s="120">
        <v>71677.571428571435</v>
      </c>
      <c r="L399" s="120">
        <v>80147.428571428565</v>
      </c>
      <c r="M399" s="131">
        <v>16.766683375104428</v>
      </c>
      <c r="N399" s="131">
        <v>14.076142008966437</v>
      </c>
      <c r="O399" s="130">
        <v>1889.0946970760776</v>
      </c>
      <c r="P399" s="130">
        <v>1579.6939606547157</v>
      </c>
      <c r="Q399" s="132">
        <v>0.34630735831539933</v>
      </c>
      <c r="R399" s="132">
        <v>0.34162958666265036</v>
      </c>
      <c r="S399" s="120">
        <v>49094.571428571428</v>
      </c>
      <c r="T399" s="120">
        <v>50943.428571428572</v>
      </c>
      <c r="U399" s="132">
        <v>-0.12995337164368514</v>
      </c>
      <c r="V399" s="132">
        <v>-0.27472144846796653</v>
      </c>
      <c r="W399" s="132">
        <v>-0.13260612912413228</v>
      </c>
      <c r="X399" s="132">
        <v>-0.12054977678247492</v>
      </c>
      <c r="Y399" s="132">
        <v>-2.0444887100273923E-2</v>
      </c>
      <c r="Z399" s="132">
        <v>-1.559376171052651E-2</v>
      </c>
      <c r="AA399" s="132">
        <v>1.761485360628412E-2</v>
      </c>
      <c r="AB399" s="132">
        <v>6.6001429725108363E-2</v>
      </c>
      <c r="AC399" s="132">
        <v>4.754900731583156E-2</v>
      </c>
      <c r="AD399" s="134">
        <v>-0.21341819143480278</v>
      </c>
      <c r="AE399" s="134">
        <v>-0.23088297188008308</v>
      </c>
      <c r="AF399" s="134">
        <v>-0.32518232791673057</v>
      </c>
    </row>
    <row r="400" spans="1:32" x14ac:dyDescent="0.25">
      <c r="A400" t="s">
        <v>90</v>
      </c>
      <c r="B400" t="s">
        <v>542</v>
      </c>
      <c r="C400" s="31">
        <v>6569</v>
      </c>
      <c r="D400" s="31">
        <v>8056</v>
      </c>
      <c r="E400" s="65">
        <v>9380</v>
      </c>
      <c r="F400" s="31">
        <v>12560</v>
      </c>
      <c r="G400" s="66">
        <v>4580110.550000309</v>
      </c>
      <c r="H400" s="31">
        <v>4411256.1000003284</v>
      </c>
      <c r="I400" s="65">
        <v>2589024.2600000217</v>
      </c>
      <c r="J400" s="65">
        <v>1717827.5400003321</v>
      </c>
      <c r="K400" s="31">
        <v>125459.57142857143</v>
      </c>
      <c r="L400" s="31">
        <v>193240.71428571429</v>
      </c>
      <c r="M400" s="67">
        <v>13.375220834602498</v>
      </c>
      <c r="N400" s="67">
        <v>15.679023152980259</v>
      </c>
      <c r="O400" s="68">
        <v>488.28470682306067</v>
      </c>
      <c r="P400" s="68">
        <v>351.21465764333823</v>
      </c>
      <c r="Q400" s="69">
        <v>0.56527549536983268</v>
      </c>
      <c r="R400" s="69">
        <v>0.38437931838731004</v>
      </c>
      <c r="S400" s="31">
        <v>140989.42857142858</v>
      </c>
      <c r="T400" s="31">
        <v>141458.57142857142</v>
      </c>
      <c r="U400" s="69">
        <v>-0.37201122212488491</v>
      </c>
      <c r="V400" s="69">
        <v>-0.26910828025477707</v>
      </c>
      <c r="W400" s="69">
        <v>1.5796498416844607E-2</v>
      </c>
      <c r="X400" s="69">
        <v>0.49338912056139339</v>
      </c>
      <c r="Y400" s="69">
        <v>2.0197072286916029E-2</v>
      </c>
      <c r="Z400" s="69">
        <v>1.5715541849758985E-3</v>
      </c>
      <c r="AA400" s="69">
        <v>0.19826264690853357</v>
      </c>
      <c r="AB400" s="69">
        <v>0.13007560435368926</v>
      </c>
      <c r="AC400" s="69">
        <v>-5.6904922080950993E-2</v>
      </c>
      <c r="AD400" s="133">
        <v>-0.41109803088823471</v>
      </c>
      <c r="AE400" s="133">
        <v>-0.31898589305460701</v>
      </c>
      <c r="AF400" s="133">
        <v>-0.15419922333074099</v>
      </c>
    </row>
    <row r="401" spans="1:32" x14ac:dyDescent="0.25">
      <c r="A401" t="s">
        <v>90</v>
      </c>
      <c r="B401" t="s">
        <v>543</v>
      </c>
      <c r="C401" s="31">
        <v>5153</v>
      </c>
      <c r="D401" s="31">
        <v>6230</v>
      </c>
      <c r="E401" s="65">
        <v>8201</v>
      </c>
      <c r="F401" s="31">
        <v>11439</v>
      </c>
      <c r="G401" s="66">
        <v>2062208.2399999667</v>
      </c>
      <c r="H401" s="31">
        <v>1616395.4699999688</v>
      </c>
      <c r="I401" s="65">
        <v>1306352.1400000097</v>
      </c>
      <c r="J401" s="65">
        <v>695736.26999997627</v>
      </c>
      <c r="K401" s="31">
        <v>101390.42857142857</v>
      </c>
      <c r="L401" s="31">
        <v>115661.14285714286</v>
      </c>
      <c r="M401" s="67">
        <v>12.36317870642953</v>
      </c>
      <c r="N401" s="67">
        <v>10.312194400995159</v>
      </c>
      <c r="O401" s="68">
        <v>251.45814412876072</v>
      </c>
      <c r="P401" s="68">
        <v>141.30566220823226</v>
      </c>
      <c r="Q401" s="69">
        <v>0.63347246638876331</v>
      </c>
      <c r="R401" s="69">
        <v>0.42378722387904727</v>
      </c>
      <c r="S401" s="31">
        <v>62446.857142857145</v>
      </c>
      <c r="T401" s="31">
        <v>61411</v>
      </c>
      <c r="U401" s="69">
        <v>-0.14703172321115376</v>
      </c>
      <c r="V401" s="69">
        <v>-0.29941428446542528</v>
      </c>
      <c r="W401" s="69">
        <v>0.24799547353347173</v>
      </c>
      <c r="X401" s="69">
        <v>0.86545564203575376</v>
      </c>
      <c r="Y401" s="69">
        <v>-5.2813252583699399E-2</v>
      </c>
      <c r="Z401" s="69">
        <v>-5.3066882630849355E-2</v>
      </c>
      <c r="AA401" s="69">
        <v>0.18408894022523814</v>
      </c>
      <c r="AB401" s="69">
        <v>0.19376196510469512</v>
      </c>
      <c r="AC401" s="69">
        <v>8.1691708712494648E-3</v>
      </c>
      <c r="AD401" s="133">
        <v>-0.41094956201934357</v>
      </c>
      <c r="AE401" s="133">
        <v>-0.29569276173862286</v>
      </c>
      <c r="AF401" s="133">
        <v>-0.12243506977080373</v>
      </c>
    </row>
    <row r="402" spans="1:32" x14ac:dyDescent="0.25">
      <c r="A402" t="s">
        <v>90</v>
      </c>
      <c r="B402" t="s">
        <v>544</v>
      </c>
      <c r="C402" s="31">
        <v>323</v>
      </c>
      <c r="D402" s="31">
        <v>829</v>
      </c>
      <c r="E402" s="65">
        <v>388</v>
      </c>
      <c r="F402" s="31">
        <v>1006</v>
      </c>
      <c r="G402" s="66">
        <v>175055.10000000027</v>
      </c>
      <c r="H402" s="31">
        <v>486084.46000000159</v>
      </c>
      <c r="I402" s="65">
        <v>70269.389999999941</v>
      </c>
      <c r="J402" s="65">
        <v>222000.27000000211</v>
      </c>
      <c r="K402" s="31">
        <v>5288.1428571428569</v>
      </c>
      <c r="L402" s="31">
        <v>21533.571428571428</v>
      </c>
      <c r="M402" s="67">
        <v>13.62923416789396</v>
      </c>
      <c r="N402" s="67">
        <v>21.732335245557579</v>
      </c>
      <c r="O402" s="68">
        <v>451.1729381443306</v>
      </c>
      <c r="P402" s="68">
        <v>483.18534791252642</v>
      </c>
      <c r="Q402" s="69">
        <v>0.40141298368342215</v>
      </c>
      <c r="R402" s="69">
        <v>0.45059819882723112</v>
      </c>
      <c r="S402" s="31">
        <v>1010.2857142857143</v>
      </c>
      <c r="T402" s="31">
        <v>7910.7142857142853</v>
      </c>
      <c r="U402" s="69">
        <v>-0.78419079842107009</v>
      </c>
      <c r="V402" s="69">
        <v>-0.64711729622266401</v>
      </c>
      <c r="W402" s="69">
        <v>-0.67414771910215032</v>
      </c>
      <c r="X402" s="69">
        <v>-0.71269593591570524</v>
      </c>
      <c r="Y402" s="69">
        <v>-6.9066466419213657E-2</v>
      </c>
      <c r="Z402" s="69">
        <v>-6.7863618049959662E-2</v>
      </c>
      <c r="AA402" s="69">
        <v>0.25974025974025983</v>
      </c>
      <c r="AB402" s="69">
        <v>0.34764212225471791</v>
      </c>
      <c r="AC402" s="69">
        <v>6.9777767150652314E-2</v>
      </c>
      <c r="AD402" s="133"/>
      <c r="AE402" s="133"/>
      <c r="AF402" s="133"/>
    </row>
    <row r="403" spans="1:32" x14ac:dyDescent="0.25">
      <c r="A403" t="s">
        <v>90</v>
      </c>
      <c r="B403" t="s">
        <v>545</v>
      </c>
      <c r="C403" s="31">
        <v>233</v>
      </c>
      <c r="D403" s="31">
        <v>62</v>
      </c>
      <c r="E403" s="65">
        <v>382</v>
      </c>
      <c r="F403" s="31">
        <v>73</v>
      </c>
      <c r="G403" s="66">
        <v>33744.559999999969</v>
      </c>
      <c r="H403" s="31">
        <v>16096.250000000002</v>
      </c>
      <c r="I403" s="65">
        <v>-28685.5</v>
      </c>
      <c r="J403" s="65">
        <v>3097.6999999999989</v>
      </c>
      <c r="K403" s="31">
        <v>3087.1428571428573</v>
      </c>
      <c r="L403" s="31">
        <v>6236.5714285714284</v>
      </c>
      <c r="M403" s="67">
        <v>8.0815258040388933</v>
      </c>
      <c r="N403" s="67">
        <v>87.215238095238092</v>
      </c>
      <c r="O403" s="68">
        <v>88.336544502617713</v>
      </c>
      <c r="P403" s="68">
        <v>220.49657534246577</v>
      </c>
      <c r="Q403" s="69">
        <v>-0.8500777606820189</v>
      </c>
      <c r="R403" s="69">
        <v>0.18716372369832177</v>
      </c>
      <c r="S403" s="31">
        <v>1215.1428571428571</v>
      </c>
      <c r="T403" s="31">
        <v>16345.571428571429</v>
      </c>
      <c r="U403" s="69">
        <v>-0.51108667766171889</v>
      </c>
      <c r="V403" s="69">
        <v>4.0684931506849313</v>
      </c>
      <c r="W403" s="69">
        <v>1.0278089617146824</v>
      </c>
      <c r="X403" s="69">
        <v>-10.255120882040364</v>
      </c>
      <c r="Y403" s="69">
        <v>-0.11519083325300539</v>
      </c>
      <c r="Z403" s="69">
        <v>-0.1149971332623474</v>
      </c>
      <c r="AA403" s="69">
        <v>0.13353115727002973</v>
      </c>
      <c r="AB403" s="69">
        <v>0.1445227706868093</v>
      </c>
      <c r="AC403" s="69">
        <v>9.6967898467401614E-3</v>
      </c>
      <c r="AD403" s="133"/>
      <c r="AE403" s="133"/>
      <c r="AF403" s="133"/>
    </row>
    <row r="404" spans="1:32" x14ac:dyDescent="0.25">
      <c r="A404" t="s">
        <v>90</v>
      </c>
      <c r="B404" t="s">
        <v>546</v>
      </c>
      <c r="C404" s="31">
        <v>57</v>
      </c>
      <c r="D404" s="31">
        <v>89</v>
      </c>
      <c r="E404" s="65">
        <v>123</v>
      </c>
      <c r="F404" s="31">
        <v>139</v>
      </c>
      <c r="G404" s="66">
        <v>31152.250000000015</v>
      </c>
      <c r="H404" s="31">
        <v>37273.389999999963</v>
      </c>
      <c r="I404" s="65">
        <v>2119.1899999999996</v>
      </c>
      <c r="J404" s="65">
        <v>4646.0999999999622</v>
      </c>
      <c r="K404" s="31">
        <v>714.71428571428567</v>
      </c>
      <c r="L404" s="31">
        <v>5325.1428571428569</v>
      </c>
      <c r="M404" s="67">
        <v>5.81068524970964</v>
      </c>
      <c r="N404" s="67">
        <v>39.387755102040821</v>
      </c>
      <c r="O404" s="68">
        <v>253.27032520325216</v>
      </c>
      <c r="P404" s="68">
        <v>268.15388489208607</v>
      </c>
      <c r="Q404" s="69">
        <v>6.8026868043239208E-2</v>
      </c>
      <c r="R404" s="69">
        <v>0.1237438775265598</v>
      </c>
      <c r="S404" s="31">
        <v>2</v>
      </c>
      <c r="T404" s="31">
        <v>12504.857142857143</v>
      </c>
      <c r="U404" s="69">
        <v>-0.86618735915870804</v>
      </c>
      <c r="V404" s="69">
        <v>-0.1151079136690647</v>
      </c>
      <c r="W404" s="69">
        <v>-0.16422278735580409</v>
      </c>
      <c r="X404" s="69">
        <v>-0.54014525680334402</v>
      </c>
      <c r="Y404" s="69">
        <v>-0.14114749526457093</v>
      </c>
      <c r="Z404" s="69">
        <v>-0.13815676141257549</v>
      </c>
      <c r="AA404" s="69">
        <v>0.75714285714285712</v>
      </c>
      <c r="AB404" s="69">
        <v>0.86315278902499948</v>
      </c>
      <c r="AC404" s="69">
        <v>6.0330855542682693E-2</v>
      </c>
      <c r="AD404" s="133"/>
      <c r="AE404" s="133"/>
      <c r="AF404" s="133"/>
    </row>
    <row r="405" spans="1:32" x14ac:dyDescent="0.25">
      <c r="A405" t="s">
        <v>90</v>
      </c>
      <c r="B405" t="s">
        <v>90</v>
      </c>
      <c r="C405" s="31">
        <v>74</v>
      </c>
      <c r="D405" s="31">
        <v>290</v>
      </c>
      <c r="E405" s="65">
        <v>98</v>
      </c>
      <c r="F405" s="31">
        <v>428</v>
      </c>
      <c r="G405" s="66">
        <v>26969.179999999997</v>
      </c>
      <c r="H405" s="31">
        <v>121284.51000000014</v>
      </c>
      <c r="I405" s="65">
        <v>6132.380000000001</v>
      </c>
      <c r="J405" s="65">
        <v>61677.400000000111</v>
      </c>
      <c r="K405" s="31">
        <v>1477.4285714285713</v>
      </c>
      <c r="L405" s="31">
        <v>10457.714285714286</v>
      </c>
      <c r="M405" s="67">
        <v>15.075801749271136</v>
      </c>
      <c r="N405" s="67">
        <v>25.357637743319039</v>
      </c>
      <c r="O405" s="68">
        <v>275.19571428571425</v>
      </c>
      <c r="P405" s="68">
        <v>283.37502336448631</v>
      </c>
      <c r="Q405" s="69">
        <v>0.22738474065581532</v>
      </c>
      <c r="R405" s="69">
        <v>0.49973246009344974</v>
      </c>
      <c r="S405" s="31">
        <v>684</v>
      </c>
      <c r="T405" s="31">
        <v>7319.7142857142853</v>
      </c>
      <c r="U405" s="69">
        <v>-0.87502049068356924</v>
      </c>
      <c r="V405" s="69">
        <v>-0.78504672897196259</v>
      </c>
      <c r="W405" s="69">
        <v>-0.78827609560363499</v>
      </c>
      <c r="X405" s="69">
        <v>-0.90363195369839966</v>
      </c>
      <c r="Y405" s="69">
        <v>-7.4123601048177723E-2</v>
      </c>
      <c r="Z405" s="69">
        <v>-8.4373616644533134E-2</v>
      </c>
      <c r="AA405" s="69">
        <v>-0.11711711711711714</v>
      </c>
      <c r="AB405" s="69">
        <v>-4.665319851037264E-2</v>
      </c>
      <c r="AC405" s="69">
        <v>7.9811173115802436E-2</v>
      </c>
      <c r="AD405" s="133"/>
      <c r="AE405" s="133"/>
      <c r="AF405" s="133"/>
    </row>
    <row r="406" spans="1:32" x14ac:dyDescent="0.25">
      <c r="A406" t="s">
        <v>90</v>
      </c>
      <c r="B406" t="s">
        <v>547</v>
      </c>
      <c r="C406" s="31">
        <v>5</v>
      </c>
      <c r="D406" s="31">
        <v>4</v>
      </c>
      <c r="E406" s="65">
        <v>5</v>
      </c>
      <c r="F406" s="31">
        <v>5</v>
      </c>
      <c r="G406" s="66">
        <v>672.68000000000006</v>
      </c>
      <c r="H406" s="31">
        <v>496.32</v>
      </c>
      <c r="I406" s="65">
        <v>315.39999999999998</v>
      </c>
      <c r="J406" s="65">
        <v>80.19</v>
      </c>
      <c r="K406" s="31">
        <v>230.14285714285714</v>
      </c>
      <c r="L406" s="31">
        <v>166.57142857142858</v>
      </c>
      <c r="M406" s="67">
        <v>46.028571428571425</v>
      </c>
      <c r="N406" s="67">
        <v>33.571428571428569</v>
      </c>
      <c r="O406" s="68">
        <v>134.536</v>
      </c>
      <c r="P406" s="68">
        <v>99.263999999999996</v>
      </c>
      <c r="Q406" s="69">
        <v>0.46887078551465772</v>
      </c>
      <c r="R406" s="69">
        <v>0.16156914893617022</v>
      </c>
      <c r="S406" s="31">
        <v>116</v>
      </c>
      <c r="T406" s="31">
        <v>196.57142857142858</v>
      </c>
      <c r="U406" s="69">
        <v>0.38679245283018848</v>
      </c>
      <c r="V406" s="69">
        <v>0</v>
      </c>
      <c r="W406" s="69">
        <v>0.35533526756931022</v>
      </c>
      <c r="X406" s="69">
        <v>2.9331587479735641</v>
      </c>
      <c r="Y406" s="69">
        <v>-2.2864608499132633E-2</v>
      </c>
      <c r="Z406" s="69">
        <v>-3.1268791340950175E-2</v>
      </c>
      <c r="AA406" s="69">
        <v>-0.16666666666666663</v>
      </c>
      <c r="AB406" s="69">
        <v>0.45623795813218448</v>
      </c>
      <c r="AC406" s="69">
        <v>0.74748554975862125</v>
      </c>
      <c r="AD406" s="133"/>
      <c r="AE406" s="133"/>
      <c r="AF406" s="133"/>
    </row>
    <row r="407" spans="1:32" x14ac:dyDescent="0.25">
      <c r="A407" t="s">
        <v>90</v>
      </c>
      <c r="B407" t="s">
        <v>548</v>
      </c>
      <c r="C407" s="31"/>
      <c r="D407" s="31"/>
      <c r="E407" s="65"/>
      <c r="F407" s="31"/>
      <c r="G407" s="66"/>
      <c r="H407" s="31"/>
      <c r="I407" s="65"/>
      <c r="J407" s="65"/>
      <c r="K407" s="31">
        <v>1</v>
      </c>
      <c r="L407" s="31">
        <v>1.2857142857142858</v>
      </c>
      <c r="M407" s="67"/>
      <c r="N407" s="67"/>
      <c r="O407" s="68"/>
      <c r="P407" s="68"/>
      <c r="Q407" s="69"/>
      <c r="R407" s="69"/>
      <c r="S407" s="31"/>
      <c r="T407" s="31"/>
      <c r="U407" s="69">
        <v>-0.22222222222222232</v>
      </c>
      <c r="V407" s="69"/>
      <c r="W407" s="69"/>
      <c r="X407" s="69"/>
      <c r="Y407" s="69">
        <v>0</v>
      </c>
      <c r="Z407" s="69">
        <v>0</v>
      </c>
      <c r="AA407" s="69"/>
      <c r="AB407" s="69"/>
      <c r="AC407" s="69"/>
      <c r="AD407" s="133"/>
      <c r="AE407" s="133"/>
      <c r="AF407" s="133"/>
    </row>
    <row r="408" spans="1:32" x14ac:dyDescent="0.25">
      <c r="A408" s="129" t="s">
        <v>815</v>
      </c>
      <c r="B408" s="129"/>
      <c r="C408" s="120">
        <v>10192</v>
      </c>
      <c r="D408" s="120">
        <v>13028</v>
      </c>
      <c r="E408" s="119">
        <v>18577</v>
      </c>
      <c r="F408" s="120">
        <v>25650</v>
      </c>
      <c r="G408" s="120">
        <v>6909912.5600000061</v>
      </c>
      <c r="H408" s="120">
        <v>6688886.5000005346</v>
      </c>
      <c r="I408" s="119">
        <v>3945527.2600000012</v>
      </c>
      <c r="J408" s="119">
        <v>2705065.4700004123</v>
      </c>
      <c r="K408" s="120">
        <v>237648.57142857142</v>
      </c>
      <c r="L408" s="120">
        <v>352622.71428571426</v>
      </c>
      <c r="M408" s="131">
        <v>12.792623751336137</v>
      </c>
      <c r="N408" s="131">
        <v>14.021333523794873</v>
      </c>
      <c r="O408" s="130">
        <v>371.96062658125675</v>
      </c>
      <c r="P408" s="130">
        <v>260.77530214427037</v>
      </c>
      <c r="Q408" s="132">
        <v>0.57099525149418073</v>
      </c>
      <c r="R408" s="132">
        <v>0.39888902230911699</v>
      </c>
      <c r="S408" s="120">
        <v>206463.71428571429</v>
      </c>
      <c r="T408" s="120">
        <v>247147</v>
      </c>
      <c r="U408" s="132">
        <v>-0.34786957650811734</v>
      </c>
      <c r="V408" s="132">
        <v>-0.29282651072124755</v>
      </c>
      <c r="W408" s="132">
        <v>8.6474542510912578E-3</v>
      </c>
      <c r="X408" s="132">
        <v>0.44476607788313061</v>
      </c>
      <c r="Y408" s="132">
        <v>-6.2824587055192449E-3</v>
      </c>
      <c r="Z408" s="132">
        <v>-2.6740445787206801E-2</v>
      </c>
      <c r="AA408" s="132">
        <v>0.19190298986269738</v>
      </c>
      <c r="AB408" s="132">
        <v>0.15448773070432065</v>
      </c>
      <c r="AC408" s="132">
        <v>-3.1391194985329052E-2</v>
      </c>
      <c r="AD408" s="134">
        <v>-0.37766234687887396</v>
      </c>
      <c r="AE408" s="134">
        <v>-0.28420072101715027</v>
      </c>
      <c r="AF408" s="134">
        <v>-0.13278319249866105</v>
      </c>
    </row>
    <row r="409" spans="1:32" x14ac:dyDescent="0.25">
      <c r="A409" t="s">
        <v>94</v>
      </c>
      <c r="B409" t="s">
        <v>430</v>
      </c>
      <c r="C409" s="31">
        <v>8859</v>
      </c>
      <c r="D409" s="31">
        <v>6248</v>
      </c>
      <c r="E409" s="65">
        <v>19929</v>
      </c>
      <c r="F409" s="31">
        <v>14199</v>
      </c>
      <c r="G409" s="66">
        <v>2996828.879999774</v>
      </c>
      <c r="H409" s="31">
        <v>2445825.1299999827</v>
      </c>
      <c r="I409" s="65">
        <v>1609487.900000205</v>
      </c>
      <c r="J409" s="65">
        <v>1162380.2399999714</v>
      </c>
      <c r="K409" s="31">
        <v>233319.71428571429</v>
      </c>
      <c r="L409" s="31">
        <v>261734.14285714287</v>
      </c>
      <c r="M409" s="67">
        <v>11.707547507938898</v>
      </c>
      <c r="N409" s="67">
        <v>18.62489038652912</v>
      </c>
      <c r="O409" s="68">
        <v>150.37527623060737</v>
      </c>
      <c r="P409" s="68">
        <v>172.25333685470684</v>
      </c>
      <c r="Q409" s="69">
        <v>0.53706366444263787</v>
      </c>
      <c r="R409" s="69">
        <v>0.46535563379139416</v>
      </c>
      <c r="S409" s="31">
        <v>84573.28571428571</v>
      </c>
      <c r="T409" s="31">
        <v>89917</v>
      </c>
      <c r="U409" s="69">
        <v>-0.1338233616554203</v>
      </c>
      <c r="V409" s="69">
        <v>0.35516585675047541</v>
      </c>
      <c r="W409" s="69">
        <v>0.18548386163642605</v>
      </c>
      <c r="X409" s="69">
        <v>0.3709712518696755</v>
      </c>
      <c r="Y409" s="69">
        <v>-2.7163585406620894E-2</v>
      </c>
      <c r="Z409" s="69">
        <v>-2.4406007779721017E-2</v>
      </c>
      <c r="AA409" s="69">
        <v>0.22768434670116422</v>
      </c>
      <c r="AB409" s="69">
        <v>0.22460986062138466</v>
      </c>
      <c r="AC409" s="69">
        <v>-2.5042968805790711E-3</v>
      </c>
      <c r="AD409" s="133">
        <v>-1.5676010269982783E-2</v>
      </c>
      <c r="AE409" s="133">
        <v>0.11607455475874662</v>
      </c>
      <c r="AF409" s="133">
        <v>0.19032256658894492</v>
      </c>
    </row>
    <row r="410" spans="1:32" x14ac:dyDescent="0.25">
      <c r="A410" t="s">
        <v>94</v>
      </c>
      <c r="B410" t="s">
        <v>96</v>
      </c>
      <c r="C410" s="31">
        <v>1423</v>
      </c>
      <c r="D410" s="31">
        <v>1075</v>
      </c>
      <c r="E410" s="65">
        <v>1751</v>
      </c>
      <c r="F410" s="31">
        <v>1376</v>
      </c>
      <c r="G410" s="66">
        <v>1635627.559999991</v>
      </c>
      <c r="H410" s="31">
        <v>1159920.5899999954</v>
      </c>
      <c r="I410" s="65">
        <v>795487.54000000388</v>
      </c>
      <c r="J410" s="65">
        <v>530614.81999999611</v>
      </c>
      <c r="K410" s="31">
        <v>21116.571428571428</v>
      </c>
      <c r="L410" s="31">
        <v>36655.571428571428</v>
      </c>
      <c r="M410" s="67">
        <v>12.059720975768947</v>
      </c>
      <c r="N410" s="67">
        <v>27.112040816326534</v>
      </c>
      <c r="O410" s="68">
        <v>934.11054254711075</v>
      </c>
      <c r="P410" s="68">
        <v>842.96554505813617</v>
      </c>
      <c r="Q410" s="69">
        <v>0.48635004658395964</v>
      </c>
      <c r="R410" s="69">
        <v>0.44948195221111759</v>
      </c>
      <c r="S410" s="31">
        <v>1300.5714285714287</v>
      </c>
      <c r="T410" s="31">
        <v>4184.7142857142853</v>
      </c>
      <c r="U410" s="69">
        <v>-0.44432925807419643</v>
      </c>
      <c r="V410" s="69">
        <v>0.21947674418604657</v>
      </c>
      <c r="W410" s="69">
        <v>0.36255961280935356</v>
      </c>
      <c r="X410" s="69">
        <v>0.48575838265150151</v>
      </c>
      <c r="Y410" s="69">
        <v>1.369500112217592E-2</v>
      </c>
      <c r="Z410" s="69">
        <v>1.9983439138835157E-2</v>
      </c>
      <c r="AA410" s="69">
        <v>0.21681723419040999</v>
      </c>
      <c r="AB410" s="69">
        <v>0.23583762334385594</v>
      </c>
      <c r="AC410" s="69">
        <v>1.5631262131244217E-2</v>
      </c>
      <c r="AD410" s="133">
        <v>-0.17548142631824698</v>
      </c>
      <c r="AE410" s="133">
        <v>-0.13908612941248724</v>
      </c>
      <c r="AF410" s="133">
        <v>-9.9223477586138295E-2</v>
      </c>
    </row>
    <row r="411" spans="1:32" x14ac:dyDescent="0.25">
      <c r="A411" t="s">
        <v>94</v>
      </c>
      <c r="B411" t="s">
        <v>431</v>
      </c>
      <c r="C411" s="31">
        <v>1835</v>
      </c>
      <c r="D411" s="31">
        <v>1662</v>
      </c>
      <c r="E411" s="65">
        <v>3063</v>
      </c>
      <c r="F411" s="31">
        <v>2908</v>
      </c>
      <c r="G411" s="66">
        <v>1028917.0799999937</v>
      </c>
      <c r="H411" s="31">
        <v>1008728.8799999964</v>
      </c>
      <c r="I411" s="65">
        <v>568949.95999999228</v>
      </c>
      <c r="J411" s="65">
        <v>428497.69999999565</v>
      </c>
      <c r="K411" s="31">
        <v>44081.571428571428</v>
      </c>
      <c r="L411" s="31">
        <v>71687</v>
      </c>
      <c r="M411" s="67">
        <v>14.391632852945291</v>
      </c>
      <c r="N411" s="67">
        <v>24.848373029184838</v>
      </c>
      <c r="O411" s="68">
        <v>335.91808031341617</v>
      </c>
      <c r="P411" s="68">
        <v>346.88063273727522</v>
      </c>
      <c r="Q411" s="69">
        <v>0.5529599722457671</v>
      </c>
      <c r="R411" s="69">
        <v>0.41564153329771919</v>
      </c>
      <c r="S411" s="31">
        <v>20846</v>
      </c>
      <c r="T411" s="31">
        <v>14612.714285714286</v>
      </c>
      <c r="U411" s="69">
        <v>-0.40703733890783156</v>
      </c>
      <c r="V411" s="69">
        <v>2.3383768913342484E-2</v>
      </c>
      <c r="W411" s="69">
        <v>-1.0875122361919454E-2</v>
      </c>
      <c r="X411" s="69">
        <v>0.31671450935255274</v>
      </c>
      <c r="Y411" s="69">
        <v>1.7168030199510298E-3</v>
      </c>
      <c r="Z411" s="69">
        <v>9.4873246071756068E-3</v>
      </c>
      <c r="AA411" s="69">
        <v>0.12486228424531776</v>
      </c>
      <c r="AB411" s="69">
        <v>0.13983131862158249</v>
      </c>
      <c r="AC411" s="69">
        <v>1.3307437351149032E-2</v>
      </c>
      <c r="AD411" s="133">
        <v>-0.28287018250544127</v>
      </c>
      <c r="AE411" s="133">
        <v>-0.21163341256199675</v>
      </c>
      <c r="AF411" s="133">
        <v>-9.9672632226844096E-2</v>
      </c>
    </row>
    <row r="412" spans="1:32" x14ac:dyDescent="0.25">
      <c r="A412" t="s">
        <v>94</v>
      </c>
      <c r="B412" t="s">
        <v>432</v>
      </c>
      <c r="C412" s="31">
        <v>2609</v>
      </c>
      <c r="D412" s="31">
        <v>3421</v>
      </c>
      <c r="E412" s="65">
        <v>8095</v>
      </c>
      <c r="F412" s="31">
        <v>8686</v>
      </c>
      <c r="G412" s="66">
        <v>546185.01000000373</v>
      </c>
      <c r="H412" s="31">
        <v>503135.47999999905</v>
      </c>
      <c r="I412" s="65">
        <v>288673.25000000035</v>
      </c>
      <c r="J412" s="65">
        <v>236224.04999999871</v>
      </c>
      <c r="K412" s="31">
        <v>92122</v>
      </c>
      <c r="L412" s="31">
        <v>127283.42857142857</v>
      </c>
      <c r="M412" s="67">
        <v>11.380111179740581</v>
      </c>
      <c r="N412" s="67">
        <v>14.701580933276018</v>
      </c>
      <c r="O412" s="68">
        <v>67.471897467573044</v>
      </c>
      <c r="P412" s="68">
        <v>57.924876813262614</v>
      </c>
      <c r="Q412" s="69">
        <v>0.52852649690989939</v>
      </c>
      <c r="R412" s="69">
        <v>0.45473990947862392</v>
      </c>
      <c r="S412" s="31">
        <v>40500.714285714283</v>
      </c>
      <c r="T412" s="31">
        <v>18590.428571428572</v>
      </c>
      <c r="U412" s="69">
        <v>-0.29459114866260216</v>
      </c>
      <c r="V412" s="69">
        <v>-0.10591756850103617</v>
      </c>
      <c r="W412" s="69">
        <v>3.9722621032417305E-2</v>
      </c>
      <c r="X412" s="69">
        <v>0.20714961897761408</v>
      </c>
      <c r="Y412" s="69">
        <v>-1.583734198661324E-2</v>
      </c>
      <c r="Z412" s="69">
        <v>-1.3785657043929422E-2</v>
      </c>
      <c r="AA412" s="69">
        <v>8.7891412444563999E-2</v>
      </c>
      <c r="AB412" s="69">
        <v>7.9137506400032587E-2</v>
      </c>
      <c r="AC412" s="69">
        <v>-8.0466726222799823E-3</v>
      </c>
      <c r="AD412" s="133">
        <v>8.041658781538602E-2</v>
      </c>
      <c r="AE412" s="133">
        <v>0.22927173034233916</v>
      </c>
      <c r="AF412" s="133">
        <v>0.474533076686944</v>
      </c>
    </row>
    <row r="413" spans="1:32" x14ac:dyDescent="0.25">
      <c r="A413" t="s">
        <v>94</v>
      </c>
      <c r="B413" t="s">
        <v>433</v>
      </c>
      <c r="C413" s="31">
        <v>1250</v>
      </c>
      <c r="D413" s="31">
        <v>652</v>
      </c>
      <c r="E413" s="65">
        <v>2301</v>
      </c>
      <c r="F413" s="31">
        <v>978</v>
      </c>
      <c r="G413" s="66">
        <v>260947.55999999549</v>
      </c>
      <c r="H413" s="31">
        <v>202458.86999999976</v>
      </c>
      <c r="I413" s="65">
        <v>79009.690000001516</v>
      </c>
      <c r="J413" s="65">
        <v>85159.399999999863</v>
      </c>
      <c r="K413" s="31">
        <v>17150.285714285714</v>
      </c>
      <c r="L413" s="31">
        <v>18882.857142857141</v>
      </c>
      <c r="M413" s="67">
        <v>7.4534053517104359</v>
      </c>
      <c r="N413" s="67">
        <v>19.401609260304912</v>
      </c>
      <c r="O413" s="68">
        <v>113.40615384615188</v>
      </c>
      <c r="P413" s="68">
        <v>207.01315950920221</v>
      </c>
      <c r="Q413" s="69">
        <v>0.30277995318294176</v>
      </c>
      <c r="R413" s="69">
        <v>0.40601853776609226</v>
      </c>
      <c r="S413" s="31">
        <v>20782.285714285714</v>
      </c>
      <c r="T413" s="31">
        <v>1348.7142857142858</v>
      </c>
      <c r="U413" s="69">
        <v>-0.12195490997125125</v>
      </c>
      <c r="V413" s="69">
        <v>1.2648261758691208</v>
      </c>
      <c r="W413" s="69">
        <v>0.24421809723622379</v>
      </c>
      <c r="X413" s="69">
        <v>-6.1073376932160195E-2</v>
      </c>
      <c r="Y413" s="69">
        <v>-0.1028450824304008</v>
      </c>
      <c r="Z413" s="69">
        <v>-0.11306480687963594</v>
      </c>
      <c r="AA413" s="69">
        <v>2.039911308204001E-2</v>
      </c>
      <c r="AB413" s="69">
        <v>2.9635429891096354E-2</v>
      </c>
      <c r="AC413" s="69">
        <v>9.0516707537688923E-3</v>
      </c>
      <c r="AD413" s="133">
        <v>-0.17047789593971466</v>
      </c>
      <c r="AE413" s="133">
        <v>-0.43968540681859858</v>
      </c>
      <c r="AF413" s="133">
        <v>-0.63117955381346735</v>
      </c>
    </row>
    <row r="414" spans="1:32" x14ac:dyDescent="0.25">
      <c r="A414" t="s">
        <v>94</v>
      </c>
      <c r="B414" t="s">
        <v>441</v>
      </c>
      <c r="C414" s="31">
        <v>73</v>
      </c>
      <c r="D414" s="31">
        <v>83</v>
      </c>
      <c r="E414" s="65">
        <v>126</v>
      </c>
      <c r="F414" s="31">
        <v>118</v>
      </c>
      <c r="G414" s="66">
        <v>29160.099999999969</v>
      </c>
      <c r="H414" s="31">
        <v>27373.490000000013</v>
      </c>
      <c r="I414" s="65">
        <v>17975.830000000013</v>
      </c>
      <c r="J414" s="65">
        <v>16249.150000000016</v>
      </c>
      <c r="K414" s="31">
        <v>7825.4285714285716</v>
      </c>
      <c r="L414" s="31">
        <v>9698.1428571428569</v>
      </c>
      <c r="M414" s="67">
        <v>62.106575963718825</v>
      </c>
      <c r="N414" s="67">
        <v>82.511404561824733</v>
      </c>
      <c r="O414" s="68">
        <v>231.42936507936483</v>
      </c>
      <c r="P414" s="68">
        <v>231.97872881355943</v>
      </c>
      <c r="Q414" s="69">
        <v>0.61645296140959849</v>
      </c>
      <c r="R414" s="69">
        <v>0.58775325804151846</v>
      </c>
      <c r="S414" s="31">
        <v>391</v>
      </c>
      <c r="T414" s="31">
        <v>14547.285714285714</v>
      </c>
      <c r="U414" s="69">
        <v>-0.21313358964161033</v>
      </c>
      <c r="V414" s="69">
        <v>5.9322033898305149E-2</v>
      </c>
      <c r="W414" s="69">
        <v>5.8626064853255944E-2</v>
      </c>
      <c r="X414" s="69">
        <v>0.11107987113925999</v>
      </c>
      <c r="Y414" s="69">
        <v>-9.1494333292095886E-3</v>
      </c>
      <c r="Z414" s="69">
        <v>-9.7259382457155485E-3</v>
      </c>
      <c r="AA414" s="69">
        <v>0.5</v>
      </c>
      <c r="AB414" s="69">
        <v>0.30210291578959469</v>
      </c>
      <c r="AC414" s="69">
        <v>-0.13193138947360361</v>
      </c>
      <c r="AD414" s="133">
        <v>-0.58421138429229802</v>
      </c>
      <c r="AE414" s="133">
        <v>-0.50367631699569593</v>
      </c>
      <c r="AF414" s="133">
        <v>-0.38049489228268674</v>
      </c>
    </row>
    <row r="415" spans="1:32" x14ac:dyDescent="0.25">
      <c r="A415" t="s">
        <v>94</v>
      </c>
      <c r="B415" t="s">
        <v>435</v>
      </c>
      <c r="C415" s="31">
        <v>73</v>
      </c>
      <c r="D415" s="31">
        <v>163</v>
      </c>
      <c r="E415" s="65">
        <v>124</v>
      </c>
      <c r="F415" s="31">
        <v>179</v>
      </c>
      <c r="G415" s="66">
        <v>28250.17</v>
      </c>
      <c r="H415" s="31">
        <v>84357.98999999986</v>
      </c>
      <c r="I415" s="65">
        <v>-2719.7499999999995</v>
      </c>
      <c r="J415" s="65">
        <v>31194.52999999981</v>
      </c>
      <c r="K415" s="31">
        <v>776.57142857142856</v>
      </c>
      <c r="L415" s="31">
        <v>6429.2857142857147</v>
      </c>
      <c r="M415" s="67">
        <v>6.2626728110599075</v>
      </c>
      <c r="N415" s="67">
        <v>35.571428571428569</v>
      </c>
      <c r="O415" s="68">
        <v>227.82395161290322</v>
      </c>
      <c r="P415" s="68">
        <v>471.27368715083719</v>
      </c>
      <c r="Q415" s="69">
        <v>-9.6273756936683913E-2</v>
      </c>
      <c r="R415" s="69">
        <v>0.36161374317537087</v>
      </c>
      <c r="S415" s="31">
        <v>171.28571428571428</v>
      </c>
      <c r="T415" s="31">
        <v>292.85714285714283</v>
      </c>
      <c r="U415" s="69">
        <v>-0.87985779357849125</v>
      </c>
      <c r="V415" s="69">
        <v>-0.30726256983240219</v>
      </c>
      <c r="W415" s="69">
        <v>-0.66511565768695946</v>
      </c>
      <c r="X415" s="69">
        <v>-1.0891136959370911</v>
      </c>
      <c r="Y415" s="69">
        <v>-0.14744280096513085</v>
      </c>
      <c r="Z415" s="69">
        <v>-0.14889619539690002</v>
      </c>
      <c r="AA415" s="69">
        <v>1</v>
      </c>
      <c r="AB415" s="69">
        <v>0.67103914348668336</v>
      </c>
      <c r="AC415" s="69">
        <v>-0.16448042825665832</v>
      </c>
      <c r="AD415" s="133"/>
      <c r="AE415" s="133"/>
      <c r="AF415" s="133"/>
    </row>
    <row r="416" spans="1:32" x14ac:dyDescent="0.25">
      <c r="A416" t="s">
        <v>94</v>
      </c>
      <c r="B416" t="s">
        <v>439</v>
      </c>
      <c r="C416" s="31">
        <v>48</v>
      </c>
      <c r="D416" s="31">
        <v>127</v>
      </c>
      <c r="E416" s="65">
        <v>64</v>
      </c>
      <c r="F416" s="31">
        <v>141</v>
      </c>
      <c r="G416" s="66">
        <v>14007.500000000009</v>
      </c>
      <c r="H416" s="31">
        <v>38324.439999999915</v>
      </c>
      <c r="I416" s="65">
        <v>4413.2300000000005</v>
      </c>
      <c r="J416" s="65">
        <v>17822.779999999893</v>
      </c>
      <c r="K416" s="31">
        <v>991.14285714285711</v>
      </c>
      <c r="L416" s="31">
        <v>7787.2857142857147</v>
      </c>
      <c r="M416" s="67">
        <v>15.486607142857142</v>
      </c>
      <c r="N416" s="67">
        <v>55.824175824175825</v>
      </c>
      <c r="O416" s="68">
        <v>218.86718750000014</v>
      </c>
      <c r="P416" s="68">
        <v>271.80453900709159</v>
      </c>
      <c r="Q416" s="69">
        <v>0.31506193110833464</v>
      </c>
      <c r="R416" s="69">
        <v>0.45820283959180375</v>
      </c>
      <c r="S416" s="31">
        <v>7</v>
      </c>
      <c r="T416" s="31">
        <v>100.14285714285714</v>
      </c>
      <c r="U416" s="69">
        <v>-0.87362183779420666</v>
      </c>
      <c r="V416" s="69">
        <v>-0.54609929078014185</v>
      </c>
      <c r="W416" s="69">
        <v>-0.63450216102309542</v>
      </c>
      <c r="X416" s="69">
        <v>-0.7487490770012899</v>
      </c>
      <c r="Y416" s="69">
        <v>-7.1051255365683796E-2</v>
      </c>
      <c r="Z416" s="69">
        <v>-6.7848985624076263E-2</v>
      </c>
      <c r="AA416" s="69">
        <v>0.56097560975609762</v>
      </c>
      <c r="AB416" s="69">
        <v>0.52242527263992944</v>
      </c>
      <c r="AC416" s="69">
        <v>-2.4696309715045106E-2</v>
      </c>
      <c r="AD416" s="133"/>
      <c r="AE416" s="133"/>
      <c r="AF416" s="133"/>
    </row>
    <row r="417" spans="1:32" x14ac:dyDescent="0.25">
      <c r="A417" t="s">
        <v>94</v>
      </c>
      <c r="B417" t="s">
        <v>437</v>
      </c>
      <c r="C417" s="31">
        <v>16</v>
      </c>
      <c r="D417" s="31">
        <v>63</v>
      </c>
      <c r="E417" s="65">
        <v>16</v>
      </c>
      <c r="F417" s="31">
        <v>72</v>
      </c>
      <c r="G417" s="66">
        <v>11060.49</v>
      </c>
      <c r="H417" s="31">
        <v>55677.319999999949</v>
      </c>
      <c r="I417" s="65">
        <v>2182.7800000000002</v>
      </c>
      <c r="J417" s="65">
        <v>8159.4999999999491</v>
      </c>
      <c r="K417" s="31">
        <v>481.14285714285717</v>
      </c>
      <c r="L417" s="31">
        <v>2242.2857142857142</v>
      </c>
      <c r="M417" s="67">
        <v>30.071428571428573</v>
      </c>
      <c r="N417" s="67">
        <v>30.327619047619045</v>
      </c>
      <c r="O417" s="68">
        <v>691.28062499999999</v>
      </c>
      <c r="P417" s="68">
        <v>773.29611111111035</v>
      </c>
      <c r="Q417" s="69">
        <v>0.19734930369269357</v>
      </c>
      <c r="R417" s="69">
        <v>0.1417697035910756</v>
      </c>
      <c r="S417" s="31">
        <v>171.28571428571428</v>
      </c>
      <c r="T417" s="31">
        <v>302</v>
      </c>
      <c r="U417" s="69">
        <v>-0.78899082568807333</v>
      </c>
      <c r="V417" s="69">
        <v>-0.77777777777777779</v>
      </c>
      <c r="W417" s="69">
        <v>-0.80134658061846353</v>
      </c>
      <c r="X417" s="69">
        <v>-0.71886209459189476</v>
      </c>
      <c r="Y417" s="69">
        <v>-6.3331134893593766E-2</v>
      </c>
      <c r="Z417" s="69">
        <v>-8.1036834924965828E-2</v>
      </c>
      <c r="AA417" s="69">
        <v>0.60000000000000009</v>
      </c>
      <c r="AB417" s="69">
        <v>0.46941077378453455</v>
      </c>
      <c r="AC417" s="69">
        <v>-8.161826638466585E-2</v>
      </c>
      <c r="AD417" s="133"/>
      <c r="AE417" s="133"/>
      <c r="AF417" s="133"/>
    </row>
    <row r="418" spans="1:32" x14ac:dyDescent="0.25">
      <c r="A418" t="s">
        <v>94</v>
      </c>
      <c r="B418" t="s">
        <v>442</v>
      </c>
      <c r="C418" s="31">
        <v>13</v>
      </c>
      <c r="D418" s="31">
        <v>47</v>
      </c>
      <c r="E418" s="65">
        <v>19</v>
      </c>
      <c r="F418" s="31">
        <v>61</v>
      </c>
      <c r="G418" s="66">
        <v>8549.83</v>
      </c>
      <c r="H418" s="31">
        <v>16899.39000000001</v>
      </c>
      <c r="I418" s="65">
        <v>5634.86</v>
      </c>
      <c r="J418" s="65">
        <v>8430.2500000000073</v>
      </c>
      <c r="K418" s="31">
        <v>1215.4285714285713</v>
      </c>
      <c r="L418" s="31">
        <v>4464.4285714285716</v>
      </c>
      <c r="M418" s="67">
        <v>63.969924812030072</v>
      </c>
      <c r="N418" s="67">
        <v>74.52224824355973</v>
      </c>
      <c r="O418" s="68">
        <v>449.99105263157895</v>
      </c>
      <c r="P418" s="68">
        <v>277.03918032786902</v>
      </c>
      <c r="Q418" s="69">
        <v>0.65906105735435672</v>
      </c>
      <c r="R418" s="69">
        <v>0.49884936675229119</v>
      </c>
      <c r="S418" s="31">
        <v>265</v>
      </c>
      <c r="T418" s="31">
        <v>15588.857142857143</v>
      </c>
      <c r="U418" s="69">
        <v>-0.74320821733704523</v>
      </c>
      <c r="V418" s="69">
        <v>-0.70491803278688525</v>
      </c>
      <c r="W418" s="69">
        <v>-0.53710932761478403</v>
      </c>
      <c r="X418" s="69">
        <v>-0.37743483289344959</v>
      </c>
      <c r="Y418" s="69">
        <v>4.0752130770915773E-3</v>
      </c>
      <c r="Z418" s="69">
        <v>4.0122728345526326E-3</v>
      </c>
      <c r="AA418" s="69">
        <v>0.35714285714285721</v>
      </c>
      <c r="AB418" s="69">
        <v>0.37299466528775649</v>
      </c>
      <c r="AC418" s="69">
        <v>1.1680279685715167E-2</v>
      </c>
      <c r="AD418" s="133">
        <v>-0.88044058274518489</v>
      </c>
      <c r="AE418" s="133">
        <v>-0.80622665252454218</v>
      </c>
      <c r="AF418" s="133">
        <v>-0.72808818905419426</v>
      </c>
    </row>
    <row r="419" spans="1:32" x14ac:dyDescent="0.25">
      <c r="A419" t="s">
        <v>94</v>
      </c>
      <c r="B419" t="s">
        <v>438</v>
      </c>
      <c r="C419" s="31">
        <v>41</v>
      </c>
      <c r="D419" s="31">
        <v>191</v>
      </c>
      <c r="E419" s="65">
        <v>42</v>
      </c>
      <c r="F419" s="31">
        <v>279</v>
      </c>
      <c r="G419" s="66">
        <v>6816.3099999999995</v>
      </c>
      <c r="H419" s="31">
        <v>51704.200000000055</v>
      </c>
      <c r="I419" s="65">
        <v>2288.2700000000004</v>
      </c>
      <c r="J419" s="65">
        <v>21279.610000000055</v>
      </c>
      <c r="K419" s="31">
        <v>1412.7142857142858</v>
      </c>
      <c r="L419" s="31">
        <v>6896.8571428571431</v>
      </c>
      <c r="M419" s="67">
        <v>33.636054421768712</v>
      </c>
      <c r="N419" s="67">
        <v>25.851609657947687</v>
      </c>
      <c r="O419" s="68">
        <v>162.29309523809522</v>
      </c>
      <c r="P419" s="68">
        <v>185.31971326164896</v>
      </c>
      <c r="Q419" s="69">
        <v>0.33570509557223788</v>
      </c>
      <c r="R419" s="69">
        <v>0.40819156505010568</v>
      </c>
      <c r="S419" s="31">
        <v>24</v>
      </c>
      <c r="T419" s="31">
        <v>205.14285714285714</v>
      </c>
      <c r="U419" s="69">
        <v>-0.80094452959940343</v>
      </c>
      <c r="V419" s="69">
        <v>-0.84946236559139787</v>
      </c>
      <c r="W419" s="69">
        <v>-0.86816718951265093</v>
      </c>
      <c r="X419" s="69">
        <v>-0.89149914556175791</v>
      </c>
      <c r="Y419" s="69">
        <v>-8.4404169881523994E-2</v>
      </c>
      <c r="Z419" s="69">
        <v>-7.2065309186450155E-2</v>
      </c>
      <c r="AA419" s="69">
        <v>0.55555555555555558</v>
      </c>
      <c r="AB419" s="69">
        <v>0.7410175396474703</v>
      </c>
      <c r="AC419" s="69">
        <v>0.11922556120194505</v>
      </c>
      <c r="AD419" s="133"/>
      <c r="AE419" s="133"/>
      <c r="AF419" s="133"/>
    </row>
    <row r="420" spans="1:32" x14ac:dyDescent="0.25">
      <c r="A420" t="s">
        <v>94</v>
      </c>
      <c r="B420" t="s">
        <v>434</v>
      </c>
      <c r="C420" s="31">
        <v>16</v>
      </c>
      <c r="D420" s="31">
        <v>196</v>
      </c>
      <c r="E420" s="65">
        <v>16</v>
      </c>
      <c r="F420" s="31">
        <v>254</v>
      </c>
      <c r="G420" s="66">
        <v>6774.8799999999992</v>
      </c>
      <c r="H420" s="31">
        <v>76826.399999999907</v>
      </c>
      <c r="I420" s="65">
        <v>3751.1000000000004</v>
      </c>
      <c r="J420" s="65">
        <v>26870.379999999925</v>
      </c>
      <c r="K420" s="31">
        <v>884.85714285714289</v>
      </c>
      <c r="L420" s="31">
        <v>4667.7142857142853</v>
      </c>
      <c r="M420" s="67">
        <v>55.303571428571431</v>
      </c>
      <c r="N420" s="67">
        <v>18.723662437948153</v>
      </c>
      <c r="O420" s="68">
        <v>423.42999999999995</v>
      </c>
      <c r="P420" s="68">
        <v>302.46614173228312</v>
      </c>
      <c r="Q420" s="69">
        <v>0.55367770351652001</v>
      </c>
      <c r="R420" s="69">
        <v>0.34324790962807572</v>
      </c>
      <c r="S420" s="31">
        <v>844</v>
      </c>
      <c r="T420" s="31">
        <v>2085.2857142857142</v>
      </c>
      <c r="U420" s="69">
        <v>-0.8152659607026993</v>
      </c>
      <c r="V420" s="69">
        <v>-0.93700787401574803</v>
      </c>
      <c r="W420" s="69">
        <v>-0.9118157300094758</v>
      </c>
      <c r="X420" s="69">
        <v>-0.85785887592899845</v>
      </c>
      <c r="Y420" s="69">
        <v>-0.10873083940538386</v>
      </c>
      <c r="Z420" s="69">
        <v>-0.10478392831334005</v>
      </c>
      <c r="AA420" s="69">
        <v>-0.19999999999999996</v>
      </c>
      <c r="AB420" s="69">
        <v>9.3392724573125419E-2</v>
      </c>
      <c r="AC420" s="69">
        <v>0.36674090571640661</v>
      </c>
      <c r="AD420" s="133"/>
      <c r="AE420" s="133"/>
      <c r="AF420" s="133"/>
    </row>
    <row r="421" spans="1:32" x14ac:dyDescent="0.25">
      <c r="A421" t="s">
        <v>94</v>
      </c>
      <c r="B421" t="s">
        <v>436</v>
      </c>
      <c r="C421" s="31">
        <v>17</v>
      </c>
      <c r="D421" s="31">
        <v>249</v>
      </c>
      <c r="E421" s="65">
        <v>23</v>
      </c>
      <c r="F421" s="31">
        <v>320</v>
      </c>
      <c r="G421" s="66">
        <v>6758.8900000000012</v>
      </c>
      <c r="H421" s="31">
        <v>60049.259999999907</v>
      </c>
      <c r="I421" s="65">
        <v>4610.5499999999993</v>
      </c>
      <c r="J421" s="65">
        <v>26495.229999999865</v>
      </c>
      <c r="K421" s="31">
        <v>941</v>
      </c>
      <c r="L421" s="31">
        <v>6031.4285714285716</v>
      </c>
      <c r="M421" s="67">
        <v>40.913043478260867</v>
      </c>
      <c r="N421" s="67">
        <v>19.044349680170576</v>
      </c>
      <c r="O421" s="68">
        <v>293.86478260869569</v>
      </c>
      <c r="P421" s="68">
        <v>187.6539374999997</v>
      </c>
      <c r="Q421" s="69">
        <v>0.68214603285450692</v>
      </c>
      <c r="R421" s="69">
        <v>0.4207170754232209</v>
      </c>
      <c r="S421" s="31">
        <v>336</v>
      </c>
      <c r="T421" s="31">
        <v>484.71428571428572</v>
      </c>
      <c r="U421" s="69">
        <v>-0.8516816674561819</v>
      </c>
      <c r="V421" s="69">
        <v>-0.93125000000000002</v>
      </c>
      <c r="W421" s="69">
        <v>-0.89349977002214498</v>
      </c>
      <c r="X421" s="69">
        <v>-0.82888192789759085</v>
      </c>
      <c r="Y421" s="69">
        <v>-6.6649407431635166E-2</v>
      </c>
      <c r="Z421" s="69">
        <v>-5.9268780348471939E-2</v>
      </c>
      <c r="AA421" s="69">
        <v>0.14999999999999991</v>
      </c>
      <c r="AB421" s="69">
        <v>0.34449353403261163</v>
      </c>
      <c r="AC421" s="69">
        <v>0.16912481220227082</v>
      </c>
      <c r="AD421" s="133"/>
      <c r="AE421" s="133"/>
      <c r="AF421" s="133"/>
    </row>
    <row r="422" spans="1:32" x14ac:dyDescent="0.25">
      <c r="A422" t="s">
        <v>94</v>
      </c>
      <c r="B422" t="s">
        <v>443</v>
      </c>
      <c r="C422" s="31">
        <v>42</v>
      </c>
      <c r="D422" s="31">
        <v>20</v>
      </c>
      <c r="E422" s="65">
        <v>59</v>
      </c>
      <c r="F422" s="31">
        <v>24</v>
      </c>
      <c r="G422" s="66">
        <v>4767.760000000002</v>
      </c>
      <c r="H422" s="31">
        <v>1898.0199999999995</v>
      </c>
      <c r="I422" s="65">
        <v>1130.9399999999996</v>
      </c>
      <c r="J422" s="65">
        <v>900.80999999999949</v>
      </c>
      <c r="K422" s="31">
        <v>1101.5714285714287</v>
      </c>
      <c r="L422" s="31">
        <v>794</v>
      </c>
      <c r="M422" s="67">
        <v>18.670702179176757</v>
      </c>
      <c r="N422" s="67">
        <v>32</v>
      </c>
      <c r="O422" s="68">
        <v>80.809491525423766</v>
      </c>
      <c r="P422" s="68">
        <v>79.084166666666647</v>
      </c>
      <c r="Q422" s="69">
        <v>0.23720573183213903</v>
      </c>
      <c r="R422" s="69">
        <v>0.43502050001690212</v>
      </c>
      <c r="S422" s="31">
        <v>161</v>
      </c>
      <c r="T422" s="31">
        <v>4605</v>
      </c>
      <c r="U422" s="69">
        <v>0.38359121986326028</v>
      </c>
      <c r="V422" s="69">
        <v>1.4583333333333335</v>
      </c>
      <c r="W422" s="69">
        <v>1.5119651004731263</v>
      </c>
      <c r="X422" s="69">
        <v>0.38172266340867811</v>
      </c>
      <c r="Y422" s="69">
        <v>-7.7891053112022712E-2</v>
      </c>
      <c r="Z422" s="69">
        <v>-7.575212753206273E-2</v>
      </c>
      <c r="AA422" s="69">
        <v>-0.30588235294117649</v>
      </c>
      <c r="AB422" s="69">
        <v>-0.30633913983469407</v>
      </c>
      <c r="AC422" s="69">
        <v>-6.5808281269486013E-4</v>
      </c>
      <c r="AD422" s="133"/>
      <c r="AE422" s="133"/>
      <c r="AF422" s="133"/>
    </row>
    <row r="423" spans="1:32" x14ac:dyDescent="0.25">
      <c r="A423" t="s">
        <v>94</v>
      </c>
      <c r="B423" t="s">
        <v>440</v>
      </c>
      <c r="C423" s="31">
        <v>30</v>
      </c>
      <c r="D423" s="31">
        <v>122</v>
      </c>
      <c r="E423" s="65">
        <v>44</v>
      </c>
      <c r="F423" s="31">
        <v>182</v>
      </c>
      <c r="G423" s="66">
        <v>4681.4800000000014</v>
      </c>
      <c r="H423" s="31">
        <v>33960.29000000003</v>
      </c>
      <c r="I423" s="65">
        <v>1028.3899999999994</v>
      </c>
      <c r="J423" s="65">
        <v>16301.550000000036</v>
      </c>
      <c r="K423" s="31">
        <v>976.85714285714289</v>
      </c>
      <c r="L423" s="31">
        <v>7885.8571428571431</v>
      </c>
      <c r="M423" s="67">
        <v>22.2012987012987</v>
      </c>
      <c r="N423" s="67">
        <v>43.369884169884173</v>
      </c>
      <c r="O423" s="68">
        <v>106.39727272727276</v>
      </c>
      <c r="P423" s="68">
        <v>186.59500000000017</v>
      </c>
      <c r="Q423" s="69">
        <v>0.21967198407341249</v>
      </c>
      <c r="R423" s="69">
        <v>0.47091060251182426</v>
      </c>
      <c r="S423" s="31">
        <v>578.28571428571433</v>
      </c>
      <c r="T423" s="31">
        <v>1597.8571428571429</v>
      </c>
      <c r="U423" s="69">
        <v>-0.8769225195195739</v>
      </c>
      <c r="V423" s="69">
        <v>-0.75824175824175821</v>
      </c>
      <c r="W423" s="69">
        <v>-0.86214840921558689</v>
      </c>
      <c r="X423" s="69">
        <v>-0.93583774853443602</v>
      </c>
      <c r="Y423" s="69">
        <v>-6.9083761279604472E-2</v>
      </c>
      <c r="Z423" s="69">
        <v>-6.4185028055289473E-2</v>
      </c>
      <c r="AA423" s="69">
        <v>-0.38888888888888884</v>
      </c>
      <c r="AB423" s="69">
        <v>-0.33431732218525134</v>
      </c>
      <c r="AC423" s="69">
        <v>8.9298927333224976E-2</v>
      </c>
      <c r="AD423" s="133"/>
      <c r="AE423" s="133"/>
      <c r="AF423" s="133"/>
    </row>
    <row r="424" spans="1:32" x14ac:dyDescent="0.25">
      <c r="A424" t="s">
        <v>94</v>
      </c>
      <c r="B424" t="s">
        <v>450</v>
      </c>
      <c r="C424" s="31">
        <v>1</v>
      </c>
      <c r="D424" s="31"/>
      <c r="E424" s="65">
        <v>1</v>
      </c>
      <c r="F424" s="31"/>
      <c r="G424" s="66">
        <v>136.35</v>
      </c>
      <c r="H424" s="31"/>
      <c r="I424" s="65">
        <v>85.35</v>
      </c>
      <c r="J424" s="65"/>
      <c r="K424" s="31">
        <v>0.14285714285714285</v>
      </c>
      <c r="L424" s="31">
        <v>7.8571428571428568</v>
      </c>
      <c r="M424" s="67">
        <v>0.14285714285714285</v>
      </c>
      <c r="N424" s="67"/>
      <c r="O424" s="68">
        <v>136.35</v>
      </c>
      <c r="P424" s="68"/>
      <c r="Q424" s="69">
        <v>0.62596259625962591</v>
      </c>
      <c r="R424" s="69"/>
      <c r="S424" s="31"/>
      <c r="T424" s="31"/>
      <c r="U424" s="69">
        <v>-0.87272727272727268</v>
      </c>
      <c r="V424" s="69"/>
      <c r="W424" s="69"/>
      <c r="X424" s="69"/>
      <c r="Y424" s="69">
        <v>-0.88888888888888884</v>
      </c>
      <c r="Z424" s="69">
        <v>-0.88888888888888895</v>
      </c>
      <c r="AA424" s="69">
        <v>0</v>
      </c>
      <c r="AB424" s="69">
        <v>0</v>
      </c>
      <c r="AC424" s="69">
        <v>0</v>
      </c>
      <c r="AD424" s="133"/>
      <c r="AE424" s="133"/>
      <c r="AF424" s="133"/>
    </row>
    <row r="425" spans="1:32" x14ac:dyDescent="0.25">
      <c r="A425" t="s">
        <v>94</v>
      </c>
      <c r="B425" t="s">
        <v>447</v>
      </c>
      <c r="C425" s="31">
        <v>2</v>
      </c>
      <c r="D425" s="31"/>
      <c r="E425" s="65">
        <v>2</v>
      </c>
      <c r="F425" s="31"/>
      <c r="G425" s="66">
        <v>54.52</v>
      </c>
      <c r="H425" s="31"/>
      <c r="I425" s="65">
        <v>22.770000000000003</v>
      </c>
      <c r="J425" s="65"/>
      <c r="K425" s="31">
        <v>11</v>
      </c>
      <c r="L425" s="31">
        <v>22</v>
      </c>
      <c r="M425" s="67">
        <v>5.5</v>
      </c>
      <c r="N425" s="67"/>
      <c r="O425" s="68">
        <v>27.26</v>
      </c>
      <c r="P425" s="68"/>
      <c r="Q425" s="69">
        <v>0.41764490095377849</v>
      </c>
      <c r="R425" s="69"/>
      <c r="S425" s="31">
        <v>78</v>
      </c>
      <c r="T425" s="31">
        <v>10</v>
      </c>
      <c r="U425" s="69">
        <v>-0.5</v>
      </c>
      <c r="V425" s="69"/>
      <c r="W425" s="69"/>
      <c r="X425" s="69"/>
      <c r="Y425" s="69">
        <v>-0.15580458814428133</v>
      </c>
      <c r="Z425" s="69">
        <v>-0.15384615384615385</v>
      </c>
      <c r="AA425" s="69">
        <v>1</v>
      </c>
      <c r="AB425" s="69">
        <v>1</v>
      </c>
      <c r="AC425" s="69">
        <v>0</v>
      </c>
      <c r="AD425" s="133"/>
      <c r="AE425" s="133"/>
      <c r="AF425" s="133"/>
    </row>
    <row r="426" spans="1:32" x14ac:dyDescent="0.25">
      <c r="A426" t="s">
        <v>94</v>
      </c>
      <c r="B426" t="s">
        <v>751</v>
      </c>
      <c r="C426" s="31"/>
      <c r="D426" s="31"/>
      <c r="E426" s="65"/>
      <c r="F426" s="31"/>
      <c r="G426" s="66"/>
      <c r="H426" s="31"/>
      <c r="I426" s="65"/>
      <c r="J426" s="65"/>
      <c r="K426" s="31">
        <v>-1</v>
      </c>
      <c r="L426" s="31"/>
      <c r="M426" s="67"/>
      <c r="N426" s="67"/>
      <c r="O426" s="68"/>
      <c r="P426" s="68"/>
      <c r="Q426" s="69"/>
      <c r="R426" s="69"/>
      <c r="S426" s="31"/>
      <c r="T426" s="31"/>
      <c r="U426" s="69"/>
      <c r="V426" s="69"/>
      <c r="W426" s="69"/>
      <c r="X426" s="69"/>
      <c r="Y426" s="69">
        <v>0</v>
      </c>
      <c r="Z426" s="69">
        <v>0</v>
      </c>
      <c r="AA426" s="69"/>
      <c r="AB426" s="69"/>
      <c r="AC426" s="69"/>
      <c r="AD426" s="133"/>
      <c r="AE426" s="133"/>
      <c r="AF426" s="133"/>
    </row>
    <row r="427" spans="1:32" x14ac:dyDescent="0.25">
      <c r="A427" t="s">
        <v>94</v>
      </c>
      <c r="B427" t="s">
        <v>451</v>
      </c>
      <c r="C427" s="31"/>
      <c r="D427" s="31"/>
      <c r="E427" s="65"/>
      <c r="F427" s="31"/>
      <c r="G427" s="66"/>
      <c r="H427" s="31"/>
      <c r="I427" s="65"/>
      <c r="J427" s="65"/>
      <c r="K427" s="31">
        <v>2</v>
      </c>
      <c r="L427" s="31">
        <v>6</v>
      </c>
      <c r="M427" s="67"/>
      <c r="N427" s="67"/>
      <c r="O427" s="68"/>
      <c r="P427" s="68"/>
      <c r="Q427" s="69"/>
      <c r="R427" s="69"/>
      <c r="S427" s="31">
        <v>20</v>
      </c>
      <c r="T427" s="31">
        <v>-4</v>
      </c>
      <c r="U427" s="69">
        <v>-0.66666666666666674</v>
      </c>
      <c r="V427" s="69"/>
      <c r="W427" s="69"/>
      <c r="X427" s="69"/>
      <c r="Y427" s="69">
        <v>0</v>
      </c>
      <c r="Z427" s="69">
        <v>0</v>
      </c>
      <c r="AA427" s="69"/>
      <c r="AB427" s="69"/>
      <c r="AC427" s="69"/>
      <c r="AD427" s="133"/>
      <c r="AE427" s="133"/>
      <c r="AF427" s="133"/>
    </row>
    <row r="428" spans="1:32" x14ac:dyDescent="0.25">
      <c r="A428" t="s">
        <v>94</v>
      </c>
      <c r="B428" t="s">
        <v>448</v>
      </c>
      <c r="C428" s="31"/>
      <c r="D428" s="31"/>
      <c r="E428" s="65"/>
      <c r="F428" s="31"/>
      <c r="G428" s="66"/>
      <c r="H428" s="31"/>
      <c r="I428" s="65"/>
      <c r="J428" s="65"/>
      <c r="K428" s="31">
        <v>1</v>
      </c>
      <c r="L428" s="31">
        <v>5.8571428571428568</v>
      </c>
      <c r="M428" s="67"/>
      <c r="N428" s="67"/>
      <c r="O428" s="68"/>
      <c r="P428" s="68"/>
      <c r="Q428" s="69"/>
      <c r="R428" s="69"/>
      <c r="S428" s="31">
        <v>56</v>
      </c>
      <c r="T428" s="31">
        <v>2</v>
      </c>
      <c r="U428" s="69">
        <v>-0.82926829268292679</v>
      </c>
      <c r="V428" s="69"/>
      <c r="W428" s="69"/>
      <c r="X428" s="69"/>
      <c r="Y428" s="69">
        <v>0</v>
      </c>
      <c r="Z428" s="69">
        <v>0</v>
      </c>
      <c r="AA428" s="69"/>
      <c r="AB428" s="69"/>
      <c r="AC428" s="69"/>
      <c r="AD428" s="133"/>
      <c r="AE428" s="133"/>
      <c r="AF428" s="133"/>
    </row>
    <row r="429" spans="1:32" x14ac:dyDescent="0.25">
      <c r="A429" t="s">
        <v>94</v>
      </c>
      <c r="B429" t="s">
        <v>444</v>
      </c>
      <c r="C429" s="31"/>
      <c r="D429" s="31">
        <v>8</v>
      </c>
      <c r="E429" s="65"/>
      <c r="F429" s="31">
        <v>8</v>
      </c>
      <c r="G429" s="66"/>
      <c r="H429" s="31">
        <v>273.90000000000003</v>
      </c>
      <c r="I429" s="65"/>
      <c r="J429" s="65">
        <v>97.350000000000051</v>
      </c>
      <c r="K429" s="31">
        <v>22.428571428571427</v>
      </c>
      <c r="L429" s="31">
        <v>174</v>
      </c>
      <c r="M429" s="67"/>
      <c r="N429" s="67">
        <v>22.035714285714285</v>
      </c>
      <c r="O429" s="68"/>
      <c r="P429" s="68">
        <v>34.237500000000004</v>
      </c>
      <c r="Q429" s="69"/>
      <c r="R429" s="69">
        <v>0.3554216867469881</v>
      </c>
      <c r="S429" s="31">
        <v>117</v>
      </c>
      <c r="T429" s="31">
        <v>18</v>
      </c>
      <c r="U429" s="69">
        <v>-0.87110016420361247</v>
      </c>
      <c r="V429" s="69"/>
      <c r="W429" s="69"/>
      <c r="X429" s="69"/>
      <c r="Y429" s="69">
        <v>-0.16182097802101314</v>
      </c>
      <c r="Z429" s="69">
        <v>-0.14207650273224048</v>
      </c>
      <c r="AA429" s="69"/>
      <c r="AB429" s="69"/>
      <c r="AC429" s="69"/>
      <c r="AD429" s="133"/>
      <c r="AE429" s="133"/>
      <c r="AF429" s="133"/>
    </row>
    <row r="430" spans="1:32" x14ac:dyDescent="0.25">
      <c r="A430" t="s">
        <v>94</v>
      </c>
      <c r="B430" t="s">
        <v>446</v>
      </c>
      <c r="C430" s="31"/>
      <c r="D430" s="31"/>
      <c r="E430" s="65"/>
      <c r="F430" s="31"/>
      <c r="G430" s="66"/>
      <c r="H430" s="31"/>
      <c r="I430" s="65"/>
      <c r="J430" s="65"/>
      <c r="K430" s="31">
        <v>1</v>
      </c>
      <c r="L430" s="31">
        <v>3</v>
      </c>
      <c r="M430" s="67"/>
      <c r="N430" s="67"/>
      <c r="O430" s="68"/>
      <c r="P430" s="68"/>
      <c r="Q430" s="69"/>
      <c r="R430" s="69"/>
      <c r="S430" s="31">
        <v>60</v>
      </c>
      <c r="T430" s="31">
        <v>2</v>
      </c>
      <c r="U430" s="69">
        <v>-0.66666666666666674</v>
      </c>
      <c r="V430" s="69"/>
      <c r="W430" s="69"/>
      <c r="X430" s="69"/>
      <c r="Y430" s="69">
        <v>0</v>
      </c>
      <c r="Z430" s="69">
        <v>0</v>
      </c>
      <c r="AA430" s="69"/>
      <c r="AB430" s="69"/>
      <c r="AC430" s="69"/>
      <c r="AD430" s="133"/>
      <c r="AE430" s="133"/>
      <c r="AF430" s="133"/>
    </row>
    <row r="431" spans="1:32" x14ac:dyDescent="0.25">
      <c r="A431" t="s">
        <v>94</v>
      </c>
      <c r="B431" t="s">
        <v>452</v>
      </c>
      <c r="C431" s="31"/>
      <c r="D431" s="31"/>
      <c r="E431" s="65"/>
      <c r="F431" s="31"/>
      <c r="G431" s="66"/>
      <c r="H431" s="31"/>
      <c r="I431" s="65"/>
      <c r="J431" s="65"/>
      <c r="K431" s="31"/>
      <c r="L431" s="31"/>
      <c r="M431" s="67"/>
      <c r="N431" s="67"/>
      <c r="O431" s="68"/>
      <c r="P431" s="68"/>
      <c r="Q431" s="69"/>
      <c r="R431" s="69"/>
      <c r="S431" s="31">
        <v>1</v>
      </c>
      <c r="T431" s="31">
        <v>1</v>
      </c>
      <c r="U431" s="69"/>
      <c r="V431" s="69"/>
      <c r="W431" s="69"/>
      <c r="X431" s="69"/>
      <c r="Y431" s="69"/>
      <c r="Z431" s="69"/>
      <c r="AA431" s="69"/>
      <c r="AB431" s="69"/>
      <c r="AC431" s="69"/>
      <c r="AD431" s="133"/>
      <c r="AE431" s="133"/>
      <c r="AF431" s="133"/>
    </row>
    <row r="432" spans="1:32" x14ac:dyDescent="0.25">
      <c r="A432" t="s">
        <v>94</v>
      </c>
      <c r="B432" t="s">
        <v>445</v>
      </c>
      <c r="C432" s="31"/>
      <c r="D432" s="31">
        <v>2</v>
      </c>
      <c r="E432" s="65"/>
      <c r="F432" s="31">
        <v>2</v>
      </c>
      <c r="G432" s="66"/>
      <c r="H432" s="31">
        <v>130.88999999999999</v>
      </c>
      <c r="I432" s="65"/>
      <c r="J432" s="65">
        <v>-25.110000000000014</v>
      </c>
      <c r="K432" s="31">
        <v>10.571428571428571</v>
      </c>
      <c r="L432" s="31">
        <v>39.857142857142854</v>
      </c>
      <c r="M432" s="67"/>
      <c r="N432" s="67">
        <v>20.071428571428573</v>
      </c>
      <c r="O432" s="68"/>
      <c r="P432" s="68">
        <v>65.444999999999993</v>
      </c>
      <c r="Q432" s="69"/>
      <c r="R432" s="69">
        <v>-0.19184047673619081</v>
      </c>
      <c r="S432" s="31">
        <v>43</v>
      </c>
      <c r="T432" s="31">
        <v>8</v>
      </c>
      <c r="U432" s="69">
        <v>-0.73476702508960567</v>
      </c>
      <c r="V432" s="69"/>
      <c r="W432" s="69"/>
      <c r="X432" s="69"/>
      <c r="Y432" s="69">
        <v>-0.13274712806694089</v>
      </c>
      <c r="Z432" s="69">
        <v>-0.13953488372093026</v>
      </c>
      <c r="AA432" s="69"/>
      <c r="AB432" s="69"/>
      <c r="AC432" s="69"/>
      <c r="AD432" s="133"/>
      <c r="AE432" s="133"/>
      <c r="AF432" s="133"/>
    </row>
    <row r="433" spans="1:32" x14ac:dyDescent="0.25">
      <c r="A433" t="s">
        <v>94</v>
      </c>
      <c r="B433" t="s">
        <v>449</v>
      </c>
      <c r="C433" s="31"/>
      <c r="D433" s="31">
        <v>2</v>
      </c>
      <c r="E433" s="65"/>
      <c r="F433" s="31">
        <v>2</v>
      </c>
      <c r="G433" s="66"/>
      <c r="H433" s="31">
        <v>13.27</v>
      </c>
      <c r="I433" s="65"/>
      <c r="J433" s="65">
        <v>-13.620000000000001</v>
      </c>
      <c r="K433" s="31">
        <v>4</v>
      </c>
      <c r="L433" s="31">
        <v>7.5714285714285712</v>
      </c>
      <c r="M433" s="67"/>
      <c r="N433" s="67">
        <v>3.7857142857142856</v>
      </c>
      <c r="O433" s="68"/>
      <c r="P433" s="68">
        <v>6.6349999999999998</v>
      </c>
      <c r="Q433" s="69"/>
      <c r="R433" s="69">
        <v>-1.0263752825923136</v>
      </c>
      <c r="S433" s="31">
        <v>45</v>
      </c>
      <c r="T433" s="31">
        <v>45</v>
      </c>
      <c r="U433" s="69">
        <v>-0.47169811320754718</v>
      </c>
      <c r="V433" s="69"/>
      <c r="W433" s="69"/>
      <c r="X433" s="69"/>
      <c r="Y433" s="69">
        <v>0</v>
      </c>
      <c r="Z433" s="69">
        <v>0</v>
      </c>
      <c r="AA433" s="69"/>
      <c r="AB433" s="69"/>
      <c r="AC433" s="69"/>
      <c r="AD433" s="133"/>
      <c r="AE433" s="133"/>
      <c r="AF433" s="133"/>
    </row>
    <row r="434" spans="1:32" x14ac:dyDescent="0.25">
      <c r="A434" s="129" t="s">
        <v>816</v>
      </c>
      <c r="B434" s="129"/>
      <c r="C434" s="120">
        <v>12569</v>
      </c>
      <c r="D434" s="120">
        <v>11575</v>
      </c>
      <c r="E434" s="119">
        <v>35675</v>
      </c>
      <c r="F434" s="120">
        <v>29789</v>
      </c>
      <c r="G434" s="120">
        <v>6589524.369999839</v>
      </c>
      <c r="H434" s="120">
        <v>5767557.8100003637</v>
      </c>
      <c r="I434" s="119">
        <v>3382012.6599996891</v>
      </c>
      <c r="J434" s="119">
        <v>2616638.6200004024</v>
      </c>
      <c r="K434" s="120">
        <v>424448</v>
      </c>
      <c r="L434" s="120">
        <v>573406.42857142852</v>
      </c>
      <c r="M434" s="131">
        <v>11.897631394533988</v>
      </c>
      <c r="N434" s="131">
        <v>19.394735980620027</v>
      </c>
      <c r="O434" s="130">
        <v>184.70986320952596</v>
      </c>
      <c r="P434" s="130">
        <v>193.61367652490395</v>
      </c>
      <c r="Q434" s="132">
        <v>0.5132407849338857</v>
      </c>
      <c r="R434" s="132">
        <v>0.44378104629021969</v>
      </c>
      <c r="S434" s="120">
        <v>171371.71428571429</v>
      </c>
      <c r="T434" s="120">
        <v>168544.71428571429</v>
      </c>
      <c r="U434" s="132">
        <v>-0.28112371055683505</v>
      </c>
      <c r="V434" s="132">
        <v>0.15512437476921015</v>
      </c>
      <c r="W434" s="132">
        <v>0.10488288456348771</v>
      </c>
      <c r="X434" s="132">
        <v>0.2812929544690741</v>
      </c>
      <c r="Y434" s="132">
        <v>-1.5773237100855209E-2</v>
      </c>
      <c r="Z434" s="132">
        <v>-2.131402095365964E-2</v>
      </c>
      <c r="AA434" s="132">
        <v>0.1684844911729062</v>
      </c>
      <c r="AB434" s="132">
        <v>0.19279104808945569</v>
      </c>
      <c r="AC434" s="132">
        <v>2.0801779655758246E-2</v>
      </c>
      <c r="AD434" s="134">
        <v>-4.5346028842319148E-2</v>
      </c>
      <c r="AE434" s="134">
        <v>-4.541939815054323E-2</v>
      </c>
      <c r="AF434" s="134">
        <v>1.6556903166609245E-2</v>
      </c>
    </row>
    <row r="435" spans="1:32" x14ac:dyDescent="0.25">
      <c r="A435" t="s">
        <v>98</v>
      </c>
      <c r="B435" t="s">
        <v>701</v>
      </c>
      <c r="C435" s="31">
        <v>4930</v>
      </c>
      <c r="D435" s="31">
        <v>3580</v>
      </c>
      <c r="E435" s="65">
        <v>6318</v>
      </c>
      <c r="F435" s="31">
        <v>4681</v>
      </c>
      <c r="G435" s="66">
        <v>4609546.349999832</v>
      </c>
      <c r="H435" s="31">
        <v>2637584.1799999517</v>
      </c>
      <c r="I435" s="65">
        <v>2862743.7300000018</v>
      </c>
      <c r="J435" s="65">
        <v>1658370.2999999586</v>
      </c>
      <c r="K435" s="31">
        <v>64158.571428571428</v>
      </c>
      <c r="L435" s="31">
        <v>68185.428571428565</v>
      </c>
      <c r="M435" s="67">
        <v>10.154886265997376</v>
      </c>
      <c r="N435" s="67">
        <v>14.804213879955515</v>
      </c>
      <c r="O435" s="68">
        <v>729.58948243112252</v>
      </c>
      <c r="P435" s="68">
        <v>563.46596453748168</v>
      </c>
      <c r="Q435" s="69">
        <v>0.62104673923066334</v>
      </c>
      <c r="R435" s="69">
        <v>0.61929968662889279</v>
      </c>
      <c r="S435" s="31">
        <v>130607</v>
      </c>
      <c r="T435" s="31">
        <v>147707.71428571429</v>
      </c>
      <c r="U435" s="69">
        <v>-8.6958252496343924E-2</v>
      </c>
      <c r="V435" s="69">
        <v>0.3189489425336467</v>
      </c>
      <c r="W435" s="69">
        <v>0.70764973650999496</v>
      </c>
      <c r="X435" s="69">
        <v>0.7126163386077653</v>
      </c>
      <c r="Y435" s="69">
        <v>6.7667858540827241E-2</v>
      </c>
      <c r="Z435" s="69">
        <v>6.8716640530372297E-2</v>
      </c>
      <c r="AA435" s="69">
        <v>0.55769230769230771</v>
      </c>
      <c r="AB435" s="69">
        <v>0.5569298519414021</v>
      </c>
      <c r="AC435" s="69">
        <v>-4.894777660134908E-4</v>
      </c>
      <c r="AD435" s="133">
        <v>-0.13187135229325583</v>
      </c>
      <c r="AE435" s="133">
        <v>8.6281959090686144E-2</v>
      </c>
      <c r="AF435" s="133">
        <v>0.22219787792822518</v>
      </c>
    </row>
    <row r="436" spans="1:32" x14ac:dyDescent="0.25">
      <c r="A436" t="s">
        <v>98</v>
      </c>
      <c r="B436" t="s">
        <v>700</v>
      </c>
      <c r="C436" s="31">
        <v>630</v>
      </c>
      <c r="D436" s="31">
        <v>2015</v>
      </c>
      <c r="E436" s="65">
        <v>704</v>
      </c>
      <c r="F436" s="31">
        <v>2451</v>
      </c>
      <c r="G436" s="66">
        <v>775757.88000000385</v>
      </c>
      <c r="H436" s="31">
        <v>2300736.7699999916</v>
      </c>
      <c r="I436" s="65">
        <v>422109.37000000163</v>
      </c>
      <c r="J436" s="65">
        <v>1328050.8799999945</v>
      </c>
      <c r="K436" s="31">
        <v>9432</v>
      </c>
      <c r="L436" s="31">
        <v>47188.428571428572</v>
      </c>
      <c r="M436" s="67">
        <v>13.397727272727273</v>
      </c>
      <c r="N436" s="67">
        <v>19.562124364308829</v>
      </c>
      <c r="O436" s="68">
        <v>1101.9288068181872</v>
      </c>
      <c r="P436" s="68">
        <v>938.69309261525564</v>
      </c>
      <c r="Q436" s="69">
        <v>0.54412514636654352</v>
      </c>
      <c r="R436" s="69">
        <v>0.57311883979919453</v>
      </c>
      <c r="S436" s="31">
        <v>54313.571428571428</v>
      </c>
      <c r="T436" s="31">
        <v>76779.71428571429</v>
      </c>
      <c r="U436" s="69">
        <v>-0.80734078269793752</v>
      </c>
      <c r="V436" s="69">
        <v>-0.72174622603019178</v>
      </c>
      <c r="W436" s="69">
        <v>-0.67206989959133545</v>
      </c>
      <c r="X436" s="69">
        <v>-0.68827937158796959</v>
      </c>
      <c r="Y436" s="69">
        <v>-5.7920770909833719E-2</v>
      </c>
      <c r="Z436" s="69">
        <v>-5.0683690635379475E-2</v>
      </c>
      <c r="AA436" s="69">
        <v>0.24162257495590822</v>
      </c>
      <c r="AB436" s="69">
        <v>0.16774370454426624</v>
      </c>
      <c r="AC436" s="69">
        <v>-5.9501874323013015E-2</v>
      </c>
      <c r="AD436" s="133">
        <v>-0.3788688354496495</v>
      </c>
      <c r="AE436" s="133">
        <v>-0.31390765622672862</v>
      </c>
      <c r="AF436" s="133">
        <v>-0.32367458076558236</v>
      </c>
    </row>
    <row r="437" spans="1:32" x14ac:dyDescent="0.25">
      <c r="A437" t="s">
        <v>98</v>
      </c>
      <c r="B437" t="s">
        <v>98</v>
      </c>
      <c r="C437" s="31">
        <v>8</v>
      </c>
      <c r="D437" s="31">
        <v>88</v>
      </c>
      <c r="E437" s="65">
        <v>12</v>
      </c>
      <c r="F437" s="31">
        <v>137</v>
      </c>
      <c r="G437" s="66">
        <v>11178.970000000001</v>
      </c>
      <c r="H437" s="31">
        <v>85457.559999999954</v>
      </c>
      <c r="I437" s="65">
        <v>4043.7400000000002</v>
      </c>
      <c r="J437" s="65">
        <v>25768.449999999961</v>
      </c>
      <c r="K437" s="31">
        <v>833.14285714285711</v>
      </c>
      <c r="L437" s="31">
        <v>3152</v>
      </c>
      <c r="M437" s="67">
        <v>69.428571428571431</v>
      </c>
      <c r="N437" s="67">
        <v>23.064650677789363</v>
      </c>
      <c r="O437" s="68">
        <v>931.58083333333343</v>
      </c>
      <c r="P437" s="68">
        <v>623.77781021897772</v>
      </c>
      <c r="Q437" s="69">
        <v>0.36172742211491754</v>
      </c>
      <c r="R437" s="69">
        <v>0.3015350543591459</v>
      </c>
      <c r="S437" s="31">
        <v>521.71428571428567</v>
      </c>
      <c r="T437" s="31">
        <v>1158.7142857142858</v>
      </c>
      <c r="U437" s="69">
        <v>-0.75752356780275565</v>
      </c>
      <c r="V437" s="69">
        <v>-0.91970802919708028</v>
      </c>
      <c r="W437" s="69">
        <v>-0.89365399620583597</v>
      </c>
      <c r="X437" s="69">
        <v>-0.86424134940207875</v>
      </c>
      <c r="Y437" s="69">
        <v>-4.5032703906341065E-2</v>
      </c>
      <c r="Z437" s="69">
        <v>-5.1090139928408718E-2</v>
      </c>
      <c r="AA437" s="69">
        <v>0.5</v>
      </c>
      <c r="AB437" s="69">
        <v>0.13336057163944859</v>
      </c>
      <c r="AC437" s="69">
        <v>-0.24442628557370094</v>
      </c>
      <c r="AD437" s="133"/>
      <c r="AE437" s="133"/>
      <c r="AF437" s="133"/>
    </row>
    <row r="438" spans="1:32" x14ac:dyDescent="0.25">
      <c r="A438" t="s">
        <v>98</v>
      </c>
      <c r="B438" t="s">
        <v>755</v>
      </c>
      <c r="C438" s="31"/>
      <c r="D438" s="31"/>
      <c r="E438" s="65"/>
      <c r="F438" s="31"/>
      <c r="G438" s="66"/>
      <c r="H438" s="31"/>
      <c r="I438" s="65"/>
      <c r="J438" s="65"/>
      <c r="K438" s="31">
        <v>1</v>
      </c>
      <c r="L438" s="31"/>
      <c r="M438" s="67"/>
      <c r="N438" s="67"/>
      <c r="O438" s="68"/>
      <c r="P438" s="68"/>
      <c r="Q438" s="69"/>
      <c r="R438" s="69"/>
      <c r="S438" s="31"/>
      <c r="T438" s="31">
        <v>1</v>
      </c>
      <c r="U438" s="69"/>
      <c r="V438" s="69"/>
      <c r="W438" s="69"/>
      <c r="X438" s="69"/>
      <c r="Y438" s="69">
        <v>0</v>
      </c>
      <c r="Z438" s="69">
        <v>0</v>
      </c>
      <c r="AA438" s="69"/>
      <c r="AB438" s="69"/>
      <c r="AC438" s="69"/>
      <c r="AD438" s="133"/>
      <c r="AE438" s="133"/>
      <c r="AF438" s="133"/>
    </row>
    <row r="439" spans="1:32" x14ac:dyDescent="0.25">
      <c r="A439" t="s">
        <v>98</v>
      </c>
      <c r="B439" t="s">
        <v>702</v>
      </c>
      <c r="C439" s="31"/>
      <c r="D439" s="31"/>
      <c r="E439" s="65"/>
      <c r="F439" s="31"/>
      <c r="G439" s="66"/>
      <c r="H439" s="31"/>
      <c r="I439" s="65"/>
      <c r="J439" s="65"/>
      <c r="K439" s="31"/>
      <c r="L439" s="31">
        <v>-2</v>
      </c>
      <c r="M439" s="67"/>
      <c r="N439" s="67"/>
      <c r="O439" s="68"/>
      <c r="P439" s="68"/>
      <c r="Q439" s="69"/>
      <c r="R439" s="69"/>
      <c r="S439" s="31">
        <v>13</v>
      </c>
      <c r="T439" s="31">
        <v>3</v>
      </c>
      <c r="U439" s="69"/>
      <c r="V439" s="69"/>
      <c r="W439" s="69"/>
      <c r="X439" s="69"/>
      <c r="Y439" s="69"/>
      <c r="Z439" s="69"/>
      <c r="AA439" s="69"/>
      <c r="AB439" s="69"/>
      <c r="AC439" s="69"/>
      <c r="AD439" s="133"/>
      <c r="AE439" s="133"/>
      <c r="AF439" s="133"/>
    </row>
    <row r="440" spans="1:32" x14ac:dyDescent="0.25">
      <c r="A440" t="s">
        <v>98</v>
      </c>
      <c r="B440" t="s">
        <v>754</v>
      </c>
      <c r="C440" s="31"/>
      <c r="D440" s="31"/>
      <c r="E440" s="65"/>
      <c r="F440" s="31"/>
      <c r="G440" s="66"/>
      <c r="H440" s="31"/>
      <c r="I440" s="65"/>
      <c r="J440" s="65"/>
      <c r="K440" s="31">
        <v>1</v>
      </c>
      <c r="L440" s="31"/>
      <c r="M440" s="67"/>
      <c r="N440" s="67"/>
      <c r="O440" s="68"/>
      <c r="P440" s="68"/>
      <c r="Q440" s="69"/>
      <c r="R440" s="69"/>
      <c r="S440" s="31"/>
      <c r="T440" s="31"/>
      <c r="U440" s="69"/>
      <c r="V440" s="69"/>
      <c r="W440" s="69"/>
      <c r="X440" s="69"/>
      <c r="Y440" s="69">
        <v>0</v>
      </c>
      <c r="Z440" s="69">
        <v>0</v>
      </c>
      <c r="AA440" s="69"/>
      <c r="AB440" s="69"/>
      <c r="AC440" s="69"/>
      <c r="AD440" s="133"/>
      <c r="AE440" s="133"/>
      <c r="AF440" s="133"/>
    </row>
    <row r="441" spans="1:32" x14ac:dyDescent="0.25">
      <c r="A441" s="129" t="s">
        <v>819</v>
      </c>
      <c r="B441" s="129"/>
      <c r="C441" s="120">
        <v>5451</v>
      </c>
      <c r="D441" s="120">
        <v>5409</v>
      </c>
      <c r="E441" s="119">
        <v>7034</v>
      </c>
      <c r="F441" s="120">
        <v>7269</v>
      </c>
      <c r="G441" s="120">
        <v>5396483.2000000039</v>
      </c>
      <c r="H441" s="120">
        <v>5023778.5100000333</v>
      </c>
      <c r="I441" s="119">
        <v>3288896.8400000045</v>
      </c>
      <c r="J441" s="119">
        <v>3012189.6300000539</v>
      </c>
      <c r="K441" s="120">
        <v>74425.71428571429</v>
      </c>
      <c r="L441" s="120">
        <v>118523.85714285714</v>
      </c>
      <c r="M441" s="131">
        <v>10.580852187334985</v>
      </c>
      <c r="N441" s="131">
        <v>16.555264485582335</v>
      </c>
      <c r="O441" s="130">
        <v>767.19977253340971</v>
      </c>
      <c r="P441" s="130">
        <v>691.12374604485251</v>
      </c>
      <c r="Q441" s="132">
        <v>0.60945188155130414</v>
      </c>
      <c r="R441" s="132">
        <v>0.59289144993123444</v>
      </c>
      <c r="S441" s="120">
        <v>185455.28571428571</v>
      </c>
      <c r="T441" s="120">
        <v>225650.14285714287</v>
      </c>
      <c r="U441" s="132">
        <v>-0.39156794231902681</v>
      </c>
      <c r="V441" s="132">
        <v>-5.5303342963268665E-2</v>
      </c>
      <c r="W441" s="132">
        <v>4.8541218430418587E-2</v>
      </c>
      <c r="X441" s="132">
        <v>7.8572271624443912E-2</v>
      </c>
      <c r="Y441" s="132">
        <v>3.0086780702718752E-2</v>
      </c>
      <c r="Z441" s="132">
        <v>5.0485742284380075E-2</v>
      </c>
      <c r="AA441" s="132">
        <v>0.51889440725545244</v>
      </c>
      <c r="AB441" s="132">
        <v>0.48465098028866849</v>
      </c>
      <c r="AC441" s="132">
        <v>-2.2544968763602014E-2</v>
      </c>
      <c r="AD441" s="134">
        <v>-0.16372802390430077</v>
      </c>
      <c r="AE441" s="134">
        <v>4.163839813459377E-3</v>
      </c>
      <c r="AF441" s="134">
        <v>0.1087116299802911</v>
      </c>
    </row>
    <row r="442" spans="1:32" x14ac:dyDescent="0.25">
      <c r="A442" t="s">
        <v>91</v>
      </c>
      <c r="B442" t="s">
        <v>91</v>
      </c>
      <c r="C442" s="31">
        <v>2918</v>
      </c>
      <c r="D442" s="31">
        <v>2210</v>
      </c>
      <c r="E442" s="65">
        <v>4489</v>
      </c>
      <c r="F442" s="31">
        <v>2966</v>
      </c>
      <c r="G442" s="66">
        <v>3127196.2499999478</v>
      </c>
      <c r="H442" s="31">
        <v>2129209.459999992</v>
      </c>
      <c r="I442" s="65">
        <v>1265040.4199999983</v>
      </c>
      <c r="J442" s="65">
        <v>725958.39999998896</v>
      </c>
      <c r="K442" s="31">
        <v>41901.857142857145</v>
      </c>
      <c r="L442" s="31">
        <v>46576.857142857145</v>
      </c>
      <c r="M442" s="67">
        <v>9.3343410877382809</v>
      </c>
      <c r="N442" s="67">
        <v>15.73251585229392</v>
      </c>
      <c r="O442" s="68">
        <v>696.63538650032251</v>
      </c>
      <c r="P442" s="68">
        <v>717.87237356709102</v>
      </c>
      <c r="Q442" s="69">
        <v>0.40452863167766312</v>
      </c>
      <c r="R442" s="69">
        <v>0.33201544157846552</v>
      </c>
      <c r="S442" s="31">
        <v>20832.428571428572</v>
      </c>
      <c r="T442" s="31">
        <v>26804.285714285714</v>
      </c>
      <c r="U442" s="69">
        <v>-0.13134051858985762</v>
      </c>
      <c r="V442" s="69">
        <v>0.47134187457855692</v>
      </c>
      <c r="W442" s="69">
        <v>0.4252150514115931</v>
      </c>
      <c r="X442" s="69">
        <v>0.73925120822800583</v>
      </c>
      <c r="Y442" s="69">
        <v>-7.2537927585100137E-2</v>
      </c>
      <c r="Z442" s="69">
        <v>-8.5417530643235096E-2</v>
      </c>
      <c r="AA442" s="69">
        <v>-9.4411942707282592E-2</v>
      </c>
      <c r="AB442" s="69">
        <v>-2.0451402984392075E-2</v>
      </c>
      <c r="AC442" s="69">
        <v>8.1671284340915085E-2</v>
      </c>
      <c r="AD442" s="133">
        <v>0.54203953948770267</v>
      </c>
      <c r="AE442" s="133">
        <v>0.49706363347821919</v>
      </c>
      <c r="AF442" s="133">
        <v>0.26337936418653873</v>
      </c>
    </row>
    <row r="443" spans="1:32" x14ac:dyDescent="0.25">
      <c r="A443" t="s">
        <v>91</v>
      </c>
      <c r="B443" t="s">
        <v>590</v>
      </c>
      <c r="C443" s="31">
        <v>1169</v>
      </c>
      <c r="D443" s="31">
        <v>904</v>
      </c>
      <c r="E443" s="65">
        <v>1461</v>
      </c>
      <c r="F443" s="31">
        <v>1028</v>
      </c>
      <c r="G443" s="66">
        <v>1040869.9599999852</v>
      </c>
      <c r="H443" s="31">
        <v>520189.55999999581</v>
      </c>
      <c r="I443" s="65">
        <v>681453.78000000352</v>
      </c>
      <c r="J443" s="65">
        <v>299224.01999999397</v>
      </c>
      <c r="K443" s="31">
        <v>17130.714285714286</v>
      </c>
      <c r="L443" s="31">
        <v>14719.285714285714</v>
      </c>
      <c r="M443" s="67">
        <v>11.725334897819497</v>
      </c>
      <c r="N443" s="67">
        <v>14.530398037077427</v>
      </c>
      <c r="O443" s="68">
        <v>712.43665982202958</v>
      </c>
      <c r="P443" s="68">
        <v>506.02097276264186</v>
      </c>
      <c r="Q443" s="69">
        <v>0.65469636572085643</v>
      </c>
      <c r="R443" s="69">
        <v>0.56289483658434902</v>
      </c>
      <c r="S443" s="31">
        <v>2026.8571428571429</v>
      </c>
      <c r="T443" s="31">
        <v>16432.571428571428</v>
      </c>
      <c r="U443" s="69">
        <v>0.12551074877468826</v>
      </c>
      <c r="V443" s="69">
        <v>0.38813229571984431</v>
      </c>
      <c r="W443" s="69">
        <v>0.96378129926328282</v>
      </c>
      <c r="X443" s="69">
        <v>1.2907044183860505</v>
      </c>
      <c r="Y443" s="69">
        <v>-3.9002532515453492E-2</v>
      </c>
      <c r="Z443" s="69">
        <v>-3.750762513243644E-2</v>
      </c>
      <c r="AA443" s="69">
        <v>4.5064377682403345E-2</v>
      </c>
      <c r="AB443" s="69">
        <v>3.2125401391740693E-2</v>
      </c>
      <c r="AC443" s="69">
        <v>-1.2381032754514965E-2</v>
      </c>
      <c r="AD443" s="133">
        <v>-0.25693427560780713</v>
      </c>
      <c r="AE443" s="133">
        <v>-2.8590167633642107E-2</v>
      </c>
      <c r="AF443" s="133">
        <v>0.19406471261916999</v>
      </c>
    </row>
    <row r="444" spans="1:32" x14ac:dyDescent="0.25">
      <c r="A444" t="s">
        <v>91</v>
      </c>
      <c r="B444" t="s">
        <v>593</v>
      </c>
      <c r="C444" s="31">
        <v>17</v>
      </c>
      <c r="D444" s="31">
        <v>2</v>
      </c>
      <c r="E444" s="65">
        <v>20</v>
      </c>
      <c r="F444" s="31">
        <v>3</v>
      </c>
      <c r="G444" s="66">
        <v>15304.360000000002</v>
      </c>
      <c r="H444" s="31">
        <v>1314.77</v>
      </c>
      <c r="I444" s="65">
        <v>7249.9</v>
      </c>
      <c r="J444" s="65">
        <v>259.38000000000011</v>
      </c>
      <c r="K444" s="31">
        <v>602</v>
      </c>
      <c r="L444" s="31">
        <v>313.42857142857144</v>
      </c>
      <c r="M444" s="67">
        <v>30.1</v>
      </c>
      <c r="N444" s="67">
        <v>83</v>
      </c>
      <c r="O444" s="68">
        <v>765.21800000000007</v>
      </c>
      <c r="P444" s="68">
        <v>438.25666666666666</v>
      </c>
      <c r="Q444" s="69">
        <v>0.47371467999968625</v>
      </c>
      <c r="R444" s="69">
        <v>0.15935173125599003</v>
      </c>
      <c r="S444" s="31">
        <v>349.42857142857144</v>
      </c>
      <c r="T444" s="31">
        <v>1620.5714285714287</v>
      </c>
      <c r="U444" s="69">
        <v>0.72926162260711025</v>
      </c>
      <c r="V444" s="69">
        <v>5.666666666666667</v>
      </c>
      <c r="W444" s="69">
        <v>10.64033252964397</v>
      </c>
      <c r="X444" s="69">
        <v>24.312129041268072</v>
      </c>
      <c r="Y444" s="69">
        <v>-5.4368737141715417E-2</v>
      </c>
      <c r="Z444" s="69">
        <v>-5.4096520763187494E-2</v>
      </c>
      <c r="AA444" s="69">
        <v>-0.4285714285714286</v>
      </c>
      <c r="AB444" s="69">
        <v>-0.27488210715136852</v>
      </c>
      <c r="AC444" s="69">
        <v>0.26895631248510488</v>
      </c>
      <c r="AD444" s="133"/>
      <c r="AE444" s="133"/>
      <c r="AF444" s="133"/>
    </row>
    <row r="445" spans="1:32" x14ac:dyDescent="0.25">
      <c r="A445" t="s">
        <v>91</v>
      </c>
      <c r="B445" t="s">
        <v>592</v>
      </c>
      <c r="C445" s="31">
        <v>6</v>
      </c>
      <c r="D445" s="31">
        <v>10</v>
      </c>
      <c r="E445" s="65">
        <v>6</v>
      </c>
      <c r="F445" s="31">
        <v>10</v>
      </c>
      <c r="G445" s="66">
        <v>4909.0199999999995</v>
      </c>
      <c r="H445" s="31">
        <v>6780.16</v>
      </c>
      <c r="I445" s="65">
        <v>1680.8100000000002</v>
      </c>
      <c r="J445" s="65">
        <v>2278.7600000000002</v>
      </c>
      <c r="K445" s="31">
        <v>94.285714285714292</v>
      </c>
      <c r="L445" s="31">
        <v>326.85714285714283</v>
      </c>
      <c r="M445" s="67">
        <v>15.714285714285715</v>
      </c>
      <c r="N445" s="67">
        <v>33.742857142857147</v>
      </c>
      <c r="O445" s="68">
        <v>818.17</v>
      </c>
      <c r="P445" s="68">
        <v>678.01599999999996</v>
      </c>
      <c r="Q445" s="69">
        <v>0.34239216788686955</v>
      </c>
      <c r="R445" s="69">
        <v>0.33609236360203892</v>
      </c>
      <c r="S445" s="31">
        <v>56</v>
      </c>
      <c r="T445" s="31">
        <v>563.14285714285711</v>
      </c>
      <c r="U445" s="69">
        <v>-0.71197552447552448</v>
      </c>
      <c r="V445" s="69">
        <v>-0.4</v>
      </c>
      <c r="W445" s="69">
        <v>-0.27597283839909392</v>
      </c>
      <c r="X445" s="69">
        <v>-0.26240148150748677</v>
      </c>
      <c r="Y445" s="69">
        <v>-9.5513948414866601E-2</v>
      </c>
      <c r="Z445" s="69">
        <v>-9.0909090909090828E-2</v>
      </c>
      <c r="AA445" s="69">
        <v>-0.33333333333333337</v>
      </c>
      <c r="AB445" s="69">
        <v>-0.14593804639995833</v>
      </c>
      <c r="AC445" s="69">
        <v>0.28109293040006245</v>
      </c>
      <c r="AD445" s="133"/>
      <c r="AE445" s="133"/>
      <c r="AF445" s="133"/>
    </row>
    <row r="446" spans="1:32" x14ac:dyDescent="0.25">
      <c r="A446" t="s">
        <v>91</v>
      </c>
      <c r="B446" t="s">
        <v>591</v>
      </c>
      <c r="C446" s="31">
        <v>8</v>
      </c>
      <c r="D446" s="31">
        <v>15</v>
      </c>
      <c r="E446" s="65">
        <v>10</v>
      </c>
      <c r="F446" s="31">
        <v>18</v>
      </c>
      <c r="G446" s="66">
        <v>1453.5599999999997</v>
      </c>
      <c r="H446" s="31">
        <v>3770.6700000000005</v>
      </c>
      <c r="I446" s="65">
        <v>-77.680000000000007</v>
      </c>
      <c r="J446" s="65">
        <v>948.35000000000082</v>
      </c>
      <c r="K446" s="31">
        <v>91</v>
      </c>
      <c r="L446" s="31">
        <v>576</v>
      </c>
      <c r="M446" s="67">
        <v>9.1</v>
      </c>
      <c r="N446" s="67">
        <v>33.30952380952381</v>
      </c>
      <c r="O446" s="68">
        <v>145.35599999999997</v>
      </c>
      <c r="P446" s="68">
        <v>209.48166666666668</v>
      </c>
      <c r="Q446" s="69">
        <v>-5.3441206417347766E-2</v>
      </c>
      <c r="R446" s="69">
        <v>0.25150702660269941</v>
      </c>
      <c r="S446" s="31">
        <v>78</v>
      </c>
      <c r="T446" s="31">
        <v>72</v>
      </c>
      <c r="U446" s="69">
        <v>-0.84548611111111116</v>
      </c>
      <c r="V446" s="69">
        <v>-0.44444444444444442</v>
      </c>
      <c r="W446" s="69">
        <v>-0.61450882734368173</v>
      </c>
      <c r="X446" s="69">
        <v>-1.081910686982654</v>
      </c>
      <c r="Y446" s="69">
        <v>-0.15407233188473091</v>
      </c>
      <c r="Z446" s="69">
        <v>-0.15629139072847686</v>
      </c>
      <c r="AA446" s="69">
        <v>0.66666666666666674</v>
      </c>
      <c r="AB446" s="69">
        <v>0.402630487016433</v>
      </c>
      <c r="AC446" s="69">
        <v>-0.1584217077901402</v>
      </c>
      <c r="AD446" s="133"/>
      <c r="AE446" s="133"/>
      <c r="AF446" s="133"/>
    </row>
    <row r="447" spans="1:32" x14ac:dyDescent="0.25">
      <c r="A447" t="s">
        <v>91</v>
      </c>
      <c r="B447" t="s">
        <v>594</v>
      </c>
      <c r="C447" s="31">
        <v>6</v>
      </c>
      <c r="D447" s="31">
        <v>4</v>
      </c>
      <c r="E447" s="65">
        <v>6</v>
      </c>
      <c r="F447" s="31">
        <v>5</v>
      </c>
      <c r="G447" s="66">
        <v>620.84999999999991</v>
      </c>
      <c r="H447" s="31">
        <v>670.84999999999991</v>
      </c>
      <c r="I447" s="65">
        <v>258.39000000000004</v>
      </c>
      <c r="J447" s="65">
        <v>429.99999999999989</v>
      </c>
      <c r="K447" s="31">
        <v>169.28571428571428</v>
      </c>
      <c r="L447" s="31">
        <v>502.71428571428572</v>
      </c>
      <c r="M447" s="67">
        <v>28.214285714285712</v>
      </c>
      <c r="N447" s="67">
        <v>106.05714285714286</v>
      </c>
      <c r="O447" s="68">
        <v>103.47499999999998</v>
      </c>
      <c r="P447" s="68">
        <v>134.16999999999999</v>
      </c>
      <c r="Q447" s="69">
        <v>0.41618748489973434</v>
      </c>
      <c r="R447" s="69">
        <v>0.64097786390400235</v>
      </c>
      <c r="S447" s="31">
        <v>21</v>
      </c>
      <c r="T447" s="31">
        <v>8.7142857142857135</v>
      </c>
      <c r="U447" s="69">
        <v>-0.66638249502699631</v>
      </c>
      <c r="V447" s="69">
        <v>0.19999999999999996</v>
      </c>
      <c r="W447" s="69">
        <v>-7.4532309756279336E-2</v>
      </c>
      <c r="X447" s="69">
        <v>-0.39909302325581408</v>
      </c>
      <c r="Y447" s="69">
        <v>-3.4026098689640683E-2</v>
      </c>
      <c r="Z447" s="69">
        <v>-4.2810985460420059E-2</v>
      </c>
      <c r="AA447" s="69">
        <v>0</v>
      </c>
      <c r="AB447" s="69">
        <v>-0.13511367435640276</v>
      </c>
      <c r="AC447" s="69">
        <v>-0.13511367435640276</v>
      </c>
      <c r="AD447" s="133"/>
      <c r="AE447" s="133"/>
      <c r="AF447" s="133"/>
    </row>
    <row r="448" spans="1:32" x14ac:dyDescent="0.25">
      <c r="A448" t="s">
        <v>91</v>
      </c>
      <c r="B448" t="s">
        <v>595</v>
      </c>
      <c r="C448" s="31">
        <v>1</v>
      </c>
      <c r="D448" s="31">
        <v>1</v>
      </c>
      <c r="E448" s="65">
        <v>1</v>
      </c>
      <c r="F448" s="31">
        <v>1</v>
      </c>
      <c r="G448" s="66">
        <v>231.81</v>
      </c>
      <c r="H448" s="31">
        <v>204.54</v>
      </c>
      <c r="I448" s="65">
        <v>35.01</v>
      </c>
      <c r="J448" s="65">
        <v>7.7399999999999807</v>
      </c>
      <c r="K448" s="31">
        <v>19.571428571428573</v>
      </c>
      <c r="L448" s="31">
        <v>52.142857142857146</v>
      </c>
      <c r="M448" s="67">
        <v>19.571428571428573</v>
      </c>
      <c r="N448" s="67">
        <v>53.142857142857146</v>
      </c>
      <c r="O448" s="68">
        <v>231.81</v>
      </c>
      <c r="P448" s="68">
        <v>204.54</v>
      </c>
      <c r="Q448" s="69">
        <v>0.15102885984211206</v>
      </c>
      <c r="R448" s="69">
        <v>3.7841009093575732E-2</v>
      </c>
      <c r="S448" s="31">
        <v>87</v>
      </c>
      <c r="T448" s="31">
        <v>60</v>
      </c>
      <c r="U448" s="69">
        <v>-0.62465753424657533</v>
      </c>
      <c r="V448" s="69">
        <v>0</v>
      </c>
      <c r="W448" s="69">
        <v>0.13332355529480799</v>
      </c>
      <c r="X448" s="69">
        <v>3.5232558139534982</v>
      </c>
      <c r="Y448" s="69">
        <v>-6.9970845481049593E-2</v>
      </c>
      <c r="Z448" s="69">
        <v>-6.8027210884353706E-2</v>
      </c>
      <c r="AA448" s="69">
        <v>0</v>
      </c>
      <c r="AB448" s="69">
        <v>-0.15000733352889417</v>
      </c>
      <c r="AC448" s="69">
        <v>-0.15000733352889417</v>
      </c>
      <c r="AD448" s="133"/>
      <c r="AE448" s="133"/>
      <c r="AF448" s="133"/>
    </row>
    <row r="449" spans="1:32" x14ac:dyDescent="0.25">
      <c r="A449" t="s">
        <v>91</v>
      </c>
      <c r="B449" t="s">
        <v>596</v>
      </c>
      <c r="C449" s="31"/>
      <c r="D449" s="31"/>
      <c r="E449" s="65"/>
      <c r="F449" s="31"/>
      <c r="G449" s="66"/>
      <c r="H449" s="31"/>
      <c r="I449" s="65"/>
      <c r="J449" s="65"/>
      <c r="K449" s="31">
        <v>8</v>
      </c>
      <c r="L449" s="31">
        <v>9</v>
      </c>
      <c r="M449" s="67"/>
      <c r="N449" s="67"/>
      <c r="O449" s="68"/>
      <c r="P449" s="68"/>
      <c r="Q449" s="69"/>
      <c r="R449" s="69"/>
      <c r="S449" s="31">
        <v>4</v>
      </c>
      <c r="T449" s="31"/>
      <c r="U449" s="69">
        <v>-0.11111111111111116</v>
      </c>
      <c r="V449" s="69"/>
      <c r="W449" s="69"/>
      <c r="X449" s="69"/>
      <c r="Y449" s="69">
        <v>0</v>
      </c>
      <c r="Z449" s="69">
        <v>0</v>
      </c>
      <c r="AA449" s="69"/>
      <c r="AB449" s="69"/>
      <c r="AC449" s="69"/>
      <c r="AD449" s="133"/>
      <c r="AE449" s="133"/>
      <c r="AF449" s="133"/>
    </row>
    <row r="450" spans="1:32" x14ac:dyDescent="0.25">
      <c r="A450" t="s">
        <v>91</v>
      </c>
      <c r="B450" t="s">
        <v>752</v>
      </c>
      <c r="C450" s="31"/>
      <c r="D450" s="31"/>
      <c r="E450" s="65"/>
      <c r="F450" s="31"/>
      <c r="G450" s="66"/>
      <c r="H450" s="31"/>
      <c r="I450" s="65"/>
      <c r="J450" s="65"/>
      <c r="K450" s="31"/>
      <c r="L450" s="31"/>
      <c r="M450" s="67"/>
      <c r="N450" s="67"/>
      <c r="O450" s="68"/>
      <c r="P450" s="68"/>
      <c r="Q450" s="69"/>
      <c r="R450" s="69"/>
      <c r="S450" s="31">
        <v>2</v>
      </c>
      <c r="T450" s="31"/>
      <c r="U450" s="69"/>
      <c r="V450" s="69"/>
      <c r="W450" s="69"/>
      <c r="X450" s="69"/>
      <c r="Y450" s="69"/>
      <c r="Z450" s="69"/>
      <c r="AA450" s="69"/>
      <c r="AB450" s="69"/>
      <c r="AC450" s="69"/>
      <c r="AD450" s="133"/>
      <c r="AE450" s="133"/>
      <c r="AF450" s="133"/>
    </row>
    <row r="451" spans="1:32" x14ac:dyDescent="0.25">
      <c r="A451" s="129" t="s">
        <v>817</v>
      </c>
      <c r="B451" s="129"/>
      <c r="C451" s="120">
        <v>4009</v>
      </c>
      <c r="D451" s="120">
        <v>3071</v>
      </c>
      <c r="E451" s="119">
        <v>5993</v>
      </c>
      <c r="F451" s="120">
        <v>4031</v>
      </c>
      <c r="G451" s="120">
        <v>4190585.8099999381</v>
      </c>
      <c r="H451" s="120">
        <v>2662140.0099999877</v>
      </c>
      <c r="I451" s="119">
        <v>1955640.6299999969</v>
      </c>
      <c r="J451" s="119">
        <v>1029106.6499999855</v>
      </c>
      <c r="K451" s="120">
        <v>60016.714285714283</v>
      </c>
      <c r="L451" s="120">
        <v>63076.285714285717</v>
      </c>
      <c r="M451" s="131">
        <v>10.014469261757764</v>
      </c>
      <c r="N451" s="131">
        <v>15.733425129087779</v>
      </c>
      <c r="O451" s="130">
        <v>699.24675621557458</v>
      </c>
      <c r="P451" s="130">
        <v>660.41677251302099</v>
      </c>
      <c r="Q451" s="132">
        <v>0.46667476068221253</v>
      </c>
      <c r="R451" s="132">
        <v>0.37680278012528562</v>
      </c>
      <c r="S451" s="120">
        <v>23456.714285714286</v>
      </c>
      <c r="T451" s="120">
        <v>45561.285714285717</v>
      </c>
      <c r="U451" s="132">
        <v>-8.1325560432492283E-2</v>
      </c>
      <c r="V451" s="132">
        <v>0.44728355246837004</v>
      </c>
      <c r="W451" s="132">
        <v>0.53209053043005472</v>
      </c>
      <c r="X451" s="132">
        <v>0.90168600525974441</v>
      </c>
      <c r="Y451" s="132">
        <v>-6.6403998915850915E-2</v>
      </c>
      <c r="Z451" s="132">
        <v>-7.1917414816909386E-2</v>
      </c>
      <c r="AA451" s="132">
        <v>-6.5346225826575122E-2</v>
      </c>
      <c r="AB451" s="132">
        <v>-9.2803529113111294E-3</v>
      </c>
      <c r="AC451" s="132">
        <v>5.9985712853774853E-2</v>
      </c>
      <c r="AD451" s="134">
        <v>0.22876409418865304</v>
      </c>
      <c r="AE451" s="134">
        <v>0.32597063604103499</v>
      </c>
      <c r="AF451" s="134">
        <v>0.24403381726863824</v>
      </c>
    </row>
    <row r="452" spans="1:32" x14ac:dyDescent="0.25">
      <c r="A452" t="s">
        <v>92</v>
      </c>
      <c r="B452" t="s">
        <v>92</v>
      </c>
      <c r="C452" s="31">
        <v>3928</v>
      </c>
      <c r="D452" s="31">
        <v>3595</v>
      </c>
      <c r="E452" s="65">
        <v>5729</v>
      </c>
      <c r="F452" s="31">
        <v>6501</v>
      </c>
      <c r="G452" s="66">
        <v>3637315.9899999839</v>
      </c>
      <c r="H452" s="31">
        <v>2517351.8799999473</v>
      </c>
      <c r="I452" s="65">
        <v>2358813.879999999</v>
      </c>
      <c r="J452" s="65">
        <v>1257107.0999999486</v>
      </c>
      <c r="K452" s="31">
        <v>46696.857142857145</v>
      </c>
      <c r="L452" s="31">
        <v>62967.142857142855</v>
      </c>
      <c r="M452" s="67">
        <v>8.1509612747176021</v>
      </c>
      <c r="N452" s="67">
        <v>9.8029349203961917</v>
      </c>
      <c r="O452" s="68">
        <v>634.89544248559673</v>
      </c>
      <c r="P452" s="68">
        <v>387.22533148745538</v>
      </c>
      <c r="Q452" s="69">
        <v>0.64850397559218087</v>
      </c>
      <c r="R452" s="69">
        <v>0.48686154927423098</v>
      </c>
      <c r="S452" s="31">
        <v>46945.571428571428</v>
      </c>
      <c r="T452" s="31">
        <v>17369.857142857141</v>
      </c>
      <c r="U452" s="69">
        <v>-0.28026862082265125</v>
      </c>
      <c r="V452" s="69">
        <v>-0.14136286725119207</v>
      </c>
      <c r="W452" s="69">
        <v>0.40762786805953422</v>
      </c>
      <c r="X452" s="69">
        <v>0.87786349435006916</v>
      </c>
      <c r="Y452" s="69">
        <v>-6.2894627278567317E-2</v>
      </c>
      <c r="Z452" s="69">
        <v>-6.9044574377493673E-2</v>
      </c>
      <c r="AA452" s="69">
        <v>6.2697087738823987E-2</v>
      </c>
      <c r="AB452" s="69">
        <v>3.1361324783278466E-2</v>
      </c>
      <c r="AC452" s="69">
        <v>-2.9487013107583504E-2</v>
      </c>
      <c r="AD452" s="133">
        <v>-0.26373738930197188</v>
      </c>
      <c r="AE452" s="133">
        <v>-4.5851473874887895E-2</v>
      </c>
      <c r="AF452" s="133">
        <v>0.13091354681473932</v>
      </c>
    </row>
    <row r="453" spans="1:32" x14ac:dyDescent="0.25">
      <c r="A453" t="s">
        <v>92</v>
      </c>
      <c r="B453" t="s">
        <v>582</v>
      </c>
      <c r="C453" s="31">
        <v>681</v>
      </c>
      <c r="D453" s="31">
        <v>672</v>
      </c>
      <c r="E453" s="65">
        <v>1472</v>
      </c>
      <c r="F453" s="31">
        <v>1483</v>
      </c>
      <c r="G453" s="66">
        <v>307151.09000000032</v>
      </c>
      <c r="H453" s="31">
        <v>214711.2600000001</v>
      </c>
      <c r="I453" s="65">
        <v>188206.85999999987</v>
      </c>
      <c r="J453" s="65">
        <v>113176.17000000007</v>
      </c>
      <c r="K453" s="31">
        <v>20838.857142857141</v>
      </c>
      <c r="L453" s="31">
        <v>20669</v>
      </c>
      <c r="M453" s="67">
        <v>14.156832298136646</v>
      </c>
      <c r="N453" s="67">
        <v>14.078599735799207</v>
      </c>
      <c r="O453" s="68">
        <v>208.66242527173935</v>
      </c>
      <c r="P453" s="68">
        <v>144.78169925826035</v>
      </c>
      <c r="Q453" s="69">
        <v>0.6127500963776481</v>
      </c>
      <c r="R453" s="69">
        <v>0.5162032318663341</v>
      </c>
      <c r="S453" s="31">
        <v>6709.7142857142853</v>
      </c>
      <c r="T453" s="31">
        <v>6555</v>
      </c>
      <c r="U453" s="69">
        <v>-3.4012288935120205E-2</v>
      </c>
      <c r="V453" s="69">
        <v>-3.8435603506405958E-2</v>
      </c>
      <c r="W453" s="69">
        <v>0.38581143811461138</v>
      </c>
      <c r="X453" s="69">
        <v>0.64555530549430373</v>
      </c>
      <c r="Y453" s="69">
        <v>2.2133311412152246E-2</v>
      </c>
      <c r="Z453" s="69">
        <v>2.76439259447121E-2</v>
      </c>
      <c r="AA453" s="69">
        <v>0.13492675404780252</v>
      </c>
      <c r="AB453" s="69">
        <v>0.11897579487073551</v>
      </c>
      <c r="AC453" s="69">
        <v>-1.405461552490217E-2</v>
      </c>
      <c r="AD453" s="133">
        <v>-0.27806144982034187</v>
      </c>
      <c r="AE453" s="133">
        <v>-1.3599874581784377E-3</v>
      </c>
      <c r="AF453" s="133">
        <v>0.11838771165128387</v>
      </c>
    </row>
    <row r="454" spans="1:32" x14ac:dyDescent="0.25">
      <c r="A454" t="s">
        <v>92</v>
      </c>
      <c r="B454" t="s">
        <v>583</v>
      </c>
      <c r="C454" s="31">
        <v>204</v>
      </c>
      <c r="D454" s="31">
        <v>254</v>
      </c>
      <c r="E454" s="65">
        <v>416</v>
      </c>
      <c r="F454" s="31">
        <v>529</v>
      </c>
      <c r="G454" s="66">
        <v>48546.659999999953</v>
      </c>
      <c r="H454" s="31">
        <v>47945.26999999988</v>
      </c>
      <c r="I454" s="65">
        <v>29215.560000000016</v>
      </c>
      <c r="J454" s="65">
        <v>30546.909999999847</v>
      </c>
      <c r="K454" s="31">
        <v>5375.5714285714284</v>
      </c>
      <c r="L454" s="31">
        <v>11061.285714285714</v>
      </c>
      <c r="M454" s="67">
        <v>12.922046703296703</v>
      </c>
      <c r="N454" s="67">
        <v>20.749486125385406</v>
      </c>
      <c r="O454" s="68">
        <v>116.69870192307681</v>
      </c>
      <c r="P454" s="68">
        <v>90.633780718336254</v>
      </c>
      <c r="Q454" s="69">
        <v>0.60180370802028493</v>
      </c>
      <c r="R454" s="69">
        <v>0.60635440325316614</v>
      </c>
      <c r="S454" s="31">
        <v>1231.7142857142858</v>
      </c>
      <c r="T454" s="31">
        <v>331.14285714285717</v>
      </c>
      <c r="U454" s="69">
        <v>-0.52395097444110084</v>
      </c>
      <c r="V454" s="69">
        <v>-0.23629489603024578</v>
      </c>
      <c r="W454" s="69">
        <v>-1.7033171363930899E-2</v>
      </c>
      <c r="X454" s="69">
        <v>-2.4605455588556313E-2</v>
      </c>
      <c r="Y454" s="69">
        <v>-6.41107452663775E-2</v>
      </c>
      <c r="Z454" s="69">
        <v>-6.2649461937026807E-2</v>
      </c>
      <c r="AA454" s="69">
        <v>0.15235457063711921</v>
      </c>
      <c r="AB454" s="69">
        <v>0.15353475206088096</v>
      </c>
      <c r="AC454" s="69">
        <v>1.0241478220627265E-3</v>
      </c>
      <c r="AD454" s="133">
        <v>-0.31090905506913363</v>
      </c>
      <c r="AE454" s="133">
        <v>-0.26118045975594828</v>
      </c>
      <c r="AF454" s="133">
        <v>-0.18010974431148238</v>
      </c>
    </row>
    <row r="455" spans="1:32" x14ac:dyDescent="0.25">
      <c r="A455" t="s">
        <v>92</v>
      </c>
      <c r="B455" t="s">
        <v>584</v>
      </c>
      <c r="C455" s="31">
        <v>12</v>
      </c>
      <c r="D455" s="31">
        <v>65</v>
      </c>
      <c r="E455" s="65">
        <v>15</v>
      </c>
      <c r="F455" s="31">
        <v>81</v>
      </c>
      <c r="G455" s="66">
        <v>1327.1399999999999</v>
      </c>
      <c r="H455" s="31">
        <v>7113.0100000000029</v>
      </c>
      <c r="I455" s="65">
        <v>445.59999999999997</v>
      </c>
      <c r="J455" s="65">
        <v>1221.6200000000026</v>
      </c>
      <c r="K455" s="31">
        <v>283.42857142857144</v>
      </c>
      <c r="L455" s="31">
        <v>2859.2857142857142</v>
      </c>
      <c r="M455" s="67">
        <v>18.895238095238096</v>
      </c>
      <c r="N455" s="67">
        <v>36.207317073170735</v>
      </c>
      <c r="O455" s="68">
        <v>88.475999999999985</v>
      </c>
      <c r="P455" s="68">
        <v>87.814938271604973</v>
      </c>
      <c r="Q455" s="69">
        <v>0.33575960335759603</v>
      </c>
      <c r="R455" s="69">
        <v>0.1693103653778725</v>
      </c>
      <c r="S455" s="31">
        <v>97</v>
      </c>
      <c r="T455" s="31">
        <v>62.142857142857146</v>
      </c>
      <c r="U455" s="69">
        <v>-0.90122408193854608</v>
      </c>
      <c r="V455" s="69">
        <v>-0.81481481481481488</v>
      </c>
      <c r="W455" s="69">
        <v>-0.81342075998768459</v>
      </c>
      <c r="X455" s="69">
        <v>-0.62178311944048414</v>
      </c>
      <c r="Y455" s="69">
        <v>-5.1001336221596749E-2</v>
      </c>
      <c r="Z455" s="69">
        <v>-5.2983293556085886E-2</v>
      </c>
      <c r="AA455" s="69">
        <v>0.15384615384615374</v>
      </c>
      <c r="AB455" s="69">
        <v>0.23207322960377263</v>
      </c>
      <c r="AC455" s="69">
        <v>6.7796798989936402E-2</v>
      </c>
      <c r="AD455" s="133"/>
      <c r="AE455" s="133"/>
      <c r="AF455" s="133"/>
    </row>
    <row r="456" spans="1:32" x14ac:dyDescent="0.25">
      <c r="A456" t="s">
        <v>92</v>
      </c>
      <c r="B456" t="s">
        <v>753</v>
      </c>
      <c r="C456" s="31">
        <v>4</v>
      </c>
      <c r="D456" s="31"/>
      <c r="E456" s="65">
        <v>5</v>
      </c>
      <c r="F456" s="31"/>
      <c r="G456" s="66">
        <v>454.50000000000006</v>
      </c>
      <c r="H456" s="31"/>
      <c r="I456" s="65">
        <v>-495.49999999999994</v>
      </c>
      <c r="J456" s="65"/>
      <c r="K456" s="31">
        <v>149.85714285714286</v>
      </c>
      <c r="L456" s="31"/>
      <c r="M456" s="67">
        <v>29.971428571428572</v>
      </c>
      <c r="N456" s="67"/>
      <c r="O456" s="68">
        <v>90.9</v>
      </c>
      <c r="P456" s="68"/>
      <c r="Q456" s="69">
        <v>-1.09020902090209</v>
      </c>
      <c r="R456" s="69"/>
      <c r="S456" s="31"/>
      <c r="T456" s="31"/>
      <c r="U456" s="69"/>
      <c r="V456" s="69"/>
      <c r="W456" s="69"/>
      <c r="X456" s="69"/>
      <c r="Y456" s="69">
        <v>-7.5685903500473106E-3</v>
      </c>
      <c r="Z456" s="69">
        <v>-7.5685903500473106E-3</v>
      </c>
      <c r="AA456" s="69"/>
      <c r="AB456" s="69"/>
      <c r="AC456" s="69"/>
      <c r="AD456" s="133"/>
      <c r="AE456" s="133"/>
      <c r="AF456" s="133"/>
    </row>
    <row r="457" spans="1:32" x14ac:dyDescent="0.25">
      <c r="A457" t="s">
        <v>92</v>
      </c>
      <c r="B457" t="s">
        <v>589</v>
      </c>
      <c r="C457" s="31">
        <v>16</v>
      </c>
      <c r="D457" s="31">
        <v>1</v>
      </c>
      <c r="E457" s="65">
        <v>29</v>
      </c>
      <c r="F457" s="31">
        <v>1</v>
      </c>
      <c r="G457" s="66">
        <v>90.88</v>
      </c>
      <c r="H457" s="31">
        <v>113.63</v>
      </c>
      <c r="I457" s="65">
        <v>-5709.12</v>
      </c>
      <c r="J457" s="65">
        <v>36.019999999999996</v>
      </c>
      <c r="K457" s="31">
        <v>110.42857142857143</v>
      </c>
      <c r="L457" s="31">
        <v>3.8571428571428572</v>
      </c>
      <c r="M457" s="67">
        <v>3.8078817733990147</v>
      </c>
      <c r="N457" s="67">
        <v>3.8571428571428572</v>
      </c>
      <c r="O457" s="68">
        <v>3.1337931034482756</v>
      </c>
      <c r="P457" s="68">
        <v>113.63</v>
      </c>
      <c r="Q457" s="69">
        <v>-62.820422535211272</v>
      </c>
      <c r="R457" s="69">
        <v>0.31699375165009236</v>
      </c>
      <c r="S457" s="31">
        <v>16</v>
      </c>
      <c r="T457" s="31"/>
      <c r="U457" s="69">
        <v>-0.7407407407407407</v>
      </c>
      <c r="V457" s="69">
        <v>-1</v>
      </c>
      <c r="W457" s="69">
        <v>-1</v>
      </c>
      <c r="X457" s="69">
        <v>-1</v>
      </c>
      <c r="Y457" s="69">
        <v>-6.4504252868841871E-2</v>
      </c>
      <c r="Z457" s="69">
        <v>-6.4164648910411626E-2</v>
      </c>
      <c r="AA457" s="69">
        <v>28</v>
      </c>
      <c r="AB457" s="69">
        <v>0.24989685050199428</v>
      </c>
      <c r="AC457" s="69">
        <v>-0.95690010860337948</v>
      </c>
      <c r="AD457" s="133"/>
      <c r="AE457" s="133"/>
      <c r="AF457" s="133"/>
    </row>
    <row r="458" spans="1:32" x14ac:dyDescent="0.25">
      <c r="A458" t="s">
        <v>92</v>
      </c>
      <c r="B458" t="s">
        <v>588</v>
      </c>
      <c r="C458" s="31"/>
      <c r="D458" s="31"/>
      <c r="E458" s="65"/>
      <c r="F458" s="31"/>
      <c r="G458" s="66"/>
      <c r="H458" s="31"/>
      <c r="I458" s="65"/>
      <c r="J458" s="65"/>
      <c r="K458" s="31"/>
      <c r="L458" s="31">
        <v>-1</v>
      </c>
      <c r="M458" s="67"/>
      <c r="N458" s="67"/>
      <c r="O458" s="68"/>
      <c r="P458" s="68"/>
      <c r="Q458" s="69"/>
      <c r="R458" s="69"/>
      <c r="S458" s="31"/>
      <c r="T458" s="31">
        <v>1</v>
      </c>
      <c r="U458" s="69"/>
      <c r="V458" s="69"/>
      <c r="W458" s="69"/>
      <c r="X458" s="69"/>
      <c r="Y458" s="69"/>
      <c r="Z458" s="69"/>
      <c r="AA458" s="69"/>
      <c r="AB458" s="69"/>
      <c r="AC458" s="69"/>
      <c r="AD458" s="133"/>
      <c r="AE458" s="133"/>
      <c r="AF458" s="133"/>
    </row>
    <row r="459" spans="1:32" x14ac:dyDescent="0.25">
      <c r="A459" t="s">
        <v>92</v>
      </c>
      <c r="B459" t="s">
        <v>585</v>
      </c>
      <c r="C459" s="31"/>
      <c r="D459" s="31">
        <v>5</v>
      </c>
      <c r="E459" s="65"/>
      <c r="F459" s="31">
        <v>6</v>
      </c>
      <c r="G459" s="66"/>
      <c r="H459" s="31">
        <v>206.01</v>
      </c>
      <c r="I459" s="65"/>
      <c r="J459" s="65">
        <v>28.019999999999982</v>
      </c>
      <c r="K459" s="31">
        <v>7</v>
      </c>
      <c r="L459" s="31">
        <v>22.714285714285715</v>
      </c>
      <c r="M459" s="67"/>
      <c r="N459" s="67">
        <v>3.785714285714286</v>
      </c>
      <c r="O459" s="68"/>
      <c r="P459" s="68">
        <v>34.335000000000001</v>
      </c>
      <c r="Q459" s="69"/>
      <c r="R459" s="69">
        <v>0.1360128149118974</v>
      </c>
      <c r="S459" s="31">
        <v>3</v>
      </c>
      <c r="T459" s="31">
        <v>8.7142857142857135</v>
      </c>
      <c r="U459" s="69">
        <v>-0.69182389937106925</v>
      </c>
      <c r="V459" s="69"/>
      <c r="W459" s="69"/>
      <c r="X459" s="69"/>
      <c r="Y459" s="69">
        <v>-0.10988323023522173</v>
      </c>
      <c r="Z459" s="69">
        <v>-0.10909090909090902</v>
      </c>
      <c r="AA459" s="69"/>
      <c r="AB459" s="69"/>
      <c r="AC459" s="69"/>
      <c r="AD459" s="133"/>
      <c r="AE459" s="133"/>
      <c r="AF459" s="133"/>
    </row>
    <row r="460" spans="1:32" x14ac:dyDescent="0.25">
      <c r="A460" t="s">
        <v>92</v>
      </c>
      <c r="B460" t="s">
        <v>587</v>
      </c>
      <c r="C460" s="31"/>
      <c r="D460" s="31"/>
      <c r="E460" s="65"/>
      <c r="F460" s="31"/>
      <c r="G460" s="66"/>
      <c r="H460" s="31"/>
      <c r="I460" s="65"/>
      <c r="J460" s="65"/>
      <c r="K460" s="31"/>
      <c r="L460" s="31">
        <v>1</v>
      </c>
      <c r="M460" s="67"/>
      <c r="N460" s="67"/>
      <c r="O460" s="68"/>
      <c r="P460" s="68"/>
      <c r="Q460" s="69"/>
      <c r="R460" s="69"/>
      <c r="S460" s="31"/>
      <c r="T460" s="31">
        <v>1</v>
      </c>
      <c r="U460" s="69"/>
      <c r="V460" s="69"/>
      <c r="W460" s="69"/>
      <c r="X460" s="69"/>
      <c r="Y460" s="69"/>
      <c r="Z460" s="69"/>
      <c r="AA460" s="69"/>
      <c r="AB460" s="69"/>
      <c r="AC460" s="69"/>
      <c r="AD460" s="133"/>
      <c r="AE460" s="133"/>
      <c r="AF460" s="133"/>
    </row>
    <row r="461" spans="1:32" x14ac:dyDescent="0.25">
      <c r="A461" t="s">
        <v>92</v>
      </c>
      <c r="B461" t="s">
        <v>586</v>
      </c>
      <c r="C461" s="31"/>
      <c r="D461" s="31"/>
      <c r="E461" s="65"/>
      <c r="F461" s="31"/>
      <c r="G461" s="66"/>
      <c r="H461" s="31"/>
      <c r="I461" s="65"/>
      <c r="J461" s="65"/>
      <c r="K461" s="31"/>
      <c r="L461" s="31">
        <v>1</v>
      </c>
      <c r="M461" s="67"/>
      <c r="N461" s="67"/>
      <c r="O461" s="68"/>
      <c r="P461" s="68"/>
      <c r="Q461" s="69"/>
      <c r="R461" s="69"/>
      <c r="S461" s="31">
        <v>0</v>
      </c>
      <c r="T461" s="31">
        <v>0</v>
      </c>
      <c r="U461" s="69"/>
      <c r="V461" s="69"/>
      <c r="W461" s="69"/>
      <c r="X461" s="69"/>
      <c r="Y461" s="69"/>
      <c r="Z461" s="69"/>
      <c r="AA461" s="69"/>
      <c r="AB461" s="69"/>
      <c r="AC461" s="69"/>
      <c r="AD461" s="133"/>
      <c r="AE461" s="133"/>
      <c r="AF461" s="133"/>
    </row>
    <row r="462" spans="1:32" x14ac:dyDescent="0.25">
      <c r="A462" s="129" t="s">
        <v>818</v>
      </c>
      <c r="B462" s="129"/>
      <c r="C462" s="120">
        <v>4661</v>
      </c>
      <c r="D462" s="120">
        <v>4421</v>
      </c>
      <c r="E462" s="119">
        <v>7666</v>
      </c>
      <c r="F462" s="120">
        <v>8601</v>
      </c>
      <c r="G462" s="120">
        <v>3994886.2600000147</v>
      </c>
      <c r="H462" s="120">
        <v>2787441.05999996</v>
      </c>
      <c r="I462" s="119">
        <v>2570477.2799999961</v>
      </c>
      <c r="J462" s="119">
        <v>1402115.8399999614</v>
      </c>
      <c r="K462" s="120">
        <v>73462</v>
      </c>
      <c r="L462" s="120">
        <v>97585.142857142855</v>
      </c>
      <c r="M462" s="131">
        <v>9.5828332898512922</v>
      </c>
      <c r="N462" s="131">
        <v>11.470124562086415</v>
      </c>
      <c r="O462" s="130">
        <v>521.11743542916963</v>
      </c>
      <c r="P462" s="130">
        <v>324.08336937564934</v>
      </c>
      <c r="Q462" s="132">
        <v>0.64344191866929068</v>
      </c>
      <c r="R462" s="132">
        <v>0.4903835185629612</v>
      </c>
      <c r="S462" s="120">
        <v>55000.857142857145</v>
      </c>
      <c r="T462" s="120">
        <v>24328.857142857141</v>
      </c>
      <c r="U462" s="132">
        <v>-0.27405372012132989</v>
      </c>
      <c r="V462" s="132">
        <v>-0.13649575630740607</v>
      </c>
      <c r="W462" s="132">
        <v>0.39536573017262389</v>
      </c>
      <c r="X462" s="132">
        <v>0.83839307073692959</v>
      </c>
      <c r="Y462" s="132">
        <v>-5.2694974284608009E-2</v>
      </c>
      <c r="Z462" s="132">
        <v>-4.2833264463578935E-2</v>
      </c>
      <c r="AA462" s="132">
        <v>8.5374486761999213E-2</v>
      </c>
      <c r="AB462" s="132">
        <v>3.9133022188367894E-2</v>
      </c>
      <c r="AC462" s="132">
        <v>-4.2604156572339957E-2</v>
      </c>
      <c r="AD462" s="134">
        <v>-0.26457041798686154</v>
      </c>
      <c r="AE462" s="134">
        <v>-4.551510983699588E-2</v>
      </c>
      <c r="AF462" s="134">
        <v>0.12263737284705474</v>
      </c>
    </row>
    <row r="463" spans="1:32" x14ac:dyDescent="0.25">
      <c r="A463" t="s">
        <v>100</v>
      </c>
      <c r="B463" t="s">
        <v>100</v>
      </c>
      <c r="C463" s="31">
        <v>3549</v>
      </c>
      <c r="D463" s="31">
        <v>2839</v>
      </c>
      <c r="E463" s="65">
        <v>6493</v>
      </c>
      <c r="F463" s="31">
        <v>3550</v>
      </c>
      <c r="G463" s="66">
        <v>2598177.4799999991</v>
      </c>
      <c r="H463" s="31">
        <v>1796676.6300000148</v>
      </c>
      <c r="I463" s="65">
        <v>149642.71000000276</v>
      </c>
      <c r="J463" s="65">
        <v>480464.52000001213</v>
      </c>
      <c r="K463" s="31">
        <v>15311</v>
      </c>
      <c r="L463" s="31">
        <v>31426.714285714286</v>
      </c>
      <c r="M463" s="67">
        <v>2.3580779300785459</v>
      </c>
      <c r="N463" s="67">
        <v>9.1198284761375366</v>
      </c>
      <c r="O463" s="68">
        <v>400.15054366240554</v>
      </c>
      <c r="P463" s="68">
        <v>506.10609295775066</v>
      </c>
      <c r="Q463" s="69">
        <v>5.7595260967315758E-2</v>
      </c>
      <c r="R463" s="69">
        <v>0.26377159305596931</v>
      </c>
      <c r="S463" s="31">
        <v>26007.285714285714</v>
      </c>
      <c r="T463" s="31">
        <v>143318.28571428571</v>
      </c>
      <c r="U463" s="69">
        <v>-0.5306495383818135</v>
      </c>
      <c r="V463" s="69">
        <v>0.7064788732394367</v>
      </c>
      <c r="W463" s="69">
        <v>0.40203606922853585</v>
      </c>
      <c r="X463" s="69">
        <v>-0.63776178786346782</v>
      </c>
      <c r="Y463" s="69">
        <v>-0.26061779204527347</v>
      </c>
      <c r="Z463" s="69">
        <v>-0.26116928506924575</v>
      </c>
      <c r="AA463" s="69">
        <v>0.40177029360967187</v>
      </c>
      <c r="AB463" s="69">
        <v>0.14361424098614917</v>
      </c>
      <c r="AC463" s="69">
        <v>-0.18416430552166285</v>
      </c>
      <c r="AD463" s="133">
        <v>0.71140209720426528</v>
      </c>
      <c r="AE463" s="133">
        <v>0.18775276672080396</v>
      </c>
      <c r="AF463" s="133">
        <v>-0.81410028734087581</v>
      </c>
    </row>
    <row r="464" spans="1:32" x14ac:dyDescent="0.25">
      <c r="A464" t="s">
        <v>100</v>
      </c>
      <c r="B464" t="s">
        <v>427</v>
      </c>
      <c r="C464" s="31">
        <v>1349</v>
      </c>
      <c r="D464" s="31">
        <v>2535</v>
      </c>
      <c r="E464" s="65">
        <v>1901</v>
      </c>
      <c r="F464" s="31">
        <v>3309</v>
      </c>
      <c r="G464" s="66">
        <v>648785.94999999506</v>
      </c>
      <c r="H464" s="31">
        <v>913251.39000001946</v>
      </c>
      <c r="I464" s="65">
        <v>242697.42000000007</v>
      </c>
      <c r="J464" s="65">
        <v>205892.87000001979</v>
      </c>
      <c r="K464" s="31">
        <v>14078.428571428571</v>
      </c>
      <c r="L464" s="31">
        <v>24080.142857142859</v>
      </c>
      <c r="M464" s="67">
        <v>7.4058014578793117</v>
      </c>
      <c r="N464" s="67">
        <v>7.6236312706900948</v>
      </c>
      <c r="O464" s="68">
        <v>341.28666491320098</v>
      </c>
      <c r="P464" s="68">
        <v>275.99014505893609</v>
      </c>
      <c r="Q464" s="69">
        <v>0.37407934003503301</v>
      </c>
      <c r="R464" s="69">
        <v>0.22188741340205986</v>
      </c>
      <c r="S464" s="31">
        <v>13351</v>
      </c>
      <c r="T464" s="31">
        <v>94376.571428571435</v>
      </c>
      <c r="U464" s="69">
        <v>-0.43775843759825828</v>
      </c>
      <c r="V464" s="69">
        <v>-0.50951949229374427</v>
      </c>
      <c r="W464" s="69">
        <v>-0.36222204928701562</v>
      </c>
      <c r="X464" s="69">
        <v>0.15428613068697961</v>
      </c>
      <c r="Y464" s="69">
        <v>-9.905333446151976E-2</v>
      </c>
      <c r="Z464" s="69">
        <v>-9.7792751142075085E-2</v>
      </c>
      <c r="AA464" s="69">
        <v>0.51958433253397285</v>
      </c>
      <c r="AB464" s="69">
        <v>0.25387898221009975</v>
      </c>
      <c r="AC464" s="69">
        <v>-0.1748539680458524</v>
      </c>
      <c r="AD464" s="133">
        <v>-0.37268732073038729</v>
      </c>
      <c r="AE464" s="133">
        <v>-0.24375687851701161</v>
      </c>
      <c r="AF464" s="133">
        <v>-0.18853358306820611</v>
      </c>
    </row>
    <row r="465" spans="1:32" x14ac:dyDescent="0.25">
      <c r="A465" t="s">
        <v>100</v>
      </c>
      <c r="B465" t="s">
        <v>428</v>
      </c>
      <c r="C465" s="31">
        <v>135</v>
      </c>
      <c r="D465" s="31">
        <v>77</v>
      </c>
      <c r="E465" s="65">
        <v>215</v>
      </c>
      <c r="F465" s="31">
        <v>82</v>
      </c>
      <c r="G465" s="66">
        <v>42813.720000000016</v>
      </c>
      <c r="H465" s="31">
        <v>26600.749999999985</v>
      </c>
      <c r="I465" s="65">
        <v>-2582.2800000000002</v>
      </c>
      <c r="J465" s="65">
        <v>9757.8799999999865</v>
      </c>
      <c r="K465" s="31">
        <v>3119.8571428571427</v>
      </c>
      <c r="L465" s="31">
        <v>3567.7142857142858</v>
      </c>
      <c r="M465" s="67">
        <v>14.510963455149501</v>
      </c>
      <c r="N465" s="67">
        <v>44.728222996515683</v>
      </c>
      <c r="O465" s="68">
        <v>199.1335813953489</v>
      </c>
      <c r="P465" s="68">
        <v>324.39939024390225</v>
      </c>
      <c r="Q465" s="69">
        <v>-6.0314310459357402E-2</v>
      </c>
      <c r="R465" s="69">
        <v>0.36682725111134051</v>
      </c>
      <c r="S465" s="31">
        <v>1534</v>
      </c>
      <c r="T465" s="31">
        <v>8583.2857142857138</v>
      </c>
      <c r="U465" s="69">
        <v>-0.134459838231761</v>
      </c>
      <c r="V465" s="69">
        <v>1.6219512195121952</v>
      </c>
      <c r="W465" s="69">
        <v>0.60949296542390874</v>
      </c>
      <c r="X465" s="69">
        <v>-1.2646353511213488</v>
      </c>
      <c r="Y465" s="69">
        <v>-5.1384875176354594E-2</v>
      </c>
      <c r="Z465" s="69">
        <v>-5.2126736111111183E-2</v>
      </c>
      <c r="AA465" s="69">
        <v>0.6796875</v>
      </c>
      <c r="AB465" s="69">
        <v>0.49324071697228811</v>
      </c>
      <c r="AC465" s="69">
        <v>-0.11100087547696336</v>
      </c>
      <c r="AD465" s="133"/>
      <c r="AE465" s="133"/>
      <c r="AF465" s="133"/>
    </row>
    <row r="466" spans="1:32" x14ac:dyDescent="0.25">
      <c r="A466" t="s">
        <v>100</v>
      </c>
      <c r="B466" t="s">
        <v>429</v>
      </c>
      <c r="C466" s="31">
        <v>62</v>
      </c>
      <c r="D466" s="31">
        <v>46</v>
      </c>
      <c r="E466" s="65">
        <v>141</v>
      </c>
      <c r="F466" s="31">
        <v>55</v>
      </c>
      <c r="G466" s="66">
        <v>17479.050000000028</v>
      </c>
      <c r="H466" s="31">
        <v>21267.470000000008</v>
      </c>
      <c r="I466" s="65">
        <v>-10373.67</v>
      </c>
      <c r="J466" s="65">
        <v>6317.9100000000108</v>
      </c>
      <c r="K466" s="31">
        <v>309.71428571428572</v>
      </c>
      <c r="L466" s="31">
        <v>1635</v>
      </c>
      <c r="M466" s="67">
        <v>2.1965552178318135</v>
      </c>
      <c r="N466" s="67">
        <v>30.428571428571427</v>
      </c>
      <c r="O466" s="68">
        <v>123.96489361702147</v>
      </c>
      <c r="P466" s="68">
        <v>386.68127272727287</v>
      </c>
      <c r="Q466" s="69">
        <v>-0.5934916371313077</v>
      </c>
      <c r="R466" s="69">
        <v>0.29423933763071125</v>
      </c>
      <c r="S466" s="31">
        <v>147.57142857142858</v>
      </c>
      <c r="T466" s="31">
        <v>520.57142857142856</v>
      </c>
      <c r="U466" s="69">
        <v>-0.8119702927042376</v>
      </c>
      <c r="V466" s="69">
        <v>1.5272727272727273</v>
      </c>
      <c r="W466" s="69">
        <v>-0.22087723645548696</v>
      </c>
      <c r="X466" s="69">
        <v>-2.701516476410271</v>
      </c>
      <c r="Y466" s="69">
        <v>-0.150304258835956</v>
      </c>
      <c r="Z466" s="69">
        <v>-0.15279406017975761</v>
      </c>
      <c r="AA466" s="69">
        <v>6.833333333333333</v>
      </c>
      <c r="AB466" s="69">
        <v>3.6161250963945859</v>
      </c>
      <c r="AC466" s="69">
        <v>-0.41070743450281877</v>
      </c>
      <c r="AD466" s="133"/>
      <c r="AE466" s="133"/>
      <c r="AF466" s="133"/>
    </row>
    <row r="467" spans="1:32" x14ac:dyDescent="0.25">
      <c r="A467" s="129" t="s">
        <v>820</v>
      </c>
      <c r="B467" s="129"/>
      <c r="C467" s="120">
        <v>4987</v>
      </c>
      <c r="D467" s="120">
        <v>5344</v>
      </c>
      <c r="E467" s="119">
        <v>8750</v>
      </c>
      <c r="F467" s="120">
        <v>6996</v>
      </c>
      <c r="G467" s="120">
        <v>3307256.2000000072</v>
      </c>
      <c r="H467" s="120">
        <v>2757796.2400000058</v>
      </c>
      <c r="I467" s="119">
        <v>379384.17999999563</v>
      </c>
      <c r="J467" s="119">
        <v>702433.18000000762</v>
      </c>
      <c r="K467" s="120">
        <v>32819</v>
      </c>
      <c r="L467" s="120">
        <v>60709.571428571428</v>
      </c>
      <c r="M467" s="131">
        <v>3.7507428571428569</v>
      </c>
      <c r="N467" s="131">
        <v>8.989862010701211</v>
      </c>
      <c r="O467" s="130">
        <v>377.97213714285795</v>
      </c>
      <c r="P467" s="130">
        <v>394.19614636935472</v>
      </c>
      <c r="Q467" s="132">
        <v>0.1147126672557133</v>
      </c>
      <c r="R467" s="132">
        <v>0.25109264376522489</v>
      </c>
      <c r="S467" s="120">
        <v>41039.857142857145</v>
      </c>
      <c r="T467" s="120">
        <v>246798.71428571429</v>
      </c>
      <c r="U467" s="132">
        <v>-0.47809829939736492</v>
      </c>
      <c r="V467" s="132">
        <v>0.14851343624928526</v>
      </c>
      <c r="W467" s="132">
        <v>0.14614730564719713</v>
      </c>
      <c r="X467" s="132">
        <v>-0.43309412305362305</v>
      </c>
      <c r="Y467" s="132">
        <v>-0.20361216035930529</v>
      </c>
      <c r="Z467" s="132">
        <v>-0.17921134147692153</v>
      </c>
      <c r="AA467" s="132">
        <v>0.45131862663791678</v>
      </c>
      <c r="AB467" s="132">
        <v>0.17204544058345173</v>
      </c>
      <c r="AC467" s="132">
        <v>-0.19242720442541372</v>
      </c>
      <c r="AD467" s="134">
        <v>0.28217303682713052</v>
      </c>
      <c r="AE467" s="134">
        <v>8.5991342911322668E-2</v>
      </c>
      <c r="AF467" s="134">
        <v>-0.65637037984987534</v>
      </c>
    </row>
    <row r="468" spans="1:32" x14ac:dyDescent="0.25">
      <c r="A468" t="s">
        <v>85</v>
      </c>
      <c r="B468" t="s">
        <v>597</v>
      </c>
      <c r="C468" s="31">
        <v>2184</v>
      </c>
      <c r="D468" s="31">
        <v>1870</v>
      </c>
      <c r="E468" s="65">
        <v>4479</v>
      </c>
      <c r="F468" s="31">
        <v>3848</v>
      </c>
      <c r="G468" s="66">
        <v>2094259.9999999944</v>
      </c>
      <c r="H468" s="31">
        <v>1125662.099999994</v>
      </c>
      <c r="I468" s="65">
        <v>1267121.0299999935</v>
      </c>
      <c r="J468" s="65">
        <v>526191.92999999842</v>
      </c>
      <c r="K468" s="31">
        <v>72669.28571428571</v>
      </c>
      <c r="L468" s="31">
        <v>84579.28571428571</v>
      </c>
      <c r="M468" s="67">
        <v>16.224444231811948</v>
      </c>
      <c r="N468" s="67">
        <v>22.044144696505214</v>
      </c>
      <c r="O468" s="68">
        <v>467.57311899977549</v>
      </c>
      <c r="P468" s="68">
        <v>292.53173076922923</v>
      </c>
      <c r="Q468" s="69">
        <v>0.60504475566548421</v>
      </c>
      <c r="R468" s="69">
        <v>0.45415394104124984</v>
      </c>
      <c r="S468" s="31">
        <v>22188.142857142859</v>
      </c>
      <c r="T468" s="31">
        <v>22288</v>
      </c>
      <c r="U468" s="69">
        <v>-0.16547449139015791</v>
      </c>
      <c r="V468" s="69">
        <v>0.12344074844074848</v>
      </c>
      <c r="W468" s="69">
        <v>0.79609984203963857</v>
      </c>
      <c r="X468" s="69">
        <v>1.396220279655648</v>
      </c>
      <c r="Y468" s="69">
        <v>-5.138065229826394E-2</v>
      </c>
      <c r="Z468" s="69">
        <v>-4.9430332793284792E-2</v>
      </c>
      <c r="AA468" s="69">
        <v>0.22176759410801972</v>
      </c>
      <c r="AB468" s="69">
        <v>7.7515872169052535E-2</v>
      </c>
      <c r="AC468" s="69">
        <v>-0.11806805372365559</v>
      </c>
      <c r="AD468" s="133">
        <v>0.33136556373477927</v>
      </c>
      <c r="AE468" s="133">
        <v>0.62470677443010358</v>
      </c>
      <c r="AF468" s="133">
        <v>1.1325795807237209</v>
      </c>
    </row>
    <row r="469" spans="1:32" x14ac:dyDescent="0.25">
      <c r="A469" t="s">
        <v>85</v>
      </c>
      <c r="B469" t="s">
        <v>598</v>
      </c>
      <c r="C469" s="31">
        <v>550</v>
      </c>
      <c r="D469" s="31">
        <v>289</v>
      </c>
      <c r="E469" s="65">
        <v>745</v>
      </c>
      <c r="F469" s="31">
        <v>383</v>
      </c>
      <c r="G469" s="66">
        <v>546741.67999999982</v>
      </c>
      <c r="H469" s="31">
        <v>176059.64000000013</v>
      </c>
      <c r="I469" s="65">
        <v>317226.38000000059</v>
      </c>
      <c r="J469" s="65">
        <v>78891.730000000243</v>
      </c>
      <c r="K469" s="31">
        <v>11977.142857142857</v>
      </c>
      <c r="L469" s="31">
        <v>10444.428571428571</v>
      </c>
      <c r="M469" s="67">
        <v>16.076701821668266</v>
      </c>
      <c r="N469" s="67">
        <v>27.840144665461121</v>
      </c>
      <c r="O469" s="68">
        <v>733.88144966442928</v>
      </c>
      <c r="P469" s="68">
        <v>459.68574412532672</v>
      </c>
      <c r="Q469" s="69">
        <v>0.58021254205459638</v>
      </c>
      <c r="R469" s="69">
        <v>0.43595789630972487</v>
      </c>
      <c r="S469" s="31">
        <v>1190.5714285714287</v>
      </c>
      <c r="T469" s="31">
        <v>527.57142857142856</v>
      </c>
      <c r="U469" s="69">
        <v>0.11951689896185269</v>
      </c>
      <c r="V469" s="69">
        <v>0.86684073107049597</v>
      </c>
      <c r="W469" s="69">
        <v>1.957790666844482</v>
      </c>
      <c r="X469" s="69">
        <v>2.914415017421641</v>
      </c>
      <c r="Y469" s="69">
        <v>-5.0140704502903866E-2</v>
      </c>
      <c r="Z469" s="69">
        <v>-5.0982522865163582E-2</v>
      </c>
      <c r="AA469" s="69">
        <v>0.3745387453874538</v>
      </c>
      <c r="AB469" s="69">
        <v>0.2459108890007411</v>
      </c>
      <c r="AC469" s="69">
        <v>-9.3578923706843398E-2</v>
      </c>
      <c r="AD469" s="133">
        <v>1.0828533917240548</v>
      </c>
      <c r="AE469" s="133">
        <v>1.8135433393695795</v>
      </c>
      <c r="AF469" s="133">
        <v>2.6566996593160304</v>
      </c>
    </row>
    <row r="470" spans="1:32" x14ac:dyDescent="0.25">
      <c r="A470" t="s">
        <v>85</v>
      </c>
      <c r="B470" t="s">
        <v>600</v>
      </c>
      <c r="C470" s="31">
        <v>31</v>
      </c>
      <c r="D470" s="31">
        <v>60</v>
      </c>
      <c r="E470" s="65">
        <v>74</v>
      </c>
      <c r="F470" s="31">
        <v>150</v>
      </c>
      <c r="G470" s="66">
        <v>23508.31</v>
      </c>
      <c r="H470" s="31">
        <v>33133.449999999997</v>
      </c>
      <c r="I470" s="65">
        <v>13112.57</v>
      </c>
      <c r="J470" s="65">
        <v>17845.969999999994</v>
      </c>
      <c r="K470" s="31">
        <v>1527.4285714285713</v>
      </c>
      <c r="L470" s="31">
        <v>2265.1428571428573</v>
      </c>
      <c r="M470" s="67">
        <v>20.64092664092664</v>
      </c>
      <c r="N470" s="67">
        <v>15.023342670401494</v>
      </c>
      <c r="O470" s="68">
        <v>317.6798648648649</v>
      </c>
      <c r="P470" s="68">
        <v>220.88966666666664</v>
      </c>
      <c r="Q470" s="69">
        <v>0.55778446004838289</v>
      </c>
      <c r="R470" s="69">
        <v>0.52668723325826217</v>
      </c>
      <c r="S470" s="31">
        <v>96</v>
      </c>
      <c r="T470" s="31">
        <v>415.42857142857144</v>
      </c>
      <c r="U470" s="69">
        <v>-0.3333123107971746</v>
      </c>
      <c r="V470" s="69">
        <v>-0.5066666666666666</v>
      </c>
      <c r="W470" s="69">
        <v>-0.29049616022478786</v>
      </c>
      <c r="X470" s="69">
        <v>-0.2468788355846917</v>
      </c>
      <c r="Y470" s="69">
        <v>-3.4169479260736435E-2</v>
      </c>
      <c r="Z470" s="69">
        <v>-3.3971810625225918E-2</v>
      </c>
      <c r="AA470" s="69">
        <v>2.3636363636363638</v>
      </c>
      <c r="AB470" s="69">
        <v>3.1765672580490421</v>
      </c>
      <c r="AC470" s="69">
        <v>0.24168215779836388</v>
      </c>
      <c r="AD470" s="133">
        <v>-0.17079030407343665</v>
      </c>
      <c r="AE470" s="133">
        <v>-0.2277950995836045</v>
      </c>
      <c r="AF470" s="133">
        <v>-0.19859014714429746</v>
      </c>
    </row>
    <row r="471" spans="1:32" x14ac:dyDescent="0.25">
      <c r="A471" t="s">
        <v>85</v>
      </c>
      <c r="B471" t="s">
        <v>633</v>
      </c>
      <c r="C471" s="31">
        <v>9</v>
      </c>
      <c r="D471" s="31"/>
      <c r="E471" s="65">
        <v>134</v>
      </c>
      <c r="F471" s="31">
        <v>0</v>
      </c>
      <c r="G471" s="66">
        <v>23068.809999999998</v>
      </c>
      <c r="H471" s="31">
        <v>0</v>
      </c>
      <c r="I471" s="65">
        <v>11479.410000000002</v>
      </c>
      <c r="J471" s="65">
        <v>-3.2700000000000031</v>
      </c>
      <c r="K471" s="31">
        <v>5777.3571428571431</v>
      </c>
      <c r="L471" s="31">
        <v>206.71428571428572</v>
      </c>
      <c r="M471" s="67">
        <v>43.11460554371002</v>
      </c>
      <c r="N471" s="67">
        <v>213.14285714285714</v>
      </c>
      <c r="O471" s="68">
        <v>172.15529850746267</v>
      </c>
      <c r="P471" s="68"/>
      <c r="Q471" s="69">
        <v>0.49761604521429598</v>
      </c>
      <c r="R471" s="69">
        <v>-7.8360891445003675E-2</v>
      </c>
      <c r="S471" s="31">
        <v>14.285714285714286</v>
      </c>
      <c r="T471" s="31">
        <v>7.5714285714285712</v>
      </c>
      <c r="U471" s="69">
        <v>-0.30407740152038698</v>
      </c>
      <c r="V471" s="69"/>
      <c r="W471" s="69"/>
      <c r="X471" s="69"/>
      <c r="Y471" s="69">
        <v>0.44912146786949547</v>
      </c>
      <c r="Z471" s="69">
        <v>0.45264008620689644</v>
      </c>
      <c r="AA471" s="69">
        <v>-0.45748987854251011</v>
      </c>
      <c r="AB471" s="69">
        <v>-0.52085798054587218</v>
      </c>
      <c r="AC471" s="69">
        <v>-0.11680538205097324</v>
      </c>
      <c r="AD471" s="133"/>
      <c r="AE471" s="133"/>
      <c r="AF471" s="133"/>
    </row>
    <row r="472" spans="1:32" x14ac:dyDescent="0.25">
      <c r="A472" t="s">
        <v>85</v>
      </c>
      <c r="B472" t="s">
        <v>601</v>
      </c>
      <c r="C472" s="31">
        <v>29</v>
      </c>
      <c r="D472" s="31">
        <v>71</v>
      </c>
      <c r="E472" s="65">
        <v>52</v>
      </c>
      <c r="F472" s="31">
        <v>111</v>
      </c>
      <c r="G472" s="66">
        <v>10849.170000000002</v>
      </c>
      <c r="H472" s="31">
        <v>25027.119999999992</v>
      </c>
      <c r="I472" s="65">
        <v>3990.93</v>
      </c>
      <c r="J472" s="65">
        <v>9341.6299999999865</v>
      </c>
      <c r="K472" s="31">
        <v>1129.5714285714287</v>
      </c>
      <c r="L472" s="31">
        <v>5194</v>
      </c>
      <c r="M472" s="67">
        <v>21.722527472527474</v>
      </c>
      <c r="N472" s="67">
        <v>47.691119691119688</v>
      </c>
      <c r="O472" s="68">
        <v>208.63788461538465</v>
      </c>
      <c r="P472" s="68">
        <v>225.46954954954947</v>
      </c>
      <c r="Q472" s="69">
        <v>0.36785578988991779</v>
      </c>
      <c r="R472" s="69">
        <v>0.37326028724040122</v>
      </c>
      <c r="S472" s="31">
        <v>131</v>
      </c>
      <c r="T472" s="31">
        <v>223</v>
      </c>
      <c r="U472" s="69">
        <v>-0.78216623576654387</v>
      </c>
      <c r="V472" s="69">
        <v>-0.53153153153153154</v>
      </c>
      <c r="W472" s="69">
        <v>-0.56650345704979221</v>
      </c>
      <c r="X472" s="69">
        <v>-0.57278012509594078</v>
      </c>
      <c r="Y472" s="69">
        <v>-4.0498042919268173E-2</v>
      </c>
      <c r="Z472" s="69">
        <v>-4.0761858546645602E-2</v>
      </c>
      <c r="AA472" s="69">
        <v>0.52941176470588225</v>
      </c>
      <c r="AB472" s="69">
        <v>0.3143849540475252</v>
      </c>
      <c r="AC472" s="69">
        <v>-0.14059445312277197</v>
      </c>
      <c r="AD472" s="133"/>
      <c r="AE472" s="133"/>
      <c r="AF472" s="133"/>
    </row>
    <row r="473" spans="1:32" x14ac:dyDescent="0.25">
      <c r="A473" t="s">
        <v>85</v>
      </c>
      <c r="B473" t="s">
        <v>613</v>
      </c>
      <c r="C473" s="31">
        <v>12</v>
      </c>
      <c r="D473" s="31">
        <v>8</v>
      </c>
      <c r="E473" s="65">
        <v>13</v>
      </c>
      <c r="F473" s="31">
        <v>9</v>
      </c>
      <c r="G473" s="66">
        <v>5558.99</v>
      </c>
      <c r="H473" s="31">
        <v>5009.88</v>
      </c>
      <c r="I473" s="65">
        <v>-976.66</v>
      </c>
      <c r="J473" s="65">
        <v>1315.0100000000002</v>
      </c>
      <c r="K473" s="31">
        <v>193.28571428571428</v>
      </c>
      <c r="L473" s="31">
        <v>273.42857142857144</v>
      </c>
      <c r="M473" s="67">
        <v>14.868131868131867</v>
      </c>
      <c r="N473" s="67">
        <v>30.777777777777779</v>
      </c>
      <c r="O473" s="68">
        <v>427.61461538461538</v>
      </c>
      <c r="P473" s="68">
        <v>556.65333333333331</v>
      </c>
      <c r="Q473" s="69">
        <v>-0.17569018832557712</v>
      </c>
      <c r="R473" s="69">
        <v>0.26248333293412224</v>
      </c>
      <c r="S473" s="31">
        <v>1372.8571428571429</v>
      </c>
      <c r="T473" s="31">
        <v>9637.7142857142862</v>
      </c>
      <c r="U473" s="69">
        <v>-0.32654127481713691</v>
      </c>
      <c r="V473" s="69">
        <v>0.44444444444444442</v>
      </c>
      <c r="W473" s="69">
        <v>0.10960541969069104</v>
      </c>
      <c r="X473" s="69">
        <v>-1.7427015764138674</v>
      </c>
      <c r="Y473" s="69">
        <v>-1.2374355141574367E-2</v>
      </c>
      <c r="Z473" s="69">
        <v>-1.0964912280701733E-2</v>
      </c>
      <c r="AA473" s="69">
        <v>0.44444444444444442</v>
      </c>
      <c r="AB473" s="69">
        <v>0.48242895848444767</v>
      </c>
      <c r="AC473" s="69">
        <v>2.6296971258463753E-2</v>
      </c>
      <c r="AD473" s="133"/>
      <c r="AE473" s="133"/>
      <c r="AF473" s="133"/>
    </row>
    <row r="474" spans="1:32" x14ac:dyDescent="0.25">
      <c r="A474" t="s">
        <v>85</v>
      </c>
      <c r="B474" t="s">
        <v>602</v>
      </c>
      <c r="C474" s="31">
        <v>38</v>
      </c>
      <c r="D474" s="31">
        <v>99</v>
      </c>
      <c r="E474" s="65">
        <v>43</v>
      </c>
      <c r="F474" s="31">
        <v>117</v>
      </c>
      <c r="G474" s="66">
        <v>4610.4599999999973</v>
      </c>
      <c r="H474" s="31">
        <v>19283.069999999971</v>
      </c>
      <c r="I474" s="65">
        <v>-2633.1000000000013</v>
      </c>
      <c r="J474" s="65">
        <v>1618.2799999999625</v>
      </c>
      <c r="K474" s="31">
        <v>652.28571428571433</v>
      </c>
      <c r="L474" s="31">
        <v>8364.5714285714294</v>
      </c>
      <c r="M474" s="67">
        <v>15.169435215946844</v>
      </c>
      <c r="N474" s="67">
        <v>72.870460048426153</v>
      </c>
      <c r="O474" s="68">
        <v>107.21999999999994</v>
      </c>
      <c r="P474" s="68">
        <v>164.81256410256384</v>
      </c>
      <c r="Q474" s="69">
        <v>-0.57111437904243889</v>
      </c>
      <c r="R474" s="69">
        <v>8.3203254339906427E-2</v>
      </c>
      <c r="S474" s="31">
        <v>116.57142857142857</v>
      </c>
      <c r="T474" s="31">
        <v>1708.1428571428571</v>
      </c>
      <c r="U474" s="69">
        <v>-0.92225713895340888</v>
      </c>
      <c r="V474" s="69">
        <v>-0.63247863247863245</v>
      </c>
      <c r="W474" s="69">
        <v>-0.760906328712181</v>
      </c>
      <c r="X474" s="69">
        <v>-2.6915170397970445</v>
      </c>
      <c r="Y474" s="69">
        <v>-6.3881865173444519E-2</v>
      </c>
      <c r="Z474" s="69">
        <v>-5.9332509270704548E-2</v>
      </c>
      <c r="AA474" s="69">
        <v>2.3809523809523725E-2</v>
      </c>
      <c r="AB474" s="69">
        <v>6.1373985349435056E-2</v>
      </c>
      <c r="AC474" s="69">
        <v>3.6690869411076132E-2</v>
      </c>
      <c r="AD474" s="133"/>
      <c r="AE474" s="133"/>
      <c r="AF474" s="133"/>
    </row>
    <row r="475" spans="1:32" x14ac:dyDescent="0.25">
      <c r="A475" t="s">
        <v>85</v>
      </c>
      <c r="B475" t="s">
        <v>599</v>
      </c>
      <c r="C475" s="31">
        <v>26</v>
      </c>
      <c r="D475" s="31">
        <v>435</v>
      </c>
      <c r="E475" s="65">
        <v>41</v>
      </c>
      <c r="F475" s="31">
        <v>822</v>
      </c>
      <c r="G475" s="66">
        <v>3399.3999999999996</v>
      </c>
      <c r="H475" s="31">
        <v>86999.770000000426</v>
      </c>
      <c r="I475" s="65">
        <v>684.46999999999991</v>
      </c>
      <c r="J475" s="65">
        <v>9728.6000000003987</v>
      </c>
      <c r="K475" s="31">
        <v>846.28571428571433</v>
      </c>
      <c r="L475" s="31">
        <v>7021.5714285714284</v>
      </c>
      <c r="M475" s="67">
        <v>20.641114982578397</v>
      </c>
      <c r="N475" s="67">
        <v>8.7342475264710995</v>
      </c>
      <c r="O475" s="68">
        <v>82.912195121951214</v>
      </c>
      <c r="P475" s="68">
        <v>105.83913625304189</v>
      </c>
      <c r="Q475" s="69">
        <v>0.20135023827734305</v>
      </c>
      <c r="R475" s="69">
        <v>0.11159009868714626</v>
      </c>
      <c r="S475" s="31">
        <v>822</v>
      </c>
      <c r="T475" s="31">
        <v>1187.2857142857142</v>
      </c>
      <c r="U475" s="69">
        <v>-0.88158938780492768</v>
      </c>
      <c r="V475" s="69">
        <v>-0.95255474452554745</v>
      </c>
      <c r="W475" s="69">
        <v>-0.96489680375017106</v>
      </c>
      <c r="X475" s="69">
        <v>-0.93788366110593691</v>
      </c>
      <c r="Y475" s="69">
        <v>-7.8449999608370291E-2</v>
      </c>
      <c r="Z475" s="69">
        <v>-4.7741520655843028E-2</v>
      </c>
      <c r="AA475" s="69">
        <v>0.4137931034482758</v>
      </c>
      <c r="AB475" s="69">
        <v>0.60479256755480826</v>
      </c>
      <c r="AC475" s="69">
        <v>0.13509718192901077</v>
      </c>
      <c r="AD475" s="133"/>
      <c r="AE475" s="133"/>
      <c r="AF475" s="133"/>
    </row>
    <row r="476" spans="1:32" x14ac:dyDescent="0.25">
      <c r="A476" t="s">
        <v>85</v>
      </c>
      <c r="B476" t="s">
        <v>654</v>
      </c>
      <c r="C476" s="31">
        <v>1</v>
      </c>
      <c r="D476" s="31"/>
      <c r="E476" s="65">
        <v>16</v>
      </c>
      <c r="F476" s="31"/>
      <c r="G476" s="66">
        <v>3199.81</v>
      </c>
      <c r="H476" s="31"/>
      <c r="I476" s="65">
        <v>1799.81</v>
      </c>
      <c r="J476" s="65"/>
      <c r="K476" s="31">
        <v>800.85714285714289</v>
      </c>
      <c r="L476" s="31">
        <v>6</v>
      </c>
      <c r="M476" s="67">
        <v>50.053571428571431</v>
      </c>
      <c r="N476" s="67"/>
      <c r="O476" s="68">
        <v>199.988125</v>
      </c>
      <c r="P476" s="68"/>
      <c r="Q476" s="69">
        <v>0.56247402189505002</v>
      </c>
      <c r="R476" s="69"/>
      <c r="S476" s="31">
        <v>3</v>
      </c>
      <c r="T476" s="31"/>
      <c r="U476" s="69">
        <v>-0.5</v>
      </c>
      <c r="V476" s="69"/>
      <c r="W476" s="69"/>
      <c r="X476" s="69"/>
      <c r="Y476" s="69">
        <v>5.4853648841317755</v>
      </c>
      <c r="Z476" s="69">
        <v>6.9069111424541605</v>
      </c>
      <c r="AA476" s="69">
        <v>1</v>
      </c>
      <c r="AB476" s="69">
        <v>1.3704052152011257</v>
      </c>
      <c r="AC476" s="69">
        <v>0.18520260760056284</v>
      </c>
      <c r="AD476" s="133"/>
      <c r="AE476" s="133"/>
      <c r="AF476" s="133"/>
    </row>
    <row r="477" spans="1:32" x14ac:dyDescent="0.25">
      <c r="A477" t="s">
        <v>85</v>
      </c>
      <c r="B477" t="s">
        <v>615</v>
      </c>
      <c r="C477" s="31">
        <v>47</v>
      </c>
      <c r="D477" s="31">
        <v>29</v>
      </c>
      <c r="E477" s="65">
        <v>63</v>
      </c>
      <c r="F477" s="31">
        <v>43</v>
      </c>
      <c r="G477" s="66">
        <v>2985.2599999999998</v>
      </c>
      <c r="H477" s="31">
        <v>2786.75</v>
      </c>
      <c r="I477" s="65">
        <v>925.82</v>
      </c>
      <c r="J477" s="65">
        <v>971.05999999999949</v>
      </c>
      <c r="K477" s="31">
        <v>1032.2857142857142</v>
      </c>
      <c r="L477" s="31">
        <v>6055</v>
      </c>
      <c r="M477" s="67">
        <v>16.385487528344669</v>
      </c>
      <c r="N477" s="67">
        <v>146.74750830564784</v>
      </c>
      <c r="O477" s="68">
        <v>47.385079365079363</v>
      </c>
      <c r="P477" s="68">
        <v>64.808139534883722</v>
      </c>
      <c r="Q477" s="69">
        <v>0.31013044089962016</v>
      </c>
      <c r="R477" s="69">
        <v>0.34845608683950818</v>
      </c>
      <c r="S477" s="31">
        <v>318</v>
      </c>
      <c r="T477" s="31">
        <v>670.85714285714289</v>
      </c>
      <c r="U477" s="69">
        <v>-0.84008493570838738</v>
      </c>
      <c r="V477" s="69">
        <v>0.27906976744186052</v>
      </c>
      <c r="W477" s="69">
        <v>-5.6793756167578424E-2</v>
      </c>
      <c r="X477" s="69">
        <v>4.6763330793155644E-2</v>
      </c>
      <c r="Y477" s="69">
        <v>-8.0464579405196468E-2</v>
      </c>
      <c r="Z477" s="69">
        <v>-6.3018672199170234E-2</v>
      </c>
      <c r="AA477" s="69">
        <v>0.3125</v>
      </c>
      <c r="AB477" s="69">
        <v>0.2467726644364534</v>
      </c>
      <c r="AC477" s="69">
        <v>-5.0077969953178258E-2</v>
      </c>
      <c r="AD477" s="133"/>
      <c r="AE477" s="133"/>
      <c r="AF477" s="133"/>
    </row>
    <row r="478" spans="1:32" x14ac:dyDescent="0.25">
      <c r="A478" t="s">
        <v>85</v>
      </c>
      <c r="B478" t="s">
        <v>608</v>
      </c>
      <c r="C478" s="31">
        <v>15</v>
      </c>
      <c r="D478" s="31">
        <v>9</v>
      </c>
      <c r="E478" s="65">
        <v>19</v>
      </c>
      <c r="F478" s="31">
        <v>18</v>
      </c>
      <c r="G478" s="66">
        <v>2783.57</v>
      </c>
      <c r="H478" s="31">
        <v>1292.0400000000002</v>
      </c>
      <c r="I478" s="65">
        <v>256.56</v>
      </c>
      <c r="J478" s="65">
        <v>-24.279999999999745</v>
      </c>
      <c r="K478" s="31">
        <v>794.42857142857144</v>
      </c>
      <c r="L478" s="31">
        <v>2926.5714285714284</v>
      </c>
      <c r="M478" s="67">
        <v>41.81203007518797</v>
      </c>
      <c r="N478" s="67">
        <v>162.61111111111111</v>
      </c>
      <c r="O478" s="68">
        <v>146.50368421052633</v>
      </c>
      <c r="P478" s="68">
        <v>71.780000000000015</v>
      </c>
      <c r="Q478" s="69">
        <v>9.2169408349709187E-2</v>
      </c>
      <c r="R478" s="69">
        <v>-1.8791987864152614E-2</v>
      </c>
      <c r="S478" s="31">
        <v>344</v>
      </c>
      <c r="T478" s="31">
        <v>7603</v>
      </c>
      <c r="U478" s="69">
        <v>-0.728888021087572</v>
      </c>
      <c r="V478" s="69">
        <v>5.555555555555558E-2</v>
      </c>
      <c r="W478" s="69">
        <v>1.1543992446054299</v>
      </c>
      <c r="X478" s="69">
        <v>-11.566721581548727</v>
      </c>
      <c r="Y478" s="69">
        <v>-3.4568239040854931E-2</v>
      </c>
      <c r="Z478" s="69">
        <v>-3.7722789409932456E-2</v>
      </c>
      <c r="AA478" s="69">
        <v>0.26666666666666661</v>
      </c>
      <c r="AB478" s="69">
        <v>0.3448497439366125</v>
      </c>
      <c r="AC478" s="69">
        <v>6.172348205522038E-2</v>
      </c>
      <c r="AD478" s="133"/>
      <c r="AE478" s="133"/>
      <c r="AF478" s="133"/>
    </row>
    <row r="479" spans="1:32" x14ac:dyDescent="0.25">
      <c r="A479" t="s">
        <v>85</v>
      </c>
      <c r="B479" t="s">
        <v>611</v>
      </c>
      <c r="C479" s="31">
        <v>36</v>
      </c>
      <c r="D479" s="31">
        <v>59</v>
      </c>
      <c r="E479" s="65">
        <v>45</v>
      </c>
      <c r="F479" s="31">
        <v>85</v>
      </c>
      <c r="G479" s="66">
        <v>2357.420000000001</v>
      </c>
      <c r="H479" s="31">
        <v>5878.75</v>
      </c>
      <c r="I479" s="65">
        <v>306</v>
      </c>
      <c r="J479" s="65">
        <v>2108.4100000000008</v>
      </c>
      <c r="K479" s="31">
        <v>393.57142857142856</v>
      </c>
      <c r="L479" s="31">
        <v>4941.2857142857147</v>
      </c>
      <c r="M479" s="67">
        <v>8.7460317460317452</v>
      </c>
      <c r="N479" s="67">
        <v>51.086005830903794</v>
      </c>
      <c r="O479" s="68">
        <v>52.387111111111132</v>
      </c>
      <c r="P479" s="68">
        <v>69.161764705882348</v>
      </c>
      <c r="Q479" s="69">
        <v>0.12980292014151057</v>
      </c>
      <c r="R479" s="69">
        <v>0.32537191358024703</v>
      </c>
      <c r="S479" s="31">
        <v>57</v>
      </c>
      <c r="T479" s="31">
        <v>770.28571428571433</v>
      </c>
      <c r="U479" s="69">
        <v>-0.92593020902599088</v>
      </c>
      <c r="V479" s="69">
        <v>-0.6</v>
      </c>
      <c r="W479" s="69">
        <v>-0.72423729534339765</v>
      </c>
      <c r="X479" s="69">
        <v>-0.98758575461499398</v>
      </c>
      <c r="Y479" s="69">
        <v>-0.12163387826287408</v>
      </c>
      <c r="Z479" s="69">
        <v>-8.6841233012926788E-2</v>
      </c>
      <c r="AA479" s="69">
        <v>1.1428571428571428</v>
      </c>
      <c r="AB479" s="69">
        <v>0.64965291384425972</v>
      </c>
      <c r="AC479" s="69">
        <v>-0.23016197353934542</v>
      </c>
      <c r="AD479" s="133"/>
      <c r="AE479" s="133"/>
      <c r="AF479" s="133"/>
    </row>
    <row r="480" spans="1:32" x14ac:dyDescent="0.25">
      <c r="A480" t="s">
        <v>85</v>
      </c>
      <c r="B480" t="s">
        <v>618</v>
      </c>
      <c r="C480" s="31">
        <v>1</v>
      </c>
      <c r="D480" s="31">
        <v>1</v>
      </c>
      <c r="E480" s="65">
        <v>1</v>
      </c>
      <c r="F480" s="31">
        <v>1</v>
      </c>
      <c r="G480" s="66">
        <v>2272.7199999999998</v>
      </c>
      <c r="H480" s="31">
        <v>2843.17</v>
      </c>
      <c r="I480" s="65">
        <v>882.72</v>
      </c>
      <c r="J480" s="65">
        <v>549.74000000000024</v>
      </c>
      <c r="K480" s="31">
        <v>15.857142857142858</v>
      </c>
      <c r="L480" s="31">
        <v>26.285714285714285</v>
      </c>
      <c r="M480" s="67">
        <v>15.857142857142858</v>
      </c>
      <c r="N480" s="67">
        <v>27.285714285714285</v>
      </c>
      <c r="O480" s="68">
        <v>2272.7199999999998</v>
      </c>
      <c r="P480" s="68">
        <v>2843.17</v>
      </c>
      <c r="Q480" s="69">
        <v>0.38839804287373725</v>
      </c>
      <c r="R480" s="69">
        <v>0.1933546006745992</v>
      </c>
      <c r="S480" s="31">
        <v>2</v>
      </c>
      <c r="T480" s="31">
        <v>40.285714285714285</v>
      </c>
      <c r="U480" s="69">
        <v>-0.39673913043478259</v>
      </c>
      <c r="V480" s="69">
        <v>0</v>
      </c>
      <c r="W480" s="69">
        <v>-0.20063872367814806</v>
      </c>
      <c r="X480" s="69">
        <v>0.60570451486156984</v>
      </c>
      <c r="Y480" s="69">
        <v>-1.6071873623913713E-2</v>
      </c>
      <c r="Z480" s="69">
        <v>-1.7699115044247704E-2</v>
      </c>
      <c r="AA480" s="69"/>
      <c r="AB480" s="69"/>
      <c r="AC480" s="69"/>
      <c r="AD480" s="133"/>
      <c r="AE480" s="133"/>
      <c r="AF480" s="133"/>
    </row>
    <row r="481" spans="1:32" x14ac:dyDescent="0.25">
      <c r="A481" t="s">
        <v>85</v>
      </c>
      <c r="B481" t="s">
        <v>610</v>
      </c>
      <c r="C481" s="31">
        <v>3</v>
      </c>
      <c r="D481" s="31">
        <v>4</v>
      </c>
      <c r="E481" s="65">
        <v>4</v>
      </c>
      <c r="F481" s="31">
        <v>5</v>
      </c>
      <c r="G481" s="66">
        <v>1999.9800000000002</v>
      </c>
      <c r="H481" s="31">
        <v>1799.9299999999998</v>
      </c>
      <c r="I481" s="65">
        <v>623.16999999999996</v>
      </c>
      <c r="J481" s="65">
        <v>701.42999999999984</v>
      </c>
      <c r="K481" s="31">
        <v>98.428571428571431</v>
      </c>
      <c r="L481" s="31">
        <v>325.85714285714283</v>
      </c>
      <c r="M481" s="67">
        <v>24.607142857142858</v>
      </c>
      <c r="N481" s="67">
        <v>67.05714285714285</v>
      </c>
      <c r="O481" s="68">
        <v>499.99500000000006</v>
      </c>
      <c r="P481" s="68">
        <v>359.98599999999999</v>
      </c>
      <c r="Q481" s="69">
        <v>0.31158811588115876</v>
      </c>
      <c r="R481" s="69">
        <v>0.38969848827454395</v>
      </c>
      <c r="S481" s="31">
        <v>19</v>
      </c>
      <c r="T481" s="31">
        <v>87.857142857142861</v>
      </c>
      <c r="U481" s="69">
        <v>-0.69881630863656286</v>
      </c>
      <c r="V481" s="69">
        <v>-0.19999999999999996</v>
      </c>
      <c r="W481" s="69">
        <v>0.11114321112487735</v>
      </c>
      <c r="X481" s="69">
        <v>-0.11157207419129433</v>
      </c>
      <c r="Y481" s="69">
        <v>-6.0443797723188752E-2</v>
      </c>
      <c r="Z481" s="69">
        <v>-3.7709497206703912E-2</v>
      </c>
      <c r="AA481" s="69">
        <v>1</v>
      </c>
      <c r="AB481" s="69">
        <v>0.8333470835739627</v>
      </c>
      <c r="AC481" s="69">
        <v>-8.332645821301865E-2</v>
      </c>
      <c r="AD481" s="133"/>
      <c r="AE481" s="133"/>
      <c r="AF481" s="133"/>
    </row>
    <row r="482" spans="1:32" x14ac:dyDescent="0.25">
      <c r="A482" t="s">
        <v>85</v>
      </c>
      <c r="B482" t="s">
        <v>642</v>
      </c>
      <c r="C482" s="31">
        <v>13</v>
      </c>
      <c r="D482" s="31">
        <v>1</v>
      </c>
      <c r="E482" s="65">
        <v>34</v>
      </c>
      <c r="F482" s="31">
        <v>1</v>
      </c>
      <c r="G482" s="66">
        <v>1545.1399999999999</v>
      </c>
      <c r="H482" s="31">
        <v>8.34</v>
      </c>
      <c r="I482" s="65">
        <v>644.13999999999987</v>
      </c>
      <c r="J482" s="65">
        <v>3.1899999999999995</v>
      </c>
      <c r="K482" s="31">
        <v>285.85714285714283</v>
      </c>
      <c r="L482" s="31">
        <v>3</v>
      </c>
      <c r="M482" s="67">
        <v>8.4075630252100826</v>
      </c>
      <c r="N482" s="67">
        <v>3</v>
      </c>
      <c r="O482" s="68">
        <v>45.445294117647052</v>
      </c>
      <c r="P482" s="68">
        <v>8.34</v>
      </c>
      <c r="Q482" s="69">
        <v>0.41688131819770374</v>
      </c>
      <c r="R482" s="69">
        <v>0.38249400479616302</v>
      </c>
      <c r="S482" s="31"/>
      <c r="T482" s="31">
        <v>5</v>
      </c>
      <c r="U482" s="69">
        <v>-0.33333333333333337</v>
      </c>
      <c r="V482" s="69">
        <v>-1</v>
      </c>
      <c r="W482" s="69">
        <v>-1</v>
      </c>
      <c r="X482" s="69">
        <v>-1</v>
      </c>
      <c r="Y482" s="69">
        <v>-9.4874612540373326E-2</v>
      </c>
      <c r="Z482" s="69">
        <v>-9.4570135746606443E-2</v>
      </c>
      <c r="AA482" s="69">
        <v>0.54545454545454541</v>
      </c>
      <c r="AB482" s="69">
        <v>0.57944555750909732</v>
      </c>
      <c r="AC482" s="69">
        <v>2.199418427059241E-2</v>
      </c>
      <c r="AD482" s="133"/>
      <c r="AE482" s="133"/>
      <c r="AF482" s="133"/>
    </row>
    <row r="483" spans="1:32" x14ac:dyDescent="0.25">
      <c r="A483" t="s">
        <v>85</v>
      </c>
      <c r="B483" t="s">
        <v>612</v>
      </c>
      <c r="C483" s="31">
        <v>2</v>
      </c>
      <c r="D483" s="31">
        <v>13</v>
      </c>
      <c r="E483" s="65">
        <v>4</v>
      </c>
      <c r="F483" s="31">
        <v>21</v>
      </c>
      <c r="G483" s="66">
        <v>999.95999999999992</v>
      </c>
      <c r="H483" s="31">
        <v>7305.1000000000013</v>
      </c>
      <c r="I483" s="65">
        <v>225.77000000000004</v>
      </c>
      <c r="J483" s="65">
        <v>2362.380000000001</v>
      </c>
      <c r="K483" s="31">
        <v>129.14285714285714</v>
      </c>
      <c r="L483" s="31">
        <v>550.28571428571433</v>
      </c>
      <c r="M483" s="67">
        <v>32.285714285714285</v>
      </c>
      <c r="N483" s="67">
        <v>27.326530612244898</v>
      </c>
      <c r="O483" s="68">
        <v>249.98999999999998</v>
      </c>
      <c r="P483" s="68">
        <v>347.86190476190484</v>
      </c>
      <c r="Q483" s="69">
        <v>0.22577903116124651</v>
      </c>
      <c r="R483" s="69">
        <v>0.32338777018795095</v>
      </c>
      <c r="S483" s="31">
        <v>13</v>
      </c>
      <c r="T483" s="31">
        <v>23.428571428571427</v>
      </c>
      <c r="U483" s="69">
        <v>-0.76557632398753894</v>
      </c>
      <c r="V483" s="69">
        <v>-0.80952380952380953</v>
      </c>
      <c r="W483" s="69">
        <v>-0.86311481020109238</v>
      </c>
      <c r="X483" s="69">
        <v>-0.9044311245438923</v>
      </c>
      <c r="Y483" s="69">
        <v>-8.3631904380023658E-2</v>
      </c>
      <c r="Z483" s="69">
        <v>-8.2233502538071157E-2</v>
      </c>
      <c r="AA483" s="69">
        <v>-0.33333333333333337</v>
      </c>
      <c r="AB483" s="69">
        <v>-0.31250128911164732</v>
      </c>
      <c r="AC483" s="69">
        <v>3.1248066332528968E-2</v>
      </c>
      <c r="AD483" s="133"/>
      <c r="AE483" s="133"/>
      <c r="AF483" s="133"/>
    </row>
    <row r="484" spans="1:32" x14ac:dyDescent="0.25">
      <c r="A484" t="s">
        <v>85</v>
      </c>
      <c r="B484" t="s">
        <v>605</v>
      </c>
      <c r="C484" s="31">
        <v>7</v>
      </c>
      <c r="D484" s="31">
        <v>329</v>
      </c>
      <c r="E484" s="65">
        <v>12</v>
      </c>
      <c r="F484" s="31">
        <v>575</v>
      </c>
      <c r="G484" s="66">
        <v>963.5200000000001</v>
      </c>
      <c r="H484" s="31">
        <v>60899.380000000281</v>
      </c>
      <c r="I484" s="65">
        <v>-1070.48</v>
      </c>
      <c r="J484" s="65">
        <v>5589.7600000004823</v>
      </c>
      <c r="K484" s="31">
        <v>128.71428571428572</v>
      </c>
      <c r="L484" s="31">
        <v>8906.2857142857138</v>
      </c>
      <c r="M484" s="67">
        <v>10.726190476190476</v>
      </c>
      <c r="N484" s="67">
        <v>15.250370736529907</v>
      </c>
      <c r="O484" s="68">
        <v>80.293333333333337</v>
      </c>
      <c r="P484" s="68">
        <v>105.9119652173918</v>
      </c>
      <c r="Q484" s="69">
        <v>-1.1110096313517104</v>
      </c>
      <c r="R484" s="69">
        <v>9.05034051142036E-2</v>
      </c>
      <c r="S484" s="31">
        <v>109.28571428571429</v>
      </c>
      <c r="T484" s="31">
        <v>517.85714285714289</v>
      </c>
      <c r="U484" s="69">
        <v>-0.98610932888489666</v>
      </c>
      <c r="V484" s="69">
        <v>-0.97913043478260864</v>
      </c>
      <c r="W484" s="69">
        <v>-0.98417849245755873</v>
      </c>
      <c r="X484" s="69">
        <v>-1.2078154028937269</v>
      </c>
      <c r="Y484" s="69">
        <v>-0.10147147035636628</v>
      </c>
      <c r="Z484" s="69">
        <v>-8.3418107833163613E-2</v>
      </c>
      <c r="AA484" s="69">
        <v>-0.19999999999999996</v>
      </c>
      <c r="AB484" s="69">
        <v>-0.13115774096684307</v>
      </c>
      <c r="AC484" s="69">
        <v>8.6052823791445965E-2</v>
      </c>
      <c r="AD484" s="133"/>
      <c r="AE484" s="133"/>
      <c r="AF484" s="133"/>
    </row>
    <row r="485" spans="1:32" x14ac:dyDescent="0.25">
      <c r="A485" t="s">
        <v>85</v>
      </c>
      <c r="B485" t="s">
        <v>603</v>
      </c>
      <c r="C485" s="31">
        <v>8</v>
      </c>
      <c r="D485" s="31">
        <v>167</v>
      </c>
      <c r="E485" s="65">
        <v>9</v>
      </c>
      <c r="F485" s="31">
        <v>318</v>
      </c>
      <c r="G485" s="66">
        <v>654.48000000000013</v>
      </c>
      <c r="H485" s="31">
        <v>29796.449999999924</v>
      </c>
      <c r="I485" s="65">
        <v>-1100.47</v>
      </c>
      <c r="J485" s="65">
        <v>-30095.190000000031</v>
      </c>
      <c r="K485" s="31">
        <v>24.142857142857142</v>
      </c>
      <c r="L485" s="31">
        <v>4587.5714285714284</v>
      </c>
      <c r="M485" s="67">
        <v>2.6825396825396823</v>
      </c>
      <c r="N485" s="67">
        <v>14.519077196095829</v>
      </c>
      <c r="O485" s="68">
        <v>72.720000000000013</v>
      </c>
      <c r="P485" s="68">
        <v>93.699528301886559</v>
      </c>
      <c r="Q485" s="69">
        <v>-1.6814417552866394</v>
      </c>
      <c r="R485" s="69">
        <v>-0.99784947306122196</v>
      </c>
      <c r="S485" s="31">
        <v>43</v>
      </c>
      <c r="T485" s="31">
        <v>83.857142857142861</v>
      </c>
      <c r="U485" s="69">
        <v>-0.99473733379005391</v>
      </c>
      <c r="V485" s="69">
        <v>-0.97169811320754718</v>
      </c>
      <c r="W485" s="69">
        <v>-0.97803496725281025</v>
      </c>
      <c r="X485" s="69">
        <v>-0.96292065815351646</v>
      </c>
      <c r="Y485" s="69">
        <v>-0.3962771784285043</v>
      </c>
      <c r="Z485" s="69">
        <v>-0.34749034749034746</v>
      </c>
      <c r="AA485" s="69">
        <v>-0.25</v>
      </c>
      <c r="AB485" s="69">
        <v>-0.249991405292048</v>
      </c>
      <c r="AC485" s="69">
        <v>1.1459610602670978E-5</v>
      </c>
      <c r="AD485" s="133"/>
      <c r="AE485" s="133"/>
      <c r="AF485" s="133"/>
    </row>
    <row r="486" spans="1:32" x14ac:dyDescent="0.25">
      <c r="A486" t="s">
        <v>85</v>
      </c>
      <c r="B486" t="s">
        <v>624</v>
      </c>
      <c r="C486" s="31">
        <v>13</v>
      </c>
      <c r="D486" s="31">
        <v>5</v>
      </c>
      <c r="E486" s="65">
        <v>19</v>
      </c>
      <c r="F486" s="31">
        <v>8</v>
      </c>
      <c r="G486" s="66">
        <v>549.39</v>
      </c>
      <c r="H486" s="31">
        <v>330.72</v>
      </c>
      <c r="I486" s="65">
        <v>158.89999999999998</v>
      </c>
      <c r="J486" s="65">
        <v>161.53000000000003</v>
      </c>
      <c r="K486" s="31">
        <v>140.85714285714286</v>
      </c>
      <c r="L486" s="31">
        <v>982.28571428571433</v>
      </c>
      <c r="M486" s="67">
        <v>7.4135338345864668</v>
      </c>
      <c r="N486" s="67">
        <v>123.32142857142857</v>
      </c>
      <c r="O486" s="68">
        <v>28.915263157894735</v>
      </c>
      <c r="P486" s="68">
        <v>41.34</v>
      </c>
      <c r="Q486" s="69">
        <v>0.28922987313201909</v>
      </c>
      <c r="R486" s="69">
        <v>0.48841920657958399</v>
      </c>
      <c r="S486" s="31">
        <v>49.142857142857146</v>
      </c>
      <c r="T486" s="31">
        <v>137</v>
      </c>
      <c r="U486" s="69">
        <v>-0.86852821407795233</v>
      </c>
      <c r="V486" s="69">
        <v>0.625</v>
      </c>
      <c r="W486" s="69">
        <v>8.4089259796806815E-2</v>
      </c>
      <c r="X486" s="69">
        <v>-0.39701603417321885</v>
      </c>
      <c r="Y486" s="69">
        <v>-9.0799962638980825E-2</v>
      </c>
      <c r="Z486" s="69">
        <v>-9.954337899543364E-2</v>
      </c>
      <c r="AA486" s="69">
        <v>1.7142857142857144</v>
      </c>
      <c r="AB486" s="69">
        <v>1.636734497984258</v>
      </c>
      <c r="AC486" s="69">
        <v>-2.857150074264192E-2</v>
      </c>
      <c r="AD486" s="133"/>
      <c r="AE486" s="133"/>
      <c r="AF486" s="133"/>
    </row>
    <row r="487" spans="1:32" x14ac:dyDescent="0.25">
      <c r="A487" t="s">
        <v>85</v>
      </c>
      <c r="B487" t="s">
        <v>756</v>
      </c>
      <c r="C487" s="31">
        <v>207</v>
      </c>
      <c r="D487" s="31"/>
      <c r="E487" s="65">
        <v>813</v>
      </c>
      <c r="F487" s="31"/>
      <c r="G487" s="66">
        <v>409.01</v>
      </c>
      <c r="H487" s="31"/>
      <c r="I487" s="65">
        <v>-44305.99</v>
      </c>
      <c r="J487" s="65"/>
      <c r="K487" s="31">
        <v>592.42857142857144</v>
      </c>
      <c r="L487" s="31"/>
      <c r="M487" s="67">
        <v>0.72869442980144095</v>
      </c>
      <c r="N487" s="67"/>
      <c r="O487" s="68">
        <v>0.5030873308733087</v>
      </c>
      <c r="P487" s="68"/>
      <c r="Q487" s="69">
        <v>-108.32495538006405</v>
      </c>
      <c r="R487" s="69"/>
      <c r="S487" s="31"/>
      <c r="T487" s="31"/>
      <c r="U487" s="69"/>
      <c r="V487" s="69"/>
      <c r="W487" s="69"/>
      <c r="X487" s="69"/>
      <c r="Y487" s="69">
        <v>-0.33336919270313059</v>
      </c>
      <c r="Z487" s="69">
        <v>-0.32227488151658767</v>
      </c>
      <c r="AA487" s="69">
        <v>66.75</v>
      </c>
      <c r="AB487" s="69">
        <v>-2.2442638623327071E-2</v>
      </c>
      <c r="AC487" s="69">
        <v>-0.98557110905717082</v>
      </c>
      <c r="AD487" s="133"/>
      <c r="AE487" s="133"/>
      <c r="AF487" s="133"/>
    </row>
    <row r="488" spans="1:32" x14ac:dyDescent="0.25">
      <c r="A488" t="s">
        <v>85</v>
      </c>
      <c r="B488" t="s">
        <v>606</v>
      </c>
      <c r="C488" s="31">
        <v>7</v>
      </c>
      <c r="D488" s="31">
        <v>340</v>
      </c>
      <c r="E488" s="65">
        <v>15</v>
      </c>
      <c r="F488" s="31">
        <v>780</v>
      </c>
      <c r="G488" s="66">
        <v>272.60000000000002</v>
      </c>
      <c r="H488" s="31">
        <v>14049.329999999931</v>
      </c>
      <c r="I488" s="65">
        <v>93.68</v>
      </c>
      <c r="J488" s="65">
        <v>312.42999999992389</v>
      </c>
      <c r="K488" s="31">
        <v>200.28571428571428</v>
      </c>
      <c r="L488" s="31">
        <v>11240.285714285714</v>
      </c>
      <c r="M488" s="67">
        <v>13.352380952380951</v>
      </c>
      <c r="N488" s="67">
        <v>14.308270676691729</v>
      </c>
      <c r="O488" s="68">
        <v>18.173333333333336</v>
      </c>
      <c r="P488" s="68">
        <v>18.011961538461449</v>
      </c>
      <c r="Q488" s="69">
        <v>0.34365370506236242</v>
      </c>
      <c r="R488" s="69">
        <v>2.1717294941059985E-2</v>
      </c>
      <c r="S488" s="31">
        <v>886</v>
      </c>
      <c r="T488" s="31">
        <v>1132.7142857142858</v>
      </c>
      <c r="U488" s="69">
        <v>-0.98205434533946778</v>
      </c>
      <c r="V488" s="69">
        <v>-0.98076923076923073</v>
      </c>
      <c r="W488" s="69">
        <v>-0.98059693949818239</v>
      </c>
      <c r="X488" s="69">
        <v>-0.64197813957032523</v>
      </c>
      <c r="Y488" s="69">
        <v>-8.0333484055156612E-2</v>
      </c>
      <c r="Z488" s="69">
        <v>-0.11097019657577678</v>
      </c>
      <c r="AA488" s="69">
        <v>-6.25E-2</v>
      </c>
      <c r="AB488" s="69">
        <v>-0.16666666666666663</v>
      </c>
      <c r="AC488" s="69">
        <v>-0.11111111111111105</v>
      </c>
      <c r="AD488" s="133"/>
      <c r="AE488" s="133"/>
      <c r="AF488" s="133"/>
    </row>
    <row r="489" spans="1:32" x14ac:dyDescent="0.25">
      <c r="A489" t="s">
        <v>85</v>
      </c>
      <c r="B489" t="s">
        <v>626</v>
      </c>
      <c r="C489" s="31">
        <v>3</v>
      </c>
      <c r="D489" s="31"/>
      <c r="E489" s="65">
        <v>3</v>
      </c>
      <c r="F489" s="31"/>
      <c r="G489" s="66">
        <v>255.23999999999998</v>
      </c>
      <c r="H489" s="31"/>
      <c r="I489" s="65">
        <v>-78.06</v>
      </c>
      <c r="J489" s="65"/>
      <c r="K489" s="31">
        <v>87.142857142857139</v>
      </c>
      <c r="L489" s="31">
        <v>186.71428571428572</v>
      </c>
      <c r="M489" s="67">
        <v>29.047619047619047</v>
      </c>
      <c r="N489" s="67"/>
      <c r="O489" s="68">
        <v>85.08</v>
      </c>
      <c r="P489" s="68"/>
      <c r="Q489" s="69">
        <v>-0.3058298072402445</v>
      </c>
      <c r="R489" s="69"/>
      <c r="S489" s="31">
        <v>141</v>
      </c>
      <c r="T489" s="31">
        <v>23</v>
      </c>
      <c r="U489" s="69">
        <v>-0.53328232593726099</v>
      </c>
      <c r="V489" s="69"/>
      <c r="W489" s="69"/>
      <c r="X489" s="69"/>
      <c r="Y489" s="69">
        <v>-6.2209550874538055E-2</v>
      </c>
      <c r="Z489" s="69">
        <v>-6.58499234303217E-2</v>
      </c>
      <c r="AA489" s="69">
        <v>0.5</v>
      </c>
      <c r="AB489" s="69">
        <v>0.34997619929126778</v>
      </c>
      <c r="AC489" s="69">
        <v>-0.10001586713915478</v>
      </c>
      <c r="AD489" s="133"/>
      <c r="AE489" s="133"/>
      <c r="AF489" s="133"/>
    </row>
    <row r="490" spans="1:32" x14ac:dyDescent="0.25">
      <c r="A490" t="s">
        <v>85</v>
      </c>
      <c r="B490" t="s">
        <v>620</v>
      </c>
      <c r="C490" s="31">
        <v>2</v>
      </c>
      <c r="D490" s="31">
        <v>2</v>
      </c>
      <c r="E490" s="65">
        <v>2</v>
      </c>
      <c r="F490" s="31">
        <v>2</v>
      </c>
      <c r="G490" s="66">
        <v>184.07999999999998</v>
      </c>
      <c r="H490" s="31">
        <v>94.15</v>
      </c>
      <c r="I490" s="65">
        <v>-2.92</v>
      </c>
      <c r="J490" s="65">
        <v>15.850000000000009</v>
      </c>
      <c r="K490" s="31">
        <v>46.142857142857146</v>
      </c>
      <c r="L490" s="31">
        <v>138.28571428571428</v>
      </c>
      <c r="M490" s="67">
        <v>23.071428571428573</v>
      </c>
      <c r="N490" s="67">
        <v>69.142857142857139</v>
      </c>
      <c r="O490" s="68">
        <v>92.039999999999992</v>
      </c>
      <c r="P490" s="68">
        <v>47.075000000000003</v>
      </c>
      <c r="Q490" s="69">
        <v>-1.5862668405041289E-2</v>
      </c>
      <c r="R490" s="69">
        <v>0.16834838024429111</v>
      </c>
      <c r="S490" s="31">
        <v>55</v>
      </c>
      <c r="T490" s="31">
        <v>61</v>
      </c>
      <c r="U490" s="69">
        <v>-0.70247933884297509</v>
      </c>
      <c r="V490" s="69">
        <v>0</v>
      </c>
      <c r="W490" s="69">
        <v>0.95517790759426413</v>
      </c>
      <c r="X490" s="69">
        <v>-1.1842271293375404</v>
      </c>
      <c r="Y490" s="69">
        <v>-6.8750922615800403E-2</v>
      </c>
      <c r="Z490" s="69">
        <v>-0.1150684931506849</v>
      </c>
      <c r="AA490" s="69">
        <v>-0.33333333333333337</v>
      </c>
      <c r="AB490" s="69">
        <v>4.4781202111356944E-2</v>
      </c>
      <c r="AC490" s="69">
        <v>0.56717180316703564</v>
      </c>
      <c r="AD490" s="133"/>
      <c r="AE490" s="133"/>
      <c r="AF490" s="133"/>
    </row>
    <row r="491" spans="1:32" x14ac:dyDescent="0.25">
      <c r="A491" t="s">
        <v>85</v>
      </c>
      <c r="B491" t="s">
        <v>762</v>
      </c>
      <c r="C491" s="31">
        <v>19</v>
      </c>
      <c r="D491" s="31"/>
      <c r="E491" s="65">
        <v>65</v>
      </c>
      <c r="F491" s="31"/>
      <c r="G491" s="66">
        <v>181.8</v>
      </c>
      <c r="H491" s="31"/>
      <c r="I491" s="65">
        <v>-4693.2</v>
      </c>
      <c r="J491" s="65"/>
      <c r="K491" s="31">
        <v>855.71428571428567</v>
      </c>
      <c r="L491" s="31"/>
      <c r="M491" s="67">
        <v>13.164835164835164</v>
      </c>
      <c r="N491" s="67"/>
      <c r="O491" s="68">
        <v>2.7969230769230773</v>
      </c>
      <c r="P491" s="68"/>
      <c r="Q491" s="69">
        <v>-25.815181518151814</v>
      </c>
      <c r="R491" s="69"/>
      <c r="S491" s="31"/>
      <c r="T491" s="31"/>
      <c r="U491" s="69"/>
      <c r="V491" s="69"/>
      <c r="W491" s="69"/>
      <c r="X491" s="69"/>
      <c r="Y491" s="69">
        <v>-1.4193724577062916E-2</v>
      </c>
      <c r="Z491" s="69">
        <v>-1.3016971494480223E-2</v>
      </c>
      <c r="AA491" s="69">
        <v>64</v>
      </c>
      <c r="AB491" s="69">
        <v>1.5</v>
      </c>
      <c r="AC491" s="69">
        <v>-0.96153846153846156</v>
      </c>
      <c r="AD491" s="133"/>
      <c r="AE491" s="133"/>
      <c r="AF491" s="133"/>
    </row>
    <row r="492" spans="1:32" x14ac:dyDescent="0.25">
      <c r="A492" t="s">
        <v>85</v>
      </c>
      <c r="B492" t="s">
        <v>607</v>
      </c>
      <c r="C492" s="31">
        <v>8</v>
      </c>
      <c r="D492" s="31">
        <v>193</v>
      </c>
      <c r="E492" s="65">
        <v>10</v>
      </c>
      <c r="F492" s="31">
        <v>397</v>
      </c>
      <c r="G492" s="66">
        <v>178.99</v>
      </c>
      <c r="H492" s="31">
        <v>7143.5099999999775</v>
      </c>
      <c r="I492" s="65">
        <v>62.36</v>
      </c>
      <c r="J492" s="65">
        <v>2755.5099999999729</v>
      </c>
      <c r="K492" s="31">
        <v>61.285714285714285</v>
      </c>
      <c r="L492" s="31">
        <v>6323.1428571428569</v>
      </c>
      <c r="M492" s="67">
        <v>6.1285714285714281</v>
      </c>
      <c r="N492" s="67">
        <v>15.7288842544317</v>
      </c>
      <c r="O492" s="68">
        <v>17.899000000000001</v>
      </c>
      <c r="P492" s="68">
        <v>17.993727959697676</v>
      </c>
      <c r="Q492" s="69">
        <v>0.3483993519191016</v>
      </c>
      <c r="R492" s="69">
        <v>0.37229578187910156</v>
      </c>
      <c r="S492" s="31">
        <v>622.42857142857144</v>
      </c>
      <c r="T492" s="31">
        <v>701</v>
      </c>
      <c r="U492" s="69">
        <v>-0.9898784510415255</v>
      </c>
      <c r="V492" s="69">
        <v>-0.97481108312342568</v>
      </c>
      <c r="W492" s="69">
        <v>-0.97494369014672055</v>
      </c>
      <c r="X492" s="69">
        <v>-0.9763295641314701</v>
      </c>
      <c r="Y492" s="69">
        <v>-0.29921922661747091</v>
      </c>
      <c r="Z492" s="69">
        <v>-0.28020134228187921</v>
      </c>
      <c r="AA492" s="69">
        <v>-9.0909090909090939E-2</v>
      </c>
      <c r="AB492" s="69">
        <v>-0.34344508840143806</v>
      </c>
      <c r="AC492" s="69">
        <v>-0.27778959724158181</v>
      </c>
      <c r="AD492" s="133"/>
      <c r="AE492" s="133"/>
      <c r="AF492" s="133"/>
    </row>
    <row r="493" spans="1:32" x14ac:dyDescent="0.25">
      <c r="A493" t="s">
        <v>85</v>
      </c>
      <c r="B493" t="s">
        <v>679</v>
      </c>
      <c r="C493" s="31">
        <v>2</v>
      </c>
      <c r="D493" s="31"/>
      <c r="E493" s="65">
        <v>5</v>
      </c>
      <c r="F493" s="31"/>
      <c r="G493" s="66">
        <v>136.32</v>
      </c>
      <c r="H493" s="31"/>
      <c r="I493" s="65">
        <v>61.32</v>
      </c>
      <c r="J493" s="65"/>
      <c r="K493" s="31">
        <v>2.8571428571428572</v>
      </c>
      <c r="L493" s="31">
        <v>-6.8571428571428568</v>
      </c>
      <c r="M493" s="67">
        <v>0.5714285714285714</v>
      </c>
      <c r="N493" s="67"/>
      <c r="O493" s="68">
        <v>27.263999999999999</v>
      </c>
      <c r="P493" s="68"/>
      <c r="Q493" s="69">
        <v>0.44982394366197187</v>
      </c>
      <c r="R493" s="69"/>
      <c r="S493" s="31">
        <v>58</v>
      </c>
      <c r="T493" s="31">
        <v>8.2857142857142865</v>
      </c>
      <c r="U493" s="69"/>
      <c r="V493" s="69"/>
      <c r="W493" s="69"/>
      <c r="X493" s="69"/>
      <c r="Y493" s="69">
        <v>-0.58464239015565367</v>
      </c>
      <c r="Z493" s="69">
        <v>-0.52380952380952372</v>
      </c>
      <c r="AA493" s="69">
        <v>4</v>
      </c>
      <c r="AB493" s="69">
        <v>4.9841966637401223</v>
      </c>
      <c r="AC493" s="69">
        <v>0.19683933274802445</v>
      </c>
      <c r="AD493" s="133"/>
      <c r="AE493" s="133"/>
      <c r="AF493" s="133"/>
    </row>
    <row r="494" spans="1:32" x14ac:dyDescent="0.25">
      <c r="A494" t="s">
        <v>85</v>
      </c>
      <c r="B494" t="s">
        <v>629</v>
      </c>
      <c r="C494" s="31">
        <v>1</v>
      </c>
      <c r="D494" s="31"/>
      <c r="E494" s="65">
        <v>1</v>
      </c>
      <c r="F494" s="31"/>
      <c r="G494" s="66">
        <v>127.26</v>
      </c>
      <c r="H494" s="31"/>
      <c r="I494" s="65">
        <v>32.06</v>
      </c>
      <c r="J494" s="65"/>
      <c r="K494" s="31">
        <v>2.7142857142857144</v>
      </c>
      <c r="L494" s="31">
        <v>11</v>
      </c>
      <c r="M494" s="67">
        <v>2.7142857142857144</v>
      </c>
      <c r="N494" s="67"/>
      <c r="O494" s="68">
        <v>127.26</v>
      </c>
      <c r="P494" s="68"/>
      <c r="Q494" s="69">
        <v>0.25192519251925194</v>
      </c>
      <c r="R494" s="69"/>
      <c r="S494" s="31"/>
      <c r="T494" s="31"/>
      <c r="U494" s="69">
        <v>-0.75324675324675328</v>
      </c>
      <c r="V494" s="69"/>
      <c r="W494" s="69"/>
      <c r="X494" s="69"/>
      <c r="Y494" s="69">
        <v>-0.12330009066183112</v>
      </c>
      <c r="Z494" s="69">
        <v>-9.5238095238095233E-2</v>
      </c>
      <c r="AA494" s="69"/>
      <c r="AB494" s="69"/>
      <c r="AC494" s="69"/>
      <c r="AD494" s="133"/>
      <c r="AE494" s="133"/>
      <c r="AF494" s="133"/>
    </row>
    <row r="495" spans="1:32" x14ac:dyDescent="0.25">
      <c r="A495" t="s">
        <v>85</v>
      </c>
      <c r="B495" t="s">
        <v>625</v>
      </c>
      <c r="C495" s="31">
        <v>2</v>
      </c>
      <c r="D495" s="31">
        <v>3</v>
      </c>
      <c r="E495" s="65">
        <v>2</v>
      </c>
      <c r="F495" s="31">
        <v>6</v>
      </c>
      <c r="G495" s="66">
        <v>125.44</v>
      </c>
      <c r="H495" s="31">
        <v>511.31000000000006</v>
      </c>
      <c r="I495" s="65">
        <v>-54.559999999999995</v>
      </c>
      <c r="J495" s="65">
        <v>-88.689999999999941</v>
      </c>
      <c r="K495" s="31">
        <v>67</v>
      </c>
      <c r="L495" s="31">
        <v>189</v>
      </c>
      <c r="M495" s="67">
        <v>33.5</v>
      </c>
      <c r="N495" s="67">
        <v>31.976190476190478</v>
      </c>
      <c r="O495" s="68">
        <v>62.72</v>
      </c>
      <c r="P495" s="68">
        <v>85.218333333333348</v>
      </c>
      <c r="Q495" s="69">
        <v>-0.4349489795918367</v>
      </c>
      <c r="R495" s="69">
        <v>-0.17345641587295366</v>
      </c>
      <c r="S495" s="31">
        <v>12</v>
      </c>
      <c r="T495" s="31">
        <v>4</v>
      </c>
      <c r="U495" s="69">
        <v>-0.65154950869236583</v>
      </c>
      <c r="V495" s="69">
        <v>-0.66666666666666674</v>
      </c>
      <c r="W495" s="69">
        <v>-0.75466937865482786</v>
      </c>
      <c r="X495" s="69">
        <v>-0.38482354267673879</v>
      </c>
      <c r="Y495" s="69">
        <v>-6.4698937426210135E-2</v>
      </c>
      <c r="Z495" s="69">
        <v>-6.3872255489021978E-2</v>
      </c>
      <c r="AA495" s="69">
        <v>-0.33333333333333337</v>
      </c>
      <c r="AB495" s="69">
        <v>-0.31457297415441776</v>
      </c>
      <c r="AC495" s="69">
        <v>2.8140538768373302E-2</v>
      </c>
      <c r="AD495" s="133"/>
      <c r="AE495" s="133"/>
      <c r="AF495" s="133"/>
    </row>
    <row r="496" spans="1:32" x14ac:dyDescent="0.25">
      <c r="A496" t="s">
        <v>85</v>
      </c>
      <c r="B496" t="s">
        <v>627</v>
      </c>
      <c r="C496" s="31">
        <v>8</v>
      </c>
      <c r="D496" s="31">
        <v>6</v>
      </c>
      <c r="E496" s="65">
        <v>24</v>
      </c>
      <c r="F496" s="31">
        <v>7</v>
      </c>
      <c r="G496" s="66">
        <v>108.94000000000001</v>
      </c>
      <c r="H496" s="31">
        <v>38.46</v>
      </c>
      <c r="I496" s="65">
        <v>21.04</v>
      </c>
      <c r="J496" s="65">
        <v>10.260000000000002</v>
      </c>
      <c r="K496" s="31">
        <v>274.42857142857144</v>
      </c>
      <c r="L496" s="31">
        <v>597.28571428571433</v>
      </c>
      <c r="M496" s="67">
        <v>11.43452380952381</v>
      </c>
      <c r="N496" s="67">
        <v>85.367346938775512</v>
      </c>
      <c r="O496" s="68">
        <v>4.5391666666666675</v>
      </c>
      <c r="P496" s="68">
        <v>5.4942857142857147</v>
      </c>
      <c r="Q496" s="69">
        <v>0.19313383513860838</v>
      </c>
      <c r="R496" s="69">
        <v>0.26677067082683309</v>
      </c>
      <c r="S496" s="31">
        <v>45.142857142857146</v>
      </c>
      <c r="T496" s="31">
        <v>22</v>
      </c>
      <c r="U496" s="69">
        <v>-0.54054054054054057</v>
      </c>
      <c r="V496" s="69">
        <v>2.4285714285714284</v>
      </c>
      <c r="W496" s="69">
        <v>1.8325533021320854</v>
      </c>
      <c r="X496" s="69">
        <v>1.0506822612085789</v>
      </c>
      <c r="Y496" s="69">
        <v>-2.2698771672915563E-2</v>
      </c>
      <c r="Z496" s="69">
        <v>-2.5367833587011557E-2</v>
      </c>
      <c r="AA496" s="69"/>
      <c r="AB496" s="69"/>
      <c r="AC496" s="69"/>
      <c r="AD496" s="133"/>
      <c r="AE496" s="133"/>
      <c r="AF496" s="133"/>
    </row>
    <row r="497" spans="1:32" x14ac:dyDescent="0.25">
      <c r="A497" t="s">
        <v>85</v>
      </c>
      <c r="B497" t="s">
        <v>616</v>
      </c>
      <c r="C497" s="31">
        <v>6</v>
      </c>
      <c r="D497" s="31">
        <v>57</v>
      </c>
      <c r="E497" s="65">
        <v>6</v>
      </c>
      <c r="F497" s="31">
        <v>86</v>
      </c>
      <c r="G497" s="66">
        <v>105.50000000000001</v>
      </c>
      <c r="H497" s="31">
        <v>1535.2499999999991</v>
      </c>
      <c r="I497" s="65">
        <v>53.120000000000005</v>
      </c>
      <c r="J497" s="65">
        <v>505.28999999999996</v>
      </c>
      <c r="K497" s="31">
        <v>72.142857142857139</v>
      </c>
      <c r="L497" s="31">
        <v>2044.7142857142858</v>
      </c>
      <c r="M497" s="67">
        <v>12.023809523809524</v>
      </c>
      <c r="N497" s="67">
        <v>23.62698412698413</v>
      </c>
      <c r="O497" s="68">
        <v>17.583333333333336</v>
      </c>
      <c r="P497" s="68">
        <v>17.851744186046503</v>
      </c>
      <c r="Q497" s="69">
        <v>0.50350710900473927</v>
      </c>
      <c r="R497" s="69">
        <v>0.31425657227795445</v>
      </c>
      <c r="S497" s="31">
        <v>168</v>
      </c>
      <c r="T497" s="31">
        <v>180</v>
      </c>
      <c r="U497" s="69">
        <v>-0.96471738978550969</v>
      </c>
      <c r="V497" s="69">
        <v>-0.93023255813953487</v>
      </c>
      <c r="W497" s="69">
        <v>-0.93128155023611781</v>
      </c>
      <c r="X497" s="69">
        <v>-0.8877169248980108</v>
      </c>
      <c r="Y497" s="69">
        <v>-0.14567139129071804</v>
      </c>
      <c r="Z497" s="69">
        <v>-0.1761827079934748</v>
      </c>
      <c r="AA497" s="69">
        <v>1</v>
      </c>
      <c r="AB497" s="69">
        <v>1.0339309812994024</v>
      </c>
      <c r="AC497" s="69">
        <v>1.6965490649701209E-2</v>
      </c>
      <c r="AD497" s="133"/>
      <c r="AE497" s="133"/>
      <c r="AF497" s="133"/>
    </row>
    <row r="498" spans="1:32" x14ac:dyDescent="0.25">
      <c r="A498" t="s">
        <v>85</v>
      </c>
      <c r="B498" t="s">
        <v>621</v>
      </c>
      <c r="C498" s="31">
        <v>2</v>
      </c>
      <c r="D498" s="31">
        <v>10</v>
      </c>
      <c r="E498" s="65">
        <v>2</v>
      </c>
      <c r="F498" s="31">
        <v>16</v>
      </c>
      <c r="G498" s="66">
        <v>100.89</v>
      </c>
      <c r="H498" s="31">
        <v>1275.49</v>
      </c>
      <c r="I498" s="65">
        <v>-4.9000000000000004</v>
      </c>
      <c r="J498" s="65">
        <v>428.41999999999996</v>
      </c>
      <c r="K498" s="31">
        <v>89.571428571428569</v>
      </c>
      <c r="L498" s="31">
        <v>468.28571428571428</v>
      </c>
      <c r="M498" s="67">
        <v>44.785714285714285</v>
      </c>
      <c r="N498" s="67">
        <v>29.839285714285715</v>
      </c>
      <c r="O498" s="68">
        <v>50.445</v>
      </c>
      <c r="P498" s="68">
        <v>79.718125000000001</v>
      </c>
      <c r="Q498" s="69">
        <v>-4.8567747051243934E-2</v>
      </c>
      <c r="R498" s="69">
        <v>0.33588660044375102</v>
      </c>
      <c r="S498" s="31"/>
      <c r="T498" s="31">
        <v>6</v>
      </c>
      <c r="U498" s="69">
        <v>-0.8087248322147651</v>
      </c>
      <c r="V498" s="69">
        <v>-0.875</v>
      </c>
      <c r="W498" s="69">
        <v>-0.92090098707163526</v>
      </c>
      <c r="X498" s="69">
        <v>-1.0114373745390037</v>
      </c>
      <c r="Y498" s="69">
        <v>-7.0524269080618596E-2</v>
      </c>
      <c r="Z498" s="69">
        <v>-6.9732937685460072E-2</v>
      </c>
      <c r="AA498" s="69">
        <v>-0.66666666666666674</v>
      </c>
      <c r="AB498" s="69">
        <v>-0.68377006018054165</v>
      </c>
      <c r="AC498" s="69">
        <v>-5.1310180541624728E-2</v>
      </c>
      <c r="AD498" s="133"/>
      <c r="AE498" s="133"/>
      <c r="AF498" s="133"/>
    </row>
    <row r="499" spans="1:32" x14ac:dyDescent="0.25">
      <c r="A499" t="s">
        <v>85</v>
      </c>
      <c r="B499" t="s">
        <v>614</v>
      </c>
      <c r="C499" s="31">
        <v>1</v>
      </c>
      <c r="D499" s="31">
        <v>3</v>
      </c>
      <c r="E499" s="65">
        <v>1</v>
      </c>
      <c r="F499" s="31">
        <v>3</v>
      </c>
      <c r="G499" s="66">
        <v>90.9</v>
      </c>
      <c r="H499" s="31">
        <v>584.07000000000005</v>
      </c>
      <c r="I499" s="65">
        <v>-45.93</v>
      </c>
      <c r="J499" s="65">
        <v>134.61000000000001</v>
      </c>
      <c r="K499" s="31">
        <v>84.285714285714292</v>
      </c>
      <c r="L499" s="31">
        <v>130.28571428571428</v>
      </c>
      <c r="M499" s="67">
        <v>84.285714285714292</v>
      </c>
      <c r="N499" s="67">
        <v>43.142857142857139</v>
      </c>
      <c r="O499" s="68">
        <v>90.9</v>
      </c>
      <c r="P499" s="68">
        <v>194.69000000000003</v>
      </c>
      <c r="Q499" s="69">
        <v>-0.50528052805280521</v>
      </c>
      <c r="R499" s="69">
        <v>0.23046895063947814</v>
      </c>
      <c r="S499" s="31">
        <v>123</v>
      </c>
      <c r="T499" s="31">
        <v>106</v>
      </c>
      <c r="U499" s="69">
        <v>-0.70723684210526305</v>
      </c>
      <c r="V499" s="69">
        <v>-0.66666666666666674</v>
      </c>
      <c r="W499" s="69">
        <v>-0.84436796959268579</v>
      </c>
      <c r="X499" s="69">
        <v>-1.341207934031647</v>
      </c>
      <c r="Y499" s="69">
        <v>-1.447322735775658E-2</v>
      </c>
      <c r="Z499" s="69">
        <v>-2.960526315789469E-2</v>
      </c>
      <c r="AA499" s="69">
        <v>-0.5</v>
      </c>
      <c r="AB499" s="69">
        <v>-0.45944338725023792</v>
      </c>
      <c r="AC499" s="69">
        <v>8.1113225499524155E-2</v>
      </c>
      <c r="AD499" s="133"/>
      <c r="AE499" s="133"/>
      <c r="AF499" s="133"/>
    </row>
    <row r="500" spans="1:32" x14ac:dyDescent="0.25">
      <c r="A500" t="s">
        <v>85</v>
      </c>
      <c r="B500" t="s">
        <v>604</v>
      </c>
      <c r="C500" s="31">
        <v>5</v>
      </c>
      <c r="D500" s="31">
        <v>93</v>
      </c>
      <c r="E500" s="65">
        <v>5</v>
      </c>
      <c r="F500" s="31">
        <v>253</v>
      </c>
      <c r="G500" s="66">
        <v>85.88000000000001</v>
      </c>
      <c r="H500" s="31">
        <v>4781.8699999999972</v>
      </c>
      <c r="I500" s="65">
        <v>-128.83999999999997</v>
      </c>
      <c r="J500" s="65">
        <v>-644.02000000000407</v>
      </c>
      <c r="K500" s="31">
        <v>46.857142857142854</v>
      </c>
      <c r="L500" s="31">
        <v>3509.4285714285716</v>
      </c>
      <c r="M500" s="67">
        <v>9.3714285714285701</v>
      </c>
      <c r="N500" s="67">
        <v>12.073578595317725</v>
      </c>
      <c r="O500" s="68">
        <v>17.176000000000002</v>
      </c>
      <c r="P500" s="68">
        <v>18.900671936758883</v>
      </c>
      <c r="Q500" s="69">
        <v>-1.500232883092687</v>
      </c>
      <c r="R500" s="69">
        <v>-0.11460307461247121</v>
      </c>
      <c r="S500" s="31">
        <v>1420</v>
      </c>
      <c r="T500" s="31">
        <v>790</v>
      </c>
      <c r="U500" s="69">
        <v>-0.98677033298054218</v>
      </c>
      <c r="V500" s="69">
        <v>-0.98418972332015808</v>
      </c>
      <c r="W500" s="69">
        <v>-0.9858402675104091</v>
      </c>
      <c r="X500" s="69">
        <v>-0.82794094412162345</v>
      </c>
      <c r="Y500" s="69">
        <v>-0.11862929992520421</v>
      </c>
      <c r="Z500" s="69">
        <v>-8.1232492997198924E-2</v>
      </c>
      <c r="AA500" s="69">
        <v>-0.2857142857142857</v>
      </c>
      <c r="AB500" s="69">
        <v>-0.31042235426369036</v>
      </c>
      <c r="AC500" s="69">
        <v>-3.4591295969166436E-2</v>
      </c>
      <c r="AD500" s="133"/>
      <c r="AE500" s="133"/>
      <c r="AF500" s="133"/>
    </row>
    <row r="501" spans="1:32" x14ac:dyDescent="0.25">
      <c r="A501" t="s">
        <v>85</v>
      </c>
      <c r="B501" t="s">
        <v>617</v>
      </c>
      <c r="C501" s="31">
        <v>1</v>
      </c>
      <c r="D501" s="31">
        <v>35</v>
      </c>
      <c r="E501" s="65">
        <v>1</v>
      </c>
      <c r="F501" s="31">
        <v>49</v>
      </c>
      <c r="G501" s="66">
        <v>18.170000000000002</v>
      </c>
      <c r="H501" s="31">
        <v>861.38000000000022</v>
      </c>
      <c r="I501" s="65">
        <v>9.3800000000000008</v>
      </c>
      <c r="J501" s="65">
        <v>375.61000000000013</v>
      </c>
      <c r="K501" s="31">
        <v>32</v>
      </c>
      <c r="L501" s="31">
        <v>1089.5714285714287</v>
      </c>
      <c r="M501" s="67">
        <v>32</v>
      </c>
      <c r="N501" s="67">
        <v>22.489795918367346</v>
      </c>
      <c r="O501" s="68">
        <v>18.170000000000002</v>
      </c>
      <c r="P501" s="68">
        <v>17.579183673469391</v>
      </c>
      <c r="Q501" s="69">
        <v>0.51623555310952118</v>
      </c>
      <c r="R501" s="69">
        <v>0.43605609603194878</v>
      </c>
      <c r="S501" s="31">
        <v>204</v>
      </c>
      <c r="T501" s="31">
        <v>176</v>
      </c>
      <c r="U501" s="69">
        <v>-0.97338403041825095</v>
      </c>
      <c r="V501" s="69">
        <v>-0.97959183673469385</v>
      </c>
      <c r="W501" s="69">
        <v>-0.97890594162854949</v>
      </c>
      <c r="X501" s="69">
        <v>-0.97502728894331891</v>
      </c>
      <c r="Y501" s="69">
        <v>-2.4938749155610118E-2</v>
      </c>
      <c r="Z501" s="69">
        <v>-3.8626609442060089E-2</v>
      </c>
      <c r="AA501" s="69"/>
      <c r="AB501" s="69"/>
      <c r="AC501" s="69"/>
      <c r="AD501" s="133"/>
      <c r="AE501" s="133"/>
      <c r="AF501" s="133"/>
    </row>
    <row r="502" spans="1:32" x14ac:dyDescent="0.25">
      <c r="A502" t="s">
        <v>85</v>
      </c>
      <c r="B502" t="s">
        <v>661</v>
      </c>
      <c r="C502" s="31">
        <v>1</v>
      </c>
      <c r="D502" s="31"/>
      <c r="E502" s="65">
        <v>1</v>
      </c>
      <c r="F502" s="31"/>
      <c r="G502" s="66">
        <v>15.67</v>
      </c>
      <c r="H502" s="31"/>
      <c r="I502" s="65">
        <v>3.16</v>
      </c>
      <c r="J502" s="65"/>
      <c r="K502" s="31">
        <v>11.571428571428571</v>
      </c>
      <c r="L502" s="31">
        <v>19</v>
      </c>
      <c r="M502" s="67">
        <v>11.571428571428571</v>
      </c>
      <c r="N502" s="67"/>
      <c r="O502" s="68">
        <v>15.67</v>
      </c>
      <c r="P502" s="68"/>
      <c r="Q502" s="69">
        <v>0.20165922144224635</v>
      </c>
      <c r="R502" s="69"/>
      <c r="S502" s="31"/>
      <c r="T502" s="31"/>
      <c r="U502" s="69">
        <v>-0.39097744360902253</v>
      </c>
      <c r="V502" s="69"/>
      <c r="W502" s="69"/>
      <c r="X502" s="69"/>
      <c r="Y502" s="69">
        <v>-3.5850408367961051E-2</v>
      </c>
      <c r="Z502" s="69">
        <v>-3.5714285714285698E-2</v>
      </c>
      <c r="AA502" s="69"/>
      <c r="AB502" s="69"/>
      <c r="AC502" s="69"/>
      <c r="AD502" s="133"/>
      <c r="AE502" s="133"/>
      <c r="AF502" s="133"/>
    </row>
    <row r="503" spans="1:32" x14ac:dyDescent="0.25">
      <c r="A503" t="s">
        <v>85</v>
      </c>
      <c r="B503" t="s">
        <v>667</v>
      </c>
      <c r="C503" s="31"/>
      <c r="D503" s="31"/>
      <c r="E503" s="65"/>
      <c r="F503" s="31"/>
      <c r="G503" s="66"/>
      <c r="H503" s="31"/>
      <c r="I503" s="65"/>
      <c r="J503" s="65"/>
      <c r="K503" s="31"/>
      <c r="L503" s="31"/>
      <c r="M503" s="67"/>
      <c r="N503" s="67"/>
      <c r="O503" s="68"/>
      <c r="P503" s="68"/>
      <c r="Q503" s="69"/>
      <c r="R503" s="69"/>
      <c r="S503" s="31">
        <v>-2</v>
      </c>
      <c r="T503" s="31">
        <v>-2</v>
      </c>
      <c r="U503" s="69"/>
      <c r="V503" s="69"/>
      <c r="W503" s="69"/>
      <c r="X503" s="69"/>
      <c r="Y503" s="69"/>
      <c r="Z503" s="69"/>
      <c r="AA503" s="69"/>
      <c r="AB503" s="69"/>
      <c r="AC503" s="69"/>
      <c r="AD503" s="133"/>
      <c r="AE503" s="133"/>
      <c r="AF503" s="133"/>
    </row>
    <row r="504" spans="1:32" x14ac:dyDescent="0.25">
      <c r="A504" t="s">
        <v>85</v>
      </c>
      <c r="B504" t="s">
        <v>665</v>
      </c>
      <c r="C504" s="31"/>
      <c r="D504" s="31"/>
      <c r="E504" s="65"/>
      <c r="F504" s="31"/>
      <c r="G504" s="66"/>
      <c r="H504" s="31"/>
      <c r="I504" s="65"/>
      <c r="J504" s="65"/>
      <c r="K504" s="31"/>
      <c r="L504" s="31">
        <v>1</v>
      </c>
      <c r="M504" s="67"/>
      <c r="N504" s="67"/>
      <c r="O504" s="68"/>
      <c r="P504" s="68"/>
      <c r="Q504" s="69"/>
      <c r="R504" s="69"/>
      <c r="S504" s="31"/>
      <c r="T504" s="31"/>
      <c r="U504" s="69"/>
      <c r="V504" s="69"/>
      <c r="W504" s="69"/>
      <c r="X504" s="69"/>
      <c r="Y504" s="69"/>
      <c r="Z504" s="69"/>
      <c r="AA504" s="69"/>
      <c r="AB504" s="69"/>
      <c r="AC504" s="69"/>
      <c r="AD504" s="133"/>
      <c r="AE504" s="133"/>
      <c r="AF504" s="133"/>
    </row>
    <row r="505" spans="1:32" x14ac:dyDescent="0.25">
      <c r="A505" t="s">
        <v>85</v>
      </c>
      <c r="B505" t="s">
        <v>651</v>
      </c>
      <c r="C505" s="31"/>
      <c r="D505" s="31"/>
      <c r="E505" s="65"/>
      <c r="F505" s="31"/>
      <c r="G505" s="66"/>
      <c r="H505" s="31"/>
      <c r="I505" s="65"/>
      <c r="J505" s="65"/>
      <c r="K505" s="31"/>
      <c r="L505" s="31">
        <v>1</v>
      </c>
      <c r="M505" s="67"/>
      <c r="N505" s="67"/>
      <c r="O505" s="68"/>
      <c r="P505" s="68"/>
      <c r="Q505" s="69"/>
      <c r="R505" s="69"/>
      <c r="S505" s="31">
        <v>8</v>
      </c>
      <c r="T505" s="31">
        <v>8</v>
      </c>
      <c r="U505" s="69"/>
      <c r="V505" s="69"/>
      <c r="W505" s="69"/>
      <c r="X505" s="69"/>
      <c r="Y505" s="69"/>
      <c r="Z505" s="69"/>
      <c r="AA505" s="69"/>
      <c r="AB505" s="69"/>
      <c r="AC505" s="69"/>
      <c r="AD505" s="133"/>
      <c r="AE505" s="133"/>
      <c r="AF505" s="133"/>
    </row>
    <row r="506" spans="1:32" x14ac:dyDescent="0.25">
      <c r="A506" t="s">
        <v>85</v>
      </c>
      <c r="B506" t="s">
        <v>671</v>
      </c>
      <c r="C506" s="31"/>
      <c r="D506" s="31"/>
      <c r="E506" s="65"/>
      <c r="F506" s="31"/>
      <c r="G506" s="66"/>
      <c r="H506" s="31"/>
      <c r="I506" s="65"/>
      <c r="J506" s="65"/>
      <c r="K506" s="31">
        <v>1</v>
      </c>
      <c r="L506" s="31">
        <v>3</v>
      </c>
      <c r="M506" s="67"/>
      <c r="N506" s="67"/>
      <c r="O506" s="68"/>
      <c r="P506" s="68"/>
      <c r="Q506" s="69"/>
      <c r="R506" s="69"/>
      <c r="S506" s="31"/>
      <c r="T506" s="31"/>
      <c r="U506" s="69">
        <v>-0.66666666666666674</v>
      </c>
      <c r="V506" s="69"/>
      <c r="W506" s="69"/>
      <c r="X506" s="69"/>
      <c r="Y506" s="69">
        <v>0</v>
      </c>
      <c r="Z506" s="69">
        <v>0</v>
      </c>
      <c r="AA506" s="69"/>
      <c r="AB506" s="69"/>
      <c r="AC506" s="69"/>
      <c r="AD506" s="133"/>
      <c r="AE506" s="133"/>
      <c r="AF506" s="133"/>
    </row>
    <row r="507" spans="1:32" x14ac:dyDescent="0.25">
      <c r="A507" t="s">
        <v>85</v>
      </c>
      <c r="B507" t="s">
        <v>681</v>
      </c>
      <c r="C507" s="31"/>
      <c r="D507" s="31"/>
      <c r="E507" s="65"/>
      <c r="F507" s="31"/>
      <c r="G507" s="66"/>
      <c r="H507" s="31"/>
      <c r="I507" s="65"/>
      <c r="J507" s="65"/>
      <c r="K507" s="31"/>
      <c r="L507" s="31">
        <v>1</v>
      </c>
      <c r="M507" s="67"/>
      <c r="N507" s="67"/>
      <c r="O507" s="68"/>
      <c r="P507" s="68"/>
      <c r="Q507" s="69"/>
      <c r="R507" s="69"/>
      <c r="S507" s="31"/>
      <c r="T507" s="31"/>
      <c r="U507" s="69"/>
      <c r="V507" s="69"/>
      <c r="W507" s="69"/>
      <c r="X507" s="69"/>
      <c r="Y507" s="69"/>
      <c r="Z507" s="69"/>
      <c r="AA507" s="69"/>
      <c r="AB507" s="69"/>
      <c r="AC507" s="69"/>
      <c r="AD507" s="133"/>
      <c r="AE507" s="133"/>
      <c r="AF507" s="133"/>
    </row>
    <row r="508" spans="1:32" x14ac:dyDescent="0.25">
      <c r="A508" t="s">
        <v>85</v>
      </c>
      <c r="B508" t="s">
        <v>631</v>
      </c>
      <c r="C508" s="31"/>
      <c r="D508" s="31"/>
      <c r="E508" s="65"/>
      <c r="F508" s="31"/>
      <c r="G508" s="66"/>
      <c r="H508" s="31"/>
      <c r="I508" s="65"/>
      <c r="J508" s="65"/>
      <c r="K508" s="31">
        <v>4</v>
      </c>
      <c r="L508" s="31">
        <v>5</v>
      </c>
      <c r="M508" s="67"/>
      <c r="N508" s="67"/>
      <c r="O508" s="68"/>
      <c r="P508" s="68"/>
      <c r="Q508" s="69"/>
      <c r="R508" s="69"/>
      <c r="S508" s="31"/>
      <c r="T508" s="31">
        <v>1</v>
      </c>
      <c r="U508" s="69">
        <v>-0.19999999999999996</v>
      </c>
      <c r="V508" s="69"/>
      <c r="W508" s="69"/>
      <c r="X508" s="69"/>
      <c r="Y508" s="69">
        <v>0</v>
      </c>
      <c r="Z508" s="69">
        <v>0</v>
      </c>
      <c r="AA508" s="69"/>
      <c r="AB508" s="69"/>
      <c r="AC508" s="69"/>
      <c r="AD508" s="133"/>
      <c r="AE508" s="133"/>
      <c r="AF508" s="133"/>
    </row>
    <row r="509" spans="1:32" x14ac:dyDescent="0.25">
      <c r="A509" t="s">
        <v>85</v>
      </c>
      <c r="B509" t="s">
        <v>648</v>
      </c>
      <c r="C509" s="31"/>
      <c r="D509" s="31"/>
      <c r="E509" s="65"/>
      <c r="F509" s="31"/>
      <c r="G509" s="66"/>
      <c r="H509" s="31"/>
      <c r="I509" s="65"/>
      <c r="J509" s="65"/>
      <c r="K509" s="31">
        <v>2</v>
      </c>
      <c r="L509" s="31">
        <v>3</v>
      </c>
      <c r="M509" s="67"/>
      <c r="N509" s="67"/>
      <c r="O509" s="68"/>
      <c r="P509" s="68"/>
      <c r="Q509" s="69"/>
      <c r="R509" s="69"/>
      <c r="S509" s="31"/>
      <c r="T509" s="31"/>
      <c r="U509" s="69">
        <v>-0.33333333333333337</v>
      </c>
      <c r="V509" s="69"/>
      <c r="W509" s="69"/>
      <c r="X509" s="69"/>
      <c r="Y509" s="69">
        <v>0</v>
      </c>
      <c r="Z509" s="69">
        <v>0</v>
      </c>
      <c r="AA509" s="69"/>
      <c r="AB509" s="69"/>
      <c r="AC509" s="69"/>
      <c r="AD509" s="133"/>
      <c r="AE509" s="133"/>
      <c r="AF509" s="133"/>
    </row>
    <row r="510" spans="1:32" x14ac:dyDescent="0.25">
      <c r="A510" t="s">
        <v>85</v>
      </c>
      <c r="B510" t="s">
        <v>645</v>
      </c>
      <c r="C510" s="31"/>
      <c r="D510" s="31"/>
      <c r="E510" s="65"/>
      <c r="F510" s="31"/>
      <c r="G510" s="66"/>
      <c r="H510" s="31"/>
      <c r="I510" s="65"/>
      <c r="J510" s="65"/>
      <c r="K510" s="31">
        <v>1</v>
      </c>
      <c r="L510" s="31">
        <v>1</v>
      </c>
      <c r="M510" s="67"/>
      <c r="N510" s="67"/>
      <c r="O510" s="68"/>
      <c r="P510" s="68"/>
      <c r="Q510" s="69"/>
      <c r="R510" s="69"/>
      <c r="S510" s="31"/>
      <c r="T510" s="31"/>
      <c r="U510" s="69">
        <v>0</v>
      </c>
      <c r="V510" s="69"/>
      <c r="W510" s="69"/>
      <c r="X510" s="69"/>
      <c r="Y510" s="69">
        <v>0</v>
      </c>
      <c r="Z510" s="69">
        <v>0</v>
      </c>
      <c r="AA510" s="69"/>
      <c r="AB510" s="69"/>
      <c r="AC510" s="69"/>
      <c r="AD510" s="133"/>
      <c r="AE510" s="133"/>
      <c r="AF510" s="133"/>
    </row>
    <row r="511" spans="1:32" x14ac:dyDescent="0.25">
      <c r="A511" t="s">
        <v>85</v>
      </c>
      <c r="B511" t="s">
        <v>655</v>
      </c>
      <c r="C511" s="31"/>
      <c r="D511" s="31"/>
      <c r="E511" s="65"/>
      <c r="F511" s="31"/>
      <c r="G511" s="66"/>
      <c r="H511" s="31"/>
      <c r="I511" s="65"/>
      <c r="J511" s="65"/>
      <c r="K511" s="31"/>
      <c r="L511" s="31">
        <v>1</v>
      </c>
      <c r="M511" s="67"/>
      <c r="N511" s="67"/>
      <c r="O511" s="68"/>
      <c r="P511" s="68"/>
      <c r="Q511" s="69"/>
      <c r="R511" s="69"/>
      <c r="S511" s="31">
        <v>7</v>
      </c>
      <c r="T511" s="31"/>
      <c r="U511" s="69"/>
      <c r="V511" s="69"/>
      <c r="W511" s="69"/>
      <c r="X511" s="69"/>
      <c r="Y511" s="69"/>
      <c r="Z511" s="69"/>
      <c r="AA511" s="69"/>
      <c r="AB511" s="69"/>
      <c r="AC511" s="69"/>
      <c r="AD511" s="133"/>
      <c r="AE511" s="133"/>
      <c r="AF511" s="133"/>
    </row>
    <row r="512" spans="1:32" x14ac:dyDescent="0.25">
      <c r="A512" t="s">
        <v>85</v>
      </c>
      <c r="B512" t="s">
        <v>644</v>
      </c>
      <c r="C512" s="31"/>
      <c r="D512" s="31"/>
      <c r="E512" s="65"/>
      <c r="F512" s="31"/>
      <c r="G512" s="66"/>
      <c r="H512" s="31"/>
      <c r="I512" s="65"/>
      <c r="J512" s="65"/>
      <c r="K512" s="31">
        <v>1</v>
      </c>
      <c r="L512" s="31">
        <v>5</v>
      </c>
      <c r="M512" s="67"/>
      <c r="N512" s="67"/>
      <c r="O512" s="68"/>
      <c r="P512" s="68"/>
      <c r="Q512" s="69"/>
      <c r="R512" s="69"/>
      <c r="S512" s="31"/>
      <c r="T512" s="31"/>
      <c r="U512" s="69">
        <v>-0.8</v>
      </c>
      <c r="V512" s="69"/>
      <c r="W512" s="69"/>
      <c r="X512" s="69"/>
      <c r="Y512" s="69">
        <v>2.2204460492503131E-16</v>
      </c>
      <c r="Z512" s="69">
        <v>0</v>
      </c>
      <c r="AA512" s="69"/>
      <c r="AB512" s="69"/>
      <c r="AC512" s="69"/>
      <c r="AD512" s="133"/>
      <c r="AE512" s="133"/>
      <c r="AF512" s="133"/>
    </row>
    <row r="513" spans="1:32" x14ac:dyDescent="0.25">
      <c r="A513" t="s">
        <v>85</v>
      </c>
      <c r="B513" t="s">
        <v>675</v>
      </c>
      <c r="C513" s="31"/>
      <c r="D513" s="31"/>
      <c r="E513" s="65"/>
      <c r="F513" s="31"/>
      <c r="G513" s="66"/>
      <c r="H513" s="31"/>
      <c r="I513" s="65"/>
      <c r="J513" s="65"/>
      <c r="K513" s="31">
        <v>1.7142857142857142</v>
      </c>
      <c r="L513" s="31">
        <v>2</v>
      </c>
      <c r="M513" s="67"/>
      <c r="N513" s="67"/>
      <c r="O513" s="68"/>
      <c r="P513" s="68"/>
      <c r="Q513" s="69"/>
      <c r="R513" s="69"/>
      <c r="S513" s="31"/>
      <c r="T513" s="31"/>
      <c r="U513" s="69">
        <v>-0.1428571428571429</v>
      </c>
      <c r="V513" s="69"/>
      <c r="W513" s="69"/>
      <c r="X513" s="69"/>
      <c r="Y513" s="69">
        <v>-0.14115801855966525</v>
      </c>
      <c r="Z513" s="69">
        <v>-0.1428571428571429</v>
      </c>
      <c r="AA513" s="69"/>
      <c r="AB513" s="69"/>
      <c r="AC513" s="69"/>
      <c r="AD513" s="133"/>
      <c r="AE513" s="133"/>
      <c r="AF513" s="133"/>
    </row>
    <row r="514" spans="1:32" x14ac:dyDescent="0.25">
      <c r="A514" t="s">
        <v>85</v>
      </c>
      <c r="B514" t="s">
        <v>666</v>
      </c>
      <c r="C514" s="31"/>
      <c r="D514" s="31"/>
      <c r="E514" s="65"/>
      <c r="F514" s="31"/>
      <c r="G514" s="66"/>
      <c r="H514" s="31"/>
      <c r="I514" s="65"/>
      <c r="J514" s="65"/>
      <c r="K514" s="31">
        <v>7</v>
      </c>
      <c r="L514" s="31">
        <v>5</v>
      </c>
      <c r="M514" s="67"/>
      <c r="N514" s="67"/>
      <c r="O514" s="68"/>
      <c r="P514" s="68"/>
      <c r="Q514" s="69"/>
      <c r="R514" s="69"/>
      <c r="S514" s="31"/>
      <c r="T514" s="31"/>
      <c r="U514" s="69">
        <v>0.39999999999999991</v>
      </c>
      <c r="V514" s="69"/>
      <c r="W514" s="69"/>
      <c r="X514" s="69"/>
      <c r="Y514" s="69">
        <v>0</v>
      </c>
      <c r="Z514" s="69">
        <v>0</v>
      </c>
      <c r="AA514" s="69"/>
      <c r="AB514" s="69"/>
      <c r="AC514" s="69"/>
      <c r="AD514" s="133"/>
      <c r="AE514" s="133"/>
      <c r="AF514" s="133"/>
    </row>
    <row r="515" spans="1:32" x14ac:dyDescent="0.25">
      <c r="A515" t="s">
        <v>85</v>
      </c>
      <c r="B515" t="s">
        <v>658</v>
      </c>
      <c r="C515" s="31"/>
      <c r="D515" s="31"/>
      <c r="E515" s="65"/>
      <c r="F515" s="31"/>
      <c r="G515" s="66"/>
      <c r="H515" s="31"/>
      <c r="I515" s="65"/>
      <c r="J515" s="65"/>
      <c r="K515" s="31">
        <v>4</v>
      </c>
      <c r="L515" s="31">
        <v>1</v>
      </c>
      <c r="M515" s="67"/>
      <c r="N515" s="67"/>
      <c r="O515" s="68"/>
      <c r="P515" s="68"/>
      <c r="Q515" s="69"/>
      <c r="R515" s="69"/>
      <c r="S515" s="31"/>
      <c r="T515" s="31"/>
      <c r="U515" s="69"/>
      <c r="V515" s="69"/>
      <c r="W515" s="69"/>
      <c r="X515" s="69"/>
      <c r="Y515" s="69">
        <v>0</v>
      </c>
      <c r="Z515" s="69">
        <v>0</v>
      </c>
      <c r="AA515" s="69"/>
      <c r="AB515" s="69"/>
      <c r="AC515" s="69"/>
      <c r="AD515" s="133"/>
      <c r="AE515" s="133"/>
      <c r="AF515" s="133"/>
    </row>
    <row r="516" spans="1:32" x14ac:dyDescent="0.25">
      <c r="A516" t="s">
        <v>85</v>
      </c>
      <c r="B516" t="s">
        <v>821</v>
      </c>
      <c r="C516" s="31"/>
      <c r="D516" s="31"/>
      <c r="E516" s="65"/>
      <c r="F516" s="31"/>
      <c r="G516" s="66"/>
      <c r="H516" s="31"/>
      <c r="I516" s="65"/>
      <c r="J516" s="65"/>
      <c r="K516" s="31"/>
      <c r="L516" s="31">
        <v>1</v>
      </c>
      <c r="M516" s="67"/>
      <c r="N516" s="67"/>
      <c r="O516" s="68"/>
      <c r="P516" s="68"/>
      <c r="Q516" s="69"/>
      <c r="R516" s="69"/>
      <c r="S516" s="31"/>
      <c r="T516" s="31"/>
      <c r="U516" s="69"/>
      <c r="V516" s="69"/>
      <c r="W516" s="69"/>
      <c r="X516" s="69"/>
      <c r="Y516" s="69"/>
      <c r="Z516" s="69"/>
      <c r="AA516" s="69"/>
      <c r="AB516" s="69"/>
      <c r="AC516" s="69"/>
      <c r="AD516" s="133"/>
      <c r="AE516" s="133"/>
      <c r="AF516" s="133"/>
    </row>
    <row r="517" spans="1:32" x14ac:dyDescent="0.25">
      <c r="A517" t="s">
        <v>85</v>
      </c>
      <c r="B517" t="s">
        <v>609</v>
      </c>
      <c r="C517" s="31"/>
      <c r="D517" s="31">
        <v>47</v>
      </c>
      <c r="E517" s="65"/>
      <c r="F517" s="31">
        <v>118</v>
      </c>
      <c r="G517" s="66"/>
      <c r="H517" s="31">
        <v>2567.2399999999998</v>
      </c>
      <c r="I517" s="65"/>
      <c r="J517" s="65">
        <v>-921.29000000000042</v>
      </c>
      <c r="K517" s="31">
        <v>28</v>
      </c>
      <c r="L517" s="31">
        <v>1308.8571428571429</v>
      </c>
      <c r="M517" s="67"/>
      <c r="N517" s="67">
        <v>8.8656015037593985</v>
      </c>
      <c r="O517" s="68"/>
      <c r="P517" s="68">
        <v>21.756271186440674</v>
      </c>
      <c r="Q517" s="69"/>
      <c r="R517" s="69">
        <v>-0.28911560356243998</v>
      </c>
      <c r="S517" s="31">
        <v>557</v>
      </c>
      <c r="T517" s="31">
        <v>572</v>
      </c>
      <c r="U517" s="69">
        <v>-0.98013534162846538</v>
      </c>
      <c r="V517" s="69"/>
      <c r="W517" s="69"/>
      <c r="X517" s="69"/>
      <c r="Y517" s="69">
        <v>-0.31452773855734217</v>
      </c>
      <c r="Z517" s="69">
        <v>-0.22222222222222221</v>
      </c>
      <c r="AA517" s="69"/>
      <c r="AB517" s="69"/>
      <c r="AC517" s="69"/>
      <c r="AD517" s="133"/>
      <c r="AE517" s="133"/>
      <c r="AF517" s="133"/>
    </row>
    <row r="518" spans="1:32" x14ac:dyDescent="0.25">
      <c r="A518" t="s">
        <v>85</v>
      </c>
      <c r="B518" t="s">
        <v>646</v>
      </c>
      <c r="C518" s="31"/>
      <c r="D518" s="31"/>
      <c r="E518" s="65"/>
      <c r="F518" s="31"/>
      <c r="G518" s="66"/>
      <c r="H518" s="31"/>
      <c r="I518" s="65"/>
      <c r="J518" s="65"/>
      <c r="K518" s="31">
        <v>2</v>
      </c>
      <c r="L518" s="31">
        <v>1</v>
      </c>
      <c r="M518" s="67"/>
      <c r="N518" s="67"/>
      <c r="O518" s="68"/>
      <c r="P518" s="68"/>
      <c r="Q518" s="69"/>
      <c r="R518" s="69"/>
      <c r="S518" s="31"/>
      <c r="T518" s="31"/>
      <c r="U518" s="69">
        <v>1</v>
      </c>
      <c r="V518" s="69"/>
      <c r="W518" s="69"/>
      <c r="X518" s="69"/>
      <c r="Y518" s="69">
        <v>0</v>
      </c>
      <c r="Z518" s="69">
        <v>0</v>
      </c>
      <c r="AA518" s="69"/>
      <c r="AB518" s="69"/>
      <c r="AC518" s="69"/>
      <c r="AD518" s="133"/>
      <c r="AE518" s="133"/>
      <c r="AF518" s="133"/>
    </row>
    <row r="519" spans="1:32" x14ac:dyDescent="0.25">
      <c r="A519" t="s">
        <v>85</v>
      </c>
      <c r="B519" t="s">
        <v>653</v>
      </c>
      <c r="C519" s="31"/>
      <c r="D519" s="31"/>
      <c r="E519" s="65"/>
      <c r="F519" s="31"/>
      <c r="G519" s="66"/>
      <c r="H519" s="31"/>
      <c r="I519" s="65"/>
      <c r="J519" s="65"/>
      <c r="K519" s="31">
        <v>13</v>
      </c>
      <c r="L519" s="31">
        <v>3</v>
      </c>
      <c r="M519" s="67"/>
      <c r="N519" s="67"/>
      <c r="O519" s="68"/>
      <c r="P519" s="68"/>
      <c r="Q519" s="69"/>
      <c r="R519" s="69"/>
      <c r="S519" s="31"/>
      <c r="T519" s="31"/>
      <c r="U519" s="69">
        <v>-0.33333333333333337</v>
      </c>
      <c r="V519" s="69"/>
      <c r="W519" s="69"/>
      <c r="X519" s="69"/>
      <c r="Y519" s="69">
        <v>0</v>
      </c>
      <c r="Z519" s="69">
        <v>0</v>
      </c>
      <c r="AA519" s="69"/>
      <c r="AB519" s="69"/>
      <c r="AC519" s="69"/>
      <c r="AD519" s="133"/>
      <c r="AE519" s="133"/>
      <c r="AF519" s="133"/>
    </row>
    <row r="520" spans="1:32" x14ac:dyDescent="0.25">
      <c r="A520" t="s">
        <v>85</v>
      </c>
      <c r="B520" t="s">
        <v>672</v>
      </c>
      <c r="C520" s="31"/>
      <c r="D520" s="31"/>
      <c r="E520" s="65"/>
      <c r="F520" s="31"/>
      <c r="G520" s="66"/>
      <c r="H520" s="31"/>
      <c r="I520" s="65"/>
      <c r="J520" s="65"/>
      <c r="K520" s="31">
        <v>73</v>
      </c>
      <c r="L520" s="31">
        <v>115</v>
      </c>
      <c r="M520" s="67"/>
      <c r="N520" s="67"/>
      <c r="O520" s="68"/>
      <c r="P520" s="68"/>
      <c r="Q520" s="69"/>
      <c r="R520" s="69"/>
      <c r="S520" s="31"/>
      <c r="T520" s="31"/>
      <c r="U520" s="69">
        <v>-0.36521739130434783</v>
      </c>
      <c r="V520" s="69"/>
      <c r="W520" s="69"/>
      <c r="X520" s="69"/>
      <c r="Y520" s="69">
        <v>0</v>
      </c>
      <c r="Z520" s="69">
        <v>0</v>
      </c>
      <c r="AA520" s="69"/>
      <c r="AB520" s="69"/>
      <c r="AC520" s="69"/>
      <c r="AD520" s="133"/>
      <c r="AE520" s="133"/>
      <c r="AF520" s="133"/>
    </row>
    <row r="521" spans="1:32" x14ac:dyDescent="0.25">
      <c r="A521" t="s">
        <v>85</v>
      </c>
      <c r="B521" t="s">
        <v>757</v>
      </c>
      <c r="C521" s="31"/>
      <c r="D521" s="31"/>
      <c r="E521" s="65"/>
      <c r="F521" s="31"/>
      <c r="G521" s="66"/>
      <c r="H521" s="31"/>
      <c r="I521" s="65"/>
      <c r="J521" s="65"/>
      <c r="K521" s="31">
        <v>-1</v>
      </c>
      <c r="L521" s="31"/>
      <c r="M521" s="67"/>
      <c r="N521" s="67"/>
      <c r="O521" s="68"/>
      <c r="P521" s="68"/>
      <c r="Q521" s="69"/>
      <c r="R521" s="69"/>
      <c r="S521" s="31"/>
      <c r="T521" s="31"/>
      <c r="U521" s="69"/>
      <c r="V521" s="69"/>
      <c r="W521" s="69"/>
      <c r="X521" s="69"/>
      <c r="Y521" s="69">
        <v>0</v>
      </c>
      <c r="Z521" s="69">
        <v>0</v>
      </c>
      <c r="AA521" s="69"/>
      <c r="AB521" s="69"/>
      <c r="AC521" s="69"/>
      <c r="AD521" s="133"/>
      <c r="AE521" s="133"/>
      <c r="AF521" s="133"/>
    </row>
    <row r="522" spans="1:32" x14ac:dyDescent="0.25">
      <c r="A522" t="s">
        <v>85</v>
      </c>
      <c r="B522" t="s">
        <v>647</v>
      </c>
      <c r="C522" s="31"/>
      <c r="D522" s="31"/>
      <c r="E522" s="65"/>
      <c r="F522" s="31"/>
      <c r="G522" s="66"/>
      <c r="H522" s="31"/>
      <c r="I522" s="65"/>
      <c r="J522" s="65"/>
      <c r="K522" s="31">
        <v>1</v>
      </c>
      <c r="L522" s="31">
        <v>5</v>
      </c>
      <c r="M522" s="67"/>
      <c r="N522" s="67"/>
      <c r="O522" s="68"/>
      <c r="P522" s="68"/>
      <c r="Q522" s="69"/>
      <c r="R522" s="69"/>
      <c r="S522" s="31"/>
      <c r="T522" s="31">
        <v>2</v>
      </c>
      <c r="U522" s="69">
        <v>-0.8</v>
      </c>
      <c r="V522" s="69"/>
      <c r="W522" s="69"/>
      <c r="X522" s="69"/>
      <c r="Y522" s="69">
        <v>0</v>
      </c>
      <c r="Z522" s="69">
        <v>0</v>
      </c>
      <c r="AA522" s="69"/>
      <c r="AB522" s="69"/>
      <c r="AC522" s="69"/>
      <c r="AD522" s="133"/>
      <c r="AE522" s="133"/>
      <c r="AF522" s="133"/>
    </row>
    <row r="523" spans="1:32" x14ac:dyDescent="0.25">
      <c r="A523" t="s">
        <v>85</v>
      </c>
      <c r="B523" t="s">
        <v>641</v>
      </c>
      <c r="C523" s="31"/>
      <c r="D523" s="31"/>
      <c r="E523" s="65"/>
      <c r="F523" s="31"/>
      <c r="G523" s="66"/>
      <c r="H523" s="31"/>
      <c r="I523" s="65"/>
      <c r="J523" s="65"/>
      <c r="K523" s="31"/>
      <c r="L523" s="31">
        <v>3</v>
      </c>
      <c r="M523" s="67"/>
      <c r="N523" s="67"/>
      <c r="O523" s="68"/>
      <c r="P523" s="68"/>
      <c r="Q523" s="69"/>
      <c r="R523" s="69"/>
      <c r="S523" s="31"/>
      <c r="T523" s="31"/>
      <c r="U523" s="69"/>
      <c r="V523" s="69"/>
      <c r="W523" s="69"/>
      <c r="X523" s="69"/>
      <c r="Y523" s="69"/>
      <c r="Z523" s="69"/>
      <c r="AA523" s="69"/>
      <c r="AB523" s="69"/>
      <c r="AC523" s="69"/>
      <c r="AD523" s="133"/>
      <c r="AE523" s="133"/>
      <c r="AF523" s="133"/>
    </row>
    <row r="524" spans="1:32" x14ac:dyDescent="0.25">
      <c r="A524" t="s">
        <v>85</v>
      </c>
      <c r="B524" t="s">
        <v>649</v>
      </c>
      <c r="C524" s="31"/>
      <c r="D524" s="31"/>
      <c r="E524" s="65"/>
      <c r="F524" s="31"/>
      <c r="G524" s="66"/>
      <c r="H524" s="31"/>
      <c r="I524" s="65"/>
      <c r="J524" s="65"/>
      <c r="K524" s="31"/>
      <c r="L524" s="31">
        <v>1</v>
      </c>
      <c r="M524" s="67"/>
      <c r="N524" s="67"/>
      <c r="O524" s="68"/>
      <c r="P524" s="68"/>
      <c r="Q524" s="69"/>
      <c r="R524" s="69"/>
      <c r="S524" s="31"/>
      <c r="T524" s="31"/>
      <c r="U524" s="69"/>
      <c r="V524" s="69"/>
      <c r="W524" s="69"/>
      <c r="X524" s="69"/>
      <c r="Y524" s="69"/>
      <c r="Z524" s="69"/>
      <c r="AA524" s="69"/>
      <c r="AB524" s="69"/>
      <c r="AC524" s="69"/>
      <c r="AD524" s="133"/>
      <c r="AE524" s="133"/>
      <c r="AF524" s="133"/>
    </row>
    <row r="525" spans="1:32" x14ac:dyDescent="0.25">
      <c r="A525" t="s">
        <v>85</v>
      </c>
      <c r="B525" t="s">
        <v>674</v>
      </c>
      <c r="C525" s="31"/>
      <c r="D525" s="31"/>
      <c r="E525" s="65"/>
      <c r="F525" s="31"/>
      <c r="G525" s="66"/>
      <c r="H525" s="31"/>
      <c r="I525" s="65"/>
      <c r="J525" s="65"/>
      <c r="K525" s="31">
        <v>8</v>
      </c>
      <c r="L525" s="31">
        <v>25</v>
      </c>
      <c r="M525" s="67"/>
      <c r="N525" s="67"/>
      <c r="O525" s="68"/>
      <c r="P525" s="68"/>
      <c r="Q525" s="69"/>
      <c r="R525" s="69"/>
      <c r="S525" s="31"/>
      <c r="T525" s="31">
        <v>3</v>
      </c>
      <c r="U525" s="69">
        <v>-0.67999999999999994</v>
      </c>
      <c r="V525" s="69"/>
      <c r="W525" s="69"/>
      <c r="X525" s="69"/>
      <c r="Y525" s="69">
        <v>0</v>
      </c>
      <c r="Z525" s="69">
        <v>0</v>
      </c>
      <c r="AA525" s="69"/>
      <c r="AB525" s="69"/>
      <c r="AC525" s="69"/>
      <c r="AD525" s="133"/>
      <c r="AE525" s="133"/>
      <c r="AF525" s="133"/>
    </row>
    <row r="526" spans="1:32" x14ac:dyDescent="0.25">
      <c r="A526" t="s">
        <v>85</v>
      </c>
      <c r="B526" t="s">
        <v>623</v>
      </c>
      <c r="C526" s="31"/>
      <c r="D526" s="31">
        <v>11</v>
      </c>
      <c r="E526" s="65"/>
      <c r="F526" s="31">
        <v>19</v>
      </c>
      <c r="G526" s="66"/>
      <c r="H526" s="31">
        <v>595.25000000000011</v>
      </c>
      <c r="I526" s="65"/>
      <c r="J526" s="65">
        <v>190.59000000000009</v>
      </c>
      <c r="K526" s="31">
        <v>37.714285714285715</v>
      </c>
      <c r="L526" s="31">
        <v>486.42857142857144</v>
      </c>
      <c r="M526" s="67"/>
      <c r="N526" s="67">
        <v>26.195488721804512</v>
      </c>
      <c r="O526" s="68"/>
      <c r="P526" s="68">
        <v>31.328947368421058</v>
      </c>
      <c r="Q526" s="69"/>
      <c r="R526" s="69">
        <v>0.32018479630407398</v>
      </c>
      <c r="S526" s="31">
        <v>202</v>
      </c>
      <c r="T526" s="31">
        <v>805</v>
      </c>
      <c r="U526" s="69">
        <v>-0.9248164464023495</v>
      </c>
      <c r="V526" s="69"/>
      <c r="W526" s="69"/>
      <c r="X526" s="69"/>
      <c r="Y526" s="69">
        <v>-7.4696430975480843E-2</v>
      </c>
      <c r="Z526" s="69">
        <v>-8.0139372822299659E-2</v>
      </c>
      <c r="AA526" s="69"/>
      <c r="AB526" s="69"/>
      <c r="AC526" s="69"/>
      <c r="AD526" s="133"/>
      <c r="AE526" s="133"/>
      <c r="AF526" s="133"/>
    </row>
    <row r="527" spans="1:32" x14ac:dyDescent="0.25">
      <c r="A527" t="s">
        <v>85</v>
      </c>
      <c r="B527" t="s">
        <v>761</v>
      </c>
      <c r="C527" s="31"/>
      <c r="D527" s="31"/>
      <c r="E527" s="65"/>
      <c r="F527" s="31"/>
      <c r="G527" s="66"/>
      <c r="H527" s="31"/>
      <c r="I527" s="65"/>
      <c r="J527" s="65"/>
      <c r="K527" s="31">
        <v>2</v>
      </c>
      <c r="L527" s="31"/>
      <c r="M527" s="67"/>
      <c r="N527" s="67"/>
      <c r="O527" s="68"/>
      <c r="P527" s="68"/>
      <c r="Q527" s="69"/>
      <c r="R527" s="69"/>
      <c r="S527" s="31"/>
      <c r="T527" s="31"/>
      <c r="U527" s="69"/>
      <c r="V527" s="69"/>
      <c r="W527" s="69"/>
      <c r="X527" s="69"/>
      <c r="Y527" s="69">
        <v>0</v>
      </c>
      <c r="Z527" s="69">
        <v>0</v>
      </c>
      <c r="AA527" s="69"/>
      <c r="AB527" s="69"/>
      <c r="AC527" s="69"/>
      <c r="AD527" s="133"/>
      <c r="AE527" s="133"/>
      <c r="AF527" s="133"/>
    </row>
    <row r="528" spans="1:32" x14ac:dyDescent="0.25">
      <c r="A528" t="s">
        <v>85</v>
      </c>
      <c r="B528" t="s">
        <v>632</v>
      </c>
      <c r="C528" s="31"/>
      <c r="D528" s="31"/>
      <c r="E528" s="65"/>
      <c r="F528" s="31"/>
      <c r="G528" s="66"/>
      <c r="H528" s="31"/>
      <c r="I528" s="65"/>
      <c r="J528" s="65"/>
      <c r="K528" s="31">
        <v>10.714285714285714</v>
      </c>
      <c r="L528" s="31">
        <v>30</v>
      </c>
      <c r="M528" s="67"/>
      <c r="N528" s="67"/>
      <c r="O528" s="68"/>
      <c r="P528" s="68"/>
      <c r="Q528" s="69"/>
      <c r="R528" s="69"/>
      <c r="S528" s="31">
        <v>10</v>
      </c>
      <c r="T528" s="31">
        <v>10</v>
      </c>
      <c r="U528" s="69">
        <v>-0.6428571428571429</v>
      </c>
      <c r="V528" s="69"/>
      <c r="W528" s="69"/>
      <c r="X528" s="69"/>
      <c r="Y528" s="69">
        <v>-2.0868394479973129E-2</v>
      </c>
      <c r="Z528" s="69">
        <v>-2.5974025974026094E-2</v>
      </c>
      <c r="AA528" s="69"/>
      <c r="AB528" s="69"/>
      <c r="AC528" s="69"/>
      <c r="AD528" s="133"/>
      <c r="AE528" s="133"/>
      <c r="AF528" s="133"/>
    </row>
    <row r="529" spans="1:32" x14ac:dyDescent="0.25">
      <c r="A529" t="s">
        <v>85</v>
      </c>
      <c r="B529" t="s">
        <v>683</v>
      </c>
      <c r="C529" s="31"/>
      <c r="D529" s="31"/>
      <c r="E529" s="65"/>
      <c r="F529" s="31"/>
      <c r="G529" s="66"/>
      <c r="H529" s="31"/>
      <c r="I529" s="65"/>
      <c r="J529" s="65"/>
      <c r="K529" s="31">
        <v>2</v>
      </c>
      <c r="L529" s="31">
        <v>-1</v>
      </c>
      <c r="M529" s="67"/>
      <c r="N529" s="67"/>
      <c r="O529" s="68"/>
      <c r="P529" s="68"/>
      <c r="Q529" s="69"/>
      <c r="R529" s="69"/>
      <c r="S529" s="31"/>
      <c r="T529" s="31">
        <v>1</v>
      </c>
      <c r="U529" s="69"/>
      <c r="V529" s="69"/>
      <c r="W529" s="69"/>
      <c r="X529" s="69"/>
      <c r="Y529" s="69">
        <v>0</v>
      </c>
      <c r="Z529" s="69">
        <v>0</v>
      </c>
      <c r="AA529" s="69"/>
      <c r="AB529" s="69"/>
      <c r="AC529" s="69"/>
      <c r="AD529" s="133"/>
      <c r="AE529" s="133"/>
      <c r="AF529" s="133"/>
    </row>
    <row r="530" spans="1:32" x14ac:dyDescent="0.25">
      <c r="A530" t="s">
        <v>85</v>
      </c>
      <c r="B530" t="s">
        <v>684</v>
      </c>
      <c r="C530" s="31"/>
      <c r="D530" s="31"/>
      <c r="E530" s="65"/>
      <c r="F530" s="31"/>
      <c r="G530" s="66"/>
      <c r="H530" s="31"/>
      <c r="I530" s="65"/>
      <c r="J530" s="65"/>
      <c r="K530" s="31">
        <v>0</v>
      </c>
      <c r="L530" s="31">
        <v>3</v>
      </c>
      <c r="M530" s="67"/>
      <c r="N530" s="67"/>
      <c r="O530" s="68"/>
      <c r="P530" s="68"/>
      <c r="Q530" s="69"/>
      <c r="R530" s="69"/>
      <c r="S530" s="31">
        <v>8</v>
      </c>
      <c r="T530" s="31">
        <v>25</v>
      </c>
      <c r="U530" s="69">
        <v>-1.3333333333333333</v>
      </c>
      <c r="V530" s="69"/>
      <c r="W530" s="69"/>
      <c r="X530" s="69"/>
      <c r="Y530" s="69">
        <v>-0.30339805825242716</v>
      </c>
      <c r="Z530" s="69">
        <v>-1</v>
      </c>
      <c r="AA530" s="69"/>
      <c r="AB530" s="69"/>
      <c r="AC530" s="69"/>
      <c r="AD530" s="133"/>
      <c r="AE530" s="133"/>
      <c r="AF530" s="133"/>
    </row>
    <row r="531" spans="1:32" x14ac:dyDescent="0.25">
      <c r="A531" t="s">
        <v>85</v>
      </c>
      <c r="B531" t="s">
        <v>639</v>
      </c>
      <c r="C531" s="31"/>
      <c r="D531" s="31"/>
      <c r="E531" s="65"/>
      <c r="F531" s="31"/>
      <c r="G531" s="66"/>
      <c r="H531" s="31"/>
      <c r="I531" s="65"/>
      <c r="J531" s="65"/>
      <c r="K531" s="31">
        <v>6</v>
      </c>
      <c r="L531" s="31">
        <v>60.857142857142854</v>
      </c>
      <c r="M531" s="67"/>
      <c r="N531" s="67"/>
      <c r="O531" s="68"/>
      <c r="P531" s="68"/>
      <c r="Q531" s="69"/>
      <c r="R531" s="69"/>
      <c r="S531" s="31">
        <v>30</v>
      </c>
      <c r="T531" s="31"/>
      <c r="U531" s="69">
        <v>-0.90140845070422537</v>
      </c>
      <c r="V531" s="69"/>
      <c r="W531" s="69"/>
      <c r="X531" s="69"/>
      <c r="Y531" s="69">
        <v>-0.125</v>
      </c>
      <c r="Z531" s="69">
        <v>-0.125</v>
      </c>
      <c r="AA531" s="69"/>
      <c r="AB531" s="69"/>
      <c r="AC531" s="69"/>
      <c r="AD531" s="133"/>
      <c r="AE531" s="133"/>
      <c r="AF531" s="133"/>
    </row>
    <row r="532" spans="1:32" x14ac:dyDescent="0.25">
      <c r="A532" t="s">
        <v>85</v>
      </c>
      <c r="B532" t="s">
        <v>628</v>
      </c>
      <c r="C532" s="31"/>
      <c r="D532" s="31"/>
      <c r="E532" s="65"/>
      <c r="F532" s="31"/>
      <c r="G532" s="66"/>
      <c r="H532" s="31"/>
      <c r="I532" s="65"/>
      <c r="J532" s="65"/>
      <c r="K532" s="31">
        <v>5</v>
      </c>
      <c r="L532" s="31">
        <v>16</v>
      </c>
      <c r="M532" s="67"/>
      <c r="N532" s="67"/>
      <c r="O532" s="68"/>
      <c r="P532" s="68"/>
      <c r="Q532" s="69"/>
      <c r="R532" s="69"/>
      <c r="S532" s="31">
        <v>3</v>
      </c>
      <c r="T532" s="31">
        <v>3</v>
      </c>
      <c r="U532" s="69">
        <v>-0.6875</v>
      </c>
      <c r="V532" s="69"/>
      <c r="W532" s="69"/>
      <c r="X532" s="69"/>
      <c r="Y532" s="69">
        <v>0</v>
      </c>
      <c r="Z532" s="69">
        <v>0</v>
      </c>
      <c r="AA532" s="69"/>
      <c r="AB532" s="69"/>
      <c r="AC532" s="69"/>
      <c r="AD532" s="133"/>
      <c r="AE532" s="133"/>
      <c r="AF532" s="133"/>
    </row>
    <row r="533" spans="1:32" x14ac:dyDescent="0.25">
      <c r="A533" t="s">
        <v>85</v>
      </c>
      <c r="B533" t="s">
        <v>643</v>
      </c>
      <c r="C533" s="31"/>
      <c r="D533" s="31"/>
      <c r="E533" s="65"/>
      <c r="F533" s="31"/>
      <c r="G533" s="66"/>
      <c r="H533" s="31"/>
      <c r="I533" s="65"/>
      <c r="J533" s="65"/>
      <c r="K533" s="31">
        <v>3</v>
      </c>
      <c r="L533" s="31">
        <v>5</v>
      </c>
      <c r="M533" s="67"/>
      <c r="N533" s="67"/>
      <c r="O533" s="68"/>
      <c r="P533" s="68"/>
      <c r="Q533" s="69"/>
      <c r="R533" s="69"/>
      <c r="S533" s="31"/>
      <c r="T533" s="31"/>
      <c r="U533" s="69">
        <v>-0.4</v>
      </c>
      <c r="V533" s="69"/>
      <c r="W533" s="69"/>
      <c r="X533" s="69"/>
      <c r="Y533" s="69">
        <v>0</v>
      </c>
      <c r="Z533" s="69">
        <v>0</v>
      </c>
      <c r="AA533" s="69"/>
      <c r="AB533" s="69"/>
      <c r="AC533" s="69"/>
      <c r="AD533" s="133"/>
      <c r="AE533" s="133"/>
      <c r="AF533" s="133"/>
    </row>
    <row r="534" spans="1:32" x14ac:dyDescent="0.25">
      <c r="A534" t="s">
        <v>85</v>
      </c>
      <c r="B534" t="s">
        <v>622</v>
      </c>
      <c r="C534" s="31"/>
      <c r="D534" s="31"/>
      <c r="E534" s="65"/>
      <c r="F534" s="31"/>
      <c r="G534" s="66"/>
      <c r="H534" s="31"/>
      <c r="I534" s="65"/>
      <c r="J534" s="65"/>
      <c r="K534" s="31">
        <v>24.571428571428573</v>
      </c>
      <c r="L534" s="31">
        <v>99.142857142857139</v>
      </c>
      <c r="M534" s="67"/>
      <c r="N534" s="67"/>
      <c r="O534" s="68"/>
      <c r="P534" s="68"/>
      <c r="Q534" s="69"/>
      <c r="R534" s="69"/>
      <c r="S534" s="31">
        <v>2</v>
      </c>
      <c r="T534" s="31">
        <v>5</v>
      </c>
      <c r="U534" s="69">
        <v>-0.75216138328530258</v>
      </c>
      <c r="V534" s="69"/>
      <c r="W534" s="69"/>
      <c r="X534" s="69"/>
      <c r="Y534" s="69">
        <v>-7.9595621223904067E-2</v>
      </c>
      <c r="Z534" s="69">
        <v>-7.5268817204301119E-2</v>
      </c>
      <c r="AA534" s="69"/>
      <c r="AB534" s="69"/>
      <c r="AC534" s="69"/>
      <c r="AD534" s="133"/>
      <c r="AE534" s="133"/>
      <c r="AF534" s="133"/>
    </row>
    <row r="535" spans="1:32" x14ac:dyDescent="0.25">
      <c r="A535" t="s">
        <v>85</v>
      </c>
      <c r="B535" t="s">
        <v>670</v>
      </c>
      <c r="C535" s="31"/>
      <c r="D535" s="31"/>
      <c r="E535" s="65"/>
      <c r="F535" s="31"/>
      <c r="G535" s="66"/>
      <c r="H535" s="31"/>
      <c r="I535" s="65"/>
      <c r="J535" s="65"/>
      <c r="K535" s="31">
        <v>2</v>
      </c>
      <c r="L535" s="31">
        <v>4</v>
      </c>
      <c r="M535" s="67"/>
      <c r="N535" s="67"/>
      <c r="O535" s="68"/>
      <c r="P535" s="68"/>
      <c r="Q535" s="69"/>
      <c r="R535" s="69"/>
      <c r="S535" s="31"/>
      <c r="T535" s="31"/>
      <c r="U535" s="69">
        <v>-0.5</v>
      </c>
      <c r="V535" s="69"/>
      <c r="W535" s="69"/>
      <c r="X535" s="69"/>
      <c r="Y535" s="69">
        <v>0</v>
      </c>
      <c r="Z535" s="69">
        <v>0</v>
      </c>
      <c r="AA535" s="69"/>
      <c r="AB535" s="69"/>
      <c r="AC535" s="69"/>
      <c r="AD535" s="133"/>
      <c r="AE535" s="133"/>
      <c r="AF535" s="133"/>
    </row>
    <row r="536" spans="1:32" x14ac:dyDescent="0.25">
      <c r="A536" t="s">
        <v>85</v>
      </c>
      <c r="B536" t="s">
        <v>657</v>
      </c>
      <c r="C536" s="31"/>
      <c r="D536" s="31"/>
      <c r="E536" s="65"/>
      <c r="F536" s="31"/>
      <c r="G536" s="66"/>
      <c r="H536" s="31"/>
      <c r="I536" s="65"/>
      <c r="J536" s="65"/>
      <c r="K536" s="31">
        <v>3</v>
      </c>
      <c r="L536" s="31">
        <v>15.857142857142858</v>
      </c>
      <c r="M536" s="67"/>
      <c r="N536" s="67"/>
      <c r="O536" s="68"/>
      <c r="P536" s="68"/>
      <c r="Q536" s="69"/>
      <c r="R536" s="69"/>
      <c r="S536" s="31"/>
      <c r="T536" s="31"/>
      <c r="U536" s="69">
        <v>-0.81081081081081086</v>
      </c>
      <c r="V536" s="69"/>
      <c r="W536" s="69"/>
      <c r="X536" s="69"/>
      <c r="Y536" s="69">
        <v>0</v>
      </c>
      <c r="Z536" s="69">
        <v>0</v>
      </c>
      <c r="AA536" s="69"/>
      <c r="AB536" s="69"/>
      <c r="AC536" s="69"/>
      <c r="AD536" s="133"/>
      <c r="AE536" s="133"/>
      <c r="AF536" s="133"/>
    </row>
    <row r="537" spans="1:32" x14ac:dyDescent="0.25">
      <c r="A537" t="s">
        <v>85</v>
      </c>
      <c r="B537" t="s">
        <v>673</v>
      </c>
      <c r="C537" s="31"/>
      <c r="D537" s="31"/>
      <c r="E537" s="65"/>
      <c r="F537" s="31"/>
      <c r="G537" s="66"/>
      <c r="H537" s="31"/>
      <c r="I537" s="65"/>
      <c r="J537" s="65"/>
      <c r="K537" s="31">
        <v>11</v>
      </c>
      <c r="L537" s="31">
        <v>20</v>
      </c>
      <c r="M537" s="67"/>
      <c r="N537" s="67"/>
      <c r="O537" s="68"/>
      <c r="P537" s="68"/>
      <c r="Q537" s="69"/>
      <c r="R537" s="69"/>
      <c r="S537" s="31"/>
      <c r="T537" s="31"/>
      <c r="U537" s="69">
        <v>-0.55000000000000004</v>
      </c>
      <c r="V537" s="69"/>
      <c r="W537" s="69"/>
      <c r="X537" s="69"/>
      <c r="Y537" s="69">
        <v>0</v>
      </c>
      <c r="Z537" s="69">
        <v>0</v>
      </c>
      <c r="AA537" s="69"/>
      <c r="AB537" s="69"/>
      <c r="AC537" s="69"/>
      <c r="AD537" s="133"/>
      <c r="AE537" s="133"/>
      <c r="AF537" s="133"/>
    </row>
    <row r="538" spans="1:32" x14ac:dyDescent="0.25">
      <c r="A538" t="s">
        <v>85</v>
      </c>
      <c r="B538" t="s">
        <v>659</v>
      </c>
      <c r="C538" s="31"/>
      <c r="D538" s="31"/>
      <c r="E538" s="65"/>
      <c r="F538" s="31"/>
      <c r="G538" s="66"/>
      <c r="H538" s="31"/>
      <c r="I538" s="65"/>
      <c r="J538" s="65"/>
      <c r="K538" s="31">
        <v>13</v>
      </c>
      <c r="L538" s="31">
        <v>1</v>
      </c>
      <c r="M538" s="67"/>
      <c r="N538" s="67"/>
      <c r="O538" s="68"/>
      <c r="P538" s="68"/>
      <c r="Q538" s="69"/>
      <c r="R538" s="69"/>
      <c r="S538" s="31"/>
      <c r="T538" s="31"/>
      <c r="U538" s="69"/>
      <c r="V538" s="69"/>
      <c r="W538" s="69"/>
      <c r="X538" s="69"/>
      <c r="Y538" s="69">
        <v>0</v>
      </c>
      <c r="Z538" s="69">
        <v>0</v>
      </c>
      <c r="AA538" s="69"/>
      <c r="AB538" s="69"/>
      <c r="AC538" s="69"/>
      <c r="AD538" s="133"/>
      <c r="AE538" s="133"/>
      <c r="AF538" s="133"/>
    </row>
    <row r="539" spans="1:32" x14ac:dyDescent="0.25">
      <c r="A539" t="s">
        <v>85</v>
      </c>
      <c r="B539" t="s">
        <v>664</v>
      </c>
      <c r="C539" s="31"/>
      <c r="D539" s="31"/>
      <c r="E539" s="65"/>
      <c r="F539" s="31"/>
      <c r="G539" s="66"/>
      <c r="H539" s="31"/>
      <c r="I539" s="65"/>
      <c r="J539" s="65"/>
      <c r="K539" s="31">
        <v>2</v>
      </c>
      <c r="L539" s="31">
        <v>3</v>
      </c>
      <c r="M539" s="67"/>
      <c r="N539" s="67"/>
      <c r="O539" s="68"/>
      <c r="P539" s="68"/>
      <c r="Q539" s="69"/>
      <c r="R539" s="69"/>
      <c r="S539" s="31"/>
      <c r="T539" s="31"/>
      <c r="U539" s="69">
        <v>-0.33333333333333337</v>
      </c>
      <c r="V539" s="69"/>
      <c r="W539" s="69"/>
      <c r="X539" s="69"/>
      <c r="Y539" s="69">
        <v>0</v>
      </c>
      <c r="Z539" s="69">
        <v>0</v>
      </c>
      <c r="AA539" s="69"/>
      <c r="AB539" s="69"/>
      <c r="AC539" s="69"/>
      <c r="AD539" s="133"/>
      <c r="AE539" s="133"/>
      <c r="AF539" s="133"/>
    </row>
    <row r="540" spans="1:32" x14ac:dyDescent="0.25">
      <c r="A540" t="s">
        <v>85</v>
      </c>
      <c r="B540" t="s">
        <v>638</v>
      </c>
      <c r="C540" s="31"/>
      <c r="D540" s="31">
        <v>1</v>
      </c>
      <c r="E540" s="65"/>
      <c r="F540" s="31">
        <v>1</v>
      </c>
      <c r="G540" s="66"/>
      <c r="H540" s="31">
        <v>35.99</v>
      </c>
      <c r="I540" s="65"/>
      <c r="J540" s="65">
        <v>6.8400000000000034</v>
      </c>
      <c r="K540" s="31">
        <v>1</v>
      </c>
      <c r="L540" s="31">
        <v>6.4285714285714288</v>
      </c>
      <c r="M540" s="67"/>
      <c r="N540" s="67">
        <v>6.4285714285714288</v>
      </c>
      <c r="O540" s="68"/>
      <c r="P540" s="68">
        <v>35.99</v>
      </c>
      <c r="Q540" s="69"/>
      <c r="R540" s="69">
        <v>0.19005279244234519</v>
      </c>
      <c r="S540" s="31"/>
      <c r="T540" s="31">
        <v>1</v>
      </c>
      <c r="U540" s="69">
        <v>-0.84444444444444444</v>
      </c>
      <c r="V540" s="69"/>
      <c r="W540" s="69"/>
      <c r="X540" s="69"/>
      <c r="Y540" s="69">
        <v>0</v>
      </c>
      <c r="Z540" s="69">
        <v>0</v>
      </c>
      <c r="AA540" s="69"/>
      <c r="AB540" s="69"/>
      <c r="AC540" s="69"/>
      <c r="AD540" s="133"/>
      <c r="AE540" s="133"/>
      <c r="AF540" s="133"/>
    </row>
    <row r="541" spans="1:32" x14ac:dyDescent="0.25">
      <c r="A541" t="s">
        <v>85</v>
      </c>
      <c r="B541" t="s">
        <v>758</v>
      </c>
      <c r="C541" s="31"/>
      <c r="D541" s="31"/>
      <c r="E541" s="65"/>
      <c r="F541" s="31"/>
      <c r="G541" s="66"/>
      <c r="H541" s="31"/>
      <c r="I541" s="65"/>
      <c r="J541" s="65"/>
      <c r="K541" s="31">
        <v>-1</v>
      </c>
      <c r="L541" s="31"/>
      <c r="M541" s="67"/>
      <c r="N541" s="67"/>
      <c r="O541" s="68"/>
      <c r="P541" s="68"/>
      <c r="Q541" s="69"/>
      <c r="R541" s="69"/>
      <c r="S541" s="31"/>
      <c r="T541" s="31"/>
      <c r="U541" s="69"/>
      <c r="V541" s="69"/>
      <c r="W541" s="69"/>
      <c r="X541" s="69"/>
      <c r="Y541" s="69">
        <v>0</v>
      </c>
      <c r="Z541" s="69">
        <v>0</v>
      </c>
      <c r="AA541" s="69"/>
      <c r="AB541" s="69"/>
      <c r="AC541" s="69"/>
      <c r="AD541" s="133"/>
      <c r="AE541" s="133"/>
      <c r="AF541" s="133"/>
    </row>
    <row r="542" spans="1:32" x14ac:dyDescent="0.25">
      <c r="A542" t="s">
        <v>85</v>
      </c>
      <c r="B542" t="s">
        <v>676</v>
      </c>
      <c r="C542" s="31"/>
      <c r="D542" s="31"/>
      <c r="E542" s="65"/>
      <c r="F542" s="31"/>
      <c r="G542" s="66"/>
      <c r="H542" s="31"/>
      <c r="I542" s="65"/>
      <c r="J542" s="65"/>
      <c r="K542" s="31">
        <v>3</v>
      </c>
      <c r="L542" s="31">
        <v>2</v>
      </c>
      <c r="M542" s="67"/>
      <c r="N542" s="67"/>
      <c r="O542" s="68"/>
      <c r="P542" s="68"/>
      <c r="Q542" s="69"/>
      <c r="R542" s="69"/>
      <c r="S542" s="31"/>
      <c r="T542" s="31"/>
      <c r="U542" s="69">
        <v>0.5</v>
      </c>
      <c r="V542" s="69"/>
      <c r="W542" s="69"/>
      <c r="X542" s="69"/>
      <c r="Y542" s="69">
        <v>0</v>
      </c>
      <c r="Z542" s="69">
        <v>0</v>
      </c>
      <c r="AA542" s="69"/>
      <c r="AB542" s="69"/>
      <c r="AC542" s="69"/>
      <c r="AD542" s="133"/>
      <c r="AE542" s="133"/>
      <c r="AF542" s="133"/>
    </row>
    <row r="543" spans="1:32" x14ac:dyDescent="0.25">
      <c r="A543" t="s">
        <v>85</v>
      </c>
      <c r="B543" t="s">
        <v>680</v>
      </c>
      <c r="C543" s="31"/>
      <c r="D543" s="31"/>
      <c r="E543" s="65"/>
      <c r="F543" s="31"/>
      <c r="G543" s="66"/>
      <c r="H543" s="31"/>
      <c r="I543" s="65"/>
      <c r="J543" s="65"/>
      <c r="K543" s="31"/>
      <c r="L543" s="31">
        <v>1</v>
      </c>
      <c r="M543" s="67"/>
      <c r="N543" s="67"/>
      <c r="O543" s="68"/>
      <c r="P543" s="68"/>
      <c r="Q543" s="69"/>
      <c r="R543" s="69"/>
      <c r="S543" s="31"/>
      <c r="T543" s="31"/>
      <c r="U543" s="69"/>
      <c r="V543" s="69"/>
      <c r="W543" s="69"/>
      <c r="X543" s="69"/>
      <c r="Y543" s="69"/>
      <c r="Z543" s="69"/>
      <c r="AA543" s="69"/>
      <c r="AB543" s="69"/>
      <c r="AC543" s="69"/>
      <c r="AD543" s="133"/>
      <c r="AE543" s="133"/>
      <c r="AF543" s="133"/>
    </row>
    <row r="544" spans="1:32" x14ac:dyDescent="0.25">
      <c r="A544" t="s">
        <v>85</v>
      </c>
      <c r="B544" t="s">
        <v>650</v>
      </c>
      <c r="C544" s="31"/>
      <c r="D544" s="31"/>
      <c r="E544" s="65"/>
      <c r="F544" s="31"/>
      <c r="G544" s="66"/>
      <c r="H544" s="31"/>
      <c r="I544" s="65"/>
      <c r="J544" s="65"/>
      <c r="K544" s="31">
        <v>4</v>
      </c>
      <c r="L544" s="31">
        <v>10</v>
      </c>
      <c r="M544" s="67"/>
      <c r="N544" s="67"/>
      <c r="O544" s="68"/>
      <c r="P544" s="68"/>
      <c r="Q544" s="69"/>
      <c r="R544" s="69"/>
      <c r="S544" s="31">
        <v>6</v>
      </c>
      <c r="T544" s="31">
        <v>11</v>
      </c>
      <c r="U544" s="69">
        <v>-0.6</v>
      </c>
      <c r="V544" s="69"/>
      <c r="W544" s="69"/>
      <c r="X544" s="69"/>
      <c r="Y544" s="69">
        <v>0</v>
      </c>
      <c r="Z544" s="69">
        <v>0</v>
      </c>
      <c r="AA544" s="69"/>
      <c r="AB544" s="69"/>
      <c r="AC544" s="69"/>
      <c r="AD544" s="133"/>
      <c r="AE544" s="133"/>
      <c r="AF544" s="133"/>
    </row>
    <row r="545" spans="1:32" x14ac:dyDescent="0.25">
      <c r="A545" t="s">
        <v>85</v>
      </c>
      <c r="B545" t="s">
        <v>640</v>
      </c>
      <c r="C545" s="31"/>
      <c r="D545" s="31"/>
      <c r="E545" s="65"/>
      <c r="F545" s="31"/>
      <c r="G545" s="66"/>
      <c r="H545" s="31"/>
      <c r="I545" s="65"/>
      <c r="J545" s="65"/>
      <c r="K545" s="31">
        <v>4</v>
      </c>
      <c r="L545" s="31">
        <v>6</v>
      </c>
      <c r="M545" s="67"/>
      <c r="N545" s="67"/>
      <c r="O545" s="68"/>
      <c r="P545" s="68"/>
      <c r="Q545" s="69"/>
      <c r="R545" s="69"/>
      <c r="S545" s="31"/>
      <c r="T545" s="31"/>
      <c r="U545" s="69">
        <v>-0.33333333333333337</v>
      </c>
      <c r="V545" s="69"/>
      <c r="W545" s="69"/>
      <c r="X545" s="69"/>
      <c r="Y545" s="69">
        <v>0</v>
      </c>
      <c r="Z545" s="69">
        <v>0</v>
      </c>
      <c r="AA545" s="69"/>
      <c r="AB545" s="69"/>
      <c r="AC545" s="69"/>
      <c r="AD545" s="133"/>
      <c r="AE545" s="133"/>
      <c r="AF545" s="133"/>
    </row>
    <row r="546" spans="1:32" x14ac:dyDescent="0.25">
      <c r="A546" t="s">
        <v>85</v>
      </c>
      <c r="B546" t="s">
        <v>637</v>
      </c>
      <c r="C546" s="31"/>
      <c r="D546" s="31"/>
      <c r="E546" s="65"/>
      <c r="F546" s="31"/>
      <c r="G546" s="66"/>
      <c r="H546" s="31"/>
      <c r="I546" s="65"/>
      <c r="J546" s="65"/>
      <c r="K546" s="31"/>
      <c r="L546" s="31">
        <v>3</v>
      </c>
      <c r="M546" s="67"/>
      <c r="N546" s="67"/>
      <c r="O546" s="68"/>
      <c r="P546" s="68"/>
      <c r="Q546" s="69"/>
      <c r="R546" s="69"/>
      <c r="S546" s="31"/>
      <c r="T546" s="31"/>
      <c r="U546" s="69"/>
      <c r="V546" s="69"/>
      <c r="W546" s="69"/>
      <c r="X546" s="69"/>
      <c r="Y546" s="69"/>
      <c r="Z546" s="69"/>
      <c r="AA546" s="69"/>
      <c r="AB546" s="69"/>
      <c r="AC546" s="69"/>
      <c r="AD546" s="133"/>
      <c r="AE546" s="133"/>
      <c r="AF546" s="133"/>
    </row>
    <row r="547" spans="1:32" x14ac:dyDescent="0.25">
      <c r="A547" t="s">
        <v>85</v>
      </c>
      <c r="B547" t="s">
        <v>662</v>
      </c>
      <c r="C547" s="31"/>
      <c r="D547" s="31"/>
      <c r="E547" s="65"/>
      <c r="F547" s="31"/>
      <c r="G547" s="66"/>
      <c r="H547" s="31"/>
      <c r="I547" s="65"/>
      <c r="J547" s="65"/>
      <c r="K547" s="31">
        <v>-1</v>
      </c>
      <c r="L547" s="31">
        <v>2</v>
      </c>
      <c r="M547" s="67"/>
      <c r="N547" s="67"/>
      <c r="O547" s="68"/>
      <c r="P547" s="68"/>
      <c r="Q547" s="69"/>
      <c r="R547" s="69"/>
      <c r="S547" s="31">
        <v>15</v>
      </c>
      <c r="T547" s="31">
        <v>3</v>
      </c>
      <c r="U547" s="69">
        <v>-1.5</v>
      </c>
      <c r="V547" s="69"/>
      <c r="W547" s="69"/>
      <c r="X547" s="69"/>
      <c r="Y547" s="69">
        <v>0</v>
      </c>
      <c r="Z547" s="69">
        <v>0</v>
      </c>
      <c r="AA547" s="69"/>
      <c r="AB547" s="69"/>
      <c r="AC547" s="69"/>
      <c r="AD547" s="133"/>
      <c r="AE547" s="133"/>
      <c r="AF547" s="133"/>
    </row>
    <row r="548" spans="1:32" x14ac:dyDescent="0.25">
      <c r="A548" t="s">
        <v>85</v>
      </c>
      <c r="B548" t="s">
        <v>636</v>
      </c>
      <c r="C548" s="31"/>
      <c r="D548" s="31">
        <v>1</v>
      </c>
      <c r="E548" s="65"/>
      <c r="F548" s="31">
        <v>1</v>
      </c>
      <c r="G548" s="66"/>
      <c r="H548" s="31">
        <v>3068.17</v>
      </c>
      <c r="I548" s="65"/>
      <c r="J548" s="65">
        <v>765.23</v>
      </c>
      <c r="K548" s="31">
        <v>16</v>
      </c>
      <c r="L548" s="31">
        <v>15.714285714285714</v>
      </c>
      <c r="M548" s="67"/>
      <c r="N548" s="67">
        <v>17</v>
      </c>
      <c r="O548" s="68"/>
      <c r="P548" s="68">
        <v>3068.17</v>
      </c>
      <c r="Q548" s="69"/>
      <c r="R548" s="69">
        <v>0.24940925698380467</v>
      </c>
      <c r="S548" s="31">
        <v>4</v>
      </c>
      <c r="T548" s="31">
        <v>61</v>
      </c>
      <c r="U548" s="69">
        <v>1.8181818181818299E-2</v>
      </c>
      <c r="V548" s="69"/>
      <c r="W548" s="69"/>
      <c r="X548" s="69"/>
      <c r="Y548" s="69">
        <v>-8.8495575221241296E-3</v>
      </c>
      <c r="Z548" s="69">
        <v>-8.8495575221239076E-3</v>
      </c>
      <c r="AA548" s="69"/>
      <c r="AB548" s="69"/>
      <c r="AC548" s="69"/>
      <c r="AD548" s="133"/>
      <c r="AE548" s="133"/>
      <c r="AF548" s="133"/>
    </row>
    <row r="549" spans="1:32" x14ac:dyDescent="0.25">
      <c r="A549" t="s">
        <v>85</v>
      </c>
      <c r="B549" t="s">
        <v>630</v>
      </c>
      <c r="C549" s="31"/>
      <c r="D549" s="31">
        <v>2</v>
      </c>
      <c r="E549" s="65"/>
      <c r="F549" s="31">
        <v>2</v>
      </c>
      <c r="G549" s="66"/>
      <c r="H549" s="31">
        <v>32.700000000000003</v>
      </c>
      <c r="I549" s="65"/>
      <c r="J549" s="65">
        <v>6.2100000000000009</v>
      </c>
      <c r="K549" s="31">
        <v>13</v>
      </c>
      <c r="L549" s="31">
        <v>87.857142857142861</v>
      </c>
      <c r="M549" s="67"/>
      <c r="N549" s="67">
        <v>43.928571428571431</v>
      </c>
      <c r="O549" s="68"/>
      <c r="P549" s="68">
        <v>16.350000000000001</v>
      </c>
      <c r="Q549" s="69"/>
      <c r="R549" s="69">
        <v>0.18990825688073396</v>
      </c>
      <c r="S549" s="31"/>
      <c r="T549" s="31">
        <v>31</v>
      </c>
      <c r="U549" s="69">
        <v>-0.85203252032520327</v>
      </c>
      <c r="V549" s="69"/>
      <c r="W549" s="69"/>
      <c r="X549" s="69"/>
      <c r="Y549" s="69">
        <v>-8.697498336120546E-3</v>
      </c>
      <c r="Z549" s="69">
        <v>-2.1505376344086113E-2</v>
      </c>
      <c r="AA549" s="69"/>
      <c r="AB549" s="69"/>
      <c r="AC549" s="69"/>
      <c r="AD549" s="133"/>
      <c r="AE549" s="133"/>
      <c r="AF549" s="133"/>
    </row>
    <row r="550" spans="1:32" x14ac:dyDescent="0.25">
      <c r="A550" t="s">
        <v>85</v>
      </c>
      <c r="B550" t="s">
        <v>663</v>
      </c>
      <c r="C550" s="31"/>
      <c r="D550" s="31"/>
      <c r="E550" s="65"/>
      <c r="F550" s="31"/>
      <c r="G550" s="66"/>
      <c r="H550" s="31"/>
      <c r="I550" s="65"/>
      <c r="J550" s="65"/>
      <c r="K550" s="31"/>
      <c r="L550" s="31">
        <v>-3</v>
      </c>
      <c r="M550" s="67"/>
      <c r="N550" s="67"/>
      <c r="O550" s="68"/>
      <c r="P550" s="68"/>
      <c r="Q550" s="69"/>
      <c r="R550" s="69"/>
      <c r="S550" s="31"/>
      <c r="T550" s="31"/>
      <c r="U550" s="69"/>
      <c r="V550" s="69"/>
      <c r="W550" s="69"/>
      <c r="X550" s="69"/>
      <c r="Y550" s="69"/>
      <c r="Z550" s="69"/>
      <c r="AA550" s="69"/>
      <c r="AB550" s="69"/>
      <c r="AC550" s="69"/>
      <c r="AD550" s="133"/>
      <c r="AE550" s="133"/>
      <c r="AF550" s="133"/>
    </row>
    <row r="551" spans="1:32" x14ac:dyDescent="0.25">
      <c r="A551" t="s">
        <v>85</v>
      </c>
      <c r="B551" t="s">
        <v>634</v>
      </c>
      <c r="C551" s="31"/>
      <c r="D551" s="31"/>
      <c r="E551" s="65"/>
      <c r="F551" s="31"/>
      <c r="G551" s="66"/>
      <c r="H551" s="31"/>
      <c r="I551" s="65"/>
      <c r="J551" s="65"/>
      <c r="K551" s="31">
        <v>-6</v>
      </c>
      <c r="L551" s="31">
        <v>35.142857142857146</v>
      </c>
      <c r="M551" s="67"/>
      <c r="N551" s="67"/>
      <c r="O551" s="68"/>
      <c r="P551" s="68"/>
      <c r="Q551" s="69"/>
      <c r="R551" s="69"/>
      <c r="S551" s="31"/>
      <c r="T551" s="31">
        <v>2</v>
      </c>
      <c r="U551" s="69">
        <v>-1.1707317073170731</v>
      </c>
      <c r="V551" s="69"/>
      <c r="W551" s="69"/>
      <c r="X551" s="69"/>
      <c r="Y551" s="69">
        <v>0</v>
      </c>
      <c r="Z551" s="69">
        <v>0</v>
      </c>
      <c r="AA551" s="69"/>
      <c r="AB551" s="69"/>
      <c r="AC551" s="69"/>
      <c r="AD551" s="133"/>
      <c r="AE551" s="133"/>
      <c r="AF551" s="133"/>
    </row>
    <row r="552" spans="1:32" x14ac:dyDescent="0.25">
      <c r="A552" t="s">
        <v>85</v>
      </c>
      <c r="B552" t="s">
        <v>678</v>
      </c>
      <c r="C552" s="31"/>
      <c r="D552" s="31"/>
      <c r="E552" s="65"/>
      <c r="F552" s="31"/>
      <c r="G552" s="66"/>
      <c r="H552" s="31"/>
      <c r="I552" s="65"/>
      <c r="J552" s="65"/>
      <c r="K552" s="31">
        <v>6</v>
      </c>
      <c r="L552" s="31">
        <v>21</v>
      </c>
      <c r="M552" s="67"/>
      <c r="N552" s="67"/>
      <c r="O552" s="68"/>
      <c r="P552" s="68"/>
      <c r="Q552" s="69"/>
      <c r="R552" s="69"/>
      <c r="S552" s="31">
        <v>25</v>
      </c>
      <c r="T552" s="31">
        <v>25</v>
      </c>
      <c r="U552" s="69">
        <v>-0.7142857142857143</v>
      </c>
      <c r="V552" s="69"/>
      <c r="W552" s="69"/>
      <c r="X552" s="69"/>
      <c r="Y552" s="69">
        <v>-1.749611197511669E-2</v>
      </c>
      <c r="Z552" s="69">
        <v>-2.3255813953488413E-2</v>
      </c>
      <c r="AA552" s="69"/>
      <c r="AB552" s="69"/>
      <c r="AC552" s="69"/>
      <c r="AD552" s="133"/>
      <c r="AE552" s="133"/>
      <c r="AF552" s="133"/>
    </row>
    <row r="553" spans="1:32" x14ac:dyDescent="0.25">
      <c r="A553" t="s">
        <v>85</v>
      </c>
      <c r="B553" t="s">
        <v>677</v>
      </c>
      <c r="C553" s="31"/>
      <c r="D553" s="31"/>
      <c r="E553" s="65"/>
      <c r="F553" s="31"/>
      <c r="G553" s="66"/>
      <c r="H553" s="31"/>
      <c r="I553" s="65"/>
      <c r="J553" s="65"/>
      <c r="K553" s="31">
        <v>1</v>
      </c>
      <c r="L553" s="31">
        <v>1</v>
      </c>
      <c r="M553" s="67"/>
      <c r="N553" s="67"/>
      <c r="O553" s="68"/>
      <c r="P553" s="68"/>
      <c r="Q553" s="69"/>
      <c r="R553" s="69"/>
      <c r="S553" s="31"/>
      <c r="T553" s="31"/>
      <c r="U553" s="69">
        <v>0</v>
      </c>
      <c r="V553" s="69"/>
      <c r="W553" s="69"/>
      <c r="X553" s="69"/>
      <c r="Y553" s="69">
        <v>0</v>
      </c>
      <c r="Z553" s="69">
        <v>0</v>
      </c>
      <c r="AA553" s="69"/>
      <c r="AB553" s="69"/>
      <c r="AC553" s="69"/>
      <c r="AD553" s="133"/>
      <c r="AE553" s="133"/>
      <c r="AF553" s="133"/>
    </row>
    <row r="554" spans="1:32" x14ac:dyDescent="0.25">
      <c r="A554" t="s">
        <v>85</v>
      </c>
      <c r="B554" t="s">
        <v>669</v>
      </c>
      <c r="C554" s="31"/>
      <c r="D554" s="31"/>
      <c r="E554" s="65"/>
      <c r="F554" s="31"/>
      <c r="G554" s="66"/>
      <c r="H554" s="31"/>
      <c r="I554" s="65"/>
      <c r="J554" s="65"/>
      <c r="K554" s="31"/>
      <c r="L554" s="31">
        <v>1</v>
      </c>
      <c r="M554" s="67"/>
      <c r="N554" s="67"/>
      <c r="O554" s="68"/>
      <c r="P554" s="68"/>
      <c r="Q554" s="69"/>
      <c r="R554" s="69"/>
      <c r="S554" s="31"/>
      <c r="T554" s="31"/>
      <c r="U554" s="69"/>
      <c r="V554" s="69"/>
      <c r="W554" s="69"/>
      <c r="X554" s="69"/>
      <c r="Y554" s="69"/>
      <c r="Z554" s="69"/>
      <c r="AA554" s="69"/>
      <c r="AB554" s="69"/>
      <c r="AC554" s="69"/>
      <c r="AD554" s="133"/>
      <c r="AE554" s="133"/>
      <c r="AF554" s="133"/>
    </row>
    <row r="555" spans="1:32" x14ac:dyDescent="0.25">
      <c r="A555" t="s">
        <v>85</v>
      </c>
      <c r="B555" t="s">
        <v>619</v>
      </c>
      <c r="C555" s="31"/>
      <c r="D555" s="31"/>
      <c r="E555" s="65"/>
      <c r="F555" s="31"/>
      <c r="G555" s="66"/>
      <c r="H555" s="31"/>
      <c r="I555" s="65"/>
      <c r="J555" s="65"/>
      <c r="K555" s="31">
        <v>12</v>
      </c>
      <c r="L555" s="31">
        <v>6</v>
      </c>
      <c r="M555" s="67"/>
      <c r="N555" s="67"/>
      <c r="O555" s="68"/>
      <c r="P555" s="68"/>
      <c r="Q555" s="69"/>
      <c r="R555" s="69"/>
      <c r="S555" s="31">
        <v>8</v>
      </c>
      <c r="T555" s="31">
        <v>14</v>
      </c>
      <c r="U555" s="69">
        <v>0.66666666666666674</v>
      </c>
      <c r="V555" s="69"/>
      <c r="W555" s="69"/>
      <c r="X555" s="69"/>
      <c r="Y555" s="69">
        <v>-0.10947762882892487</v>
      </c>
      <c r="Z555" s="69">
        <v>-9.6774193548387122E-2</v>
      </c>
      <c r="AA555" s="69"/>
      <c r="AB555" s="69"/>
      <c r="AC555" s="69"/>
      <c r="AD555" s="133"/>
      <c r="AE555" s="133"/>
      <c r="AF555" s="133"/>
    </row>
    <row r="556" spans="1:32" x14ac:dyDescent="0.25">
      <c r="A556" t="s">
        <v>85</v>
      </c>
      <c r="B556" t="s">
        <v>656</v>
      </c>
      <c r="C556" s="31"/>
      <c r="D556" s="31"/>
      <c r="E556" s="65"/>
      <c r="F556" s="31"/>
      <c r="G556" s="66"/>
      <c r="H556" s="31"/>
      <c r="I556" s="65"/>
      <c r="J556" s="65"/>
      <c r="K556" s="31">
        <v>1</v>
      </c>
      <c r="L556" s="31">
        <v>1</v>
      </c>
      <c r="M556" s="67"/>
      <c r="N556" s="67"/>
      <c r="O556" s="68"/>
      <c r="P556" s="68"/>
      <c r="Q556" s="69"/>
      <c r="R556" s="69"/>
      <c r="S556" s="31"/>
      <c r="T556" s="31"/>
      <c r="U556" s="69">
        <v>0</v>
      </c>
      <c r="V556" s="69"/>
      <c r="W556" s="69"/>
      <c r="X556" s="69"/>
      <c r="Y556" s="69">
        <v>0</v>
      </c>
      <c r="Z556" s="69">
        <v>0</v>
      </c>
      <c r="AA556" s="69"/>
      <c r="AB556" s="69"/>
      <c r="AC556" s="69"/>
      <c r="AD556" s="133"/>
      <c r="AE556" s="133"/>
      <c r="AF556" s="133"/>
    </row>
    <row r="557" spans="1:32" x14ac:dyDescent="0.25">
      <c r="A557" t="s">
        <v>85</v>
      </c>
      <c r="B557" t="s">
        <v>682</v>
      </c>
      <c r="C557" s="31"/>
      <c r="D557" s="31"/>
      <c r="E557" s="65"/>
      <c r="F557" s="31"/>
      <c r="G557" s="66"/>
      <c r="H557" s="31"/>
      <c r="I557" s="65"/>
      <c r="J557" s="65"/>
      <c r="K557" s="31"/>
      <c r="L557" s="31">
        <v>1</v>
      </c>
      <c r="M557" s="67"/>
      <c r="N557" s="67"/>
      <c r="O557" s="68"/>
      <c r="P557" s="68"/>
      <c r="Q557" s="69"/>
      <c r="R557" s="69"/>
      <c r="S557" s="31">
        <v>12</v>
      </c>
      <c r="T557" s="31">
        <v>12</v>
      </c>
      <c r="U557" s="69"/>
      <c r="V557" s="69"/>
      <c r="W557" s="69"/>
      <c r="X557" s="69"/>
      <c r="Y557" s="69"/>
      <c r="Z557" s="69"/>
      <c r="AA557" s="69"/>
      <c r="AB557" s="69"/>
      <c r="AC557" s="69"/>
      <c r="AD557" s="133"/>
      <c r="AE557" s="133"/>
      <c r="AF557" s="133"/>
    </row>
    <row r="558" spans="1:32" x14ac:dyDescent="0.25">
      <c r="A558" t="s">
        <v>85</v>
      </c>
      <c r="B558" t="s">
        <v>668</v>
      </c>
      <c r="C558" s="31"/>
      <c r="D558" s="31"/>
      <c r="E558" s="65"/>
      <c r="F558" s="31"/>
      <c r="G558" s="66"/>
      <c r="H558" s="31"/>
      <c r="I558" s="65"/>
      <c r="J558" s="65"/>
      <c r="K558" s="31"/>
      <c r="L558" s="31">
        <v>-1</v>
      </c>
      <c r="M558" s="67"/>
      <c r="N558" s="67"/>
      <c r="O558" s="68"/>
      <c r="P558" s="68"/>
      <c r="Q558" s="69"/>
      <c r="R558" s="69"/>
      <c r="S558" s="31"/>
      <c r="T558" s="31"/>
      <c r="U558" s="69"/>
      <c r="V558" s="69"/>
      <c r="W558" s="69"/>
      <c r="X558" s="69"/>
      <c r="Y558" s="69"/>
      <c r="Z558" s="69"/>
      <c r="AA558" s="69"/>
      <c r="AB558" s="69"/>
      <c r="AC558" s="69"/>
      <c r="AD558" s="133"/>
      <c r="AE558" s="133"/>
      <c r="AF558" s="133"/>
    </row>
    <row r="559" spans="1:32" x14ac:dyDescent="0.25">
      <c r="A559" t="s">
        <v>85</v>
      </c>
      <c r="B559" t="s">
        <v>759</v>
      </c>
      <c r="C559" s="31"/>
      <c r="D559" s="31"/>
      <c r="E559" s="65"/>
      <c r="F559" s="31"/>
      <c r="G559" s="66"/>
      <c r="H559" s="31"/>
      <c r="I559" s="65"/>
      <c r="J559" s="65"/>
      <c r="K559" s="31">
        <v>92</v>
      </c>
      <c r="L559" s="31"/>
      <c r="M559" s="67"/>
      <c r="N559" s="67"/>
      <c r="O559" s="68"/>
      <c r="P559" s="68"/>
      <c r="Q559" s="69"/>
      <c r="R559" s="69"/>
      <c r="S559" s="31"/>
      <c r="T559" s="31"/>
      <c r="U559" s="69"/>
      <c r="V559" s="69"/>
      <c r="W559" s="69"/>
      <c r="X559" s="69"/>
      <c r="Y559" s="69">
        <v>0</v>
      </c>
      <c r="Z559" s="69">
        <v>0</v>
      </c>
      <c r="AA559" s="69"/>
      <c r="AB559" s="69"/>
      <c r="AC559" s="69"/>
      <c r="AD559" s="133"/>
      <c r="AE559" s="133"/>
      <c r="AF559" s="133"/>
    </row>
    <row r="560" spans="1:32" x14ac:dyDescent="0.25">
      <c r="A560" t="s">
        <v>85</v>
      </c>
      <c r="B560" t="s">
        <v>635</v>
      </c>
      <c r="C560" s="31"/>
      <c r="D560" s="31"/>
      <c r="E560" s="65"/>
      <c r="F560" s="31"/>
      <c r="G560" s="66"/>
      <c r="H560" s="31"/>
      <c r="I560" s="65"/>
      <c r="J560" s="65"/>
      <c r="K560" s="31">
        <v>0.5714285714285714</v>
      </c>
      <c r="L560" s="31">
        <v>13</v>
      </c>
      <c r="M560" s="67"/>
      <c r="N560" s="67"/>
      <c r="O560" s="68"/>
      <c r="P560" s="68"/>
      <c r="Q560" s="69"/>
      <c r="R560" s="69"/>
      <c r="S560" s="31"/>
      <c r="T560" s="31"/>
      <c r="U560" s="69">
        <v>-0.92307692307692313</v>
      </c>
      <c r="V560" s="69"/>
      <c r="W560" s="69"/>
      <c r="X560" s="69"/>
      <c r="Y560" s="69">
        <v>10.785714285714286</v>
      </c>
      <c r="Z560" s="69"/>
      <c r="AA560" s="69"/>
      <c r="AB560" s="69"/>
      <c r="AC560" s="69"/>
      <c r="AD560" s="133"/>
      <c r="AE560" s="133"/>
      <c r="AF560" s="133"/>
    </row>
    <row r="561" spans="1:32" x14ac:dyDescent="0.25">
      <c r="A561" t="s">
        <v>85</v>
      </c>
      <c r="B561" t="s">
        <v>660</v>
      </c>
      <c r="C561" s="31"/>
      <c r="D561" s="31"/>
      <c r="E561" s="65"/>
      <c r="F561" s="31"/>
      <c r="G561" s="66"/>
      <c r="H561" s="31"/>
      <c r="I561" s="65"/>
      <c r="J561" s="65"/>
      <c r="K561" s="31">
        <v>-1</v>
      </c>
      <c r="L561" s="31">
        <v>6</v>
      </c>
      <c r="M561" s="67"/>
      <c r="N561" s="67"/>
      <c r="O561" s="68"/>
      <c r="P561" s="68"/>
      <c r="Q561" s="69"/>
      <c r="R561" s="69"/>
      <c r="S561" s="31"/>
      <c r="T561" s="31"/>
      <c r="U561" s="69">
        <v>-1.1666666666666667</v>
      </c>
      <c r="V561" s="69"/>
      <c r="W561" s="69"/>
      <c r="X561" s="69"/>
      <c r="Y561" s="69">
        <v>0</v>
      </c>
      <c r="Z561" s="69">
        <v>0</v>
      </c>
      <c r="AA561" s="69"/>
      <c r="AB561" s="69"/>
      <c r="AC561" s="69"/>
      <c r="AD561" s="133"/>
      <c r="AE561" s="133"/>
      <c r="AF561" s="133"/>
    </row>
    <row r="562" spans="1:32" x14ac:dyDescent="0.25">
      <c r="A562" t="s">
        <v>85</v>
      </c>
      <c r="B562" t="s">
        <v>760</v>
      </c>
      <c r="C562" s="31"/>
      <c r="D562" s="31"/>
      <c r="E562" s="65"/>
      <c r="F562" s="31"/>
      <c r="G562" s="66"/>
      <c r="H562" s="31"/>
      <c r="I562" s="65"/>
      <c r="J562" s="65"/>
      <c r="K562" s="31">
        <v>1</v>
      </c>
      <c r="L562" s="31"/>
      <c r="M562" s="67"/>
      <c r="N562" s="67"/>
      <c r="O562" s="68"/>
      <c r="P562" s="68"/>
      <c r="Q562" s="69"/>
      <c r="R562" s="69"/>
      <c r="S562" s="31"/>
      <c r="T562" s="31"/>
      <c r="U562" s="69"/>
      <c r="V562" s="69"/>
      <c r="W562" s="69"/>
      <c r="X562" s="69"/>
      <c r="Y562" s="69">
        <v>0</v>
      </c>
      <c r="Z562" s="69">
        <v>0</v>
      </c>
      <c r="AA562" s="69"/>
      <c r="AB562" s="69"/>
      <c r="AC562" s="69"/>
      <c r="AD562" s="133"/>
      <c r="AE562" s="133"/>
      <c r="AF562" s="133"/>
    </row>
    <row r="563" spans="1:32" x14ac:dyDescent="0.25">
      <c r="A563" t="s">
        <v>85</v>
      </c>
      <c r="B563" t="s">
        <v>685</v>
      </c>
      <c r="C563" s="31"/>
      <c r="D563" s="31">
        <v>1</v>
      </c>
      <c r="E563" s="65"/>
      <c r="F563" s="31">
        <v>1</v>
      </c>
      <c r="G563" s="66"/>
      <c r="H563" s="31">
        <v>431.81</v>
      </c>
      <c r="I563" s="65"/>
      <c r="J563" s="65">
        <v>181.82</v>
      </c>
      <c r="K563" s="31">
        <v>19.571428571428573</v>
      </c>
      <c r="L563" s="31">
        <v>24.714285714285715</v>
      </c>
      <c r="M563" s="67"/>
      <c r="N563" s="67">
        <v>24.714285714285715</v>
      </c>
      <c r="O563" s="68"/>
      <c r="P563" s="68">
        <v>431.81</v>
      </c>
      <c r="Q563" s="69"/>
      <c r="R563" s="69">
        <v>0.42106482017554014</v>
      </c>
      <c r="S563" s="31"/>
      <c r="T563" s="31"/>
      <c r="U563" s="69">
        <v>-0.20809248554913296</v>
      </c>
      <c r="V563" s="69"/>
      <c r="W563" s="69"/>
      <c r="X563" s="69"/>
      <c r="Y563" s="69">
        <v>-2.1852943783805867E-2</v>
      </c>
      <c r="Z563" s="69">
        <v>-2.1428571428571352E-2</v>
      </c>
      <c r="AA563" s="69"/>
      <c r="AB563" s="69"/>
      <c r="AC563" s="69"/>
      <c r="AD563" s="133"/>
      <c r="AE563" s="133"/>
      <c r="AF563" s="133"/>
    </row>
    <row r="564" spans="1:32" x14ac:dyDescent="0.25">
      <c r="A564" t="s">
        <v>85</v>
      </c>
      <c r="B564" t="s">
        <v>652</v>
      </c>
      <c r="C564" s="31"/>
      <c r="D564" s="31"/>
      <c r="E564" s="65"/>
      <c r="F564" s="31"/>
      <c r="G564" s="66"/>
      <c r="H564" s="31"/>
      <c r="I564" s="65"/>
      <c r="J564" s="65"/>
      <c r="K564" s="31">
        <v>-2</v>
      </c>
      <c r="L564" s="31">
        <v>2</v>
      </c>
      <c r="M564" s="67"/>
      <c r="N564" s="67"/>
      <c r="O564" s="68"/>
      <c r="P564" s="68"/>
      <c r="Q564" s="69"/>
      <c r="R564" s="69"/>
      <c r="S564" s="31"/>
      <c r="T564" s="31"/>
      <c r="U564" s="69">
        <v>-2</v>
      </c>
      <c r="V564" s="69"/>
      <c r="W564" s="69"/>
      <c r="X564" s="69"/>
      <c r="Y564" s="69">
        <v>0</v>
      </c>
      <c r="Z564" s="69">
        <v>0</v>
      </c>
      <c r="AA564" s="69"/>
      <c r="AB564" s="69"/>
      <c r="AC564" s="69"/>
      <c r="AD564" s="133"/>
      <c r="AE564" s="133"/>
      <c r="AF564" s="133"/>
    </row>
    <row r="565" spans="1:32" x14ac:dyDescent="0.25">
      <c r="A565" s="129" t="s">
        <v>822</v>
      </c>
      <c r="B565" s="129"/>
      <c r="C565" s="120">
        <v>3142</v>
      </c>
      <c r="D565" s="120">
        <v>3852</v>
      </c>
      <c r="E565" s="119">
        <v>6763</v>
      </c>
      <c r="F565" s="120">
        <v>8256</v>
      </c>
      <c r="G565" s="120">
        <v>2734704.7599999872</v>
      </c>
      <c r="H565" s="120">
        <v>1621721.6400000495</v>
      </c>
      <c r="I565" s="119">
        <v>1564678.6899999829</v>
      </c>
      <c r="J565" s="119">
        <v>631292.58000006143</v>
      </c>
      <c r="K565" s="120">
        <v>101574.07142857143</v>
      </c>
      <c r="L565" s="120">
        <v>176077.57142857142</v>
      </c>
      <c r="M565" s="131">
        <v>15.019084936946834</v>
      </c>
      <c r="N565" s="131">
        <v>21.219288982752552</v>
      </c>
      <c r="O565" s="130">
        <v>404.36267336980438</v>
      </c>
      <c r="P565" s="130">
        <v>196.42946220930833</v>
      </c>
      <c r="Q565" s="132">
        <v>0.57215634860707609</v>
      </c>
      <c r="R565" s="132">
        <v>0.37922872860608148</v>
      </c>
      <c r="S565" s="120">
        <v>31517.142857142859</v>
      </c>
      <c r="T565" s="120">
        <v>50736.571428571428</v>
      </c>
      <c r="U565" s="132">
        <v>-0.48486989906234501</v>
      </c>
      <c r="V565" s="132">
        <v>-0.33466569767441856</v>
      </c>
      <c r="W565" s="132">
        <v>0.6074428839710857</v>
      </c>
      <c r="X565" s="132">
        <v>1.5111215170559924</v>
      </c>
      <c r="Y565" s="132">
        <v>-3.7154624848717011E-2</v>
      </c>
      <c r="Z565" s="132">
        <v>-2.6354167807806417E-2</v>
      </c>
      <c r="AA565" s="132">
        <v>0.39962748344370858</v>
      </c>
      <c r="AB565" s="132">
        <v>0.10557231856456939</v>
      </c>
      <c r="AC565" s="132">
        <v>-0.21009530632796114</v>
      </c>
      <c r="AD565" s="134">
        <v>0.77453511929110952</v>
      </c>
      <c r="AE565" s="134">
        <v>0.80654515465662557</v>
      </c>
      <c r="AF565" s="134">
        <v>1.2439525233464117</v>
      </c>
    </row>
    <row r="566" spans="1:32" x14ac:dyDescent="0.25">
      <c r="A566" t="s">
        <v>95</v>
      </c>
      <c r="B566" t="s">
        <v>686</v>
      </c>
      <c r="C566" s="31">
        <v>2976</v>
      </c>
      <c r="D566" s="31">
        <v>1671</v>
      </c>
      <c r="E566" s="65">
        <v>3302</v>
      </c>
      <c r="F566" s="31">
        <v>1850</v>
      </c>
      <c r="G566" s="66">
        <v>1473622.6599999748</v>
      </c>
      <c r="H566" s="31">
        <v>1181762.8399999999</v>
      </c>
      <c r="I566" s="65">
        <v>902516.01999999769</v>
      </c>
      <c r="J566" s="65">
        <v>579174.24999999767</v>
      </c>
      <c r="K566" s="31">
        <v>26137.428571428572</v>
      </c>
      <c r="L566" s="31">
        <v>36730.714285714283</v>
      </c>
      <c r="M566" s="67">
        <v>7.9156355455568059</v>
      </c>
      <c r="N566" s="67">
        <v>19.98151082937137</v>
      </c>
      <c r="O566" s="68">
        <v>446.28184736522553</v>
      </c>
      <c r="P566" s="68">
        <v>638.79072432432429</v>
      </c>
      <c r="Q566" s="69">
        <v>0.61244716473076843</v>
      </c>
      <c r="R566" s="69">
        <v>0.47894185034328352</v>
      </c>
      <c r="S566" s="31">
        <v>18332.428571428572</v>
      </c>
      <c r="T566" s="31">
        <v>14300.571428571429</v>
      </c>
      <c r="U566" s="69">
        <v>-0.30832895785932357</v>
      </c>
      <c r="V566" s="69">
        <v>0.72972972972972983</v>
      </c>
      <c r="W566" s="69">
        <v>0.21136897484437256</v>
      </c>
      <c r="X566" s="69">
        <v>0.55315545767273155</v>
      </c>
      <c r="Y566" s="69">
        <v>-8.44285851683928E-2</v>
      </c>
      <c r="Z566" s="69">
        <v>-9.4986768233868313E-2</v>
      </c>
      <c r="AA566" s="69">
        <v>4.9920508744038194E-2</v>
      </c>
      <c r="AB566" s="69">
        <v>3.3207236919231775E-2</v>
      </c>
      <c r="AC566" s="69">
        <v>-1.5918606871294982E-2</v>
      </c>
      <c r="AD566" s="133">
        <v>-0.40339525555768402</v>
      </c>
      <c r="AE566" s="133">
        <v>-0.32034648678542355</v>
      </c>
      <c r="AF566" s="133">
        <v>-9.5076976788946915E-2</v>
      </c>
    </row>
    <row r="567" spans="1:32" x14ac:dyDescent="0.25">
      <c r="A567" t="s">
        <v>95</v>
      </c>
      <c r="B567" t="s">
        <v>687</v>
      </c>
      <c r="C567" s="31">
        <v>1219</v>
      </c>
      <c r="D567" s="31">
        <v>811</v>
      </c>
      <c r="E567" s="65">
        <v>1505</v>
      </c>
      <c r="F567" s="31">
        <v>1014</v>
      </c>
      <c r="G567" s="66">
        <v>566246.04999999248</v>
      </c>
      <c r="H567" s="31">
        <v>384228.19999999955</v>
      </c>
      <c r="I567" s="65">
        <v>371484.73999999906</v>
      </c>
      <c r="J567" s="65">
        <v>194168.63000000006</v>
      </c>
      <c r="K567" s="31">
        <v>15943.857142857143</v>
      </c>
      <c r="L567" s="31">
        <v>27998.571428571428</v>
      </c>
      <c r="M567" s="67">
        <v>10.593925011865212</v>
      </c>
      <c r="N567" s="67">
        <v>27.813587179838379</v>
      </c>
      <c r="O567" s="68">
        <v>376.24322259135715</v>
      </c>
      <c r="P567" s="68">
        <v>378.92327416173526</v>
      </c>
      <c r="Q567" s="69">
        <v>0.65604826735657407</v>
      </c>
      <c r="R567" s="69">
        <v>0.49069222283856534</v>
      </c>
      <c r="S567" s="31">
        <v>20277.428571428572</v>
      </c>
      <c r="T567" s="31">
        <v>5831.2857142857147</v>
      </c>
      <c r="U567" s="69">
        <v>-0.45244655339558137</v>
      </c>
      <c r="V567" s="69">
        <v>0.42702169625246555</v>
      </c>
      <c r="W567" s="69">
        <v>0.40822133825678231</v>
      </c>
      <c r="X567" s="69">
        <v>0.890239471816481</v>
      </c>
      <c r="Y567" s="69">
        <v>-5.1459992510452635E-2</v>
      </c>
      <c r="Z567" s="69">
        <v>-6.6112728854971992E-2</v>
      </c>
      <c r="AA567" s="69">
        <v>0.11152141802067939</v>
      </c>
      <c r="AB567" s="69">
        <v>9.3475769209311554E-2</v>
      </c>
      <c r="AC567" s="69">
        <v>-1.623508869806789E-2</v>
      </c>
      <c r="AD567" s="133">
        <v>0.16198692197230807</v>
      </c>
      <c r="AE567" s="133">
        <v>0.59427565988770115</v>
      </c>
      <c r="AF567" s="133">
        <v>0.96375070192100099</v>
      </c>
    </row>
    <row r="568" spans="1:32" x14ac:dyDescent="0.25">
      <c r="A568" t="s">
        <v>95</v>
      </c>
      <c r="B568" t="s">
        <v>763</v>
      </c>
      <c r="C568" s="31">
        <v>5</v>
      </c>
      <c r="D568" s="31"/>
      <c r="E568" s="65">
        <v>5</v>
      </c>
      <c r="F568" s="31"/>
      <c r="G568" s="66">
        <v>2228.69</v>
      </c>
      <c r="H568" s="31"/>
      <c r="I568" s="65">
        <v>853.68999999999994</v>
      </c>
      <c r="J568" s="65"/>
      <c r="K568" s="31">
        <v>113.57142857142857</v>
      </c>
      <c r="L568" s="31"/>
      <c r="M568" s="67">
        <v>22.714285714285715</v>
      </c>
      <c r="N568" s="67"/>
      <c r="O568" s="68">
        <v>445.738</v>
      </c>
      <c r="P568" s="68"/>
      <c r="Q568" s="69">
        <v>0.38304564564834048</v>
      </c>
      <c r="R568" s="69"/>
      <c r="S568" s="31"/>
      <c r="T568" s="31"/>
      <c r="U568" s="69"/>
      <c r="V568" s="69"/>
      <c r="W568" s="69"/>
      <c r="X568" s="69"/>
      <c r="Y568" s="69">
        <v>-5.0719069052585386E-2</v>
      </c>
      <c r="Z568" s="69">
        <v>-5.1312649164677815E-2</v>
      </c>
      <c r="AA568" s="69">
        <v>-0.64285714285714279</v>
      </c>
      <c r="AB568" s="69">
        <v>-0.64165975290538757</v>
      </c>
      <c r="AC568" s="69">
        <v>3.3526918649149362E-3</v>
      </c>
      <c r="AD568" s="133"/>
      <c r="AE568" s="133"/>
      <c r="AF568" s="133"/>
    </row>
    <row r="569" spans="1:32" x14ac:dyDescent="0.25">
      <c r="A569" s="129" t="s">
        <v>823</v>
      </c>
      <c r="B569" s="129"/>
      <c r="C569" s="120">
        <v>4121</v>
      </c>
      <c r="D569" s="120">
        <v>2410</v>
      </c>
      <c r="E569" s="119">
        <v>4812</v>
      </c>
      <c r="F569" s="120">
        <v>2864</v>
      </c>
      <c r="G569" s="120">
        <v>2042097.4000000046</v>
      </c>
      <c r="H569" s="120">
        <v>1565991.0399999998</v>
      </c>
      <c r="I569" s="119">
        <v>1274854.4499999809</v>
      </c>
      <c r="J569" s="119">
        <v>773342.87999999453</v>
      </c>
      <c r="K569" s="120">
        <v>42194.857142857145</v>
      </c>
      <c r="L569" s="120">
        <v>64729.285714285717</v>
      </c>
      <c r="M569" s="131">
        <v>8.7686735542097143</v>
      </c>
      <c r="N569" s="131">
        <v>22.763818606461662</v>
      </c>
      <c r="O569" s="130">
        <v>424.37601828761524</v>
      </c>
      <c r="P569" s="130">
        <v>546.78458100558657</v>
      </c>
      <c r="Q569" s="132">
        <v>0.62428679944452092</v>
      </c>
      <c r="R569" s="132">
        <v>0.48183886881995641</v>
      </c>
      <c r="S569" s="120">
        <v>38609.857142857145</v>
      </c>
      <c r="T569" s="120">
        <v>20131.857142857141</v>
      </c>
      <c r="U569" s="132">
        <v>-0.37066684322618371</v>
      </c>
      <c r="V569" s="132">
        <v>0.6225558659217878</v>
      </c>
      <c r="W569" s="132">
        <v>0.25966824816571266</v>
      </c>
      <c r="X569" s="132">
        <v>0.63740016794044352</v>
      </c>
      <c r="Y569" s="132">
        <v>-7.3116557794335124E-2</v>
      </c>
      <c r="Z569" s="132">
        <v>-8.4173873139210764E-2</v>
      </c>
      <c r="AA569" s="132">
        <v>6.6253046753822264E-2</v>
      </c>
      <c r="AB569" s="132">
        <v>4.7057353363792132E-2</v>
      </c>
      <c r="AC569" s="132">
        <v>-1.8002943530591398E-2</v>
      </c>
      <c r="AD569" s="134">
        <v>-0.29544551058011104</v>
      </c>
      <c r="AE569" s="134">
        <v>-0.19072658826472882</v>
      </c>
      <c r="AF569" s="134">
        <v>7.4456376810491789E-2</v>
      </c>
    </row>
    <row r="570" spans="1:32" x14ac:dyDescent="0.25">
      <c r="A570" t="s">
        <v>84</v>
      </c>
      <c r="B570" t="s">
        <v>688</v>
      </c>
      <c r="C570" s="31">
        <v>334</v>
      </c>
      <c r="D570" s="31">
        <v>663</v>
      </c>
      <c r="E570" s="65">
        <v>389</v>
      </c>
      <c r="F570" s="31">
        <v>825</v>
      </c>
      <c r="G570" s="66">
        <v>741188.30000000063</v>
      </c>
      <c r="H570" s="31">
        <v>762560.99000000092</v>
      </c>
      <c r="I570" s="65">
        <v>480732.17000000022</v>
      </c>
      <c r="J570" s="65">
        <v>390128.06000000116</v>
      </c>
      <c r="K570" s="31">
        <v>6633.4285714285716</v>
      </c>
      <c r="L570" s="31">
        <v>11418.857142857143</v>
      </c>
      <c r="M570" s="67">
        <v>17.05251560778553</v>
      </c>
      <c r="N570" s="67">
        <v>14.096474953617811</v>
      </c>
      <c r="O570" s="68">
        <v>1905.3683804627265</v>
      </c>
      <c r="P570" s="68">
        <v>924.31635151515263</v>
      </c>
      <c r="Q570" s="69">
        <v>0.64859654422499624</v>
      </c>
      <c r="R570" s="69">
        <v>0.5000669869804798</v>
      </c>
      <c r="S570" s="31">
        <v>7535.7142857142853</v>
      </c>
      <c r="T570" s="31">
        <v>954.14285714285711</v>
      </c>
      <c r="U570" s="69">
        <v>-0.40938547765600763</v>
      </c>
      <c r="V570" s="69">
        <v>-0.54303030303030297</v>
      </c>
      <c r="W570" s="69">
        <v>-5.4344203996063767E-2</v>
      </c>
      <c r="X570" s="69">
        <v>0.2296197443418122</v>
      </c>
      <c r="Y570" s="69">
        <v>-1.0491542517629404E-2</v>
      </c>
      <c r="Z570" s="69">
        <v>-1.5707472178060455E-2</v>
      </c>
      <c r="AA570" s="69">
        <v>9.5774647887324038E-2</v>
      </c>
      <c r="AB570" s="69">
        <v>0.12563932333915395</v>
      </c>
      <c r="AC570" s="69">
        <v>2.7254395335217563E-2</v>
      </c>
      <c r="AD570" s="133">
        <v>-0.30627706901526658</v>
      </c>
      <c r="AE570" s="133">
        <v>9.8798968374496338E-2</v>
      </c>
      <c r="AF570" s="133">
        <v>0.45730517385290959</v>
      </c>
    </row>
    <row r="571" spans="1:32" x14ac:dyDescent="0.25">
      <c r="A571" t="s">
        <v>84</v>
      </c>
      <c r="B571" t="s">
        <v>689</v>
      </c>
      <c r="C571" s="31">
        <v>336</v>
      </c>
      <c r="D571" s="31">
        <v>451</v>
      </c>
      <c r="E571" s="65">
        <v>417</v>
      </c>
      <c r="F571" s="31">
        <v>592</v>
      </c>
      <c r="G571" s="66">
        <v>657337.81999999972</v>
      </c>
      <c r="H571" s="31">
        <v>533710.73000000184</v>
      </c>
      <c r="I571" s="65">
        <v>415165.84000000008</v>
      </c>
      <c r="J571" s="65">
        <v>227211.30000000133</v>
      </c>
      <c r="K571" s="31">
        <v>9106.1428571428569</v>
      </c>
      <c r="L571" s="31">
        <v>11197.571428571429</v>
      </c>
      <c r="M571" s="67">
        <v>21.837273038711889</v>
      </c>
      <c r="N571" s="67">
        <v>19.394761904761904</v>
      </c>
      <c r="O571" s="68">
        <v>1576.3496882493998</v>
      </c>
      <c r="P571" s="68">
        <v>901.53839527027344</v>
      </c>
      <c r="Q571" s="69">
        <v>0.63158672355106582</v>
      </c>
      <c r="R571" s="69">
        <v>0.4205905096953611</v>
      </c>
      <c r="S571" s="31">
        <v>3028.8571428571427</v>
      </c>
      <c r="T571" s="31">
        <v>4066.8571428571427</v>
      </c>
      <c r="U571" s="69">
        <v>-0.20908870545909197</v>
      </c>
      <c r="V571" s="69">
        <v>-0.32263513513513509</v>
      </c>
      <c r="W571" s="69">
        <v>0.18358598486486821</v>
      </c>
      <c r="X571" s="69">
        <v>0.77493412323313327</v>
      </c>
      <c r="Y571" s="69">
        <v>-1.9102428315508346E-2</v>
      </c>
      <c r="Z571" s="69">
        <v>-2.4635441372239941E-2</v>
      </c>
      <c r="AA571" s="69">
        <v>0.19484240687679089</v>
      </c>
      <c r="AB571" s="69">
        <v>0.14425782125200537</v>
      </c>
      <c r="AC571" s="69">
        <v>-4.2335780295084224E-2</v>
      </c>
      <c r="AD571" s="133">
        <v>0.10119565553226681</v>
      </c>
      <c r="AE571" s="133">
        <v>0.56949758884924295</v>
      </c>
      <c r="AF571" s="133">
        <v>1.0269905788633071</v>
      </c>
    </row>
    <row r="572" spans="1:32" x14ac:dyDescent="0.25">
      <c r="A572" t="s">
        <v>84</v>
      </c>
      <c r="B572" t="s">
        <v>694</v>
      </c>
      <c r="C572" s="31">
        <v>289</v>
      </c>
      <c r="D572" s="31">
        <v>391</v>
      </c>
      <c r="E572" s="65">
        <v>348</v>
      </c>
      <c r="F572" s="31">
        <v>479</v>
      </c>
      <c r="G572" s="66">
        <v>339638.50000000076</v>
      </c>
      <c r="H572" s="31">
        <v>221136.90000000005</v>
      </c>
      <c r="I572" s="65">
        <v>210533.59000000032</v>
      </c>
      <c r="J572" s="65">
        <v>112582.48000000001</v>
      </c>
      <c r="K572" s="31">
        <v>6252.2857142857147</v>
      </c>
      <c r="L572" s="31">
        <v>10302.857142857143</v>
      </c>
      <c r="M572" s="67">
        <v>17.966338259441709</v>
      </c>
      <c r="N572" s="67">
        <v>22.217466743782531</v>
      </c>
      <c r="O572" s="68">
        <v>975.97270114942751</v>
      </c>
      <c r="P572" s="68">
        <v>461.66367432150327</v>
      </c>
      <c r="Q572" s="69">
        <v>0.61987551470166025</v>
      </c>
      <c r="R572" s="69">
        <v>0.49549332386086686</v>
      </c>
      <c r="S572" s="31">
        <v>4471.8571428571431</v>
      </c>
      <c r="T572" s="31">
        <v>16271.857142857143</v>
      </c>
      <c r="U572" s="69">
        <v>-0.40303660565723798</v>
      </c>
      <c r="V572" s="69">
        <v>-0.2693110647181628</v>
      </c>
      <c r="W572" s="69">
        <v>0.53258556125187928</v>
      </c>
      <c r="X572" s="69">
        <v>0.90536832834474823</v>
      </c>
      <c r="Y572" s="69">
        <v>-3.9752351112279594E-2</v>
      </c>
      <c r="Z572" s="69">
        <v>-5.0690844413595504E-2</v>
      </c>
      <c r="AA572" s="69">
        <v>0.44999999999999996</v>
      </c>
      <c r="AB572" s="69">
        <v>0.50409198614444062</v>
      </c>
      <c r="AC572" s="69">
        <v>3.7304818030648779E-2</v>
      </c>
      <c r="AD572" s="133"/>
      <c r="AE572" s="133"/>
      <c r="AF572" s="133"/>
    </row>
    <row r="573" spans="1:32" x14ac:dyDescent="0.25">
      <c r="A573" t="s">
        <v>84</v>
      </c>
      <c r="B573" t="s">
        <v>692</v>
      </c>
      <c r="C573" s="31">
        <v>104</v>
      </c>
      <c r="D573" s="31">
        <v>25</v>
      </c>
      <c r="E573" s="65">
        <v>108</v>
      </c>
      <c r="F573" s="31">
        <v>28</v>
      </c>
      <c r="G573" s="66">
        <v>51157.690000000082</v>
      </c>
      <c r="H573" s="31">
        <v>4592.7099999999982</v>
      </c>
      <c r="I573" s="65">
        <v>32354.500000000058</v>
      </c>
      <c r="J573" s="65">
        <v>2195.0099999999989</v>
      </c>
      <c r="K573" s="31">
        <v>1244.4285714285713</v>
      </c>
      <c r="L573" s="31">
        <v>733.71428571428567</v>
      </c>
      <c r="M573" s="67">
        <v>11.522486772486772</v>
      </c>
      <c r="N573" s="67">
        <v>28.295566502463053</v>
      </c>
      <c r="O573" s="68">
        <v>473.68231481481558</v>
      </c>
      <c r="P573" s="68">
        <v>164.02535714285708</v>
      </c>
      <c r="Q573" s="69">
        <v>0.63244646112832703</v>
      </c>
      <c r="R573" s="69">
        <v>0.4665072685539402</v>
      </c>
      <c r="S573" s="31">
        <v>175.57142857142858</v>
      </c>
      <c r="T573" s="31">
        <v>5262.4285714285716</v>
      </c>
      <c r="U573" s="69">
        <v>0.64116043613707174</v>
      </c>
      <c r="V573" s="69">
        <v>2.5357142857142856</v>
      </c>
      <c r="W573" s="69">
        <v>9.1293985468274919</v>
      </c>
      <c r="X573" s="69">
        <v>12.613528495680269</v>
      </c>
      <c r="Y573" s="69">
        <v>-7.7993676252560373E-2</v>
      </c>
      <c r="Z573" s="69">
        <v>-7.4184291635667976E-2</v>
      </c>
      <c r="AA573" s="69">
        <v>0.33333333333333326</v>
      </c>
      <c r="AB573" s="69">
        <v>0.28348546768423755</v>
      </c>
      <c r="AC573" s="69">
        <v>-3.7385899236821896E-2</v>
      </c>
      <c r="AD573" s="133">
        <v>-0.49653612190165758</v>
      </c>
      <c r="AE573" s="133">
        <v>-9.9773074324708028E-2</v>
      </c>
      <c r="AF573" s="133">
        <v>0.14829710656989939</v>
      </c>
    </row>
    <row r="574" spans="1:32" x14ac:dyDescent="0.25">
      <c r="A574" t="s">
        <v>84</v>
      </c>
      <c r="B574" t="s">
        <v>695</v>
      </c>
      <c r="C574" s="31">
        <v>5</v>
      </c>
      <c r="D574" s="31"/>
      <c r="E574" s="65">
        <v>5</v>
      </c>
      <c r="F574" s="31"/>
      <c r="G574" s="66">
        <v>10181.780000000001</v>
      </c>
      <c r="H574" s="31"/>
      <c r="I574" s="65">
        <v>4945.97</v>
      </c>
      <c r="J574" s="65"/>
      <c r="K574" s="31">
        <v>111.57142857142857</v>
      </c>
      <c r="L574" s="31">
        <v>5</v>
      </c>
      <c r="M574" s="67">
        <v>22.314285714285713</v>
      </c>
      <c r="N574" s="67"/>
      <c r="O574" s="68">
        <v>2036.3560000000002</v>
      </c>
      <c r="P574" s="68"/>
      <c r="Q574" s="69">
        <v>0.48576673233953199</v>
      </c>
      <c r="R574" s="69"/>
      <c r="S574" s="31">
        <v>281.57142857142856</v>
      </c>
      <c r="T574" s="31">
        <v>27</v>
      </c>
      <c r="U574" s="69">
        <v>19.314285714285713</v>
      </c>
      <c r="V574" s="69"/>
      <c r="W574" s="69"/>
      <c r="X574" s="69"/>
      <c r="Y574" s="69">
        <v>-8.8710401216610224E-2</v>
      </c>
      <c r="Z574" s="69">
        <v>-7.900943396226412E-2</v>
      </c>
      <c r="AA574" s="69">
        <v>-0.2857142857142857</v>
      </c>
      <c r="AB574" s="69">
        <v>-0.31203863802058529</v>
      </c>
      <c r="AC574" s="69">
        <v>-3.6854093228819274E-2</v>
      </c>
      <c r="AD574" s="133"/>
      <c r="AE574" s="133"/>
      <c r="AF574" s="133"/>
    </row>
    <row r="575" spans="1:32" x14ac:dyDescent="0.25">
      <c r="A575" t="s">
        <v>84</v>
      </c>
      <c r="B575" t="s">
        <v>697</v>
      </c>
      <c r="C575" s="31">
        <v>1</v>
      </c>
      <c r="D575" s="31">
        <v>1</v>
      </c>
      <c r="E575" s="65">
        <v>2</v>
      </c>
      <c r="F575" s="31">
        <v>1</v>
      </c>
      <c r="G575" s="66">
        <v>363.62</v>
      </c>
      <c r="H575" s="31">
        <v>204.54</v>
      </c>
      <c r="I575" s="65">
        <v>-198.78</v>
      </c>
      <c r="J575" s="65">
        <v>-76.66</v>
      </c>
      <c r="K575" s="31">
        <v>10.285714285714286</v>
      </c>
      <c r="L575" s="31">
        <v>22.571428571428573</v>
      </c>
      <c r="M575" s="67">
        <v>5.1428571428571432</v>
      </c>
      <c r="N575" s="67">
        <v>23.571428571428573</v>
      </c>
      <c r="O575" s="68">
        <v>181.81</v>
      </c>
      <c r="P575" s="68">
        <v>204.54</v>
      </c>
      <c r="Q575" s="69">
        <v>-0.54666960013200594</v>
      </c>
      <c r="R575" s="69">
        <v>-0.37479221668133372</v>
      </c>
      <c r="S575" s="31"/>
      <c r="T575" s="31">
        <v>1</v>
      </c>
      <c r="U575" s="69">
        <v>-0.54430379746835444</v>
      </c>
      <c r="V575" s="69">
        <v>1</v>
      </c>
      <c r="W575" s="69">
        <v>0.77774518431602635</v>
      </c>
      <c r="X575" s="69">
        <v>1.5930080876597961</v>
      </c>
      <c r="Y575" s="69">
        <v>-0.19099597341483532</v>
      </c>
      <c r="Z575" s="69">
        <v>-0.19101123595505609</v>
      </c>
      <c r="AA575" s="69">
        <v>1</v>
      </c>
      <c r="AB575" s="69">
        <v>-2.7500481258435627E-5</v>
      </c>
      <c r="AC575" s="69">
        <v>-0.50001375024062922</v>
      </c>
      <c r="AD575" s="133"/>
      <c r="AE575" s="133"/>
      <c r="AF575" s="133"/>
    </row>
    <row r="576" spans="1:32" x14ac:dyDescent="0.25">
      <c r="A576" t="s">
        <v>84</v>
      </c>
      <c r="B576" t="s">
        <v>691</v>
      </c>
      <c r="C576" s="31">
        <v>1</v>
      </c>
      <c r="D576" s="31">
        <v>18</v>
      </c>
      <c r="E576" s="65">
        <v>1</v>
      </c>
      <c r="F576" s="31">
        <v>22</v>
      </c>
      <c r="G576" s="66">
        <v>181.81</v>
      </c>
      <c r="H576" s="31">
        <v>10702.34</v>
      </c>
      <c r="I576" s="65">
        <v>25.81</v>
      </c>
      <c r="J576" s="65">
        <v>4322.5</v>
      </c>
      <c r="K576" s="31">
        <v>16.571428571428573</v>
      </c>
      <c r="L576" s="31">
        <v>161.85714285714286</v>
      </c>
      <c r="M576" s="67">
        <v>16.571428571428573</v>
      </c>
      <c r="N576" s="67">
        <v>8.1298701298701292</v>
      </c>
      <c r="O576" s="68">
        <v>181.81</v>
      </c>
      <c r="P576" s="68">
        <v>486.47</v>
      </c>
      <c r="Q576" s="69">
        <v>0.14196138826247182</v>
      </c>
      <c r="R576" s="69">
        <v>0.40388363666263638</v>
      </c>
      <c r="S576" s="31">
        <v>148.57142857142858</v>
      </c>
      <c r="T576" s="31">
        <v>192</v>
      </c>
      <c r="U576" s="69">
        <v>-0.86672550750220656</v>
      </c>
      <c r="V576" s="69">
        <v>-0.95454545454545459</v>
      </c>
      <c r="W576" s="69">
        <v>-0.98301212632003843</v>
      </c>
      <c r="X576" s="69">
        <v>-0.9940289184499711</v>
      </c>
      <c r="Y576" s="69">
        <v>-9.7802892317424894E-2</v>
      </c>
      <c r="Z576" s="69">
        <v>-0.10769230769230764</v>
      </c>
      <c r="AA576" s="69">
        <v>-0.75</v>
      </c>
      <c r="AB576" s="69">
        <v>-0.76470816617057069</v>
      </c>
      <c r="AC576" s="69">
        <v>-5.8832664682282765E-2</v>
      </c>
      <c r="AD576" s="133"/>
      <c r="AE576" s="133"/>
      <c r="AF576" s="133"/>
    </row>
    <row r="577" spans="1:32" x14ac:dyDescent="0.25">
      <c r="A577" t="s">
        <v>84</v>
      </c>
      <c r="B577" t="s">
        <v>690</v>
      </c>
      <c r="C577" s="31">
        <v>1</v>
      </c>
      <c r="D577" s="31">
        <v>20</v>
      </c>
      <c r="E577" s="65">
        <v>1</v>
      </c>
      <c r="F577" s="31">
        <v>21</v>
      </c>
      <c r="G577" s="66">
        <v>154.54</v>
      </c>
      <c r="H577" s="31">
        <v>16125.71</v>
      </c>
      <c r="I577" s="65">
        <v>-213.46</v>
      </c>
      <c r="J577" s="65">
        <v>6463.619999999999</v>
      </c>
      <c r="K577" s="31">
        <v>28.142857142857142</v>
      </c>
      <c r="L577" s="31">
        <v>246.71428571428572</v>
      </c>
      <c r="M577" s="67">
        <v>28.142857142857142</v>
      </c>
      <c r="N577" s="67">
        <v>12.959183673469388</v>
      </c>
      <c r="O577" s="68">
        <v>154.54</v>
      </c>
      <c r="P577" s="68">
        <v>767.89095238095229</v>
      </c>
      <c r="Q577" s="69">
        <v>-1.3812605150770028</v>
      </c>
      <c r="R577" s="69">
        <v>0.40082700234594315</v>
      </c>
      <c r="S577" s="31">
        <v>306</v>
      </c>
      <c r="T577" s="31">
        <v>474.14285714285717</v>
      </c>
      <c r="U577" s="69">
        <v>-0.88998262883613199</v>
      </c>
      <c r="V577" s="69">
        <v>-0.95238095238095233</v>
      </c>
      <c r="W577" s="69">
        <v>-0.99041654600014506</v>
      </c>
      <c r="X577" s="69">
        <v>-1.0330248374749753</v>
      </c>
      <c r="Y577" s="69">
        <v>-3.1436560997709639E-2</v>
      </c>
      <c r="Z577" s="69">
        <v>-2.9556650246305383E-2</v>
      </c>
      <c r="AA577" s="69">
        <v>-0.66666666666666674</v>
      </c>
      <c r="AB577" s="69">
        <v>-0.77777777777777779</v>
      </c>
      <c r="AC577" s="69">
        <v>-0.33333333333333348</v>
      </c>
      <c r="AD577" s="133"/>
      <c r="AE577" s="133"/>
      <c r="AF577" s="133"/>
    </row>
    <row r="578" spans="1:32" x14ac:dyDescent="0.25">
      <c r="A578" t="s">
        <v>84</v>
      </c>
      <c r="B578" t="s">
        <v>699</v>
      </c>
      <c r="C578" s="31">
        <v>1</v>
      </c>
      <c r="D578" s="31">
        <v>1</v>
      </c>
      <c r="E578" s="65">
        <v>1</v>
      </c>
      <c r="F578" s="31">
        <v>1</v>
      </c>
      <c r="G578" s="66">
        <v>141.66</v>
      </c>
      <c r="H578" s="31">
        <v>58.33</v>
      </c>
      <c r="I578" s="65">
        <v>105.59</v>
      </c>
      <c r="J578" s="65">
        <v>22.259999999999998</v>
      </c>
      <c r="K578" s="31">
        <v>2.1428571428571428</v>
      </c>
      <c r="L578" s="31">
        <v>13.714285714285714</v>
      </c>
      <c r="M578" s="67">
        <v>2.1428571428571428</v>
      </c>
      <c r="N578" s="67">
        <v>13.714285714285714</v>
      </c>
      <c r="O578" s="68">
        <v>141.66</v>
      </c>
      <c r="P578" s="68">
        <v>58.33</v>
      </c>
      <c r="Q578" s="69">
        <v>0.74537625300014121</v>
      </c>
      <c r="R578" s="69">
        <v>0.38162180696039771</v>
      </c>
      <c r="S578" s="31">
        <v>1</v>
      </c>
      <c r="T578" s="31">
        <v>1</v>
      </c>
      <c r="U578" s="69">
        <v>-0.84375</v>
      </c>
      <c r="V578" s="69">
        <v>0</v>
      </c>
      <c r="W578" s="69">
        <v>1.4285959197668436</v>
      </c>
      <c r="X578" s="69">
        <v>3.7434860736747533</v>
      </c>
      <c r="Y578" s="69">
        <v>-0.2334955279596922</v>
      </c>
      <c r="Z578" s="69">
        <v>-0.2857142857142857</v>
      </c>
      <c r="AA578" s="69"/>
      <c r="AB578" s="69"/>
      <c r="AC578" s="69"/>
      <c r="AD578" s="133"/>
      <c r="AE578" s="133"/>
      <c r="AF578" s="133"/>
    </row>
    <row r="579" spans="1:32" x14ac:dyDescent="0.25">
      <c r="A579" t="s">
        <v>84</v>
      </c>
      <c r="B579" t="s">
        <v>696</v>
      </c>
      <c r="C579" s="31"/>
      <c r="D579" s="31">
        <v>1</v>
      </c>
      <c r="E579" s="65"/>
      <c r="F579" s="31">
        <v>1</v>
      </c>
      <c r="G579" s="66"/>
      <c r="H579" s="31">
        <v>81.81</v>
      </c>
      <c r="I579" s="65"/>
      <c r="J579" s="65">
        <v>-29</v>
      </c>
      <c r="K579" s="31">
        <v>3</v>
      </c>
      <c r="L579" s="31">
        <v>10.571428571428571</v>
      </c>
      <c r="M579" s="67"/>
      <c r="N579" s="67">
        <v>11.571428571428571</v>
      </c>
      <c r="O579" s="68"/>
      <c r="P579" s="68">
        <v>81.81</v>
      </c>
      <c r="Q579" s="69"/>
      <c r="R579" s="69">
        <v>-0.35447989243368783</v>
      </c>
      <c r="S579" s="31">
        <v>15</v>
      </c>
      <c r="T579" s="31">
        <v>19</v>
      </c>
      <c r="U579" s="69">
        <v>-0.71621621621621623</v>
      </c>
      <c r="V579" s="69"/>
      <c r="W579" s="69"/>
      <c r="X579" s="69"/>
      <c r="Y579" s="69">
        <v>0</v>
      </c>
      <c r="Z579" s="69">
        <v>0</v>
      </c>
      <c r="AA579" s="69"/>
      <c r="AB579" s="69"/>
      <c r="AC579" s="69"/>
      <c r="AD579" s="133"/>
      <c r="AE579" s="133"/>
      <c r="AF579" s="133"/>
    </row>
    <row r="580" spans="1:32" x14ac:dyDescent="0.25">
      <c r="A580" t="s">
        <v>84</v>
      </c>
      <c r="B580" t="s">
        <v>698</v>
      </c>
      <c r="C580" s="31"/>
      <c r="D580" s="31"/>
      <c r="E580" s="65"/>
      <c r="F580" s="31"/>
      <c r="G580" s="66"/>
      <c r="H580" s="31"/>
      <c r="I580" s="65"/>
      <c r="J580" s="65"/>
      <c r="K580" s="31">
        <v>2</v>
      </c>
      <c r="L580" s="31">
        <v>6</v>
      </c>
      <c r="M580" s="67"/>
      <c r="N580" s="67"/>
      <c r="O580" s="68"/>
      <c r="P580" s="68"/>
      <c r="Q580" s="69"/>
      <c r="R580" s="69"/>
      <c r="S580" s="31">
        <v>19</v>
      </c>
      <c r="T580" s="31">
        <v>2</v>
      </c>
      <c r="U580" s="69">
        <v>-0.66666666666666674</v>
      </c>
      <c r="V580" s="69"/>
      <c r="W580" s="69"/>
      <c r="X580" s="69"/>
      <c r="Y580" s="69">
        <v>0</v>
      </c>
      <c r="Z580" s="69">
        <v>0</v>
      </c>
      <c r="AA580" s="69"/>
      <c r="AB580" s="69"/>
      <c r="AC580" s="69"/>
      <c r="AD580" s="133"/>
      <c r="AE580" s="133"/>
      <c r="AF580" s="133"/>
    </row>
    <row r="581" spans="1:32" x14ac:dyDescent="0.25">
      <c r="A581" t="s">
        <v>84</v>
      </c>
      <c r="B581" t="s">
        <v>693</v>
      </c>
      <c r="C581" s="31"/>
      <c r="D581" s="31">
        <v>6</v>
      </c>
      <c r="E581" s="65"/>
      <c r="F581" s="31">
        <v>7</v>
      </c>
      <c r="G581" s="66"/>
      <c r="H581" s="31">
        <v>4324.9400000000005</v>
      </c>
      <c r="I581" s="65"/>
      <c r="J581" s="65">
        <v>1284.2800000000011</v>
      </c>
      <c r="K581" s="31">
        <v>22.571428571428573</v>
      </c>
      <c r="L581" s="31">
        <v>93.571428571428569</v>
      </c>
      <c r="M581" s="67"/>
      <c r="N581" s="67">
        <v>14.775510204081632</v>
      </c>
      <c r="O581" s="68"/>
      <c r="P581" s="68">
        <v>617.84857142857152</v>
      </c>
      <c r="Q581" s="69"/>
      <c r="R581" s="69">
        <v>0.29694747210365946</v>
      </c>
      <c r="S581" s="31">
        <v>120</v>
      </c>
      <c r="T581" s="31">
        <v>112</v>
      </c>
      <c r="U581" s="69">
        <v>-0.74809160305343503</v>
      </c>
      <c r="V581" s="69"/>
      <c r="W581" s="69"/>
      <c r="X581" s="69"/>
      <c r="Y581" s="69">
        <v>-8.1027906265413008E-2</v>
      </c>
      <c r="Z581" s="69">
        <v>-1.8633540372670732E-2</v>
      </c>
      <c r="AA581" s="69"/>
      <c r="AB581" s="69"/>
      <c r="AC581" s="69"/>
      <c r="AD581" s="133"/>
      <c r="AE581" s="133"/>
      <c r="AF581" s="133"/>
    </row>
    <row r="582" spans="1:32" x14ac:dyDescent="0.25">
      <c r="A582" s="129" t="s">
        <v>825</v>
      </c>
      <c r="B582" s="129"/>
      <c r="C582" s="120">
        <v>1029</v>
      </c>
      <c r="D582" s="120">
        <v>1512</v>
      </c>
      <c r="E582" s="119">
        <v>1272</v>
      </c>
      <c r="F582" s="120">
        <v>1977</v>
      </c>
      <c r="G582" s="120">
        <v>1800345.7200000042</v>
      </c>
      <c r="H582" s="120">
        <v>1553499.0000000035</v>
      </c>
      <c r="I582" s="119">
        <v>1143451.229999997</v>
      </c>
      <c r="J582" s="119">
        <v>744103.85000000882</v>
      </c>
      <c r="K582" s="120">
        <v>23432.571428571428</v>
      </c>
      <c r="L582" s="120">
        <v>34213</v>
      </c>
      <c r="M582" s="131">
        <v>18.421832884097036</v>
      </c>
      <c r="N582" s="131">
        <v>17.788362403785044</v>
      </c>
      <c r="O582" s="130">
        <v>1415.366132075475</v>
      </c>
      <c r="P582" s="130">
        <v>785.78603945371947</v>
      </c>
      <c r="Q582" s="132">
        <v>0.63512869628173108</v>
      </c>
      <c r="R582" s="132">
        <v>0.46982567032225286</v>
      </c>
      <c r="S582" s="120">
        <v>16103.142857142857</v>
      </c>
      <c r="T582" s="120">
        <v>27383.428571428572</v>
      </c>
      <c r="U582" s="132">
        <v>-0.32346518240768962</v>
      </c>
      <c r="V582" s="132">
        <v>-0.37430450177035912</v>
      </c>
      <c r="W582" s="132">
        <v>0.12601860702839263</v>
      </c>
      <c r="X582" s="132">
        <v>0.52204728704195902</v>
      </c>
      <c r="Y582" s="132">
        <v>-2.1926104466018503E-2</v>
      </c>
      <c r="Z582" s="132">
        <v>-3.243731087083479E-2</v>
      </c>
      <c r="AA582" s="132">
        <v>0.21955896452540746</v>
      </c>
      <c r="AB582" s="132">
        <v>0.18780621701897782</v>
      </c>
      <c r="AC582" s="132">
        <v>-2.6036254441199835E-2</v>
      </c>
      <c r="AD582" s="134">
        <v>-0.29968611403092077</v>
      </c>
      <c r="AE582" s="134">
        <v>3.755537625180299E-2</v>
      </c>
      <c r="AF582" s="134">
        <v>0.32645150930893124</v>
      </c>
    </row>
    <row r="583" spans="1:32" x14ac:dyDescent="0.25">
      <c r="A583" t="s">
        <v>195</v>
      </c>
      <c r="B583" t="s">
        <v>764</v>
      </c>
      <c r="C583" s="31">
        <v>35</v>
      </c>
      <c r="D583" s="31"/>
      <c r="E583" s="65">
        <v>43</v>
      </c>
      <c r="F583" s="31"/>
      <c r="G583" s="66">
        <v>286549.53999999992</v>
      </c>
      <c r="H583" s="31"/>
      <c r="I583" s="65">
        <v>112562.64000000001</v>
      </c>
      <c r="J583" s="65"/>
      <c r="K583" s="31">
        <v>917.57142857142856</v>
      </c>
      <c r="L583" s="31"/>
      <c r="M583" s="67">
        <v>21.338870431893689</v>
      </c>
      <c r="N583" s="67"/>
      <c r="O583" s="68">
        <v>6663.9427906976725</v>
      </c>
      <c r="P583" s="68"/>
      <c r="Q583" s="69">
        <v>0.39282087139277921</v>
      </c>
      <c r="R583" s="69"/>
      <c r="S583" s="31">
        <v>390</v>
      </c>
      <c r="T583" s="31"/>
      <c r="U583" s="69"/>
      <c r="V583" s="69"/>
      <c r="W583" s="69"/>
      <c r="X583" s="69"/>
      <c r="Y583" s="69">
        <v>0.36292502644570002</v>
      </c>
      <c r="Z583" s="69">
        <v>8.0221997981836379E-2</v>
      </c>
      <c r="AA583" s="69">
        <v>2.3809523809523725E-2</v>
      </c>
      <c r="AB583" s="69">
        <v>-6.709731429403587E-2</v>
      </c>
      <c r="AC583" s="69">
        <v>-8.8792725589523336E-2</v>
      </c>
      <c r="AD583" s="133"/>
      <c r="AE583" s="133"/>
      <c r="AF583" s="133"/>
    </row>
    <row r="584" spans="1:32" x14ac:dyDescent="0.25">
      <c r="A584" t="s">
        <v>195</v>
      </c>
      <c r="B584" t="s">
        <v>765</v>
      </c>
      <c r="C584" s="31">
        <v>81</v>
      </c>
      <c r="D584" s="31"/>
      <c r="E584" s="65">
        <v>81</v>
      </c>
      <c r="F584" s="31"/>
      <c r="G584" s="66">
        <v>253228.94000000038</v>
      </c>
      <c r="H584" s="31"/>
      <c r="I584" s="65">
        <v>46788.830000000038</v>
      </c>
      <c r="J584" s="65"/>
      <c r="K584" s="31">
        <v>2476.7142857142858</v>
      </c>
      <c r="L584" s="31"/>
      <c r="M584" s="67">
        <v>30.576719576719576</v>
      </c>
      <c r="N584" s="67"/>
      <c r="O584" s="68">
        <v>3126.283209876548</v>
      </c>
      <c r="P584" s="68"/>
      <c r="Q584" s="69">
        <v>0.18476888936943767</v>
      </c>
      <c r="R584" s="69"/>
      <c r="S584" s="31">
        <v>115.71428571428571</v>
      </c>
      <c r="T584" s="31"/>
      <c r="U584" s="69"/>
      <c r="V584" s="69"/>
      <c r="W584" s="69"/>
      <c r="X584" s="69"/>
      <c r="Y584" s="69">
        <v>-3.1721543969505106E-2</v>
      </c>
      <c r="Z584" s="69">
        <v>-3.5493741307371263E-2</v>
      </c>
      <c r="AA584" s="69">
        <v>-0.31932773109243695</v>
      </c>
      <c r="AB584" s="69">
        <v>-0.34002235796666713</v>
      </c>
      <c r="AC584" s="69">
        <v>-3.0403217259671433E-2</v>
      </c>
      <c r="AD584" s="133"/>
      <c r="AE584" s="133"/>
      <c r="AF584" s="133"/>
    </row>
    <row r="585" spans="1:32" x14ac:dyDescent="0.25">
      <c r="A585" t="s">
        <v>195</v>
      </c>
      <c r="B585" t="s">
        <v>770</v>
      </c>
      <c r="C585" s="31">
        <v>7</v>
      </c>
      <c r="D585" s="31"/>
      <c r="E585" s="65">
        <v>7</v>
      </c>
      <c r="F585" s="31"/>
      <c r="G585" s="66">
        <v>166666.60999999999</v>
      </c>
      <c r="H585" s="31"/>
      <c r="I585" s="65">
        <v>-17812.5</v>
      </c>
      <c r="J585" s="65"/>
      <c r="K585" s="31">
        <v>317.28571428571428</v>
      </c>
      <c r="L585" s="31"/>
      <c r="M585" s="67">
        <v>45.326530612244895</v>
      </c>
      <c r="N585" s="67"/>
      <c r="O585" s="68">
        <v>23809.515714285713</v>
      </c>
      <c r="P585" s="68"/>
      <c r="Q585" s="69">
        <v>-0.10687503633751236</v>
      </c>
      <c r="R585" s="69"/>
      <c r="S585" s="31">
        <v>45.714285714285715</v>
      </c>
      <c r="T585" s="31"/>
      <c r="U585" s="69"/>
      <c r="V585" s="69"/>
      <c r="W585" s="69"/>
      <c r="X585" s="69"/>
      <c r="Y585" s="69">
        <v>-2.4587691739156314E-2</v>
      </c>
      <c r="Z585" s="69">
        <v>-1.8992932862190837E-2</v>
      </c>
      <c r="AA585" s="69">
        <v>-0.125</v>
      </c>
      <c r="AB585" s="69">
        <v>5.0601377937915526E-3</v>
      </c>
      <c r="AC585" s="69">
        <v>0.14864015747861914</v>
      </c>
      <c r="AD585" s="133"/>
      <c r="AE585" s="133"/>
      <c r="AF585" s="133"/>
    </row>
    <row r="586" spans="1:32" x14ac:dyDescent="0.25">
      <c r="A586" t="s">
        <v>195</v>
      </c>
      <c r="B586" t="s">
        <v>722</v>
      </c>
      <c r="C586" s="31">
        <v>318</v>
      </c>
      <c r="D586" s="31"/>
      <c r="E586" s="65">
        <v>427</v>
      </c>
      <c r="F586" s="31"/>
      <c r="G586" s="66">
        <v>166371.34000000093</v>
      </c>
      <c r="H586" s="31"/>
      <c r="I586" s="65">
        <v>61440.850000000035</v>
      </c>
      <c r="J586" s="65"/>
      <c r="K586" s="31">
        <v>4467.4285714285716</v>
      </c>
      <c r="L586" s="31">
        <v>7</v>
      </c>
      <c r="M586" s="67">
        <v>10.46236199397792</v>
      </c>
      <c r="N586" s="67"/>
      <c r="O586" s="68">
        <v>389.62843091335111</v>
      </c>
      <c r="P586" s="68"/>
      <c r="Q586" s="69">
        <v>0.36929948391351353</v>
      </c>
      <c r="R586" s="69"/>
      <c r="S586" s="31">
        <v>2454.4285714285716</v>
      </c>
      <c r="T586" s="31">
        <v>24</v>
      </c>
      <c r="U586" s="69">
        <v>544.36734693877554</v>
      </c>
      <c r="V586" s="69"/>
      <c r="W586" s="69"/>
      <c r="X586" s="69"/>
      <c r="Y586" s="69">
        <v>-3.95296531828776E-2</v>
      </c>
      <c r="Z586" s="69">
        <v>-3.72810393128713E-2</v>
      </c>
      <c r="AA586" s="69">
        <v>0.22701149425287359</v>
      </c>
      <c r="AB586" s="69">
        <v>0.27125576853352862</v>
      </c>
      <c r="AC586" s="69">
        <v>3.6058565455896918E-2</v>
      </c>
      <c r="AD586" s="133"/>
      <c r="AE586" s="133"/>
      <c r="AF586" s="133"/>
    </row>
    <row r="587" spans="1:32" x14ac:dyDescent="0.25">
      <c r="A587" t="s">
        <v>195</v>
      </c>
      <c r="B587" t="s">
        <v>771</v>
      </c>
      <c r="C587" s="31">
        <v>10</v>
      </c>
      <c r="D587" s="31"/>
      <c r="E587" s="65">
        <v>10</v>
      </c>
      <c r="F587" s="31"/>
      <c r="G587" s="66">
        <v>137841.55000000002</v>
      </c>
      <c r="H587" s="31"/>
      <c r="I587" s="65">
        <v>55437.57</v>
      </c>
      <c r="J587" s="65"/>
      <c r="K587" s="31">
        <v>214.71428571428572</v>
      </c>
      <c r="L587" s="31"/>
      <c r="M587" s="67">
        <v>21.471428571428572</v>
      </c>
      <c r="N587" s="67"/>
      <c r="O587" s="68">
        <v>13784.155000000002</v>
      </c>
      <c r="P587" s="68"/>
      <c r="Q587" s="69">
        <v>0.40218330394572605</v>
      </c>
      <c r="R587" s="69"/>
      <c r="S587" s="31">
        <v>114.28571428571429</v>
      </c>
      <c r="T587" s="31"/>
      <c r="U587" s="69"/>
      <c r="V587" s="69"/>
      <c r="W587" s="69"/>
      <c r="X587" s="69"/>
      <c r="Y587" s="69">
        <v>-1.763083859386172E-3</v>
      </c>
      <c r="Z587" s="69">
        <v>-3.9761431411531323E-3</v>
      </c>
      <c r="AA587" s="69">
        <v>0</v>
      </c>
      <c r="AB587" s="69">
        <v>-0.12086110507868553</v>
      </c>
      <c r="AC587" s="69">
        <v>-0.12086110507868542</v>
      </c>
      <c r="AD587" s="133"/>
      <c r="AE587" s="133"/>
      <c r="AF587" s="133"/>
    </row>
    <row r="588" spans="1:32" x14ac:dyDescent="0.25">
      <c r="A588" t="s">
        <v>195</v>
      </c>
      <c r="B588" t="s">
        <v>766</v>
      </c>
      <c r="C588" s="31">
        <v>10</v>
      </c>
      <c r="D588" s="31"/>
      <c r="E588" s="65">
        <v>10</v>
      </c>
      <c r="F588" s="31"/>
      <c r="G588" s="66">
        <v>88333.23000000001</v>
      </c>
      <c r="H588" s="31"/>
      <c r="I588" s="65">
        <v>-5382.0599999999995</v>
      </c>
      <c r="J588" s="65"/>
      <c r="K588" s="31">
        <v>295.28571428571428</v>
      </c>
      <c r="L588" s="31"/>
      <c r="M588" s="67">
        <v>29.528571428571428</v>
      </c>
      <c r="N588" s="67"/>
      <c r="O588" s="68">
        <v>8833.3230000000003</v>
      </c>
      <c r="P588" s="68"/>
      <c r="Q588" s="69">
        <v>-6.0929052407570725E-2</v>
      </c>
      <c r="R588" s="69"/>
      <c r="S588" s="31">
        <v>53.857142857142854</v>
      </c>
      <c r="T588" s="31"/>
      <c r="U588" s="69"/>
      <c r="V588" s="69"/>
      <c r="W588" s="69"/>
      <c r="X588" s="69"/>
      <c r="Y588" s="69">
        <v>-1.2641481003739408E-2</v>
      </c>
      <c r="Z588" s="69">
        <v>-1.5714285714285792E-2</v>
      </c>
      <c r="AA588" s="69">
        <v>1.5</v>
      </c>
      <c r="AB588" s="69">
        <v>0.56348945767325254</v>
      </c>
      <c r="AC588" s="69">
        <v>-0.37460421693069901</v>
      </c>
      <c r="AD588" s="133"/>
      <c r="AE588" s="133"/>
      <c r="AF588" s="133"/>
    </row>
    <row r="589" spans="1:32" x14ac:dyDescent="0.25">
      <c r="A589" t="s">
        <v>195</v>
      </c>
      <c r="B589" t="s">
        <v>767</v>
      </c>
      <c r="C589" s="31">
        <v>9</v>
      </c>
      <c r="D589" s="31"/>
      <c r="E589" s="65">
        <v>9</v>
      </c>
      <c r="F589" s="31"/>
      <c r="G589" s="66">
        <v>65833.259999999995</v>
      </c>
      <c r="H589" s="31"/>
      <c r="I589" s="65">
        <v>1099.24</v>
      </c>
      <c r="J589" s="65"/>
      <c r="K589" s="31">
        <v>225.28571428571428</v>
      </c>
      <c r="L589" s="31"/>
      <c r="M589" s="67">
        <v>25.031746031746032</v>
      </c>
      <c r="N589" s="67"/>
      <c r="O589" s="68">
        <v>7314.8066666666664</v>
      </c>
      <c r="P589" s="68"/>
      <c r="Q589" s="69">
        <v>1.6697335055259305E-2</v>
      </c>
      <c r="R589" s="69"/>
      <c r="S589" s="31">
        <v>231.42857142857142</v>
      </c>
      <c r="T589" s="31"/>
      <c r="U589" s="69"/>
      <c r="V589" s="69"/>
      <c r="W589" s="69"/>
      <c r="X589" s="69"/>
      <c r="Y589" s="69">
        <v>-5.1852518548745841E-2</v>
      </c>
      <c r="Z589" s="69">
        <v>-5.5122828040742977E-2</v>
      </c>
      <c r="AA589" s="69">
        <v>-0.5714285714285714</v>
      </c>
      <c r="AB589" s="69">
        <v>-0.53387409191196544</v>
      </c>
      <c r="AC589" s="69">
        <v>8.7627118872080745E-2</v>
      </c>
      <c r="AD589" s="133"/>
      <c r="AE589" s="133"/>
      <c r="AF589" s="133"/>
    </row>
    <row r="590" spans="1:32" x14ac:dyDescent="0.25">
      <c r="A590" t="s">
        <v>195</v>
      </c>
      <c r="B590" t="s">
        <v>769</v>
      </c>
      <c r="C590" s="31">
        <v>23</v>
      </c>
      <c r="D590" s="31"/>
      <c r="E590" s="65">
        <v>24</v>
      </c>
      <c r="F590" s="31"/>
      <c r="G590" s="66">
        <v>43916.520000000026</v>
      </c>
      <c r="H590" s="31"/>
      <c r="I590" s="65">
        <v>15200.429999999997</v>
      </c>
      <c r="J590" s="65"/>
      <c r="K590" s="31">
        <v>402</v>
      </c>
      <c r="L590" s="31"/>
      <c r="M590" s="67">
        <v>16.75</v>
      </c>
      <c r="N590" s="67"/>
      <c r="O590" s="68">
        <v>1829.8550000000012</v>
      </c>
      <c r="P590" s="68"/>
      <c r="Q590" s="69">
        <v>0.34612100412327723</v>
      </c>
      <c r="R590" s="69"/>
      <c r="S590" s="31">
        <v>49</v>
      </c>
      <c r="T590" s="31"/>
      <c r="U590" s="69"/>
      <c r="V590" s="69"/>
      <c r="W590" s="69"/>
      <c r="X590" s="69"/>
      <c r="Y590" s="69">
        <v>-5.2302746654492638E-2</v>
      </c>
      <c r="Z590" s="69">
        <v>-5.5704697986577179E-2</v>
      </c>
      <c r="AA590" s="69">
        <v>-0.25</v>
      </c>
      <c r="AB590" s="69">
        <v>-0.20066718273100403</v>
      </c>
      <c r="AC590" s="69">
        <v>6.5777089691994695E-2</v>
      </c>
      <c r="AD590" s="133"/>
      <c r="AE590" s="133"/>
      <c r="AF590" s="133"/>
    </row>
    <row r="591" spans="1:32" x14ac:dyDescent="0.25">
      <c r="A591" t="s">
        <v>195</v>
      </c>
      <c r="B591" t="s">
        <v>768</v>
      </c>
      <c r="C591" s="31">
        <v>2</v>
      </c>
      <c r="D591" s="31"/>
      <c r="E591" s="65">
        <v>2</v>
      </c>
      <c r="F591" s="31"/>
      <c r="G591" s="66">
        <v>39999.979999999996</v>
      </c>
      <c r="H591" s="31"/>
      <c r="I591" s="65">
        <v>-6421.68</v>
      </c>
      <c r="J591" s="65"/>
      <c r="K591" s="31">
        <v>234.57142857142858</v>
      </c>
      <c r="L591" s="31"/>
      <c r="M591" s="67">
        <v>117.28571428571429</v>
      </c>
      <c r="N591" s="67"/>
      <c r="O591" s="68">
        <v>19999.989999999998</v>
      </c>
      <c r="P591" s="68"/>
      <c r="Q591" s="69">
        <v>-0.16054208027104017</v>
      </c>
      <c r="R591" s="69"/>
      <c r="S591" s="31">
        <v>1157.8571428571429</v>
      </c>
      <c r="T591" s="31"/>
      <c r="U591" s="69"/>
      <c r="V591" s="69"/>
      <c r="W591" s="69"/>
      <c r="X591" s="69"/>
      <c r="Y591" s="69">
        <v>-1.6000410476005977E-2</v>
      </c>
      <c r="Z591" s="69">
        <v>-1.5587529976019088E-2</v>
      </c>
      <c r="AA591" s="69">
        <v>-0.7142857142857143</v>
      </c>
      <c r="AB591" s="69">
        <v>-0.5931928105336266</v>
      </c>
      <c r="AC591" s="69">
        <v>0.42382516313230711</v>
      </c>
      <c r="AD591" s="133"/>
      <c r="AE591" s="133"/>
      <c r="AF591" s="133"/>
    </row>
    <row r="592" spans="1:32" x14ac:dyDescent="0.25">
      <c r="A592" t="s">
        <v>195</v>
      </c>
      <c r="B592" t="s">
        <v>773</v>
      </c>
      <c r="C592" s="31">
        <v>14</v>
      </c>
      <c r="D592" s="31"/>
      <c r="E592" s="65">
        <v>14</v>
      </c>
      <c r="F592" s="31"/>
      <c r="G592" s="66">
        <v>39166.489999999991</v>
      </c>
      <c r="H592" s="31"/>
      <c r="I592" s="65">
        <v>-1083.3700000000001</v>
      </c>
      <c r="J592" s="65"/>
      <c r="K592" s="31">
        <v>242.42857142857142</v>
      </c>
      <c r="L592" s="31"/>
      <c r="M592" s="67">
        <v>17.316326530612244</v>
      </c>
      <c r="N592" s="67"/>
      <c r="O592" s="68">
        <v>2797.6064285714278</v>
      </c>
      <c r="P592" s="68"/>
      <c r="Q592" s="69">
        <v>-2.7660635405419284E-2</v>
      </c>
      <c r="R592" s="69"/>
      <c r="S592" s="31">
        <v>26.857142857142858</v>
      </c>
      <c r="T592" s="31"/>
      <c r="U592" s="69"/>
      <c r="V592" s="69"/>
      <c r="W592" s="69"/>
      <c r="X592" s="69"/>
      <c r="Y592" s="69">
        <v>-4.0268086838383566E-2</v>
      </c>
      <c r="Z592" s="69">
        <v>-4.0700960994912494E-2</v>
      </c>
      <c r="AA592" s="69">
        <v>1</v>
      </c>
      <c r="AB592" s="69">
        <v>0.66430504256957335</v>
      </c>
      <c r="AC592" s="69">
        <v>-0.16784747871521322</v>
      </c>
      <c r="AD592" s="133"/>
      <c r="AE592" s="133"/>
      <c r="AF592" s="133"/>
    </row>
    <row r="593" spans="1:32" x14ac:dyDescent="0.25">
      <c r="A593" t="s">
        <v>195</v>
      </c>
      <c r="B593" t="s">
        <v>772</v>
      </c>
      <c r="C593" s="31">
        <v>9</v>
      </c>
      <c r="D593" s="31"/>
      <c r="E593" s="65">
        <v>9</v>
      </c>
      <c r="F593" s="31"/>
      <c r="G593" s="66">
        <v>28249.909999999989</v>
      </c>
      <c r="H593" s="31"/>
      <c r="I593" s="65">
        <v>745.79000000000008</v>
      </c>
      <c r="J593" s="65"/>
      <c r="K593" s="31">
        <v>248.42857142857142</v>
      </c>
      <c r="L593" s="31"/>
      <c r="M593" s="67">
        <v>27.603174603174601</v>
      </c>
      <c r="N593" s="67"/>
      <c r="O593" s="68">
        <v>3138.8788888888876</v>
      </c>
      <c r="P593" s="68"/>
      <c r="Q593" s="69">
        <v>2.6399730123034034E-2</v>
      </c>
      <c r="R593" s="69"/>
      <c r="S593" s="31">
        <v>232.42857142857142</v>
      </c>
      <c r="T593" s="31"/>
      <c r="U593" s="69"/>
      <c r="V593" s="69"/>
      <c r="W593" s="69"/>
      <c r="X593" s="69"/>
      <c r="Y593" s="69">
        <v>-3.9282674241832738E-2</v>
      </c>
      <c r="Z593" s="69">
        <v>-3.4425319267073817E-2</v>
      </c>
      <c r="AA593" s="69">
        <v>-0.3571428571428571</v>
      </c>
      <c r="AB593" s="69">
        <v>-0.34429421577454444</v>
      </c>
      <c r="AC593" s="69">
        <v>1.9986775461819706E-2</v>
      </c>
      <c r="AD593" s="133"/>
      <c r="AE593" s="133"/>
      <c r="AF593" s="133"/>
    </row>
    <row r="594" spans="1:32" x14ac:dyDescent="0.25">
      <c r="A594" t="s">
        <v>195</v>
      </c>
      <c r="B594" t="s">
        <v>774</v>
      </c>
      <c r="C594" s="31">
        <v>58</v>
      </c>
      <c r="D594" s="31"/>
      <c r="E594" s="65">
        <v>72</v>
      </c>
      <c r="F594" s="31"/>
      <c r="G594" s="66">
        <v>23223.649999999998</v>
      </c>
      <c r="H594" s="31"/>
      <c r="I594" s="65">
        <v>7752.6099999999979</v>
      </c>
      <c r="J594" s="65"/>
      <c r="K594" s="31">
        <v>963.14285714285711</v>
      </c>
      <c r="L594" s="31"/>
      <c r="M594" s="67">
        <v>13.376984126984127</v>
      </c>
      <c r="N594" s="67"/>
      <c r="O594" s="68">
        <v>322.55069444444439</v>
      </c>
      <c r="P594" s="68"/>
      <c r="Q594" s="69">
        <v>0.33382392517971976</v>
      </c>
      <c r="R594" s="69"/>
      <c r="S594" s="31">
        <v>4625</v>
      </c>
      <c r="T594" s="31"/>
      <c r="U594" s="69"/>
      <c r="V594" s="69"/>
      <c r="W594" s="69"/>
      <c r="X594" s="69"/>
      <c r="Y594" s="69">
        <v>-7.9372642438282459E-2</v>
      </c>
      <c r="Z594" s="69">
        <v>-7.7196824527785424E-2</v>
      </c>
      <c r="AA594" s="69">
        <v>0.33333333333333326</v>
      </c>
      <c r="AB594" s="69">
        <v>0.32695425012870327</v>
      </c>
      <c r="AC594" s="69">
        <v>-4.784312403472657E-3</v>
      </c>
      <c r="AD594" s="133"/>
      <c r="AE594" s="133"/>
      <c r="AF594" s="133"/>
    </row>
    <row r="595" spans="1:32" x14ac:dyDescent="0.25">
      <c r="A595" t="s">
        <v>195</v>
      </c>
      <c r="B595" t="s">
        <v>777</v>
      </c>
      <c r="C595" s="31">
        <v>7</v>
      </c>
      <c r="D595" s="31"/>
      <c r="E595" s="65">
        <v>11</v>
      </c>
      <c r="F595" s="31"/>
      <c r="G595" s="66">
        <v>13024.96</v>
      </c>
      <c r="H595" s="31"/>
      <c r="I595" s="65">
        <v>6307.76</v>
      </c>
      <c r="J595" s="65"/>
      <c r="K595" s="31">
        <v>198.85714285714286</v>
      </c>
      <c r="L595" s="31"/>
      <c r="M595" s="67">
        <v>18.077922077922079</v>
      </c>
      <c r="N595" s="67"/>
      <c r="O595" s="68">
        <v>1184.0872727272726</v>
      </c>
      <c r="P595" s="68"/>
      <c r="Q595" s="69">
        <v>0.4842824853204924</v>
      </c>
      <c r="R595" s="69"/>
      <c r="S595" s="31">
        <v>1</v>
      </c>
      <c r="T595" s="31"/>
      <c r="U595" s="69"/>
      <c r="V595" s="69"/>
      <c r="W595" s="69"/>
      <c r="X595" s="69"/>
      <c r="Y595" s="69">
        <v>-5.3460130220410074E-2</v>
      </c>
      <c r="Z595" s="69">
        <v>-5.1771117166212521E-2</v>
      </c>
      <c r="AA595" s="69">
        <v>0.5714285714285714</v>
      </c>
      <c r="AB595" s="69">
        <v>0.36506512507283873</v>
      </c>
      <c r="AC595" s="69">
        <v>-0.13132219313546634</v>
      </c>
      <c r="AD595" s="133"/>
      <c r="AE595" s="133"/>
      <c r="AF595" s="133"/>
    </row>
    <row r="596" spans="1:32" x14ac:dyDescent="0.25">
      <c r="A596" t="s">
        <v>195</v>
      </c>
      <c r="B596" t="s">
        <v>778</v>
      </c>
      <c r="C596" s="31">
        <v>6</v>
      </c>
      <c r="D596" s="31"/>
      <c r="E596" s="65">
        <v>6</v>
      </c>
      <c r="F596" s="31"/>
      <c r="G596" s="66">
        <v>6299.9</v>
      </c>
      <c r="H596" s="31"/>
      <c r="I596" s="65">
        <v>2103.2600000000002</v>
      </c>
      <c r="J596" s="65"/>
      <c r="K596" s="31">
        <v>99.714285714285708</v>
      </c>
      <c r="L596" s="31"/>
      <c r="M596" s="67">
        <v>16.619047619047617</v>
      </c>
      <c r="N596" s="67"/>
      <c r="O596" s="68">
        <v>1049.9833333333333</v>
      </c>
      <c r="P596" s="68"/>
      <c r="Q596" s="69">
        <v>0.33385609295385649</v>
      </c>
      <c r="R596" s="69"/>
      <c r="S596" s="31">
        <v>279.57142857142856</v>
      </c>
      <c r="T596" s="31"/>
      <c r="U596" s="69"/>
      <c r="V596" s="69"/>
      <c r="W596" s="69"/>
      <c r="X596" s="69"/>
      <c r="Y596" s="69">
        <v>-0.11082802547770698</v>
      </c>
      <c r="Z596" s="69">
        <v>-0.11082802547770698</v>
      </c>
      <c r="AA596" s="69">
        <v>-0.4</v>
      </c>
      <c r="AB596" s="69">
        <v>-0.40000266669714324</v>
      </c>
      <c r="AC596" s="69">
        <v>-4.4444952385092051E-6</v>
      </c>
      <c r="AD596" s="133"/>
      <c r="AE596" s="133"/>
      <c r="AF596" s="133"/>
    </row>
    <row r="597" spans="1:32" x14ac:dyDescent="0.25">
      <c r="A597" t="s">
        <v>195</v>
      </c>
      <c r="B597" t="s">
        <v>775</v>
      </c>
      <c r="C597" s="31">
        <v>3</v>
      </c>
      <c r="D597" s="31"/>
      <c r="E597" s="65">
        <v>3</v>
      </c>
      <c r="F597" s="31"/>
      <c r="G597" s="66">
        <v>5849.97</v>
      </c>
      <c r="H597" s="31"/>
      <c r="I597" s="65">
        <v>2647.62</v>
      </c>
      <c r="J597" s="65"/>
      <c r="K597" s="31">
        <v>57.428571428571431</v>
      </c>
      <c r="L597" s="31"/>
      <c r="M597" s="67">
        <v>19.142857142857142</v>
      </c>
      <c r="N597" s="67"/>
      <c r="O597" s="68">
        <v>1949.99</v>
      </c>
      <c r="P597" s="68"/>
      <c r="Q597" s="69">
        <v>0.45258693634326325</v>
      </c>
      <c r="R597" s="69"/>
      <c r="S597" s="31"/>
      <c r="T597" s="31"/>
      <c r="U597" s="69"/>
      <c r="V597" s="69"/>
      <c r="W597" s="69"/>
      <c r="X597" s="69"/>
      <c r="Y597" s="69">
        <v>-9.4994109309652797E-2</v>
      </c>
      <c r="Z597" s="69">
        <v>-9.4594594594594628E-2</v>
      </c>
      <c r="AA597" s="69">
        <v>-0.66666666666666674</v>
      </c>
      <c r="AB597" s="69">
        <v>-0.66666666666666663</v>
      </c>
      <c r="AC597" s="69">
        <v>0</v>
      </c>
      <c r="AD597" s="133"/>
      <c r="AE597" s="133"/>
      <c r="AF597" s="133"/>
    </row>
    <row r="598" spans="1:32" x14ac:dyDescent="0.25">
      <c r="A598" t="s">
        <v>195</v>
      </c>
      <c r="B598" t="s">
        <v>776</v>
      </c>
      <c r="C598" s="31">
        <v>2</v>
      </c>
      <c r="D598" s="31"/>
      <c r="E598" s="65">
        <v>2</v>
      </c>
      <c r="F598" s="31"/>
      <c r="G598" s="66">
        <v>5833.32</v>
      </c>
      <c r="H598" s="31"/>
      <c r="I598" s="65">
        <v>2167.7799999999997</v>
      </c>
      <c r="J598" s="65"/>
      <c r="K598" s="31">
        <v>100.57142857142857</v>
      </c>
      <c r="L598" s="31"/>
      <c r="M598" s="67">
        <v>50.285714285714285</v>
      </c>
      <c r="N598" s="67"/>
      <c r="O598" s="68">
        <v>2916.66</v>
      </c>
      <c r="P598" s="68"/>
      <c r="Q598" s="69">
        <v>0.37162027798920683</v>
      </c>
      <c r="R598" s="69"/>
      <c r="S598" s="31"/>
      <c r="T598" s="31"/>
      <c r="U598" s="69"/>
      <c r="V598" s="69"/>
      <c r="W598" s="69"/>
      <c r="X598" s="69"/>
      <c r="Y598" s="69">
        <v>-1.3604802092243462E-2</v>
      </c>
      <c r="Z598" s="69">
        <v>-1.400560224089642E-2</v>
      </c>
      <c r="AA598" s="69"/>
      <c r="AB598" s="69"/>
      <c r="AC598" s="69"/>
      <c r="AD598" s="133"/>
      <c r="AE598" s="133"/>
      <c r="AF598" s="133"/>
    </row>
    <row r="599" spans="1:32" x14ac:dyDescent="0.25">
      <c r="A599" t="s">
        <v>195</v>
      </c>
      <c r="B599" t="s">
        <v>789</v>
      </c>
      <c r="C599" s="31">
        <v>1</v>
      </c>
      <c r="D599" s="31"/>
      <c r="E599" s="65">
        <v>1</v>
      </c>
      <c r="F599" s="31"/>
      <c r="G599" s="66">
        <v>3749.99</v>
      </c>
      <c r="H599" s="31"/>
      <c r="I599" s="65">
        <v>1046.99</v>
      </c>
      <c r="J599" s="65"/>
      <c r="K599" s="31">
        <v>21.714285714285715</v>
      </c>
      <c r="L599" s="31"/>
      <c r="M599" s="67">
        <v>21.714285714285715</v>
      </c>
      <c r="N599" s="67"/>
      <c r="O599" s="68">
        <v>3749.99</v>
      </c>
      <c r="P599" s="68"/>
      <c r="Q599" s="69">
        <v>0.27919807786154099</v>
      </c>
      <c r="R599" s="69"/>
      <c r="S599" s="31"/>
      <c r="T599" s="31"/>
      <c r="U599" s="69"/>
      <c r="V599" s="69"/>
      <c r="W599" s="69"/>
      <c r="X599" s="69"/>
      <c r="Y599" s="69">
        <v>-3.4875829067403386E-2</v>
      </c>
      <c r="Z599" s="69">
        <v>-3.1847133757961665E-2</v>
      </c>
      <c r="AA599" s="69">
        <v>0</v>
      </c>
      <c r="AB599" s="69">
        <v>-0.25000050000100005</v>
      </c>
      <c r="AC599" s="69">
        <v>-0.25000050000100005</v>
      </c>
      <c r="AD599" s="133"/>
      <c r="AE599" s="133"/>
      <c r="AF599" s="133"/>
    </row>
    <row r="600" spans="1:32" x14ac:dyDescent="0.25">
      <c r="A600" t="s">
        <v>195</v>
      </c>
      <c r="B600" t="s">
        <v>781</v>
      </c>
      <c r="C600" s="31">
        <v>10</v>
      </c>
      <c r="D600" s="31"/>
      <c r="E600" s="65">
        <v>11</v>
      </c>
      <c r="F600" s="31"/>
      <c r="G600" s="66">
        <v>3208.26</v>
      </c>
      <c r="H600" s="31"/>
      <c r="I600" s="65">
        <v>1075.47</v>
      </c>
      <c r="J600" s="65"/>
      <c r="K600" s="31">
        <v>123.14285714285714</v>
      </c>
      <c r="L600" s="31"/>
      <c r="M600" s="67">
        <v>11.194805194805195</v>
      </c>
      <c r="N600" s="67"/>
      <c r="O600" s="68">
        <v>291.66000000000003</v>
      </c>
      <c r="P600" s="68"/>
      <c r="Q600" s="69">
        <v>0.33521909072207362</v>
      </c>
      <c r="R600" s="69"/>
      <c r="S600" s="31"/>
      <c r="T600" s="31"/>
      <c r="U600" s="69"/>
      <c r="V600" s="69"/>
      <c r="W600" s="69"/>
      <c r="X600" s="69"/>
      <c r="Y600" s="69">
        <v>-7.9059829059829112E-2</v>
      </c>
      <c r="Z600" s="69">
        <v>-7.9059829059829112E-2</v>
      </c>
      <c r="AA600" s="69">
        <v>0.83333333333333326</v>
      </c>
      <c r="AB600" s="69">
        <v>0.83333333333333348</v>
      </c>
      <c r="AC600" s="69">
        <v>0</v>
      </c>
      <c r="AD600" s="133"/>
      <c r="AE600" s="133"/>
      <c r="AF600" s="133"/>
    </row>
    <row r="601" spans="1:32" x14ac:dyDescent="0.25">
      <c r="A601" t="s">
        <v>195</v>
      </c>
      <c r="B601" t="s">
        <v>782</v>
      </c>
      <c r="C601" s="31">
        <v>1</v>
      </c>
      <c r="D601" s="31"/>
      <c r="E601" s="65">
        <v>1</v>
      </c>
      <c r="F601" s="31"/>
      <c r="G601" s="66">
        <v>833.33</v>
      </c>
      <c r="H601" s="31"/>
      <c r="I601" s="65">
        <v>187.58</v>
      </c>
      <c r="J601" s="65"/>
      <c r="K601" s="31">
        <v>36.571428571428569</v>
      </c>
      <c r="L601" s="31"/>
      <c r="M601" s="67">
        <v>36.571428571428569</v>
      </c>
      <c r="N601" s="67"/>
      <c r="O601" s="68">
        <v>833.33</v>
      </c>
      <c r="P601" s="68"/>
      <c r="Q601" s="69">
        <v>0.22509690038760155</v>
      </c>
      <c r="R601" s="69"/>
      <c r="S601" s="31"/>
      <c r="T601" s="31"/>
      <c r="U601" s="69"/>
      <c r="V601" s="69"/>
      <c r="W601" s="69"/>
      <c r="X601" s="69"/>
      <c r="Y601" s="69">
        <v>-7.8363914373088872E-2</v>
      </c>
      <c r="Z601" s="69">
        <v>-6.5693430656934448E-2</v>
      </c>
      <c r="AA601" s="69">
        <v>-0.5</v>
      </c>
      <c r="AB601" s="69">
        <v>-0.49999699996999969</v>
      </c>
      <c r="AC601" s="69">
        <v>6.0000600006215876E-6</v>
      </c>
      <c r="AD601" s="133"/>
      <c r="AE601" s="133"/>
      <c r="AF601" s="133"/>
    </row>
    <row r="602" spans="1:32" x14ac:dyDescent="0.25">
      <c r="A602" t="s">
        <v>195</v>
      </c>
      <c r="B602" t="s">
        <v>783</v>
      </c>
      <c r="C602" s="31"/>
      <c r="D602" s="31"/>
      <c r="E602" s="65"/>
      <c r="F602" s="31"/>
      <c r="G602" s="66"/>
      <c r="H602" s="31"/>
      <c r="I602" s="65"/>
      <c r="J602" s="65"/>
      <c r="K602" s="31">
        <v>2</v>
      </c>
      <c r="L602" s="31"/>
      <c r="M602" s="67"/>
      <c r="N602" s="67"/>
      <c r="O602" s="68"/>
      <c r="P602" s="68"/>
      <c r="Q602" s="69"/>
      <c r="R602" s="69"/>
      <c r="S602" s="31"/>
      <c r="T602" s="31"/>
      <c r="U602" s="69"/>
      <c r="V602" s="69"/>
      <c r="W602" s="69"/>
      <c r="X602" s="69"/>
      <c r="Y602" s="69">
        <v>0</v>
      </c>
      <c r="Z602" s="69">
        <v>0</v>
      </c>
      <c r="AA602" s="69"/>
      <c r="AB602" s="69"/>
      <c r="AC602" s="69"/>
      <c r="AD602" s="133"/>
      <c r="AE602" s="133"/>
      <c r="AF602" s="133"/>
    </row>
    <row r="603" spans="1:32" x14ac:dyDescent="0.25">
      <c r="A603" t="s">
        <v>195</v>
      </c>
      <c r="B603" t="s">
        <v>788</v>
      </c>
      <c r="C603" s="31"/>
      <c r="D603" s="31"/>
      <c r="E603" s="65"/>
      <c r="F603" s="31"/>
      <c r="G603" s="66"/>
      <c r="H603" s="31"/>
      <c r="I603" s="65"/>
      <c r="J603" s="65"/>
      <c r="K603" s="31">
        <v>1</v>
      </c>
      <c r="L603" s="31"/>
      <c r="M603" s="67"/>
      <c r="N603" s="67"/>
      <c r="O603" s="68"/>
      <c r="P603" s="68"/>
      <c r="Q603" s="69"/>
      <c r="R603" s="69"/>
      <c r="S603" s="31"/>
      <c r="T603" s="31"/>
      <c r="U603" s="69"/>
      <c r="V603" s="69"/>
      <c r="W603" s="69"/>
      <c r="X603" s="69"/>
      <c r="Y603" s="69">
        <v>0</v>
      </c>
      <c r="Z603" s="69">
        <v>0</v>
      </c>
      <c r="AA603" s="69"/>
      <c r="AB603" s="69"/>
      <c r="AC603" s="69"/>
      <c r="AD603" s="133"/>
      <c r="AE603" s="133"/>
      <c r="AF603" s="133"/>
    </row>
    <row r="604" spans="1:32" x14ac:dyDescent="0.25">
      <c r="A604" t="s">
        <v>195</v>
      </c>
      <c r="B604" t="s">
        <v>786</v>
      </c>
      <c r="C604" s="31"/>
      <c r="D604" s="31"/>
      <c r="E604" s="65"/>
      <c r="F604" s="31"/>
      <c r="G604" s="66"/>
      <c r="H604" s="31"/>
      <c r="I604" s="65"/>
      <c r="J604" s="65"/>
      <c r="K604" s="31">
        <v>1</v>
      </c>
      <c r="L604" s="31"/>
      <c r="M604" s="67"/>
      <c r="N604" s="67"/>
      <c r="O604" s="68"/>
      <c r="P604" s="68"/>
      <c r="Q604" s="69"/>
      <c r="R604" s="69"/>
      <c r="S604" s="31"/>
      <c r="T604" s="31"/>
      <c r="U604" s="69"/>
      <c r="V604" s="69"/>
      <c r="W604" s="69"/>
      <c r="X604" s="69"/>
      <c r="Y604" s="69">
        <v>0</v>
      </c>
      <c r="Z604" s="69">
        <v>0</v>
      </c>
      <c r="AA604" s="69"/>
      <c r="AB604" s="69"/>
      <c r="AC604" s="69"/>
      <c r="AD604" s="133"/>
      <c r="AE604" s="133"/>
      <c r="AF604" s="133"/>
    </row>
    <row r="605" spans="1:32" x14ac:dyDescent="0.25">
      <c r="A605" t="s">
        <v>195</v>
      </c>
      <c r="B605" t="s">
        <v>785</v>
      </c>
      <c r="C605" s="31"/>
      <c r="D605" s="31"/>
      <c r="E605" s="65"/>
      <c r="F605" s="31"/>
      <c r="G605" s="66"/>
      <c r="H605" s="31"/>
      <c r="I605" s="65"/>
      <c r="J605" s="65"/>
      <c r="K605" s="31">
        <v>1</v>
      </c>
      <c r="L605" s="31"/>
      <c r="M605" s="67"/>
      <c r="N605" s="67"/>
      <c r="O605" s="68"/>
      <c r="P605" s="68"/>
      <c r="Q605" s="69"/>
      <c r="R605" s="69"/>
      <c r="S605" s="31"/>
      <c r="T605" s="31"/>
      <c r="U605" s="69"/>
      <c r="V605" s="69"/>
      <c r="W605" s="69"/>
      <c r="X605" s="69"/>
      <c r="Y605" s="69">
        <v>0</v>
      </c>
      <c r="Z605" s="69">
        <v>0</v>
      </c>
      <c r="AA605" s="69"/>
      <c r="AB605" s="69"/>
      <c r="AC605" s="69"/>
      <c r="AD605" s="133"/>
      <c r="AE605" s="133"/>
      <c r="AF605" s="133"/>
    </row>
    <row r="606" spans="1:32" x14ac:dyDescent="0.25">
      <c r="A606" t="s">
        <v>195</v>
      </c>
      <c r="B606" t="s">
        <v>779</v>
      </c>
      <c r="C606" s="31"/>
      <c r="D606" s="31"/>
      <c r="E606" s="65"/>
      <c r="F606" s="31"/>
      <c r="G606" s="66"/>
      <c r="H606" s="31"/>
      <c r="I606" s="65"/>
      <c r="J606" s="65"/>
      <c r="K606" s="31">
        <v>46</v>
      </c>
      <c r="L606" s="31"/>
      <c r="M606" s="67"/>
      <c r="N606" s="67"/>
      <c r="O606" s="68"/>
      <c r="P606" s="68"/>
      <c r="Q606" s="69"/>
      <c r="R606" s="69"/>
      <c r="S606" s="31"/>
      <c r="T606" s="31"/>
      <c r="U606" s="69"/>
      <c r="V606" s="69"/>
      <c r="W606" s="69"/>
      <c r="X606" s="69"/>
      <c r="Y606" s="69">
        <v>-1.9218490697620383E-2</v>
      </c>
      <c r="Z606" s="69">
        <v>-1.8292682926829174E-2</v>
      </c>
      <c r="AA606" s="69"/>
      <c r="AB606" s="69"/>
      <c r="AC606" s="69"/>
      <c r="AD606" s="133"/>
      <c r="AE606" s="133"/>
      <c r="AF606" s="133"/>
    </row>
    <row r="607" spans="1:32" x14ac:dyDescent="0.25">
      <c r="A607" t="s">
        <v>195</v>
      </c>
      <c r="B607" t="s">
        <v>780</v>
      </c>
      <c r="C607" s="31"/>
      <c r="D607" s="31"/>
      <c r="E607" s="65"/>
      <c r="F607" s="31"/>
      <c r="G607" s="66"/>
      <c r="H607" s="31"/>
      <c r="I607" s="65"/>
      <c r="J607" s="65"/>
      <c r="K607" s="31">
        <v>8</v>
      </c>
      <c r="L607" s="31"/>
      <c r="M607" s="67"/>
      <c r="N607" s="67"/>
      <c r="O607" s="68"/>
      <c r="P607" s="68"/>
      <c r="Q607" s="69"/>
      <c r="R607" s="69"/>
      <c r="S607" s="31"/>
      <c r="T607" s="31"/>
      <c r="U607" s="69"/>
      <c r="V607" s="69"/>
      <c r="W607" s="69"/>
      <c r="X607" s="69"/>
      <c r="Y607" s="69">
        <v>0</v>
      </c>
      <c r="Z607" s="69">
        <v>0</v>
      </c>
      <c r="AA607" s="69"/>
      <c r="AB607" s="69"/>
      <c r="AC607" s="69"/>
      <c r="AD607" s="133"/>
      <c r="AE607" s="133"/>
      <c r="AF607" s="133"/>
    </row>
    <row r="608" spans="1:32" x14ac:dyDescent="0.25">
      <c r="A608" t="s">
        <v>195</v>
      </c>
      <c r="B608" t="s">
        <v>784</v>
      </c>
      <c r="C608" s="31"/>
      <c r="D608" s="31"/>
      <c r="E608" s="65"/>
      <c r="F608" s="31"/>
      <c r="G608" s="66"/>
      <c r="H608" s="31"/>
      <c r="I608" s="65"/>
      <c r="J608" s="65"/>
      <c r="K608" s="31">
        <v>53.428571428571431</v>
      </c>
      <c r="L608" s="31"/>
      <c r="M608" s="67"/>
      <c r="N608" s="67"/>
      <c r="O608" s="68"/>
      <c r="P608" s="68"/>
      <c r="Q608" s="69"/>
      <c r="R608" s="69"/>
      <c r="S608" s="31">
        <v>5</v>
      </c>
      <c r="T608" s="31"/>
      <c r="U608" s="69"/>
      <c r="V608" s="69"/>
      <c r="W608" s="69"/>
      <c r="X608" s="69"/>
      <c r="Y608" s="69">
        <v>2.0886396462433066E-2</v>
      </c>
      <c r="Z608" s="69">
        <v>2.1857923497267784E-2</v>
      </c>
      <c r="AA608" s="69"/>
      <c r="AB608" s="69"/>
      <c r="AC608" s="69"/>
      <c r="AD608" s="133"/>
      <c r="AE608" s="133"/>
      <c r="AF608" s="133"/>
    </row>
    <row r="609" spans="1:32" x14ac:dyDescent="0.25">
      <c r="A609" t="s">
        <v>195</v>
      </c>
      <c r="B609" t="s">
        <v>787</v>
      </c>
      <c r="C609" s="31"/>
      <c r="D609" s="31"/>
      <c r="E609" s="65"/>
      <c r="F609" s="31"/>
      <c r="G609" s="66"/>
      <c r="H609" s="31"/>
      <c r="I609" s="65"/>
      <c r="J609" s="65"/>
      <c r="K609" s="31">
        <v>42</v>
      </c>
      <c r="L609" s="31"/>
      <c r="M609" s="67"/>
      <c r="N609" s="67"/>
      <c r="O609" s="68"/>
      <c r="P609" s="68"/>
      <c r="Q609" s="69"/>
      <c r="R609" s="69"/>
      <c r="S609" s="31"/>
      <c r="T609" s="31"/>
      <c r="U609" s="69"/>
      <c r="V609" s="69"/>
      <c r="W609" s="69"/>
      <c r="X609" s="69"/>
      <c r="Y609" s="69">
        <v>2.9863715798886581E-2</v>
      </c>
      <c r="Z609" s="69">
        <v>2.7972027972028135E-2</v>
      </c>
      <c r="AA609" s="69"/>
      <c r="AB609" s="69"/>
      <c r="AC609" s="69"/>
      <c r="AD609" s="133"/>
      <c r="AE609" s="133"/>
      <c r="AF609" s="133"/>
    </row>
    <row r="610" spans="1:32" x14ac:dyDescent="0.25">
      <c r="A610" s="129" t="s">
        <v>824</v>
      </c>
      <c r="B610" s="129"/>
      <c r="C610" s="120">
        <v>575</v>
      </c>
      <c r="D610" s="120"/>
      <c r="E610" s="119">
        <v>743</v>
      </c>
      <c r="F610" s="120"/>
      <c r="G610" s="120">
        <v>1378180.7499999956</v>
      </c>
      <c r="H610" s="120"/>
      <c r="I610" s="119">
        <v>285864.80999999872</v>
      </c>
      <c r="J610" s="119"/>
      <c r="K610" s="120">
        <v>11797.285714285714</v>
      </c>
      <c r="L610" s="120">
        <v>7</v>
      </c>
      <c r="M610" s="131">
        <v>15.877908094597192</v>
      </c>
      <c r="N610" s="131"/>
      <c r="O610" s="130">
        <v>1854.8866083445432</v>
      </c>
      <c r="P610" s="130"/>
      <c r="Q610" s="132">
        <v>0.20742185667591106</v>
      </c>
      <c r="R610" s="132"/>
      <c r="S610" s="120">
        <v>7799.4285714285716</v>
      </c>
      <c r="T610" s="120">
        <v>24</v>
      </c>
      <c r="U610" s="132">
        <v>1535.8163265306123</v>
      </c>
      <c r="V610" s="132"/>
      <c r="W610" s="132"/>
      <c r="X610" s="132"/>
      <c r="Y610" s="132">
        <v>9.9810223470249149E-3</v>
      </c>
      <c r="Z610" s="132">
        <v>-3.2091327840223172E-2</v>
      </c>
      <c r="AA610" s="132">
        <v>5.6899004267425335E-2</v>
      </c>
      <c r="AB610" s="132">
        <v>-0.1563507393159943</v>
      </c>
      <c r="AC610" s="132">
        <v>-0.20176927286560442</v>
      </c>
      <c r="AD610" s="134"/>
      <c r="AE610" s="134"/>
      <c r="AF610" s="134"/>
    </row>
    <row r="611" spans="1:32" x14ac:dyDescent="0.25">
      <c r="A611" t="s">
        <v>99</v>
      </c>
      <c r="B611" t="s">
        <v>99</v>
      </c>
      <c r="C611" s="31">
        <v>395</v>
      </c>
      <c r="D611" s="31">
        <v>471</v>
      </c>
      <c r="E611" s="65">
        <v>514</v>
      </c>
      <c r="F611" s="31">
        <v>640</v>
      </c>
      <c r="G611" s="66">
        <v>248816.96000000101</v>
      </c>
      <c r="H611" s="31">
        <v>365945.96000000014</v>
      </c>
      <c r="I611" s="65">
        <v>118185.27999999956</v>
      </c>
      <c r="J611" s="65">
        <v>181413.02000000005</v>
      </c>
      <c r="K611" s="31">
        <v>6727.5714285714284</v>
      </c>
      <c r="L611" s="31">
        <v>51095.571428571428</v>
      </c>
      <c r="M611" s="67">
        <v>13.088660366870483</v>
      </c>
      <c r="N611" s="67">
        <v>80.032065457762045</v>
      </c>
      <c r="O611" s="68">
        <v>484.07968871595529</v>
      </c>
      <c r="P611" s="68">
        <v>571.79056250000019</v>
      </c>
      <c r="Q611" s="69">
        <v>0.47498884320425377</v>
      </c>
      <c r="R611" s="69">
        <v>0.49182139922905632</v>
      </c>
      <c r="S611" s="31">
        <v>45508.571428571428</v>
      </c>
      <c r="T611" s="31">
        <v>57864.428571428572</v>
      </c>
      <c r="U611" s="69">
        <v>-0.87238200682754163</v>
      </c>
      <c r="V611" s="69">
        <v>-0.20625000000000004</v>
      </c>
      <c r="W611" s="69">
        <v>-0.32814539064729442</v>
      </c>
      <c r="X611" s="69">
        <v>-0.34986735770941391</v>
      </c>
      <c r="Y611" s="69">
        <v>1.0094693793024407</v>
      </c>
      <c r="Z611" s="69">
        <v>0.97372170997485341</v>
      </c>
      <c r="AA611" s="69">
        <v>3.2833333333333332</v>
      </c>
      <c r="AB611" s="69">
        <v>5.1177738721984074</v>
      </c>
      <c r="AC611" s="69">
        <v>0.42827405576616506</v>
      </c>
      <c r="AD611" s="133">
        <v>-0.78458922842208501</v>
      </c>
      <c r="AE611" s="133">
        <v>-0.8031997489336582</v>
      </c>
      <c r="AF611" s="133">
        <v>-0.80219470855279917</v>
      </c>
    </row>
    <row r="612" spans="1:32" x14ac:dyDescent="0.25">
      <c r="A612" t="s">
        <v>99</v>
      </c>
      <c r="B612" t="s">
        <v>703</v>
      </c>
      <c r="C612" s="31">
        <v>205</v>
      </c>
      <c r="D612" s="31">
        <v>171</v>
      </c>
      <c r="E612" s="65">
        <v>244</v>
      </c>
      <c r="F612" s="31">
        <v>208</v>
      </c>
      <c r="G612" s="66">
        <v>213163.48000000007</v>
      </c>
      <c r="H612" s="31">
        <v>258697.21000000005</v>
      </c>
      <c r="I612" s="65">
        <v>78752.990000000049</v>
      </c>
      <c r="J612" s="65">
        <v>143291.28</v>
      </c>
      <c r="K612" s="31">
        <v>3147.2857142857142</v>
      </c>
      <c r="L612" s="31">
        <v>13262.142857142857</v>
      </c>
      <c r="M612" s="67">
        <v>12.898711943793911</v>
      </c>
      <c r="N612" s="67">
        <v>64.429254955570741</v>
      </c>
      <c r="O612" s="68">
        <v>873.62081967213146</v>
      </c>
      <c r="P612" s="68">
        <v>1243.7365865384618</v>
      </c>
      <c r="Q612" s="69">
        <v>0.36944879113439144</v>
      </c>
      <c r="R612" s="69">
        <v>0.55128045466438758</v>
      </c>
      <c r="S612" s="31">
        <v>8166.1428571428569</v>
      </c>
      <c r="T612" s="31">
        <v>39412.285714285717</v>
      </c>
      <c r="U612" s="69">
        <v>-0.82995637421231216</v>
      </c>
      <c r="V612" s="69">
        <v>9.6153846153846256E-2</v>
      </c>
      <c r="W612" s="69">
        <v>-0.22642107350133378</v>
      </c>
      <c r="X612" s="69">
        <v>-0.48394953906415372</v>
      </c>
      <c r="Y612" s="69">
        <v>0.11119306081649749</v>
      </c>
      <c r="Z612" s="69">
        <v>0.11957516007724345</v>
      </c>
      <c r="AA612" s="69">
        <v>2.436619718309859</v>
      </c>
      <c r="AB612" s="69">
        <v>2.8886367774096455</v>
      </c>
      <c r="AC612" s="69">
        <v>0.13152955408231493</v>
      </c>
      <c r="AD612" s="133">
        <v>-0.65914242189087946</v>
      </c>
      <c r="AE612" s="133">
        <v>-0.69480168043288471</v>
      </c>
      <c r="AF612" s="133">
        <v>-0.75120609725331733</v>
      </c>
    </row>
    <row r="613" spans="1:32" x14ac:dyDescent="0.25">
      <c r="A613" t="s">
        <v>99</v>
      </c>
      <c r="B613" t="s">
        <v>704</v>
      </c>
      <c r="C613" s="31">
        <v>30</v>
      </c>
      <c r="D613" s="31">
        <v>102</v>
      </c>
      <c r="E613" s="65">
        <v>38</v>
      </c>
      <c r="F613" s="31">
        <v>115</v>
      </c>
      <c r="G613" s="66">
        <v>5039.2199999999975</v>
      </c>
      <c r="H613" s="31">
        <v>29744.610000000037</v>
      </c>
      <c r="I613" s="65">
        <v>379.7399999999999</v>
      </c>
      <c r="J613" s="65">
        <v>15792.790000000039</v>
      </c>
      <c r="K613" s="31">
        <v>442.71428571428572</v>
      </c>
      <c r="L613" s="31">
        <v>6425.7142857142853</v>
      </c>
      <c r="M613" s="67">
        <v>11.650375939849624</v>
      </c>
      <c r="N613" s="67">
        <v>56.535108958837768</v>
      </c>
      <c r="O613" s="68">
        <v>132.61105263157887</v>
      </c>
      <c r="P613" s="68">
        <v>258.64878260869597</v>
      </c>
      <c r="Q613" s="69">
        <v>7.5356900472692223E-2</v>
      </c>
      <c r="R613" s="69">
        <v>0.51707909454131062</v>
      </c>
      <c r="S613" s="31">
        <v>112</v>
      </c>
      <c r="T613" s="31">
        <v>4730.4285714285716</v>
      </c>
      <c r="U613" s="69">
        <v>-0.93252556691863053</v>
      </c>
      <c r="V613" s="69">
        <v>-0.66956521739130437</v>
      </c>
      <c r="W613" s="69">
        <v>-0.83058375954500696</v>
      </c>
      <c r="X613" s="69">
        <v>-0.97530803187964976</v>
      </c>
      <c r="Y613" s="69">
        <v>-8.5573190120833198E-2</v>
      </c>
      <c r="Z613" s="69">
        <v>-8.6918090748379417E-2</v>
      </c>
      <c r="AA613" s="69">
        <v>0.58333333333333326</v>
      </c>
      <c r="AB613" s="69">
        <v>0.60487780021274218</v>
      </c>
      <c r="AC613" s="69">
        <v>1.3607031713310569E-2</v>
      </c>
      <c r="AD613" s="133"/>
      <c r="AE613" s="133"/>
      <c r="AF613" s="133"/>
    </row>
    <row r="614" spans="1:32" x14ac:dyDescent="0.25">
      <c r="A614" t="s">
        <v>99</v>
      </c>
      <c r="B614" t="s">
        <v>706</v>
      </c>
      <c r="C614" s="31">
        <v>8</v>
      </c>
      <c r="D614" s="31">
        <v>11</v>
      </c>
      <c r="E614" s="65">
        <v>8</v>
      </c>
      <c r="F614" s="31">
        <v>22</v>
      </c>
      <c r="G614" s="66">
        <v>2454.4900000000002</v>
      </c>
      <c r="H614" s="31">
        <v>3277.7400000000002</v>
      </c>
      <c r="I614" s="65">
        <v>1525.1799999999998</v>
      </c>
      <c r="J614" s="65">
        <v>1077.6199999999999</v>
      </c>
      <c r="K614" s="31">
        <v>146.28571428571428</v>
      </c>
      <c r="L614" s="31">
        <v>268.57142857142856</v>
      </c>
      <c r="M614" s="67">
        <v>18.285714285714285</v>
      </c>
      <c r="N614" s="67">
        <v>12.207792207792208</v>
      </c>
      <c r="O614" s="68">
        <v>306.81125000000003</v>
      </c>
      <c r="P614" s="68">
        <v>148.98818181818183</v>
      </c>
      <c r="Q614" s="69">
        <v>0.62138366829769109</v>
      </c>
      <c r="R614" s="69">
        <v>0.32876921293330152</v>
      </c>
      <c r="S614" s="31">
        <v>622</v>
      </c>
      <c r="T614" s="31">
        <v>645</v>
      </c>
      <c r="U614" s="69">
        <v>-0.45851063829787231</v>
      </c>
      <c r="V614" s="69">
        <v>-0.63636363636363635</v>
      </c>
      <c r="W614" s="69">
        <v>-0.25116391171966046</v>
      </c>
      <c r="X614" s="69">
        <v>0.41532265548152458</v>
      </c>
      <c r="Y614" s="69">
        <v>-0.52077304760246879</v>
      </c>
      <c r="Z614" s="69">
        <v>-6.7395264116575704E-2</v>
      </c>
      <c r="AA614" s="69">
        <v>0.60000000000000009</v>
      </c>
      <c r="AB614" s="69">
        <v>0.22728795507842792</v>
      </c>
      <c r="AC614" s="69">
        <v>-0.23294502807598261</v>
      </c>
      <c r="AD614" s="133"/>
      <c r="AE614" s="133"/>
      <c r="AF614" s="133"/>
    </row>
    <row r="615" spans="1:32" x14ac:dyDescent="0.25">
      <c r="A615" t="s">
        <v>99</v>
      </c>
      <c r="B615" t="s">
        <v>705</v>
      </c>
      <c r="C615" s="31">
        <v>11</v>
      </c>
      <c r="D615" s="31">
        <v>57</v>
      </c>
      <c r="E615" s="65">
        <v>12</v>
      </c>
      <c r="F615" s="31">
        <v>68</v>
      </c>
      <c r="G615" s="66">
        <v>1636.2099999999998</v>
      </c>
      <c r="H615" s="31">
        <v>25750.500000000011</v>
      </c>
      <c r="I615" s="65">
        <v>-282.79000000000002</v>
      </c>
      <c r="J615" s="65">
        <v>9152.3000000000138</v>
      </c>
      <c r="K615" s="31">
        <v>249.42857142857142</v>
      </c>
      <c r="L615" s="31">
        <v>2083.4285714285716</v>
      </c>
      <c r="M615" s="67">
        <v>20.785714285714285</v>
      </c>
      <c r="N615" s="67">
        <v>31.745341614906835</v>
      </c>
      <c r="O615" s="68">
        <v>136.35083333333333</v>
      </c>
      <c r="P615" s="68">
        <v>378.68382352941194</v>
      </c>
      <c r="Q615" s="69">
        <v>-0.17283233814730387</v>
      </c>
      <c r="R615" s="69">
        <v>0.34506745410248113</v>
      </c>
      <c r="S615" s="31">
        <v>69.714285714285708</v>
      </c>
      <c r="T615" s="31">
        <v>79.428571428571431</v>
      </c>
      <c r="U615" s="69">
        <v>-0.88041689522764677</v>
      </c>
      <c r="V615" s="69">
        <v>-0.82352941176470584</v>
      </c>
      <c r="W615" s="69">
        <v>-0.93645909788159454</v>
      </c>
      <c r="X615" s="69">
        <v>-1.0320711578460302</v>
      </c>
      <c r="Y615" s="69">
        <v>-6.4046653260656505E-2</v>
      </c>
      <c r="Z615" s="69">
        <v>-6.3304721030042921E-2</v>
      </c>
      <c r="AA615" s="69">
        <v>3</v>
      </c>
      <c r="AB615" s="69">
        <v>3.0000244468891335</v>
      </c>
      <c r="AC615" s="69">
        <v>6.1117222833750873E-6</v>
      </c>
      <c r="AD615" s="133"/>
      <c r="AE615" s="133"/>
      <c r="AF615" s="133"/>
    </row>
    <row r="616" spans="1:32" x14ac:dyDescent="0.25">
      <c r="A616" s="129" t="s">
        <v>826</v>
      </c>
      <c r="B616" s="129"/>
      <c r="C616" s="120">
        <v>636</v>
      </c>
      <c r="D616" s="120">
        <v>792</v>
      </c>
      <c r="E616" s="119">
        <v>816</v>
      </c>
      <c r="F616" s="120">
        <v>1053</v>
      </c>
      <c r="G616" s="120">
        <v>471110.35999999969</v>
      </c>
      <c r="H616" s="120">
        <v>683416.01999999839</v>
      </c>
      <c r="I616" s="119">
        <v>198560.40000000014</v>
      </c>
      <c r="J616" s="119">
        <v>350727.00999999873</v>
      </c>
      <c r="K616" s="120">
        <v>10713.285714285714</v>
      </c>
      <c r="L616" s="120">
        <v>73135.428571428565</v>
      </c>
      <c r="M616" s="131">
        <v>13.129026610644257</v>
      </c>
      <c r="N616" s="131">
        <v>69.827604726100972</v>
      </c>
      <c r="O616" s="130">
        <v>577.34112745098003</v>
      </c>
      <c r="P616" s="130">
        <v>649.01806267806114</v>
      </c>
      <c r="Q616" s="132">
        <v>0.42147321914126507</v>
      </c>
      <c r="R616" s="132">
        <v>0.50894372504098562</v>
      </c>
      <c r="S616" s="120">
        <v>54478.428571428572</v>
      </c>
      <c r="T616" s="120">
        <v>102731.57142857143</v>
      </c>
      <c r="U616" s="132">
        <v>-0.86868197551313808</v>
      </c>
      <c r="V616" s="132">
        <v>-0.24596391263057926</v>
      </c>
      <c r="W616" s="132">
        <v>-0.33405846997850419</v>
      </c>
      <c r="X616" s="132">
        <v>-0.44743972423277578</v>
      </c>
      <c r="Y616" s="132">
        <v>0.42535188137084678</v>
      </c>
      <c r="Z616" s="132">
        <v>0.50304645849200313</v>
      </c>
      <c r="AA616" s="132">
        <v>2.6591928251121075</v>
      </c>
      <c r="AB616" s="132">
        <v>3.6627462585525485</v>
      </c>
      <c r="AC616" s="132">
        <v>0.2742554113446305</v>
      </c>
      <c r="AD616" s="134">
        <v>-0.73694223654482904</v>
      </c>
      <c r="AE616" s="134">
        <v>-0.75997491896487457</v>
      </c>
      <c r="AF616" s="134">
        <v>-0.78276189618399261</v>
      </c>
    </row>
    <row r="617" spans="1:32" x14ac:dyDescent="0.25">
      <c r="A617" t="s">
        <v>67</v>
      </c>
      <c r="B617" t="s">
        <v>707</v>
      </c>
      <c r="C617" s="31">
        <v>4</v>
      </c>
      <c r="D617" s="31">
        <v>5</v>
      </c>
      <c r="E617" s="65">
        <v>4</v>
      </c>
      <c r="F617" s="31">
        <v>5</v>
      </c>
      <c r="G617" s="66">
        <v>1843.26</v>
      </c>
      <c r="H617" s="31">
        <v>3166.6100000000006</v>
      </c>
      <c r="I617" s="65">
        <v>1044.3400000000001</v>
      </c>
      <c r="J617" s="65">
        <v>1436.1300000000006</v>
      </c>
      <c r="K617" s="31">
        <v>65.857142857142861</v>
      </c>
      <c r="L617" s="31">
        <v>63.714285714285715</v>
      </c>
      <c r="M617" s="67">
        <v>16.464285714285715</v>
      </c>
      <c r="N617" s="67">
        <v>12.77142857142857</v>
      </c>
      <c r="O617" s="68">
        <v>460.815</v>
      </c>
      <c r="P617" s="68">
        <v>633.32200000000012</v>
      </c>
      <c r="Q617" s="69">
        <v>0.5665722686978506</v>
      </c>
      <c r="R617" s="69">
        <v>0.45352285251420299</v>
      </c>
      <c r="S617" s="31">
        <v>4</v>
      </c>
      <c r="T617" s="31"/>
      <c r="U617" s="69">
        <v>-4.4843049327354279E-2</v>
      </c>
      <c r="V617" s="69">
        <v>-0.19999999999999996</v>
      </c>
      <c r="W617" s="69">
        <v>-0.41790747834434938</v>
      </c>
      <c r="X617" s="69">
        <v>-0.27280956459373473</v>
      </c>
      <c r="Y617" s="69">
        <v>-7.9093392865024592E-2</v>
      </c>
      <c r="Z617" s="69">
        <v>-0.13992537313432829</v>
      </c>
      <c r="AA617" s="69">
        <v>-0.66666666666666674</v>
      </c>
      <c r="AB617" s="69">
        <v>-0.58976310658868147</v>
      </c>
      <c r="AC617" s="69">
        <v>0.23071068023395558</v>
      </c>
      <c r="AD617" s="133"/>
      <c r="AE617" s="133"/>
      <c r="AF617" s="133"/>
    </row>
    <row r="618" spans="1:32" x14ac:dyDescent="0.25">
      <c r="A618" t="s">
        <v>67</v>
      </c>
      <c r="B618" t="s">
        <v>715</v>
      </c>
      <c r="C618" s="31">
        <v>1</v>
      </c>
      <c r="D618" s="31"/>
      <c r="E618" s="65">
        <v>1</v>
      </c>
      <c r="F618" s="31"/>
      <c r="G618" s="66">
        <v>749.17</v>
      </c>
      <c r="H618" s="31"/>
      <c r="I618" s="65">
        <v>649.16999999999996</v>
      </c>
      <c r="J618" s="65"/>
      <c r="K618" s="31">
        <v>10</v>
      </c>
      <c r="L618" s="31">
        <v>-1.2857142857142858</v>
      </c>
      <c r="M618" s="67">
        <v>10</v>
      </c>
      <c r="N618" s="67"/>
      <c r="O618" s="68">
        <v>749.17</v>
      </c>
      <c r="P618" s="68"/>
      <c r="Q618" s="69">
        <v>0.86651894763538317</v>
      </c>
      <c r="R618" s="69"/>
      <c r="S618" s="31">
        <v>6.5714285714285712</v>
      </c>
      <c r="T618" s="31"/>
      <c r="U618" s="69">
        <v>-8.7777777777777768</v>
      </c>
      <c r="V618" s="69"/>
      <c r="W618" s="69"/>
      <c r="X618" s="69"/>
      <c r="Y618" s="69">
        <v>0.10388497381715478</v>
      </c>
      <c r="Z618" s="69">
        <v>6.0606060606060552E-2</v>
      </c>
      <c r="AA618" s="69"/>
      <c r="AB618" s="69"/>
      <c r="AC618" s="69"/>
      <c r="AD618" s="133"/>
      <c r="AE618" s="133"/>
      <c r="AF618" s="133"/>
    </row>
    <row r="619" spans="1:32" x14ac:dyDescent="0.25">
      <c r="A619" t="s">
        <v>67</v>
      </c>
      <c r="B619" t="s">
        <v>708</v>
      </c>
      <c r="C619" s="31">
        <v>3</v>
      </c>
      <c r="D619" s="31">
        <v>1</v>
      </c>
      <c r="E619" s="65">
        <v>5</v>
      </c>
      <c r="F619" s="31">
        <v>1</v>
      </c>
      <c r="G619" s="66">
        <v>366.58</v>
      </c>
      <c r="H619" s="31">
        <v>66.66</v>
      </c>
      <c r="I619" s="65">
        <v>56.959999999999994</v>
      </c>
      <c r="J619" s="65">
        <v>42.059999999999995</v>
      </c>
      <c r="K619" s="31">
        <v>28.571428571428573</v>
      </c>
      <c r="L619" s="31">
        <v>12</v>
      </c>
      <c r="M619" s="67">
        <v>5.7142857142857144</v>
      </c>
      <c r="N619" s="67">
        <v>11.714285714285714</v>
      </c>
      <c r="O619" s="68">
        <v>73.316000000000003</v>
      </c>
      <c r="P619" s="68">
        <v>66.66</v>
      </c>
      <c r="Q619" s="69">
        <v>0.1553821812428392</v>
      </c>
      <c r="R619" s="69">
        <v>0.63096309630963088</v>
      </c>
      <c r="S619" s="31">
        <v>-25</v>
      </c>
      <c r="T619" s="31">
        <v>-25</v>
      </c>
      <c r="U619" s="69">
        <v>1.3928571428571428</v>
      </c>
      <c r="V619" s="69">
        <v>4</v>
      </c>
      <c r="W619" s="69">
        <v>4.4992499249924993</v>
      </c>
      <c r="X619" s="69">
        <v>0.35425582501188746</v>
      </c>
      <c r="Y619" s="69">
        <v>-0.11634869569100426</v>
      </c>
      <c r="Z619" s="69">
        <v>-0.13419913419913421</v>
      </c>
      <c r="AA619" s="69">
        <v>0.66666666666666674</v>
      </c>
      <c r="AB619" s="69">
        <v>0.57141632373113849</v>
      </c>
      <c r="AC619" s="69">
        <v>-5.7150205761316908E-2</v>
      </c>
      <c r="AD619" s="133"/>
      <c r="AE619" s="133"/>
      <c r="AF619" s="133"/>
    </row>
    <row r="620" spans="1:32" x14ac:dyDescent="0.25">
      <c r="A620" t="s">
        <v>67</v>
      </c>
      <c r="B620" t="s">
        <v>709</v>
      </c>
      <c r="C620" s="31">
        <v>2</v>
      </c>
      <c r="D620" s="31"/>
      <c r="E620" s="65">
        <v>3</v>
      </c>
      <c r="F620" s="31"/>
      <c r="G620" s="66">
        <v>358.29999999999995</v>
      </c>
      <c r="H620" s="31"/>
      <c r="I620" s="65">
        <v>178.35999999999999</v>
      </c>
      <c r="J620" s="65"/>
      <c r="K620" s="31">
        <v>1596.2857142857142</v>
      </c>
      <c r="L620" s="31">
        <v>1596.5714285714287</v>
      </c>
      <c r="M620" s="67">
        <v>532.09523809523807</v>
      </c>
      <c r="N620" s="67"/>
      <c r="O620" s="68">
        <v>119.43333333333332</v>
      </c>
      <c r="P620" s="68"/>
      <c r="Q620" s="69">
        <v>0.49779514373430089</v>
      </c>
      <c r="R620" s="69"/>
      <c r="S620" s="31">
        <v>1.8571428571428572</v>
      </c>
      <c r="T620" s="31">
        <v>61</v>
      </c>
      <c r="U620" s="69">
        <v>-2.5143163922691558E-2</v>
      </c>
      <c r="V620" s="69"/>
      <c r="W620" s="69"/>
      <c r="X620" s="69"/>
      <c r="Y620" s="69">
        <v>-2.6101730848023474E-2</v>
      </c>
      <c r="Z620" s="69">
        <v>-2.3678462210572349E-2</v>
      </c>
      <c r="AA620" s="69">
        <v>-0.5714285714285714</v>
      </c>
      <c r="AB620" s="69">
        <v>-0.56123486119445021</v>
      </c>
      <c r="AC620" s="69">
        <v>2.3785323879615961E-2</v>
      </c>
      <c r="AD620" s="133"/>
      <c r="AE620" s="133"/>
      <c r="AF620" s="133"/>
    </row>
    <row r="621" spans="1:32" x14ac:dyDescent="0.25">
      <c r="A621" t="s">
        <v>67</v>
      </c>
      <c r="B621" t="s">
        <v>721</v>
      </c>
      <c r="C621" s="31">
        <v>1</v>
      </c>
      <c r="D621" s="31"/>
      <c r="E621" s="65">
        <v>1</v>
      </c>
      <c r="F621" s="31"/>
      <c r="G621" s="66">
        <v>149.99</v>
      </c>
      <c r="H621" s="31"/>
      <c r="I621" s="65">
        <v>49.99</v>
      </c>
      <c r="J621" s="65"/>
      <c r="K621" s="31">
        <v>19.571428571428573</v>
      </c>
      <c r="L621" s="31">
        <v>14.142857142857142</v>
      </c>
      <c r="M621" s="67">
        <v>19.571428571428573</v>
      </c>
      <c r="N621" s="67"/>
      <c r="O621" s="68">
        <v>149.99</v>
      </c>
      <c r="P621" s="68"/>
      <c r="Q621" s="69">
        <v>0.33328888592572836</v>
      </c>
      <c r="R621" s="69"/>
      <c r="S621" s="31"/>
      <c r="T621" s="31"/>
      <c r="U621" s="69">
        <v>0.3737373737373737</v>
      </c>
      <c r="V621" s="69"/>
      <c r="W621" s="69"/>
      <c r="X621" s="69"/>
      <c r="Y621" s="69">
        <v>-2.2926204560603347E-2</v>
      </c>
      <c r="Z621" s="69">
        <v>-0.1217948717948717</v>
      </c>
      <c r="AA621" s="69"/>
      <c r="AB621" s="69"/>
      <c r="AC621" s="69"/>
      <c r="AD621" s="133"/>
      <c r="AE621" s="133"/>
      <c r="AF621" s="133"/>
    </row>
    <row r="622" spans="1:32" x14ac:dyDescent="0.25">
      <c r="A622" t="s">
        <v>67</v>
      </c>
      <c r="B622" t="s">
        <v>710</v>
      </c>
      <c r="C622" s="31">
        <v>1</v>
      </c>
      <c r="D622" s="31"/>
      <c r="E622" s="65">
        <v>1</v>
      </c>
      <c r="F622" s="31"/>
      <c r="G622" s="66">
        <v>137.5</v>
      </c>
      <c r="H622" s="31"/>
      <c r="I622" s="65">
        <v>82.5</v>
      </c>
      <c r="J622" s="65"/>
      <c r="K622" s="31">
        <v>22</v>
      </c>
      <c r="L622" s="31">
        <v>-2.2857142857142856</v>
      </c>
      <c r="M622" s="67">
        <v>22</v>
      </c>
      <c r="N622" s="67"/>
      <c r="O622" s="68">
        <v>137.5</v>
      </c>
      <c r="P622" s="68"/>
      <c r="Q622" s="69">
        <v>0.6</v>
      </c>
      <c r="R622" s="69"/>
      <c r="S622" s="31">
        <v>2</v>
      </c>
      <c r="T622" s="31"/>
      <c r="U622" s="69">
        <v>-10.125</v>
      </c>
      <c r="V622" s="69"/>
      <c r="W622" s="69"/>
      <c r="X622" s="69"/>
      <c r="Y622" s="69">
        <v>-1.4372537479727998E-2</v>
      </c>
      <c r="Z622" s="69">
        <v>-9.9415204678362512E-2</v>
      </c>
      <c r="AA622" s="69">
        <v>-0.5</v>
      </c>
      <c r="AB622" s="69">
        <v>-0.89583254418594083</v>
      </c>
      <c r="AC622" s="69">
        <v>-0.79166508837188165</v>
      </c>
      <c r="AD622" s="133"/>
      <c r="AE622" s="133"/>
      <c r="AF622" s="133"/>
    </row>
    <row r="623" spans="1:32" x14ac:dyDescent="0.25">
      <c r="A623" t="s">
        <v>67</v>
      </c>
      <c r="B623" t="s">
        <v>719</v>
      </c>
      <c r="C623" s="31"/>
      <c r="D623" s="31"/>
      <c r="E623" s="65"/>
      <c r="F623" s="31"/>
      <c r="G623" s="66"/>
      <c r="H623" s="31"/>
      <c r="I623" s="65"/>
      <c r="J623" s="65"/>
      <c r="K623" s="31">
        <v>3</v>
      </c>
      <c r="L623" s="31">
        <v>-3.1428571428571428</v>
      </c>
      <c r="M623" s="67"/>
      <c r="N623" s="67"/>
      <c r="O623" s="68"/>
      <c r="P623" s="68"/>
      <c r="Q623" s="69"/>
      <c r="R623" s="69"/>
      <c r="S623" s="31">
        <v>4</v>
      </c>
      <c r="T623" s="31"/>
      <c r="U623" s="69">
        <v>-1.9545454545454546</v>
      </c>
      <c r="V623" s="69"/>
      <c r="W623" s="69"/>
      <c r="X623" s="69"/>
      <c r="Y623" s="69">
        <v>-0.40004044345427503</v>
      </c>
      <c r="Z623" s="69">
        <v>-0.75</v>
      </c>
      <c r="AA623" s="69"/>
      <c r="AB623" s="69"/>
      <c r="AC623" s="69"/>
      <c r="AD623" s="133"/>
      <c r="AE623" s="133"/>
      <c r="AF623" s="133"/>
    </row>
    <row r="624" spans="1:32" x14ac:dyDescent="0.25">
      <c r="A624" t="s">
        <v>67</v>
      </c>
      <c r="B624" t="s">
        <v>792</v>
      </c>
      <c r="C624" s="31"/>
      <c r="D624" s="31"/>
      <c r="E624" s="65"/>
      <c r="F624" s="31"/>
      <c r="G624" s="66"/>
      <c r="H624" s="31"/>
      <c r="I624" s="65"/>
      <c r="J624" s="65"/>
      <c r="K624" s="31">
        <v>-0.42857142857142855</v>
      </c>
      <c r="L624" s="31"/>
      <c r="M624" s="67"/>
      <c r="N624" s="67"/>
      <c r="O624" s="68"/>
      <c r="P624" s="68"/>
      <c r="Q624" s="69"/>
      <c r="R624" s="69"/>
      <c r="S624" s="31"/>
      <c r="T624" s="31"/>
      <c r="U624" s="69"/>
      <c r="V624" s="69"/>
      <c r="W624" s="69"/>
      <c r="X624" s="69"/>
      <c r="Y624" s="69">
        <v>-2.083333333333337E-2</v>
      </c>
      <c r="Z624" s="69">
        <v>-2.5</v>
      </c>
      <c r="AA624" s="69"/>
      <c r="AB624" s="69"/>
      <c r="AC624" s="69"/>
      <c r="AD624" s="133"/>
      <c r="AE624" s="133"/>
      <c r="AF624" s="133"/>
    </row>
    <row r="625" spans="1:32" x14ac:dyDescent="0.25">
      <c r="A625" t="s">
        <v>67</v>
      </c>
      <c r="B625" t="s">
        <v>717</v>
      </c>
      <c r="C625" s="31"/>
      <c r="D625" s="31"/>
      <c r="E625" s="65"/>
      <c r="F625" s="31"/>
      <c r="G625" s="66"/>
      <c r="H625" s="31"/>
      <c r="I625" s="65"/>
      <c r="J625" s="65"/>
      <c r="K625" s="31">
        <v>6.7142857142857144</v>
      </c>
      <c r="L625" s="31">
        <v>-2.4285714285714284</v>
      </c>
      <c r="M625" s="67"/>
      <c r="N625" s="67"/>
      <c r="O625" s="68"/>
      <c r="P625" s="68"/>
      <c r="Q625" s="69"/>
      <c r="R625" s="69"/>
      <c r="S625" s="31"/>
      <c r="T625" s="31"/>
      <c r="U625" s="69">
        <v>-3.7647058823529416</v>
      </c>
      <c r="V625" s="69"/>
      <c r="W625" s="69"/>
      <c r="X625" s="69"/>
      <c r="Y625" s="69">
        <v>-1.1482456578209788E-2</v>
      </c>
      <c r="Z625" s="69">
        <v>-4.0816326530612179E-2</v>
      </c>
      <c r="AA625" s="69"/>
      <c r="AB625" s="69"/>
      <c r="AC625" s="69"/>
      <c r="AD625" s="133"/>
      <c r="AE625" s="133"/>
      <c r="AF625" s="133"/>
    </row>
    <row r="626" spans="1:32" x14ac:dyDescent="0.25">
      <c r="A626" t="s">
        <v>67</v>
      </c>
      <c r="B626" t="s">
        <v>713</v>
      </c>
      <c r="C626" s="31"/>
      <c r="D626" s="31"/>
      <c r="E626" s="65"/>
      <c r="F626" s="31"/>
      <c r="G626" s="66"/>
      <c r="H626" s="31"/>
      <c r="I626" s="65"/>
      <c r="J626" s="65"/>
      <c r="K626" s="31">
        <v>0</v>
      </c>
      <c r="L626" s="31">
        <v>-1</v>
      </c>
      <c r="M626" s="67"/>
      <c r="N626" s="67"/>
      <c r="O626" s="68"/>
      <c r="P626" s="68"/>
      <c r="Q626" s="69"/>
      <c r="R626" s="69"/>
      <c r="S626" s="31"/>
      <c r="T626" s="31"/>
      <c r="U626" s="69">
        <v>0</v>
      </c>
      <c r="V626" s="69"/>
      <c r="W626" s="69"/>
      <c r="X626" s="69"/>
      <c r="Y626" s="69">
        <v>-1.1102230246251565E-16</v>
      </c>
      <c r="Z626" s="69"/>
      <c r="AA626" s="69"/>
      <c r="AB626" s="69"/>
      <c r="AC626" s="69"/>
      <c r="AD626" s="133"/>
      <c r="AE626" s="133"/>
      <c r="AF626" s="133"/>
    </row>
    <row r="627" spans="1:32" x14ac:dyDescent="0.25">
      <c r="A627" t="s">
        <v>67</v>
      </c>
      <c r="B627" t="s">
        <v>720</v>
      </c>
      <c r="C627" s="31"/>
      <c r="D627" s="31"/>
      <c r="E627" s="65"/>
      <c r="F627" s="31"/>
      <c r="G627" s="66"/>
      <c r="H627" s="31"/>
      <c r="I627" s="65"/>
      <c r="J627" s="65"/>
      <c r="K627" s="31">
        <v>-9</v>
      </c>
      <c r="L627" s="31">
        <v>-1.4285714285714286</v>
      </c>
      <c r="M627" s="67"/>
      <c r="N627" s="67"/>
      <c r="O627" s="68"/>
      <c r="P627" s="68"/>
      <c r="Q627" s="69"/>
      <c r="R627" s="69"/>
      <c r="S627" s="31"/>
      <c r="T627" s="31"/>
      <c r="U627" s="69">
        <v>6</v>
      </c>
      <c r="V627" s="69"/>
      <c r="W627" s="69"/>
      <c r="X627" s="69"/>
      <c r="Y627" s="69">
        <v>3.4293057402463578E-2</v>
      </c>
      <c r="Z627" s="69">
        <v>-5.9701492537313383E-2</v>
      </c>
      <c r="AA627" s="69"/>
      <c r="AB627" s="69"/>
      <c r="AC627" s="69"/>
      <c r="AD627" s="133"/>
      <c r="AE627" s="133"/>
      <c r="AF627" s="133"/>
    </row>
    <row r="628" spans="1:32" x14ac:dyDescent="0.25">
      <c r="A628" t="s">
        <v>67</v>
      </c>
      <c r="B628" t="s">
        <v>790</v>
      </c>
      <c r="C628" s="31"/>
      <c r="D628" s="31"/>
      <c r="E628" s="65"/>
      <c r="F628" s="31"/>
      <c r="G628" s="66"/>
      <c r="H628" s="31"/>
      <c r="I628" s="65"/>
      <c r="J628" s="65"/>
      <c r="K628" s="31">
        <v>-1</v>
      </c>
      <c r="L628" s="31"/>
      <c r="M628" s="67"/>
      <c r="N628" s="67"/>
      <c r="O628" s="68"/>
      <c r="P628" s="68"/>
      <c r="Q628" s="69"/>
      <c r="R628" s="69"/>
      <c r="S628" s="31"/>
      <c r="T628" s="31"/>
      <c r="U628" s="69"/>
      <c r="V628" s="69"/>
      <c r="W628" s="69"/>
      <c r="X628" s="69"/>
      <c r="Y628" s="69">
        <v>0</v>
      </c>
      <c r="Z628" s="69">
        <v>1.3333333333333335</v>
      </c>
      <c r="AA628" s="69"/>
      <c r="AB628" s="69"/>
      <c r="AC628" s="69"/>
      <c r="AD628" s="133"/>
      <c r="AE628" s="133"/>
      <c r="AF628" s="133"/>
    </row>
    <row r="629" spans="1:32" x14ac:dyDescent="0.25">
      <c r="A629" t="s">
        <v>67</v>
      </c>
      <c r="B629" t="s">
        <v>800</v>
      </c>
      <c r="C629" s="31"/>
      <c r="D629" s="31"/>
      <c r="E629" s="65"/>
      <c r="F629" s="31"/>
      <c r="G629" s="66"/>
      <c r="H629" s="31"/>
      <c r="I629" s="65"/>
      <c r="J629" s="65"/>
      <c r="K629" s="31">
        <v>1</v>
      </c>
      <c r="L629" s="31"/>
      <c r="M629" s="67"/>
      <c r="N629" s="67"/>
      <c r="O629" s="68"/>
      <c r="P629" s="68"/>
      <c r="Q629" s="69"/>
      <c r="R629" s="69"/>
      <c r="S629" s="31"/>
      <c r="T629" s="31"/>
      <c r="U629" s="69"/>
      <c r="V629" s="69"/>
      <c r="W629" s="69"/>
      <c r="X629" s="69"/>
      <c r="Y629" s="69">
        <v>0</v>
      </c>
      <c r="Z629" s="69">
        <v>0</v>
      </c>
      <c r="AA629" s="69"/>
      <c r="AB629" s="69"/>
      <c r="AC629" s="69"/>
      <c r="AD629" s="133"/>
      <c r="AE629" s="133"/>
      <c r="AF629" s="133"/>
    </row>
    <row r="630" spans="1:32" x14ac:dyDescent="0.25">
      <c r="A630" t="s">
        <v>67</v>
      </c>
      <c r="B630" t="s">
        <v>791</v>
      </c>
      <c r="C630" s="31"/>
      <c r="D630" s="31"/>
      <c r="E630" s="65"/>
      <c r="F630" s="31"/>
      <c r="G630" s="66"/>
      <c r="H630" s="31"/>
      <c r="I630" s="65"/>
      <c r="J630" s="65"/>
      <c r="K630" s="31">
        <v>0</v>
      </c>
      <c r="L630" s="31"/>
      <c r="M630" s="67"/>
      <c r="N630" s="67"/>
      <c r="O630" s="68"/>
      <c r="P630" s="68"/>
      <c r="Q630" s="69"/>
      <c r="R630" s="69"/>
      <c r="S630" s="31"/>
      <c r="T630" s="31"/>
      <c r="U630" s="69"/>
      <c r="V630" s="69"/>
      <c r="W630" s="69"/>
      <c r="X630" s="69"/>
      <c r="Y630" s="69"/>
      <c r="Z630" s="69"/>
      <c r="AA630" s="69"/>
      <c r="AB630" s="69"/>
      <c r="AC630" s="69"/>
      <c r="AD630" s="133"/>
      <c r="AE630" s="133"/>
      <c r="AF630" s="133"/>
    </row>
    <row r="631" spans="1:32" x14ac:dyDescent="0.25">
      <c r="A631" t="s">
        <v>67</v>
      </c>
      <c r="B631" t="s">
        <v>718</v>
      </c>
      <c r="C631" s="31"/>
      <c r="D631" s="31"/>
      <c r="E631" s="65"/>
      <c r="F631" s="31"/>
      <c r="G631" s="66"/>
      <c r="H631" s="31"/>
      <c r="I631" s="65"/>
      <c r="J631" s="65"/>
      <c r="K631" s="31">
        <v>2</v>
      </c>
      <c r="L631" s="31"/>
      <c r="M631" s="67"/>
      <c r="N631" s="67"/>
      <c r="O631" s="68"/>
      <c r="P631" s="68"/>
      <c r="Q631" s="69"/>
      <c r="R631" s="69"/>
      <c r="S631" s="31">
        <v>5</v>
      </c>
      <c r="T631" s="31"/>
      <c r="U631" s="69"/>
      <c r="V631" s="69"/>
      <c r="W631" s="69"/>
      <c r="X631" s="69"/>
      <c r="Y631" s="69">
        <v>-0.3781696763856871</v>
      </c>
      <c r="Z631" s="69">
        <v>-0.22222222222222232</v>
      </c>
      <c r="AA631" s="69"/>
      <c r="AB631" s="69"/>
      <c r="AC631" s="69"/>
      <c r="AD631" s="133"/>
      <c r="AE631" s="133"/>
      <c r="AF631" s="133"/>
    </row>
    <row r="632" spans="1:32" x14ac:dyDescent="0.25">
      <c r="A632" t="s">
        <v>67</v>
      </c>
      <c r="B632" t="s">
        <v>793</v>
      </c>
      <c r="C632" s="31"/>
      <c r="D632" s="31"/>
      <c r="E632" s="65"/>
      <c r="F632" s="31"/>
      <c r="G632" s="66"/>
      <c r="H632" s="31"/>
      <c r="I632" s="65"/>
      <c r="J632" s="65"/>
      <c r="K632" s="31">
        <v>0</v>
      </c>
      <c r="L632" s="31">
        <v>1.8571428571428572</v>
      </c>
      <c r="M632" s="67"/>
      <c r="N632" s="67"/>
      <c r="O632" s="68"/>
      <c r="P632" s="68"/>
      <c r="Q632" s="69"/>
      <c r="R632" s="69"/>
      <c r="S632" s="31"/>
      <c r="T632" s="31"/>
      <c r="U632" s="69"/>
      <c r="V632" s="69"/>
      <c r="W632" s="69"/>
      <c r="X632" s="69"/>
      <c r="Y632" s="69"/>
      <c r="Z632" s="69"/>
      <c r="AA632" s="69"/>
      <c r="AB632" s="69"/>
      <c r="AC632" s="69"/>
      <c r="AD632" s="133"/>
      <c r="AE632" s="133"/>
      <c r="AF632" s="133"/>
    </row>
    <row r="633" spans="1:32" x14ac:dyDescent="0.25">
      <c r="A633" t="s">
        <v>67</v>
      </c>
      <c r="B633" t="s">
        <v>712</v>
      </c>
      <c r="C633" s="31"/>
      <c r="D633" s="31"/>
      <c r="E633" s="65"/>
      <c r="F633" s="31"/>
      <c r="G633" s="66"/>
      <c r="H633" s="31"/>
      <c r="I633" s="65"/>
      <c r="J633" s="65"/>
      <c r="K633" s="31">
        <v>114.28571428571429</v>
      </c>
      <c r="L633" s="31">
        <v>31.571428571428573</v>
      </c>
      <c r="M633" s="67"/>
      <c r="N633" s="67"/>
      <c r="O633" s="68"/>
      <c r="P633" s="68"/>
      <c r="Q633" s="69"/>
      <c r="R633" s="69"/>
      <c r="S633" s="31">
        <v>4</v>
      </c>
      <c r="T633" s="31">
        <v>1</v>
      </c>
      <c r="U633" s="69">
        <v>2.5203619909502257</v>
      </c>
      <c r="V633" s="69"/>
      <c r="W633" s="69"/>
      <c r="X633" s="69"/>
      <c r="Y633" s="69">
        <v>-7.5244214295197898E-2</v>
      </c>
      <c r="Z633" s="69">
        <v>-0.10913140311804004</v>
      </c>
      <c r="AA633" s="69"/>
      <c r="AB633" s="69"/>
      <c r="AC633" s="69"/>
      <c r="AD633" s="133"/>
      <c r="AE633" s="133"/>
      <c r="AF633" s="133"/>
    </row>
    <row r="634" spans="1:32" x14ac:dyDescent="0.25">
      <c r="A634" t="s">
        <v>67</v>
      </c>
      <c r="B634" t="s">
        <v>794</v>
      </c>
      <c r="C634" s="31"/>
      <c r="D634" s="31"/>
      <c r="E634" s="65"/>
      <c r="F634" s="31"/>
      <c r="G634" s="66"/>
      <c r="H634" s="31"/>
      <c r="I634" s="65"/>
      <c r="J634" s="65"/>
      <c r="K634" s="31">
        <v>0.8571428571428571</v>
      </c>
      <c r="L634" s="31"/>
      <c r="M634" s="67"/>
      <c r="N634" s="67"/>
      <c r="O634" s="68"/>
      <c r="P634" s="68"/>
      <c r="Q634" s="69"/>
      <c r="R634" s="69"/>
      <c r="S634" s="31"/>
      <c r="T634" s="31"/>
      <c r="U634" s="69"/>
      <c r="V634" s="69"/>
      <c r="W634" s="69"/>
      <c r="X634" s="69"/>
      <c r="Y634" s="69"/>
      <c r="Z634" s="69"/>
      <c r="AA634" s="69"/>
      <c r="AB634" s="69"/>
      <c r="AC634" s="69"/>
      <c r="AD634" s="133"/>
      <c r="AE634" s="133"/>
      <c r="AF634" s="133"/>
    </row>
    <row r="635" spans="1:32" x14ac:dyDescent="0.25">
      <c r="A635" t="s">
        <v>67</v>
      </c>
      <c r="B635" t="s">
        <v>714</v>
      </c>
      <c r="C635" s="31"/>
      <c r="D635" s="31"/>
      <c r="E635" s="65"/>
      <c r="F635" s="31"/>
      <c r="G635" s="66"/>
      <c r="H635" s="31"/>
      <c r="I635" s="65"/>
      <c r="J635" s="65"/>
      <c r="K635" s="31">
        <v>-9.1428571428571423</v>
      </c>
      <c r="L635" s="31">
        <v>-4</v>
      </c>
      <c r="M635" s="67"/>
      <c r="N635" s="67"/>
      <c r="O635" s="68"/>
      <c r="P635" s="68"/>
      <c r="Q635" s="69"/>
      <c r="R635" s="69"/>
      <c r="S635" s="31">
        <v>32</v>
      </c>
      <c r="T635" s="31"/>
      <c r="U635" s="69">
        <v>1.2857142857142856</v>
      </c>
      <c r="V635" s="69"/>
      <c r="W635" s="69"/>
      <c r="X635" s="69"/>
      <c r="Y635" s="69">
        <v>2.4757397764279676</v>
      </c>
      <c r="Z635" s="69">
        <v>-0.1351351351351352</v>
      </c>
      <c r="AA635" s="69"/>
      <c r="AB635" s="69"/>
      <c r="AC635" s="69"/>
      <c r="AD635" s="133"/>
      <c r="AE635" s="133"/>
      <c r="AF635" s="133"/>
    </row>
    <row r="636" spans="1:32" x14ac:dyDescent="0.25">
      <c r="A636" t="s">
        <v>67</v>
      </c>
      <c r="B636" t="s">
        <v>711</v>
      </c>
      <c r="C636" s="31"/>
      <c r="D636" s="31"/>
      <c r="E636" s="65"/>
      <c r="F636" s="31"/>
      <c r="G636" s="66"/>
      <c r="H636" s="31"/>
      <c r="I636" s="65"/>
      <c r="J636" s="65"/>
      <c r="K636" s="31">
        <v>80.428571428571431</v>
      </c>
      <c r="L636" s="31">
        <v>85</v>
      </c>
      <c r="M636" s="67"/>
      <c r="N636" s="67"/>
      <c r="O636" s="68"/>
      <c r="P636" s="68"/>
      <c r="Q636" s="69"/>
      <c r="R636" s="69"/>
      <c r="S636" s="31">
        <v>1699</v>
      </c>
      <c r="T636" s="31">
        <v>1724</v>
      </c>
      <c r="U636" s="69">
        <v>-5.3781512605042048E-2</v>
      </c>
      <c r="V636" s="69"/>
      <c r="W636" s="69"/>
      <c r="X636" s="69"/>
      <c r="Y636" s="69">
        <v>-8.175392363410916E-3</v>
      </c>
      <c r="Z636" s="69">
        <v>1.779359430605032E-3</v>
      </c>
      <c r="AA636" s="69"/>
      <c r="AB636" s="69"/>
      <c r="AC636" s="69"/>
      <c r="AD636" s="133"/>
      <c r="AE636" s="133"/>
      <c r="AF636" s="133"/>
    </row>
    <row r="637" spans="1:32" x14ac:dyDescent="0.25">
      <c r="A637" t="s">
        <v>67</v>
      </c>
      <c r="B637" t="s">
        <v>716</v>
      </c>
      <c r="C637" s="31"/>
      <c r="D637" s="31"/>
      <c r="E637" s="65"/>
      <c r="F637" s="31"/>
      <c r="G637" s="66"/>
      <c r="H637" s="31"/>
      <c r="I637" s="65"/>
      <c r="J637" s="65"/>
      <c r="K637" s="31">
        <v>-3</v>
      </c>
      <c r="L637" s="31">
        <v>2</v>
      </c>
      <c r="M637" s="67"/>
      <c r="N637" s="67"/>
      <c r="O637" s="68"/>
      <c r="P637" s="68"/>
      <c r="Q637" s="69"/>
      <c r="R637" s="69"/>
      <c r="S637" s="31"/>
      <c r="T637" s="31"/>
      <c r="U637" s="69">
        <v>-3</v>
      </c>
      <c r="V637" s="69"/>
      <c r="W637" s="69"/>
      <c r="X637" s="69"/>
      <c r="Y637" s="69">
        <v>0</v>
      </c>
      <c r="Z637" s="69">
        <v>0</v>
      </c>
      <c r="AA637" s="69"/>
      <c r="AB637" s="69"/>
      <c r="AC637" s="69"/>
      <c r="AD637" s="133"/>
      <c r="AE637" s="133"/>
      <c r="AF637" s="133"/>
    </row>
    <row r="638" spans="1:32" x14ac:dyDescent="0.25">
      <c r="A638" t="s">
        <v>67</v>
      </c>
      <c r="B638" t="s">
        <v>795</v>
      </c>
      <c r="C638" s="31"/>
      <c r="D638" s="31"/>
      <c r="E638" s="65"/>
      <c r="F638" s="31"/>
      <c r="G638" s="66"/>
      <c r="H638" s="31"/>
      <c r="I638" s="65"/>
      <c r="J638" s="65"/>
      <c r="K638" s="31">
        <v>1</v>
      </c>
      <c r="L638" s="31"/>
      <c r="M638" s="67"/>
      <c r="N638" s="67"/>
      <c r="O638" s="68"/>
      <c r="P638" s="68"/>
      <c r="Q638" s="69"/>
      <c r="R638" s="69"/>
      <c r="S638" s="31"/>
      <c r="T638" s="31"/>
      <c r="U638" s="69"/>
      <c r="V638" s="69"/>
      <c r="W638" s="69"/>
      <c r="X638" s="69"/>
      <c r="Y638" s="69">
        <v>0</v>
      </c>
      <c r="Z638" s="69">
        <v>0</v>
      </c>
      <c r="AA638" s="69"/>
      <c r="AB638" s="69"/>
      <c r="AC638" s="69"/>
      <c r="AD638" s="133"/>
      <c r="AE638" s="133"/>
      <c r="AF638" s="133"/>
    </row>
    <row r="639" spans="1:32" x14ac:dyDescent="0.25">
      <c r="A639" t="s">
        <v>67</v>
      </c>
      <c r="B639" t="s">
        <v>796</v>
      </c>
      <c r="C639" s="31"/>
      <c r="D639" s="31"/>
      <c r="E639" s="65"/>
      <c r="F639" s="31"/>
      <c r="G639" s="66"/>
      <c r="H639" s="31"/>
      <c r="I639" s="65"/>
      <c r="J639" s="65"/>
      <c r="K639" s="31">
        <v>-2</v>
      </c>
      <c r="L639" s="31"/>
      <c r="M639" s="67"/>
      <c r="N639" s="67"/>
      <c r="O639" s="68"/>
      <c r="P639" s="68"/>
      <c r="Q639" s="69"/>
      <c r="R639" s="69"/>
      <c r="S639" s="31">
        <v>24</v>
      </c>
      <c r="T639" s="31"/>
      <c r="U639" s="69"/>
      <c r="V639" s="69"/>
      <c r="W639" s="69"/>
      <c r="X639" s="69"/>
      <c r="Y639" s="69">
        <v>-5.8885243456319181E-5</v>
      </c>
      <c r="Z639" s="69">
        <v>0</v>
      </c>
      <c r="AA639" s="69"/>
      <c r="AB639" s="69"/>
      <c r="AC639" s="69"/>
      <c r="AD639" s="133"/>
      <c r="AE639" s="133"/>
      <c r="AF639" s="133"/>
    </row>
    <row r="640" spans="1:32" x14ac:dyDescent="0.25">
      <c r="A640" s="129" t="s">
        <v>827</v>
      </c>
      <c r="B640" s="129"/>
      <c r="C640" s="120">
        <v>12</v>
      </c>
      <c r="D640" s="120">
        <v>6</v>
      </c>
      <c r="E640" s="119">
        <v>15</v>
      </c>
      <c r="F640" s="120">
        <v>6</v>
      </c>
      <c r="G640" s="120">
        <v>3604.8</v>
      </c>
      <c r="H640" s="120">
        <v>3233.2700000000004</v>
      </c>
      <c r="I640" s="119">
        <v>2061.3200000000002</v>
      </c>
      <c r="J640" s="119">
        <v>1478.1900000000003</v>
      </c>
      <c r="K640" s="120">
        <v>1927</v>
      </c>
      <c r="L640" s="120">
        <v>1791.2857142857142</v>
      </c>
      <c r="M640" s="131">
        <v>128.46666666666667</v>
      </c>
      <c r="N640" s="131">
        <v>302.59523809523813</v>
      </c>
      <c r="O640" s="130">
        <v>240.32000000000002</v>
      </c>
      <c r="P640" s="130">
        <v>538.87833333333344</v>
      </c>
      <c r="Q640" s="132">
        <v>0.57182645361739903</v>
      </c>
      <c r="R640" s="132">
        <v>0.45718112004255756</v>
      </c>
      <c r="S640" s="120">
        <v>1756.2857142857142</v>
      </c>
      <c r="T640" s="120">
        <v>1761</v>
      </c>
      <c r="U640" s="132">
        <v>4.7132945210941912E-2</v>
      </c>
      <c r="V640" s="132">
        <v>1.5</v>
      </c>
      <c r="W640" s="132">
        <v>0.11490843635081505</v>
      </c>
      <c r="X640" s="132">
        <v>0.3944892063943064</v>
      </c>
      <c r="Y640" s="132">
        <v>-4.6271908791088556E-2</v>
      </c>
      <c r="Z640" s="132">
        <v>-4.0133779264214131E-2</v>
      </c>
      <c r="AA640" s="132">
        <v>-0.4</v>
      </c>
      <c r="AB640" s="132">
        <v>-0.48609016232183233</v>
      </c>
      <c r="AC640" s="132">
        <v>-0.14348360386972059</v>
      </c>
      <c r="AD640" s="134"/>
      <c r="AE640" s="134"/>
      <c r="AF640" s="134"/>
    </row>
    <row r="641" spans="1:32" x14ac:dyDescent="0.25">
      <c r="A641" t="s">
        <v>102</v>
      </c>
      <c r="C641" s="31">
        <v>128870</v>
      </c>
      <c r="D641" s="31">
        <v>122468</v>
      </c>
      <c r="E641" s="65">
        <v>340805</v>
      </c>
      <c r="F641" s="31">
        <v>321667</v>
      </c>
      <c r="G641" s="66">
        <v>150034487.76999986</v>
      </c>
      <c r="H641" s="31">
        <v>105677350.20999964</v>
      </c>
      <c r="I641" s="65">
        <v>79150407.780000001</v>
      </c>
      <c r="J641" s="65">
        <v>47374770.579999886</v>
      </c>
      <c r="K641" s="31">
        <v>3916758.0714285714</v>
      </c>
      <c r="L641" s="31">
        <v>5538882.1428571427</v>
      </c>
      <c r="M641" s="67">
        <v>11.4926661035741</v>
      </c>
      <c r="N641" s="67">
        <v>17.382383586910407</v>
      </c>
      <c r="O641" s="68">
        <v>440.23558272325812</v>
      </c>
      <c r="P641" s="68">
        <v>328.53028196861862</v>
      </c>
      <c r="Q641" s="69">
        <v>0.52754809215156073</v>
      </c>
      <c r="R641" s="69">
        <v>0.43881681515271886</v>
      </c>
      <c r="S641" s="31">
        <v>1900483.2857142857</v>
      </c>
      <c r="T641" s="31">
        <v>3238386</v>
      </c>
      <c r="U641" s="69">
        <v>-0.31532515263845784</v>
      </c>
      <c r="V641" s="69">
        <v>2.2902566940345093E-2</v>
      </c>
      <c r="W641" s="69">
        <v>0.37761224075643196</v>
      </c>
      <c r="X641" s="69">
        <v>0.65927588109561031</v>
      </c>
      <c r="Y641" s="69">
        <v>-1.9766308010353395E-2</v>
      </c>
      <c r="Z641" s="69">
        <v>-2.7098000301906011E-2</v>
      </c>
      <c r="AA641" s="69">
        <v>0.18913534241222063</v>
      </c>
      <c r="AB641" s="69">
        <v>0.14848209156394687</v>
      </c>
      <c r="AC641" s="69">
        <v>-3.4187236219727191E-2</v>
      </c>
      <c r="AD641" s="133">
        <v>7.0459069576425323E-3</v>
      </c>
      <c r="AE641" s="133">
        <v>0.13912108333804757</v>
      </c>
      <c r="AF641" s="133">
        <v>0.26799881213604532</v>
      </c>
    </row>
  </sheetData>
  <mergeCells count="1">
    <mergeCell ref="Y12:AC12"/>
  </mergeCells>
  <pageMargins left="0.7" right="0.7" top="0.75" bottom="0.75" header="0.3" footer="0.3"/>
  <pageSetup paperSize="9" orientation="portrait" r:id="rId2"/>
  <customProperties>
    <customPr name="_pios_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F37E-D40A-4EFD-A5D3-950E9AFACA75}">
  <sheetPr>
    <tabColor rgb="FFFF0000"/>
  </sheetPr>
  <dimension ref="A4:AL209"/>
  <sheetViews>
    <sheetView showGridLines="0" tabSelected="1" zoomScale="85" zoomScaleNormal="85" workbookViewId="0">
      <selection activeCell="F14" sqref="F14"/>
    </sheetView>
  </sheetViews>
  <sheetFormatPr defaultColWidth="22.5703125" defaultRowHeight="15.75" outlineLevelRow="1" x14ac:dyDescent="0.25"/>
  <cols>
    <col min="1" max="1" width="24.140625" bestFit="1" customWidth="1"/>
    <col min="2" max="2" width="13.42578125" customWidth="1"/>
    <col min="3" max="3" width="10.140625" customWidth="1"/>
    <col min="4" max="4" width="7.85546875" customWidth="1"/>
    <col min="5" max="5" width="9.7109375" customWidth="1"/>
    <col min="6" max="12" width="11" customWidth="1"/>
    <col min="13" max="16" width="9" customWidth="1"/>
    <col min="17" max="17" width="10.85546875" customWidth="1"/>
    <col min="18" max="18" width="9.5703125" customWidth="1"/>
    <col min="19" max="19" width="11.85546875" customWidth="1"/>
    <col min="20" max="20" width="12.140625" customWidth="1"/>
    <col min="21" max="21" width="13.5703125" customWidth="1"/>
    <col min="22" max="22" width="11.5703125" customWidth="1"/>
    <col min="23" max="23" width="10.7109375" customWidth="1"/>
    <col min="24" max="24" width="12.42578125" bestFit="1" customWidth="1"/>
    <col min="25" max="25" width="8.42578125" bestFit="1" customWidth="1"/>
    <col min="26" max="26" width="7.85546875" bestFit="1" customWidth="1"/>
    <col min="27" max="27" width="8.140625" bestFit="1" customWidth="1"/>
    <col min="28" max="28" width="8.42578125" bestFit="1" customWidth="1"/>
    <col min="29" max="29" width="8.5703125" bestFit="1" customWidth="1"/>
    <col min="30" max="30" width="15.42578125" customWidth="1"/>
    <col min="31" max="33" width="8.28515625" customWidth="1"/>
    <col min="34" max="34" width="7.85546875" customWidth="1"/>
    <col min="35" max="35" width="8" customWidth="1"/>
    <col min="36" max="36" width="8.140625" customWidth="1"/>
    <col min="37" max="37" width="9.140625" style="108" customWidth="1"/>
    <col min="38" max="38" width="9" customWidth="1"/>
  </cols>
  <sheetData>
    <row r="4" spans="1:13" x14ac:dyDescent="0.25">
      <c r="A4" s="125" t="s">
        <v>6</v>
      </c>
      <c r="B4" t="s" vm="11">
        <v>134</v>
      </c>
    </row>
    <row r="5" spans="1:13" x14ac:dyDescent="0.25">
      <c r="A5" s="125" t="s">
        <v>4</v>
      </c>
      <c r="B5" t="s" vm="12">
        <v>5</v>
      </c>
    </row>
    <row r="6" spans="1:13" x14ac:dyDescent="0.25">
      <c r="A6" s="125" t="s">
        <v>105</v>
      </c>
      <c r="B6" t="s" vm="13">
        <v>106</v>
      </c>
    </row>
    <row r="7" spans="1:13" x14ac:dyDescent="0.25">
      <c r="A7" s="125" t="s">
        <v>0</v>
      </c>
      <c r="B7" t="s" vm="14">
        <v>1</v>
      </c>
    </row>
    <row r="8" spans="1:13" x14ac:dyDescent="0.25">
      <c r="A8" s="125" t="s">
        <v>135</v>
      </c>
      <c r="B8" t="s" vm="15">
        <v>3</v>
      </c>
    </row>
    <row r="9" spans="1:13" x14ac:dyDescent="0.25">
      <c r="A9" s="125" t="s">
        <v>104</v>
      </c>
      <c r="B9" t="s" vm="16">
        <v>3</v>
      </c>
    </row>
    <row r="10" spans="1:13" x14ac:dyDescent="0.25">
      <c r="A10" s="126" t="s">
        <v>107</v>
      </c>
      <c r="B10" t="s" vm="17">
        <v>3</v>
      </c>
    </row>
    <row r="11" spans="1:13" x14ac:dyDescent="0.25">
      <c r="A11" s="125" t="s">
        <v>7</v>
      </c>
      <c r="B11" t="s" vm="18">
        <v>8</v>
      </c>
    </row>
    <row r="13" spans="1:13" x14ac:dyDescent="0.25">
      <c r="D13" s="125" t="s">
        <v>24</v>
      </c>
    </row>
    <row r="14" spans="1:13" ht="60" x14ac:dyDescent="0.25">
      <c r="A14" s="125" t="s">
        <v>136</v>
      </c>
      <c r="B14" s="125" t="s">
        <v>137</v>
      </c>
      <c r="C14" s="125" t="s">
        <v>138</v>
      </c>
      <c r="D14" s="2" t="s">
        <v>139</v>
      </c>
      <c r="E14" s="2" t="s">
        <v>58</v>
      </c>
      <c r="F14" s="2" t="s">
        <v>140</v>
      </c>
      <c r="G14" s="63" t="s">
        <v>34</v>
      </c>
      <c r="H14" s="2" t="s">
        <v>120</v>
      </c>
      <c r="I14" s="2" t="s">
        <v>141</v>
      </c>
      <c r="J14" s="2" t="s">
        <v>30</v>
      </c>
      <c r="K14" s="2" t="s">
        <v>142</v>
      </c>
      <c r="L14" s="2" t="s">
        <v>130</v>
      </c>
      <c r="M14" s="2" t="s">
        <v>128</v>
      </c>
    </row>
    <row r="15" spans="1:13" x14ac:dyDescent="0.25">
      <c r="A15" t="s">
        <v>828</v>
      </c>
      <c r="B15" t="s">
        <v>829</v>
      </c>
      <c r="C15" t="s">
        <v>149</v>
      </c>
      <c r="D15" s="31">
        <v>12730</v>
      </c>
      <c r="E15" s="31">
        <v>11943</v>
      </c>
      <c r="F15" s="31">
        <v>787</v>
      </c>
      <c r="G15" s="65">
        <v>30745</v>
      </c>
      <c r="H15" s="31">
        <v>13980886.160001043</v>
      </c>
      <c r="I15" s="31">
        <v>6761718.7600000184</v>
      </c>
      <c r="J15" s="31">
        <v>4035613</v>
      </c>
      <c r="K15" s="31">
        <v>92322.1</v>
      </c>
      <c r="L15" s="31">
        <v>1747520</v>
      </c>
      <c r="M15" s="69">
        <v>0.51635978702508878</v>
      </c>
    </row>
    <row r="16" spans="1:13" x14ac:dyDescent="0.25">
      <c r="B16" t="s">
        <v>830</v>
      </c>
      <c r="C16" t="s">
        <v>143</v>
      </c>
      <c r="D16" s="31">
        <v>13817</v>
      </c>
      <c r="E16" s="31">
        <v>13032</v>
      </c>
      <c r="F16" s="31">
        <v>785</v>
      </c>
      <c r="G16" s="65">
        <v>33956</v>
      </c>
      <c r="H16" s="31">
        <v>15224932.190002451</v>
      </c>
      <c r="I16" s="31">
        <v>7370901.4000000637</v>
      </c>
      <c r="J16" s="31">
        <v>4026564</v>
      </c>
      <c r="K16" s="31">
        <v>127565.1</v>
      </c>
      <c r="L16" s="31">
        <v>1734725</v>
      </c>
      <c r="M16" s="69">
        <v>0.51586638889319736</v>
      </c>
    </row>
    <row r="17" spans="1:13" x14ac:dyDescent="0.25">
      <c r="B17" t="s">
        <v>831</v>
      </c>
      <c r="C17" t="s">
        <v>144</v>
      </c>
      <c r="D17" s="31">
        <v>13613</v>
      </c>
      <c r="E17" s="31">
        <v>12851</v>
      </c>
      <c r="F17" s="31">
        <v>762</v>
      </c>
      <c r="G17" s="65">
        <v>33492</v>
      </c>
      <c r="H17" s="31">
        <v>14992999.820002243</v>
      </c>
      <c r="I17" s="31">
        <v>7220396.2300000573</v>
      </c>
      <c r="J17" s="31">
        <v>4032632</v>
      </c>
      <c r="K17" s="31">
        <v>150594.1</v>
      </c>
      <c r="L17" s="31">
        <v>1728675</v>
      </c>
      <c r="M17" s="69">
        <v>0.51841550612379272</v>
      </c>
    </row>
    <row r="18" spans="1:13" x14ac:dyDescent="0.25">
      <c r="B18" t="s">
        <v>832</v>
      </c>
      <c r="C18" t="s">
        <v>145</v>
      </c>
      <c r="D18" s="31">
        <v>14373</v>
      </c>
      <c r="E18" s="31">
        <v>13652</v>
      </c>
      <c r="F18" s="31">
        <v>721</v>
      </c>
      <c r="G18" s="65">
        <v>35606</v>
      </c>
      <c r="H18" s="31">
        <v>16092371.700001048</v>
      </c>
      <c r="I18" s="31">
        <v>7965189.340000011</v>
      </c>
      <c r="J18" s="31">
        <v>4040928</v>
      </c>
      <c r="K18" s="31">
        <v>160419.1</v>
      </c>
      <c r="L18" s="31">
        <v>1702082</v>
      </c>
      <c r="M18" s="69">
        <v>0.50503322390941474</v>
      </c>
    </row>
    <row r="19" spans="1:13" x14ac:dyDescent="0.25">
      <c r="B19" t="s">
        <v>833</v>
      </c>
      <c r="C19" t="s">
        <v>146</v>
      </c>
      <c r="D19" s="31">
        <v>16188</v>
      </c>
      <c r="E19" s="31">
        <v>15444</v>
      </c>
      <c r="F19" s="31">
        <v>744</v>
      </c>
      <c r="G19" s="65">
        <v>40381</v>
      </c>
      <c r="H19" s="31">
        <v>18258998.100001607</v>
      </c>
      <c r="I19" s="31">
        <v>9052740.0100000482</v>
      </c>
      <c r="J19" s="31">
        <v>4055366</v>
      </c>
      <c r="K19" s="31">
        <v>139789.1</v>
      </c>
      <c r="L19" s="31">
        <v>1879117.166</v>
      </c>
      <c r="M19" s="69">
        <v>0.50420390207497023</v>
      </c>
    </row>
    <row r="20" spans="1:13" x14ac:dyDescent="0.25">
      <c r="B20" t="s">
        <v>834</v>
      </c>
      <c r="C20" t="s">
        <v>147</v>
      </c>
      <c r="D20" s="31">
        <v>22361</v>
      </c>
      <c r="E20" s="31">
        <v>21361</v>
      </c>
      <c r="F20" s="31">
        <v>1000</v>
      </c>
      <c r="G20" s="65">
        <v>56191</v>
      </c>
      <c r="H20" s="31">
        <v>25931426.510000218</v>
      </c>
      <c r="I20" s="31">
        <v>12311566.049999986</v>
      </c>
      <c r="J20" s="31">
        <v>4021721</v>
      </c>
      <c r="K20" s="31">
        <v>115159.1</v>
      </c>
      <c r="L20" s="31">
        <v>1904572</v>
      </c>
      <c r="M20" s="69">
        <v>0.52522604010033169</v>
      </c>
    </row>
    <row r="21" spans="1:13" x14ac:dyDescent="0.25">
      <c r="B21" t="s">
        <v>835</v>
      </c>
      <c r="C21" t="s">
        <v>148</v>
      </c>
      <c r="D21" s="31">
        <v>22295</v>
      </c>
      <c r="E21" s="31">
        <v>21164</v>
      </c>
      <c r="F21" s="31">
        <v>1131</v>
      </c>
      <c r="G21" s="65">
        <v>56228</v>
      </c>
      <c r="H21" s="31">
        <v>26155588.200000279</v>
      </c>
      <c r="I21" s="31">
        <v>12526852.310000097</v>
      </c>
      <c r="J21" s="31">
        <v>3968130</v>
      </c>
      <c r="K21" s="31">
        <v>110867.1</v>
      </c>
      <c r="L21" s="31">
        <v>1904559</v>
      </c>
      <c r="M21" s="69">
        <v>0.52106401835766047</v>
      </c>
    </row>
    <row r="22" spans="1:13" x14ac:dyDescent="0.25">
      <c r="A22" t="s">
        <v>836</v>
      </c>
      <c r="D22" s="31">
        <v>115377</v>
      </c>
      <c r="E22" s="31">
        <v>109447</v>
      </c>
      <c r="F22" s="31">
        <v>5930</v>
      </c>
      <c r="G22" s="65">
        <v>286599</v>
      </c>
      <c r="H22" s="31">
        <v>130637202.67997912</v>
      </c>
      <c r="I22" s="31">
        <v>63209364.099998318</v>
      </c>
      <c r="J22" s="31">
        <v>4025850.5714285714</v>
      </c>
      <c r="K22" s="31">
        <v>128102.24285714285</v>
      </c>
      <c r="L22" s="31">
        <v>1800178.5951428574</v>
      </c>
      <c r="M22" s="69">
        <v>0.51614576243773191</v>
      </c>
    </row>
    <row r="23" spans="1:13" x14ac:dyDescent="0.25">
      <c r="A23" t="s">
        <v>837</v>
      </c>
      <c r="B23" t="s">
        <v>838</v>
      </c>
      <c r="C23" t="s">
        <v>149</v>
      </c>
      <c r="D23" s="31">
        <v>14988</v>
      </c>
      <c r="E23" s="31">
        <v>14158</v>
      </c>
      <c r="F23" s="31">
        <v>830</v>
      </c>
      <c r="G23" s="65">
        <v>36308</v>
      </c>
      <c r="H23" s="31">
        <v>16252339.050001532</v>
      </c>
      <c r="I23" s="31">
        <v>7737519.2000000132</v>
      </c>
      <c r="J23" s="31">
        <v>3991020</v>
      </c>
      <c r="K23" s="31">
        <v>85958.1</v>
      </c>
      <c r="L23" s="31">
        <v>1956962</v>
      </c>
      <c r="M23" s="69">
        <v>0.52391350093076872</v>
      </c>
    </row>
    <row r="24" spans="1:13" x14ac:dyDescent="0.25">
      <c r="B24" t="s">
        <v>840</v>
      </c>
      <c r="C24" t="s">
        <v>143</v>
      </c>
      <c r="D24" s="31">
        <v>15727</v>
      </c>
      <c r="E24" s="31">
        <v>14913</v>
      </c>
      <c r="F24" s="31">
        <v>814</v>
      </c>
      <c r="G24" s="65">
        <v>38927</v>
      </c>
      <c r="H24" s="31">
        <v>16822133.870002247</v>
      </c>
      <c r="I24" s="31">
        <v>7669691.7200001162</v>
      </c>
      <c r="J24" s="31">
        <v>3972299</v>
      </c>
      <c r="K24" s="31">
        <v>92549.1</v>
      </c>
      <c r="L24" s="31">
        <v>2034173</v>
      </c>
      <c r="M24" s="69">
        <v>0.54407141333724518</v>
      </c>
    </row>
    <row r="25" spans="1:13" x14ac:dyDescent="0.25">
      <c r="B25" t="s">
        <v>841</v>
      </c>
      <c r="C25" t="s">
        <v>144</v>
      </c>
      <c r="D25" s="31">
        <v>15500</v>
      </c>
      <c r="E25" s="31">
        <v>14687</v>
      </c>
      <c r="F25" s="31">
        <v>813</v>
      </c>
      <c r="G25" s="65">
        <v>38123</v>
      </c>
      <c r="H25" s="31">
        <v>16316938.180001982</v>
      </c>
      <c r="I25" s="31">
        <v>7522220.6400001217</v>
      </c>
      <c r="J25" s="31">
        <v>3954837.1</v>
      </c>
      <c r="K25" s="31">
        <v>129643</v>
      </c>
      <c r="L25" s="31">
        <v>1958384</v>
      </c>
      <c r="M25" s="69">
        <v>0.53899312744710204</v>
      </c>
    </row>
    <row r="26" spans="1:13" x14ac:dyDescent="0.25">
      <c r="B26" t="s">
        <v>842</v>
      </c>
      <c r="C26" t="s">
        <v>145</v>
      </c>
      <c r="D26" s="31">
        <v>17127</v>
      </c>
      <c r="E26" s="31">
        <v>16350</v>
      </c>
      <c r="F26" s="31">
        <v>777</v>
      </c>
      <c r="G26" s="65">
        <v>44239</v>
      </c>
      <c r="H26" s="31">
        <v>18714204.070001882</v>
      </c>
      <c r="I26" s="31">
        <v>8832889.6900001597</v>
      </c>
      <c r="J26" s="31">
        <v>3926413.1</v>
      </c>
      <c r="K26" s="31">
        <v>214049</v>
      </c>
      <c r="L26" s="31">
        <v>1851627</v>
      </c>
      <c r="M26" s="69">
        <v>0.52801146888420569</v>
      </c>
    </row>
    <row r="27" spans="1:13" x14ac:dyDescent="0.25">
      <c r="B27" t="s">
        <v>843</v>
      </c>
      <c r="C27" t="s">
        <v>146</v>
      </c>
      <c r="D27" s="31">
        <v>18302</v>
      </c>
      <c r="E27" s="31">
        <v>17446</v>
      </c>
      <c r="F27" s="31">
        <v>856</v>
      </c>
      <c r="G27" s="65">
        <v>45983</v>
      </c>
      <c r="H27" s="31">
        <v>19412309.970001727</v>
      </c>
      <c r="I27" s="31">
        <v>9318519.8900000639</v>
      </c>
      <c r="J27" s="31">
        <v>3910465.1</v>
      </c>
      <c r="K27" s="31">
        <v>276581</v>
      </c>
      <c r="L27" s="31">
        <v>1836763</v>
      </c>
      <c r="M27" s="69">
        <v>0.51996851974847669</v>
      </c>
    </row>
    <row r="28" spans="1:13" x14ac:dyDescent="0.25">
      <c r="B28" t="s">
        <v>844</v>
      </c>
      <c r="C28" t="s">
        <v>147</v>
      </c>
      <c r="D28" s="31">
        <v>26103</v>
      </c>
      <c r="E28" s="31">
        <v>25073</v>
      </c>
      <c r="F28" s="31">
        <v>1030</v>
      </c>
      <c r="G28" s="65">
        <v>66884</v>
      </c>
      <c r="H28" s="31">
        <v>30124528.019999512</v>
      </c>
      <c r="I28" s="31">
        <v>14282916.459999975</v>
      </c>
      <c r="J28" s="31">
        <v>3865776.1</v>
      </c>
      <c r="K28" s="31">
        <v>250193</v>
      </c>
      <c r="L28" s="31">
        <v>1836310</v>
      </c>
      <c r="M28" s="69">
        <v>0.52587086342010991</v>
      </c>
    </row>
    <row r="29" spans="1:13" x14ac:dyDescent="0.25">
      <c r="B29" t="s">
        <v>845</v>
      </c>
      <c r="C29" t="s">
        <v>148</v>
      </c>
      <c r="D29" s="31">
        <v>27462</v>
      </c>
      <c r="E29" s="31">
        <v>26243</v>
      </c>
      <c r="F29" s="31">
        <v>1219</v>
      </c>
      <c r="G29" s="65">
        <v>70341</v>
      </c>
      <c r="H29" s="31">
        <v>32392034.60999899</v>
      </c>
      <c r="I29" s="31">
        <v>15520322.39000006</v>
      </c>
      <c r="J29" s="31">
        <v>3796496.1</v>
      </c>
      <c r="K29" s="31">
        <v>250576</v>
      </c>
      <c r="L29" s="31">
        <v>1829164</v>
      </c>
      <c r="M29" s="69">
        <v>0.52085990963940276</v>
      </c>
    </row>
    <row r="30" spans="1:13" x14ac:dyDescent="0.25">
      <c r="A30" t="s">
        <v>839</v>
      </c>
      <c r="D30" s="31">
        <v>135209</v>
      </c>
      <c r="E30" s="31">
        <v>128870</v>
      </c>
      <c r="F30" s="31">
        <v>6339</v>
      </c>
      <c r="G30" s="65">
        <v>340805</v>
      </c>
      <c r="H30" s="31">
        <v>150034487.76989651</v>
      </c>
      <c r="I30" s="31">
        <v>70884079.989995882</v>
      </c>
      <c r="J30" s="31">
        <v>3916758.0714285714</v>
      </c>
      <c r="K30" s="31">
        <v>185649.88571428575</v>
      </c>
      <c r="L30" s="31">
        <v>1900483.2857142857</v>
      </c>
      <c r="M30" s="69">
        <v>0.5275480921518525</v>
      </c>
    </row>
    <row r="34" hidden="1" outlineLevel="1" x14ac:dyDescent="0.25"/>
    <row r="35" hidden="1" outlineLevel="1" x14ac:dyDescent="0.25"/>
    <row r="36" hidden="1" outlineLevel="1" x14ac:dyDescent="0.25"/>
    <row r="37" hidden="1" outlineLevel="1" x14ac:dyDescent="0.25"/>
    <row r="38" hidden="1" outlineLevel="1" x14ac:dyDescent="0.25"/>
    <row r="39" hidden="1" outlineLevel="1" x14ac:dyDescent="0.25"/>
    <row r="40" hidden="1" outlineLevel="1" x14ac:dyDescent="0.25"/>
    <row r="41" hidden="1" outlineLevel="1" x14ac:dyDescent="0.25"/>
    <row r="42" hidden="1" outlineLevel="1" x14ac:dyDescent="0.25"/>
    <row r="43" hidden="1" outlineLevel="1" x14ac:dyDescent="0.25"/>
    <row r="44" hidden="1" outlineLevel="1" x14ac:dyDescent="0.25"/>
    <row r="45" hidden="1" outlineLevel="1" x14ac:dyDescent="0.25"/>
    <row r="46" hidden="1" outlineLevel="1" x14ac:dyDescent="0.25"/>
    <row r="47" hidden="1" outlineLevel="1" x14ac:dyDescent="0.25"/>
    <row r="48" hidden="1" outlineLevel="1" x14ac:dyDescent="0.25"/>
    <row r="49" spans="1:34" hidden="1" outlineLevel="1" x14ac:dyDescent="0.25"/>
    <row r="50" spans="1:34" hidden="1" outlineLevel="1" x14ac:dyDescent="0.25"/>
    <row r="51" spans="1:34" hidden="1" outlineLevel="1" x14ac:dyDescent="0.25"/>
    <row r="52" spans="1:34" hidden="1" outlineLevel="1" x14ac:dyDescent="0.25"/>
    <row r="53" spans="1:34" hidden="1" outlineLevel="1" x14ac:dyDescent="0.25"/>
    <row r="54" spans="1:34" hidden="1" outlineLevel="1" x14ac:dyDescent="0.25"/>
    <row r="55" spans="1:34" hidden="1" outlineLevel="1" x14ac:dyDescent="0.25"/>
    <row r="56" spans="1:34" collapsed="1" x14ac:dyDescent="0.25">
      <c r="A56" s="125" t="s">
        <v>0</v>
      </c>
      <c r="B56" t="s" vm="14">
        <v>1</v>
      </c>
    </row>
    <row r="57" spans="1:34" x14ac:dyDescent="0.25">
      <c r="A57" s="125" t="s">
        <v>6</v>
      </c>
      <c r="B57" t="s" vm="11">
        <v>134</v>
      </c>
    </row>
    <row r="58" spans="1:34" x14ac:dyDescent="0.25">
      <c r="A58" s="125" t="s">
        <v>105</v>
      </c>
      <c r="B58" t="s" vm="13">
        <v>106</v>
      </c>
    </row>
    <row r="59" spans="1:34" x14ac:dyDescent="0.25">
      <c r="A59" s="126" t="s">
        <v>107</v>
      </c>
      <c r="B59" t="s" vm="19">
        <v>150</v>
      </c>
      <c r="K59" s="70"/>
      <c r="L59" s="71"/>
      <c r="M59" s="71"/>
      <c r="N59" s="71"/>
      <c r="O59" s="71"/>
    </row>
    <row r="60" spans="1:34" x14ac:dyDescent="0.25">
      <c r="A60" s="126" t="s">
        <v>136</v>
      </c>
      <c r="B60" t="s" vm="20">
        <v>3</v>
      </c>
    </row>
    <row r="61" spans="1:34" x14ac:dyDescent="0.25">
      <c r="A61" s="126" t="s">
        <v>119</v>
      </c>
      <c r="B61" t="s" vm="21">
        <v>3</v>
      </c>
    </row>
    <row r="63" spans="1:34" x14ac:dyDescent="0.25">
      <c r="A63" s="72"/>
      <c r="B63" s="124" t="s">
        <v>4</v>
      </c>
      <c r="C63" s="124" t="s">
        <v>24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spans="1:34" x14ac:dyDescent="0.25">
      <c r="A64" s="72"/>
      <c r="B64" s="149" t="s">
        <v>151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49" t="s">
        <v>5</v>
      </c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5"/>
      <c r="AE64" s="73" t="s">
        <v>152</v>
      </c>
      <c r="AF64" s="74"/>
      <c r="AG64" s="74"/>
      <c r="AH64" s="74"/>
    </row>
    <row r="65" spans="1:38" ht="60" x14ac:dyDescent="0.25">
      <c r="A65" s="128" t="s">
        <v>119</v>
      </c>
      <c r="B65" s="76" t="s">
        <v>153</v>
      </c>
      <c r="C65" s="161" t="s">
        <v>154</v>
      </c>
      <c r="D65" s="160" t="s">
        <v>155</v>
      </c>
      <c r="E65" s="2" t="s">
        <v>156</v>
      </c>
      <c r="F65" s="77" t="s">
        <v>30</v>
      </c>
      <c r="G65" s="161" t="s">
        <v>34</v>
      </c>
      <c r="H65" s="161" t="s">
        <v>120</v>
      </c>
      <c r="I65" s="2" t="s">
        <v>122</v>
      </c>
      <c r="J65" s="76" t="s">
        <v>142</v>
      </c>
      <c r="K65" s="160" t="s">
        <v>130</v>
      </c>
      <c r="L65" s="2" t="s">
        <v>128</v>
      </c>
      <c r="M65" s="2" t="s">
        <v>49</v>
      </c>
      <c r="N65" s="2" t="s">
        <v>126</v>
      </c>
      <c r="O65" s="76" t="s">
        <v>153</v>
      </c>
      <c r="P65" s="161" t="s">
        <v>154</v>
      </c>
      <c r="Q65" s="78" t="s">
        <v>155</v>
      </c>
      <c r="R65" s="2" t="s">
        <v>156</v>
      </c>
      <c r="S65" s="77" t="s">
        <v>30</v>
      </c>
      <c r="T65" s="161" t="s">
        <v>34</v>
      </c>
      <c r="U65" s="79" t="s">
        <v>120</v>
      </c>
      <c r="V65" s="2" t="s">
        <v>122</v>
      </c>
      <c r="W65" s="76" t="s">
        <v>142</v>
      </c>
      <c r="X65" s="78" t="s">
        <v>130</v>
      </c>
      <c r="Y65" s="2" t="s">
        <v>128</v>
      </c>
      <c r="Z65" s="2" t="s">
        <v>49</v>
      </c>
      <c r="AA65" s="2" t="s">
        <v>126</v>
      </c>
      <c r="AB65" s="80"/>
      <c r="AD65" s="80" t="str">
        <f>A65</f>
        <v>MainGroupDesc</v>
      </c>
      <c r="AE65" s="81" t="s">
        <v>30</v>
      </c>
      <c r="AF65" s="81" t="s">
        <v>34</v>
      </c>
      <c r="AG65" s="81" t="s">
        <v>120</v>
      </c>
      <c r="AH65" s="81" t="s">
        <v>157</v>
      </c>
      <c r="AI65" s="82" t="s">
        <v>158</v>
      </c>
      <c r="AJ65" s="82" t="s">
        <v>159</v>
      </c>
      <c r="AK65" s="83" t="s">
        <v>160</v>
      </c>
      <c r="AL65" s="82" t="s">
        <v>161</v>
      </c>
    </row>
    <row r="66" spans="1:38" x14ac:dyDescent="0.25">
      <c r="A66" s="75" t="s">
        <v>81</v>
      </c>
      <c r="B66" s="84">
        <v>0.10340638207215819</v>
      </c>
      <c r="C66" s="85">
        <v>0.14925306268734523</v>
      </c>
      <c r="D66" s="85">
        <v>8.3749223926980088E-2</v>
      </c>
      <c r="E66" s="85">
        <v>9.2550853626745699E-2</v>
      </c>
      <c r="F66" s="86">
        <v>44897.5</v>
      </c>
      <c r="G66" s="86">
        <v>36647</v>
      </c>
      <c r="H66" s="86">
        <v>6531190.6900013993</v>
      </c>
      <c r="I66" s="87">
        <v>2952677.6299999841</v>
      </c>
      <c r="J66" s="87">
        <v>2666.9642857142858</v>
      </c>
      <c r="K66" s="87">
        <v>329314.03571428574</v>
      </c>
      <c r="L66" s="88">
        <v>0.45208871860382804</v>
      </c>
      <c r="M66" s="89">
        <v>4.9005375610554749</v>
      </c>
      <c r="N66" s="90">
        <v>178.21897263081286</v>
      </c>
      <c r="O66" s="91">
        <v>0.10193224060361189</v>
      </c>
      <c r="P66" s="85">
        <v>9.7689638682384575E-2</v>
      </c>
      <c r="Q66" s="85">
        <v>6.4987519993202528E-2</v>
      </c>
      <c r="R66" s="85">
        <v>7.3916792818259261E-2</v>
      </c>
      <c r="S66" s="86">
        <v>587805.39285714284</v>
      </c>
      <c r="T66" s="86">
        <v>118279</v>
      </c>
      <c r="U66" s="86">
        <v>25769178.479998399</v>
      </c>
      <c r="V66" s="87">
        <v>13116375.6400008</v>
      </c>
      <c r="W66" s="87">
        <v>29986.5</v>
      </c>
      <c r="X66" s="87">
        <v>329314.03571428574</v>
      </c>
      <c r="Y66" s="88">
        <v>0.50899471437094945</v>
      </c>
      <c r="Z66" s="89">
        <v>19.878605428085894</v>
      </c>
      <c r="AA66" s="92">
        <v>217.86774051182712</v>
      </c>
      <c r="AD66" t="str">
        <f>A66</f>
        <v>Aksesuar</v>
      </c>
      <c r="AE66" s="93">
        <f>F66/(S66+F66)</f>
        <v>7.0961426772134809E-2</v>
      </c>
      <c r="AF66" s="93">
        <f>G66/(T66+G66)</f>
        <v>0.23654518931618967</v>
      </c>
      <c r="AG66" s="93">
        <f>H66/(U66+H66)</f>
        <v>0.20220173508318576</v>
      </c>
      <c r="AH66" s="93">
        <f>I66/(V66+I66)</f>
        <v>0.18374932115710388</v>
      </c>
      <c r="AI66" s="94">
        <f>D66*L66</f>
        <v>3.7862079329213483E-2</v>
      </c>
      <c r="AJ66" s="94">
        <f>Q66*Y66</f>
        <v>3.3078304176616488E-2</v>
      </c>
      <c r="AK66" s="95">
        <f>AI66-AJ66</f>
        <v>4.7837751525969946E-3</v>
      </c>
      <c r="AL66" s="96">
        <f>H66/(H66+U66)</f>
        <v>0.20220173508318576</v>
      </c>
    </row>
    <row r="67" spans="1:38" x14ac:dyDescent="0.25">
      <c r="A67" s="76" t="s">
        <v>95</v>
      </c>
      <c r="B67" s="97">
        <v>2.1198008090692087E-2</v>
      </c>
      <c r="C67" s="172">
        <v>2.8081421868890916E-2</v>
      </c>
      <c r="D67" s="172">
        <v>3.4701854306145759E-2</v>
      </c>
      <c r="E67" s="172">
        <v>3.5363003108537502E-2</v>
      </c>
      <c r="F67" s="166">
        <v>9203.8571428571431</v>
      </c>
      <c r="G67" s="166">
        <v>6895</v>
      </c>
      <c r="H67" s="166">
        <v>2706227.1999999979</v>
      </c>
      <c r="I67" s="167">
        <v>1128196.4900000035</v>
      </c>
      <c r="J67" s="167">
        <v>603.67857142857144</v>
      </c>
      <c r="K67" s="167">
        <v>12619.285714285714</v>
      </c>
      <c r="L67" s="173">
        <v>0.41688905129621207</v>
      </c>
      <c r="M67" s="174">
        <v>5.3394385165233604</v>
      </c>
      <c r="N67" s="175">
        <v>392.49125453226947</v>
      </c>
      <c r="O67" s="97">
        <v>1.1482804579447094E-2</v>
      </c>
      <c r="P67" s="172">
        <v>9.5394391800872665E-3</v>
      </c>
      <c r="Q67" s="172">
        <v>1.5605456786327618E-2</v>
      </c>
      <c r="R67" s="172">
        <v>1.6180805408652271E-2</v>
      </c>
      <c r="S67" s="166">
        <v>66217.071428571435</v>
      </c>
      <c r="T67" s="166">
        <v>11550</v>
      </c>
      <c r="U67" s="166">
        <v>6187954.2600000901</v>
      </c>
      <c r="V67" s="167">
        <v>2871249.0599999754</v>
      </c>
      <c r="W67" s="167">
        <v>1490.6071428571429</v>
      </c>
      <c r="X67" s="167">
        <v>12619.285714285714</v>
      </c>
      <c r="Y67" s="173">
        <v>0.46400618675548089</v>
      </c>
      <c r="Z67" s="174">
        <v>22.932319109461968</v>
      </c>
      <c r="AA67" s="98">
        <v>535.75361558442341</v>
      </c>
      <c r="AD67" t="str">
        <f t="shared" ref="AD67:AD88" si="0">A67</f>
        <v>Banyo</v>
      </c>
      <c r="AE67" s="93">
        <f t="shared" ref="AE67:AH85" si="1">F67/(S67+F67)</f>
        <v>0.1220331984396146</v>
      </c>
      <c r="AF67" s="93">
        <f t="shared" si="1"/>
        <v>0.37381404174573057</v>
      </c>
      <c r="AG67" s="93">
        <f t="shared" si="1"/>
        <v>0.30426939366716843</v>
      </c>
      <c r="AH67" s="93">
        <f t="shared" si="1"/>
        <v>0.28208822345387585</v>
      </c>
      <c r="AI67" s="94">
        <f t="shared" ref="AI67:AI88" si="2">D67*L67</f>
        <v>1.4466823119908477E-2</v>
      </c>
      <c r="AJ67" s="94">
        <f t="shared" ref="AJ67:AJ88" si="3">Q67*Y67</f>
        <v>7.2410284960013191E-3</v>
      </c>
      <c r="AK67" s="95">
        <f t="shared" ref="AK67:AK88" si="4">AI67-AJ67</f>
        <v>7.2257946239071584E-3</v>
      </c>
      <c r="AL67" s="96">
        <f t="shared" ref="AL67:AL88" si="5">H67/(H67+U67)</f>
        <v>0.30426939366716843</v>
      </c>
    </row>
    <row r="68" spans="1:38" x14ac:dyDescent="0.25">
      <c r="A68" s="76" t="s">
        <v>100</v>
      </c>
      <c r="B68" s="97">
        <v>3.1111326804406945E-2</v>
      </c>
      <c r="C68" s="172">
        <v>1.6506744428515574E-2</v>
      </c>
      <c r="D68" s="172">
        <v>2.1470746130108513E-2</v>
      </c>
      <c r="E68" s="172">
        <v>1.7605830855151831E-2</v>
      </c>
      <c r="F68" s="166">
        <v>13508.071428571429</v>
      </c>
      <c r="G68" s="166">
        <v>4053</v>
      </c>
      <c r="H68" s="166">
        <v>1674398.049999994</v>
      </c>
      <c r="I68" s="167">
        <v>561684.09999999893</v>
      </c>
      <c r="J68" s="167">
        <v>62.714285714285715</v>
      </c>
      <c r="K68" s="167">
        <v>244756.46428571429</v>
      </c>
      <c r="L68" s="173">
        <v>0.33545434432392046</v>
      </c>
      <c r="M68" s="174">
        <v>13.331429981318953</v>
      </c>
      <c r="N68" s="175">
        <v>413.12559832222894</v>
      </c>
      <c r="O68" s="97">
        <v>1.0111336032764774E-2</v>
      </c>
      <c r="P68" s="172">
        <v>1.7939927136855025E-2</v>
      </c>
      <c r="Q68" s="172">
        <v>2.059204700822068E-2</v>
      </c>
      <c r="R68" s="172">
        <v>9.8702767226005739E-3</v>
      </c>
      <c r="S68" s="166">
        <v>58308.321428571428</v>
      </c>
      <c r="T68" s="166">
        <v>21721</v>
      </c>
      <c r="U68" s="166">
        <v>8165262.1099998718</v>
      </c>
      <c r="V68" s="167">
        <v>1751459.3399999999</v>
      </c>
      <c r="W68" s="167">
        <v>1702.8928571428571</v>
      </c>
      <c r="X68" s="167">
        <v>244756.46428571429</v>
      </c>
      <c r="Y68" s="173">
        <v>0.21450130031404802</v>
      </c>
      <c r="Z68" s="174">
        <v>10.737686373292469</v>
      </c>
      <c r="AA68" s="98">
        <v>375.91557064591279</v>
      </c>
      <c r="AD68" t="str">
        <f t="shared" si="0"/>
        <v>Battaniye</v>
      </c>
      <c r="AE68" s="93">
        <f t="shared" si="1"/>
        <v>0.18809175581181975</v>
      </c>
      <c r="AF68" s="93">
        <f t="shared" si="1"/>
        <v>0.15725149375339489</v>
      </c>
      <c r="AG68" s="93">
        <f t="shared" si="1"/>
        <v>0.17016828048663185</v>
      </c>
      <c r="AH68" s="93">
        <f t="shared" si="1"/>
        <v>0.24282285753969468</v>
      </c>
      <c r="AI68" s="94">
        <f t="shared" si="2"/>
        <v>7.2024550652209042E-3</v>
      </c>
      <c r="AJ68" s="94">
        <f t="shared" si="3"/>
        <v>4.4170208593913383E-3</v>
      </c>
      <c r="AK68" s="95">
        <f t="shared" si="4"/>
        <v>2.7854342058295659E-3</v>
      </c>
      <c r="AL68" s="96">
        <f t="shared" si="5"/>
        <v>0.17016828048663185</v>
      </c>
    </row>
    <row r="69" spans="1:38" x14ac:dyDescent="0.25">
      <c r="A69" s="76" t="s">
        <v>90</v>
      </c>
      <c r="B69" s="97">
        <v>6.9365263983917319E-2</v>
      </c>
      <c r="C69" s="172">
        <v>5.9172585690082109E-2</v>
      </c>
      <c r="D69" s="172">
        <v>4.7789740487711063E-2</v>
      </c>
      <c r="E69" s="172">
        <v>4.9861408066635235E-2</v>
      </c>
      <c r="F69" s="166">
        <v>30117.357142857141</v>
      </c>
      <c r="G69" s="166">
        <v>14529</v>
      </c>
      <c r="H69" s="166">
        <v>3726887.1700000279</v>
      </c>
      <c r="I69" s="167">
        <v>1590743.4500000016</v>
      </c>
      <c r="J69" s="167">
        <v>1532.5</v>
      </c>
      <c r="K69" s="167">
        <v>322927.64285714284</v>
      </c>
      <c r="L69" s="173">
        <v>0.42682898017542875</v>
      </c>
      <c r="M69" s="174">
        <v>8.2916531469081534</v>
      </c>
      <c r="N69" s="175">
        <v>256.51367403124976</v>
      </c>
      <c r="O69" s="97">
        <v>6.4163094894648956E-2</v>
      </c>
      <c r="P69" s="172">
        <v>7.7246331445543021E-2</v>
      </c>
      <c r="Q69" s="172">
        <v>6.3347424370908983E-2</v>
      </c>
      <c r="R69" s="172">
        <v>5.6679001570437607E-2</v>
      </c>
      <c r="S69" s="166">
        <v>370004.75</v>
      </c>
      <c r="T69" s="166">
        <v>93527</v>
      </c>
      <c r="U69" s="166">
        <v>25118839.509999745</v>
      </c>
      <c r="V69" s="167">
        <v>10057566.719999939</v>
      </c>
      <c r="W69" s="167">
        <v>28104.75</v>
      </c>
      <c r="X69" s="167">
        <v>322927.64285714284</v>
      </c>
      <c r="Y69" s="173">
        <v>0.40039933835303376</v>
      </c>
      <c r="Z69" s="174">
        <v>15.824510569140463</v>
      </c>
      <c r="AA69" s="98">
        <v>268.57313406823425</v>
      </c>
      <c r="AD69" t="str">
        <f t="shared" si="0"/>
        <v>Çarşaf</v>
      </c>
      <c r="AE69" s="93">
        <f t="shared" si="1"/>
        <v>7.5270415218782763E-2</v>
      </c>
      <c r="AF69" s="93">
        <f t="shared" si="1"/>
        <v>0.13445805878433406</v>
      </c>
      <c r="AG69" s="93">
        <f t="shared" si="1"/>
        <v>0.12920066848529321</v>
      </c>
      <c r="AH69" s="93">
        <f t="shared" si="1"/>
        <v>0.13656431076989511</v>
      </c>
      <c r="AI69" s="94">
        <f t="shared" si="2"/>
        <v>2.0398046195218109E-2</v>
      </c>
      <c r="AJ69" s="94">
        <f t="shared" si="3"/>
        <v>2.5364266804480801E-2</v>
      </c>
      <c r="AK69" s="95">
        <f t="shared" si="4"/>
        <v>-4.9662206092626927E-3</v>
      </c>
      <c r="AL69" s="96">
        <f t="shared" si="5"/>
        <v>0.12920066848529321</v>
      </c>
    </row>
    <row r="70" spans="1:38" x14ac:dyDescent="0.25">
      <c r="A70" s="76" t="s">
        <v>195</v>
      </c>
      <c r="B70" s="97">
        <v>4.1786006294222836E-5</v>
      </c>
      <c r="C70" s="172">
        <v>1.6290890134236934E-5</v>
      </c>
      <c r="D70" s="172">
        <v>1.69792714899905E-5</v>
      </c>
      <c r="E70" s="172">
        <v>1.738440861844643E-5</v>
      </c>
      <c r="F70" s="166">
        <v>18.142857142857142</v>
      </c>
      <c r="G70" s="166">
        <v>4</v>
      </c>
      <c r="H70" s="166">
        <v>1324.13</v>
      </c>
      <c r="I70" s="167">
        <v>554.62</v>
      </c>
      <c r="J70" s="167">
        <v>0</v>
      </c>
      <c r="K70" s="167">
        <v>24</v>
      </c>
      <c r="L70" s="173">
        <v>0.41885615460717601</v>
      </c>
      <c r="M70" s="174">
        <v>18.142857142857142</v>
      </c>
      <c r="N70" s="175">
        <v>331.03250000000003</v>
      </c>
      <c r="O70" s="97">
        <v>2.1119048721744493E-6</v>
      </c>
      <c r="P70" s="172">
        <v>0</v>
      </c>
      <c r="Q70" s="172">
        <v>0</v>
      </c>
      <c r="R70" s="172">
        <v>0</v>
      </c>
      <c r="S70" s="166">
        <v>12.178571428571429</v>
      </c>
      <c r="T70" s="166"/>
      <c r="U70" s="166"/>
      <c r="V70" s="167"/>
      <c r="W70" s="167">
        <v>3.4285714285714284</v>
      </c>
      <c r="X70" s="167">
        <v>24</v>
      </c>
      <c r="Y70" s="173"/>
      <c r="Z70" s="174"/>
      <c r="AA70" s="98"/>
      <c r="AD70" t="str">
        <f t="shared" si="0"/>
        <v>Dünya Markaları</v>
      </c>
      <c r="AE70" s="93">
        <f t="shared" si="1"/>
        <v>0.59835100117785633</v>
      </c>
      <c r="AF70" s="93">
        <f t="shared" si="1"/>
        <v>1</v>
      </c>
      <c r="AG70" s="93">
        <f t="shared" si="1"/>
        <v>1</v>
      </c>
      <c r="AH70" s="93">
        <f t="shared" si="1"/>
        <v>1</v>
      </c>
      <c r="AI70" s="94">
        <f t="shared" si="2"/>
        <v>7.1118723643286765E-6</v>
      </c>
      <c r="AJ70" s="94">
        <f t="shared" si="3"/>
        <v>0</v>
      </c>
      <c r="AK70" s="95">
        <f t="shared" si="4"/>
        <v>7.1118723643286765E-6</v>
      </c>
      <c r="AL70" s="96">
        <f t="shared" si="5"/>
        <v>1</v>
      </c>
    </row>
    <row r="71" spans="1:38" x14ac:dyDescent="0.25">
      <c r="A71" s="76" t="s">
        <v>84</v>
      </c>
      <c r="B71" s="97">
        <v>2.9636807220095448E-3</v>
      </c>
      <c r="C71" s="172">
        <v>7.4123550110778052E-3</v>
      </c>
      <c r="D71" s="172">
        <v>1.3449509798662294E-2</v>
      </c>
      <c r="E71" s="172">
        <v>1.4480132553561042E-2</v>
      </c>
      <c r="F71" s="166">
        <v>1286.7857142857142</v>
      </c>
      <c r="G71" s="166">
        <v>1820</v>
      </c>
      <c r="H71" s="166">
        <v>1048861.220000003</v>
      </c>
      <c r="I71" s="167">
        <v>461964.00999999727</v>
      </c>
      <c r="J71" s="167">
        <v>49.928571428571431</v>
      </c>
      <c r="K71" s="167">
        <v>22897.964285714286</v>
      </c>
      <c r="L71" s="173">
        <v>0.4404434077560766</v>
      </c>
      <c r="M71" s="174">
        <v>2.8281004709576139</v>
      </c>
      <c r="N71" s="175">
        <v>576.29737362637525</v>
      </c>
      <c r="O71" s="97">
        <v>6.188308611061108E-3</v>
      </c>
      <c r="P71" s="172">
        <v>6.7948888428206013E-3</v>
      </c>
      <c r="Q71" s="172">
        <v>1.4867326111133561E-2</v>
      </c>
      <c r="R71" s="172">
        <v>1.4827961934138869E-2</v>
      </c>
      <c r="S71" s="166">
        <v>35685.678571428572</v>
      </c>
      <c r="T71" s="166">
        <v>8227</v>
      </c>
      <c r="U71" s="166">
        <v>5895266.969999996</v>
      </c>
      <c r="V71" s="167">
        <v>2631189.9000000255</v>
      </c>
      <c r="W71" s="167">
        <v>1894.1071428571429</v>
      </c>
      <c r="X71" s="167">
        <v>22897.964285714286</v>
      </c>
      <c r="Y71" s="173">
        <v>0.44632243346903544</v>
      </c>
      <c r="Z71" s="174">
        <v>17.350518328152948</v>
      </c>
      <c r="AA71" s="98">
        <v>716.57554029415292</v>
      </c>
      <c r="AD71" t="str">
        <f t="shared" si="0"/>
        <v>Halı - Kilim</v>
      </c>
      <c r="AE71" s="93">
        <f t="shared" si="1"/>
        <v>3.4803893631264189E-2</v>
      </c>
      <c r="AF71" s="93">
        <f t="shared" si="1"/>
        <v>0.18114860157260873</v>
      </c>
      <c r="AG71" s="93">
        <f t="shared" si="1"/>
        <v>0.15104289427007295</v>
      </c>
      <c r="AH71" s="93">
        <f t="shared" si="1"/>
        <v>0.14935047638802876</v>
      </c>
      <c r="AI71" s="94">
        <f t="shared" si="2"/>
        <v>5.9237479283715646E-3</v>
      </c>
      <c r="AJ71" s="94">
        <f t="shared" si="3"/>
        <v>6.6356211690988621E-3</v>
      </c>
      <c r="AK71" s="95">
        <f t="shared" si="4"/>
        <v>-7.1187324072729749E-4</v>
      </c>
      <c r="AL71" s="96">
        <f t="shared" si="5"/>
        <v>0.15104289427007295</v>
      </c>
    </row>
    <row r="72" spans="1:38" x14ac:dyDescent="0.25">
      <c r="A72" s="76" t="s">
        <v>94</v>
      </c>
      <c r="B72" s="97">
        <v>5.7691257347509871E-2</v>
      </c>
      <c r="C72" s="172">
        <v>6.9509155480255436E-2</v>
      </c>
      <c r="D72" s="172">
        <v>4.4470854364902258E-2</v>
      </c>
      <c r="E72" s="172">
        <v>4.5630214088387515E-2</v>
      </c>
      <c r="F72" s="166">
        <v>25048.678571428572</v>
      </c>
      <c r="G72" s="166">
        <v>17067</v>
      </c>
      <c r="H72" s="166">
        <v>3468063.5400000294</v>
      </c>
      <c r="I72" s="167">
        <v>1455754.4000000099</v>
      </c>
      <c r="J72" s="167">
        <v>1554.2142857142858</v>
      </c>
      <c r="K72" s="167">
        <v>195172.57142857142</v>
      </c>
      <c r="L72" s="173">
        <v>0.41976001397021623</v>
      </c>
      <c r="M72" s="174">
        <v>5.8706693786672695</v>
      </c>
      <c r="N72" s="175">
        <v>203.20287924064155</v>
      </c>
      <c r="O72" s="97">
        <v>0.10165466446148291</v>
      </c>
      <c r="P72" s="172">
        <v>8.856316223736603E-2</v>
      </c>
      <c r="Q72" s="172">
        <v>5.4271645656653648E-2</v>
      </c>
      <c r="R72" s="172">
        <v>5.5017782754358369E-2</v>
      </c>
      <c r="S72" s="166">
        <v>586204.71428571432</v>
      </c>
      <c r="T72" s="166">
        <v>107229</v>
      </c>
      <c r="U72" s="166">
        <v>21520066.060003825</v>
      </c>
      <c r="V72" s="167">
        <v>9762787.0199998841</v>
      </c>
      <c r="W72" s="167">
        <v>15266.821428571429</v>
      </c>
      <c r="X72" s="167">
        <v>195172.57142857142</v>
      </c>
      <c r="Y72" s="173">
        <v>0.45365971427683188</v>
      </c>
      <c r="Z72" s="174">
        <v>21.867394614729758</v>
      </c>
      <c r="AA72" s="98">
        <v>200.692593048558</v>
      </c>
      <c r="AD72" t="str">
        <f t="shared" si="0"/>
        <v>Havlu</v>
      </c>
      <c r="AE72" s="93">
        <f t="shared" si="1"/>
        <v>4.0979205782965274E-2</v>
      </c>
      <c r="AF72" s="93">
        <f t="shared" si="1"/>
        <v>0.13730932612473451</v>
      </c>
      <c r="AG72" s="93">
        <f t="shared" si="1"/>
        <v>0.13878844057217851</v>
      </c>
      <c r="AH72" s="93">
        <f t="shared" si="1"/>
        <v>0.12976325045292952</v>
      </c>
      <c r="AI72" s="94">
        <f t="shared" si="2"/>
        <v>1.8667086449478822E-2</v>
      </c>
      <c r="AJ72" s="94">
        <f t="shared" si="3"/>
        <v>2.4620859261930958E-2</v>
      </c>
      <c r="AK72" s="95">
        <f t="shared" si="4"/>
        <v>-5.9537728124521364E-3</v>
      </c>
      <c r="AL72" s="96">
        <f t="shared" si="5"/>
        <v>0.13878844057217851</v>
      </c>
    </row>
    <row r="73" spans="1:38" x14ac:dyDescent="0.25">
      <c r="A73" s="76" t="s">
        <v>66</v>
      </c>
      <c r="B73" s="97">
        <v>9.4776913725057952E-3</v>
      </c>
      <c r="C73" s="172">
        <v>1.8534960250228074E-2</v>
      </c>
      <c r="D73" s="172">
        <v>7.3674194725001779E-2</v>
      </c>
      <c r="E73" s="172">
        <v>5.6653279483020715E-2</v>
      </c>
      <c r="F73" s="166">
        <v>4115.0714285714284</v>
      </c>
      <c r="G73" s="166">
        <v>4551</v>
      </c>
      <c r="H73" s="166">
        <v>5745488.6400000183</v>
      </c>
      <c r="I73" s="167">
        <v>1807426.559999998</v>
      </c>
      <c r="J73" s="167">
        <v>106.28571428571429</v>
      </c>
      <c r="K73" s="167">
        <v>41248.428571428572</v>
      </c>
      <c r="L73" s="173">
        <v>0.3145818699242946</v>
      </c>
      <c r="M73" s="174">
        <v>3.6168502997771288</v>
      </c>
      <c r="N73" s="175">
        <v>1262.4672907053434</v>
      </c>
      <c r="O73" s="97">
        <v>1.4695569284272219E-2</v>
      </c>
      <c r="P73" s="172">
        <v>1.708839797714334E-2</v>
      </c>
      <c r="Q73" s="172">
        <v>8.1332079600152984E-2</v>
      </c>
      <c r="R73" s="172">
        <v>6.3421489121565561E-2</v>
      </c>
      <c r="S73" s="166">
        <v>84743.892857142855</v>
      </c>
      <c r="T73" s="166">
        <v>20690</v>
      </c>
      <c r="U73" s="166">
        <v>32250205.509996366</v>
      </c>
      <c r="V73" s="167">
        <v>11254006.609999837</v>
      </c>
      <c r="W73" s="167">
        <v>5041.9642857142853</v>
      </c>
      <c r="X73" s="167">
        <v>41248.428571428572</v>
      </c>
      <c r="Y73" s="173">
        <v>0.34895922156252646</v>
      </c>
      <c r="Z73" s="174">
        <v>16.383546226610509</v>
      </c>
      <c r="AA73" s="98">
        <v>1558.733954083923</v>
      </c>
      <c r="AD73" t="str">
        <f t="shared" si="0"/>
        <v>KEA</v>
      </c>
      <c r="AE73" s="93">
        <f t="shared" si="1"/>
        <v>4.6310143964090764E-2</v>
      </c>
      <c r="AF73" s="93">
        <f t="shared" si="1"/>
        <v>0.18030188978249673</v>
      </c>
      <c r="AG73" s="93">
        <f t="shared" si="1"/>
        <v>0.15121420383368794</v>
      </c>
      <c r="AH73" s="93">
        <f t="shared" si="1"/>
        <v>0.13837888510974333</v>
      </c>
      <c r="AI73" s="94">
        <f t="shared" si="2"/>
        <v>2.3176565941757661E-2</v>
      </c>
      <c r="AJ73" s="94">
        <f t="shared" si="3"/>
        <v>2.8381579185330824E-2</v>
      </c>
      <c r="AK73" s="95">
        <f t="shared" si="4"/>
        <v>-5.205013243573163E-3</v>
      </c>
      <c r="AL73" s="96">
        <f t="shared" si="5"/>
        <v>0.15121420383368794</v>
      </c>
    </row>
    <row r="74" spans="1:38" x14ac:dyDescent="0.25">
      <c r="A74" s="76" t="s">
        <v>83</v>
      </c>
      <c r="B74" s="97">
        <v>0.18606255727068285</v>
      </c>
      <c r="C74" s="172">
        <v>0.13458311612146487</v>
      </c>
      <c r="D74" s="172">
        <v>6.9141090844773809E-2</v>
      </c>
      <c r="E74" s="172">
        <v>7.2925798101930839E-2</v>
      </c>
      <c r="F74" s="166">
        <v>80785.571428571435</v>
      </c>
      <c r="G74" s="166">
        <v>33045</v>
      </c>
      <c r="H74" s="166">
        <v>5391974.1300008846</v>
      </c>
      <c r="I74" s="167">
        <v>2326573.6000001696</v>
      </c>
      <c r="J74" s="167">
        <v>1927.3214285714287</v>
      </c>
      <c r="K74" s="167">
        <v>400091.07142857142</v>
      </c>
      <c r="L74" s="173">
        <v>0.43148827199580586</v>
      </c>
      <c r="M74" s="174">
        <v>9.778855673000022</v>
      </c>
      <c r="N74" s="175">
        <v>163.17065002272309</v>
      </c>
      <c r="O74" s="97">
        <v>9.6457551461454891E-2</v>
      </c>
      <c r="P74" s="172">
        <v>0.12002761894772139</v>
      </c>
      <c r="Q74" s="172">
        <v>5.2617425226237906E-2</v>
      </c>
      <c r="R74" s="172">
        <v>5.3351852187657325E-2</v>
      </c>
      <c r="S74" s="166">
        <v>556234.89285714284</v>
      </c>
      <c r="T74" s="166">
        <v>145325</v>
      </c>
      <c r="U74" s="166">
        <v>20864126.250004895</v>
      </c>
      <c r="V74" s="167">
        <v>9467171.2300029378</v>
      </c>
      <c r="W74" s="167">
        <v>29229.357142857141</v>
      </c>
      <c r="X74" s="167">
        <v>400091.07142857142</v>
      </c>
      <c r="Y74" s="173">
        <v>0.45375354407667645</v>
      </c>
      <c r="Z74" s="174">
        <v>15.310095107026124</v>
      </c>
      <c r="AA74" s="98">
        <v>143.56873387238875</v>
      </c>
      <c r="AD74" t="str">
        <f t="shared" si="0"/>
        <v>Kozmetik</v>
      </c>
      <c r="AE74" s="93">
        <f t="shared" si="1"/>
        <v>0.12681785901361209</v>
      </c>
      <c r="AF74" s="93">
        <f t="shared" si="1"/>
        <v>0.18526097437909964</v>
      </c>
      <c r="AG74" s="93">
        <f t="shared" si="1"/>
        <v>0.20536081337146753</v>
      </c>
      <c r="AH74" s="93">
        <f t="shared" si="1"/>
        <v>0.19727182786602282</v>
      </c>
      <c r="AI74" s="94">
        <f t="shared" si="2"/>
        <v>2.9833569812516482E-2</v>
      </c>
      <c r="AJ74" s="94">
        <f t="shared" si="3"/>
        <v>2.3875343176594968E-2</v>
      </c>
      <c r="AK74" s="95">
        <f t="shared" si="4"/>
        <v>5.9582266359215139E-3</v>
      </c>
      <c r="AL74" s="96">
        <f t="shared" si="5"/>
        <v>0.20536081337146753</v>
      </c>
    </row>
    <row r="75" spans="1:38" x14ac:dyDescent="0.25">
      <c r="A75" s="76" t="s">
        <v>77</v>
      </c>
      <c r="B75" s="97">
        <v>0.10407553396429106</v>
      </c>
      <c r="C75" s="172">
        <v>7.4595985924670927E-2</v>
      </c>
      <c r="D75" s="172">
        <v>6.2390281349318788E-2</v>
      </c>
      <c r="E75" s="172">
        <v>6.2176277765474082E-2</v>
      </c>
      <c r="F75" s="166">
        <v>45188.035714285717</v>
      </c>
      <c r="G75" s="166">
        <v>18316</v>
      </c>
      <c r="H75" s="166">
        <v>4865511.6500006979</v>
      </c>
      <c r="I75" s="167">
        <v>1983628.4299999929</v>
      </c>
      <c r="J75" s="167">
        <v>1643.5</v>
      </c>
      <c r="K75" s="167">
        <v>294905.5</v>
      </c>
      <c r="L75" s="173">
        <v>0.40769164122743562</v>
      </c>
      <c r="M75" s="174">
        <v>9.8685380463607153</v>
      </c>
      <c r="N75" s="175">
        <v>265.6426976414445</v>
      </c>
      <c r="O75" s="97">
        <v>0.13207860502502311</v>
      </c>
      <c r="P75" s="172">
        <v>0.10290535802630242</v>
      </c>
      <c r="Q75" s="172">
        <v>5.557323674836713E-2</v>
      </c>
      <c r="R75" s="172">
        <v>5.2969234580962733E-2</v>
      </c>
      <c r="S75" s="166">
        <v>761648.28571428568</v>
      </c>
      <c r="T75" s="166">
        <v>124594</v>
      </c>
      <c r="U75" s="166">
        <v>22036179.509999286</v>
      </c>
      <c r="V75" s="167">
        <v>9399276.5600025281</v>
      </c>
      <c r="W75" s="167">
        <v>21065.428571428572</v>
      </c>
      <c r="X75" s="167">
        <v>294905.5</v>
      </c>
      <c r="Y75" s="173">
        <v>0.42653839136395882</v>
      </c>
      <c r="Z75" s="174">
        <v>24.452165777301818</v>
      </c>
      <c r="AA75" s="98">
        <v>176.86388999469708</v>
      </c>
      <c r="AD75" t="str">
        <f t="shared" si="0"/>
        <v>Mutfak</v>
      </c>
      <c r="AE75" s="93">
        <f t="shared" si="1"/>
        <v>5.6006447050222667E-2</v>
      </c>
      <c r="AF75" s="93">
        <f t="shared" si="1"/>
        <v>0.12816457910573087</v>
      </c>
      <c r="AG75" s="93">
        <f t="shared" si="1"/>
        <v>0.18086266848662688</v>
      </c>
      <c r="AH75" s="93">
        <f t="shared" si="1"/>
        <v>0.1742638133009273</v>
      </c>
      <c r="AI75" s="94">
        <f t="shared" si="2"/>
        <v>2.5435996199945243E-2</v>
      </c>
      <c r="AJ75" s="94">
        <f t="shared" si="3"/>
        <v>2.3704119005536959E-2</v>
      </c>
      <c r="AK75" s="95">
        <f t="shared" si="4"/>
        <v>1.7318771944082843E-3</v>
      </c>
      <c r="AL75" s="96">
        <f t="shared" si="5"/>
        <v>0.18086266848662688</v>
      </c>
    </row>
    <row r="76" spans="1:38" x14ac:dyDescent="0.25">
      <c r="A76" s="76" t="s">
        <v>89</v>
      </c>
      <c r="B76" s="97">
        <v>4.966678127657894E-2</v>
      </c>
      <c r="C76" s="172">
        <v>2.9315456796559364E-2</v>
      </c>
      <c r="D76" s="172">
        <v>7.8056520935616991E-2</v>
      </c>
      <c r="E76" s="172">
        <v>7.6513575564368552E-2</v>
      </c>
      <c r="F76" s="166">
        <v>21564.571428571428</v>
      </c>
      <c r="G76" s="166">
        <v>7198</v>
      </c>
      <c r="H76" s="166">
        <v>6087244.740000112</v>
      </c>
      <c r="I76" s="167">
        <v>2441035.5400000028</v>
      </c>
      <c r="J76" s="167">
        <v>474.46428571428572</v>
      </c>
      <c r="K76" s="167">
        <v>77229.107142857145</v>
      </c>
      <c r="L76" s="173">
        <v>0.40100827948638679</v>
      </c>
      <c r="M76" s="174">
        <v>11.983646250942721</v>
      </c>
      <c r="N76" s="175">
        <v>845.68557099195777</v>
      </c>
      <c r="O76" s="97">
        <v>3.291151057891549E-2</v>
      </c>
      <c r="P76" s="172">
        <v>3.870617123252032E-2</v>
      </c>
      <c r="Q76" s="172">
        <v>0.10640894424677319</v>
      </c>
      <c r="R76" s="172">
        <v>0.1038536618274994</v>
      </c>
      <c r="S76" s="166">
        <v>189788.46428571429</v>
      </c>
      <c r="T76" s="166">
        <v>46864</v>
      </c>
      <c r="U76" s="166">
        <v>42193810.079998568</v>
      </c>
      <c r="V76" s="167">
        <v>18428608.549999226</v>
      </c>
      <c r="W76" s="167">
        <v>10449.714285714286</v>
      </c>
      <c r="X76" s="167">
        <v>77229.107142857145</v>
      </c>
      <c r="Y76" s="173">
        <v>0.43676094941554167</v>
      </c>
      <c r="Z76" s="174">
        <v>16.199083670682338</v>
      </c>
      <c r="AA76" s="98">
        <v>900.3458962102801</v>
      </c>
      <c r="AD76" t="str">
        <f t="shared" si="0"/>
        <v>Nevresim</v>
      </c>
      <c r="AE76" s="93">
        <f t="shared" si="1"/>
        <v>0.10203104656477778</v>
      </c>
      <c r="AF76" s="93">
        <f t="shared" si="1"/>
        <v>0.13314342791609635</v>
      </c>
      <c r="AG76" s="93">
        <f t="shared" si="1"/>
        <v>0.12607936514010648</v>
      </c>
      <c r="AH76" s="93">
        <f t="shared" si="1"/>
        <v>0.11696584424119391</v>
      </c>
      <c r="AI76" s="94">
        <f t="shared" si="2"/>
        <v>3.1301311163084898E-2</v>
      </c>
      <c r="AJ76" s="94">
        <f t="shared" si="3"/>
        <v>4.64752715155261E-2</v>
      </c>
      <c r="AK76" s="95">
        <f t="shared" si="4"/>
        <v>-1.5173960352441201E-2</v>
      </c>
      <c r="AL76" s="96">
        <f t="shared" si="5"/>
        <v>0.12607936514010648</v>
      </c>
    </row>
    <row r="77" spans="1:38" x14ac:dyDescent="0.25">
      <c r="A77" s="76" t="s">
        <v>99</v>
      </c>
      <c r="B77" s="97">
        <v>1.2460455467468606E-2</v>
      </c>
      <c r="C77" s="172">
        <v>1.4523328554672227E-2</v>
      </c>
      <c r="D77" s="172">
        <v>2.3165769518880951E-2</v>
      </c>
      <c r="E77" s="172">
        <v>2.4289574898456085E-2</v>
      </c>
      <c r="F77" s="166">
        <v>5410.1428571428569</v>
      </c>
      <c r="G77" s="166">
        <v>3566</v>
      </c>
      <c r="H77" s="166">
        <v>1806584.5999999968</v>
      </c>
      <c r="I77" s="167">
        <v>774917.58999999869</v>
      </c>
      <c r="J77" s="167">
        <v>738</v>
      </c>
      <c r="K77" s="167">
        <v>94310.428571428565</v>
      </c>
      <c r="L77" s="173">
        <v>0.42894065962922523</v>
      </c>
      <c r="M77" s="174">
        <v>6.0685842480570464</v>
      </c>
      <c r="N77" s="175">
        <v>506.61374088614605</v>
      </c>
      <c r="O77" s="97">
        <v>1.5149857982758261E-2</v>
      </c>
      <c r="P77" s="172">
        <v>6.5421556489585492E-3</v>
      </c>
      <c r="Q77" s="172">
        <v>1.3978799256364602E-2</v>
      </c>
      <c r="R77" s="172">
        <v>1.5868221957389714E-2</v>
      </c>
      <c r="S77" s="166">
        <v>87363.607142857145</v>
      </c>
      <c r="T77" s="166">
        <v>7921</v>
      </c>
      <c r="U77" s="166">
        <v>5542943.8300000727</v>
      </c>
      <c r="V77" s="167">
        <v>2815781.8000000962</v>
      </c>
      <c r="W77" s="167">
        <v>20450.321428571428</v>
      </c>
      <c r="X77" s="167">
        <v>94310.428571428565</v>
      </c>
      <c r="Y77" s="173">
        <v>0.5079939263970602</v>
      </c>
      <c r="Z77" s="174">
        <v>44.117463523725363</v>
      </c>
      <c r="AA77" s="98">
        <v>699.77828935741354</v>
      </c>
      <c r="AD77" t="str">
        <f t="shared" si="0"/>
        <v>Pike</v>
      </c>
      <c r="AE77" s="93">
        <f t="shared" si="1"/>
        <v>5.8315448681796916E-2</v>
      </c>
      <c r="AF77" s="93">
        <f t="shared" si="1"/>
        <v>0.31043788630625924</v>
      </c>
      <c r="AG77" s="93">
        <f t="shared" si="1"/>
        <v>0.24580959407214373</v>
      </c>
      <c r="AH77" s="93">
        <f t="shared" si="1"/>
        <v>0.21581243814453047</v>
      </c>
      <c r="AI77" s="94">
        <f t="shared" si="2"/>
        <v>9.9367404582473944E-3</v>
      </c>
      <c r="AJ77" s="94">
        <f t="shared" si="3"/>
        <v>7.1011451205569591E-3</v>
      </c>
      <c r="AK77" s="95">
        <f t="shared" si="4"/>
        <v>2.8355953376904353E-3</v>
      </c>
      <c r="AL77" s="96">
        <f t="shared" si="5"/>
        <v>0.24580959407214373</v>
      </c>
    </row>
    <row r="78" spans="1:38" x14ac:dyDescent="0.25">
      <c r="A78" s="76" t="s">
        <v>76</v>
      </c>
      <c r="B78" s="97">
        <v>2.6124232757925768E-2</v>
      </c>
      <c r="C78" s="172">
        <v>1.6132053955428126E-2</v>
      </c>
      <c r="D78" s="172">
        <v>3.0064120808962105E-2</v>
      </c>
      <c r="E78" s="172">
        <v>2.8898007283873279E-2</v>
      </c>
      <c r="F78" s="166">
        <v>11342.75</v>
      </c>
      <c r="G78" s="166">
        <v>3961</v>
      </c>
      <c r="H78" s="166">
        <v>2344553.140000076</v>
      </c>
      <c r="I78" s="167">
        <v>921941.78999999247</v>
      </c>
      <c r="J78" s="167">
        <v>336.92857142857144</v>
      </c>
      <c r="K78" s="167">
        <v>151507</v>
      </c>
      <c r="L78" s="173">
        <v>0.39322708206987478</v>
      </c>
      <c r="M78" s="174">
        <v>11.454430699318355</v>
      </c>
      <c r="N78" s="175">
        <v>591.90940166626513</v>
      </c>
      <c r="O78" s="97">
        <v>3.5333797341335967E-2</v>
      </c>
      <c r="P78" s="172">
        <v>3.7465631176373908E-2</v>
      </c>
      <c r="Q78" s="172">
        <v>7.7433096728634396E-2</v>
      </c>
      <c r="R78" s="172">
        <v>8.0478142864509605E-2</v>
      </c>
      <c r="S78" s="166">
        <v>203756.89285714287</v>
      </c>
      <c r="T78" s="166">
        <v>45362</v>
      </c>
      <c r="U78" s="166">
        <v>30704161.19999456</v>
      </c>
      <c r="V78" s="167">
        <v>14280673.070000993</v>
      </c>
      <c r="W78" s="167">
        <v>20600.678571428572</v>
      </c>
      <c r="X78" s="167">
        <v>151507</v>
      </c>
      <c r="Y78" s="173">
        <v>0.46510546166633354</v>
      </c>
      <c r="Z78" s="174">
        <v>17.967187765719579</v>
      </c>
      <c r="AA78" s="98">
        <v>676.86965301341559</v>
      </c>
      <c r="AD78" t="str">
        <f t="shared" si="0"/>
        <v>Pişirme</v>
      </c>
      <c r="AE78" s="93">
        <f t="shared" si="1"/>
        <v>5.2732537578099183E-2</v>
      </c>
      <c r="AF78" s="93">
        <f t="shared" si="1"/>
        <v>8.0307361677108044E-2</v>
      </c>
      <c r="AG78" s="93">
        <f t="shared" si="1"/>
        <v>7.094234032465109E-2</v>
      </c>
      <c r="AH78" s="93">
        <f t="shared" si="1"/>
        <v>6.0643632591500955E-2</v>
      </c>
      <c r="AI78" s="94">
        <f t="shared" si="2"/>
        <v>1.1822026500704371E-2</v>
      </c>
      <c r="AJ78" s="94">
        <f t="shared" si="3"/>
        <v>3.6014556202225365E-2</v>
      </c>
      <c r="AK78" s="95">
        <f t="shared" si="4"/>
        <v>-2.4192529701520991E-2</v>
      </c>
      <c r="AL78" s="96">
        <f t="shared" si="5"/>
        <v>7.094234032465109E-2</v>
      </c>
    </row>
    <row r="79" spans="1:38" x14ac:dyDescent="0.25">
      <c r="A79" s="76" t="s">
        <v>85</v>
      </c>
      <c r="B79" s="97">
        <v>4.2422749354702319E-2</v>
      </c>
      <c r="C79" s="172">
        <v>2.4485207871758112E-2</v>
      </c>
      <c r="D79" s="172">
        <v>2.0868668982517193E-2</v>
      </c>
      <c r="E79" s="172">
        <v>1.941355201131888E-2</v>
      </c>
      <c r="F79" s="166">
        <v>18419.321428571428</v>
      </c>
      <c r="G79" s="166">
        <v>6012</v>
      </c>
      <c r="H79" s="166">
        <v>1627445.010000011</v>
      </c>
      <c r="I79" s="167">
        <v>619356.36999999895</v>
      </c>
      <c r="J79" s="167">
        <v>394.32142857142856</v>
      </c>
      <c r="K79" s="167">
        <v>48712.357142857145</v>
      </c>
      <c r="L79" s="173">
        <v>0.3805697680685351</v>
      </c>
      <c r="M79" s="174">
        <v>12.255037543959698</v>
      </c>
      <c r="N79" s="175">
        <v>270.69943612774631</v>
      </c>
      <c r="O79" s="97">
        <v>3.0739698211642671E-2</v>
      </c>
      <c r="P79" s="172">
        <v>2.4920649210456548E-2</v>
      </c>
      <c r="Q79" s="172">
        <v>1.5397498591426785E-2</v>
      </c>
      <c r="R79" s="172">
        <v>1.2703465360489325E-2</v>
      </c>
      <c r="S79" s="166">
        <v>177264.42857142858</v>
      </c>
      <c r="T79" s="166">
        <v>30173</v>
      </c>
      <c r="U79" s="166">
        <v>6105493.6300000781</v>
      </c>
      <c r="V79" s="167">
        <v>2254202.5600000881</v>
      </c>
      <c r="W79" s="167">
        <v>7827.9285714285716</v>
      </c>
      <c r="X79" s="167">
        <v>48712.357142857145</v>
      </c>
      <c r="Y79" s="173">
        <v>0.36920889556313552</v>
      </c>
      <c r="Z79" s="174">
        <v>23.499741964196943</v>
      </c>
      <c r="AA79" s="98">
        <v>202.34957180260756</v>
      </c>
      <c r="AD79" t="str">
        <f t="shared" si="0"/>
        <v>Salon</v>
      </c>
      <c r="AE79" s="93">
        <f t="shared" si="1"/>
        <v>9.412800719820337E-2</v>
      </c>
      <c r="AF79" s="93">
        <f t="shared" si="1"/>
        <v>0.16614619317396712</v>
      </c>
      <c r="AG79" s="93">
        <f t="shared" si="1"/>
        <v>0.21045621668090622</v>
      </c>
      <c r="AH79" s="93">
        <f t="shared" si="1"/>
        <v>0.21553633841780309</v>
      </c>
      <c r="AI79" s="94">
        <f t="shared" si="2"/>
        <v>7.9419845145756E-3</v>
      </c>
      <c r="AJ79" s="94">
        <f t="shared" si="3"/>
        <v>5.6848934493756182E-3</v>
      </c>
      <c r="AK79" s="95">
        <f t="shared" si="4"/>
        <v>2.2570910651999818E-3</v>
      </c>
      <c r="AL79" s="96">
        <f t="shared" si="5"/>
        <v>0.21045621668090622</v>
      </c>
    </row>
    <row r="80" spans="1:38" x14ac:dyDescent="0.25">
      <c r="A80" s="76" t="s">
        <v>196</v>
      </c>
      <c r="B80" s="97">
        <v>8.2980592538730205E-2</v>
      </c>
      <c r="C80" s="172">
        <v>0.12144858595073635</v>
      </c>
      <c r="D80" s="172">
        <v>0.11448875090150201</v>
      </c>
      <c r="E80" s="172">
        <v>0.12145069175572591</v>
      </c>
      <c r="F80" s="166">
        <v>36028.928571428572</v>
      </c>
      <c r="G80" s="166">
        <v>29820</v>
      </c>
      <c r="H80" s="166">
        <v>8928415.440001348</v>
      </c>
      <c r="I80" s="167">
        <v>3874677.8300003102</v>
      </c>
      <c r="J80" s="167">
        <v>2083.4285714285716</v>
      </c>
      <c r="K80" s="167">
        <v>317101.67857142858</v>
      </c>
      <c r="L80" s="173">
        <v>0.43397149875451196</v>
      </c>
      <c r="M80" s="174">
        <v>4.8328542684679503</v>
      </c>
      <c r="N80" s="175">
        <v>299.41030985920014</v>
      </c>
      <c r="O80" s="97">
        <v>0.11876551592046172</v>
      </c>
      <c r="P80" s="172">
        <v>0.12013581518430939</v>
      </c>
      <c r="Q80" s="172">
        <v>9.591206864387207E-2</v>
      </c>
      <c r="R80" s="172">
        <v>0.10328974154063809</v>
      </c>
      <c r="S80" s="166">
        <v>684876.64285714284</v>
      </c>
      <c r="T80" s="166">
        <v>145456</v>
      </c>
      <c r="U80" s="166">
        <v>38031536.13998989</v>
      </c>
      <c r="V80" s="167">
        <v>18328542.109999914</v>
      </c>
      <c r="W80" s="167">
        <v>28043.214285714286</v>
      </c>
      <c r="X80" s="167">
        <v>317101.67857142858</v>
      </c>
      <c r="Y80" s="173">
        <v>0.48193010249532325</v>
      </c>
      <c r="Z80" s="174">
        <v>18.833919339378035</v>
      </c>
      <c r="AA80" s="98">
        <v>261.46419632046729</v>
      </c>
      <c r="AD80" t="str">
        <f t="shared" si="0"/>
        <v>Sofra İçecek</v>
      </c>
      <c r="AE80" s="93">
        <f t="shared" si="1"/>
        <v>4.997732019192528E-2</v>
      </c>
      <c r="AF80" s="93">
        <f t="shared" si="1"/>
        <v>0.17013167803920673</v>
      </c>
      <c r="AG80" s="93">
        <f t="shared" si="1"/>
        <v>0.19012829314341925</v>
      </c>
      <c r="AH80" s="93">
        <f t="shared" si="1"/>
        <v>0.17450972608796628</v>
      </c>
      <c r="AI80" s="94">
        <f t="shared" si="2"/>
        <v>4.9684854819256809E-2</v>
      </c>
      <c r="AJ80" s="94">
        <f t="shared" si="3"/>
        <v>4.6222913072079749E-2</v>
      </c>
      <c r="AK80" s="95">
        <f t="shared" si="4"/>
        <v>3.4619417471770594E-3</v>
      </c>
      <c r="AL80" s="96">
        <f t="shared" si="5"/>
        <v>0.19012829314341925</v>
      </c>
    </row>
    <row r="81" spans="1:38" x14ac:dyDescent="0.25">
      <c r="A81" s="76" t="s">
        <v>197</v>
      </c>
      <c r="B81" s="97">
        <v>0.13494642672067042</v>
      </c>
      <c r="C81" s="172">
        <v>0.11568161084321647</v>
      </c>
      <c r="D81" s="172">
        <v>7.3225835168030287E-2</v>
      </c>
      <c r="E81" s="172">
        <v>7.6802614004212941E-2</v>
      </c>
      <c r="F81" s="166">
        <v>58591.714285714283</v>
      </c>
      <c r="G81" s="166">
        <v>28404</v>
      </c>
      <c r="H81" s="166">
        <v>5710523.2800007602</v>
      </c>
      <c r="I81" s="167">
        <v>2450256.8200000827</v>
      </c>
      <c r="J81" s="167">
        <v>2750.1071428571427</v>
      </c>
      <c r="K81" s="167">
        <v>434077.75</v>
      </c>
      <c r="L81" s="173">
        <v>0.4290774592551449</v>
      </c>
      <c r="M81" s="174">
        <v>8.251191985032289</v>
      </c>
      <c r="N81" s="175">
        <v>201.04644697932545</v>
      </c>
      <c r="O81" s="97">
        <v>0.16449710658503955</v>
      </c>
      <c r="P81" s="172">
        <v>0.15166634593227576</v>
      </c>
      <c r="Q81" s="172">
        <v>9.5597842303112787E-2</v>
      </c>
      <c r="R81" s="172">
        <v>0.10466015637529706</v>
      </c>
      <c r="S81" s="166">
        <v>948593.75</v>
      </c>
      <c r="T81" s="166">
        <v>183632</v>
      </c>
      <c r="U81" s="166">
        <v>37906937.529995389</v>
      </c>
      <c r="V81" s="167">
        <v>18571719.27000213</v>
      </c>
      <c r="W81" s="167">
        <v>39894.321428571428</v>
      </c>
      <c r="X81" s="167">
        <v>434077.75</v>
      </c>
      <c r="Y81" s="173">
        <v>0.48992929738274249</v>
      </c>
      <c r="Z81" s="174">
        <v>20.66292911910778</v>
      </c>
      <c r="AA81" s="98">
        <v>206.42882248189525</v>
      </c>
      <c r="AD81" t="str">
        <f t="shared" si="0"/>
        <v>Sofra Sunum</v>
      </c>
      <c r="AE81" s="93">
        <f t="shared" si="1"/>
        <v>5.8173709176062155E-2</v>
      </c>
      <c r="AF81" s="93">
        <f t="shared" si="1"/>
        <v>0.13395838442528626</v>
      </c>
      <c r="AG81" s="93">
        <f t="shared" si="1"/>
        <v>0.13092287294935875</v>
      </c>
      <c r="AH81" s="93">
        <f t="shared" si="1"/>
        <v>0.11655692164759877</v>
      </c>
      <c r="AI81" s="94">
        <f t="shared" si="2"/>
        <v>3.1419555305734474E-2</v>
      </c>
      <c r="AJ81" s="94">
        <f t="shared" si="3"/>
        <v>4.6836183710870262E-2</v>
      </c>
      <c r="AK81" s="95">
        <f t="shared" si="4"/>
        <v>-1.5416628405135788E-2</v>
      </c>
      <c r="AL81" s="96">
        <f t="shared" si="5"/>
        <v>0.13092287294935875</v>
      </c>
    </row>
    <row r="82" spans="1:38" x14ac:dyDescent="0.25">
      <c r="A82" s="76" t="s">
        <v>73</v>
      </c>
      <c r="B82" s="97">
        <v>7.4029503552633094E-3</v>
      </c>
      <c r="C82" s="172">
        <v>2.0009285807376515E-2</v>
      </c>
      <c r="D82" s="172">
        <v>7.4646022684357452E-2</v>
      </c>
      <c r="E82" s="172">
        <v>6.8447080825162779E-2</v>
      </c>
      <c r="F82" s="166">
        <v>3214.25</v>
      </c>
      <c r="G82" s="166">
        <v>4913</v>
      </c>
      <c r="H82" s="166">
        <v>5821276.7300002426</v>
      </c>
      <c r="I82" s="167">
        <v>2183687.7399999984</v>
      </c>
      <c r="J82" s="167">
        <v>371.21428571428572</v>
      </c>
      <c r="K82" s="167">
        <v>54103.071428571428</v>
      </c>
      <c r="L82" s="173">
        <v>0.3751217887901212</v>
      </c>
      <c r="M82" s="174">
        <v>2.6169346631386117</v>
      </c>
      <c r="N82" s="175">
        <v>1184.8721209037742</v>
      </c>
      <c r="O82" s="97">
        <v>1.1327124366039911E-2</v>
      </c>
      <c r="P82" s="172">
        <v>1.5006239866926889E-2</v>
      </c>
      <c r="Q82" s="172">
        <v>6.3697178834360824E-2</v>
      </c>
      <c r="R82" s="172">
        <v>5.8036850177571771E-2</v>
      </c>
      <c r="S82" s="166">
        <v>65319.321428571428</v>
      </c>
      <c r="T82" s="166">
        <v>18169</v>
      </c>
      <c r="U82" s="166">
        <v>25257525.910000995</v>
      </c>
      <c r="V82" s="167">
        <v>10298514.030000435</v>
      </c>
      <c r="W82" s="167">
        <v>3085.5357142857142</v>
      </c>
      <c r="X82" s="167">
        <v>54103.071428571428</v>
      </c>
      <c r="Y82" s="173">
        <v>0.40774041237042247</v>
      </c>
      <c r="Z82" s="174">
        <v>14.380388888452073</v>
      </c>
      <c r="AA82" s="98">
        <v>1390.1439765535249</v>
      </c>
      <c r="AD82" t="str">
        <f t="shared" si="0"/>
        <v>Sofra Takımları</v>
      </c>
      <c r="AE82" s="93">
        <f t="shared" si="1"/>
        <v>4.6900372080419403E-2</v>
      </c>
      <c r="AF82" s="93">
        <f t="shared" si="1"/>
        <v>0.21284983970193225</v>
      </c>
      <c r="AG82" s="93">
        <f t="shared" si="1"/>
        <v>0.18730698210708194</v>
      </c>
      <c r="AH82" s="93">
        <f t="shared" si="1"/>
        <v>0.1749441148474499</v>
      </c>
      <c r="AI82" s="94">
        <f t="shared" si="2"/>
        <v>2.8001349555424132E-2</v>
      </c>
      <c r="AJ82" s="94">
        <f t="shared" si="3"/>
        <v>2.5971913964754827E-2</v>
      </c>
      <c r="AK82" s="95">
        <f t="shared" si="4"/>
        <v>2.0294355906693047E-3</v>
      </c>
      <c r="AL82" s="96">
        <f t="shared" si="5"/>
        <v>0.18730698210708194</v>
      </c>
    </row>
    <row r="83" spans="1:38" x14ac:dyDescent="0.25">
      <c r="A83" s="76" t="s">
        <v>92</v>
      </c>
      <c r="B83" s="97">
        <v>4.7594096657284013E-3</v>
      </c>
      <c r="C83" s="172">
        <v>2.2041574351622573E-2</v>
      </c>
      <c r="D83" s="172">
        <v>1.5937699941667372E-2</v>
      </c>
      <c r="E83" s="172">
        <v>1.6795752895755318E-2</v>
      </c>
      <c r="F83" s="166">
        <v>2066.4642857142858</v>
      </c>
      <c r="G83" s="166">
        <v>5412</v>
      </c>
      <c r="H83" s="166">
        <v>1242902.949999996</v>
      </c>
      <c r="I83" s="167">
        <v>535839.93999999983</v>
      </c>
      <c r="J83" s="167">
        <v>121.85714285714286</v>
      </c>
      <c r="K83" s="167">
        <v>31963.357142857141</v>
      </c>
      <c r="L83" s="173">
        <v>0.43111969442183845</v>
      </c>
      <c r="M83" s="174">
        <v>1.5273202407348749</v>
      </c>
      <c r="N83" s="175">
        <v>229.6568643754612</v>
      </c>
      <c r="O83" s="97">
        <v>1.7081328143654321E-2</v>
      </c>
      <c r="P83" s="172">
        <v>2.632472250969017E-2</v>
      </c>
      <c r="Q83" s="172">
        <v>2.610473243944899E-2</v>
      </c>
      <c r="R83" s="172">
        <v>2.8936870280665009E-2</v>
      </c>
      <c r="S83" s="166">
        <v>98501.678571428565</v>
      </c>
      <c r="T83" s="166">
        <v>31873</v>
      </c>
      <c r="U83" s="166">
        <v>10351179.88000045</v>
      </c>
      <c r="V83" s="167">
        <v>5134785.2900000308</v>
      </c>
      <c r="W83" s="167">
        <v>5427.8928571428569</v>
      </c>
      <c r="X83" s="167">
        <v>31963.357142857141</v>
      </c>
      <c r="Y83" s="173">
        <v>0.49605797112278632</v>
      </c>
      <c r="Z83" s="174">
        <v>12.361770598491333</v>
      </c>
      <c r="AA83" s="98">
        <v>324.76327549965328</v>
      </c>
      <c r="AD83" t="str">
        <f t="shared" si="0"/>
        <v>Yastık</v>
      </c>
      <c r="AE83" s="93">
        <f t="shared" si="1"/>
        <v>2.0547901422915807E-2</v>
      </c>
      <c r="AF83" s="93">
        <f t="shared" si="1"/>
        <v>0.14515220598095749</v>
      </c>
      <c r="AG83" s="93">
        <f t="shared" si="1"/>
        <v>0.10720148960674178</v>
      </c>
      <c r="AH83" s="93">
        <f t="shared" si="1"/>
        <v>9.4493978753026675E-2</v>
      </c>
      <c r="AI83" s="94">
        <f t="shared" si="2"/>
        <v>6.8710563286385898E-3</v>
      </c>
      <c r="AJ83" s="94">
        <f t="shared" si="3"/>
        <v>1.294946061061625E-2</v>
      </c>
      <c r="AK83" s="95">
        <f t="shared" si="4"/>
        <v>-6.0784042819776599E-3</v>
      </c>
      <c r="AL83" s="96">
        <f t="shared" si="5"/>
        <v>0.10720148960674178</v>
      </c>
    </row>
    <row r="84" spans="1:38" x14ac:dyDescent="0.25">
      <c r="A84" s="76" t="s">
        <v>98</v>
      </c>
      <c r="B84" s="97">
        <v>4.9323445075255941E-2</v>
      </c>
      <c r="C84" s="172">
        <v>6.6047341326730097E-2</v>
      </c>
      <c r="D84" s="172">
        <v>9.65924220505881E-2</v>
      </c>
      <c r="E84" s="172">
        <v>9.8569341093675364E-2</v>
      </c>
      <c r="F84" s="166">
        <v>21415.5</v>
      </c>
      <c r="G84" s="166">
        <v>16217</v>
      </c>
      <c r="H84" s="166">
        <v>7532768.6399999242</v>
      </c>
      <c r="I84" s="167">
        <v>3144687.2399999835</v>
      </c>
      <c r="J84" s="167">
        <v>1709.3571428571429</v>
      </c>
      <c r="K84" s="167">
        <v>196469.21428571429</v>
      </c>
      <c r="L84" s="173">
        <v>0.41746765237170685</v>
      </c>
      <c r="M84" s="174">
        <v>5.2822346919898875</v>
      </c>
      <c r="N84" s="175">
        <v>464.49828204969629</v>
      </c>
      <c r="O84" s="97">
        <v>2.3897367963304831E-2</v>
      </c>
      <c r="P84" s="172">
        <v>2.885618407566138E-2</v>
      </c>
      <c r="Q84" s="172">
        <v>5.7500489121581781E-2</v>
      </c>
      <c r="R84" s="172">
        <v>7.4662050668781982E-2</v>
      </c>
      <c r="S84" s="166">
        <v>137807.25</v>
      </c>
      <c r="T84" s="166">
        <v>34938</v>
      </c>
      <c r="U84" s="166">
        <v>22800383.320001014</v>
      </c>
      <c r="V84" s="167">
        <v>13248620.039999994</v>
      </c>
      <c r="W84" s="167">
        <v>18438.607142857141</v>
      </c>
      <c r="X84" s="167">
        <v>196469.21428571429</v>
      </c>
      <c r="Y84" s="173">
        <v>0.58107005720285432</v>
      </c>
      <c r="Z84" s="174">
        <v>15.777348445818307</v>
      </c>
      <c r="AA84" s="98">
        <v>652.59554983115845</v>
      </c>
      <c r="AD84" t="str">
        <f t="shared" si="0"/>
        <v>Yatak Örtüsü</v>
      </c>
      <c r="AE84" s="93">
        <f t="shared" si="1"/>
        <v>0.13450025200544521</v>
      </c>
      <c r="AF84" s="93">
        <f t="shared" si="1"/>
        <v>0.31701690939302118</v>
      </c>
      <c r="AG84" s="93">
        <f t="shared" si="1"/>
        <v>0.24833451696457631</v>
      </c>
      <c r="AH84" s="93">
        <f t="shared" si="1"/>
        <v>0.19182750535253726</v>
      </c>
      <c r="AI84" s="94">
        <f t="shared" si="2"/>
        <v>4.0324211670356103E-2</v>
      </c>
      <c r="AJ84" s="94">
        <f t="shared" si="3"/>
        <v>3.3411812503069627E-2</v>
      </c>
      <c r="AK84" s="95">
        <f t="shared" si="4"/>
        <v>6.912399167286476E-3</v>
      </c>
      <c r="AL84" s="96">
        <f t="shared" si="5"/>
        <v>0.24833451696457631</v>
      </c>
    </row>
    <row r="85" spans="1:38" x14ac:dyDescent="0.25">
      <c r="A85" s="76" t="s">
        <v>67</v>
      </c>
      <c r="B85" s="97">
        <v>6.3032709888312919E-4</v>
      </c>
      <c r="C85" s="172">
        <v>2.932360224162648E-4</v>
      </c>
      <c r="D85" s="172">
        <v>1.6716516132056304E-4</v>
      </c>
      <c r="E85" s="172">
        <v>2.2292584292487515E-4</v>
      </c>
      <c r="F85" s="166">
        <v>273.67857142857144</v>
      </c>
      <c r="G85" s="166">
        <v>72</v>
      </c>
      <c r="H85" s="166">
        <v>13036.389999999994</v>
      </c>
      <c r="I85" s="167">
        <v>7112.0699999999979</v>
      </c>
      <c r="J85" s="167">
        <v>0</v>
      </c>
      <c r="K85" s="167">
        <v>1758.4285714285713</v>
      </c>
      <c r="L85" s="173">
        <v>0.545555172866108</v>
      </c>
      <c r="M85" s="174">
        <v>15.204365079365081</v>
      </c>
      <c r="N85" s="175">
        <v>181.06097222222215</v>
      </c>
      <c r="O85" s="97">
        <v>3.0908130366785362E-4</v>
      </c>
      <c r="P85" s="172">
        <v>3.4688869745771881E-5</v>
      </c>
      <c r="Q85" s="172">
        <v>4.2515424289888856E-5</v>
      </c>
      <c r="R85" s="172">
        <v>5.6876711944882885E-5</v>
      </c>
      <c r="S85" s="166">
        <v>1782.3571428571429</v>
      </c>
      <c r="T85" s="166">
        <v>42</v>
      </c>
      <c r="U85" s="166">
        <v>16858.429999999997</v>
      </c>
      <c r="V85" s="167">
        <v>10092.65</v>
      </c>
      <c r="W85" s="167">
        <v>272.89285714285717</v>
      </c>
      <c r="X85" s="167">
        <v>1758.4285714285713</v>
      </c>
      <c r="Y85" s="173">
        <v>0.59867081335569217</v>
      </c>
      <c r="Z85" s="174">
        <v>169.74829931972789</v>
      </c>
      <c r="AA85" s="98">
        <v>401.39119047619039</v>
      </c>
      <c r="AD85" t="str">
        <f t="shared" si="0"/>
        <v>YEDEK PARÇA</v>
      </c>
      <c r="AE85" s="93">
        <f t="shared" si="1"/>
        <v>0.13310983341729057</v>
      </c>
      <c r="AF85" s="93">
        <f t="shared" si="1"/>
        <v>0.63157894736842102</v>
      </c>
      <c r="AG85" s="93">
        <f t="shared" si="1"/>
        <v>0.43607521303021718</v>
      </c>
      <c r="AH85" s="93">
        <f t="shared" si="1"/>
        <v>0.41337900297127761</v>
      </c>
      <c r="AI85" s="94">
        <f t="shared" si="2"/>
        <v>9.1197818481430595E-5</v>
      </c>
      <c r="AJ85" s="94">
        <f t="shared" si="3"/>
        <v>2.5452743639790113E-5</v>
      </c>
      <c r="AK85" s="95">
        <f t="shared" si="4"/>
        <v>6.5745074841640482E-5</v>
      </c>
      <c r="AL85" s="96">
        <f t="shared" si="5"/>
        <v>0.43607521303021718</v>
      </c>
    </row>
    <row r="86" spans="1:38" x14ac:dyDescent="0.25">
      <c r="A86" s="99" t="s">
        <v>91</v>
      </c>
      <c r="B86" s="97">
        <v>3.8891420543250986E-3</v>
      </c>
      <c r="C86" s="172">
        <v>1.2356640166818715E-2</v>
      </c>
      <c r="D86" s="172">
        <v>2.1932548641532719E-2</v>
      </c>
      <c r="E86" s="172">
        <v>2.1332701766479969E-2</v>
      </c>
      <c r="F86" s="166">
        <v>1688.6071428571429</v>
      </c>
      <c r="G86" s="166">
        <v>3034</v>
      </c>
      <c r="H86" s="166">
        <v>1710411.7600000144</v>
      </c>
      <c r="I86" s="167">
        <v>680583.57999999973</v>
      </c>
      <c r="J86" s="167">
        <v>72.535714285714292</v>
      </c>
      <c r="K86" s="167">
        <v>43271.357142857145</v>
      </c>
      <c r="L86" s="173">
        <v>0.39790627959667091</v>
      </c>
      <c r="M86" s="174">
        <v>2.2262454091722383</v>
      </c>
      <c r="N86" s="175">
        <v>563.74810810811289</v>
      </c>
      <c r="O86" s="97">
        <v>1.1221324744540333E-2</v>
      </c>
      <c r="P86" s="172">
        <v>1.2546633816857635E-2</v>
      </c>
      <c r="Q86" s="172">
        <v>2.4732672908892923E-2</v>
      </c>
      <c r="R86" s="172">
        <v>2.1218765136632518E-2</v>
      </c>
      <c r="S86" s="166">
        <v>64709.214285714283</v>
      </c>
      <c r="T86" s="166">
        <v>15191</v>
      </c>
      <c r="U86" s="166">
        <v>9807123.9299998917</v>
      </c>
      <c r="V86" s="167">
        <v>3765224.1600000099</v>
      </c>
      <c r="W86" s="167">
        <v>3727</v>
      </c>
      <c r="X86" s="167">
        <v>43271.357142857145</v>
      </c>
      <c r="Y86" s="173">
        <v>0.38392745792497113</v>
      </c>
      <c r="Z86" s="174">
        <v>17.038829382058925</v>
      </c>
      <c r="AA86" s="98">
        <v>645.58777763148521</v>
      </c>
      <c r="AD86" t="str">
        <f t="shared" si="0"/>
        <v>Yorgan</v>
      </c>
      <c r="AE86" s="93">
        <f t="shared" ref="AE86:AH88" si="6">F86/(S86+F86)</f>
        <v>2.5431664872825544E-2</v>
      </c>
      <c r="AF86" s="93">
        <f t="shared" si="6"/>
        <v>0.16647462277091907</v>
      </c>
      <c r="AG86" s="93">
        <f t="shared" si="6"/>
        <v>0.1485050106235033</v>
      </c>
      <c r="AH86" s="93">
        <f t="shared" si="6"/>
        <v>0.15308434817741315</v>
      </c>
      <c r="AI86" s="94">
        <f t="shared" si="2"/>
        <v>8.7270988320253019E-3</v>
      </c>
      <c r="AJ86" s="94">
        <f t="shared" si="3"/>
        <v>9.4955522376010612E-3</v>
      </c>
      <c r="AK86" s="95">
        <f t="shared" si="4"/>
        <v>-7.6845340557575928E-4</v>
      </c>
      <c r="AL86" s="96">
        <f t="shared" si="5"/>
        <v>0.1485050106235033</v>
      </c>
    </row>
    <row r="87" spans="1:38" x14ac:dyDescent="0.25">
      <c r="A87" s="4" t="s">
        <v>102</v>
      </c>
      <c r="B87" s="100">
        <v>1</v>
      </c>
      <c r="C87" s="101">
        <v>1</v>
      </c>
      <c r="D87" s="101">
        <v>1</v>
      </c>
      <c r="E87" s="101">
        <v>1</v>
      </c>
      <c r="F87" s="102">
        <v>434185</v>
      </c>
      <c r="G87" s="102">
        <v>245536</v>
      </c>
      <c r="H87" s="102">
        <v>77985089.100000069</v>
      </c>
      <c r="I87" s="103">
        <v>31903299.799999986</v>
      </c>
      <c r="J87" s="103">
        <v>19199.321428571428</v>
      </c>
      <c r="K87" s="103">
        <v>3314449.5714285714</v>
      </c>
      <c r="L87" s="104">
        <v>0.40909486888051738</v>
      </c>
      <c r="M87" s="105">
        <v>7.0732601329336635</v>
      </c>
      <c r="N87" s="106">
        <v>317.61162965919488</v>
      </c>
      <c r="O87" s="100">
        <v>1</v>
      </c>
      <c r="P87" s="101">
        <v>1</v>
      </c>
      <c r="Q87" s="101">
        <v>1</v>
      </c>
      <c r="R87" s="101">
        <v>1</v>
      </c>
      <c r="S87" s="102">
        <v>5766628.7857142854</v>
      </c>
      <c r="T87" s="102">
        <v>1210763</v>
      </c>
      <c r="U87" s="102">
        <v>396525032.53999794</v>
      </c>
      <c r="V87" s="103">
        <v>177447845.60999963</v>
      </c>
      <c r="W87" s="103">
        <v>292003.96428571426</v>
      </c>
      <c r="X87" s="103">
        <v>3314449.5714285714</v>
      </c>
      <c r="Y87" s="104">
        <v>0.4475072972652745</v>
      </c>
      <c r="Z87" s="105">
        <v>19.051222363796334</v>
      </c>
      <c r="AA87" s="107">
        <v>327.50012392185567</v>
      </c>
      <c r="AD87" t="str">
        <f t="shared" si="0"/>
        <v>Genel Toplam</v>
      </c>
      <c r="AE87" s="93">
        <f t="shared" si="6"/>
        <v>7.0020648096270038E-2</v>
      </c>
      <c r="AF87" s="93">
        <f t="shared" si="6"/>
        <v>0.16860273886063232</v>
      </c>
      <c r="AG87" s="93">
        <f t="shared" si="6"/>
        <v>0.16434863144851081</v>
      </c>
      <c r="AH87" s="93">
        <f t="shared" si="6"/>
        <v>0.15239133149961803</v>
      </c>
      <c r="AI87" s="94">
        <f t="shared" si="2"/>
        <v>0.40909486888051738</v>
      </c>
      <c r="AJ87" s="94">
        <f t="shared" si="3"/>
        <v>0.4475072972652745</v>
      </c>
      <c r="AK87" s="95">
        <f t="shared" si="4"/>
        <v>-3.8412428384757114E-2</v>
      </c>
      <c r="AL87" s="96">
        <f t="shared" si="5"/>
        <v>0.16434863144851081</v>
      </c>
    </row>
    <row r="88" spans="1:38" x14ac:dyDescent="0.25">
      <c r="AD88">
        <f t="shared" si="0"/>
        <v>0</v>
      </c>
      <c r="AE88" s="93" t="e">
        <f t="shared" si="6"/>
        <v>#DIV/0!</v>
      </c>
      <c r="AF88" s="93" t="e">
        <f t="shared" si="6"/>
        <v>#DIV/0!</v>
      </c>
      <c r="AG88" s="93" t="e">
        <f t="shared" si="6"/>
        <v>#DIV/0!</v>
      </c>
      <c r="AH88" s="93" t="e">
        <f t="shared" si="6"/>
        <v>#DIV/0!</v>
      </c>
      <c r="AI88" s="94">
        <f t="shared" si="2"/>
        <v>0</v>
      </c>
      <c r="AJ88" s="94">
        <f t="shared" si="3"/>
        <v>0</v>
      </c>
      <c r="AK88" s="95">
        <f t="shared" si="4"/>
        <v>0</v>
      </c>
      <c r="AL88" s="96" t="e">
        <f t="shared" si="5"/>
        <v>#DIV/0!</v>
      </c>
    </row>
    <row r="177" spans="1:26" x14ac:dyDescent="0.25">
      <c r="A177" s="126" t="s">
        <v>136</v>
      </c>
      <c r="B177" t="s" vm="20">
        <v>3</v>
      </c>
    </row>
    <row r="178" spans="1:26" x14ac:dyDescent="0.25">
      <c r="A178" s="127" t="s">
        <v>135</v>
      </c>
      <c r="B178" s="109" t="s" vm="24">
        <v>8</v>
      </c>
    </row>
    <row r="179" spans="1:26" x14ac:dyDescent="0.25">
      <c r="A179" s="125" t="s">
        <v>104</v>
      </c>
      <c r="B179" t="s" vm="22">
        <v>162</v>
      </c>
      <c r="K179" s="70"/>
      <c r="L179" s="71"/>
      <c r="M179" s="71"/>
      <c r="N179" s="71"/>
      <c r="O179" s="71"/>
    </row>
    <row r="180" spans="1:26" x14ac:dyDescent="0.25">
      <c r="A180" s="125" t="s">
        <v>105</v>
      </c>
      <c r="B180" t="s" vm="13">
        <v>106</v>
      </c>
    </row>
    <row r="181" spans="1:26" x14ac:dyDescent="0.25">
      <c r="A181" s="126" t="s">
        <v>119</v>
      </c>
      <c r="B181" t="s" vm="23">
        <v>8</v>
      </c>
    </row>
    <row r="183" spans="1:26" x14ac:dyDescent="0.25">
      <c r="A183" s="72"/>
      <c r="B183" s="72"/>
      <c r="C183" s="72"/>
      <c r="D183" s="124" t="s">
        <v>4</v>
      </c>
      <c r="E183" s="124" t="s">
        <v>24</v>
      </c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Q183" s="110" t="s">
        <v>152</v>
      </c>
      <c r="R183" s="74"/>
      <c r="S183" s="74"/>
      <c r="T183" s="74"/>
    </row>
    <row r="184" spans="1:26" x14ac:dyDescent="0.25">
      <c r="A184" s="72"/>
      <c r="B184" s="72"/>
      <c r="C184" s="72"/>
      <c r="D184" s="149" t="s">
        <v>151</v>
      </c>
      <c r="E184" s="150"/>
      <c r="F184" s="150"/>
      <c r="G184" s="150"/>
      <c r="H184" s="150"/>
      <c r="I184" s="150"/>
      <c r="J184" s="149" t="s">
        <v>5</v>
      </c>
      <c r="K184" s="150"/>
      <c r="L184" s="150"/>
      <c r="M184" s="150"/>
      <c r="N184" s="150"/>
      <c r="O184" s="155"/>
    </row>
    <row r="185" spans="1:26" ht="75" x14ac:dyDescent="0.25">
      <c r="A185" s="126" t="s">
        <v>163</v>
      </c>
      <c r="B185" s="126" t="s">
        <v>164</v>
      </c>
      <c r="C185" s="124" t="s">
        <v>165</v>
      </c>
      <c r="D185" s="77" t="s">
        <v>30</v>
      </c>
      <c r="E185" s="161" t="s">
        <v>34</v>
      </c>
      <c r="F185" s="161" t="s">
        <v>120</v>
      </c>
      <c r="G185" s="2" t="s">
        <v>122</v>
      </c>
      <c r="H185" s="76" t="s">
        <v>142</v>
      </c>
      <c r="I185" s="160" t="s">
        <v>130</v>
      </c>
      <c r="J185" s="77" t="s">
        <v>30</v>
      </c>
      <c r="K185" s="161" t="s">
        <v>34</v>
      </c>
      <c r="L185" s="79" t="s">
        <v>120</v>
      </c>
      <c r="M185" s="2" t="s">
        <v>122</v>
      </c>
      <c r="N185" s="76" t="s">
        <v>142</v>
      </c>
      <c r="O185" s="78" t="s">
        <v>130</v>
      </c>
      <c r="P185" s="82" t="s">
        <v>161</v>
      </c>
      <c r="Q185" s="81" t="s">
        <v>30</v>
      </c>
      <c r="R185" s="81" t="s">
        <v>34</v>
      </c>
      <c r="S185" s="81" t="s">
        <v>120</v>
      </c>
      <c r="T185" s="81" t="s">
        <v>157</v>
      </c>
      <c r="U185" s="82" t="s">
        <v>166</v>
      </c>
      <c r="V185" s="82"/>
      <c r="W185" s="82"/>
      <c r="X185" s="82" t="s">
        <v>167</v>
      </c>
      <c r="Y185" s="82" t="s">
        <v>168</v>
      </c>
      <c r="Z185" s="82" t="s">
        <v>169</v>
      </c>
    </row>
    <row r="186" spans="1:26" x14ac:dyDescent="0.25">
      <c r="A186" s="147" t="s">
        <v>170</v>
      </c>
      <c r="B186" s="148"/>
      <c r="C186" s="148"/>
      <c r="D186" s="111"/>
      <c r="E186" s="86">
        <v>3221407</v>
      </c>
      <c r="F186" s="86">
        <v>146897493.43005574</v>
      </c>
      <c r="G186" s="87">
        <v>62430362.309983492</v>
      </c>
      <c r="H186" s="87"/>
      <c r="I186" s="87"/>
      <c r="J186" s="111"/>
      <c r="K186" s="86">
        <v>13136077</v>
      </c>
      <c r="L186" s="86">
        <v>647724812.14968848</v>
      </c>
      <c r="M186" s="87">
        <v>303344831.73996502</v>
      </c>
      <c r="N186" s="87"/>
      <c r="O186" s="112"/>
      <c r="P186" s="96">
        <f>E186/(K186+E186)</f>
        <v>0.19693780534952685</v>
      </c>
      <c r="Q186" s="96" t="str">
        <f>IFERROR(D186/(D186+J186),"-")</f>
        <v>-</v>
      </c>
      <c r="R186" s="96">
        <f t="shared" ref="R186:T198" si="7">IFERROR(E186/(E186+K186),"-")</f>
        <v>0.19693780534952685</v>
      </c>
      <c r="S186" s="96">
        <f t="shared" si="7"/>
        <v>0.18486454809858577</v>
      </c>
      <c r="T186" s="96">
        <f>IFERROR(G186/(G186+M186),"-")</f>
        <v>0.17067959589807039</v>
      </c>
      <c r="U186" s="93">
        <f>IFERROR(G186/F186,"-")</f>
        <v>0.42499269968625636</v>
      </c>
      <c r="V186" s="93"/>
      <c r="W186" s="93"/>
      <c r="X186" s="93">
        <f>IFERROR(M186/L186,"-")</f>
        <v>0.46832362455471654</v>
      </c>
      <c r="Y186" s="113" t="str">
        <f>IFERROR(E186/H186,"-")</f>
        <v>-</v>
      </c>
      <c r="Z186" s="113" t="str">
        <f>IFERROR(K186/N186,"-")</f>
        <v>-</v>
      </c>
    </row>
    <row r="187" spans="1:26" x14ac:dyDescent="0.25">
      <c r="A187" s="147" t="s">
        <v>171</v>
      </c>
      <c r="B187" s="148"/>
      <c r="C187" s="148"/>
      <c r="D187" s="114">
        <v>631834.3426183844</v>
      </c>
      <c r="E187" s="166">
        <v>3318948</v>
      </c>
      <c r="F187" s="166">
        <v>271506738.45991391</v>
      </c>
      <c r="G187" s="167">
        <v>121381619.00999284</v>
      </c>
      <c r="H187" s="167">
        <v>49629.027855153203</v>
      </c>
      <c r="I187" s="167">
        <v>2691705.4447075203</v>
      </c>
      <c r="J187" s="114">
        <v>3262594.6128133703</v>
      </c>
      <c r="K187" s="166">
        <v>13440361</v>
      </c>
      <c r="L187" s="166">
        <v>1338181464.7507038</v>
      </c>
      <c r="M187" s="167">
        <v>643868443.94960415</v>
      </c>
      <c r="N187" s="167">
        <v>247126.84401114206</v>
      </c>
      <c r="O187" s="115">
        <v>2691705.4447075203</v>
      </c>
      <c r="P187" s="96">
        <f t="shared" ref="P187:P198" si="8">E187/(K187+E187)</f>
        <v>0.19803608848073628</v>
      </c>
      <c r="Q187" s="96">
        <f t="shared" ref="Q187:Q198" si="9">IFERROR(D187/(D187+J187),"-")</f>
        <v>0.16224056205650728</v>
      </c>
      <c r="R187" s="96">
        <f t="shared" si="7"/>
        <v>0.19803608848073628</v>
      </c>
      <c r="S187" s="96">
        <f t="shared" si="7"/>
        <v>0.16867039089829805</v>
      </c>
      <c r="T187" s="96">
        <f t="shared" si="7"/>
        <v>0.15861693436593868</v>
      </c>
      <c r="U187" s="93">
        <f t="shared" ref="U187:U198" si="10">IFERROR(G187/F187,"-")</f>
        <v>0.44706669049362835</v>
      </c>
      <c r="V187" s="93"/>
      <c r="W187" s="93"/>
      <c r="X187" s="93">
        <f t="shared" ref="X187:X198" si="11">IFERROR(M187/L187,"-")</f>
        <v>0.48115181752988445</v>
      </c>
      <c r="Y187" s="113">
        <f t="shared" ref="Y187:Y198" si="12">IFERROR(E187/H187,"-")</f>
        <v>66.875136254666302</v>
      </c>
      <c r="Z187" s="113">
        <f t="shared" ref="Z187:Z198" si="13">IFERROR(K187/N187,"-")</f>
        <v>54.38648744850245</v>
      </c>
    </row>
    <row r="188" spans="1:26" x14ac:dyDescent="0.25">
      <c r="A188" s="147" t="s">
        <v>172</v>
      </c>
      <c r="B188" s="147" t="s">
        <v>173</v>
      </c>
      <c r="C188" s="148"/>
      <c r="D188" s="114">
        <v>469593.82857142854</v>
      </c>
      <c r="E188" s="166">
        <v>204681</v>
      </c>
      <c r="F188" s="166">
        <v>26520837.039998416</v>
      </c>
      <c r="G188" s="167">
        <v>12375557.590000128</v>
      </c>
      <c r="H188" s="167">
        <v>29924.114285714284</v>
      </c>
      <c r="I188" s="167">
        <v>1605932.8631428571</v>
      </c>
      <c r="J188" s="114">
        <v>3106069.6285714284</v>
      </c>
      <c r="K188" s="166">
        <v>1035851</v>
      </c>
      <c r="L188" s="166">
        <v>147306728.35998154</v>
      </c>
      <c r="M188" s="167">
        <v>73912395.220001802</v>
      </c>
      <c r="N188" s="167">
        <v>189537.42857142858</v>
      </c>
      <c r="O188" s="115">
        <v>1605932.8631428571</v>
      </c>
      <c r="P188" s="96">
        <f t="shared" si="8"/>
        <v>0.16499453460289618</v>
      </c>
      <c r="Q188" s="96">
        <f t="shared" si="9"/>
        <v>0.13133054444297695</v>
      </c>
      <c r="R188" s="96">
        <f t="shared" si="7"/>
        <v>0.16499453460289618</v>
      </c>
      <c r="S188" s="96">
        <f t="shared" si="7"/>
        <v>0.15256980087694122</v>
      </c>
      <c r="T188" s="96">
        <f t="shared" si="7"/>
        <v>0.14342161549770405</v>
      </c>
      <c r="U188" s="93">
        <f t="shared" si="10"/>
        <v>0.46663525632073594</v>
      </c>
      <c r="V188" s="93"/>
      <c r="W188" s="93"/>
      <c r="X188" s="93">
        <f t="shared" si="11"/>
        <v>0.50175844676543235</v>
      </c>
      <c r="Y188" s="113">
        <f t="shared" si="12"/>
        <v>6.8400019477841099</v>
      </c>
      <c r="Z188" s="113">
        <f t="shared" si="13"/>
        <v>5.4651527553547661</v>
      </c>
    </row>
    <row r="189" spans="1:26" x14ac:dyDescent="0.25">
      <c r="A189" s="148"/>
      <c r="B189" s="147" t="s">
        <v>174</v>
      </c>
      <c r="C189" s="148"/>
      <c r="D189" s="114">
        <v>478369.82142857142</v>
      </c>
      <c r="E189" s="166">
        <v>122216</v>
      </c>
      <c r="F189" s="166">
        <v>18068248.03000056</v>
      </c>
      <c r="G189" s="167">
        <v>8382585.1399999931</v>
      </c>
      <c r="H189" s="167">
        <v>37149.607142857145</v>
      </c>
      <c r="I189" s="167">
        <v>1485520.1425357142</v>
      </c>
      <c r="J189" s="114">
        <v>3068295.7857142859</v>
      </c>
      <c r="K189" s="166">
        <v>737259</v>
      </c>
      <c r="L189" s="166">
        <v>119835915.63001153</v>
      </c>
      <c r="M189" s="167">
        <v>56350212.190015562</v>
      </c>
      <c r="N189" s="167">
        <v>220979.64285714287</v>
      </c>
      <c r="O189" s="115">
        <v>1485520.1425357142</v>
      </c>
      <c r="P189" s="96">
        <f t="shared" si="8"/>
        <v>0.1421984350911894</v>
      </c>
      <c r="Q189" s="96">
        <f t="shared" si="9"/>
        <v>0.13487874934280575</v>
      </c>
      <c r="R189" s="96">
        <f t="shared" si="7"/>
        <v>0.1421984350911894</v>
      </c>
      <c r="S189" s="96">
        <f t="shared" si="7"/>
        <v>0.13102032274055109</v>
      </c>
      <c r="T189" s="96">
        <f t="shared" si="7"/>
        <v>0.12949517842191446</v>
      </c>
      <c r="U189" s="93">
        <f t="shared" si="10"/>
        <v>0.46394011893579995</v>
      </c>
      <c r="V189" s="93"/>
      <c r="W189" s="93"/>
      <c r="X189" s="93">
        <f t="shared" si="11"/>
        <v>0.4702280772318253</v>
      </c>
      <c r="Y189" s="113">
        <f t="shared" si="12"/>
        <v>3.2898329053662363</v>
      </c>
      <c r="Z189" s="113">
        <f t="shared" si="13"/>
        <v>3.3363208957515478</v>
      </c>
    </row>
    <row r="190" spans="1:26" x14ac:dyDescent="0.25">
      <c r="A190" s="148"/>
      <c r="B190" s="147" t="s">
        <v>175</v>
      </c>
      <c r="C190" s="148"/>
      <c r="D190" s="114">
        <v>477643.57142857142</v>
      </c>
      <c r="E190" s="166">
        <v>238863</v>
      </c>
      <c r="F190" s="166">
        <v>30212942.319997862</v>
      </c>
      <c r="G190" s="167">
        <v>13726997.540000647</v>
      </c>
      <c r="H190" s="167">
        <v>81830.857142857145</v>
      </c>
      <c r="I190" s="167">
        <v>2314869.3663214296</v>
      </c>
      <c r="J190" s="114">
        <v>3073667.9642857141</v>
      </c>
      <c r="K190" s="166">
        <v>771619</v>
      </c>
      <c r="L190" s="166">
        <v>112625294.66002589</v>
      </c>
      <c r="M190" s="167">
        <v>55027836.830009058</v>
      </c>
      <c r="N190" s="167">
        <v>284177.60714285716</v>
      </c>
      <c r="O190" s="115">
        <v>2314869.3663214296</v>
      </c>
      <c r="P190" s="96">
        <f t="shared" si="8"/>
        <v>0.23638521022640679</v>
      </c>
      <c r="Q190" s="96">
        <f t="shared" si="9"/>
        <v>0.13449779514556207</v>
      </c>
      <c r="R190" s="96">
        <f t="shared" si="7"/>
        <v>0.23638521022640679</v>
      </c>
      <c r="S190" s="96">
        <f t="shared" si="7"/>
        <v>0.21151858885112962</v>
      </c>
      <c r="T190" s="96">
        <f t="shared" si="7"/>
        <v>0.19965137965612278</v>
      </c>
      <c r="U190" s="93">
        <f t="shared" si="10"/>
        <v>0.4543416326226124</v>
      </c>
      <c r="V190" s="93"/>
      <c r="W190" s="93"/>
      <c r="X190" s="93">
        <f t="shared" si="11"/>
        <v>0.48859216747106182</v>
      </c>
      <c r="Y190" s="113">
        <f t="shared" si="12"/>
        <v>2.9189844557414597</v>
      </c>
      <c r="Z190" s="113">
        <f t="shared" si="13"/>
        <v>2.7152702415855878</v>
      </c>
    </row>
    <row r="191" spans="1:26" x14ac:dyDescent="0.25">
      <c r="A191" s="148"/>
      <c r="B191" s="147" t="s">
        <v>176</v>
      </c>
      <c r="C191" s="2" t="s">
        <v>177</v>
      </c>
      <c r="D191" s="114">
        <v>520955.71428571426</v>
      </c>
      <c r="E191" s="166">
        <v>40315</v>
      </c>
      <c r="F191" s="166">
        <v>5460452.7400001632</v>
      </c>
      <c r="G191" s="167">
        <v>2707309.5999999372</v>
      </c>
      <c r="H191" s="167">
        <v>110205.57142857143</v>
      </c>
      <c r="I191" s="167">
        <v>2217047.8391428567</v>
      </c>
      <c r="J191" s="114">
        <v>3118305.8571428573</v>
      </c>
      <c r="K191" s="166">
        <v>178989</v>
      </c>
      <c r="L191" s="166">
        <v>26516038.020000137</v>
      </c>
      <c r="M191" s="167">
        <v>13706260.469999667</v>
      </c>
      <c r="N191" s="167">
        <v>372566.71428571426</v>
      </c>
      <c r="O191" s="115">
        <v>2217047.8391428567</v>
      </c>
      <c r="P191" s="96">
        <f t="shared" si="8"/>
        <v>0.18383157625943894</v>
      </c>
      <c r="Q191" s="96">
        <f t="shared" si="9"/>
        <v>0.14314874159518468</v>
      </c>
      <c r="R191" s="96">
        <f t="shared" si="7"/>
        <v>0.18383157625943894</v>
      </c>
      <c r="S191" s="96">
        <f t="shared" si="7"/>
        <v>0.17076460268838181</v>
      </c>
      <c r="T191" s="96">
        <f t="shared" si="7"/>
        <v>0.1649433723713955</v>
      </c>
      <c r="U191" s="93">
        <f t="shared" si="10"/>
        <v>0.49580313737865195</v>
      </c>
      <c r="V191" s="93"/>
      <c r="W191" s="93"/>
      <c r="X191" s="93">
        <f t="shared" si="11"/>
        <v>0.51690454130671804</v>
      </c>
      <c r="Y191" s="113">
        <f t="shared" si="12"/>
        <v>0.36581635100118087</v>
      </c>
      <c r="Z191" s="113">
        <f t="shared" si="13"/>
        <v>0.48042133968719697</v>
      </c>
    </row>
    <row r="192" spans="1:26" x14ac:dyDescent="0.25">
      <c r="A192" s="148"/>
      <c r="B192" s="148"/>
      <c r="C192" s="2" t="s">
        <v>178</v>
      </c>
      <c r="D192" s="114">
        <v>542771.28571428568</v>
      </c>
      <c r="E192" s="166">
        <v>56675</v>
      </c>
      <c r="F192" s="166">
        <v>8646456.9799999818</v>
      </c>
      <c r="G192" s="167">
        <v>4128782.8999999641</v>
      </c>
      <c r="H192" s="167">
        <v>86330.571428571435</v>
      </c>
      <c r="I192" s="167">
        <v>2120026.3058571434</v>
      </c>
      <c r="J192" s="114">
        <v>3146041</v>
      </c>
      <c r="K192" s="166">
        <v>196269</v>
      </c>
      <c r="L192" s="166">
        <v>29644257.239998382</v>
      </c>
      <c r="M192" s="167">
        <v>15618826.640000124</v>
      </c>
      <c r="N192" s="167">
        <v>405250</v>
      </c>
      <c r="O192" s="115">
        <v>2120026.3058571434</v>
      </c>
      <c r="P192" s="96">
        <f t="shared" si="8"/>
        <v>0.22406145233727623</v>
      </c>
      <c r="Q192" s="96">
        <f t="shared" si="9"/>
        <v>0.14713984981460931</v>
      </c>
      <c r="R192" s="96">
        <f t="shared" si="7"/>
        <v>0.22406145233727623</v>
      </c>
      <c r="S192" s="96">
        <f t="shared" si="7"/>
        <v>0.22581080442433055</v>
      </c>
      <c r="T192" s="96">
        <f t="shared" si="7"/>
        <v>0.20907760464054354</v>
      </c>
      <c r="U192" s="93">
        <f t="shared" si="10"/>
        <v>0.477511529815068</v>
      </c>
      <c r="V192" s="93"/>
      <c r="W192" s="93"/>
      <c r="X192" s="93">
        <f t="shared" si="11"/>
        <v>0.52687529033198255</v>
      </c>
      <c r="Y192" s="113">
        <f t="shared" si="12"/>
        <v>0.65648818329543912</v>
      </c>
      <c r="Z192" s="113">
        <f t="shared" si="13"/>
        <v>0.4843158544108575</v>
      </c>
    </row>
    <row r="193" spans="1:26" x14ac:dyDescent="0.25">
      <c r="A193" s="148"/>
      <c r="B193" s="148"/>
      <c r="C193" s="2" t="s">
        <v>179</v>
      </c>
      <c r="D193" s="114">
        <v>552040.85714285716</v>
      </c>
      <c r="E193" s="166">
        <v>70050</v>
      </c>
      <c r="F193" s="166">
        <v>8029184.3300000336</v>
      </c>
      <c r="G193" s="167">
        <v>3837217.9800000624</v>
      </c>
      <c r="H193" s="167">
        <v>82951.28571428571</v>
      </c>
      <c r="I193" s="167">
        <v>1910488.5714285714</v>
      </c>
      <c r="J193" s="114">
        <v>3200537</v>
      </c>
      <c r="K193" s="166">
        <v>210708</v>
      </c>
      <c r="L193" s="166">
        <v>31592252.219999902</v>
      </c>
      <c r="M193" s="167">
        <v>16105732.420000199</v>
      </c>
      <c r="N193" s="167">
        <v>480760.14285714284</v>
      </c>
      <c r="O193" s="115">
        <v>1910488.5714285714</v>
      </c>
      <c r="P193" s="96">
        <f t="shared" si="8"/>
        <v>0.24950313081016393</v>
      </c>
      <c r="Q193" s="96">
        <f t="shared" si="9"/>
        <v>0.14710976778058665</v>
      </c>
      <c r="R193" s="96">
        <f t="shared" si="7"/>
        <v>0.24950313081016393</v>
      </c>
      <c r="S193" s="96">
        <f t="shared" si="7"/>
        <v>0.20264748149319806</v>
      </c>
      <c r="T193" s="96">
        <f t="shared" si="7"/>
        <v>0.19240974394641286</v>
      </c>
      <c r="U193" s="93">
        <f t="shared" si="10"/>
        <v>0.47790881642395255</v>
      </c>
      <c r="V193" s="93"/>
      <c r="W193" s="93"/>
      <c r="X193" s="93">
        <f t="shared" si="11"/>
        <v>0.50980007084788492</v>
      </c>
      <c r="Y193" s="113">
        <f t="shared" si="12"/>
        <v>0.84447154009496106</v>
      </c>
      <c r="Z193" s="113">
        <f t="shared" si="13"/>
        <v>0.43828092476170921</v>
      </c>
    </row>
    <row r="194" spans="1:26" x14ac:dyDescent="0.25">
      <c r="A194" s="148"/>
      <c r="B194" s="148"/>
      <c r="C194" s="2" t="s">
        <v>180</v>
      </c>
      <c r="D194" s="114">
        <v>559180.28571428568</v>
      </c>
      <c r="E194" s="166">
        <v>35413</v>
      </c>
      <c r="F194" s="166">
        <v>4934315.3300000709</v>
      </c>
      <c r="G194" s="167">
        <v>2345872.849999994</v>
      </c>
      <c r="H194" s="167">
        <v>73648.142857142855</v>
      </c>
      <c r="I194" s="167">
        <v>1947526</v>
      </c>
      <c r="J194" s="114">
        <v>3300986.4285714286</v>
      </c>
      <c r="K194" s="166">
        <v>228465</v>
      </c>
      <c r="L194" s="166">
        <v>34245281.529996142</v>
      </c>
      <c r="M194" s="167">
        <v>17006009.140000433</v>
      </c>
      <c r="N194" s="167">
        <v>456591.42857142858</v>
      </c>
      <c r="O194" s="115">
        <v>1947526</v>
      </c>
      <c r="P194" s="96">
        <f t="shared" si="8"/>
        <v>0.13420216918424424</v>
      </c>
      <c r="Q194" s="96">
        <f t="shared" si="9"/>
        <v>0.14485910249546216</v>
      </c>
      <c r="R194" s="96">
        <f t="shared" si="7"/>
        <v>0.13420216918424424</v>
      </c>
      <c r="S194" s="96">
        <f t="shared" si="7"/>
        <v>0.12594094185379903</v>
      </c>
      <c r="T194" s="96">
        <f t="shared" si="7"/>
        <v>0.1212219489149511</v>
      </c>
      <c r="U194" s="93">
        <f t="shared" si="10"/>
        <v>0.47542013290827939</v>
      </c>
      <c r="V194" s="93"/>
      <c r="W194" s="93"/>
      <c r="X194" s="93">
        <f t="shared" si="11"/>
        <v>0.49659422788230029</v>
      </c>
      <c r="Y194" s="113">
        <f t="shared" si="12"/>
        <v>0.48084036645284434</v>
      </c>
      <c r="Z194" s="113">
        <f t="shared" si="13"/>
        <v>0.50037075972892298</v>
      </c>
    </row>
    <row r="195" spans="1:26" x14ac:dyDescent="0.25">
      <c r="A195" s="148"/>
      <c r="B195" s="148"/>
      <c r="C195" s="2" t="s">
        <v>181</v>
      </c>
      <c r="D195" s="114">
        <v>590167</v>
      </c>
      <c r="E195" s="166">
        <v>54297</v>
      </c>
      <c r="F195" s="166">
        <v>7641956.8100002389</v>
      </c>
      <c r="G195" s="167">
        <v>3593601.7900000783</v>
      </c>
      <c r="H195" s="167">
        <v>81918.28571428571</v>
      </c>
      <c r="I195" s="167">
        <v>2065235.2857142857</v>
      </c>
      <c r="J195" s="114">
        <v>3314173.2857142859</v>
      </c>
      <c r="K195" s="166">
        <v>235015</v>
      </c>
      <c r="L195" s="166">
        <v>36309201.589996114</v>
      </c>
      <c r="M195" s="167">
        <v>17869814.740000326</v>
      </c>
      <c r="N195" s="167">
        <v>495745</v>
      </c>
      <c r="O195" s="115">
        <v>2065235.2857142857</v>
      </c>
      <c r="P195" s="96">
        <f t="shared" si="8"/>
        <v>0.18767628027873023</v>
      </c>
      <c r="Q195" s="96">
        <f t="shared" si="9"/>
        <v>0.15115665049979907</v>
      </c>
      <c r="R195" s="96">
        <f t="shared" si="7"/>
        <v>0.18767628027873023</v>
      </c>
      <c r="S195" s="96">
        <f t="shared" si="7"/>
        <v>0.17387384287921004</v>
      </c>
      <c r="T195" s="96">
        <f t="shared" si="7"/>
        <v>0.16742915951787712</v>
      </c>
      <c r="U195" s="93">
        <f t="shared" si="10"/>
        <v>0.47024628368711835</v>
      </c>
      <c r="V195" s="93"/>
      <c r="W195" s="93"/>
      <c r="X195" s="93">
        <f t="shared" si="11"/>
        <v>0.49215664232407152</v>
      </c>
      <c r="Y195" s="113">
        <f t="shared" si="12"/>
        <v>0.66281904615749498</v>
      </c>
      <c r="Z195" s="113">
        <f t="shared" si="13"/>
        <v>0.47406428708307696</v>
      </c>
    </row>
    <row r="196" spans="1:26" x14ac:dyDescent="0.25">
      <c r="A196" s="148"/>
      <c r="B196" s="151" t="s">
        <v>182</v>
      </c>
      <c r="C196" s="152"/>
      <c r="D196" s="116">
        <v>553023.02857142861</v>
      </c>
      <c r="E196" s="168">
        <v>256750</v>
      </c>
      <c r="F196" s="168">
        <v>34712366.190003753</v>
      </c>
      <c r="G196" s="169">
        <v>16612785.120001346</v>
      </c>
      <c r="H196" s="169">
        <v>87010.771428571432</v>
      </c>
      <c r="I196" s="169">
        <v>2052064.8004285714</v>
      </c>
      <c r="J196" s="116">
        <v>3216008.7142857141</v>
      </c>
      <c r="K196" s="168">
        <v>1049446</v>
      </c>
      <c r="L196" s="168">
        <v>158307030.59981704</v>
      </c>
      <c r="M196" s="169">
        <v>80306643.410009012</v>
      </c>
      <c r="N196" s="169">
        <v>442182.65714285715</v>
      </c>
      <c r="O196" s="117">
        <v>2052064.8004285714</v>
      </c>
      <c r="P196" s="96">
        <f>E196/(K196+E196)</f>
        <v>0.19656314978762759</v>
      </c>
      <c r="Q196" s="96">
        <f t="shared" si="9"/>
        <v>0.14672814300900669</v>
      </c>
      <c r="R196" s="96">
        <f t="shared" si="7"/>
        <v>0.19656314978762759</v>
      </c>
      <c r="S196" s="96">
        <f t="shared" si="7"/>
        <v>0.17983874557333798</v>
      </c>
      <c r="T196" s="96">
        <f t="shared" si="7"/>
        <v>0.1714082034115309</v>
      </c>
      <c r="U196" s="93">
        <f t="shared" si="10"/>
        <v>0.47858405932538794</v>
      </c>
      <c r="V196" s="93"/>
      <c r="W196" s="93"/>
      <c r="X196" s="93">
        <f t="shared" si="11"/>
        <v>0.50728412443674387</v>
      </c>
      <c r="Y196" s="113">
        <f t="shared" si="12"/>
        <v>2.9507840901142943</v>
      </c>
      <c r="Z196" s="113">
        <f t="shared" si="13"/>
        <v>2.3733314345274121</v>
      </c>
    </row>
    <row r="197" spans="1:26" x14ac:dyDescent="0.25">
      <c r="A197" s="148"/>
      <c r="B197" s="147" t="s">
        <v>183</v>
      </c>
      <c r="C197" s="148"/>
      <c r="D197" s="114">
        <v>591213.14285714284</v>
      </c>
      <c r="E197" s="166">
        <v>219951</v>
      </c>
      <c r="F197" s="166">
        <v>32212876.319998566</v>
      </c>
      <c r="G197" s="167">
        <v>14723096.44000062</v>
      </c>
      <c r="H197" s="167">
        <v>84657.142857142855</v>
      </c>
      <c r="I197" s="167">
        <v>1747855.357142857</v>
      </c>
      <c r="J197" s="114">
        <v>3514466.5</v>
      </c>
      <c r="K197" s="166">
        <v>1045117</v>
      </c>
      <c r="L197" s="166">
        <v>164407878.45993778</v>
      </c>
      <c r="M197" s="167">
        <v>80172068.309977621</v>
      </c>
      <c r="N197" s="167">
        <v>404061.21428571426</v>
      </c>
      <c r="O197" s="115">
        <v>1747855.357142857</v>
      </c>
      <c r="P197" s="96">
        <f t="shared" si="8"/>
        <v>0.17386496219966041</v>
      </c>
      <c r="Q197" s="96">
        <f t="shared" si="9"/>
        <v>0.14399884898124141</v>
      </c>
      <c r="R197" s="96">
        <f t="shared" si="7"/>
        <v>0.17386496219966041</v>
      </c>
      <c r="S197" s="96">
        <f t="shared" si="7"/>
        <v>0.16383253312221363</v>
      </c>
      <c r="T197" s="96">
        <f t="shared" si="7"/>
        <v>0.15515117634066802</v>
      </c>
      <c r="U197" s="93">
        <f t="shared" si="10"/>
        <v>0.45705624961097158</v>
      </c>
      <c r="V197" s="93"/>
      <c r="W197" s="93"/>
      <c r="X197" s="93">
        <f t="shared" si="11"/>
        <v>0.48764128009542812</v>
      </c>
      <c r="Y197" s="113">
        <f t="shared" si="12"/>
        <v>2.5981387107661154</v>
      </c>
      <c r="Z197" s="113">
        <f t="shared" si="13"/>
        <v>2.5865313547788111</v>
      </c>
    </row>
    <row r="198" spans="1:26" x14ac:dyDescent="0.25">
      <c r="A198" s="148"/>
      <c r="B198" s="147" t="s">
        <v>184</v>
      </c>
      <c r="C198" s="148"/>
      <c r="D198" s="114">
        <v>618295.57142857148</v>
      </c>
      <c r="E198" s="166">
        <v>165668</v>
      </c>
      <c r="F198" s="166">
        <v>25372450.480000824</v>
      </c>
      <c r="G198" s="167">
        <v>12599504.879999908</v>
      </c>
      <c r="H198" s="167">
        <v>86747.96428571429</v>
      </c>
      <c r="I198" s="167">
        <v>1553201.3214285714</v>
      </c>
      <c r="J198" s="114">
        <v>3726078.0357142859</v>
      </c>
      <c r="K198" s="166">
        <v>811266</v>
      </c>
      <c r="L198" s="166">
        <v>139599756.23990744</v>
      </c>
      <c r="M198" s="167">
        <v>76289459.980003312</v>
      </c>
      <c r="N198" s="167">
        <v>299040.21428571426</v>
      </c>
      <c r="O198" s="115">
        <v>1553201.3214285714</v>
      </c>
      <c r="P198" s="96">
        <f t="shared" si="8"/>
        <v>0.16957952123684916</v>
      </c>
      <c r="Q198" s="96">
        <f t="shared" si="9"/>
        <v>0.14232099431135317</v>
      </c>
      <c r="R198" s="96">
        <f t="shared" si="7"/>
        <v>0.16957952123684916</v>
      </c>
      <c r="S198" s="96">
        <f t="shared" si="7"/>
        <v>0.15379833357674888</v>
      </c>
      <c r="T198" s="96">
        <f t="shared" si="7"/>
        <v>0.14174430875467675</v>
      </c>
      <c r="U198" s="93">
        <f t="shared" si="10"/>
        <v>0.49658210545848303</v>
      </c>
      <c r="V198" s="93"/>
      <c r="W198" s="93"/>
      <c r="X198" s="93">
        <f t="shared" si="11"/>
        <v>0.54648705724741375</v>
      </c>
      <c r="Y198" s="113">
        <f t="shared" si="12"/>
        <v>1.9097623945889219</v>
      </c>
      <c r="Z198" s="113">
        <f t="shared" si="13"/>
        <v>2.7128993401030872</v>
      </c>
    </row>
    <row r="199" spans="1:26" x14ac:dyDescent="0.25">
      <c r="A199" s="148"/>
      <c r="B199" s="147" t="s">
        <v>185</v>
      </c>
      <c r="C199" s="148"/>
      <c r="D199" s="114">
        <v>629568.25714285718</v>
      </c>
      <c r="E199" s="166">
        <v>223065</v>
      </c>
      <c r="F199" s="166">
        <v>36740885.330002166</v>
      </c>
      <c r="G199" s="167">
        <v>18051296.189999878</v>
      </c>
      <c r="H199" s="167">
        <v>67167.171428571426</v>
      </c>
      <c r="I199" s="167">
        <v>1548890.6390571429</v>
      </c>
      <c r="J199" s="114">
        <v>3716321.2857142859</v>
      </c>
      <c r="K199" s="166">
        <v>1201656</v>
      </c>
      <c r="L199" s="166">
        <v>220927811.13963687</v>
      </c>
      <c r="M199" s="167">
        <v>124744367.62998292</v>
      </c>
      <c r="N199" s="167">
        <v>285974.48571428569</v>
      </c>
      <c r="O199" s="115">
        <v>1548890.6390571429</v>
      </c>
    </row>
    <row r="200" spans="1:26" x14ac:dyDescent="0.25">
      <c r="A200" s="148"/>
      <c r="B200" s="147" t="s">
        <v>186</v>
      </c>
      <c r="C200" s="148"/>
      <c r="D200" s="114">
        <v>603879.46428571432</v>
      </c>
      <c r="E200" s="166">
        <v>200618</v>
      </c>
      <c r="F200" s="166">
        <v>31573338.080006879</v>
      </c>
      <c r="G200" s="167">
        <v>15350652.369999649</v>
      </c>
      <c r="H200" s="167">
        <v>56663.964285714283</v>
      </c>
      <c r="I200" s="167">
        <v>1761438.9210357142</v>
      </c>
      <c r="J200" s="114">
        <v>3656055.5</v>
      </c>
      <c r="K200" s="166">
        <v>1035098</v>
      </c>
      <c r="L200" s="166">
        <v>188823590.22965419</v>
      </c>
      <c r="M200" s="167">
        <v>106190403.04997677</v>
      </c>
      <c r="N200" s="167">
        <v>340525.46428571426</v>
      </c>
      <c r="O200" s="115">
        <v>1761438.9210357142</v>
      </c>
    </row>
    <row r="201" spans="1:26" x14ac:dyDescent="0.25">
      <c r="A201" s="148"/>
      <c r="B201" s="147" t="s">
        <v>187</v>
      </c>
      <c r="C201" s="148"/>
      <c r="D201" s="114">
        <v>616309.07142857148</v>
      </c>
      <c r="E201" s="166">
        <v>224303</v>
      </c>
      <c r="F201" s="166">
        <v>36810346.779999629</v>
      </c>
      <c r="G201" s="167">
        <v>17495585.170000318</v>
      </c>
      <c r="H201" s="167">
        <v>67064.571428571435</v>
      </c>
      <c r="I201" s="167">
        <v>2256069.9285714286</v>
      </c>
      <c r="J201" s="114">
        <v>3833027.2857142859</v>
      </c>
      <c r="K201" s="166">
        <v>1081600</v>
      </c>
      <c r="L201" s="166">
        <v>186426004.9295105</v>
      </c>
      <c r="M201" s="167">
        <v>100352025.36998111</v>
      </c>
      <c r="N201" s="167">
        <v>322654.5</v>
      </c>
      <c r="O201" s="115">
        <v>2256069.9285714286</v>
      </c>
    </row>
    <row r="202" spans="1:26" x14ac:dyDescent="0.25">
      <c r="A202" s="148"/>
      <c r="B202" s="147" t="s">
        <v>188</v>
      </c>
      <c r="C202" s="148"/>
      <c r="D202" s="114">
        <v>660564.4</v>
      </c>
      <c r="E202" s="166">
        <v>305800</v>
      </c>
      <c r="F202" s="166">
        <v>52925685.309980646</v>
      </c>
      <c r="G202" s="167">
        <v>26090495.249999844</v>
      </c>
      <c r="H202" s="167">
        <v>90040.514285714293</v>
      </c>
      <c r="I202" s="167">
        <v>2592702.1383714285</v>
      </c>
      <c r="J202" s="114">
        <v>3961550.0857142857</v>
      </c>
      <c r="K202" s="166">
        <v>1221598</v>
      </c>
      <c r="L202" s="166">
        <v>231438611.72957322</v>
      </c>
      <c r="M202" s="167">
        <v>126323769.71995382</v>
      </c>
      <c r="N202" s="167">
        <v>337633.62857142859</v>
      </c>
      <c r="O202" s="115">
        <v>2592702.1383714285</v>
      </c>
    </row>
    <row r="203" spans="1:26" x14ac:dyDescent="0.25">
      <c r="A203" s="148"/>
      <c r="B203" s="147" t="s">
        <v>189</v>
      </c>
      <c r="C203" s="148"/>
      <c r="D203" s="114">
        <v>639515.21428571432</v>
      </c>
      <c r="E203" s="166">
        <v>485226</v>
      </c>
      <c r="F203" s="166">
        <v>86711893.390006647</v>
      </c>
      <c r="G203" s="167">
        <v>37747359.779997155</v>
      </c>
      <c r="H203" s="167">
        <v>98546.892857142855</v>
      </c>
      <c r="I203" s="167">
        <v>2508743.2142857141</v>
      </c>
      <c r="J203" s="114">
        <v>4117826.2857142859</v>
      </c>
      <c r="K203" s="166">
        <v>1345182</v>
      </c>
      <c r="L203" s="166">
        <v>252594515.61942977</v>
      </c>
      <c r="M203" s="167">
        <v>123361150.71000203</v>
      </c>
      <c r="N203" s="167">
        <v>451954.5</v>
      </c>
      <c r="O203" s="115">
        <v>2508743.2142857141</v>
      </c>
    </row>
    <row r="204" spans="1:26" x14ac:dyDescent="0.25">
      <c r="A204" s="148"/>
      <c r="B204" s="147" t="s">
        <v>190</v>
      </c>
      <c r="C204" s="148"/>
      <c r="D204" s="114">
        <v>552424.02857142861</v>
      </c>
      <c r="E204" s="166">
        <v>360618</v>
      </c>
      <c r="F204" s="166">
        <v>65629105.929986715</v>
      </c>
      <c r="G204" s="167">
        <v>29150407.500000842</v>
      </c>
      <c r="H204" s="167">
        <v>92236.028571428571</v>
      </c>
      <c r="I204" s="167">
        <v>1913281.3142857142</v>
      </c>
      <c r="J204" s="114">
        <v>4312216.8571428573</v>
      </c>
      <c r="K204" s="166">
        <v>1805112</v>
      </c>
      <c r="L204" s="166">
        <v>324694582.44087309</v>
      </c>
      <c r="M204" s="167">
        <v>157734947.0899148</v>
      </c>
      <c r="N204" s="167">
        <v>511816.4</v>
      </c>
      <c r="O204" s="115">
        <v>1913281.3142857142</v>
      </c>
    </row>
    <row r="205" spans="1:26" x14ac:dyDescent="0.25">
      <c r="A205" s="153" t="s">
        <v>191</v>
      </c>
      <c r="B205" s="154"/>
      <c r="C205" s="154"/>
      <c r="D205" s="118">
        <v>574090.02156334231</v>
      </c>
      <c r="E205" s="170">
        <v>3007759</v>
      </c>
      <c r="F205" s="170">
        <v>477490975.19941872</v>
      </c>
      <c r="G205" s="171">
        <v>222306322.97003797</v>
      </c>
      <c r="H205" s="171">
        <v>73255.415094339623</v>
      </c>
      <c r="I205" s="171">
        <v>1944814.18456065</v>
      </c>
      <c r="J205" s="118">
        <v>3613556.6469002697</v>
      </c>
      <c r="K205" s="170">
        <v>13140804</v>
      </c>
      <c r="L205" s="170">
        <v>2246987720.0470977</v>
      </c>
      <c r="M205" s="171">
        <v>1160765279.5096052</v>
      </c>
      <c r="N205" s="171">
        <v>342062.18059299194</v>
      </c>
      <c r="O205" s="121">
        <v>1944814.18456065</v>
      </c>
    </row>
    <row r="206" spans="1:26" x14ac:dyDescent="0.25">
      <c r="A206" s="147" t="s">
        <v>192</v>
      </c>
      <c r="B206" s="148"/>
      <c r="C206" s="148"/>
      <c r="D206" s="114">
        <v>432146.2087912088</v>
      </c>
      <c r="E206" s="166">
        <v>2395595</v>
      </c>
      <c r="F206" s="166">
        <v>615809723.35980105</v>
      </c>
      <c r="G206" s="167">
        <v>275855900.11000472</v>
      </c>
      <c r="H206" s="167">
        <v>19017.263736263736</v>
      </c>
      <c r="I206" s="167">
        <v>1505279.9716648329</v>
      </c>
      <c r="J206" s="114">
        <v>4144080.6923076925</v>
      </c>
      <c r="K206" s="166">
        <v>12545865</v>
      </c>
      <c r="L206" s="166">
        <v>3539514540.4573717</v>
      </c>
      <c r="M206" s="167">
        <v>1765560066.5209093</v>
      </c>
      <c r="N206" s="167">
        <v>324755.04945054947</v>
      </c>
      <c r="O206" s="115">
        <v>1505279.9716648329</v>
      </c>
    </row>
    <row r="207" spans="1:26" x14ac:dyDescent="0.25">
      <c r="A207" s="147" t="s">
        <v>193</v>
      </c>
      <c r="B207" s="148"/>
      <c r="C207" s="148"/>
      <c r="D207" s="114">
        <v>314641.06593406596</v>
      </c>
      <c r="E207" s="166">
        <v>2151288</v>
      </c>
      <c r="F207" s="166">
        <v>706008734.30991578</v>
      </c>
      <c r="G207" s="167">
        <v>300672164.6999799</v>
      </c>
      <c r="H207" s="167">
        <v>15068.48076923077</v>
      </c>
      <c r="I207" s="167">
        <v>1565097.6607719779</v>
      </c>
      <c r="J207" s="114">
        <v>3307990.826923077</v>
      </c>
      <c r="K207" s="166">
        <v>11459762</v>
      </c>
      <c r="L207" s="166">
        <v>4249007413.1371093</v>
      </c>
      <c r="M207" s="167">
        <v>2068354680.501142</v>
      </c>
      <c r="N207" s="167">
        <v>137864.37362637362</v>
      </c>
      <c r="O207" s="115">
        <v>1565097.6607719779</v>
      </c>
    </row>
    <row r="208" spans="1:26" x14ac:dyDescent="0.25">
      <c r="A208" s="147" t="s">
        <v>194</v>
      </c>
      <c r="B208" s="148"/>
      <c r="C208" s="148"/>
      <c r="D208" s="114">
        <v>208495.98571428572</v>
      </c>
      <c r="E208" s="166">
        <v>350172</v>
      </c>
      <c r="F208" s="166">
        <v>142894652.57998887</v>
      </c>
      <c r="G208" s="167">
        <v>65364999.02998928</v>
      </c>
      <c r="H208" s="167">
        <v>6020.8</v>
      </c>
      <c r="I208" s="167">
        <v>1126867.7199142855</v>
      </c>
      <c r="J208" s="114">
        <v>2447540.8357142857</v>
      </c>
      <c r="K208" s="166">
        <v>2086361</v>
      </c>
      <c r="L208" s="166">
        <v>848246516.36998844</v>
      </c>
      <c r="M208" s="167">
        <v>441493584.47980446</v>
      </c>
      <c r="N208" s="167">
        <v>99787.471428571458</v>
      </c>
      <c r="O208" s="115">
        <v>1126867.7199142855</v>
      </c>
    </row>
    <row r="209" spans="1:15" x14ac:dyDescent="0.25">
      <c r="A209" s="149" t="s">
        <v>102</v>
      </c>
      <c r="B209" s="150"/>
      <c r="C209" s="150"/>
      <c r="D209" s="122">
        <v>475288.75261780107</v>
      </c>
      <c r="E209" s="102">
        <v>14445169</v>
      </c>
      <c r="F209" s="102">
        <v>2360608317.3400197</v>
      </c>
      <c r="G209" s="103">
        <v>1048011368.1299987</v>
      </c>
      <c r="H209" s="103">
        <v>37842.439136125657</v>
      </c>
      <c r="I209" s="103">
        <v>1887661.3322794619</v>
      </c>
      <c r="J209" s="122">
        <v>3531271.5140706808</v>
      </c>
      <c r="K209" s="102">
        <v>65809230</v>
      </c>
      <c r="L209" s="102">
        <v>12869662466.880247</v>
      </c>
      <c r="M209" s="103">
        <v>6383386886.7000055</v>
      </c>
      <c r="N209" s="103">
        <v>255891.4914921466</v>
      </c>
      <c r="O209" s="123">
        <v>1887661.3322794619</v>
      </c>
    </row>
  </sheetData>
  <mergeCells count="25">
    <mergeCell ref="A208:C208"/>
    <mergeCell ref="A209:C209"/>
    <mergeCell ref="B188:C188"/>
    <mergeCell ref="B189:C189"/>
    <mergeCell ref="B190:C190"/>
    <mergeCell ref="B191:B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A188:A204"/>
    <mergeCell ref="B64:N64"/>
    <mergeCell ref="O64:AA64"/>
    <mergeCell ref="A186:C186"/>
    <mergeCell ref="D184:I184"/>
    <mergeCell ref="J184:O184"/>
    <mergeCell ref="A187:C187"/>
    <mergeCell ref="A205:C205"/>
    <mergeCell ref="A206:C206"/>
    <mergeCell ref="A207:C207"/>
  </mergeCells>
  <conditionalFormatting sqref="AE66:AH8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66:D68 D71:D72 D74:D79 D83:D84 D8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{A7A4C435-9426-4AAF-A993-89D72F407E5A}</x14:id>
        </ext>
      </extLst>
    </cfRule>
  </conditionalFormatting>
  <conditionalFormatting pivot="1" sqref="C66:C68 C71:C72 C74:C79 C83:C84 C8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{C63CEEB5-F351-433F-BA41-F45C875B1ECF}</x14:id>
        </ext>
      </extLst>
    </cfRule>
  </conditionalFormatting>
  <conditionalFormatting pivot="1" sqref="B66:B68 B71:B72 B74:B79 B83:B84 B86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{F91B9551-1BE6-4032-B58F-F94EB1B1E6B2}</x14:id>
        </ext>
      </extLst>
    </cfRule>
  </conditionalFormatting>
  <conditionalFormatting pivot="1" sqref="Q66:Q68 Q71:Q72 Q74:Q79 Q83:Q84 Q8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{F62CABA9-4CCE-4FEF-9BCB-A7355D911B1F}</x14:id>
        </ext>
      </extLst>
    </cfRule>
  </conditionalFormatting>
  <conditionalFormatting pivot="1" sqref="P66:P68 P71:P72 P74:P79 P83:P84 P86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{4A68A333-2B75-4875-AD23-C116E5D01496}</x14:id>
        </ext>
      </extLst>
    </cfRule>
  </conditionalFormatting>
  <conditionalFormatting pivot="1" sqref="O66:O68 O71:O72 O74:O79 O83:O84 O86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{C80B4CDE-64FD-4DDC-A8C4-91DD3E28D418}</x14:id>
        </ext>
      </extLst>
    </cfRule>
  </conditionalFormatting>
  <conditionalFormatting sqref="AE66:AH8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6:AH8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6:AH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6:AH8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66:E87 R66:R8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{DCED1EBD-8F28-4C20-8C57-F4FA914AA331}</x14:id>
        </ext>
      </extLst>
    </cfRule>
  </conditionalFormatting>
  <conditionalFormatting sqref="AA193:AB194 Q186:T19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3:AE194">
    <cfRule type="colorScale" priority="22">
      <colorScale>
        <cfvo type="min"/>
        <cfvo type="max"/>
        <color rgb="FFFFEF9C"/>
        <color rgb="FF63BE7B"/>
      </colorScale>
    </cfRule>
  </conditionalFormatting>
  <conditionalFormatting sqref="AC193:AD194 U186:W19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F193:AF194 Y186:Z19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93:AH194 AA186:AA19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6:T19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6:R19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3:AA194 S186:S19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3:AB194 T186:T19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6:X198">
    <cfRule type="colorScale" priority="14">
      <colorScale>
        <cfvo type="min"/>
        <cfvo type="max"/>
        <color rgb="FFFFEF9C"/>
        <color rgb="FF63BE7B"/>
      </colorScale>
    </cfRule>
  </conditionalFormatting>
  <conditionalFormatting sqref="AK66:AK8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{BEFB2904-2518-4D03-B6AE-777EFF04B32A}</x14:id>
        </ext>
      </extLst>
    </cfRule>
  </conditionalFormatting>
  <conditionalFormatting sqref="AE86:AH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6:AH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6:AH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6:AH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:AH8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:AH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7:AH8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7:AH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:AH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:AH8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8:AH8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8:AH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  <customProperties>
    <customPr name="_pios_id" r:id="rId5"/>
  </customProperties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7A4C435-9426-4AAF-A993-89D72F407E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D66:D68 D71:D72 D74:D79 D83:D84 D86</xm:sqref>
        </x14:conditionalFormatting>
        <x14:conditionalFormatting xmlns:xm="http://schemas.microsoft.com/office/excel/2006/main" pivot="1">
          <x14:cfRule type="dataBar" id="{C63CEEB5-F351-433F-BA41-F45C875B1E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C66:C68 C71:C72 C74:C79 C83:C84 C86</xm:sqref>
        </x14:conditionalFormatting>
        <x14:conditionalFormatting xmlns:xm="http://schemas.microsoft.com/office/excel/2006/main" pivot="1">
          <x14:cfRule type="dataBar" id="{F91B9551-1BE6-4032-B58F-F94EB1B1E6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B66:B68 B71:B72 B74:B79 B83:B84 B86</xm:sqref>
        </x14:conditionalFormatting>
        <x14:conditionalFormatting xmlns:xm="http://schemas.microsoft.com/office/excel/2006/main" pivot="1">
          <x14:cfRule type="dataBar" id="{F62CABA9-4CCE-4FEF-9BCB-A7355D911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Q66:Q68 Q71:Q72 Q74:Q79 Q83:Q84 Q86</xm:sqref>
        </x14:conditionalFormatting>
        <x14:conditionalFormatting xmlns:xm="http://schemas.microsoft.com/office/excel/2006/main" pivot="1">
          <x14:cfRule type="dataBar" id="{4A68A333-2B75-4875-AD23-C116E5D014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P66:P68 P71:P72 P74:P79 P83:P84 P86</xm:sqref>
        </x14:conditionalFormatting>
        <x14:conditionalFormatting xmlns:xm="http://schemas.microsoft.com/office/excel/2006/main" pivot="1">
          <x14:cfRule type="dataBar" id="{C80B4CDE-64FD-4DDC-A8C4-91DD3E28D4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O66:O68 O71:O72 O74:O79 O83:O84 O86</xm:sqref>
        </x14:conditionalFormatting>
        <x14:conditionalFormatting xmlns:xm="http://schemas.microsoft.com/office/excel/2006/main" pivot="1">
          <x14:cfRule type="dataBar" id="{DCED1EBD-8F28-4C20-8C57-F4FA914AA3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E66:E87 R66:R87</xm:sqref>
        </x14:conditionalFormatting>
        <x14:conditionalFormatting xmlns:xm="http://schemas.microsoft.com/office/excel/2006/main">
          <x14:cfRule type="dataBar" id="{BEFB2904-2518-4D03-B6AE-777EFF04B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AK66:AK88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Trading Sunum</vt:lpstr>
      <vt:lpstr>Trading</vt:lpstr>
      <vt:lpstr>offline vs 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Fatih Başol</dc:creator>
  <cp:lastModifiedBy>Mert Sucaklı</cp:lastModifiedBy>
  <dcterms:created xsi:type="dcterms:W3CDTF">2026-02-10T06:20:21Z</dcterms:created>
  <dcterms:modified xsi:type="dcterms:W3CDTF">2026-03-09T10:00:00Z</dcterms:modified>
</cp:coreProperties>
</file>